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sharedStrings.xml" ContentType="application/vnd.openxmlformats-officedocument.spreadsheetml.sharedStrings+xml"/>
  <Override PartName="/xl/metadata.xml" ContentType="application/vnd.openxmlformats-officedocument.spreadsheetml.sheetMetadata+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Instructions" sheetId="1" r:id="rId1"/>
    <sheet name="Error Summary" sheetId="2" r:id="rId2"/>
    <sheet name="WAYFAIR_USE_ONLY" sheetId="3" state="hidden" r:id="rId3"/>
    <sheet name="3757 - Wall Stickers" sheetId="4" r:id="rId4"/>
    <sheet name="3757 - Wall Stickers-WUO_ERR" sheetId="5" state="hidden" r:id="rId5"/>
    <sheet name="3757 - Wall Stickers-WUO_TRK" sheetId="6" state="hidden" r:id="rId6"/>
    <sheet name="6161 - Wallpaper" sheetId="7" r:id="rId7"/>
    <sheet name="6161 - Wallpaper-WUO_ERR" sheetId="8" state="hidden" r:id="rId8"/>
    <sheet name="6161 - Wallpaper-WUO_TRK" sheetId="9" state="hidden" r:id="rId9"/>
    <sheet name="Additional Cartons" sheetId="10" r:id="rId10"/>
    <sheet name="Additional Cartons-WUO_ERR" sheetId="11" state="hidden" r:id="rId11"/>
    <sheet name="Additional Cartons-WUO_TRK" sheetId="12" state="hidden" r:id="rId12"/>
    <sheet name="Additional Images" sheetId="13" r:id="rId13"/>
    <sheet name="Additional Images-WUO_ERR" sheetId="14" state="hidden" r:id="rId14"/>
    <sheet name="Additional Images-WUO_TRK" sheetId="15" state="hidden" r:id="rId15"/>
    <sheet name="Additional Videos" sheetId="16" r:id="rId16"/>
    <sheet name="Additional Videos-WUO_ERR" sheetId="17" state="hidden" r:id="rId17"/>
    <sheet name="Additional Videos-WUO_TRK" sheetId="18" state="hidden" r:id="rId18"/>
    <sheet name="Additional Documents" sheetId="19" r:id="rId19"/>
    <sheet name="Additional Documents-WUO_ERR" sheetId="20" state="hidden" r:id="rId20"/>
    <sheet name="Additional Documents-WUO_TRK" sheetId="21" state="hidden" r:id="rId21"/>
    <sheet name="Additional Chemicals" sheetId="22" r:id="rId22"/>
    <sheet name="Additional Chemicals-WUO_ERR" sheetId="23" state="hidden" r:id="rId23"/>
    <sheet name="Additional Chemicals-WUO_TRK" sheetId="24" state="hidden" r:id="rId24"/>
    <sheet name="Valid Values" sheetId="25" r:id="rId25"/>
  </sheets>
  <definedNames>
    <definedName name="_xlnm._FilterDatabase" localSheetId="24" hidden="1">'Error Summary'!$A$2:$H$2</definedName>
    <definedName name="allowed182152">'Valid Values'!$R$2:$R$27</definedName>
    <definedName name="allowed237073">'Valid Values'!$AD$2:$AD$3</definedName>
    <definedName name="allowed237291">'Valid Values'!$BE$2:$BE$3</definedName>
    <definedName name="allowed239196">'Valid Values'!$AQ$2:$AQ$3</definedName>
    <definedName name="allowed244672">'Valid Values'!$S$2:$S$6</definedName>
    <definedName name="allowed245842">'Valid Values'!$AP$2:$AP$6</definedName>
    <definedName name="allowed251777">'Valid Values'!$AE$2:$AE$5</definedName>
    <definedName name="allowed251781">'Valid Values'!$BF$2:$BF$5</definedName>
    <definedName name="allowed299896">'Valid Values'!$T$2:$T$8</definedName>
    <definedName name="allowed300640">'Valid Values'!$Y$2:$Y$179</definedName>
    <definedName name="allowed300666">'Valid Values'!$AX$2:$AX$179</definedName>
    <definedName name="allowed302380">'Valid Values'!$AW$2:$AW$564</definedName>
    <definedName name="allowed333897">'Valid Values'!$BC$2:$BC$26</definedName>
    <definedName name="allowed336807">'Valid Values'!$U$2:$U$20</definedName>
    <definedName name="allowed336816">'Valid Values'!$AR$2:$AR$12</definedName>
    <definedName name="allowed364166">'Valid Values'!$AS$2:$AS$312</definedName>
    <definedName name="allowed371810">'Valid Values'!$AT$2:$AT$36</definedName>
    <definedName name="allowed371902">'Valid Values'!$V$2:$V$28</definedName>
    <definedName name="allowed379963">'Valid Values'!$AU$2:$AU$21</definedName>
    <definedName name="allowed380379">'Valid Values'!$W$2:$W$21</definedName>
    <definedName name="allowed381985">'Valid Values'!$AV$2:$AV$70</definedName>
    <definedName name="allowed386214">'Valid Values'!$AF$2:$AF$4</definedName>
    <definedName name="allowed409341">'Valid Values'!$AB$2:$AB$26</definedName>
    <definedName name="allowed421593">'Valid Values'!$X$2:$X$5</definedName>
    <definedName name="allowed435493">'Valid Values'!$Z$2:$Z$9</definedName>
    <definedName name="allowed435497">'Valid Values'!$AY$2:$AY$4</definedName>
    <definedName name="allowed436381">'Valid Values'!$AZ$2:$AZ$16</definedName>
    <definedName name="allowed437136">'Valid Values'!$BA$2:$BA$16</definedName>
    <definedName name="allowed437142">'Valid Values'!$AA$2:$AA$16</definedName>
    <definedName name="allowed486624">'Valid Values'!$BD$2:$BD$3</definedName>
    <definedName name="allowed486754">'Valid Values'!$AC$2:$AC$3</definedName>
    <definedName name="allowed487304">'Valid Values'!$BB$2:$BB$12</definedName>
    <definedName name="allowed71859">'Valid Values'!$L$2:$L$15</definedName>
    <definedName name="allowed71862">'Valid Values'!$M$2:$M$33</definedName>
    <definedName name="allowed71864">'Valid Values'!$N$2:$N$11</definedName>
    <definedName name="allowed71866">'Valid Values'!$O$2:$O$222</definedName>
    <definedName name="allowed71880">'Valid Values'!$P$2:$P$27</definedName>
    <definedName name="allowed71893">'Valid Values'!$Q$2:$Q$30</definedName>
    <definedName name="allowed83610">'Valid Values'!$AJ$2:$AJ$9</definedName>
    <definedName name="allowed83613">'Valid Values'!$AK$2:$AK$40</definedName>
    <definedName name="allowed83614">'Valid Values'!$AL$2:$AL$7</definedName>
    <definedName name="allowed83631">'Valid Values'!$AM$2:$AM$6</definedName>
    <definedName name="allowed83632">'Valid Values'!$AN$2:$AN$6</definedName>
    <definedName name="allowed83633">'Valid Values'!$AO$2:$AO$6</definedName>
    <definedName name="allowedcore__manufacturerId">'Valid Values'!$A$2:$A$2</definedName>
    <definedName name="allowedmedia__documentType">'Valid Values'!$I$2:$I$16</definedName>
    <definedName name="allowedmedia__legalDocumentType">'Valid Values'!$J$2:$J$519</definedName>
    <definedName name="allowedmedia__regionType">'Valid Values'!$K$2:$K$5</definedName>
    <definedName name="allowedpropSixtyFive__chemicalId">'Valid Values'!$AG$2:$AG$902</definedName>
    <definedName name="allowedpropSixtyFive__countryOfManufacturer">'Valid Values'!$AI$2:$AI$248</definedName>
    <definedName name="allowedpropSixtyFive__toxicity">'Valid Values'!$AH$2:$AH$3</definedName>
    <definedName name="allowedshippingAndFulfillment__freightClass">'Valid Values'!$F$2:$F$19</definedName>
    <definedName name="allowedshippingAndFulfillment__leadTime">'Valid Values'!$G$2:$G$18</definedName>
    <definedName name="allowedshippingAndFulfillment__replacementLeadTime">'Valid Values'!$H$2:$H$7</definedName>
    <definedName name="allowedshippingAndFulfillment__shipType">'Valid Values'!$E$2:$E$3</definedName>
    <definedName name="allowedvariantGrouping__variantGrouping">'Valid Values'!$C$2:$C$3</definedName>
    <definedName name="allowedvariantGrouping__variantGrouping">'Valid Values'!$D$2:$D$4</definedName>
    <definedName name="allowedvariantGrouping__variantType">'Valid Values'!$B$2:$B$4</definedName>
    <definedName name="Class3757Answers">'3757 - Wall Stickers'!$B$8:$CP$507</definedName>
    <definedName name="Class3757Errors">'3757 - Wall Stickers-WUO_ERR'!$B$8:$CP$507</definedName>
    <definedName name="Class3757Headers">'3757 - Wall Stickers'!$B$4:$CP$4</definedName>
    <definedName name="Class3757Tracker">'3757 - Wall Stickers-WUO_TRK'!$B$8:$CP$507</definedName>
    <definedName name="Class6161Answers">'6161 - Wallpaper'!$B$8:$CT$507</definedName>
    <definedName name="Class6161Errors">'6161 - Wallpaper-WUO_ERR'!$B$8:$CT$507</definedName>
    <definedName name="Class6161Headers">'6161 - Wallpaper'!$B$4:$CT$4</definedName>
    <definedName name="Class6161Tracker">'6161 - Wallpaper-WUO_TRK'!$B$8:$CT$507</definedName>
    <definedName name="GetErrorQuestionDisplayNames">_xlfn.LAMBDA(_xlpm.headers,_xlpm.tracker,_xlpm.errors,   _xlfn.LET(     _xlpm.colSeq, _xlfn.SEQUENCE(1, COLUMNS(_xlpm.tracker)),     _xlpm.colMatrix, _xlfn.MAKEARRAY(ROWS(_xlpm.tracker), COLUMNS(_xlpm.tracker), _xlfn.LAMBDA(_xlpm.r,_xlpm.c, INDEX(_xlpm.colSeq, 1, _xlpm.c))),     _xlpm.filteredCols, _xlfn._xlws.FILTER(       _xlfn.TOCOL(_xlpm.colMatrix),       _xlfn.TOCOL((_xlpm.errors &lt;&gt; "") * (_xlpm.tracker &lt;&gt; "Valid") * (_xlpm.tracker &lt;&gt; "Disabled")),       "QUESTION_PLACEHOLDER"     ),     IF(       AND(ROWS(_xlpm.filteredCols)*COLUMNS(_xlpm.filteredCols)=1, INDEX(_xlpm.filteredCols,1,1)="QUESTION_PLACEHOLDER"),       "",       _xlfn.LET(         _xlpm.cleanColNums, _xlfn.TOCOL(_xlpm.filteredCols, 2),         _xlpm.rawHeaders, INDEX(_xlpm.headers, 1, _xlpm.cleanColNums),         IFERROR(IF(_xlpm.rawHeaders = "", "", _xlpm.rawHeaders), "")       )     )   ) )</definedName>
    <definedName name="GetFilteredProvidedAnswers">_xlfn.LAMBDA(_xlpm.answers,_xlpm.errors,_xlpm.tracker,     _xlfn.LET( _xlpm.filtered, _xlfn._xlws.FILTER(_xlfn.TOCOL(_xlpm.answers), _xlfn.TOCOL((_xlpm.errors &lt;&gt; "") * (_xlpm.tracker &lt;&gt; "Valid") * (_xlpm.tracker &lt;&gt; "Disabled")), "EMPTY_FILTER_PLACEHOLDER"),   _xlpm.final, IF(ROWS(_xlpm.filtered)*COLUMNS(_xlpm.filtered)=1, IF(INDEX(_xlpm.filtered,1,1)="EMPTY_FILTER_PLACEHOLDER", "EMPTY_ERROR", _xlpm.filtered), _xlpm.filtered), _xlpm.result, IF( _xlpm.final="EMPTY_ERROR", "EMPTY_ERROR",  IFERROR(IF(_xlpm.final="", "", _xlpm.final), "EMPTY_ERROR") ),         _xlpm.result     ) )</definedName>
    <definedName name="GetSheetLocationAddresses">_xlfn.LAMBDA(_xlpm.tracker,_xlpm.errors,   _xlfn.LET(     _xlpm.filterCondition, _xlfn.TOCOL((_xlpm.errors &lt;&gt; "") * (_xlpm.tracker &lt;&gt; "Valid") * (_xlpm.tracker &lt;&gt; "Disabled")),     _xlfn._xlws.FILTER(       _xlfn.TOCOL(ADDRESS(_xlfn.SEQUENCE(ROWS(_xlpm.tracker), 1, 8), _xlfn.SEQUENCE(1, COLUMNS(_xlpm.tracker), 2), 4), 2),       _xlpm.filterCondition, ""     )   ) )</definedName>
    <definedName name="GetSheetNameData">_xlfn.LAMBDA(_xlpm.tracker,_xlpm.errors,_xlpm.sheetTitle,   _xlfn.LET(     _xlpm.filterCondition, _xlfn.TOCOL((_xlpm.errors &lt;&gt; "") * (_xlpm.tracker &lt;&gt; "Valid") * (_xlpm.tracker &lt;&gt; "Disabled")),     _xlpm.filteredData, _xlfn._xlws.FILTER(_xlfn.TOCOL(_xlpm.tracker), _xlpm.filterCondition, ""),     IF(_xlpm.filteredData&lt;&gt;"", _xlpm.sheetTitle, "")   ) )</definedName>
    <definedName name="GetSheetProductNames">_xlfn.LAMBDA(_xlpm.tracker,_xlpm.errors,_xlpm.sheetRef,   _xlfn.LET(     _xlpm.filterCondition, _xlfn.TOCOL((_xlpm.errors &lt;&gt; "") * (_xlpm.tracker &lt;&gt; "Valid") * (_xlpm.tracker &lt;&gt; "Disabled")),     _xlpm.rowNumbers, _xlfn._xlws.FILTER(       _xlfn.TOCOL(ROW(_xlpm.tracker) * (COLUMN(_xlpm.tracker) / COLUMN(_xlpm.tracker)), 2),       _xlpm.filterCondition, ""     ),     IF(AND(ROWS(_xlpm.rowNumbers)*COLUMNS(_xlpm.rowNumbers)=1, _xlpm.rowNumbers=""),       "EMPTY_ERROR",       _xlfn.LET(         _xlpm.rawVals, INDEX(_xlpm.sheetRef, _xlpm.rowNumbers),         IFERROR(IF(_xlpm.rawVals = "", "", _xlpm.rawVals), "EMPTY_ERROR")       )     )   ) )</definedName>
    <definedName name="GetSheetStatusData">_xlfn.LAMBDA(_xlpm.tracker,_xlpm.errors,   _xlfn.LET(     _xlpm.filterCondition, _xlfn.TOCOL((_xlpm.errors &lt;&gt; "") * (_xlpm.tracker &lt;&gt; "Valid") * (_xlpm.tracker &lt;&gt; "Disabled")),     _xlfn._xlws.FILTER(_xlfn.TOCOL(_xlpm.tracker), _xlpm.filterCondition, "")   ) )</definedName>
    <definedName name="GetSheetSupplierPartNumbers">_xlfn.LAMBDA(_xlpm.tracker,_xlpm.errors,_xlpm.sheetRef,   _xlfn.LET(     _xlpm.filterCondition, _xlfn.TOCOL((_xlpm.errors &lt;&gt; "") * (_xlpm.tracker &lt;&gt; "Valid") * (_xlpm.tracker &lt;&gt; "Disabled")),     _xlpm.rowNumbers, _xlfn._xlws.FILTER(       _xlfn.TOCOL(ROW(_xlpm.tracker) * (COLUMN(_xlpm.tracker) / COLUMN(_xlpm.tracker)), 2),       _xlpm.filterCondition, ""     ),     IF(AND(ROWS(_xlpm.rowNumbers)*COLUMNS(_xlpm.rowNumbers)=1, _xlpm.rowNumbers=""),       "",       _xlfn.LET(         _xlpm.rawVals, INDEX(_xlpm.sheetRef, _xlpm.rowNumbers),         IFERROR(IF(_xlpm.rawVals = "", "", _xlpm.rawVals), "")       )     )   ) )</definedName>
    <definedName name="media__documentsAnswers">'Additional Documents'!$B$7:$G$507</definedName>
    <definedName name="media__documentsErrors">'Additional Documents-WUO_ERR'!$B$7:$G$507</definedName>
    <definedName name="media__documentsHeaders">'Additional Documents'!$B$4:$G$4</definedName>
    <definedName name="media__documentsTracker">'Additional Documents-WUO_TRK'!$B$7:$G$507</definedName>
    <definedName name="media__imagesAnswers">'Additional Images'!$B$7:$D$507</definedName>
    <definedName name="media__imagesErrors">'Additional Images-WUO_ERR'!$B$7:$D$507</definedName>
    <definedName name="media__imagesHeaders">'Additional Images'!$B$4:$D$4</definedName>
    <definedName name="media__imagesTracker">'Additional Images-WUO_TRK'!$B$7:$D$507</definedName>
    <definedName name="media__videosAnswers">'Additional Videos'!$B$7:$D$507</definedName>
    <definedName name="media__videosErrors">'Additional Videos-WUO_ERR'!$B$7:$D$507</definedName>
    <definedName name="media__videosHeaders">'Additional Videos'!$B$4:$D$4</definedName>
    <definedName name="media__videosTracker">'Additional Videos-WUO_TRK'!$B$7:$D$507</definedName>
    <definedName name="propSixtyFive__chemicalsAnswers">'Additional Chemicals'!$B$7:$E$507</definedName>
    <definedName name="propSixtyFive__chemicalsErrors">'Additional Chemicals-WUO_ERR'!$B$7:$E$507</definedName>
    <definedName name="propSixtyFive__chemicalsHeaders">'Additional Chemicals'!$B$4:$E$4</definedName>
    <definedName name="propSixtyFive__chemicalsTracker">'Additional Chemicals-WUO_TRK'!$B$7:$E$507</definedName>
    <definedName name="shippingAndFulfillment__cartonsAnswers">'Additional Cartons'!$B$7:$G$507</definedName>
    <definedName name="shippingAndFulfillment__cartonsErrors">'Additional Cartons-WUO_ERR'!$B$7:$G$507</definedName>
    <definedName name="shippingAndFulfillment__cartonsHeaders">'Additional Cartons'!$B$4:$G$4</definedName>
    <definedName name="shippingAndFulfillment__cartonsTracker">'Additional Cartons-WUO_TRK'!$B$7:$G$507</definedName>
  </definedNames>
  <calcPr calcId="124519" fullCalcOnLoad="1"/>
</workbook>
</file>

<file path=xl/comments1.xml><?xml version="1.0" encoding="utf-8"?>
<comments xmlns="http://schemas.openxmlformats.org/spreadsheetml/2006/main">
  <authors>
    <author>wayfair</author>
  </authors>
  <commentList>
    <comment ref="B7" authorId="0">
      <text>
        <r>
          <rPr>
            <sz val="8"/>
            <color indexed="81"/>
            <rFont val="Tahoma"/>
            <family val="2"/>
          </rPr>
          <t>If all of your products have the same answer to a question, you can set a default value. Any answer you enter in Row 7 will be applied to all of your product in this class automatically.</t>
        </r>
      </text>
    </comment>
  </commentList>
</comments>
</file>

<file path=xl/comments2.xml><?xml version="1.0" encoding="utf-8"?>
<comments xmlns="http://schemas.openxmlformats.org/spreadsheetml/2006/main">
  <authors>
    <author>wayfair</author>
  </authors>
  <commentList>
    <comment ref="B7" authorId="0">
      <text>
        <r>
          <rPr>
            <sz val="8"/>
            <color indexed="81"/>
            <rFont val="Tahoma"/>
            <family val="2"/>
          </rPr>
          <t>If all of your products have the same answer to a question, you can set a default value. Any answer you enter in Row 7 will be applied to all of your product in this class automatically.</t>
        </r>
      </text>
    </comment>
  </commentList>
</comments>
</file>

<file path=xl/comments3.xml><?xml version="1.0" encoding="utf-8"?>
<comments xmlns="http://schemas.openxmlformats.org/spreadsheetml/2006/main">
  <authors>
    <author>wayfair</author>
  </authors>
  <commentList>
    <comment ref="B7" authorId="0">
      <text>
        <r>
          <rPr>
            <sz val="8"/>
            <color indexed="81"/>
            <rFont val="Tahoma"/>
            <family val="2"/>
          </rPr>
          <t>If all of your products have the same answer to a question, you can set a default value. Any answer you enter in Row 7 will be applied to all of your product in this class automatically.</t>
        </r>
      </text>
    </comment>
  </commentList>
</comments>
</file>

<file path=xl/comments4.xml><?xml version="1.0" encoding="utf-8"?>
<comments xmlns="http://schemas.openxmlformats.org/spreadsheetml/2006/main">
  <authors>
    <author>wayfair</author>
  </authors>
  <commentList>
    <comment ref="B7" authorId="0">
      <text>
        <r>
          <rPr>
            <sz val="8"/>
            <color indexed="81"/>
            <rFont val="Tahoma"/>
            <family val="2"/>
          </rPr>
          <t>If all of your products have the same answer to a question, you can set a default value. Any answer you enter in Row 7 will be applied to all of your product in this class automatically.</t>
        </r>
      </text>
    </comment>
  </commentList>
</comments>
</file>

<file path=xl/comments5.xml><?xml version="1.0" encoding="utf-8"?>
<comments xmlns="http://schemas.openxmlformats.org/spreadsheetml/2006/main">
  <authors>
    <author>wayfair</author>
  </authors>
  <commentList>
    <comment ref="B7" authorId="0">
      <text>
        <r>
          <rPr>
            <sz val="8"/>
            <color indexed="81"/>
            <rFont val="Tahoma"/>
            <family val="2"/>
          </rPr>
          <t>If all of your products have the same answer to a question, you can set a default value. Any answer you enter in Row 7 will be applied to all of your product in this class automatically.</t>
        </r>
      </text>
    </comment>
  </commentList>
</comments>
</file>

<file path=xl/comments6.xml><?xml version="1.0" encoding="utf-8"?>
<comments xmlns="http://schemas.openxmlformats.org/spreadsheetml/2006/main">
  <authors>
    <author>wayfair</author>
  </authors>
  <commentList>
    <comment ref="B7" authorId="0">
      <text>
        <r>
          <rPr>
            <sz val="8"/>
            <color indexed="81"/>
            <rFont val="Tahoma"/>
            <family val="2"/>
          </rPr>
          <t>If all of your products have the same answer to a question, you can set a default value. Any answer you enter in Row 7 will be applied to all of your product in this class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<sst xmlns="http://schemas.openxmlformats.org/spreadsheetml/2006/main" count="9738" uniqueCount="4707">
  <si>
    <t>New Features</t>
  </si>
  <si>
    <t>Variant Grouping</t>
  </si>
  <si>
    <t>If you have indicated that you will provide variant grouping data via template settings, additional columns for variant grouping information have been added to the class</t>
  </si>
  <si>
    <t>sheet. Enter a common identifier to indicate which part numbers should be grouped together, select attribute(s) to group variants by (or enter custom category if</t>
  </si>
  <si>
    <t>desired category is not included in the dropdown), and provide corresponding variant attribute. Groupings that violate Wayfair's Do Not Join rules will be excluded.</t>
  </si>
  <si>
    <t>If Wayfair detects additional variants, products will be grouped further after submission.</t>
  </si>
  <si>
    <t>Class Sheet Instructions</t>
  </si>
  <si>
    <t>Conditional Formatting</t>
  </si>
  <si>
    <t>Some answers to questions on the spec sheet are dependent on upstream responses, whether they are related to attributes like material type, existence of features</t>
  </si>
  <si>
    <t>or compliance. Real-time cell coloring per the legend indicates whether an input is required, has an error or has a conditional rule applied.</t>
  </si>
  <si>
    <t>Error Guidance</t>
  </si>
  <si>
    <t>Errors are highlighted on the Error Summary Tab which shows a summary of all errors across all sheets with high level details and hyperlinks to the corresponding</t>
  </si>
  <si>
    <t>cell where the error occurred. Additionally, a new Error Status Column at the beginning of each class sheet will show the status of each row and will display the first error</t>
  </si>
  <si>
    <t>error message in that row, and will update as errors are resolved from left to right.</t>
  </si>
  <si>
    <t>All data provided in the class sheet feeds directly to the customer-facing Product Details Page (PDP), optimizes search and enables order fulfillment. Please ensure the</t>
  </si>
  <si>
    <t>data provided is accurate and as detailed as possible.</t>
  </si>
  <si>
    <t>Notes:</t>
  </si>
  <si>
    <t xml:space="preserve">  •  Column headers provide additional information on the data required for each column.</t>
  </si>
  <si>
    <t xml:space="preserve">  •  Completing Recommended and Additional fields further enhances the customer experience and improves the quality of listings for better product discovery.</t>
  </si>
  <si>
    <t xml:space="preserve">  •  Marketing Copy should provide a compelling, informative overview of the product, ensuring it effectively highlights key features, benefits, and use cases.</t>
  </si>
  <si>
    <t xml:space="preserve">       Incorporating comprehensive, descriptive language will enable future enhancements for capturing and improving product tagging.</t>
  </si>
  <si>
    <t xml:space="preserve">       ◦  Provide key selling point(s)/feature(s) that differentiate your product and inform customers about your product and encourage purchase.</t>
  </si>
  <si>
    <t xml:space="preserve">       ◦  Either Marketing Copy OR at least 3 Feature Bullets are required. Feature bullets will be displayed on Wayfair PDP in bulleted form.</t>
  </si>
  <si>
    <t xml:space="preserve">  •  The order in which media is input may not be reflected in order of imagery on the product page.</t>
  </si>
  <si>
    <t xml:space="preserve">  •  If all products in a class have the same answer to a question, a default value can be set. An answer entered in the Default Answer row will be applied to all products</t>
  </si>
  <si>
    <t xml:space="preserve">      in that class automatically. Additional products added to this class in the future will have the same default value applied as well. For any products that have a</t>
  </si>
  <si>
    <t xml:space="preserve">      different answer than others in the class, enter the answer manually to the applicable row to bypass the default just for that question and product.</t>
  </si>
  <si>
    <t>Additional Tabs Instructions</t>
  </si>
  <si>
    <t>Additional Cartons</t>
  </si>
  <si>
    <t>If a product ships in more than 5 cartons, use the Additional Cartons tab to submit data for cartons 6 and beyond. To add additional cartons, provide the Supplier Part</t>
  </si>
  <si>
    <t>Number followed by corresponding data for each carton.</t>
  </si>
  <si>
    <t>Additional Chemicals</t>
  </si>
  <si>
    <t>If your product contains more than 5 chemicals that need to be reported for Proposition 65, use the Additional Chemicals tab to add additional data.</t>
  </si>
  <si>
    <t>Additional Media</t>
  </si>
  <si>
    <t>If a product has more media files than there are columns for in the class sheet, use the Additional Images, Videos or Documents tabs to add additional data.</t>
  </si>
  <si>
    <t xml:space="preserve">  •  A maximum of 3 videos can be shown on a product display page in the media tray. Additional videos can be showcased within Waymore content.</t>
  </si>
  <si>
    <t>Valid Values</t>
  </si>
  <si>
    <t>The Valid Values tab shows all acceptable answers to single- and multi-select questions. Hyperlinks below each column header will bring you to the corresponding</t>
  </si>
  <si>
    <t>values list on this tab.</t>
  </si>
  <si>
    <t>Failed Products</t>
  </si>
  <si>
    <t>The Failed Products tab will only show if products in your template failed to upload. These products will need to be added to a new template and uploaded again.</t>
  </si>
  <si>
    <t>For Mandarin translations of product questions, please click here. All answer inputs should still be provided in English.
点击此处查看所有产品相关问题的中文翻译。</t>
  </si>
  <si>
    <t>Legends</t>
  </si>
  <si>
    <t>Cell Fill Colors</t>
  </si>
  <si>
    <t>Light Red</t>
  </si>
  <si>
    <t>Missing required data</t>
  </si>
  <si>
    <t>Gray</t>
  </si>
  <si>
    <t>Not required/will be autofilled*</t>
  </si>
  <si>
    <t>Red</t>
  </si>
  <si>
    <t>Error/incorrect answer</t>
  </si>
  <si>
    <t>Blue</t>
  </si>
  <si>
    <t>Autofill suggested by Wayfair (review needed)</t>
  </si>
  <si>
    <t>Yellow</t>
  </si>
  <si>
    <t>Warning</t>
  </si>
  <si>
    <t>No fill</t>
  </si>
  <si>
    <t>Validated/no action required</t>
  </si>
  <si>
    <t>* For products that have already been submitted, the entire row will be filled gray and cannot be edited further</t>
  </si>
  <si>
    <t>Data Priority</t>
  </si>
  <si>
    <t>Required</t>
  </si>
  <si>
    <t>Data required for product to be live on site</t>
  </si>
  <si>
    <t>Recommended</t>
  </si>
  <si>
    <t>Not required but recommended to improve search and browse</t>
  </si>
  <si>
    <t>Additional</t>
  </si>
  <si>
    <t>Optional but enhances listings for customers</t>
  </si>
  <si>
    <t>Conditional</t>
  </si>
  <si>
    <t>Data may be required based on prior responses</t>
  </si>
  <si>
    <t>Data Type</t>
  </si>
  <si>
    <t>Text</t>
  </si>
  <si>
    <t>Enter a text-based response</t>
  </si>
  <si>
    <t>Single-Select</t>
  </si>
  <si>
    <t>Select one option from a list of provided options (listed in a dropdown on the cell)</t>
  </si>
  <si>
    <t>Multi-Select</t>
  </si>
  <si>
    <t>Enter one or more options from a list of provided options, separated using a semi-colon (;)</t>
  </si>
  <si>
    <t>Number*</t>
  </si>
  <si>
    <t>Enter a decimal numeric response with up to 2 decimal points</t>
  </si>
  <si>
    <t>Whole Number*</t>
  </si>
  <si>
    <t>Enter an integer (whole number) numeric response</t>
  </si>
  <si>
    <t>Yes or No</t>
  </si>
  <si>
    <t>Enter a Yes, No or Does Not Apply response (listed in a dropdown on the cell)</t>
  </si>
  <si>
    <t>* Does Not Apply is a valid response when applicable</t>
  </si>
  <si>
    <t>{"brand_catalog_id": 1, "previous_upload_id": null, "template_type": "DEFAULT_QUESTIONS", "supplier_id": 65183, "template_context": "STANDARD", "app_version": "v2", "product_count": 0, "default_answers_included": true, "default_answers_supported": true, "use_legacy_excel_format": false, "include_variant_grouping": true, "download_template_request_id": "c9f0b0d5-3c1a-4cfd-82e4-6c73e39ad77e", "sheet_metadata": null, "locale": "en-US", "schema_version_id": 7}</t>
  </si>
  <si>
    <t>Carts &amp; Stands</t>
  </si>
  <si>
    <t>Multimedia Storage</t>
  </si>
  <si>
    <t>Speaker Stands</t>
  </si>
  <si>
    <t>TV Stands &amp; Entertainment Centers</t>
  </si>
  <si>
    <t>Audio Towers</t>
  </si>
  <si>
    <t>Office Chairs</t>
  </si>
  <si>
    <t>Beds</t>
  </si>
  <si>
    <t>Dressers &amp; Chests</t>
  </si>
  <si>
    <t>Nightstands</t>
  </si>
  <si>
    <t>Armoires &amp; Wardrobes</t>
  </si>
  <si>
    <t>Daybeds &amp; Guest Beds</t>
  </si>
  <si>
    <t>Headboards</t>
  </si>
  <si>
    <t>Bedroom Sets</t>
  </si>
  <si>
    <t>Easels</t>
  </si>
  <si>
    <t>Display Cases</t>
  </si>
  <si>
    <t>Lockers</t>
  </si>
  <si>
    <t>Lecterns &amp; Podiums</t>
  </si>
  <si>
    <t>Desks</t>
  </si>
  <si>
    <t>Literature Racks</t>
  </si>
  <si>
    <t>Filing Cabinets</t>
  </si>
  <si>
    <t>Bookcases</t>
  </si>
  <si>
    <t>Classroom Chairs</t>
  </si>
  <si>
    <t>Wall &amp; Accent Mirrors</t>
  </si>
  <si>
    <t>Office Stools</t>
  </si>
  <si>
    <t>Office Sets</t>
  </si>
  <si>
    <t>Stackable &amp; Nesting Chairs</t>
  </si>
  <si>
    <t>Futon Mattresses</t>
  </si>
  <si>
    <t>Pot Racks</t>
  </si>
  <si>
    <t>Plant Stands &amp; Tables</t>
  </si>
  <si>
    <t>Accent Chairs</t>
  </si>
  <si>
    <t>Kitchen Islands</t>
  </si>
  <si>
    <t>Baker's Racks</t>
  </si>
  <si>
    <t>Wine Racks</t>
  </si>
  <si>
    <t>Bar Stools</t>
  </si>
  <si>
    <t>Mantel &amp; Tabletop Clocks</t>
  </si>
  <si>
    <t>Grandfather Clocks / Floor Clocks</t>
  </si>
  <si>
    <t>Conference Tables</t>
  </si>
  <si>
    <t>Folding Tables</t>
  </si>
  <si>
    <t>Coat Racks and Hooks</t>
  </si>
  <si>
    <t>Cafeteria Tables</t>
  </si>
  <si>
    <t>Bars &amp; Bar Sets</t>
  </si>
  <si>
    <t>Electric &amp; Alternative Fuel Fireplaces</t>
  </si>
  <si>
    <t>Portable Tool Storage</t>
  </si>
  <si>
    <t>Patio Tables</t>
  </si>
  <si>
    <t>Projector Screens and Accessories</t>
  </si>
  <si>
    <t>Specialty Filing &amp; Filing Accessories</t>
  </si>
  <si>
    <t>Safes</t>
  </si>
  <si>
    <t>Office Storage Cabinets</t>
  </si>
  <si>
    <t>Patio Sofas</t>
  </si>
  <si>
    <t>Patio Chaise Lounges</t>
  </si>
  <si>
    <t>Patio Umbrellas</t>
  </si>
  <si>
    <t>Patio Dining Sets</t>
  </si>
  <si>
    <t>Outdoor Conversation Sets</t>
  </si>
  <si>
    <t>Shelving &amp; Racks</t>
  </si>
  <si>
    <t>Tool Cabinets</t>
  </si>
  <si>
    <t>Dining Table Sets</t>
  </si>
  <si>
    <t>Dining Tables</t>
  </si>
  <si>
    <t>Vanities</t>
  </si>
  <si>
    <t>Bean Bags</t>
  </si>
  <si>
    <t>Accent Chests / Cabinets</t>
  </si>
  <si>
    <t>Classic Game Tables &amp; Puzzle Tables</t>
  </si>
  <si>
    <t>Sideboards &amp; Buffets</t>
  </si>
  <si>
    <t>Hammocks</t>
  </si>
  <si>
    <t>Area Rugs</t>
  </si>
  <si>
    <t>Dining Chairs</t>
  </si>
  <si>
    <t>China Cabinets</t>
  </si>
  <si>
    <t>Hall Trees</t>
  </si>
  <si>
    <t>Porch Swings</t>
  </si>
  <si>
    <t>Jewelry Armoires</t>
  </si>
  <si>
    <t>Fountains</t>
  </si>
  <si>
    <t>Lighting Shades</t>
  </si>
  <si>
    <t>Fireplace Accessories</t>
  </si>
  <si>
    <t>Blanket Racks &amp; Ladders</t>
  </si>
  <si>
    <t>TV Trays</t>
  </si>
  <si>
    <t>Cutting Boards</t>
  </si>
  <si>
    <t>Rug Pads</t>
  </si>
  <si>
    <t>Folding Chairs</t>
  </si>
  <si>
    <t>Night Lights</t>
  </si>
  <si>
    <t>Changing Tables</t>
  </si>
  <si>
    <t>Dollies</t>
  </si>
  <si>
    <t>Patio Bar Sets</t>
  </si>
  <si>
    <t>Ceiling Fans</t>
  </si>
  <si>
    <t>Patio Umbrella Accessories</t>
  </si>
  <si>
    <t>Gliders</t>
  </si>
  <si>
    <t>Mattress Toppers and Pads</t>
  </si>
  <si>
    <t>TV Stand Accessories</t>
  </si>
  <si>
    <t>Furniture Covers</t>
  </si>
  <si>
    <t>Mount Accessories</t>
  </si>
  <si>
    <t>Room Dividers</t>
  </si>
  <si>
    <t>Bird Baths</t>
  </si>
  <si>
    <t>Bird Feeders</t>
  </si>
  <si>
    <t>Benches</t>
  </si>
  <si>
    <t>Recessed Lighting Housing</t>
  </si>
  <si>
    <t>Lighting Accessories</t>
  </si>
  <si>
    <t>Classroom Desks</t>
  </si>
  <si>
    <t>Stages, Risers and Accessories</t>
  </si>
  <si>
    <t>Rocking Chairs</t>
  </si>
  <si>
    <t>Office Partitions</t>
  </si>
  <si>
    <t>Furniture Cushions</t>
  </si>
  <si>
    <t>Accent Stools</t>
  </si>
  <si>
    <t>Locker Room Benches</t>
  </si>
  <si>
    <t>Living Room Sets</t>
  </si>
  <si>
    <t>Sofas</t>
  </si>
  <si>
    <t>Sectionals</t>
  </si>
  <si>
    <t>Ottomans</t>
  </si>
  <si>
    <t>Listening Centers</t>
  </si>
  <si>
    <t>Outdoor Fireplaces</t>
  </si>
  <si>
    <t>Projectors</t>
  </si>
  <si>
    <t>Light Bulbs</t>
  </si>
  <si>
    <t>Patio Ottomans</t>
  </si>
  <si>
    <t>Planters</t>
  </si>
  <si>
    <t>Toy Boxes and Organizers</t>
  </si>
  <si>
    <t>Rocking Horses</t>
  </si>
  <si>
    <t>Stair Treads</t>
  </si>
  <si>
    <t>Rug Care</t>
  </si>
  <si>
    <t>Kids Chairs</t>
  </si>
  <si>
    <t>Bath Accessories</t>
  </si>
  <si>
    <t>Storage Drawers</t>
  </si>
  <si>
    <t>Cribs</t>
  </si>
  <si>
    <t>Cable Management</t>
  </si>
  <si>
    <t>Locker Accessories</t>
  </si>
  <si>
    <t>Kids Tables and Sets</t>
  </si>
  <si>
    <t>Breakroom Tables</t>
  </si>
  <si>
    <t>Air Mattresses</t>
  </si>
  <si>
    <t>Board &amp; Easel Accessories</t>
  </si>
  <si>
    <t>Bassinets &amp; Cradles</t>
  </si>
  <si>
    <t>Patio Heaters</t>
  </si>
  <si>
    <t>Multi-Child Strollers</t>
  </si>
  <si>
    <t>Trellises</t>
  </si>
  <si>
    <t>Chairmats</t>
  </si>
  <si>
    <t>Dollhouses</t>
  </si>
  <si>
    <t>Mailroom Tables</t>
  </si>
  <si>
    <t>Maps &amp; Atlases</t>
  </si>
  <si>
    <t>Door Bells &amp; Chimes</t>
  </si>
  <si>
    <t>Coffee &amp; Cocktail Tables</t>
  </si>
  <si>
    <t>End Tables</t>
  </si>
  <si>
    <t>Sofa &amp; Console Tables</t>
  </si>
  <si>
    <t>Smoking Urns &amp; Ashtrays</t>
  </si>
  <si>
    <t>Portable Fans</t>
  </si>
  <si>
    <t>Living Room Table Sets</t>
  </si>
  <si>
    <t>Trash Cans &amp; Recycling</t>
  </si>
  <si>
    <t>Jewelry Boxes</t>
  </si>
  <si>
    <t>Massage Chairs</t>
  </si>
  <si>
    <t>Wall Mounted Shelves</t>
  </si>
  <si>
    <t>Home Theater Seating</t>
  </si>
  <si>
    <t>Sheds</t>
  </si>
  <si>
    <t>Trash Can Accessories</t>
  </si>
  <si>
    <t>Baby &amp; Kids Nap Mats and Playmats</t>
  </si>
  <si>
    <t>Ride-On Toys</t>
  </si>
  <si>
    <t>Classroom Storage</t>
  </si>
  <si>
    <t>Canopies</t>
  </si>
  <si>
    <t>Kids Bookcases</t>
  </si>
  <si>
    <t>Laundry Accessories &amp; Storage</t>
  </si>
  <si>
    <t>Vases, Urns, Jars, &amp; Bottles</t>
  </si>
  <si>
    <t>Greenhouses</t>
  </si>
  <si>
    <t>Greenhouse Accessories</t>
  </si>
  <si>
    <t>Shed Accessories</t>
  </si>
  <si>
    <t>Activity Tables</t>
  </si>
  <si>
    <t>Soft Play</t>
  </si>
  <si>
    <t>Mailboxes</t>
  </si>
  <si>
    <t>Mailbox Accessories</t>
  </si>
  <si>
    <t>Mailbox Posts &amp; Stands</t>
  </si>
  <si>
    <t>Address Plaques &amp; Lettering</t>
  </si>
  <si>
    <t>Banner Stands and Booth Displays</t>
  </si>
  <si>
    <t>Toilets</t>
  </si>
  <si>
    <t>Bathroom Sinks</t>
  </si>
  <si>
    <t>Tubs And Whirlpools</t>
  </si>
  <si>
    <t>Cart Accessories &amp; Parts</t>
  </si>
  <si>
    <t>Baking Sheets</t>
  </si>
  <si>
    <t>Pie Pans</t>
  </si>
  <si>
    <t>Cake Pans</t>
  </si>
  <si>
    <t>Fixture Parts And Components</t>
  </si>
  <si>
    <t>Garden Statues</t>
  </si>
  <si>
    <t>Patio Furniture Replacement Slings</t>
  </si>
  <si>
    <t>Vehicle Ports</t>
  </si>
  <si>
    <t>Drains</t>
  </si>
  <si>
    <t>Kitchen Sinks</t>
  </si>
  <si>
    <t>Medicine Cabinets</t>
  </si>
  <si>
    <t>Valves</t>
  </si>
  <si>
    <t>Kitchen Sink Accessories</t>
  </si>
  <si>
    <t>Salt And Pepper Shakers / Grinders (Mills)</t>
  </si>
  <si>
    <t>Blinds and Shades</t>
  </si>
  <si>
    <t>Picture Frames</t>
  </si>
  <si>
    <t>Safe Accessories</t>
  </si>
  <si>
    <t>Kitchen Faucets</t>
  </si>
  <si>
    <t>Bathroom Sink Faucets</t>
  </si>
  <si>
    <t>Range Hoods</t>
  </si>
  <si>
    <t>Science Tables</t>
  </si>
  <si>
    <t>Cooking Utensils</t>
  </si>
  <si>
    <t>Toilet Seats</t>
  </si>
  <si>
    <t>Birdhouses</t>
  </si>
  <si>
    <t>Coolers</t>
  </si>
  <si>
    <t>Play Kitchen Sets</t>
  </si>
  <si>
    <t>Cookware Sets</t>
  </si>
  <si>
    <t>Roasting Pans</t>
  </si>
  <si>
    <t>Bed Frames</t>
  </si>
  <si>
    <t>Saucepans And Sauciers</t>
  </si>
  <si>
    <t>Mobiles</t>
  </si>
  <si>
    <t>Stock Pots, Soup Pots and Multi-Pots</t>
  </si>
  <si>
    <t>Dutch Ovens &amp; Braisers</t>
  </si>
  <si>
    <t>Skillets &amp; Fry Pans</t>
  </si>
  <si>
    <t>Fondue Sets</t>
  </si>
  <si>
    <t>Dinnerware Sets &amp; Place Settings</t>
  </si>
  <si>
    <t>Waterbeds</t>
  </si>
  <si>
    <t>Waterbed Parts And Accessories</t>
  </si>
  <si>
    <t>Slipcovers</t>
  </si>
  <si>
    <t>Under Cabinet Lighting</t>
  </si>
  <si>
    <t>Bidet Faucets</t>
  </si>
  <si>
    <t>Recliners</t>
  </si>
  <si>
    <t>Specialty Faucets</t>
  </si>
  <si>
    <t>Urinals</t>
  </si>
  <si>
    <t>Bidets</t>
  </si>
  <si>
    <t>Blenders, Smoothie Makers &amp; Accessories</t>
  </si>
  <si>
    <t>Mixers &amp; Mixer Accessories</t>
  </si>
  <si>
    <t>Patio Umbrella Stands &amp; Bases</t>
  </si>
  <si>
    <t>Food Processors</t>
  </si>
  <si>
    <t>Ice Cream Makers &amp; Yogurt Makers</t>
  </si>
  <si>
    <t>Slow Cookers</t>
  </si>
  <si>
    <t>Food Dehydrators</t>
  </si>
  <si>
    <t>Vacuum Food Sealers</t>
  </si>
  <si>
    <t>Electric Grills &amp; Skillets</t>
  </si>
  <si>
    <t>Garbage Disposals</t>
  </si>
  <si>
    <t>Juicers</t>
  </si>
  <si>
    <t>Irons, Garment Steamers &amp; Hair Tools</t>
  </si>
  <si>
    <t>Strainers, Colanders, &amp; Salad Spinners</t>
  </si>
  <si>
    <t>Pasta Makers &amp; Accessories</t>
  </si>
  <si>
    <t>Can Openers</t>
  </si>
  <si>
    <t>Popcorn Machines / Nut Roasters</t>
  </si>
  <si>
    <t>Air Fryers</t>
  </si>
  <si>
    <t>Timers</t>
  </si>
  <si>
    <t>Burners &amp; Hot Plates</t>
  </si>
  <si>
    <t>Mops &amp; Mop Accessories</t>
  </si>
  <si>
    <t>Hammock Stands and Accessories</t>
  </si>
  <si>
    <t>Waffle, Pizzelle &amp; Crepe Makers</t>
  </si>
  <si>
    <t>Cradle &amp; Bassinet Bedding</t>
  </si>
  <si>
    <t>Toddler Bedding</t>
  </si>
  <si>
    <t>Crib Bedding Sets</t>
  </si>
  <si>
    <t>Training Tables</t>
  </si>
  <si>
    <t>Game Chairs</t>
  </si>
  <si>
    <t>Vacuums &amp; Steamers</t>
  </si>
  <si>
    <t>Ergonomic Accessories</t>
  </si>
  <si>
    <t>Crib Mattresses</t>
  </si>
  <si>
    <t>Drinking Fountains</t>
  </si>
  <si>
    <t>Utility Sinks</t>
  </si>
  <si>
    <t>Fountain Accessories</t>
  </si>
  <si>
    <t>Refrigerators</t>
  </si>
  <si>
    <t>Swing Sets &amp; Playgrounds</t>
  </si>
  <si>
    <t>Swing Set Accessories</t>
  </si>
  <si>
    <t>Toaster Ovens</t>
  </si>
  <si>
    <t>Slides</t>
  </si>
  <si>
    <t>Coffee Makers</t>
  </si>
  <si>
    <t>Indoor Gardening</t>
  </si>
  <si>
    <t>Wine Refrigerators</t>
  </si>
  <si>
    <t>Microwaves</t>
  </si>
  <si>
    <t>Cabinet Organization</t>
  </si>
  <si>
    <t>Teeter-Totters &amp; Seesaws</t>
  </si>
  <si>
    <t>Sandboxes &amp; Sand Toys</t>
  </si>
  <si>
    <t>Commercial Playground Equipment</t>
  </si>
  <si>
    <t>Indoor Chaise Lounges</t>
  </si>
  <si>
    <t>Espresso Machines</t>
  </si>
  <si>
    <t>Dog Beds &amp; Mats</t>
  </si>
  <si>
    <t>Open Stock Knives and Kitchen Scissors</t>
  </si>
  <si>
    <t>Flatware &amp; Silverware Single Pieces</t>
  </si>
  <si>
    <t>Vehicle Covers</t>
  </si>
  <si>
    <t>Desk Parts</t>
  </si>
  <si>
    <t>Safety Gates</t>
  </si>
  <si>
    <t>Steam</t>
  </si>
  <si>
    <t>Chocolate And Beverage Fountains</t>
  </si>
  <si>
    <t>Bread Machines</t>
  </si>
  <si>
    <t>Coffee Grinders</t>
  </si>
  <si>
    <t>Milk Frothers</t>
  </si>
  <si>
    <t>Coffee &amp; Espresso Accessories</t>
  </si>
  <si>
    <t>Snow Cone Machines &amp; Ice Crushers</t>
  </si>
  <si>
    <t>Garage Floors</t>
  </si>
  <si>
    <t>Futons</t>
  </si>
  <si>
    <t>Fire Pit &amp; Chiminea Accessories</t>
  </si>
  <si>
    <t>Knife Sharpeners</t>
  </si>
  <si>
    <t>Electric Knives</t>
  </si>
  <si>
    <t>Water Coolers &amp; Dispensers</t>
  </si>
  <si>
    <t>Kegerators</t>
  </si>
  <si>
    <t>Lids &amp; Covers</t>
  </si>
  <si>
    <t>Poachers</t>
  </si>
  <si>
    <t>Bar &amp; Wine Tools</t>
  </si>
  <si>
    <t>Space Heaters</t>
  </si>
  <si>
    <t>Christmas Trees</t>
  </si>
  <si>
    <t>Ornaments &amp; Tree Décor</t>
  </si>
  <si>
    <t>Outdoor Decorations</t>
  </si>
  <si>
    <t>Holiday Lighting</t>
  </si>
  <si>
    <t>Chafing Dishes &amp; Accessories</t>
  </si>
  <si>
    <t>Dog and Cat Bowls, Feeders &amp; Accessories</t>
  </si>
  <si>
    <t>Crates and Carriers</t>
  </si>
  <si>
    <t>Smokers</t>
  </si>
  <si>
    <t>Christmas Tree Stands &amp; Accessories</t>
  </si>
  <si>
    <t>Garlands &amp; Swag</t>
  </si>
  <si>
    <t>Woks</t>
  </si>
  <si>
    <t>Ranges</t>
  </si>
  <si>
    <t>Wall Ovens</t>
  </si>
  <si>
    <t>Cooktops</t>
  </si>
  <si>
    <t>Outdoor Sinks &amp; Bar Centers</t>
  </si>
  <si>
    <t>Pool Tables</t>
  </si>
  <si>
    <t>Space Heater Accessories</t>
  </si>
  <si>
    <t>Washing Machines</t>
  </si>
  <si>
    <t>Flatware &amp; Silverware Sets</t>
  </si>
  <si>
    <t>Trampolines</t>
  </si>
  <si>
    <t>Trampoline Accessories &amp; Parts</t>
  </si>
  <si>
    <t>Flatware &amp; Silverware Serving Pieces</t>
  </si>
  <si>
    <t>Picnic Baskets &amp; Coolers</t>
  </si>
  <si>
    <t>Poultry &amp; Meat Preparation Tools</t>
  </si>
  <si>
    <t>Slicers, Peelers And Graters</t>
  </si>
  <si>
    <t>Coasters &amp; Trivets</t>
  </si>
  <si>
    <t>Dartboards And Cabinets</t>
  </si>
  <si>
    <t>Dishwashers</t>
  </si>
  <si>
    <t>Kitchen Gadgets</t>
  </si>
  <si>
    <t>Pet Strollers</t>
  </si>
  <si>
    <t>Rolling Pins</t>
  </si>
  <si>
    <t>Dog Houses</t>
  </si>
  <si>
    <t>Coffee Servers, Airpots &amp; Carafes</t>
  </si>
  <si>
    <t>Stovetop &amp; Electric Tea Kettles</t>
  </si>
  <si>
    <t>Kids Beds</t>
  </si>
  <si>
    <t>Game Table Accessories</t>
  </si>
  <si>
    <t>Table Tennis Tables</t>
  </si>
  <si>
    <t>Sports Fan Shop Products</t>
  </si>
  <si>
    <t>Kids Wall Décor</t>
  </si>
  <si>
    <t>Hot / Cold Tea Accessories</t>
  </si>
  <si>
    <t>Cat Condos &amp; Cat Trees</t>
  </si>
  <si>
    <t>Cabinet and Drawer Pulls</t>
  </si>
  <si>
    <t>Dryers</t>
  </si>
  <si>
    <t>Lawn Games</t>
  </si>
  <si>
    <t>Bird Cages</t>
  </si>
  <si>
    <t>Cat Litter Boxes &amp; Litter Box Enclosures</t>
  </si>
  <si>
    <t>Pet Ramps &amp; Stairs</t>
  </si>
  <si>
    <t>Freezers</t>
  </si>
  <si>
    <t>Decorative Objects</t>
  </si>
  <si>
    <t>Ice Makers</t>
  </si>
  <si>
    <t>Stanchions</t>
  </si>
  <si>
    <t>Pizza Stones, Pans &amp; Peels</t>
  </si>
  <si>
    <t>Bed Skirts</t>
  </si>
  <si>
    <t>Standard Bed Pillow</t>
  </si>
  <si>
    <t>Bedding Sets</t>
  </si>
  <si>
    <t>Candles</t>
  </si>
  <si>
    <t>Boxes, Bins, Baskets, &amp; Buckets</t>
  </si>
  <si>
    <t>Sheets &amp; Pillowcases</t>
  </si>
  <si>
    <t>Cake, Cookie, &amp; Pastry Decoration</t>
  </si>
  <si>
    <t>Bath Rugs &amp; Mats</t>
  </si>
  <si>
    <t>Accent Pillows</t>
  </si>
  <si>
    <t>Dining Linens</t>
  </si>
  <si>
    <t>Wood Fireplaces</t>
  </si>
  <si>
    <t>Av Component Shelving</t>
  </si>
  <si>
    <t>Globes</t>
  </si>
  <si>
    <t>Glassware &amp; Barware</t>
  </si>
  <si>
    <t>Beverage Servers</t>
  </si>
  <si>
    <t>Transformers</t>
  </si>
  <si>
    <t>Mixing Bowls</t>
  </si>
  <si>
    <t>Kitchen Scales</t>
  </si>
  <si>
    <t>Measuring Cups, Spoons, Scoops &amp; Funnels</t>
  </si>
  <si>
    <t>Magazine Racks</t>
  </si>
  <si>
    <t>Potholders</t>
  </si>
  <si>
    <t>Kitchen Towels</t>
  </si>
  <si>
    <t>Kitchen Aprons</t>
  </si>
  <si>
    <t>Decorative Plates &amp; Bowls</t>
  </si>
  <si>
    <t>Food Thermometers</t>
  </si>
  <si>
    <t>Egg Tools</t>
  </si>
  <si>
    <t>Picture &amp; Memory Albums</t>
  </si>
  <si>
    <t>Food Storage &amp; Dispensers</t>
  </si>
  <si>
    <t>Napkin Holders &amp; Paper Towel Holders</t>
  </si>
  <si>
    <t>Utensil Crocks, Caddies, Chests and Spoon Rests</t>
  </si>
  <si>
    <t>Shuffleboards</t>
  </si>
  <si>
    <t>Basketball Games</t>
  </si>
  <si>
    <t>Foosball Tables</t>
  </si>
  <si>
    <t>Hockey Tables</t>
  </si>
  <si>
    <t>Multi Game Tables</t>
  </si>
  <si>
    <t>Small Animal Cages And Habitats</t>
  </si>
  <si>
    <t>Dog Car Accessories</t>
  </si>
  <si>
    <t>Wall Art</t>
  </si>
  <si>
    <t>Mantels</t>
  </si>
  <si>
    <t>Bird Play Stand &amp; Playcenters</t>
  </si>
  <si>
    <t>Treadmills</t>
  </si>
  <si>
    <t>Ellipticals</t>
  </si>
  <si>
    <t>Exercise Bikes</t>
  </si>
  <si>
    <t>Home Gyms</t>
  </si>
  <si>
    <t>Pet Electric Fences/Containment</t>
  </si>
  <si>
    <t>Hardwood Flooring</t>
  </si>
  <si>
    <t>Laminate Flooring</t>
  </si>
  <si>
    <t>Electronic Mounts</t>
  </si>
  <si>
    <t>Wall Clocks</t>
  </si>
  <si>
    <t>Flooring Trim</t>
  </si>
  <si>
    <t>Aquariums &amp; Bowls</t>
  </si>
  <si>
    <t>Sewing Machines &amp; Sergers</t>
  </si>
  <si>
    <t>Camping Tents &amp; Shelters</t>
  </si>
  <si>
    <t>Arcade Games &amp; Slot Machine</t>
  </si>
  <si>
    <t>Hot Tub Accessories</t>
  </si>
  <si>
    <t>Bathroom Safety</t>
  </si>
  <si>
    <t>Crib Conversion Rails</t>
  </si>
  <si>
    <t>Cat Litter Box Accessories</t>
  </si>
  <si>
    <t>Pet Crate &amp; Carrier Accessories</t>
  </si>
  <si>
    <t>Blankets And Throws</t>
  </si>
  <si>
    <t>Duvet Fills and Inserts</t>
  </si>
  <si>
    <t>Shower Curtains</t>
  </si>
  <si>
    <t>Bath Towels</t>
  </si>
  <si>
    <t>Pet Gates</t>
  </si>
  <si>
    <t>Pet Doors</t>
  </si>
  <si>
    <t>Cat Cages &amp; Playpens</t>
  </si>
  <si>
    <t>Pet Bed Accessories &amp; Covers</t>
  </si>
  <si>
    <t>Potting Benches &amp; Tables</t>
  </si>
  <si>
    <t>Hand Dryers</t>
  </si>
  <si>
    <t>Chair Accessories</t>
  </si>
  <si>
    <t>Hooks</t>
  </si>
  <si>
    <t>Brooms and Sweepers</t>
  </si>
  <si>
    <t>Fire Extinguishers</t>
  </si>
  <si>
    <t>Key Organizers</t>
  </si>
  <si>
    <t>Scales</t>
  </si>
  <si>
    <t>Time Clocks &amp; Accessories</t>
  </si>
  <si>
    <t>Signs &amp; Sign Holders</t>
  </si>
  <si>
    <t>Disposable Party Supplies</t>
  </si>
  <si>
    <t>Art Room Supplies</t>
  </si>
  <si>
    <t>Hangers</t>
  </si>
  <si>
    <t>Partition Desks &amp; Cubicles</t>
  </si>
  <si>
    <t>Partition &amp; Panel Hardware Accessories</t>
  </si>
  <si>
    <t>Trash Bags &amp; Liners</t>
  </si>
  <si>
    <t>Classroom Decorations</t>
  </si>
  <si>
    <t>Smoke &amp; CO Detectors</t>
  </si>
  <si>
    <t>Vacuum Accessories</t>
  </si>
  <si>
    <t>Eye Wash Stations</t>
  </si>
  <si>
    <t>Decorative Telephones</t>
  </si>
  <si>
    <t>Cash Handling</t>
  </si>
  <si>
    <t>Restroom Dispensers</t>
  </si>
  <si>
    <t>Drawer Organizers</t>
  </si>
  <si>
    <t>File Boxes</t>
  </si>
  <si>
    <t>Water Coolers/Ice Buckets</t>
  </si>
  <si>
    <t>Table Accessories</t>
  </si>
  <si>
    <t>Flooring Samples</t>
  </si>
  <si>
    <t>Dog Agility Equipment</t>
  </si>
  <si>
    <t>Yoga &amp; Pilates</t>
  </si>
  <si>
    <t>Chicken Coops</t>
  </si>
  <si>
    <t>Desktop Organizers &amp; Desk Pads</t>
  </si>
  <si>
    <t>Sports Display Cases</t>
  </si>
  <si>
    <t>Floor &amp; Wall Tile</t>
  </si>
  <si>
    <t>Ladders</t>
  </si>
  <si>
    <t>Tile Trims</t>
  </si>
  <si>
    <t>Shelving Accessories</t>
  </si>
  <si>
    <t>Vinyl Flooring</t>
  </si>
  <si>
    <t>Furniture Parts</t>
  </si>
  <si>
    <t>Wedding</t>
  </si>
  <si>
    <t>Hampers &amp; Baskets</t>
  </si>
  <si>
    <t>Tailgating Wagons</t>
  </si>
  <si>
    <t>Birding Accessories</t>
  </si>
  <si>
    <t>Flags</t>
  </si>
  <si>
    <t>Landscaping Screens &amp; Bridges</t>
  </si>
  <si>
    <t>Swimming Pools</t>
  </si>
  <si>
    <t>Hot Tubs</t>
  </si>
  <si>
    <t>Garage Storage Cabinets</t>
  </si>
  <si>
    <t>Bike And Sport Racks</t>
  </si>
  <si>
    <t>Workbenches</t>
  </si>
  <si>
    <t>Hose Reels</t>
  </si>
  <si>
    <t>Garage Appliances</t>
  </si>
  <si>
    <t>Slatwall &amp; Pegboard Accessories</t>
  </si>
  <si>
    <t>Locks</t>
  </si>
  <si>
    <t>Compost</t>
  </si>
  <si>
    <t>Fencing &amp; Edging</t>
  </si>
  <si>
    <t>Fabric</t>
  </si>
  <si>
    <t>Ramps</t>
  </si>
  <si>
    <t>Exercise Pens and Yard Kennels</t>
  </si>
  <si>
    <t>Baby Blankets</t>
  </si>
  <si>
    <t>Cat Beds</t>
  </si>
  <si>
    <t>Dog Blankets</t>
  </si>
  <si>
    <t>Pet Grooming Furniture</t>
  </si>
  <si>
    <t>Beer Pong</t>
  </si>
  <si>
    <t>Knife Sets</t>
  </si>
  <si>
    <t>Dog House Accessories</t>
  </si>
  <si>
    <t>Saunas</t>
  </si>
  <si>
    <t>Water Heaters</t>
  </si>
  <si>
    <t>Dumbbells</t>
  </si>
  <si>
    <t>Weight Benches</t>
  </si>
  <si>
    <t>Weight Plates</t>
  </si>
  <si>
    <t>Sauna Accessories</t>
  </si>
  <si>
    <t>Learning Resources</t>
  </si>
  <si>
    <t>Carpet Tile</t>
  </si>
  <si>
    <t>Outdoor Deck Tiles</t>
  </si>
  <si>
    <t>Water Filtration</t>
  </si>
  <si>
    <t>Sports Flags</t>
  </si>
  <si>
    <t>Fitness &amp; Recreational Flooring</t>
  </si>
  <si>
    <t>Bath Exhaust Fans</t>
  </si>
  <si>
    <t>Craft &amp; Sewing Tables</t>
  </si>
  <si>
    <t>Bounce Houses &amp; Inflatable Slides</t>
  </si>
  <si>
    <t>Commercial Ceiling Lighting</t>
  </si>
  <si>
    <t>Commercial Wall Lighting</t>
  </si>
  <si>
    <t>Commercial Outdoor Lighting</t>
  </si>
  <si>
    <t>Commercial Exit And Emergency Lights</t>
  </si>
  <si>
    <t>Commercial Accent Lighting</t>
  </si>
  <si>
    <t>Playhouses &amp; Play Tents</t>
  </si>
  <si>
    <t>Bleachers</t>
  </si>
  <si>
    <t>Chicken Coop Accessories</t>
  </si>
  <si>
    <t>Reptile/Snake Terrariums and Habitats</t>
  </si>
  <si>
    <t>Faux Florals</t>
  </si>
  <si>
    <t>Faux Plants and Trees</t>
  </si>
  <si>
    <t>Switches, Dimmers &amp; Outlets</t>
  </si>
  <si>
    <t>Covers &amp; Carry Bags</t>
  </si>
  <si>
    <t>Grilling Tools &amp; Accessories</t>
  </si>
  <si>
    <t>Grill Parts</t>
  </si>
  <si>
    <t>Grilling &amp; Heating Fuels</t>
  </si>
  <si>
    <t>Deck Boxes</t>
  </si>
  <si>
    <t>Wall Stickers</t>
  </si>
  <si>
    <t>Ironing Boards, Covers &amp; Pads</t>
  </si>
  <si>
    <t>Drying Racks</t>
  </si>
  <si>
    <t>Shoe Storage</t>
  </si>
  <si>
    <t>Bathroom Storage</t>
  </si>
  <si>
    <t>Climbing Toys &amp; Slides</t>
  </si>
  <si>
    <t>Cruets &amp; Condiment Bottles</t>
  </si>
  <si>
    <t>Changing Table Pads &amp; Covers</t>
  </si>
  <si>
    <t>Bedding Accessories</t>
  </si>
  <si>
    <t>Table Top Games &amp; Accessories</t>
  </si>
  <si>
    <t>Towel Warmers</t>
  </si>
  <si>
    <t>Rug Samples</t>
  </si>
  <si>
    <t>Home Brewing</t>
  </si>
  <si>
    <t>Pavers &amp; Cobblestones</t>
  </si>
  <si>
    <t>Body Weight Scales</t>
  </si>
  <si>
    <t>Compact &amp; Mini Fridges</t>
  </si>
  <si>
    <t>Large Appliance Accessories</t>
  </si>
  <si>
    <t>Christmas Stockings &amp; Holders</t>
  </si>
  <si>
    <t>Accent Tiles</t>
  </si>
  <si>
    <t>Enclosures</t>
  </si>
  <si>
    <t>Tool Holders</t>
  </si>
  <si>
    <t>Vanity Tops</t>
  </si>
  <si>
    <t>Vanity Bases</t>
  </si>
  <si>
    <t>Chandeliers</t>
  </si>
  <si>
    <t>Flush Mount Lighting</t>
  </si>
  <si>
    <t>Pendant Lights</t>
  </si>
  <si>
    <t>Wayfair Gift Certificates &amp; Donations</t>
  </si>
  <si>
    <t>Outdoor Hanging Lights</t>
  </si>
  <si>
    <t>Landscape Lighting</t>
  </si>
  <si>
    <t>Post Lanterns</t>
  </si>
  <si>
    <t>Outdoor Wall Lights</t>
  </si>
  <si>
    <t>Luggage Racks</t>
  </si>
  <si>
    <t>Vanity Lighting</t>
  </si>
  <si>
    <t>Wall Sconces</t>
  </si>
  <si>
    <t>Kids Bedroom Sets</t>
  </si>
  <si>
    <t>Kids Headboards</t>
  </si>
  <si>
    <t>Tub Faucets</t>
  </si>
  <si>
    <t>Shower Faucets &amp; Systems</t>
  </si>
  <si>
    <t>Candle Holders</t>
  </si>
  <si>
    <t>Shower &amp; Tub Doors</t>
  </si>
  <si>
    <t>Shower and Bathtub Enclosures</t>
  </si>
  <si>
    <t>Kids Dressers &amp; Chests</t>
  </si>
  <si>
    <t>Kids Nightstands</t>
  </si>
  <si>
    <t>Kids Armoires</t>
  </si>
  <si>
    <t>Flagpoles and Accessories</t>
  </si>
  <si>
    <t>Towel Bars, Racks, and Stands</t>
  </si>
  <si>
    <t>Toilet Paper Holders</t>
  </si>
  <si>
    <t>Patio Dining Chairs</t>
  </si>
  <si>
    <t>Wallpaper</t>
  </si>
  <si>
    <t>Patio Bar Stools</t>
  </si>
  <si>
    <t>Kids Desks</t>
  </si>
  <si>
    <t>Patio Benches</t>
  </si>
  <si>
    <t>Kids Vanities</t>
  </si>
  <si>
    <t>Gas Grills</t>
  </si>
  <si>
    <t>Outdoor Cookers</t>
  </si>
  <si>
    <t>Electric Grills</t>
  </si>
  <si>
    <t>Saute Pans</t>
  </si>
  <si>
    <t>Grill Pans &amp; Griddles</t>
  </si>
  <si>
    <t>Pot Inserts &amp; Steamer Baskets</t>
  </si>
  <si>
    <t>Shower Bases</t>
  </si>
  <si>
    <t>Ceiling Fan Light Kits</t>
  </si>
  <si>
    <t>Outdoor Lanterns &amp; Lamps</t>
  </si>
  <si>
    <t>Camping Cots</t>
  </si>
  <si>
    <t>Air Conditioners</t>
  </si>
  <si>
    <t>Wine Bottle Carriers</t>
  </si>
  <si>
    <t>Floor Lamps</t>
  </si>
  <si>
    <t>Outdoor Showers</t>
  </si>
  <si>
    <t>Curtains &amp; Drapes</t>
  </si>
  <si>
    <t>Valances &amp; Kitchen Curtains</t>
  </si>
  <si>
    <t>Curtain Hardware &amp; Accessories</t>
  </si>
  <si>
    <t>Stained Glass Panels</t>
  </si>
  <si>
    <t>Slatwalls &amp; Pegboards</t>
  </si>
  <si>
    <t>Cotton Candy Makers &amp; Accessories</t>
  </si>
  <si>
    <t>Holiday Decor Storage</t>
  </si>
  <si>
    <t>Closet Systems</t>
  </si>
  <si>
    <t>Spice Jars &amp; Racks</t>
  </si>
  <si>
    <t>Serving Bowls</t>
  </si>
  <si>
    <t>Serving Dishes &amp; Platters</t>
  </si>
  <si>
    <t>Specialty Serving</t>
  </si>
  <si>
    <t>Creamers &amp; Sugar Bowls</t>
  </si>
  <si>
    <t>Changing Stations</t>
  </si>
  <si>
    <t>Scents &amp; Diffusers</t>
  </si>
  <si>
    <t>Mugs &amp; Teacups</t>
  </si>
  <si>
    <t>Holiday Accents &amp; Decor</t>
  </si>
  <si>
    <t>Decorative Trays</t>
  </si>
  <si>
    <t>Judaica</t>
  </si>
  <si>
    <t>Dinnerware Storage</t>
  </si>
  <si>
    <t>Pantry Cabinets</t>
  </si>
  <si>
    <t>Bathroom Hardware Sets</t>
  </si>
  <si>
    <t>Soda Makers</t>
  </si>
  <si>
    <t>Weight Bar</t>
  </si>
  <si>
    <t>Bulletin Boards, Whiteboards, Chalkboards</t>
  </si>
  <si>
    <t>Makeup Vanities</t>
  </si>
  <si>
    <t>Stock &amp; Ready-to-Assemble Kitchen Cabinets</t>
  </si>
  <si>
    <t>Bar Carts</t>
  </si>
  <si>
    <t>Restroom Partitions</t>
  </si>
  <si>
    <t>Dining Bowls</t>
  </si>
  <si>
    <t>Plates &amp; Saucers</t>
  </si>
  <si>
    <t>Flushometer Valves</t>
  </si>
  <si>
    <t>Institutional Furniture Parts &amp; Accessories</t>
  </si>
  <si>
    <t>Mattresses</t>
  </si>
  <si>
    <t>Mattress Foundations</t>
  </si>
  <si>
    <t>Shutters</t>
  </si>
  <si>
    <t>Table Lamps</t>
  </si>
  <si>
    <t>Decorative Torches</t>
  </si>
  <si>
    <t>Dwell Studio</t>
  </si>
  <si>
    <t>Mattress Covers and Protectors</t>
  </si>
  <si>
    <t>Trunks</t>
  </si>
  <si>
    <t>Picture Lights</t>
  </si>
  <si>
    <t>Stair Accessories</t>
  </si>
  <si>
    <t>Interior Doors</t>
  </si>
  <si>
    <t>Toilet Seat Decals</t>
  </si>
  <si>
    <t>Molding &amp; Millwork</t>
  </si>
  <si>
    <t>Door Hardware Accessories</t>
  </si>
  <si>
    <t>Outdoor Pizza Ovens</t>
  </si>
  <si>
    <t>Shower &amp; Tub Accessories</t>
  </si>
  <si>
    <t>Toilet Brushes &amp; Plungers</t>
  </si>
  <si>
    <t>Grab Bars</t>
  </si>
  <si>
    <t>Commercial Floor Care</t>
  </si>
  <si>
    <t>Water Filter Pitchers</t>
  </si>
  <si>
    <t>Bookends</t>
  </si>
  <si>
    <t>Lawn and Beach Chairs</t>
  </si>
  <si>
    <t>Adirondack Chairs</t>
  </si>
  <si>
    <t>Patio Rockers &amp; Gliders</t>
  </si>
  <si>
    <t>Patio Lounge Chairs</t>
  </si>
  <si>
    <t>Tapestries and Wall Hangings</t>
  </si>
  <si>
    <t>Wall Décor</t>
  </si>
  <si>
    <t>Life Size Cutouts</t>
  </si>
  <si>
    <t>Ice Buckets, Beverage Tubs &amp; Chillers</t>
  </si>
  <si>
    <t>Memo Boards</t>
  </si>
  <si>
    <t>Cupolas &amp; Weathervanes</t>
  </si>
  <si>
    <t>Weather Instruments</t>
  </si>
  <si>
    <t>Floor Installation Accessories</t>
  </si>
  <si>
    <t>Floor Underlayments</t>
  </si>
  <si>
    <t>Floor Vent Covers</t>
  </si>
  <si>
    <t>Wallpaper Sample</t>
  </si>
  <si>
    <t>Awnings</t>
  </si>
  <si>
    <t>Shade Sails</t>
  </si>
  <si>
    <t>Gazebos</t>
  </si>
  <si>
    <t>Pergolas</t>
  </si>
  <si>
    <t>Beekeeping Supplies</t>
  </si>
  <si>
    <t>Baking Dishes</t>
  </si>
  <si>
    <t>Muffin &amp; Cupcake Pans</t>
  </si>
  <si>
    <t>Bread &amp; Loaf Pans</t>
  </si>
  <si>
    <t>Bakeware Sets</t>
  </si>
  <si>
    <t>Napkin Rings, Place Card Holders &amp; Food Markers</t>
  </si>
  <si>
    <t>Entry Sets</t>
  </si>
  <si>
    <t>Door Levers</t>
  </si>
  <si>
    <t>Door Knobs</t>
  </si>
  <si>
    <t>Deadbolts</t>
  </si>
  <si>
    <t>Door Stops</t>
  </si>
  <si>
    <t>Door Hinges</t>
  </si>
  <si>
    <t>Canisters &amp; Jars</t>
  </si>
  <si>
    <t>Cabinet Hinges</t>
  </si>
  <si>
    <t>Cabinet and Drawer Backplates</t>
  </si>
  <si>
    <t>Cabinet and Drawer Knobs</t>
  </si>
  <si>
    <t>Drawer Slides</t>
  </si>
  <si>
    <t>Waiting Room &amp; Reception Chairs</t>
  </si>
  <si>
    <t>Reception Sofas</t>
  </si>
  <si>
    <t>Reception Benches</t>
  </si>
  <si>
    <t>Reception Desks</t>
  </si>
  <si>
    <t>Ceiling Tiles</t>
  </si>
  <si>
    <t>Multichannel-Only (MCO) Fulfillment</t>
  </si>
  <si>
    <t>Poker &amp; Card Tables</t>
  </si>
  <si>
    <t>Futon Frames</t>
  </si>
  <si>
    <t>Shade Accessories</t>
  </si>
  <si>
    <t>Cabinet and Drawer Accessories</t>
  </si>
  <si>
    <t>Rain Barrels</t>
  </si>
  <si>
    <t>Food Service Racks &amp; Shelving</t>
  </si>
  <si>
    <t>Shower Panels</t>
  </si>
  <si>
    <t>Shower Heads</t>
  </si>
  <si>
    <t>Arbors</t>
  </si>
  <si>
    <t>Teapots &amp; Teapot Sets</t>
  </si>
  <si>
    <t>Wreaths</t>
  </si>
  <si>
    <t>Radiators</t>
  </si>
  <si>
    <t>Hospitality - Booths</t>
  </si>
  <si>
    <t>Decorative Media Players</t>
  </si>
  <si>
    <t>Exterior Doors</t>
  </si>
  <si>
    <t>Large Appliance Warranties</t>
  </si>
  <si>
    <t>Washer and Dryer Sets</t>
  </si>
  <si>
    <t>Towel Rings</t>
  </si>
  <si>
    <t>Towel &amp; Robe Hooks</t>
  </si>
  <si>
    <t>Dorm Room Furniture</t>
  </si>
  <si>
    <t>Uniters Rugs</t>
  </si>
  <si>
    <t>Small Appliance Warranties</t>
  </si>
  <si>
    <t>String Lights</t>
  </si>
  <si>
    <t>Air Purifiers</t>
  </si>
  <si>
    <t>Humidifiers</t>
  </si>
  <si>
    <t>Air Treatment Accessories</t>
  </si>
  <si>
    <t>Dehumidifiers</t>
  </si>
  <si>
    <t>Log Storage</t>
  </si>
  <si>
    <t>Crib Sheets</t>
  </si>
  <si>
    <t>Crib Bedding Accessories</t>
  </si>
  <si>
    <t>Product Credit</t>
  </si>
  <si>
    <t>Tabletop Fireplaces</t>
  </si>
  <si>
    <t>Peel and Stick Backsplash Tile</t>
  </si>
  <si>
    <t>Kids Step Stools</t>
  </si>
  <si>
    <t>Shower Curtain Rods</t>
  </si>
  <si>
    <t>Wall Paneling</t>
  </si>
  <si>
    <t>House Letters &amp; Numbers</t>
  </si>
  <si>
    <t>Lighting Warranties</t>
  </si>
  <si>
    <t>Handy</t>
  </si>
  <si>
    <t>Soft Seating</t>
  </si>
  <si>
    <t>Uniters Renovation - Plumbing</t>
  </si>
  <si>
    <t>Planter Accessories</t>
  </si>
  <si>
    <t>Charcoal Grills</t>
  </si>
  <si>
    <t>Track Lighting Kits</t>
  </si>
  <si>
    <t>Recessed Lighting Kits</t>
  </si>
  <si>
    <t>Track Lighting Heads &amp; Pendants</t>
  </si>
  <si>
    <t>Track Lighting Tracks, Rails &amp; Connectors</t>
  </si>
  <si>
    <t>Recessed Lighting Trims</t>
  </si>
  <si>
    <t>Wall Organizers, Wall Baskets, and Key Organizers</t>
  </si>
  <si>
    <t>Coffee Pods &amp; K-Cups</t>
  </si>
  <si>
    <t>Curtains, Drapes, &amp; Valences Samples</t>
  </si>
  <si>
    <t>Large Appliances Fulfillment Services</t>
  </si>
  <si>
    <t>Outdoor Structures &amp; Spa Warranties</t>
  </si>
  <si>
    <t>Portable Washers &amp; Dryers</t>
  </si>
  <si>
    <t>Adjustable Beds</t>
  </si>
  <si>
    <t>Closet Organizer Accessories</t>
  </si>
  <si>
    <t>Shower Benches</t>
  </si>
  <si>
    <t>Placemats, Chargers, &amp; Napkins</t>
  </si>
  <si>
    <t>Clothing &amp; Garment Racks</t>
  </si>
  <si>
    <t>Nursery Furniture Sets</t>
  </si>
  <si>
    <t>Wood Pellet Grills</t>
  </si>
  <si>
    <t>Wayfair Registry</t>
  </si>
  <si>
    <t>Beauty Organizers</t>
  </si>
  <si>
    <t>Security Lighting</t>
  </si>
  <si>
    <t>Fireplace Screens &amp; Doors</t>
  </si>
  <si>
    <t>Garden Accents</t>
  </si>
  <si>
    <t>Evaporative Coolers</t>
  </si>
  <si>
    <t>Bathrobes</t>
  </si>
  <si>
    <t>Outdoor Wall Decor</t>
  </si>
  <si>
    <t>Doormats</t>
  </si>
  <si>
    <t>Kitchen Mats</t>
  </si>
  <si>
    <t>Decorative Boxes</t>
  </si>
  <si>
    <t>Microfridge Combo Units</t>
  </si>
  <si>
    <t>Gas Fireplaces</t>
  </si>
  <si>
    <t>Barn Door Hardware</t>
  </si>
  <si>
    <t>Fabric Samples</t>
  </si>
  <si>
    <t>Glass Sample</t>
  </si>
  <si>
    <t>Metal Sample</t>
  </si>
  <si>
    <t>Plastic Sample</t>
  </si>
  <si>
    <t>Ceramic/Stone Sample</t>
  </si>
  <si>
    <t>Wicker/Rattan Sample</t>
  </si>
  <si>
    <t>Textile Sample</t>
  </si>
  <si>
    <t>Thermostats</t>
  </si>
  <si>
    <t>Restaurant Table Bases</t>
  </si>
  <si>
    <t>Restaurant Tables</t>
  </si>
  <si>
    <t>Outdoor Flush Mounts</t>
  </si>
  <si>
    <t>Novelty Lighting</t>
  </si>
  <si>
    <t>Kitchen Appliance Packages</t>
  </si>
  <si>
    <t>Commercial Cooking Equipment</t>
  </si>
  <si>
    <t>Commercial Work Tables</t>
  </si>
  <si>
    <t>Countertop Ovens &amp; Cookers</t>
  </si>
  <si>
    <t>Commercial Ovens &amp; Ranges</t>
  </si>
  <si>
    <t>Commercial Refrigerators &amp; Freezers</t>
  </si>
  <si>
    <t>Knife Storage</t>
  </si>
  <si>
    <t>Buffet Accessories</t>
  </si>
  <si>
    <t>Smart &amp; Electronic Door Locks</t>
  </si>
  <si>
    <t>Privacy Booths</t>
  </si>
  <si>
    <t>Interactive Tables</t>
  </si>
  <si>
    <t>Ceiling Fan Parts and Accessories</t>
  </si>
  <si>
    <t>Bar Equipment &amp; Accessories</t>
  </si>
  <si>
    <t>Footboards</t>
  </si>
  <si>
    <t>Outdoor Kitchens</t>
  </si>
  <si>
    <t>Teen Beds</t>
  </si>
  <si>
    <t>Teen Bookcases</t>
  </si>
  <si>
    <t>Teens Headboards</t>
  </si>
  <si>
    <t>Teen Nightstands</t>
  </si>
  <si>
    <t>Teen Dressers</t>
  </si>
  <si>
    <t>Square Trade - Plumbing Core</t>
  </si>
  <si>
    <t>Square Trade - Plumbing Vanities</t>
  </si>
  <si>
    <t>Changing Table Toppers</t>
  </si>
  <si>
    <t>Square Trade - Upholstery Niche</t>
  </si>
  <si>
    <t>Teacher Desks</t>
  </si>
  <si>
    <t>Study Carrels</t>
  </si>
  <si>
    <t>Toasters</t>
  </si>
  <si>
    <t>Wall Plates</t>
  </si>
  <si>
    <t>Square Trade - Kitchen and Dining</t>
  </si>
  <si>
    <t>Square Trade - Upholstery</t>
  </si>
  <si>
    <t>Square Trade Rugs</t>
  </si>
  <si>
    <t>Square Trade - Youth</t>
  </si>
  <si>
    <t>Square Trade - Office</t>
  </si>
  <si>
    <t>Guest Room Sets</t>
  </si>
  <si>
    <t>Square Trade - Utility Bedding</t>
  </si>
  <si>
    <t>Square Trade - Mattresses</t>
  </si>
  <si>
    <t>Underfloor Heating</t>
  </si>
  <si>
    <t>Can Openers, Food Scales &amp; Packaging Appliances</t>
  </si>
  <si>
    <t>Specialized Food Preparation</t>
  </si>
  <si>
    <t>Design Services</t>
  </si>
  <si>
    <t>Rice Cookers and Food Steamers</t>
  </si>
  <si>
    <t>Water Bottles, Travel Mugs &amp; Tumblers</t>
  </si>
  <si>
    <t>Wood Samples</t>
  </si>
  <si>
    <t>Kitchen Sink Storage</t>
  </si>
  <si>
    <t>Bed Accessories</t>
  </si>
  <si>
    <t>Square Trade - Nursery</t>
  </si>
  <si>
    <t>Square Trade - Hardware</t>
  </si>
  <si>
    <t>Stationery &amp; Coffee Table Books</t>
  </si>
  <si>
    <t>Teen Bedding</t>
  </si>
  <si>
    <t>Beverage Refrigerators &amp; Coolers</t>
  </si>
  <si>
    <t>Reception Sets</t>
  </si>
  <si>
    <t>Commercial Plumbing Parts &amp; Accessories</t>
  </si>
  <si>
    <t>Christmas Tree Skirts &amp; Collars</t>
  </si>
  <si>
    <t>Teen Desks</t>
  </si>
  <si>
    <t>Deep Fryers</t>
  </si>
  <si>
    <t>Square Trade Fireplaces &amp; Grills</t>
  </si>
  <si>
    <t>Square Trade Storage &amp; Organization</t>
  </si>
  <si>
    <t>Playground Flooring</t>
  </si>
  <si>
    <t>Shower Curtain Hooks and Accessories</t>
  </si>
  <si>
    <t>Gift Cards for Physical Store</t>
  </si>
  <si>
    <t>Teen Desk Chairs</t>
  </si>
  <si>
    <t>Kids Cots</t>
  </si>
  <si>
    <t>True Components</t>
  </si>
  <si>
    <t>Pet Food Storage Containers &amp; Treat Jars</t>
  </si>
  <si>
    <t>Restaurant Table Tops</t>
  </si>
  <si>
    <t>One-of-a-Kind Rugs</t>
  </si>
  <si>
    <t>Reading Benches &amp; Chairs</t>
  </si>
  <si>
    <t>Tree &amp; Novelty Garlands</t>
  </si>
  <si>
    <t>Protection Plans</t>
  </si>
  <si>
    <t>Laundry Accessories</t>
  </si>
  <si>
    <t>Shower Walls</t>
  </si>
  <si>
    <t>Fencing Accessories</t>
  </si>
  <si>
    <t>Teen Lounge Furniture</t>
  </si>
  <si>
    <t>Teen Accent Pillows</t>
  </si>
  <si>
    <t>Teen Wall Art</t>
  </si>
  <si>
    <t>Commercial Food Storage &amp; Accessories</t>
  </si>
  <si>
    <t>Teen Wall Décor</t>
  </si>
  <si>
    <t>Teen Tapestries and Wall Hangings</t>
  </si>
  <si>
    <t>Teen Novelty Lighting</t>
  </si>
  <si>
    <t>Live Plants and Trees</t>
  </si>
  <si>
    <t>Turf Flooring</t>
  </si>
  <si>
    <t>Semi-Custom &amp; Custom Kitchen Cabinets</t>
  </si>
  <si>
    <t>Outdoor Privacy Screens and Partitions</t>
  </si>
  <si>
    <t>Admins Can Sell (ACS) - Sales and Service (S&amp;S)</t>
  </si>
  <si>
    <t>Swimming Pool Accessories</t>
  </si>
  <si>
    <t>Baby &amp; Kids Rugs</t>
  </si>
  <si>
    <t>Kids Bedding Sets</t>
  </si>
  <si>
    <t>Cabinet Samples</t>
  </si>
  <si>
    <t>Design Project Class</t>
  </si>
  <si>
    <t>Media &amp; Character Shop</t>
  </si>
  <si>
    <t>Door Lining &amp; Frames</t>
  </si>
  <si>
    <t>Cold Plunges</t>
  </si>
  <si>
    <t>Accent</t>
  </si>
  <si>
    <t>Growth Chart Decals</t>
  </si>
  <si>
    <t>Calendar and Organizer Decals</t>
  </si>
  <si>
    <t>Chalkboard Decals</t>
  </si>
  <si>
    <t>Whiteboard Decals</t>
  </si>
  <si>
    <t>Photo Frame Decals</t>
  </si>
  <si>
    <t>Window Decal</t>
  </si>
  <si>
    <t>Whiteboard and Chalkboard Decals</t>
  </si>
  <si>
    <t>Tile Decals</t>
  </si>
  <si>
    <t>Clock Decals</t>
  </si>
  <si>
    <t>Wall Decals</t>
  </si>
  <si>
    <t>Window Stickers &amp; Film</t>
  </si>
  <si>
    <t>Door Decals</t>
  </si>
  <si>
    <t>Create A Pattern Set</t>
  </si>
  <si>
    <t>Low Gloss</t>
  </si>
  <si>
    <t>High Gloss</t>
  </si>
  <si>
    <t>Matte</t>
  </si>
  <si>
    <t>Mirrored</t>
  </si>
  <si>
    <t>Glossy</t>
  </si>
  <si>
    <t>Glow in the Dark</t>
  </si>
  <si>
    <t>Glitter</t>
  </si>
  <si>
    <t>3D</t>
  </si>
  <si>
    <t>Satin</t>
  </si>
  <si>
    <t>Unavailable</t>
  </si>
  <si>
    <t>No</t>
  </si>
  <si>
    <t>Yes</t>
  </si>
  <si>
    <t>Does Not Apply</t>
  </si>
  <si>
    <t>Christmas</t>
  </si>
  <si>
    <t>Thanksgiving</t>
  </si>
  <si>
    <t>Easter</t>
  </si>
  <si>
    <t>Valentine's Day</t>
  </si>
  <si>
    <t>Halloween</t>
  </si>
  <si>
    <t>Independence Day</t>
  </si>
  <si>
    <t>St. Patrick's Day</t>
  </si>
  <si>
    <t>Passover</t>
  </si>
  <si>
    <t>Kwanzaa</t>
  </si>
  <si>
    <t>Hanukkah</t>
  </si>
  <si>
    <t>New Year's</t>
  </si>
  <si>
    <t>Father's Day</t>
  </si>
  <si>
    <t>Mother's Day</t>
  </si>
  <si>
    <t>Birthday</t>
  </si>
  <si>
    <t>Graduation</t>
  </si>
  <si>
    <t>New Baby</t>
  </si>
  <si>
    <t>No Holiday</t>
  </si>
  <si>
    <t>Day of the Dead</t>
  </si>
  <si>
    <t>Cinco de Mayo</t>
  </si>
  <si>
    <t>Mardi Gras</t>
  </si>
  <si>
    <t>Shabbat</t>
  </si>
  <si>
    <t>Retirement</t>
  </si>
  <si>
    <t>Bar and Bat Mitzvah</t>
  </si>
  <si>
    <t>Rosh Hashanah</t>
  </si>
  <si>
    <t>Baptism</t>
  </si>
  <si>
    <t>Sports Teams</t>
  </si>
  <si>
    <t>Celebrities</t>
  </si>
  <si>
    <t>Entertainment/Characters</t>
  </si>
  <si>
    <t>Corporate Brands</t>
  </si>
  <si>
    <t>Fashion Brands</t>
  </si>
  <si>
    <t>30 Days</t>
  </si>
  <si>
    <t>60 Days</t>
  </si>
  <si>
    <t>90 Days</t>
  </si>
  <si>
    <t>6 Months</t>
  </si>
  <si>
    <t>1 Year</t>
  </si>
  <si>
    <t>2 Years</t>
  </si>
  <si>
    <t>3 Years</t>
  </si>
  <si>
    <t>5 Years</t>
  </si>
  <si>
    <t>10 Years</t>
  </si>
  <si>
    <t>20 Years</t>
  </si>
  <si>
    <t>25 Years</t>
  </si>
  <si>
    <t>Lifetime</t>
  </si>
  <si>
    <t>15 Years</t>
  </si>
  <si>
    <t>4 Years</t>
  </si>
  <si>
    <t>18 Months</t>
  </si>
  <si>
    <t>6 Years</t>
  </si>
  <si>
    <t>7 Years</t>
  </si>
  <si>
    <t>8 Years</t>
  </si>
  <si>
    <t>9 Years</t>
  </si>
  <si>
    <t>12 Years</t>
  </si>
  <si>
    <t>11 Years</t>
  </si>
  <si>
    <t>13 Years</t>
  </si>
  <si>
    <t>14 Years</t>
  </si>
  <si>
    <t>No Commercial Warranty</t>
  </si>
  <si>
    <t>1A</t>
  </si>
  <si>
    <t>3A or 6A</t>
  </si>
  <si>
    <t>Stickalz</t>
  </si>
  <si>
    <t>US</t>
  </si>
  <si>
    <t>UK</t>
  </si>
  <si>
    <t>EU</t>
  </si>
  <si>
    <t>CA</t>
  </si>
  <si>
    <t>A-alpha-C (2-Amino-9H-pyrido[2,3-b]indole)</t>
  </si>
  <si>
    <t>Abiraterone acetate</t>
  </si>
  <si>
    <t>Acetaldehyde</t>
  </si>
  <si>
    <t>Acetamide</t>
  </si>
  <si>
    <t>Acetazolamide</t>
  </si>
  <si>
    <t>Acetochlor</t>
  </si>
  <si>
    <t>Acetohydroxamic acid</t>
  </si>
  <si>
    <t>2-Acetylaminofluorene</t>
  </si>
  <si>
    <t>Acifluorfen sodium</t>
  </si>
  <si>
    <t>Acrylamide</t>
  </si>
  <si>
    <t>Acrylonitrile</t>
  </si>
  <si>
    <t>Actinomycin D</t>
  </si>
  <si>
    <t>AF-2;[2-(2-furyl)-3-(5-nitro-2-furyl)]acrylamide</t>
  </si>
  <si>
    <t>Aflatoxins</t>
  </si>
  <si>
    <t>Alachlor</t>
  </si>
  <si>
    <t>Alcoholic beverages, when associated with alcohol abuse</t>
  </si>
  <si>
    <t>Aldrin</t>
  </si>
  <si>
    <t>All-trans retinoic acid</t>
  </si>
  <si>
    <t>Aloe Vera, non-decolorized whole leaf extract</t>
  </si>
  <si>
    <t>Alprazolam</t>
  </si>
  <si>
    <t>Amantadine hydrochloride</t>
  </si>
  <si>
    <t>Amikacin sulfate</t>
  </si>
  <si>
    <t>2-Aminoanthraquinone</t>
  </si>
  <si>
    <t>p-Aminoazobenzene</t>
  </si>
  <si>
    <t>o-Aminoazotoluene</t>
  </si>
  <si>
    <t>4-Aminobiphenyl (4-aminodiphenyl)</t>
  </si>
  <si>
    <t>1-Amino-2,4-dibromoanthraquinone</t>
  </si>
  <si>
    <t>3-Amino-9-ethylcarbazole hydrochloride</t>
  </si>
  <si>
    <t>2-Aminofluorene</t>
  </si>
  <si>
    <t>Aminoglutethimide</t>
  </si>
  <si>
    <t>Aminoglycosides</t>
  </si>
  <si>
    <t>1-Amino-2-methylanthraquinone</t>
  </si>
  <si>
    <t>2-Amino-5-(5-nitro-2-furyl)-1,3,4-thiadiazole</t>
  </si>
  <si>
    <t>4-Amino-2-nitrophenol</t>
  </si>
  <si>
    <t>Aminopterin</t>
  </si>
  <si>
    <t>Amiodarone hydrochloride</t>
  </si>
  <si>
    <t>Amitraz</t>
  </si>
  <si>
    <t>Amitrole</t>
  </si>
  <si>
    <t>Amoxapine</t>
  </si>
  <si>
    <t>Amsacrine</t>
  </si>
  <si>
    <t>Analgesic mixtures containing Phenacetin</t>
  </si>
  <si>
    <t>Androstenedione</t>
  </si>
  <si>
    <t>Angiotensin converting enzyme  (ACE) inhibitors</t>
  </si>
  <si>
    <t>Aniline</t>
  </si>
  <si>
    <t>Aniline hydrochloride</t>
  </si>
  <si>
    <t>o-Anisidine</t>
  </si>
  <si>
    <t>o-Anisidine hydrochloride</t>
  </si>
  <si>
    <t>Anisindione</t>
  </si>
  <si>
    <t>Anthraquinone</t>
  </si>
  <si>
    <t>Antimony oxide (Antimony trioxide)</t>
  </si>
  <si>
    <t>Aramite</t>
  </si>
  <si>
    <t>Areca nut</t>
  </si>
  <si>
    <t>Aristolochic acids</t>
  </si>
  <si>
    <t>Arsenic (inorganic arsenic compounds)</t>
  </si>
  <si>
    <t>Arsenic (inorganic oxides)</t>
  </si>
  <si>
    <t>Asbestos</t>
  </si>
  <si>
    <t>Aspirin (NOTE: It is especially important not to use aspirin during the last three months of pregnancy, unless specifically directed to do so by a physician because it may cause problems in the unborn child or complications during delivery.)</t>
  </si>
  <si>
    <t>Atenolol</t>
  </si>
  <si>
    <t>Atrazine</t>
  </si>
  <si>
    <t>Auramine</t>
  </si>
  <si>
    <t>Auranofin</t>
  </si>
  <si>
    <t>Avermectin B1 (Abamectin)</t>
  </si>
  <si>
    <t>Azacitidine</t>
  </si>
  <si>
    <t>Azaserine</t>
  </si>
  <si>
    <t>Azathioprine</t>
  </si>
  <si>
    <t>Azobenzene</t>
  </si>
  <si>
    <t>Barbiturates</t>
  </si>
  <si>
    <t>Beclomethasone dipropionate</t>
  </si>
  <si>
    <t>Benomyl</t>
  </si>
  <si>
    <t>Benthiavalicarb-isopropyl</t>
  </si>
  <si>
    <t>Benz[a]anthracene</t>
  </si>
  <si>
    <t>Benzene</t>
  </si>
  <si>
    <t>Benzidine [and its salts]</t>
  </si>
  <si>
    <t>Benzidine-based dyes</t>
  </si>
  <si>
    <t>Benzodiazepines</t>
  </si>
  <si>
    <t>Benzo[b]fluoranthene</t>
  </si>
  <si>
    <t>Benzo[j]fluoranthene</t>
  </si>
  <si>
    <t>Benzo[k]fluoranthene</t>
  </si>
  <si>
    <t>Benzofuran</t>
  </si>
  <si>
    <t>Benzophenone</t>
  </si>
  <si>
    <t>Benzo[a]pyrene</t>
  </si>
  <si>
    <t>Benzotrichloride</t>
  </si>
  <si>
    <t>Benzphetamine hydrochloride</t>
  </si>
  <si>
    <t>Benzyl chloride</t>
  </si>
  <si>
    <t>Benzyl violet 4B</t>
  </si>
  <si>
    <t>Beryllium and beryllium compounds</t>
  </si>
  <si>
    <t>Betel quid with tobacco</t>
  </si>
  <si>
    <t>Betel quid without tobacco</t>
  </si>
  <si>
    <t>2,2-Bis(bromomethyl)-1,3-propanediol</t>
  </si>
  <si>
    <t>Bis(2-chloroethyl)ether</t>
  </si>
  <si>
    <t>N,N-Bis(2-chloroethyl)-2-naphthylamine  (Chlornapazine)</t>
  </si>
  <si>
    <t>Bischloroethyl nitrosourea (BCNU) (Carmustine)</t>
  </si>
  <si>
    <t>Bis(chloromethyl)ether</t>
  </si>
  <si>
    <t>Bis(2-chloro-1-methylethyl)ether,  technical grade</t>
  </si>
  <si>
    <t>Bisphenol A (BPA)</t>
  </si>
  <si>
    <t>Bitumens, extracts of steam-refined and air refined</t>
  </si>
  <si>
    <t>Bracken fern</t>
  </si>
  <si>
    <t>Bromacil lithium salt</t>
  </si>
  <si>
    <t>Bromate</t>
  </si>
  <si>
    <t>Bromochloroacetic acid</t>
  </si>
  <si>
    <t>Bromodichloroacetic acid</t>
  </si>
  <si>
    <t>Bromodichloromethane</t>
  </si>
  <si>
    <t>Bromoethane</t>
  </si>
  <si>
    <t>Bromoform</t>
  </si>
  <si>
    <t>1-Bromopropane (1-BP)</t>
  </si>
  <si>
    <t>Bromoxynil</t>
  </si>
  <si>
    <t>Bromoxynil octanoate</t>
  </si>
  <si>
    <t>Butabarbital sodium</t>
  </si>
  <si>
    <t>1,3-Butadiene</t>
  </si>
  <si>
    <t>1,4-Butanediol dimethanesulfonate (Busulfan)</t>
  </si>
  <si>
    <t>Butylated hydroxyanisole</t>
  </si>
  <si>
    <t>Butyl benzyl phthalate (BBP)d</t>
  </si>
  <si>
    <t>beta-Butyrolactone</t>
  </si>
  <si>
    <t>Cacodylic acid</t>
  </si>
  <si>
    <t>Cadmium</t>
  </si>
  <si>
    <t>Cadmium and cadmium compounds</t>
  </si>
  <si>
    <t>Caffeic acid</t>
  </si>
  <si>
    <t>Captafol</t>
  </si>
  <si>
    <t>Captan</t>
  </si>
  <si>
    <t>Carbamazepine</t>
  </si>
  <si>
    <t>Carbaryl</t>
  </si>
  <si>
    <t>Carbazole</t>
  </si>
  <si>
    <t>Carbon black (airborne, unbound particles of respirable size)</t>
  </si>
  <si>
    <t>Carbon-black extracts</t>
  </si>
  <si>
    <t>Carbon disulfide</t>
  </si>
  <si>
    <t>Carbon monoxide</t>
  </si>
  <si>
    <t>Carbon tetrachloride</t>
  </si>
  <si>
    <t>Carboplatin</t>
  </si>
  <si>
    <t>N-Carboxymethyl-N-nitrosourea</t>
  </si>
  <si>
    <t>Catechol</t>
  </si>
  <si>
    <t>Ceramic fibers (airborne particles of respirable size)</t>
  </si>
  <si>
    <t>Certain combined chemotherapy for lymphomas</t>
  </si>
  <si>
    <t>Chenodiol</t>
  </si>
  <si>
    <t>Chloral</t>
  </si>
  <si>
    <t>Chloral hydrate</t>
  </si>
  <si>
    <t>Chlorambucil</t>
  </si>
  <si>
    <t>Chloramphenicol sodium succinate</t>
  </si>
  <si>
    <t>Chlorcyclizine hydrochloride</t>
  </si>
  <si>
    <t>Chlordane</t>
  </si>
  <si>
    <t>Chlordecone (Kepone)</t>
  </si>
  <si>
    <t>Chlordiazepoxide</t>
  </si>
  <si>
    <t>Chlordiazepoxide hydrochloride</t>
  </si>
  <si>
    <t>Chlordimeform</t>
  </si>
  <si>
    <t>Chlorendic acid</t>
  </si>
  <si>
    <t>Chlorinated paraffins (Average chain length, C12;approximately 60 percent chlorine by weight)</t>
  </si>
  <si>
    <t>p-Chloroaniline</t>
  </si>
  <si>
    <t>p-Chloroaniline hydrochloride</t>
  </si>
  <si>
    <t>Chloroethane (Ethyl chloride)</t>
  </si>
  <si>
    <t>1-(2-Chloroethyl)-3-cyclohexyl-1-nitrosourea (CCNU) (Lomustine)</t>
  </si>
  <si>
    <t>1-(2-Chloroethyl)-3-(4-methylcyclohexyl)-1-nitrosourea (Methyl-CCNU)</t>
  </si>
  <si>
    <t>Chloromethyl methyl ether (technical grade)</t>
  </si>
  <si>
    <t>3-Chloro-2-methylpropene</t>
  </si>
  <si>
    <t>1-Chloro-4-nitrobenzene</t>
  </si>
  <si>
    <t>4-Chloro-o-phenylenediamine</t>
  </si>
  <si>
    <t>Chloroprene</t>
  </si>
  <si>
    <t>Chlorothalonil</t>
  </si>
  <si>
    <t>p-Chloro-o-toluidine</t>
  </si>
  <si>
    <t>p-Chloro-o-toluidine, strong acid salts of</t>
  </si>
  <si>
    <t>5-Chloro-o-toluidine and its strong acid salts</t>
  </si>
  <si>
    <t>Chlorotrianisene</t>
  </si>
  <si>
    <t>Chlorozotocin</t>
  </si>
  <si>
    <t>Chlorpyrifos</t>
  </si>
  <si>
    <t>Chromium (hexavalent compounds)</t>
  </si>
  <si>
    <t>Chrysene</t>
  </si>
  <si>
    <t>C.I. Acid Red 114</t>
  </si>
  <si>
    <t>C.I. Basic Red 9 monohydrochloride</t>
  </si>
  <si>
    <t>C.I. Direct Blue 15</t>
  </si>
  <si>
    <t>C.I. Direct Blue 218</t>
  </si>
  <si>
    <t>C.I. Disperse Yellow 3</t>
  </si>
  <si>
    <t>C.I. Solvent Yellow 14</t>
  </si>
  <si>
    <t>Ciclosporin (Cyclosporin A; Cyclosporine)</t>
  </si>
  <si>
    <t>Cidofovir</t>
  </si>
  <si>
    <t>Cinnamyl anthranilate</t>
  </si>
  <si>
    <t>Cisplatin</t>
  </si>
  <si>
    <t>Citrus Red No. 2</t>
  </si>
  <si>
    <t>Cladribine</t>
  </si>
  <si>
    <t>Clarithromycin</t>
  </si>
  <si>
    <t>Clobetasol propionate</t>
  </si>
  <si>
    <t>Clofibrate</t>
  </si>
  <si>
    <t>Clomiphene citrate</t>
  </si>
  <si>
    <t>Clorazepate dipotassium</t>
  </si>
  <si>
    <t>CMNP (pyrazachlor)</t>
  </si>
  <si>
    <t>Cobalt metal powder</t>
  </si>
  <si>
    <t>Cobalt [II] oxide</t>
  </si>
  <si>
    <t>Cobalt sulfate</t>
  </si>
  <si>
    <t>Cobalt sulfate heptahydrate</t>
  </si>
  <si>
    <t>Cocaine</t>
  </si>
  <si>
    <t>Coconut oil diethanolamine condensate (cocamide diethanolamine)</t>
  </si>
  <si>
    <t>Codeine phosphate</t>
  </si>
  <si>
    <t>Coke oven emissions</t>
  </si>
  <si>
    <t>Colchicine</t>
  </si>
  <si>
    <t>Conjugated estrogens</t>
  </si>
  <si>
    <t>Creosotes</t>
  </si>
  <si>
    <t>p-Cresidine</t>
  </si>
  <si>
    <t>Cumene</t>
  </si>
  <si>
    <t>Cupferron</t>
  </si>
  <si>
    <t>Cyanazine</t>
  </si>
  <si>
    <t>Cycasin</t>
  </si>
  <si>
    <t>Cycloate</t>
  </si>
  <si>
    <t>Cycloheximide</t>
  </si>
  <si>
    <t>Cyclopenta[cd]pyrene</t>
  </si>
  <si>
    <t>Cyclophosphamide (anhydrous)</t>
  </si>
  <si>
    <t>Cyclophosphamide (hydrated)</t>
  </si>
  <si>
    <t>Cyhexatin</t>
  </si>
  <si>
    <t>Cytarabine</t>
  </si>
  <si>
    <t>Cytembena</t>
  </si>
  <si>
    <t>D&amp;C Orange No. 17</t>
  </si>
  <si>
    <t>D&amp;C Red No. 8</t>
  </si>
  <si>
    <t>D&amp;C Red No. 9</t>
  </si>
  <si>
    <t>D&amp;C Red No. 19</t>
  </si>
  <si>
    <t>Dacarbazine</t>
  </si>
  <si>
    <t>Daminozide</t>
  </si>
  <si>
    <t>Danazol</t>
  </si>
  <si>
    <t>Dantron (Chrysazin; 1,8-Dihydroxyanthraquinone)</t>
  </si>
  <si>
    <t>Daunomycin</t>
  </si>
  <si>
    <t xml:space="preserve">Daunorubicin hydrochloride </t>
  </si>
  <si>
    <t>2,4-D butyric acid</t>
  </si>
  <si>
    <t>DDD (Dichlorodiphenyl-dichloroethane)</t>
  </si>
  <si>
    <t>DDE (Dichlorodiphenyl-dichloroethylene)</t>
  </si>
  <si>
    <t>DDT (Dichlorodiphenyl-trichloroethane)</t>
  </si>
  <si>
    <t>o,p'-DDT</t>
  </si>
  <si>
    <t>p,p'-DDT</t>
  </si>
  <si>
    <t>DDVP (Dichlorvos)</t>
  </si>
  <si>
    <t>Demeclocycline hydrochloride (internal use)</t>
  </si>
  <si>
    <t>Des-ethyl atrazine (DEA)</t>
  </si>
  <si>
    <t>Des-isopropyl atrazine (DIA)</t>
  </si>
  <si>
    <t>N,N'-Diacetylbenzidine</t>
  </si>
  <si>
    <t>2,4-Diaminoanisole</t>
  </si>
  <si>
    <t>2,4-Diaminoanisole sulfate</t>
  </si>
  <si>
    <t>2,4-Diamino-6-chloro-s-triazine (DACT)</t>
  </si>
  <si>
    <t>4,4'-Diaminodiphenyl ether (4,4'-Oxydianiline)</t>
  </si>
  <si>
    <t>2,4-Diaminotoluene</t>
  </si>
  <si>
    <t>Diazepam</t>
  </si>
  <si>
    <t>Diazoaminobenzene</t>
  </si>
  <si>
    <t>Diazoxide</t>
  </si>
  <si>
    <t>Dibenz[a,h]acridine</t>
  </si>
  <si>
    <t>Dibenz[a,j]acridine</t>
  </si>
  <si>
    <t>Dibenzanthracenes</t>
  </si>
  <si>
    <t>Dibenz[a,c]anthracene</t>
  </si>
  <si>
    <t>Dibenz[a,h]anthracene</t>
  </si>
  <si>
    <t>Dibenz[a,j]anthracene</t>
  </si>
  <si>
    <t>7H-Dibenzo[c,g]carbazole</t>
  </si>
  <si>
    <t>Dibenzo[a,e]pyrene</t>
  </si>
  <si>
    <t>Dibenzo[a,h]pyrene</t>
  </si>
  <si>
    <t>Dibenzo[a,i]pyrene</t>
  </si>
  <si>
    <t>Dibenzo[a,l]pyrene</t>
  </si>
  <si>
    <t>Dibromoacetic acid</t>
  </si>
  <si>
    <t>Dibromoacetonitrile</t>
  </si>
  <si>
    <t>2,3-Dibromo-1-propanol</t>
  </si>
  <si>
    <t>Dichloroacetic acid</t>
  </si>
  <si>
    <t>p-Dichlorobenzene</t>
  </si>
  <si>
    <t>3,3'-Dichlorobenzidine</t>
  </si>
  <si>
    <t>3,3'-Dichlorobenzidine dihydrochloride</t>
  </si>
  <si>
    <t>1,1-Dichloro-2,2-bis(p-chloropheny)ethylene (DDE)</t>
  </si>
  <si>
    <t>1,4-Dichloro-2-butene</t>
  </si>
  <si>
    <t>3,3'-Dichloro-4,4'-diamino-diphenyl ether</t>
  </si>
  <si>
    <t>1,1-Dichloroethane</t>
  </si>
  <si>
    <t>Dichloromethane (Methylene chloride)</t>
  </si>
  <si>
    <t>Dichlorophene</t>
  </si>
  <si>
    <t>Dichlorphenamide</t>
  </si>
  <si>
    <t>1,2-Dichloropropane</t>
  </si>
  <si>
    <t>1,3-Dichloro-2-propanol (1,3-DCP)</t>
  </si>
  <si>
    <t>1,3-Dichloropropene</t>
  </si>
  <si>
    <t>Dicumarol</t>
  </si>
  <si>
    <t>Dieldrin</t>
  </si>
  <si>
    <t>Diepoxybutane</t>
  </si>
  <si>
    <t>Diesel engine exhaust</t>
  </si>
  <si>
    <t>Diethanolamine</t>
  </si>
  <si>
    <t>Di(2-ethylhexyl)phthalate (DEHP)</t>
  </si>
  <si>
    <t>1,2-Diethylhydrazine</t>
  </si>
  <si>
    <t>Diethylstilbestrol (DES)</t>
  </si>
  <si>
    <t>Diethyl sulfate</t>
  </si>
  <si>
    <t>Diflunisal</t>
  </si>
  <si>
    <t>Diglycidyl resorcinol ether (DGRE)</t>
  </si>
  <si>
    <t xml:space="preserve">Dihydroergotamine mesylate </t>
  </si>
  <si>
    <t>Dihydrosafrole</t>
  </si>
  <si>
    <t>Diisononyl phthalate (DINP)</t>
  </si>
  <si>
    <t>Diisopropyl sulfate</t>
  </si>
  <si>
    <t>Diltiazem hydrochloride</t>
  </si>
  <si>
    <t>3,3'-Dimethoxybenzidine (o-Dianisidine)</t>
  </si>
  <si>
    <t>3,3'-Dimethoxybenzidine dihydrochloride</t>
  </si>
  <si>
    <t>3,3'-Dimethoxybenzidine-based dyes metabolized to 3,3'-dimethoxybenzidine</t>
  </si>
  <si>
    <t>N,N-Dimethylacetamide</t>
  </si>
  <si>
    <t>4-Dimethylaminoazobenzene</t>
  </si>
  <si>
    <t>trans-2-[(Dimethylamino)methylimino]-5-[2-(5-nitro-2-furyl)vinyl]-1,3,4-oxadiazole</t>
  </si>
  <si>
    <t>7,12-Dimethylbenz(a)anthracene</t>
  </si>
  <si>
    <t>3,3'-Dimethylbenzidine (ortho-Tolidine)</t>
  </si>
  <si>
    <t>3,3'-Dimethylbenzidine-based dyes metabolized to 3,3'-dimethylbenzidine</t>
  </si>
  <si>
    <t>3,3'-Dimethylbenzidine dihydrochloride</t>
  </si>
  <si>
    <t>Dimethylcarbamoyl chloride</t>
  </si>
  <si>
    <t>N,N-Dimethylformamide</t>
  </si>
  <si>
    <t>1,1-Dimethylhydrazine (UDMH)</t>
  </si>
  <si>
    <t>1,2-Dimethylhydrazine</t>
  </si>
  <si>
    <t>2,6-Dimethyl-N-nitrosomorpholine (DMNM)</t>
  </si>
  <si>
    <t>Dimethyl sulfate</t>
  </si>
  <si>
    <t>N,N-Dimethyl-p-toluidine</t>
  </si>
  <si>
    <t>Dimethylvinylchloride</t>
  </si>
  <si>
    <t>Di-n-butyl phthalate (DBP)</t>
  </si>
  <si>
    <t>3,7-Dinitrofluoranthene</t>
  </si>
  <si>
    <t>3,9-Dinitrofluoranthene</t>
  </si>
  <si>
    <t>1,3-Dinitropyrene</t>
  </si>
  <si>
    <t>1,6-Dinitropyrene</t>
  </si>
  <si>
    <t>1,8-Dinitropyrene</t>
  </si>
  <si>
    <t>2,4-Dinitrotoluene</t>
  </si>
  <si>
    <t>2,6-Dinitrotoluene</t>
  </si>
  <si>
    <t>Dinitrotoluene mixture, 2,4-/2,6-</t>
  </si>
  <si>
    <t>Dinocap</t>
  </si>
  <si>
    <t>Dinoseb</t>
  </si>
  <si>
    <t>Di-n-propyl isocinchomeronate (MGK Repellent 326)</t>
  </si>
  <si>
    <t>1,4-Dioxane</t>
  </si>
  <si>
    <t>Diphenylhydantoin (Phenytoin)</t>
  </si>
  <si>
    <t>Diphenylhydantoin (Phenytoin), sodium salt</t>
  </si>
  <si>
    <t>Direct Black 38 (technical grade)</t>
  </si>
  <si>
    <t>Direct Blue 6 (technical grade)</t>
  </si>
  <si>
    <t>Direct Brown 95 (technical grade)</t>
  </si>
  <si>
    <t>Disodium cyanodithioimidocarbonate</t>
  </si>
  <si>
    <t>Disperse Blue 1</t>
  </si>
  <si>
    <t>Diuron</t>
  </si>
  <si>
    <t>Doxorubicin hydrochloride (Adriamycin)</t>
  </si>
  <si>
    <t>Doxycycline (internal use)</t>
  </si>
  <si>
    <t>Doxycycline calcium (internal use)</t>
  </si>
  <si>
    <t>Doxycycline hyclate (internal use)</t>
  </si>
  <si>
    <t>Doxycycline monohydrate (internal use)</t>
  </si>
  <si>
    <t>Emissions from combustion of coal</t>
  </si>
  <si>
    <t>Emissions from high-temperature unrefined rapeseed oil</t>
  </si>
  <si>
    <t>Endrin</t>
  </si>
  <si>
    <t>Environmental tobacco smoke (ETS)</t>
  </si>
  <si>
    <t>Epichlorohydrin</t>
  </si>
  <si>
    <t>Epoxiconazole</t>
  </si>
  <si>
    <t>Ergotamine tartrate</t>
  </si>
  <si>
    <t>Estradiol 17B</t>
  </si>
  <si>
    <t>Estragole</t>
  </si>
  <si>
    <t>Estrogens, steroidal</t>
  </si>
  <si>
    <t>Estrogen-progestogen (combined) used as menopausal therapy</t>
  </si>
  <si>
    <t>Estrone</t>
  </si>
  <si>
    <t>Estropipate</t>
  </si>
  <si>
    <t>Ethanol in alcoholic beverages</t>
  </si>
  <si>
    <t>Ethinylestradiol</t>
  </si>
  <si>
    <t>Ethionamide</t>
  </si>
  <si>
    <t>Ethoprop</t>
  </si>
  <si>
    <t>Ethyl acrylate</t>
  </si>
  <si>
    <t>Ethyl alcohol in alcoholic beverages</t>
  </si>
  <si>
    <t>Ethylbenzene</t>
  </si>
  <si>
    <t>Ethyl dipropylthiocarbamate</t>
  </si>
  <si>
    <t>Ethyl-4,4'-dichlorobenzilate</t>
  </si>
  <si>
    <t>Ethylene dibromide</t>
  </si>
  <si>
    <t>Ethylene dichloride (1,2-Dichloroethane)</t>
  </si>
  <si>
    <t>Ethylene glycol (ingested)</t>
  </si>
  <si>
    <t>Ethylene glycol monoethyl ether</t>
  </si>
  <si>
    <t>Ethylene glycol monoethyl ether acetate</t>
  </si>
  <si>
    <t>Ethylene glycol monomethyl ether</t>
  </si>
  <si>
    <t>Ethylene glycol monomethyl ether acetate</t>
  </si>
  <si>
    <t>Ethyleneimine (Aziridine)</t>
  </si>
  <si>
    <t>Ethylene oxide</t>
  </si>
  <si>
    <t>Ethylene thiourea</t>
  </si>
  <si>
    <t>Ethyl methanesulfonate</t>
  </si>
  <si>
    <t>Etodolac</t>
  </si>
  <si>
    <t>Etoposide</t>
  </si>
  <si>
    <t>Etoposide in combination with cisplatin and bleomycin</t>
  </si>
  <si>
    <t>Etretinate</t>
  </si>
  <si>
    <t>Fenoxaprop ethyl</t>
  </si>
  <si>
    <t>Fenoxycarb</t>
  </si>
  <si>
    <t>Filgrastim</t>
  </si>
  <si>
    <t>Fluazifop butyl</t>
  </si>
  <si>
    <t>Flunisolide</t>
  </si>
  <si>
    <t>Fluorouracil</t>
  </si>
  <si>
    <t>Fluoxymesterone</t>
  </si>
  <si>
    <t>Flurazepam hydrochloride</t>
  </si>
  <si>
    <t>Flurbiprofen</t>
  </si>
  <si>
    <t>Flutamide</t>
  </si>
  <si>
    <t>Fluticasone propionate</t>
  </si>
  <si>
    <t>Fluvalinate</t>
  </si>
  <si>
    <t>Folpet</t>
  </si>
  <si>
    <t>Formaldehyde (gas)</t>
  </si>
  <si>
    <t>2-(2-Formylhydrazino)-4-(5-nitro-2-furyl)thiazole</t>
  </si>
  <si>
    <t>Fumonisin B1</t>
  </si>
  <si>
    <t>Furan</t>
  </si>
  <si>
    <t>Furazolidone</t>
  </si>
  <si>
    <t>Furfuryl alcohol</t>
  </si>
  <si>
    <t>Furmecyclox</t>
  </si>
  <si>
    <t>Fusarin C</t>
  </si>
  <si>
    <t>Gallium arsenide</t>
  </si>
  <si>
    <t>Ganciclovir</t>
  </si>
  <si>
    <t>Ganciclovir sodium</t>
  </si>
  <si>
    <t>Gasoline engine exhaust (condensates/extracts)</t>
  </si>
  <si>
    <t>Gemfibrozil</t>
  </si>
  <si>
    <t>Glass wool fibers (inhalable and biopersistent)</t>
  </si>
  <si>
    <t>Glu-P-1 (2-Amino-6-methyldipyrido[1,2- a:3',2'-d]imidazole)</t>
  </si>
  <si>
    <t>Glu-P-2 (2-Aminodipyrido[1,2-a:3',2'-d]imidazole)</t>
  </si>
  <si>
    <t>Glycidaldehyde</t>
  </si>
  <si>
    <t>Glycidol</t>
  </si>
  <si>
    <t>Glyphosate</t>
  </si>
  <si>
    <t>Goldenseal root powder</t>
  </si>
  <si>
    <t>Goserelin acetate</t>
  </si>
  <si>
    <t>Griseofulvin</t>
  </si>
  <si>
    <t>Gyromitrin (Acetaldehyde methylformylhydrazone)</t>
  </si>
  <si>
    <t>Halazepam</t>
  </si>
  <si>
    <t>Halobetasol propionate</t>
  </si>
  <si>
    <t>Haloperidol</t>
  </si>
  <si>
    <t>Halothane</t>
  </si>
  <si>
    <t>HC Blue 1</t>
  </si>
  <si>
    <t>Heptachlor</t>
  </si>
  <si>
    <t>Heptachlor epoxide</t>
  </si>
  <si>
    <t>Herbal remedies containing plant species of the genus Aristolochia</t>
  </si>
  <si>
    <t>Hexachlorobenzene</t>
  </si>
  <si>
    <t>Hexachlorobutadiene</t>
  </si>
  <si>
    <t>Hexachlorodibenzodioxin</t>
  </si>
  <si>
    <t>Hexachloroethane</t>
  </si>
  <si>
    <t>2,4-Hexadienal (89% trans, trans isomer; 11% cis, trans isomer)</t>
  </si>
  <si>
    <t>Hexafluoroacetone</t>
  </si>
  <si>
    <t>Hexamethylphosphoramide</t>
  </si>
  <si>
    <t>Histrelin acetate</t>
  </si>
  <si>
    <t>Hydramethylnon</t>
  </si>
  <si>
    <t>Hydrazine</t>
  </si>
  <si>
    <t>Hydrazine sulfate</t>
  </si>
  <si>
    <t>Hydrazobenzene (1,2-Diphenylhydrazine)</t>
  </si>
  <si>
    <t>1-Hydroxyanthraquinone</t>
  </si>
  <si>
    <t>Hydroxyurea</t>
  </si>
  <si>
    <t>Idarubicin hydrochloride</t>
  </si>
  <si>
    <t>Ifosfamide</t>
  </si>
  <si>
    <t>Iodine-131</t>
  </si>
  <si>
    <t>Imazalil</t>
  </si>
  <si>
    <t>Indeno[1,2,3-cd]pyrene</t>
  </si>
  <si>
    <t>Indium phosphide</t>
  </si>
  <si>
    <t>IQ (2-Amino-3-methylimidazo[4,5-f] quinoline)</t>
  </si>
  <si>
    <t>Iprodione</t>
  </si>
  <si>
    <t>Iron dextran complex</t>
  </si>
  <si>
    <t>Isobutyl nitrite</t>
  </si>
  <si>
    <t>Isoprene</t>
  </si>
  <si>
    <t>Isopyrazam</t>
  </si>
  <si>
    <t>Isotretinoin</t>
  </si>
  <si>
    <t>Isoxaflutole</t>
  </si>
  <si>
    <t>Kresoxim-methyl</t>
  </si>
  <si>
    <t>Lactofen</t>
  </si>
  <si>
    <t>Lasiocarpine</t>
  </si>
  <si>
    <t>Lead</t>
  </si>
  <si>
    <t>Lead and lead compounds</t>
  </si>
  <si>
    <t>Lead acetate</t>
  </si>
  <si>
    <t>Lead phosphate</t>
  </si>
  <si>
    <t>Lead subacetate</t>
  </si>
  <si>
    <t>Leather dust</t>
  </si>
  <si>
    <t>Leuprolide acetate</t>
  </si>
  <si>
    <t>Levodopa</t>
  </si>
  <si>
    <t>Lindane and other hexachlorocyclohexane isomers</t>
  </si>
  <si>
    <t>Linuron</t>
  </si>
  <si>
    <t>Lithium carbonate</t>
  </si>
  <si>
    <t>Lithium citrate</t>
  </si>
  <si>
    <t>Lorazepam</t>
  </si>
  <si>
    <t>Lovastatin</t>
  </si>
  <si>
    <t>Lynestrenol</t>
  </si>
  <si>
    <t>Malathion</t>
  </si>
  <si>
    <t>Malonaldehyde, sodium salt</t>
  </si>
  <si>
    <t>Mancozeb</t>
  </si>
  <si>
    <t>Maneb</t>
  </si>
  <si>
    <t>Marijuana smoke</t>
  </si>
  <si>
    <t>Me-A-alpha-C (2-Amino-3-methyl-9H-pyrido[2,3-b]indole)</t>
  </si>
  <si>
    <t>Mebendazole</t>
  </si>
  <si>
    <t>Medroxyprogesterone acetate</t>
  </si>
  <si>
    <t>Megestrol acetate</t>
  </si>
  <si>
    <t>MeIQ (2-Amino-3,4-dimethylimidazo[4,5-f]quinoline)</t>
  </si>
  <si>
    <t>MeIQx (2-Amino-3,8-dimethylimidazo[4,5-f]quinoxaline)</t>
  </si>
  <si>
    <t>Melphalan</t>
  </si>
  <si>
    <t>Menotropins</t>
  </si>
  <si>
    <t>Mepanipyrim</t>
  </si>
  <si>
    <t>Meprobamate</t>
  </si>
  <si>
    <t>2-Mercaptobenzothiazole</t>
  </si>
  <si>
    <t>Mercaptopurine</t>
  </si>
  <si>
    <t>Mercury and mercury compounds</t>
  </si>
  <si>
    <t>Merphalan</t>
  </si>
  <si>
    <t>Mestranol</t>
  </si>
  <si>
    <t>Metam potassium</t>
  </si>
  <si>
    <t>Methacycline hydrochloride</t>
  </si>
  <si>
    <t>Metham sodium</t>
  </si>
  <si>
    <t>Methanol</t>
  </si>
  <si>
    <t>Methazole</t>
  </si>
  <si>
    <t>Methimazole</t>
  </si>
  <si>
    <t>Methotrexate</t>
  </si>
  <si>
    <t>Methotrexate sodium</t>
  </si>
  <si>
    <t>5-Methoxypsoralen with ultraviolet A therapy</t>
  </si>
  <si>
    <t>8-Methoxypsoralen with ultraviolet A therapy</t>
  </si>
  <si>
    <t>2-Methylaziridine (Propyleneimine)</t>
  </si>
  <si>
    <t>Methylazoxymethanol</t>
  </si>
  <si>
    <t>Methylazoxymethanol acetate</t>
  </si>
  <si>
    <t>Methyl bromide, as a structural fumigant</t>
  </si>
  <si>
    <t>Methyl carbamate</t>
  </si>
  <si>
    <t>Methyl chloride</t>
  </si>
  <si>
    <t>3-Methylcholanthrene</t>
  </si>
  <si>
    <t>5-Methylchrysene</t>
  </si>
  <si>
    <t>4,4'-Methylene bis(2-chloroaniline)</t>
  </si>
  <si>
    <t>4,4'-Methylene bis(N,N-dimethyl)benzenamine</t>
  </si>
  <si>
    <t>4,4'-Methylene bis(2-methylaniline)</t>
  </si>
  <si>
    <t>4,4'-Methylenedianiline</t>
  </si>
  <si>
    <t>4,4'-Methylenedianiline dihydrochloride</t>
  </si>
  <si>
    <t>Methyleugenol</t>
  </si>
  <si>
    <t>Methylhydrazine and its salts</t>
  </si>
  <si>
    <t>2-Methylimidazole</t>
  </si>
  <si>
    <t>4-Methylimidazole</t>
  </si>
  <si>
    <t>Methyl iodide</t>
  </si>
  <si>
    <t>Methyl isobutyl ketone</t>
  </si>
  <si>
    <t>Methyl isobutyl ketone (MIBK)</t>
  </si>
  <si>
    <t>Methyl isocyanate (MIC)</t>
  </si>
  <si>
    <t>Methyl mercury</t>
  </si>
  <si>
    <t>Methylmercury compounds</t>
  </si>
  <si>
    <t>Methyl methanesulfonate</t>
  </si>
  <si>
    <t>Methyl-n-butyl ketone</t>
  </si>
  <si>
    <t>2-Methyl-1-nitroanthraquinone (of uncertain purity)</t>
  </si>
  <si>
    <t>N-Methyl-N'-nitro-N-nitrosoguanidine</t>
  </si>
  <si>
    <t>N-Methylolacrylamide</t>
  </si>
  <si>
    <t>N-Methylpyrrolidone</t>
  </si>
  <si>
    <t>α-Methyl styrene (alpha-Methylstyrene)</t>
  </si>
  <si>
    <t>Methyltestosterone</t>
  </si>
  <si>
    <t>Methylthiouracil</t>
  </si>
  <si>
    <t>Metiram</t>
  </si>
  <si>
    <t>Metronidazole</t>
  </si>
  <si>
    <t>Michler's ketone</t>
  </si>
  <si>
    <t>Midazolam hydrochloride</t>
  </si>
  <si>
    <t>Minocycline hydrochloride (internal use)</t>
  </si>
  <si>
    <t>Mirex</t>
  </si>
  <si>
    <t>Misoprostol</t>
  </si>
  <si>
    <t>Mitomycin C</t>
  </si>
  <si>
    <t>Mitoxantrone hydrochloride</t>
  </si>
  <si>
    <t>Molinate</t>
  </si>
  <si>
    <t>MON 4660 (dichloroacetyl-1-oxa-4-azaspiro(4,5)-decane</t>
  </si>
  <si>
    <t>MON 13900 (furilazole)</t>
  </si>
  <si>
    <t>3-Monochloropropane-1,2-diol (3-MCPD)</t>
  </si>
  <si>
    <t>Monocrotaline</t>
  </si>
  <si>
    <t>MOPP (vincristine-prednisone-nitrogen mustard-procarbazine mixture)</t>
  </si>
  <si>
    <t>5-(Morpholinomethyl)-3-[(5-nitrofurfuryl-idene)-amino]-2-oxazolidinone</t>
  </si>
  <si>
    <t>Mustard Gas</t>
  </si>
  <si>
    <t>MX (3-chloro-4-dichloromethyl-5-hydroxy-2(5H)-furanone)</t>
  </si>
  <si>
    <t>Myclobutanil</t>
  </si>
  <si>
    <t>beta-Myrcene</t>
  </si>
  <si>
    <t>Nabam</t>
  </si>
  <si>
    <t>Nafarelin acetate</t>
  </si>
  <si>
    <t>Nafenopin</t>
  </si>
  <si>
    <t>Nalidixic acid</t>
  </si>
  <si>
    <t>Naphthalene</t>
  </si>
  <si>
    <t>1-Naphthylamine</t>
  </si>
  <si>
    <t>2-Naphthylamine</t>
  </si>
  <si>
    <t>Neomycin sulfate (internal use)</t>
  </si>
  <si>
    <t>Netilmicin sulfate</t>
  </si>
  <si>
    <t>Nickel (Metallic)</t>
  </si>
  <si>
    <t>Nickel acetate</t>
  </si>
  <si>
    <t>Nickel carbonate</t>
  </si>
  <si>
    <t>Nickel carbonyl</t>
  </si>
  <si>
    <t>Nickel compounds</t>
  </si>
  <si>
    <t>Nickelocene</t>
  </si>
  <si>
    <t>Nickel oxide</t>
  </si>
  <si>
    <t>Nickel refinery dust from the pyrometallurgical process</t>
  </si>
  <si>
    <t>Nickel subsulfide</t>
  </si>
  <si>
    <t>Nicotine</t>
  </si>
  <si>
    <t>Nifedipine</t>
  </si>
  <si>
    <t>Nimodipine</t>
  </si>
  <si>
    <t>Niridazole</t>
  </si>
  <si>
    <t>Nitrapyrin</t>
  </si>
  <si>
    <t>Nitrilotriacetic acid</t>
  </si>
  <si>
    <t>Nitrilotriacetic acid, trisodium salt monohydrate</t>
  </si>
  <si>
    <t>5-Nitroacenaphthene</t>
  </si>
  <si>
    <t>o-Nitroanisole</t>
  </si>
  <si>
    <t>Nitrobenzene</t>
  </si>
  <si>
    <t>4-Nitrobiphenyl</t>
  </si>
  <si>
    <t>6-Nitrochrysene</t>
  </si>
  <si>
    <t>Nitrofen (technical grade)</t>
  </si>
  <si>
    <t>2-Nitrofluorene</t>
  </si>
  <si>
    <t>Nitrofurazone</t>
  </si>
  <si>
    <t>1-[(5-Nitrofurfurylidene)-amino]-2-imidazolidinone</t>
  </si>
  <si>
    <t>N-[4-(5-Nitro-2-furyl)-2-thiazolyl]acetamide</t>
  </si>
  <si>
    <t>Nitrogen mustard (Mechlorethamine)</t>
  </si>
  <si>
    <t>Nitrogen mustard hydrochloride (Mechlorethamine hydrochloride)</t>
  </si>
  <si>
    <t>Nitrogen mustard N-oxide</t>
  </si>
  <si>
    <t>Nitrogen mustard N-oxide hydrochloride</t>
  </si>
  <si>
    <t>Nitromethane</t>
  </si>
  <si>
    <t>2-Nitropropane</t>
  </si>
  <si>
    <t>1-Nitropyrene</t>
  </si>
  <si>
    <t>4-Nitropyrene</t>
  </si>
  <si>
    <t>N-Nitrosodi-n-butylamine</t>
  </si>
  <si>
    <t>N-Nitrosodiethanolamine</t>
  </si>
  <si>
    <t>N-Nitrosodiethylamine</t>
  </si>
  <si>
    <t>N-Nitrosodimethylamine</t>
  </si>
  <si>
    <t>p-Nitrosodiphenylamine</t>
  </si>
  <si>
    <t>N-Nitrosodiphenylamine</t>
  </si>
  <si>
    <t>N-Nitrosodi-n-propylamine</t>
  </si>
  <si>
    <t>N-Nitroso-N-ethylurea</t>
  </si>
  <si>
    <t>3-(N-Nitrosomethylamino) propionitrile</t>
  </si>
  <si>
    <t>4-(N-Nitrosomethylamino)-1-(3-pyridyl)1-butanone</t>
  </si>
  <si>
    <t>N-Nitrosomethyl-n-butylamine</t>
  </si>
  <si>
    <t>N-Nitrosomethyl-n-decylamine</t>
  </si>
  <si>
    <t>N-Nitrosomethyl-n-dodecylamine</t>
  </si>
  <si>
    <t>N-Nitrosomethylethylamine</t>
  </si>
  <si>
    <t>N-Nitrosomethyl-n-heptylamine</t>
  </si>
  <si>
    <t>N-Nitrosomethyl-n-hexylamine</t>
  </si>
  <si>
    <t>N-Nitrosomethyl-n-nonylamine</t>
  </si>
  <si>
    <t>N-Nitrosomethyl-n-octylamine</t>
  </si>
  <si>
    <t>N-Nitrosomethyl-n-pentylamine</t>
  </si>
  <si>
    <t>N-Nitrosomethyl-n-propylamine</t>
  </si>
  <si>
    <t>N-Nitrosomethyl-n-tetradecylamine</t>
  </si>
  <si>
    <t>N-Nitrosomethyl-n-undecylamine</t>
  </si>
  <si>
    <t>N-Nitroso-N-methylurea</t>
  </si>
  <si>
    <t>N-Nitroso-N-methylurethane</t>
  </si>
  <si>
    <t>N-Nitrosomethylvinylamine</t>
  </si>
  <si>
    <t>N-Nitrosomorpholine</t>
  </si>
  <si>
    <t>N-Nitrosonornicotine</t>
  </si>
  <si>
    <t>N-Nitrosopiperidine</t>
  </si>
  <si>
    <t>N-Nitrosopyrrolidine</t>
  </si>
  <si>
    <t>N-Nitrososarcosine</t>
  </si>
  <si>
    <t>o-Nitrotoluene</t>
  </si>
  <si>
    <t>Nitrous oxide</t>
  </si>
  <si>
    <t>Norethisterone (Norethindrone)</t>
  </si>
  <si>
    <t>Norethisterone acetate (Norethindrone acetate)</t>
  </si>
  <si>
    <t>Norethisterone (Norethindrone)/Ethinyl estradiol</t>
  </si>
  <si>
    <t>Norethynodrel</t>
  </si>
  <si>
    <t>Norgestrel</t>
  </si>
  <si>
    <t>Ochratoxin A</t>
  </si>
  <si>
    <t>Oil Orange SS</t>
  </si>
  <si>
    <t>Oral contraceptives, combined</t>
  </si>
  <si>
    <t>Oral contraceptives, sequential</t>
  </si>
  <si>
    <t>Oryzalin</t>
  </si>
  <si>
    <t>Oxadiazon</t>
  </si>
  <si>
    <t>Oxazepam</t>
  </si>
  <si>
    <t>Oxymetholone</t>
  </si>
  <si>
    <t>Oxytetracycline (internal use)</t>
  </si>
  <si>
    <t>Oxytetracycline hydrochloride (internal use)</t>
  </si>
  <si>
    <t>Oxythioquinox (Chinomethionat)</t>
  </si>
  <si>
    <t>Paclitaxel</t>
  </si>
  <si>
    <t>Palygorskite fibers (&gt; 5mm in length)</t>
  </si>
  <si>
    <t>Panfuran S</t>
  </si>
  <si>
    <t>Paramethadione</t>
  </si>
  <si>
    <t>Parathion</t>
  </si>
  <si>
    <t>Penicillamine</t>
  </si>
  <si>
    <t>pentabromodiphenyl ether mixture [DE-71 (technical grade)]</t>
  </si>
  <si>
    <t>Pentachlorophenol</t>
  </si>
  <si>
    <t>Pentachlorophenol and by-products of its synthesis (complex mixture)</t>
  </si>
  <si>
    <t>Pentobarbital sodium</t>
  </si>
  <si>
    <t>Pentosan polysulfate sodium</t>
  </si>
  <si>
    <t>Pentostatin</t>
  </si>
  <si>
    <t>Perfluorooctane sulfonate (PFOS)</t>
  </si>
  <si>
    <t>Perfluorooctanoic acid (PFOA)</t>
  </si>
  <si>
    <t>Pertuzumab</t>
  </si>
  <si>
    <t>Phenacemide</t>
  </si>
  <si>
    <t>Phenacetin</t>
  </si>
  <si>
    <t>Phenazopyridine</t>
  </si>
  <si>
    <t>Phenazopyridine hydrochloride</t>
  </si>
  <si>
    <t>Phenesterin</t>
  </si>
  <si>
    <t>Phenobarbital</t>
  </si>
  <si>
    <t>Phenolphthalein</t>
  </si>
  <si>
    <t>Phenoxybenzamine</t>
  </si>
  <si>
    <t>Phenoxybenzamine hydrochloride</t>
  </si>
  <si>
    <t>Phenprocoumon</t>
  </si>
  <si>
    <t>o-Phenylenediamine and its salts</t>
  </si>
  <si>
    <t>Phenylhydrazine and its salts</t>
  </si>
  <si>
    <t>o-Phenylphenate, sodium</t>
  </si>
  <si>
    <t>o-Phenylphenol</t>
  </si>
  <si>
    <t>Phenylphosphine</t>
  </si>
  <si>
    <t>PhiP(2-Amino-1-methyl-6-phenylimidazol[4,5-b]pyridine)</t>
  </si>
  <si>
    <t>Pimozide</t>
  </si>
  <si>
    <t>Pioglitazone</t>
  </si>
  <si>
    <t>Pipobroman</t>
  </si>
  <si>
    <t>Pirimicarb</t>
  </si>
  <si>
    <t>Plicamycin</t>
  </si>
  <si>
    <t>Polybrominated biphenyls</t>
  </si>
  <si>
    <t>Polychlorinated biphenyls</t>
  </si>
  <si>
    <t>Polychlorinated biphenyls (containing 60 or more percent chlorine by molecular weight)</t>
  </si>
  <si>
    <t>Polychlorinated dibenzo-p-dioxins</t>
  </si>
  <si>
    <t>Polychlorinated dibenzofurans</t>
  </si>
  <si>
    <t>Polygeenan</t>
  </si>
  <si>
    <t>Ponceau MX</t>
  </si>
  <si>
    <t>Ponceau 3R</t>
  </si>
  <si>
    <t>Potassium bromate</t>
  </si>
  <si>
    <t>Potassium dimethyldithiocarbamate</t>
  </si>
  <si>
    <t>Pravastatin sodium</t>
  </si>
  <si>
    <t>Prednisolone sodium phosphate</t>
  </si>
  <si>
    <t>Primidone</t>
  </si>
  <si>
    <t>Procarbazine</t>
  </si>
  <si>
    <t>Procarbazine hydrochloride</t>
  </si>
  <si>
    <t>Procymidone</t>
  </si>
  <si>
    <t>Progesterone</t>
  </si>
  <si>
    <t>Pronamide</t>
  </si>
  <si>
    <t>Propachlor</t>
  </si>
  <si>
    <t>1,3-Propane sultone</t>
  </si>
  <si>
    <t>Propargite</t>
  </si>
  <si>
    <t>Propazine</t>
  </si>
  <si>
    <t>beta-Propiolactone</t>
  </si>
  <si>
    <t>Propoxur</t>
  </si>
  <si>
    <t>Propylene glycol mono-t-butyl ether</t>
  </si>
  <si>
    <t>Propylene oxide</t>
  </si>
  <si>
    <t>Propylthiouracil</t>
  </si>
  <si>
    <t>Pulegone</t>
  </si>
  <si>
    <t>Pymetrozine</t>
  </si>
  <si>
    <t>Pyridine</t>
  </si>
  <si>
    <t>Pyrimethamine</t>
  </si>
  <si>
    <t>Quazepam</t>
  </si>
  <si>
    <t>Quinoline and its strong acid salts</t>
  </si>
  <si>
    <t>Radionuclides</t>
  </si>
  <si>
    <t>Reserpine</t>
  </si>
  <si>
    <t>Residual (heavy) fuel oils</t>
  </si>
  <si>
    <t>Resmethrin</t>
  </si>
  <si>
    <t>Retinol/retinyl esters, when in daily dosages in excess of 10,000 IU, or 3,000 retinol equivalents.</t>
  </si>
  <si>
    <t>Ribavirin</t>
  </si>
  <si>
    <t>Riddelliine</t>
  </si>
  <si>
    <t>Rifampin</t>
  </si>
  <si>
    <t>Safrole</t>
  </si>
  <si>
    <t>Salted fish, Chinese-style</t>
  </si>
  <si>
    <t>Secobarbital sodium</t>
  </si>
  <si>
    <t>Sedaxane</t>
  </si>
  <si>
    <t>Selenium sulfide</t>
  </si>
  <si>
    <t>Sermorelin acetate</t>
  </si>
  <si>
    <t>Shale-oils</t>
  </si>
  <si>
    <t>Silica, crystalline (airborne particles of respirable size)</t>
  </si>
  <si>
    <t>Simazine</t>
  </si>
  <si>
    <t>Sodium dimethyldithiocarbamate</t>
  </si>
  <si>
    <t>Soots, tars, and mineral oils (untreated and mildly treated oils and used engine oils)</t>
  </si>
  <si>
    <t>Spirodiclofen</t>
  </si>
  <si>
    <t>Spironolactone</t>
  </si>
  <si>
    <t>Stanozolol</t>
  </si>
  <si>
    <t>Sterigmatocystin</t>
  </si>
  <si>
    <t>Streptomycin sulfate</t>
  </si>
  <si>
    <t>Streptozocin (streptozotocin)</t>
  </si>
  <si>
    <t>Streptozotocin (streptozocin)</t>
  </si>
  <si>
    <t>Strong inorganic acid mists containing sulfuric acid</t>
  </si>
  <si>
    <t>Styrene</t>
  </si>
  <si>
    <t>Styrene oxide</t>
  </si>
  <si>
    <t>Sulfallate</t>
  </si>
  <si>
    <t>Sulfasalazine (Salicylazosulfapyridine)</t>
  </si>
  <si>
    <t>Sulfur dioxidee</t>
  </si>
  <si>
    <t>Sulindac</t>
  </si>
  <si>
    <t>Talc containing asbestiform fibers</t>
  </si>
  <si>
    <t>Tamoxifen and its salts</t>
  </si>
  <si>
    <t>Tamoxifen citrate</t>
  </si>
  <si>
    <t>Temazepam</t>
  </si>
  <si>
    <t>Teniposide</t>
  </si>
  <si>
    <t>Terbacil</t>
  </si>
  <si>
    <t>Teriparatide</t>
  </si>
  <si>
    <t>Terrazole</t>
  </si>
  <si>
    <t>Testosterone and its esters</t>
  </si>
  <si>
    <t>Testosterone cypionate</t>
  </si>
  <si>
    <t>Testosterone enanthate</t>
  </si>
  <si>
    <t>Tetrabromobisphenol A</t>
  </si>
  <si>
    <t>3,3',4,4'-Tetrachloroazobenzene</t>
  </si>
  <si>
    <t>2,3,7,8-Tetrachlorodibenzo-p-dioxin (TCDD)</t>
  </si>
  <si>
    <t>1,1,1,2-Tetrachloroethane</t>
  </si>
  <si>
    <t>1,1,2,2-Tetrachloroethane</t>
  </si>
  <si>
    <t>Tetrachloroethylene (Perchloroethylene)</t>
  </si>
  <si>
    <t>p-a,a,a-Tetrachlorotoluene</t>
  </si>
  <si>
    <t>Tetrachlorvinphos</t>
  </si>
  <si>
    <t>Tetracycline (internal use)</t>
  </si>
  <si>
    <t>Tetracyclines (internal use)</t>
  </si>
  <si>
    <t>Tetracycline hydrochloride (internal use)</t>
  </si>
  <si>
    <t>Tetrafluoroethylene</t>
  </si>
  <si>
    <t>Tetranitromethane</t>
  </si>
  <si>
    <t>Thalidomide</t>
  </si>
  <si>
    <t>Thioacetamide</t>
  </si>
  <si>
    <t>4,4'-Thiodianiline</t>
  </si>
  <si>
    <t>Thiodicarb</t>
  </si>
  <si>
    <t>Thioguanine</t>
  </si>
  <si>
    <t>Thiouracil</t>
  </si>
  <si>
    <t>Thiourea</t>
  </si>
  <si>
    <t>Thorium dioxide</t>
  </si>
  <si>
    <t>Titanium dioxide (airborne, unbound particles of respirable size)</t>
  </si>
  <si>
    <t>Tobacco, oral use of smokeless products</t>
  </si>
  <si>
    <t>Tobacco smoke</t>
  </si>
  <si>
    <t>Tobacco smoke (primary)</t>
  </si>
  <si>
    <t>Tobramycin sulfate</t>
  </si>
  <si>
    <t>Toluene</t>
  </si>
  <si>
    <t>Toluene diisocyanate</t>
  </si>
  <si>
    <t>o-Toluidine</t>
  </si>
  <si>
    <t>o-Toluidine hydrochloride</t>
  </si>
  <si>
    <t>Topiramate</t>
  </si>
  <si>
    <t>Toxaphene (Polychlorinated camphenes)</t>
  </si>
  <si>
    <t>Toxins derived from Fusarium moniliforme (Fusarium verticillioides)</t>
  </si>
  <si>
    <t>Treosulfan</t>
  </si>
  <si>
    <t>Triadimefon</t>
  </si>
  <si>
    <t>Triamterene</t>
  </si>
  <si>
    <t>Triazolam</t>
  </si>
  <si>
    <t>S,S,S-Tributyl phosphorotrithioate (Tribufos, DEF)</t>
  </si>
  <si>
    <t>Tributyltin methacrylate</t>
  </si>
  <si>
    <t>Trichlormethine (Trimustine hydrochloride)</t>
  </si>
  <si>
    <t>Trichloroacetic acid</t>
  </si>
  <si>
    <t>Trichloroethylene</t>
  </si>
  <si>
    <t>2,4,6-Trichlorophenol</t>
  </si>
  <si>
    <t>1,2,3-Trichloropropane</t>
  </si>
  <si>
    <t>Trientine hydrochloride</t>
  </si>
  <si>
    <t>Triforine</t>
  </si>
  <si>
    <t>Trilostane</t>
  </si>
  <si>
    <t>Trimethadione</t>
  </si>
  <si>
    <t>2,4,5-Trimethylaniline and its strong acid salts</t>
  </si>
  <si>
    <t>Trimethyl phosphate</t>
  </si>
  <si>
    <t>Trimetrexate glucuronate</t>
  </si>
  <si>
    <t>2,4,6-Trinitrotoluene (TNT)</t>
  </si>
  <si>
    <t>Triphenyltin hydroxide</t>
  </si>
  <si>
    <t>Tris(1-aziridinyl)phosphine sulfide (Thiotepa)</t>
  </si>
  <si>
    <t>Tris(2-chloroethyl) phosphate</t>
  </si>
  <si>
    <t>Tris(2,3-dibromopropyl)phosphate</t>
  </si>
  <si>
    <t>Tris(1,3-dichloro-2-propyl) phosphate (TDCPP)</t>
  </si>
  <si>
    <t>Trp-P-1 (Tryptophan-P-1)</t>
  </si>
  <si>
    <t>Trp-P-2 (Tryptophan-P-2)</t>
  </si>
  <si>
    <t>Trypan blue (commercial grade)</t>
  </si>
  <si>
    <t>Unleaded gasoline (wholly vaporized)</t>
  </si>
  <si>
    <t>Uracil mustard</t>
  </si>
  <si>
    <t>Urethane (Ethyl carbamate)</t>
  </si>
  <si>
    <t>Urofollitropin</t>
  </si>
  <si>
    <t>Valproate (Valproic acid)</t>
  </si>
  <si>
    <t>Vanadium pentoxide (orthorhombic crystalline form)</t>
  </si>
  <si>
    <t>Vinblastine sulfate</t>
  </si>
  <si>
    <t>Vinclozolin</t>
  </si>
  <si>
    <t>Vincristine sulfate</t>
  </si>
  <si>
    <t>Vinyl bromide</t>
  </si>
  <si>
    <t>Vinyl chloride</t>
  </si>
  <si>
    <t>4-Vinylcyclohexene</t>
  </si>
  <si>
    <t>4-Vinyl-1-cyclohexene diepoxide (Vinyl cyclohexenedioxide)</t>
  </si>
  <si>
    <t>Vinyl fluoride</t>
  </si>
  <si>
    <t>Vinylidene chloride (1,1-Dichloroethylene)</t>
  </si>
  <si>
    <t>Vinyl trichloride (1,1,2-Trichloroethane)</t>
  </si>
  <si>
    <t>Warfarin</t>
  </si>
  <si>
    <t>Wood dust</t>
  </si>
  <si>
    <t>2,6-Xylidine (2,6-Dimethylaniline)</t>
  </si>
  <si>
    <t>Zalcitabine</t>
  </si>
  <si>
    <t>Zidovudine (AZT)</t>
  </si>
  <si>
    <t>Zileuton</t>
  </si>
  <si>
    <t>2-Bromopropane (2-BP)</t>
  </si>
  <si>
    <t>2-Chloropropionic acid</t>
  </si>
  <si>
    <t>Di-n-hexyl phthalate (DnHP)</t>
  </si>
  <si>
    <t>m-Dinitrobenzene</t>
  </si>
  <si>
    <t>o-Dinitrobenzene</t>
  </si>
  <si>
    <t>p-Dinitrobenzene</t>
  </si>
  <si>
    <t>Dinitrotoluene (technical grade)</t>
  </si>
  <si>
    <t>n-Hexane</t>
  </si>
  <si>
    <t>2,5-Hexanedione</t>
  </si>
  <si>
    <t>Hydrogen cyanide (HCN) and cyanide salts (CN salts)</t>
  </si>
  <si>
    <t>Levonorgestrel implants</t>
  </si>
  <si>
    <t>Nitrofurantoin</t>
  </si>
  <si>
    <t>Oxydemeton methyl</t>
  </si>
  <si>
    <t>Quizalofop-ethyl</t>
  </si>
  <si>
    <t>Sodium fluoroacetate</t>
  </si>
  <si>
    <t>Thiophanate methyl</t>
  </si>
  <si>
    <t>Vinyl cyclohexene dioxide (4-Vinyl-1-cyclohexene diepoxide)</t>
  </si>
  <si>
    <t>Chloroform</t>
  </si>
  <si>
    <t>1,2-Dibromo-3-chloropropane (DBCP)</t>
  </si>
  <si>
    <t>Diclofop-methyl</t>
  </si>
  <si>
    <t>Phenyl glycidyl ether</t>
  </si>
  <si>
    <t>Di-isodecyl phthalate (DIDP)</t>
  </si>
  <si>
    <t>Erionite</t>
  </si>
  <si>
    <t>Iprovalicarb</t>
  </si>
  <si>
    <t>Nickel hydroxide</t>
  </si>
  <si>
    <t>Norethisterone (Norethindrone) /Mestranol</t>
  </si>
  <si>
    <t>Anabolic steroids</t>
  </si>
  <si>
    <t>Altretamine</t>
  </si>
  <si>
    <t>Beryllium</t>
  </si>
  <si>
    <t>Beryllium Oxide</t>
  </si>
  <si>
    <t>Beryllium Sulfate</t>
  </si>
  <si>
    <t>Hexachlorocyclohexane (alpha isomer)</t>
  </si>
  <si>
    <t>Hexachlorocyclohexane (beta isomer)</t>
  </si>
  <si>
    <t>Hexachlorocyclohexane (gamma isomer)</t>
  </si>
  <si>
    <t>Cyanide salts that readily dissociate in solution (expressed as cyanide)</t>
  </si>
  <si>
    <t>Hydrogen cyanide</t>
  </si>
  <si>
    <t>Potassium cyanide</t>
  </si>
  <si>
    <t>Methylhydrazine</t>
  </si>
  <si>
    <t>Methylhydrazine sulfate</t>
  </si>
  <si>
    <t>o-Phenylenediamine</t>
  </si>
  <si>
    <t>o-Phenylenediamine dihydochloride</t>
  </si>
  <si>
    <t>Phenylhydrazine</t>
  </si>
  <si>
    <t>Phenylhydrazine hydrochloride</t>
  </si>
  <si>
    <t>Sodium cyanide</t>
  </si>
  <si>
    <t>Short form warning</t>
  </si>
  <si>
    <t>Nickel (soluble compounds)</t>
  </si>
  <si>
    <t>TRIM VX</t>
  </si>
  <si>
    <t>N-Nitrosohexamethyleneimine</t>
  </si>
  <si>
    <t>Gentian violet (Crystal violet)</t>
  </si>
  <si>
    <t>Custom warning</t>
  </si>
  <si>
    <t>2-Amino-4-chlorophenol</t>
  </si>
  <si>
    <t>2-Chloronitrobenzene</t>
  </si>
  <si>
    <t>1,4-Dichloro-2-nitrobenzene</t>
  </si>
  <si>
    <t>2,4-Dichloro-1-nitrobenzene</t>
  </si>
  <si>
    <t>Bevacizumab</t>
  </si>
  <si>
    <t>p-chloro-?,?,?-trifluorotoluene (para-Chlorobenzotrifluoride, PCBTF)</t>
  </si>
  <si>
    <t>para-Nitroanisole</t>
  </si>
  <si>
    <t>Cannabis (marijuana) smoke</t>
  </si>
  <si>
    <t>?9 -Tetrahydrocannabinol (?9 -THC)</t>
  </si>
  <si>
    <t>1,1,1-Trichloroethane</t>
  </si>
  <si>
    <t>1-Bromo-3-chloropropane</t>
  </si>
  <si>
    <t>1-Butyl glycidyl ether</t>
  </si>
  <si>
    <t>2-Ethylhexyl acrylate</t>
  </si>
  <si>
    <t>Alcoholic beverages</t>
  </si>
  <si>
    <t>Anthracene</t>
  </si>
  <si>
    <t>Bisphenol S (BPS)</t>
  </si>
  <si>
    <t>Coal-tar pitch</t>
  </si>
  <si>
    <t>Dimethyl hydrogen phosphite</t>
  </si>
  <si>
    <t>Fluoro-edenite fibrous amphibole</t>
  </si>
  <si>
    <t>Glycidyl methacrylate</t>
  </si>
  <si>
    <t>Hexachlorocyclohexane (technical grade)</t>
  </si>
  <si>
    <t>Indium tin oxide</t>
  </si>
  <si>
    <t>Leucomalachite green</t>
  </si>
  <si>
    <t>Methyl acrylate</t>
  </si>
  <si>
    <t>Molybdenum trioxide</t>
  </si>
  <si>
    <t>p-Chloro-o-toluidine, hydrochloride</t>
  </si>
  <si>
    <t>Perfluorononanoic acid (PFNA) and its salts</t>
  </si>
  <si>
    <t>Perfluorooctane sulfonic acid (PFOS) and its salts and transformation and degradation precursors</t>
  </si>
  <si>
    <t>Retinol/retinyl esters, when in daily dosages in excess of 10,000 IU, or 3,000 retinol equivalents. (NOTE: Retinol/retinyl esters are required and essential for maintenance of normal reproductive function. The recommended daily level during pregnancy is 8,000 IU.)</t>
  </si>
  <si>
    <t>Silicon carbide whiskers</t>
  </si>
  <si>
    <t>Tetrahydrofuran</t>
  </si>
  <si>
    <t>Trimethylolpropane triacrylate, technical grade</t>
  </si>
  <si>
    <t>Vismodegib</t>
  </si>
  <si>
    <t>United States</t>
  </si>
  <si>
    <t>Canada</t>
  </si>
  <si>
    <t>Afghanistan</t>
  </si>
  <si>
    <t>Åland Islands</t>
  </si>
  <si>
    <t>Albania</t>
  </si>
  <si>
    <t>Algeria</t>
  </si>
  <si>
    <t>American Samoa</t>
  </si>
  <si>
    <t>Andorra</t>
  </si>
  <si>
    <t>Angola</t>
  </si>
  <si>
    <t>Anguilla</t>
  </si>
  <si>
    <t>Antarctica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</si>
  <si>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</si>
  <si>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</si>
  <si>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</si>
  <si>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</si>
  <si>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</si>
  <si>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</si>
  <si>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</si>
  <si>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</si>
  <si>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</si>
  <si>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</si>
  <si>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</si>
  <si>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</si>
  <si>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</si>
  <si>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</si>
  <si>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</si>
  <si>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</si>
  <si>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</si>
  <si>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</si>
  <si>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</si>
  <si>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</si>
  <si>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Bouvet Island</t>
  </si>
  <si>
    <t>Brazil</t>
  </si>
  <si>
    <t>British Indian Ocean Territory</t>
  </si>
  <si>
    <t>Brunei Darussalam</t>
  </si>
  <si>
    <t>Bulgaria</t>
  </si>
  <si>
    <t>Burkina Faso</t>
  </si>
  <si>
    <t>Burundi</t>
  </si>
  <si>
    <t>Cambodia</t>
  </si>
  <si>
    <t>Cameroon</t>
  </si>
  <si>
    <t>Cape Verde</t>
  </si>
  <si>
    <t>Cayman Islands</t>
  </si>
  <si>
    <t>Central African Republic</t>
  </si>
  <si>
    <t>Chad</t>
  </si>
  <si>
    <t>Chile</t>
  </si>
  <si>
    <t>China</t>
  </si>
  <si>
    <t>Christmas Island</t>
  </si>
  <si>
    <t>Cocos (Keeling) Islands</t>
  </si>
  <si>
    <t>Colombia</t>
  </si>
  <si>
    <t>Comoros</t>
  </si>
  <si>
    <t>Congo</t>
  </si>
  <si>
    <t>Congo, The Democratic Republic of the</t>
  </si>
  <si>
    <t>Cook Islands</t>
  </si>
  <si>
    <t>Costa Rica</t>
  </si>
  <si>
    <t>Côte D'Ivoire</t>
  </si>
  <si>
    <t>Croatia</t>
  </si>
  <si>
    <t>Cuba</t>
  </si>
  <si>
    <t>Cyprus</t>
  </si>
  <si>
    <t>Czech Republic</t>
  </si>
  <si>
    <t>Denmark</t>
  </si>
  <si>
    <t>Djibouti</t>
  </si>
  <si>
    <t>Dominica</t>
  </si>
  <si>
    <t>Dominican Republic</t>
  </si>
  <si>
    <t>Ecuador</t>
  </si>
  <si>
    <t>Egypt</t>
  </si>
  <si>
    <t>El Salvador</t>
  </si>
  <si>
    <t>Equatorial Guinea</t>
  </si>
  <si>
    <t>Eritrea</t>
  </si>
  <si>
    <t>Estonia</t>
  </si>
  <si>
    <t>Ethiopia</t>
  </si>
  <si>
    <t>Falkland Islands (Malvinas)</t>
  </si>
  <si>
    <t>Faroe Islands</t>
  </si>
  <si>
    <t>Fiji</t>
  </si>
  <si>
    <t>Finland</t>
  </si>
  <si>
    <t>France</t>
  </si>
  <si>
    <t>French Guiana</t>
  </si>
  <si>
    <t>French Polynesia</t>
  </si>
  <si>
    <t>French Southern Territories</t>
  </si>
  <si>
    <t>Gabon</t>
  </si>
  <si>
    <t>Gambia</t>
  </si>
  <si>
    <t>Georgia</t>
  </si>
  <si>
    <t>Germany</t>
  </si>
  <si>
    <t>Ghana</t>
  </si>
  <si>
    <t>Gibraltar</t>
  </si>
  <si>
    <t>Greece</t>
  </si>
  <si>
    <t>Greenland</t>
  </si>
  <si>
    <t>Grenada</t>
  </si>
  <si>
    <t>Guadeloupe</t>
  </si>
  <si>
    <t>Guam</t>
  </si>
  <si>
    <t>Guatemala</t>
  </si>
  <si>
    <t>Guernsey</t>
  </si>
  <si>
    <t>Guinea</t>
  </si>
  <si>
    <t>Guinea-Bissau</t>
  </si>
  <si>
    <t>Guyana</t>
  </si>
  <si>
    <t>Haiti</t>
  </si>
  <si>
    <t>Heard Island and McDonald Islands</t>
  </si>
  <si>
    <t>Holy See (Vatican City State)</t>
  </si>
  <si>
    <t>Honduras</t>
  </si>
  <si>
    <t>Hong Kong</t>
  </si>
  <si>
    <t>Hungary</t>
  </si>
  <si>
    <t>Iceland</t>
  </si>
  <si>
    <t>India</t>
  </si>
  <si>
    <t>Indonesia</t>
  </si>
  <si>
    <t>Iran, Islamic Republic of</t>
  </si>
  <si>
    <t>Iraq</t>
  </si>
  <si>
    <t>Ireland</t>
  </si>
  <si>
    <t>Isle of Man</t>
  </si>
  <si>
    <t>Israel</t>
  </si>
  <si>
    <t>Italy</t>
  </si>
  <si>
    <t>Jamaica</t>
  </si>
  <si>
    <t>Japan</t>
  </si>
  <si>
    <t>Jersey</t>
  </si>
  <si>
    <t>Jordan</t>
  </si>
  <si>
    <t>Kazakhstan</t>
  </si>
  <si>
    <t>Kenya</t>
  </si>
  <si>
    <t>Kiribati</t>
  </si>
  <si>
    <t>Korea, Democratic People's Republic of</t>
  </si>
  <si>
    <t>Korea, Republic of</t>
  </si>
  <si>
    <t>Kuwait</t>
  </si>
  <si>
    <t>Kyrgyzstan</t>
  </si>
  <si>
    <t>Lao People's Democratic Republic</t>
  </si>
  <si>
    <t>Latvia</t>
  </si>
  <si>
    <t>Lebanon</t>
  </si>
  <si>
    <t>Lesotho</t>
  </si>
  <si>
    <t>Liberia</t>
  </si>
  <si>
    <t>Libyan Arab Jamahiriya</t>
  </si>
  <si>
    <t>Liechtenstein</t>
  </si>
  <si>
    <t>Lithuania</t>
  </si>
  <si>
    <t>Luxembourg</t>
  </si>
  <si>
    <t>Macao</t>
  </si>
  <si>
    <t>Macedonia, The Former Yugoslav Republic of</t>
  </si>
  <si>
    <t>Madagascar</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</si>
  <si>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</si>
  <si>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</si>
  <si>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</si>
  <si>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</si>
  <si>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</si>
  <si>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</si>
  <si>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</si>
  <si>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</si>
  <si>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</si>
  <si>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</si>
  <si>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</si>
  <si>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</si>
  <si>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</si>
  <si>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</si>
  <si>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</si>
  <si>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</si>
  <si>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</si>
  <si>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</si>
  <si>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</si>
  <si>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t>
  </si>
  <si>
    <t>Namibia</t>
  </si>
  <si>
    <t>Nauru</t>
  </si>
  <si>
    <t>Nepal</t>
  </si>
  <si>
    <t>Netherlands</t>
  </si>
  <si>
    <t>Netherlands Antilles</t>
  </si>
  <si>
    <t>New Caledonia</t>
  </si>
  <si>
    <t>New Zealand</t>
  </si>
  <si>
    <t>Nicaragua</t>
  </si>
  <si>
    <t>Niger</t>
  </si>
  <si>
    <t>Nigeria</t>
  </si>
  <si>
    <t>Niue</t>
  </si>
  <si>
    <t>Norfolk Island</t>
  </si>
  <si>
    <t>Northern Mariana Islands</t>
  </si>
  <si>
    <t>Norway</t>
  </si>
  <si>
    <t>Oman</t>
  </si>
  <si>
    <t>Pakistan</t>
  </si>
  <si>
    <t>Palau</t>
  </si>
  <si>
    <t>Palestinian Territory, Occupied</t>
  </si>
  <si>
    <t>Panama</t>
  </si>
  <si>
    <t>Papua New Guinea</t>
  </si>
  <si>
    <t>Paraguay</t>
  </si>
  <si>
    <t>Peru</t>
  </si>
  <si>
    <t>Philippines</t>
  </si>
  <si>
    <t>Pitcairn</t>
  </si>
  <si>
    <t>Poland</t>
  </si>
  <si>
    <t>Portugal</t>
  </si>
  <si>
    <t>Puerto Rico</t>
  </si>
  <si>
    <t>Qatar</t>
  </si>
  <si>
    <t>Reunion</t>
  </si>
  <si>
    <t>Romania</t>
  </si>
  <si>
    <t>Russian Federation</t>
  </si>
  <si>
    <t>Rwanda</t>
  </si>
  <si>
    <t>Saint Barthélemy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</si>
  <si>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</si>
  <si>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</si>
  <si>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</si>
  <si>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</si>
  <si>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</si>
  <si>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</si>
  <si>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</si>
  <si>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</si>
  <si>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</si>
  <si>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</si>
  <si>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</si>
  <si>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</si>
  <si>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</si>
  <si>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</si>
  <si>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</si>
  <si>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</si>
  <si>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</si>
  <si>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</si>
  <si>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</si>
  <si>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</si>
  <si>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Georgia and the South Sandwich Islands</t>
  </si>
  <si>
    <t>Spain</t>
  </si>
  <si>
    <t>Sri Lanka</t>
  </si>
  <si>
    <t>Sudan</t>
  </si>
  <si>
    <t>Suriname</t>
  </si>
  <si>
    <t>Svalbard and Jan Mayen</t>
  </si>
  <si>
    <t>Swaziland</t>
  </si>
  <si>
    <t>Sweden</t>
  </si>
  <si>
    <t>Switzerland</t>
  </si>
  <si>
    <t>Syrian Arab Republic</t>
  </si>
  <si>
    <t>Taiwan</t>
  </si>
  <si>
    <t>Tajikistan</t>
  </si>
  <si>
    <t>Tanzania, United Republic of</t>
  </si>
  <si>
    <t>Thailand</t>
  </si>
  <si>
    <t>Timor-Leste</t>
  </si>
  <si>
    <t>Togo</t>
  </si>
  <si>
    <t>Tokelau</t>
  </si>
  <si>
    <t>Tonga</t>
  </si>
  <si>
    <t>Trinidad and Tobago</t>
  </si>
  <si>
    <t>Tunisia</t>
  </si>
  <si>
    <t>Turkey</t>
  </si>
  <si>
    <t>Turkmenistan</t>
  </si>
  <si>
    <t>Turks and Caicos Islands</t>
  </si>
  <si>
    <t>Tuvalu</t>
  </si>
  <si>
    <t>Uganda</t>
  </si>
  <si>
    <t>Ukraine</t>
  </si>
  <si>
    <t>United Arab Emirates</t>
  </si>
  <si>
    <t>United Kingdom</t>
  </si>
  <si>
    <t>United States Minor Outlying Islands</t>
  </si>
  <si>
    <t>Uruguay</t>
  </si>
  <si>
    <t>Uzbekistan</t>
  </si>
  <si>
    <t>Vanuatu</t>
  </si>
  <si>
    <t>Venezuela</t>
  </si>
  <si>
    <t>Vietnam</t>
  </si>
  <si>
    <t>Virgin Islands, British</t>
  </si>
  <si>
    <t>Virgin Islands, U.S.</t>
  </si>
  <si>
    <t>Wallis and Futuna</t>
  </si>
  <si>
    <t>Western Sahara</t>
  </si>
  <si>
    <t>Yemen</t>
  </si>
  <si>
    <t>Zambia</t>
  </si>
  <si>
    <t>Zimbabwe</t>
  </si>
  <si>
    <t>United States - APO/FPO/DPO</t>
  </si>
  <si>
    <t>Small Parcel</t>
  </si>
  <si>
    <t>LTL</t>
  </si>
  <si>
    <t>50</t>
  </si>
  <si>
    <t>55</t>
  </si>
  <si>
    <t>60</t>
  </si>
  <si>
    <t>65</t>
  </si>
  <si>
    <t>70</t>
  </si>
  <si>
    <t>77.5</t>
  </si>
  <si>
    <t>85</t>
  </si>
  <si>
    <t>92.5</t>
  </si>
  <si>
    <t>100</t>
  </si>
  <si>
    <t>110</t>
  </si>
  <si>
    <t>125</t>
  </si>
  <si>
    <t>150</t>
  </si>
  <si>
    <t>175</t>
  </si>
  <si>
    <t>200</t>
  </si>
  <si>
    <t>250</t>
  </si>
  <si>
    <t>300</t>
  </si>
  <si>
    <t>400</t>
  </si>
  <si>
    <t>500</t>
  </si>
  <si>
    <t>0</t>
  </si>
  <si>
    <t>24</t>
  </si>
  <si>
    <t>48</t>
  </si>
  <si>
    <t>72</t>
  </si>
  <si>
    <t>96</t>
  </si>
  <si>
    <t>120</t>
  </si>
  <si>
    <t>144</t>
  </si>
  <si>
    <t>168</t>
  </si>
  <si>
    <t>192</t>
  </si>
  <si>
    <t>216</t>
  </si>
  <si>
    <t>240</t>
  </si>
  <si>
    <t>360</t>
  </si>
  <si>
    <t>480</t>
  </si>
  <si>
    <t>600</t>
  </si>
  <si>
    <t>720</t>
  </si>
  <si>
    <t>840</t>
  </si>
  <si>
    <t>960</t>
  </si>
  <si>
    <t>Primary Variant</t>
  </si>
  <si>
    <t>Non-Primary Variant</t>
  </si>
  <si>
    <t>Not Variant</t>
  </si>
  <si>
    <t>Color</t>
  </si>
  <si>
    <t>Size</t>
  </si>
  <si>
    <t>Panel</t>
  </si>
  <si>
    <t>Tile</t>
  </si>
  <si>
    <t>Installation Tools</t>
  </si>
  <si>
    <t>Adhesives &amp; Tools</t>
  </si>
  <si>
    <t>Border</t>
  </si>
  <si>
    <t>Roll</t>
  </si>
  <si>
    <t>Wall Mural</t>
  </si>
  <si>
    <t>Double Roll</t>
  </si>
  <si>
    <t>Smooth</t>
  </si>
  <si>
    <t>Flocked</t>
  </si>
  <si>
    <t>3D Embossed</t>
  </si>
  <si>
    <t>Textured</t>
  </si>
  <si>
    <t>Pre-Pasted</t>
  </si>
  <si>
    <t>Self-Adhesive</t>
  </si>
  <si>
    <t>Non-Pasted</t>
  </si>
  <si>
    <t>Wallpaper Material</t>
  </si>
  <si>
    <t>Errors</t>
  </si>
  <si>
    <t>Displays the error status and message for the first error in the row, with a link to the corresponding cell.</t>
  </si>
  <si>
    <t>Read-Only</t>
  </si>
  <si>
    <t>core::supplierPartNumber</t>
  </si>
  <si>
    <t>Supplier Part Number</t>
  </si>
  <si>
    <t>Must be less than 64 characters and must be a unique value (products cannot be added if they have the same part number as something you already have in your catalog). This is the supplier-specific value for the product as it appears on your Inventory Feed and Purchased Orders.</t>
  </si>
  <si>
    <t>Default Row:</t>
  </si>
  <si>
    <t>core::amazonStandardIdentificationNumber</t>
  </si>
  <si>
    <t>Amazon Seller SKU</t>
  </si>
  <si>
    <t>The Amazon Seller SKU is Amazon's identifier for your product that allows you to fulfill the product through Amazon shipping even when selling the product on other sites like Wayfair.</t>
  </si>
  <si>
    <t>N/A</t>
  </si>
  <si>
    <t>core::manufacturerId</t>
  </si>
  <si>
    <t>Brand</t>
  </si>
  <si>
    <t>Enter your product's brand (may be the same as the product's manufacturer). New brands must be created in the brand management tool in Partner Home before they can be selected here.</t>
  </si>
  <si>
    <t>Select</t>
  </si>
  <si>
    <t>core::manufacturerPartNumber</t>
  </si>
  <si>
    <t>Manufacturer Part Number</t>
  </si>
  <si>
    <t>Must be less than 64 characters and must be a unique value (products cannot be added if they have the same part number as something you already have in your catalog). This is the part number provided by the manufacturer.</t>
  </si>
  <si>
    <t>core::universalProductCode</t>
  </si>
  <si>
    <t>Universal Product Code</t>
  </si>
  <si>
    <t>Must follow the standard UPC format and must be a unique value (products cannot be added if they have the same UPC as something you already have in your catalog).</t>
  </si>
  <si>
    <t>core::productName</t>
  </si>
  <si>
    <t>Product Name</t>
  </si>
  <si>
    <t>Please do not use abbreviations or exceed the 255 character limit. Wayfair may adjust the provided name based on marketing standards per class.</t>
  </si>
  <si>
    <t>core::collectionName</t>
  </si>
  <si>
    <t>Collection Name</t>
  </si>
  <si>
    <t>If the product belongs to a collection of associated products that are not just product variances/options, enter the collection here. This can match with collections of products you already sell on site. For example, a collection may be a bed and nightstand that both follow a modern theme, but would not be a bed that comes in two separate colors. Products in a collection do not share the same listing on site.</t>
  </si>
  <si>
    <t>core::manufacturerProductUrl</t>
  </si>
  <si>
    <t>Manufacturer Product URL</t>
  </si>
  <si>
    <t>Enter the URL for the specific manufacturer product page of your product.</t>
  </si>
  <si>
    <t>variantGrouping::variantType</t>
  </si>
  <si>
    <t>Variant Type</t>
  </si>
  <si>
    <t>Indicate whether this part number is a standalone product, primary variant (all required fields must be provided), or non-primary variant (data can be autofilled from primary variant).</t>
  </si>
  <si>
    <t>variantGrouping::groupReferenceId</t>
  </si>
  <si>
    <t>Group Reference ID</t>
  </si>
  <si>
    <t>Provide an identifier to group your variants. This information will be used to create a listing.</t>
  </si>
  <si>
    <t>variantGrouping::variantGrouping</t>
  </si>
  <si>
    <t>Variant Grouping 1</t>
  </si>
  <si>
    <t>Common attribute to group products by. Select from dropdown or enter a custom value.</t>
  </si>
  <si>
    <t>variantGrouping::variantAttributeNameOnSite</t>
  </si>
  <si>
    <t>Variant Attribute Name On Site 1</t>
  </si>
  <si>
    <t>Display name for variant attribute, if differs from corresponding Attribute answer.</t>
  </si>
  <si>
    <t>Variant Grouping 2</t>
  </si>
  <si>
    <t>Variant Attribute Name On Site 2</t>
  </si>
  <si>
    <t>Variant Grouping 3</t>
  </si>
  <si>
    <t>Variant Attribute Name On Site 3</t>
  </si>
  <si>
    <t>price::wholesalePrice</t>
  </si>
  <si>
    <t>Base Cost</t>
  </si>
  <si>
    <t>Your supplier profile preference for currency is used to determine the currency of the base (wholesale) cost provided.</t>
  </si>
  <si>
    <t>Number</t>
  </si>
  <si>
    <t>price::minimumAdvertizedPrice</t>
  </si>
  <si>
    <t>Minimum Advertised Price</t>
  </si>
  <si>
    <t>The region selected for this sheet is used to determine the currency of the MAP provided. This may differ from the currency of your base cost.</t>
  </si>
  <si>
    <t>price::manufacturerSuggestedRetailPrice</t>
  </si>
  <si>
    <t>Manufacturer Suggested Retail Price</t>
  </si>
  <si>
    <t>The region selected for this sheet is used to determine the currency of the MSRP provided. This may differ from the currency of your base cost.</t>
  </si>
  <si>
    <t>price::b2bEveryDayDiscountPercent</t>
  </si>
  <si>
    <t>Everyday B2B Discount Rate</t>
  </si>
  <si>
    <t>The discount rate provided here will be used for orders placed by B2B customers. This information can be edited or added later in the Pricing Home tool if it is not provided here.</t>
  </si>
  <si>
    <t>featureDescription::romanceCopy</t>
  </si>
  <si>
    <t>Marketing Copy</t>
  </si>
  <si>
    <t>Please do not use special symbols (trademark, copyright, etc.) or extra lines/spacing. This should be a short, single paragraph product description in complete sentences highlighting details about key product information.</t>
  </si>
  <si>
    <t>featureDescription::genericFeatures</t>
  </si>
  <si>
    <t>Feature Bullet 1</t>
  </si>
  <si>
    <t>15 words or less, describing one aspect of the product, eg., Unique aspects, benefits, use cases, technology. These provide customers with key facts at first glance and help them to decide whether they want to make the purchase. If no marketing copy is provided, then at least 3 feature bullets must be provided.</t>
  </si>
  <si>
    <t>Feature Bullet 2</t>
  </si>
  <si>
    <t>Feature Bullet 3</t>
  </si>
  <si>
    <t>Feature Bullet 4</t>
  </si>
  <si>
    <t>Feature Bullet 5</t>
  </si>
  <si>
    <t>shippingAndFulfillment::minimumOrderQuantity</t>
  </si>
  <si>
    <t>Minimum Order Quantity</t>
  </si>
  <si>
    <t>The minimum count of items a customer must choose to purchase the product.</t>
  </si>
  <si>
    <t>Whole Number</t>
  </si>
  <si>
    <t>shippingAndFulfillment::forceQuantityMultiplier</t>
  </si>
  <si>
    <t>Force Quantity Multiplier</t>
  </si>
  <si>
    <t>This represents how many items the customer must buy in increments of, or in addition to. For example, a multiplier of 2 would mean a custom must buy 1 quantity, 3 quantity, 5 quantity, or some other multiple of 2.</t>
  </si>
  <si>
    <t>shippingAndFulfillment::displaySetQuantity</t>
  </si>
  <si>
    <t>Display Set Quantity</t>
  </si>
  <si>
    <t>Number of items represented by the part number and wholesale price. For example, if you want to sell a bundle of pillows, and the part number and wholesale cost you provided represents that full bundle of pillows, then you would answer the Display Set Quantity question with how many pillows are in the bundle.</t>
  </si>
  <si>
    <t>shippingAndFulfillment::productWeight</t>
  </si>
  <si>
    <t>Product Weight</t>
  </si>
  <si>
    <t>[Pounds] What is the total weight of this product once assembled? Please enter just the number (i.e. 45.5) without a unit of measurement.</t>
  </si>
  <si>
    <t>shippingAndFulfillment::shipType</t>
  </si>
  <si>
    <t>Ship Type</t>
  </si>
  <si>
    <t>Enter small parcel or LTL to indicate how the product can ship based on size and weight.</t>
  </si>
  <si>
    <t>shippingAndFulfillment::freightClass</t>
  </si>
  <si>
    <t>Freight Class</t>
  </si>
  <si>
    <t>Each product falls into 1 of 18 classes determined by a product's 'transportability' and are crucial for calculating shipping cost. The field is required when ship type is LTL.</t>
  </si>
  <si>
    <t>shippingAndFulfillment::leadTime</t>
  </si>
  <si>
    <t>Lead Time</t>
  </si>
  <si>
    <t>[Hours] This is the length of time from receipt of PO to shipment from the warehouse.</t>
  </si>
  <si>
    <t>shippingAndFulfillment::replacementLeadTime</t>
  </si>
  <si>
    <t>Replacement Lead Time</t>
  </si>
  <si>
    <t>[Hours] This is length of time from receipt of a replacement PO to shipment from the warehouse</t>
  </si>
  <si>
    <t>shippingAndFulfillment::nationalMotorFreightClass</t>
  </si>
  <si>
    <t>National Motor Freight Class</t>
  </si>
  <si>
    <t>5 to 7 digit number in length (depending on any sub classification) that will identify what is shipping in the box</t>
  </si>
  <si>
    <t>shippingAndFulfillment::flatPack</t>
  </si>
  <si>
    <t>Flat Pack</t>
  </si>
  <si>
    <t>Also known as 'knocked down'. Select 'Yes' if this product ships disassembled in a flat pack box.</t>
  </si>
  <si>
    <t>shippingAndFulfillment::shipPalletized</t>
  </si>
  <si>
    <t>Ship Palletized</t>
  </si>
  <si>
    <t>Select 'Yes' if this product ships on a pallet.</t>
  </si>
  <si>
    <t>shippingAndFulfillment::weight</t>
  </si>
  <si>
    <t>Carton Weight 1</t>
  </si>
  <si>
    <t>[Pounds] Enter in the shipping weight (i.e. 45.5) of the packaging used for the product.  If the product ships in more than one box, this measurement is per box.</t>
  </si>
  <si>
    <t>shippingAndFulfillment::height</t>
  </si>
  <si>
    <t>Carton Height 1</t>
  </si>
  <si>
    <t>[Inches] Enter in the shipping height (i.e. 45.5) of the packaging used for the product.  If the product ships in more than one box, this measurement is per box.</t>
  </si>
  <si>
    <t>shippingAndFulfillment::width</t>
  </si>
  <si>
    <t>Carton Width 1</t>
  </si>
  <si>
    <t>[Inches] Enter in the shipping width (i.e. 45.5) of the packaging used for the product.  If the product ships in more than one box, this measurement is per box.</t>
  </si>
  <si>
    <t>shippingAndFulfillment::depth</t>
  </si>
  <si>
    <t>Carton Depth 1</t>
  </si>
  <si>
    <t>[Inches] Enter in the shipping depth (i.e. 45.5) of the packaging used for the product.  If the product ships in more than one box, this measurement is per box.</t>
  </si>
  <si>
    <t>media::imageValue</t>
  </si>
  <si>
    <t>Image File Name or URL 1</t>
  </si>
  <si>
    <t>Your first image will be set as the lead image for this listing, however, is subject to change upon Wayfair review. For each image uploaded, provide the file name with extension (e.g. PART_1.jpeg) or a direct public URL which leads to a single image (tip: to isolate the image, right click + select Open Image in New Tab). Elements like logos, buttons, etc will interfere with our ability to download the image. Do not exceed 20 images per product.</t>
  </si>
  <si>
    <t>Image File Name or URL 2</t>
  </si>
  <si>
    <t>Image File Name or URL 3</t>
  </si>
  <si>
    <t>Image File Name or URL 4</t>
  </si>
  <si>
    <t>Image File Name or URL 5</t>
  </si>
  <si>
    <t>media::videoValue</t>
  </si>
  <si>
    <t>Video File Name or URL 1</t>
  </si>
  <si>
    <t>Provide the video’s file name with extension for separate uploads or a direct public URL. Do not exceed 10 videos per product.</t>
  </si>
  <si>
    <t>media::documentValue</t>
  </si>
  <si>
    <t>Document File Name or URL 1</t>
  </si>
  <si>
    <t>Provide the document’s file name with extension for separate uploads or a direct public URL. Do not exceed 10 documents per product.</t>
  </si>
  <si>
    <t>media::documentType</t>
  </si>
  <si>
    <t>Document Type 1</t>
  </si>
  <si>
    <t>Select one or more values from the provided list that best describe the document’s purpose. This classification helps customers easily find information like “Installation &amp; Assembly” guides, “Warranty Information,” or “Specifications.</t>
  </si>
  <si>
    <t>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t>
  </si>
  <si>
    <t>media::legalDocumentType</t>
  </si>
  <si>
    <t>Legal Document Type 1</t>
  </si>
  <si>
    <t>If the document serves as a legal notice or certification (e.g., “ASTM F2057 - 19,” “ANSI A117.1 Compliant”), select the specific type(s) from the provided list. This is used for compliance and to display certifications to customers.</t>
  </si>
  <si>
    <t>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Certified; ASTM F2085 - 12 Compliant; ASTM F2088-15 Compliant; ASTM F2194 Compliant; ASTM F2225-15 Compliant; ASTM F2388 - 18 Certified; ASTM F2613 - 17 Compliant; ASTM F2729 - 18 Compliant; ASTM F2933-18 Compliant; ASTM F3084 - 16 Compliant; ASTM F3096 - 14 Compliant; ASTM F3363-19 Compliant; ASTM F381-16 Compliant; ASTM F406 - 10a Compliant; ASTM F406 - 15 Compliant; ASTM F406 - 17 Certified; ASTM F963 - 17 Certified; ASTM F963-11 Compliant; ATA Rated; BHFTI Upholstered Furniture Flammability Compliant; BIFMA G1 Ergonomics Guideline for Furniture; BIFMA HCF 8.1 - Healthcare Furniture Design; Blauer Engel; BS 5287: 1988 Certified; BS 5852 Certified; BS 5867-2:2008 Certified; BS 7176: 2007 Certified; BS 7177:2008+A1:2011 Certified; BS EN 13120: 2009 + A1: 2014 (Requirements for Window Blinds or Drapery Cords) - EU ONLY; BS EN 716-1 Compliant - EU ONLY; BS EN12790 Certified; CAL TB 116 Compliant; CAL TB 117-2013 Compliant; CALGreen Compliant; California AB 1953 Compliant; CAN C22.2 No. 3 - Electrical Components of Fuel Burning Equipment; CAN/ULC-S674; CARB Phase II Compliant (formaldehyde emissions); CE Certified; CEE Rating; CertiPUR-US Certified; cETL Listed; CGA 2.17- M91 (R2014); Chemicals of Concern Compliant; Chemikalien-Verbotsverordnung / Section 3 Compliant; Children's Product Certificate (CPC); CISPR 22 Compliant; Complies with 16 CFR 1305.4; ASTM F1427 - 13 Compliant - Consumer Safety Specification for Bunk Beds; CPAI-84 Compliant; CPSC - 15 U.S. Code § 1278a - Children's Products Containing Lead; CPSC - 16 CFR 1213 Compliant; CPSC - 16 CFR 1215 Compliant - Safety Standards for Infant Bath Seats; ASTM 1821-19 and/or CPSC - 16 CFR 1217 Compliant; CPSC - 16 CFR 1218 Compliant; ASTM F1169-19 Compliant and/or CPSC - 16 CFR 1219 Compliant; ASTM F406-22 and/or CPSC - 16 CFR 1220 Compliant; CPSC - 16 CFR 1221 Compliant; CPSC - 16 CFR 1225 Compliant; CPSC - 16 CFR 1234 Compliant; CPSC - 16 CFR 1238 Compliant; CPSC - 16 CFR 1239 Compliant; CPSC - 16 CFR 1303 Compliant; CPSC - 16 CFR 1500.48 Compliant; CPSC - 16 CFR 1500.49 Compliant; CPSC - 16 CFR 1513 Compliant; CPSC - 16 CFR 1630 Compliant; CPSC - 16 CFR 1631 Compliant; CPSC - 16 CFR 1632 Compliant; CPSC - 16 CFR 1633 Compliant; CPSC - 16 CFR Part 1130-Requirements For Consumer Registration Of Durable Infant Or Toddler Products; CPSC - 16 CFR Part 1307-Prohibition Of Children's Toys And Child Care Articles Containing Specified Phthalates; CPSC 16 CFR 1500.3(c)(6)(vi); CPSC 16 CFR 1500.44; CPSIA Compliant; Cradle to Cradle Certified; CRI Certified; CRI Green Label Certified; CRI Green Label Plus Certified; CSA 2.41-2014/ANSI Z21.97-2014; CSA B125.1 Certified; CSA B13 Certified; CSA B45 Certified; CSA B45.1 Certified; CSA B45.2 Certified; CSA Certified; CSA Listed for Canada; CSA Listed for USA; CSPC - 16 CFR 1750 Compliant; cUL Listed; cUPC Certified; DECT 6.0 Compliant; DIN EN 12935 Certified; DIN EN 16647:2016; Dry/ Damp/ or Wet Location Listed - CAN; Dry/ Damp/ or Wet Location Listed - USA; EU 2018/2005; EIA Compliant; EISA 2007 Compliant; EN 1111:2017; EN 1130-1:1996 (Safety Requirements for Cribs and Cradles) - EU ONLY; EN 12221-1 (Standards for Changing Tables) - EU ONLY; EN 1287:2017; EN 13219 (Standards for Trampolines) - EU ONLY; EN 14428:2015; EN 14516:2019; EN 14527:2019 Certified; EN 14528:2018 Certified; EN 1466:2014; EN 14688:2018 Certified; EN 14749:2016 Certified; EN 14878: 2007 (Requirements for Children's Sleepwear) - EU ONLY; EN 14988-1 (Safety Standards for High Chairs) - EU ONLY; EN 15312 (Safety Standards for Multi-Sport Equipment) - EU ONLY; EN 1725 (Safety Standards for Adult Beds) - EU ONLY; EN 1930 (Standards for Child Gates and Safety Barriers) - EU ONLY; EN 200:2008 Certified; EN 50291-1 (Standards for Smoke Detectors and CO Detectors) - EU ONLY; EN 54-12 (Standards for Smoke Detectors and CO Detectors) - EU ONLY; EN 71 Compliant; EN 71-14:2018 Compliant; EN 747-1 (Standards for Childrens Bunk Beds) - EU ONLY; EN 748 (Safety Standards for Football Goals) - EU ONLY; EN 997:2018; Energy Label Type; Energy Policy Act 1992 Compliant; ENERGY STAR Certified; EPA Compliant; EPA Pesticide Registration Number; EPP Compliant; ETL Listed; EU 2018/1513; EU Energy Efficiency Class; EuroLatex ECO-Standard; FCC Compliant; FCC Part 15 Compliant; FCC Part 68 Compliant; FIRA Certified; Fire Rated; FISP Certified; FloorScore Certification; FM Approved; Food Safe; FSC Certified; General Certificate of Conformity (GCC); Glass Doors and Enclosures Regulations SOR/2016-174; Glazed Ceramics and Glassware Regulations SOR/2016-175; GOLS 3.0 (Global Organic Latex Standard) Certified; Goodweave Certified; GOTS 5.0 (Global Organic Textile Standard) Certified; Green Public Procurement Certified; GREENGUARD Certified; GREENGUARD Gold Certified; GS (Geprüfte Sicherheit) verzeichnet; GSA Approved; Health Canada - SOR/2016-176 Compliant; Health Canada - SOR/2016-179 Compliant; Health Canada - SOR/2016-183 Compliant; Health Canada Compliant; HFES 100 Certified Ergonomic; HVI 2100 Certified; HVI Certified; IAPMO Certified; IATA Compliant; IEC/EN 62471 Compliant; Indoor Air Quality Certified; IP Rating; IPEMA Certified; ISO 14000 Certified; ISO 14001 Certified; ISO 9000 Certified; ISO 9001 Certified; ISTA 1A Certified; ISTA 3A Certified; ISTA 3A or 6A Certified; ISTA1ACertified; ISTA3Aor6ACertified; ITSF Compliant; ITTF Approved; ITTO Compliant; Janka Hardness Rating (PSI); JPMA Certified; Kettles Regulations SOR/2016-181; Lacey Act Compliant; LM-79 Certified; LM-80 Certified; Low Lead Compliant; Mattress Flammability Testing - Public Occupancy Use; MERV Rating; MET Listed; Minnesota 325F.177 Compliant; MOHS - Surface Hardness; NAECA Certified; NAHB Compliant; NEMA Certified; New York City Water Regulation Compliant; NFPA 211 - Standard for Chimeys/ Fireplaces/ Vents and Solid Fuel-Burning Appliances; NFPA 253 or ASTM E648 Compliant; NFPA Compliant; NFSI Certified; NOMITE Certified; NRPA Certified; NSF Certified; NSF/ANSI 184 Certified; NSF/ANSI 3 Certified; FACTS - NSF/ANSI 336 –Compliant; NSF/ANSI 61 Certified; OEKO-TEX Standard 100 Certified; OSHA Compliant; PAT Tested; PEFC Certified; PEI Rated; PEI Rating; Responsible Down Standard Certified; RoHS Compliant; SATRA Approved; SCC Compliant; SCS Certified; SDWA Compliant; SFI Certified; SOR/2016-152 - Canadian Regulation - Cribs/ Cradles and Bassinets; SOR/2016-193 - Surface Coating Materials Regulations; SOR/2018-83 -Consumer Products Containing Lead Regulations; Stiftung Warentest Note; TAA Compliant; TCLP Compliant; Textile Flammability Regulations SOR/2016-194; Textile Labelling and Advertising Regulations (C.R.C./ c. 1551); Tipover Restraint Device Included; Title 20 - California Code of Regulations; Title 24 Compliant; Toys Regulations SOR/2016-195; TSA Compliant; TSCA Title VI Compliant (formaldehyde emissions); TÜV Rheinland zertifiziert; UL 10B Compliant; UL 10C Compliant; UL 1678 Listed; UL 1951 Listed; UL 2108 Listed; UL 4041 - Safety Standard for Outdoor Furniture; UL Gas-Fired Mark; UL Listed; UN 38.3 Testing Requirements; Uniform Packaging and Labeling Regulations (UPLR) Compliant; UPC Certified; USATT Approved; USDA Compliant; USDA Organic/ NOP Certified; USPS Approved; Vermont Act 193 Compliant; Washington Children's Safe Product Act; Washington State VIAQ Code Compliant; WQA Gold Seal Certified; WW-P-541 Certified; Safety Data Sheets (SDS); Canadian Energy Label (EnerGuide); GS Marked; DIN EN 1860; EN 17072:2018; UKCA Marked; ASTM F1169-19 Compliant - Safety Specification for Full Sized Baby Cribs; ASTM F2933-19 Certified; ASTM F1912-19 Certified; ASTM F2088-20 Certified; ASTM F1427-19 - Consumer Safety Specification for Bunk Beds; ASTM F2085-19 Certified; ASTM F2613-19 Certified; ASTM F3084-20 Certified; TÜV SÜD Certified; BS EN 442-1:2014 - Requirements for Radiators and Convectors; CSA B45.5/IAPMO Z124; ASTM F3429 / F3429M – 20 Compliant - Standard Specification for Disposable Flammable Liquid Fuel Containers; REACH (Registration/ Evaluation/ Authorisation and Restriction of Chemicals) Compliant; ASTM F1148-20; EN 1130:2019 (Safety Requirements for Cribs and Cradles) - EU ONLY; UK General Product Safety Regulation; EN 16582 - Requirements for Domestic Swimming Pools; EN 16713 - Requirements for Filtration Systems/ Circulation Systems/ and Treatment in Domestic Swimming Pools; EN 1021 1&amp;2 - Furniture Flammability Standard; FIRA/FRQG C001:2016 - General Safety Requirements for Children's Furniture; BS 8509 - British Safety Standard for Children's Beds; FIRA/FRQG C002:2016 - Seating: Requirements for Strength/ Stability/ and Durability; FIRA/FRQG C003:2016 - Tables and desks: Requirements for strength/ stability and durability; FIRA/FRQG C004:2016 - Storage furniture – Requirements for strength/ stability and durability; EN 71-8:2018 Compliant; EN 71-1:2014 + A1:2018; EN 62115:2005+A11:2012; EU: 2006/42/EC - EU Machinery Directive; CPSC - 16 CFR 1222 Compliant; CPSC 16 CFR 1227.2; EN 16890: 2017; SOR/2016-167 - Carriages and Strollers Regulations; Recycled Content; Global Recycled Standard (Textile Exchange) Certified; Recycled Claim Standard (Textile Exchange) Certified; ISO 14021 Recycled Content Standard Certified; Organic Content Standard (Textile Exchange) Certified; Asthma and Allergy Friendly Certified; British Allergy Foundation Seal of Approval; Carbon Neutral Certifications; Golden M Certified; MAS Certified Green; FloorScore Certified; CertiPUR-EU Certified; EU Ecolabel; EPA WaterSense Certified; Blue Angel Certified; Responsible Down Standard (Textile Exchange) Certified; Bluesign Certified; GreenScreen Certified; MADE SAFE Certified; Responsible Wool Standard (Textile Exchange) Certified; Das Kork Logo Certified; DGM Emissions Label for Furniture; GUT Label; LEVEL - ANSI/BIFMA e3 Furniture Sustainability Standard - Certified; Natureplus Eco-Label; NATURLEDER IVN Certified; NATURTEXTIL IVN Certified BEST; ÖkoControl Seal; Sustainability Assessment for Carpet - NSF/ANSI 140 - Compliant; Sustainability Assessment for Wallcovering Products - NSF/ANSI 342 - Compliant; Type III Product Specific Environmental Product Declaration (EPD); UL ECOLOGO Certified; USDA BioBased Product; DOWNPASS Certified; Green Squared (G2) Certified; FairTrade Certified; FairTrade Certified Cotton; FSC 100% Certified; FSC MIX Certified; FSC Recycled; SFI Certified Sourcing; SFI Chain-of-Custody Certified; SFI Fiber Sourcing Certified; ENERGY STAR Canada Certified; Carbon Neutral - PAS 2060 - Certified; Carbonfree Product Certification; Indoor Advantage Certified; Indoor Advantage Gold Certified; Indoor Air Comfort Certified; Indoor Air Comfort GOLD Certified; OEKO-TEX LEATHER STANDARD Certified; OEKO-TEX MADE IN GREEN Certified; Cradle to Cradle Material Health Certificate; eco-INSTITUT-Label; CARB Certified (Ozone Emissions for Air Cleaners); EN 1103:2006; Code of Practice for Fire Safety of Furnishings and Fittings in Places of Assembly; EN 13773; I.S. 419:2011; ÖNORM A3800-1; ÖNORM B 3825; EN 14619:2019; Product Attestation; California Carpet Stewardship Program Compliant; Is Responsible Person Information Available; FIRA/FRQG C001: 2021 Furniture - Children’s Domestic Furniture – General Safety Requirements; BS EN 17191:2021; FIRA/FRQG C003: 2021 Furniture - Children’s Domestic Furniture – Tables &amp; Desks – Requirements for Strength/ Stability and Durability; National Minority Supplier Development Council Certification; Small Business Administration Certification; SupplierGATEWAY Enhanced Digital Certification; System for Award Management Certification; Women’s Business Enterprise National Council Certification; Other Minority Business Enterprise Certification; &gt; 50% Black/ Women or LatinX Certification; EU Food Contact Regulation - Plastics; Fairtrade International Certified - Sports Ball; FLOCERT Expiration Date; CANFER Compliant; ASTM F2710-19 Compliant; CPSC 16 CFR 1207; ASTM F1004-22 Compliant; BS EN 14960 Compliant (Inflatables); EN 14468-1:2015 Compliant (Table Tennis Tables); BS 7972:2001+A1:2009 Compliant (Children's bedguards); Energy Efficiency Regulations Compliant; EU/UK Timber Compliant; SOR/2023-101 - Carriages and Strollers; ASTM F2388-21; EN 16779-1: 2018; ASTM F406-22; ANSI Z21.11.2-2019; ASTM B117-19; CPSC - 40 CFR 60; CSA / ANSI Z21.58:22; CSA / ANSI Z83.26:20; EC No. 1907/2006 Annex XVII; EC No. 1935/2004; FDA Generally Recognized as Safe (GRAS); UL 1278 4th Ed; UL 2021 4th Ed; EN 12520; BS EN 16781; ASTM F2057-23 (STURDY); EN 16780: 2018; ASTM F2613-21; ASTM F1427-21e1; Unified Water Label; CPSC - 16 CFR 1241; CPSC - 16 CFR 1263 Compliant (Reese's Law); Commercial Warranty; EU 2024/590; BS EN 597-1; ASTM F1912-21 Compliant; ASTM F963-23 Compliant; FIRA/FRQG C004:2016 + A1 2017; EUDR; CA PFAS; CPSC - 16 CFR 1242; EU General Product Safety Regulation; EPA Compliant - Step 2 Certified; ANSI/WCMA A100.1-2018 Standard; SOR/2019-97 - Corded Window Coverings Regulations; ANSI/BIFMA X6.4 Occasional-Use Seating Standard; ASTM F1148-22; SOR/2016 - 217; 16 CFR 1235; ASTM F2088-24; 16 CFR 1243; IS 419 / EN 1021; IS 419 / EN 597/ EN 16890; IS 419 / EN 597; ASTM-1917-23; Low Voltage Directive; Children's Furniture Safety and Stability; CPSC - 16 CFR 1224; ASTM F2276-23 (General Mechanical Requirements); ASTM F2276-23 or ASTM F2810-15; ASTM F2276-23 or ASTM F1250-20; ASTM F2276-23 or ASTM F2216-17a; ASTM F2276-23 or ASTM F3105-20; ASTM F2276-23 or ASTM F2115-25; UL 1647 (Electrical Safety); In-House Contract-Quality Testing Document; Contract Grade Signed Verification Letter; SOR/2018-186; SOR/2024-217; Certified Egyptian Cotton; SOR/2011-17; BS EN ISO 20957-1; BS EN ISO 20957-2; BS EN ISO 20957-9; BS EN ISO 20957-5; BS EN ISO 20957-10; BS EN ISO 20957-4; BS EN ISO 29057-6; CFR 1205; ANSI B71.1-2017 - Standard Specifications for Pedestrian-Controlled Mowers and Ride-On Mowers; CAN/CSA-C22.2 No. 147 Compliant; California Proposition 65; EN 13310:2015+A1:2018 Certified</t>
  </si>
  <si>
    <t>media::regionType</t>
  </si>
  <si>
    <t>Document Region 1</t>
  </si>
  <si>
    <t>Select the country or region where this document is legally applicable. This is crucial for compliance-related documents that may differ across locations.</t>
  </si>
  <si>
    <t>Document File Name or URL 2</t>
  </si>
  <si>
    <t>Document Type 2</t>
  </si>
  <si>
    <t>Legal Document Type 2</t>
  </si>
  <si>
    <t>Document Region 2</t>
  </si>
  <si>
    <t>Document File Name or URL 3</t>
  </si>
  <si>
    <t>Document Type 3</t>
  </si>
  <si>
    <t>Legal Document Type 3</t>
  </si>
  <si>
    <t>Document Region 3</t>
  </si>
  <si>
    <t>71859</t>
  </si>
  <si>
    <t>Product Type</t>
  </si>
  <si>
    <t>What type of product is this?</t>
  </si>
  <si>
    <t>71862</t>
  </si>
  <si>
    <t>Subject</t>
  </si>
  <si>
    <t>What is the subject of this product? Please select the most applicable option. If this product does not fit any of the listed options, please enter the correct value. If the product fits into multiple subjects, please tag each subject that applies. Do not tag sub - subjects: e.g. themes that are being shown within the main subject, which could be an image of a city with a billboard. Everything on that billboard should not be tagged for subject.</t>
  </si>
  <si>
    <t>Please choose one or more from the following, using a semicolon (;) to separate each value: Insects; Religious &amp; Spiritual; Scenic &amp; Cityscapes; Animals; Furniture; Novelty &amp; Humor; Plants &amp; Flowers; STEM; Fashion; Geography; Buildings &amp; Architecture; Transportation; Nautical &amp; Beach; Abstract; Patriotic; Food &amp; Beverage; Fantasy &amp; Sci-Fi; Bath &amp; Laundry; History &amp; Language; Entertainment; Astrology &amp; Stars; Cities &amp; Countries; Disney/Pixar; No Subject; People; Sports; Landscape &amp; Nature; Text &amp; Numbers; Education; Birds; U.S. States &amp; Territories; Unavailable</t>
  </si>
  <si>
    <t>71864</t>
  </si>
  <si>
    <t>Surface Type</t>
  </si>
  <si>
    <t>What type of surface does this product have? Please enter the most applicable option. If this product does not fit any of the listed options, please enter the correct information. Multiple options can be selected.</t>
  </si>
  <si>
    <t>71866</t>
  </si>
  <si>
    <t>Material</t>
  </si>
  <si>
    <t>What material is the product made of?</t>
  </si>
  <si>
    <t>Please choose one or more from the following, using a semicolon (;) to separate each value: Polycarbonate (PC); Polyethylene Plastic; Glass; Silicone; Stainless Steel; Melamine; Polypropylene; Cane; Raffia; Mango Wood; Aluminum; Linen Blend; Acrylic; Limestone; Artificial Grass; Antler; HDPE; Jersey; Linen; Foam; Cowhide; Copper / Copper Plated; Engineered Wood; Cast Aluminum; Flat Wire; Crystal; Fleece / Microfiber; Cardboard / Paper; Chenille; Cherry Wood; Handblown Glass; Cement; Flannel; Chrome; Enamelware; Enameled Cast Iron; Agate / Geode; Fiberglass; Bronze; Cast Iron; Bamboo Slat / Seagrass; Beaded; Alpaca; Felt; Denim; Clay; Gel; Coir; Cardboard; Leather; Cashmere; Galvanized Steel; Hemp; Fireclay; Anodized Aluminum; Blended Fabric; Bamboo; Brass; Burlap; Ceramic; Canvas; Composite; Carbon Steel; Compressed Polyester; Ceramic / Porcelain; Bone China; Cedar; Concrete; Cotton; Earthenware; Engineered Stone; Concrete / Cement; Corrugated; Enamel / Lacquer; Cotton Blend; Compressed Stone; Copper; Faux Leather; Fabric; Faux Sheepskin; Fiberstone; Fine Silver; Hard-Anodized Aluminum; Granite; Heavy Gauge Wire; Faux Fur; Faux Mohair; Faux Cowhide; Iron; High Leaded Crystal; Marble; Lead Crystal; Ironstone; Leather / Faux Leather; Latex; Jute; Lead Free Crystal; Lace; Jute / Sisal; Laminate; Marble / Granite; Mercury Glass; Medium Density Fiberboard (MDF); Mesh; Merino Wool; Memory Foam; Natural Stone; Microfiber / Polyester; Natural Fiber; Microfiber; Natural Fibers; Magnet; Muslin; Metal; Microfiber / Microsuede; Paper; Olefin; Nickel; PEVA; Nylon; Oak; Oxford Fabric; Polyamide; Plywood; Pinecones; Plastic / Acrylic; Pewter; Polycarbonate Plastic; Nickel Plated; Plastic; Polyester; Polymer; Polyester Fill; Polystyrene; Polyvinyl Chloride (PVC); Polyurethane; Porcelain China; Powder Coated Steel; Polypropylene Plastic; Porcelain Enameled Steel; Porcelain; Powder Coated Aluminum; Polyester Blend; Polyresin; Polymarble; Polyurethane (PU); Sandstone; Silver; Sheepskin; Sateen; Rayon / Viscose; Rayon from Bamboo; Silver Plated; Sherpa; Quartz; Satin; Shell / Capiz; Rope; Silk; Rayon; Seagrass; PVC; Rubber; Quartzite; Real Greenery; Resin; Rocks / Pebbles; Recycled P.E.T; Real Floral; Suede / Faux Suede; Solid Brass; Stainless Steel (18/0); Sponge; Tin; Teak; Stainless Steel (18/10); Slate; Travertine; Stainless Steel (18/8); Sterling Silver; Terrycloth; Stone; Terracotta; Synthetic; Thermoplastic; Tencel; Stoneware; Tempered Glass; Tinsel; Steel; Solid Wood; Solid Surface; Tritan Plastic; Sunbrella®; Upholstered; Velour; Twig; Velvet; Vitreous China; Urethane; Zinc; Rattan; Turkish Cotton; Vinyl; Wrought Iron; Wood; Wool; Wire; Zinc Alloy; Walnut Wood; Viscose; Wicker; Wool / Felt; Charcoal; Enamel Coated Steel; Vinyl Coated Steel; Mirror; Water Hyacinth; MDF; Particle Board / Chipboard; Plywood / Laminate Board</t>
  </si>
  <si>
    <t>71880</t>
  </si>
  <si>
    <t>Compatible Surfaces</t>
  </si>
  <si>
    <t>What type(s) of surfaces is this product compatible with?</t>
  </si>
  <si>
    <t>Please choose one or more from the following, using a semicolon (;) to separate each value: Acrylic Panel; Glass Wall; Orange Peel Wall; Brick Wall; Gypsum Wall; Laminate; Plywood Wall; Textured Wall; Drywall; Existing Tile; Cement Wall; Solid Wood; Wallpaper; Stucco Wall; Ceramic Tile Wall; Stainless Steel; Painted Gypsum; Concrete; Mirror; Stone Wall; Medium Density Fiberboard; Chalkboard; Flat Surface; Appliance; Multi-Surface; Unavailable</t>
  </si>
  <si>
    <t>71892</t>
  </si>
  <si>
    <t>Personalization or Monogramming</t>
  </si>
  <si>
    <t>Is the product monogrammed, or does the product feature a customer inputted text?</t>
  </si>
  <si>
    <t>71893</t>
  </si>
  <si>
    <t>Room Use</t>
  </si>
  <si>
    <t>Is this product designed for a specific room? Enter more than one option if applicable.</t>
  </si>
  <si>
    <t>Please choose one or more from the following, using a semicolon (;) to separate each value: Bedroom; Dining Room; Kitchen; Living Room; Bathroom; Laundry Room; Nursery; Pantry; Home Office; Game Room; Foyer; Playroom; Patio; Closet; Restaurant Dining Room; Basement; Garage/Shop; Commercial Office; Backyard; Mudroom/Deck; School Classroom; Hotel Room; Lobby/Reception; Hallway; Studio; Art School; Commercial Kitchen; Unavailable; Does Not Apply</t>
  </si>
  <si>
    <t>182152</t>
  </si>
  <si>
    <t>Holiday / Occasion</t>
  </si>
  <si>
    <t>What is the particular Holiday / Occasion theme or design  of the product? Please select one Holiday / Occasion based on option definitions. If no Holiday or Occasion is  applicable to the product, please select "No Holiday"</t>
  </si>
  <si>
    <t>244672</t>
  </si>
  <si>
    <t>Country of Origin - Additional Details</t>
  </si>
  <si>
    <t>Does this product and/or packaging have additional advertising or labeling details regarding claims about the product’s origin? Please use this field to provide a qualified or unqualified claim regarding the product origin in accordance with US Federal Trade Commission (FTC) and Canada Competition Bureau regulations. Additionally, if applicable, please use this field to communicate any appropriate qualified, comparative, or descriptive claims regarding the origin of the product. Examples include, but are not limited to, communicating relevant percentage of domestic and non-domestic content (ex: 60% U.S. Content), communicating the origin of certain components of the product (ex: "Hand carved in U.S. — Wood from Philippines"), or communicating where the product was assembled (Ex : “Assembled In Mexico”). See https://www.ftc.gov/tips-advice/business-center/guidance/complying-made-usa-standard#qualified  and https://www.competitionbureau.gc.ca/eic/site/cb-bc.nsf/eng/03169.html</t>
  </si>
  <si>
    <t>Please choose one or more from the following, using a semicolon (;) to separate each value: Made in USA; Made in USA of Imported Materials; Product of Canada; Made In Canada; Does Not Apply</t>
  </si>
  <si>
    <t>71902</t>
  </si>
  <si>
    <t>BPA Free</t>
  </si>
  <si>
    <t>Does this product contain 0% BPA (Bisphenol A), a plastic compound with toxic properties?</t>
  </si>
  <si>
    <t>299896</t>
  </si>
  <si>
    <t>Licensed Product Category</t>
  </si>
  <si>
    <t>If this is a licensed product, which licensing category does this product fall under? If this product is not an officially-licensed product associated with an active licensing agreement, please mark this as Does Not Apply.</t>
  </si>
  <si>
    <t>336807</t>
  </si>
  <si>
    <t>Durability</t>
  </si>
  <si>
    <t>Which of the following durability features are applicable to this product? Please select all applicable options from the list. If none apply, please select "No Durability Features."</t>
  </si>
  <si>
    <t>Please choose one or more from the following, using a semicolon (;) to separate each value: Mold / Mildew Resistant; Water Resistant; No Durability Features; Fade Resistant; Heat Resistant; Stain Resistant; Shatter Resistant; Tip Resistant; Waterproof; Weather Resistant; Rust Resistant; Antimicrobial; Anodic Protection; Condensation Free; Predator Resistant; Drill Resistant; Pry Resistant; Fray Resistant; Non-Staining</t>
  </si>
  <si>
    <t>371902</t>
  </si>
  <si>
    <t>Adjustability Features</t>
  </si>
  <si>
    <t>Select all features that allow a user to intentionally change the product’s physical dimensions, orientation, or configuration. This includes any design elements meant to be moved, rotated, folded, or expanded (Reclining backrests, height-adjustable legs, etc.) to adapt the product to a specific person or space.</t>
  </si>
  <si>
    <t>Please choose one or more from the following, using a semicolon (;) to separate each value: Foldable / Folding; Ergonomic; Reversible; Collapsible; Extendable; Tilt; Configurable / Modular; Swivel; Trimmable; Removable; Convertible; Rotating; Lift Assist; Reclining; Double Sided; Retractable; Glider; Wall Recline; Adjustable; Swing Arm; Temperature; Stackable; Tilt Lock; Tilt Out; Tilting; Unavailable; Does Not Apply</t>
  </si>
  <si>
    <t>380379</t>
  </si>
  <si>
    <t>What is the color of the product? If your color name is not listed, please type in the value.</t>
  </si>
  <si>
    <t>Please choose one or more from the following, using a semicolon (;) to separate each value: Blue; Black; Brown; Red; Beige; Yellow; Pink; Purple; Gold; White; Ivory; Tan; Teal; Navy; Orange; Silver; Gray; Green; Cream; Clear</t>
  </si>
  <si>
    <t>383756</t>
  </si>
  <si>
    <t>Total Number of Pieces Included</t>
  </si>
  <si>
    <t>What is the total number of pieces included with this product? Count the number of pieces including removable/separate parts that come with the product. (Ex: A sku of storage bins with lids that is a set size of 3 has 6 total # of pieces included- 3 bins &amp; 3 lids). If sku only has bins and no other pieces where set size is 4 then the total # of pieces included is 4.</t>
  </si>
  <si>
    <t>421593</t>
  </si>
  <si>
    <t>Pieces Included</t>
  </si>
  <si>
    <t>What pieces are included with this product?</t>
  </si>
  <si>
    <t>Please choose one or more from the following, using a semicolon (;) to separate each value: Handle(s); Paste; Unavailable; Does Not Apply</t>
  </si>
  <si>
    <t>300640</t>
  </si>
  <si>
    <t>Movie / Show Series Name</t>
  </si>
  <si>
    <t>What movie / show does this product display? Please only fill out this information if an image of the movie / show is shown on the product. If the move or show is not listed, please enter it manually.</t>
  </si>
  <si>
    <t>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Sleeping Beauty; Kung Fu Panda; Puppy Dog Pals; Space Jam 2; Loki - Marvel; Luca; Rocky; Rick and Morty; Raya and The Last Dragon; Squid Games; Peppa Pig; Stranger Things; Lost in Space; Moana; Paw Patrol; Party Town; Minecraft; Shopkins; Spies in Space; Snow White and the Seven Dwarfs; Jaws; Pocoyo; Rudolph the Red-Nosed Reindeer; Sonic the Hedgehog; Superman; Suicide Squad; Wonder Woman; The Mandalorian; The Ring of Fire; The Pirates of The Caribbean; Trolls; The Matrix; The Sandlot; Tron; The Aristocats; The Nightmare Before Christmas; The Lion Guard; The Grinch; The Golden Girls; Top Gun; The Eternals; The Lord of the Rings; The Peanuts Movie; The Octonauts; The Godfather; Texas Chainsaw Massacre; To All The Boys; Bluey - Bluey; Dungeons &amp; Dragons; Unavailable; Does Not Apply</t>
  </si>
  <si>
    <t>435493</t>
  </si>
  <si>
    <t>General Features</t>
  </si>
  <si>
    <t>Select all features that describe the product’s intrinsic performance, certifications, or functional classification rather than its physical parts. This includes invisible treatments and overarching capabilities (Pet Friendly, Disposable, Breathable, etc.) where the benefit is inherent to the product as a whole.</t>
  </si>
  <si>
    <t>Please choose one or more from the following, using a semicolon (;) to separate each value: Breathable; Dual Sided; Animated; Double Sided; Non-Wall Damaging; Reusable; Vintage; Window Clinging</t>
  </si>
  <si>
    <t>437142</t>
  </si>
  <si>
    <t>Age Group</t>
  </si>
  <si>
    <t>For what age group(s) is the product intended or can be safely used by? Please select all that apply.</t>
  </si>
  <si>
    <t>Please choose one or more from the following, using a semicolon (;) to separate each value: Newborn (Birth - 6 months old); Infant (6 - 12 Months); Toddler (1 - 3 Years); Pre-school (3 - 5 Years); Youth (5 - 8 Years); Pre-teen (9 - 12 Years); Teen (13+); Adult (18+); All Ages; Adult; Baby; Kid; Teen; Toddler; Unavailable</t>
  </si>
  <si>
    <t>71906</t>
  </si>
  <si>
    <t>Overall Height - Top to Bottom</t>
  </si>
  <si>
    <t>[Inches] What is the overall height of the product from top to bottom? Please enter just the number (e.g. 45.5).</t>
  </si>
  <si>
    <t>71907</t>
  </si>
  <si>
    <t>Overall Width - Side to Side</t>
  </si>
  <si>
    <t>[Inches] What is overall width of the product from side to side? Please enter just the number (e.g. 45.5).</t>
  </si>
  <si>
    <t>399894</t>
  </si>
  <si>
    <t>Commercial Warranty</t>
  </si>
  <si>
    <t>Does the manufacturer warranty cover the use of this product in a commercial environment?</t>
  </si>
  <si>
    <t>409341</t>
  </si>
  <si>
    <t>Commercial Warranty Length</t>
  </si>
  <si>
    <t>How long does the manufacturer warranty apply for the product used in a commercial (non-residential) environment? If the correct value is not found, please select the closest available answer that is shorter than the warranty length. If warranty length varies by part, please select the answer that matches the part of the product with the shortest warranty. Please use the “Warranty Details” tag for any additional details.</t>
  </si>
  <si>
    <t>486754</t>
  </si>
  <si>
    <t>Wayfair Compliance Verified Program (including Baby Safety Alliance fka JPMA) for this product category</t>
  </si>
  <si>
    <t>Please only select "Yes" if you are a part of Wayfair's Compliance Verified Program  and / or your product has been tested and certified to Baby Safety Alliance (BSA) protocols (fka JPMA) for the relevant product category. Wayfair will verify this information. Incorrectly selecting that you are a part of either program may result in your products becoming unfindable until all compliance data is updated and provided.</t>
  </si>
  <si>
    <t>237073</t>
  </si>
  <si>
    <t>Uniform Packaging and Labeling Regulations (UPLR) Compliant</t>
  </si>
  <si>
    <t>Does your product comply with the Uniform Packaging and Labeling Regulations, which requires product packaging to be accurate and provide adequate information as to the identity and quantity of its contents, as well as the name and address of the manufacturer and/or distributor?</t>
  </si>
  <si>
    <t>250057</t>
  </si>
  <si>
    <t>Canada Product Restriction</t>
  </si>
  <si>
    <t>Is this product legally or operationally restricted from being offered for sale to Canadian customers on Wayfair.ca or delivered to Canadian addresses? Select “Yes” only if the product cannot legally be sold or shipped to Canada. For example, if it requires a license or certification you do not hold, or if you operate through a separate Canadian entity that cannot support the listing.</t>
  </si>
  <si>
    <t>251777</t>
  </si>
  <si>
    <t>Reason for Restriction</t>
  </si>
  <si>
    <t>Please select the reason this product can not ship to Canada?  Please select from the options or write in a reason if not selectable</t>
  </si>
  <si>
    <t>Please choose one or more from the following, using a semicolon (;) to separate each value: Dual Language; Distribution Conflict; Logistics; Does Not Apply</t>
  </si>
  <si>
    <t>386214</t>
  </si>
  <si>
    <t>ISTA Certified</t>
  </si>
  <si>
    <t>Is the packaging for this SKU ISTA Certified (1A, 3A, 6A)?</t>
  </si>
  <si>
    <t>415799</t>
  </si>
  <si>
    <t>Sustainability &amp; Social Responsibility Certifications (North America Only)</t>
  </si>
  <si>
    <t>Do you have any certifications or credentials related to environmental sustainability, social responsibility, or ethical sourcing (e.g.,OEKO-TEX®, GREENGUARD, GoodWeave, Fair Trade, FSC, etc.)? To see examples of certificates currently part of our Shop Sustainably program, please visit: https://www.aboutwayfair.com/shop-sustainably. Please upload all related certificates so your products can be merchandised as part of the Shop Sustainably program.</t>
  </si>
  <si>
    <t>propSixtyFive::warningRequired</t>
  </si>
  <si>
    <t>Warning Required</t>
  </si>
  <si>
    <t>If the product requires a warning for Proposition 65 compliance in California, answer 'Yes' and indicate which chemicals and toxicities are applicable.</t>
  </si>
  <si>
    <t>propSixtyFive::chemicalId</t>
  </si>
  <si>
    <t>Chemical 1</t>
  </si>
  <si>
    <t>Select the chemical that requires the Prop65 warning.</t>
  </si>
  <si>
    <t>propSixtyFive::toxicity</t>
  </si>
  <si>
    <t>Toxicity 1</t>
  </si>
  <si>
    <t>Select the toxicity that can result from the selected chemical.</t>
  </si>
  <si>
    <t>Please choose one or more from the following, using a semicolon (;) to separate each value: Cancer; Developmental</t>
  </si>
  <si>
    <t>propSixtyFive::countryOfManufacturer</t>
  </si>
  <si>
    <t>Country Of Manufacturer</t>
  </si>
  <si>
    <t>Provide only a single country of manufacture for each product.</t>
  </si>
  <si>
    <t>Basic Information</t>
  </si>
  <si>
    <t>Variants</t>
  </si>
  <si>
    <t>Pricing</t>
  </si>
  <si>
    <t>Marketing Information</t>
  </si>
  <si>
    <t>Fulfillment Information</t>
  </si>
  <si>
    <t>Carton Details</t>
  </si>
  <si>
    <t>Media</t>
  </si>
  <si>
    <t>Attributes</t>
  </si>
  <si>
    <t>Compliance</t>
  </si>
  <si>
    <t>83610</t>
  </si>
  <si>
    <t>83613</t>
  </si>
  <si>
    <t>Pattern</t>
  </si>
  <si>
    <t>What is the pattern of the product? If there is more than one pattern, please select all that apply.</t>
  </si>
  <si>
    <t>Please choose one or more from the following, using a semicolon (;) to separate each value: Striped; Plaid; Chevron; Damask; Paisley; Geometric; Abstract; Gingham; Animal Print; Camouflage; Polka Dots; Ikat; Houndstooth; Toile; Patchwork; Ombre; Checkered; Floral; Argyle; Solid Color; No Pattern; Trellis; Dots; Starburst; Geometric Shapes; Marble; Brick; Irish Chain; Wood &amp; Shiplap; Chevron / Zig Zag; Clear; Stone; Drunkard's Path; Moroccan; Oriental; Block Print; Arc; Vintage Look; Does Not Apply</t>
  </si>
  <si>
    <t>83614</t>
  </si>
  <si>
    <t>Wallpaper Texture</t>
  </si>
  <si>
    <t>What type of texture does this product have applied to it?</t>
  </si>
  <si>
    <t>83631</t>
  </si>
  <si>
    <t>Application Type</t>
  </si>
  <si>
    <t>How is this product applied? This will be explicitly stated in the description. If this product does not fit any of the listed options, please enter the correct value.</t>
  </si>
  <si>
    <t>83632</t>
  </si>
  <si>
    <t>Match Type</t>
  </si>
  <si>
    <t>What is the pattern match type of this product? This will be explicitly stated in the description. If this product does not fit any of the listed options, please enter the correct information/value. Select all that apply.</t>
  </si>
  <si>
    <t>Please choose one or more from the following, using a semicolon (;) to separate each value: Drop; Straight; Random; Unavailable; Does Not Apply</t>
  </si>
  <si>
    <t>83633</t>
  </si>
  <si>
    <t>Removal Type</t>
  </si>
  <si>
    <t>How should the user remove the product?</t>
  </si>
  <si>
    <t>Please choose one or more from the following, using a semicolon (;) to separate each value: Peelable; Strippable; Solution Required; Unavailable; Does Not Apply</t>
  </si>
  <si>
    <t>245842</t>
  </si>
  <si>
    <t>239196</t>
  </si>
  <si>
    <t>Supplier Intended and Approved Use</t>
  </si>
  <si>
    <t>What type of environmental setting was this product designed and manufactured to be used in? Note: your answer indicates that Wayfair is able to market this product as being intended for use in the selected setting(s). Please select both, if both options apply.</t>
  </si>
  <si>
    <t>Please choose one or more from the following, using a semicolon (;) to separate each value: Non Residential Use; Residential Use</t>
  </si>
  <si>
    <t>83647</t>
  </si>
  <si>
    <t>336816</t>
  </si>
  <si>
    <t>Please choose one or more from the following, using a semicolon (;) to separate each value: Mold / Mildew Resistant; Water Resistant; No Durability Features; Drip Free; Fade Resistant; Heat Resistant; Stain Resistant; Reinforced; Non-Porous; Fray Resistant; Non-Staining</t>
  </si>
  <si>
    <t>364166</t>
  </si>
  <si>
    <t>Designer</t>
  </si>
  <si>
    <t>Who is the Designer of this product? The Designer is typically one individual and is not the name of the brand. If the designer does not exist, please select does not apply</t>
  </si>
  <si>
    <t>Please choose one or more from the following, using a semicolon (;) to separate each value: Achille Castiglioni; Alfredo Llorens; Becky Bailey; Badeloft; Alain Van Havre; Bannoura; Ann Gish; Ambesonne; Alberto Tabellini &amp; David Reiss; Andres Martinez; Allison Paladino; AERIN; Alexa Hampton; Antonio Citterio; BergHOFF; Ardmore; Arnold Krog; Bruno Marashlian; Carol Benson-Cobb; Campania International; Debra Ann of Atomic Mobiles; ARTCANVAS; Karen Didion; Maceteros; Rosiland Solomon; Ysnay; Ashley Norton; University frames; Ashley Helms; B2U; Artwall; Aviva Stanoff; ArtVerse; Artorang; ACROMA; Barrow Industries; Barclay Butera; Aqua Gallery; Barrow Fabric; Barbara Barry; Aston; Barry Goralnick; Barbara and James Restin; Arshs Fine Rugs; Brightech; C.L.L Collections; Bunny Williams; Busalt Design; Candice Olson; Betsy Drake Interiors; Bhawna's Fusion; Capital Lighting Fixture Co.; Booth &amp; Williams; Berbermade; Caroline's Treasures; Christian Lacroix; Chic Teak; Chapman &amp; Myers; ChiChi Decor; Celerie Kemble; ChildBeWild; Casa Fine Arts; Bespoky Rugs; Dawn Sweitzer; Dana Gibson; David Chipperfield; Darren Gygi; Creative Matters Inc.; Dana McMillan; Danielle Davis; David Phoenix; Christopher Fareed; E by Design; COXBRIGHT; Coe Steinwart; DreamLine; Daphne Polselli; Diane Beesley; Denny Knight; Diane Keaton; echo; Ebros Gift; EGLO; Duravit; Eleonora Ferragatta; E. F. Chapman; Elaine Smith; East West Furniture; iCanvas; Empava; Ernest Massuet; James Restin; Enrico Lavazzi; Ella's Bubbles; Emissary; Jaime Hayon; Evergreen; Jean-Marie Massaud; J Paul; Jennifer Hollack Raboin; Javier Mariscal; Jasper Morrison; James Brooksberry; Jamie Graney; J. Kent Martin; Jonathan Adler; Jennifer Ridel; Jose Javier Malavia; John Beard; JMV; Jordan Glassco Smith; Europatex; Jorge Pensi; Jose Luis Santes; John Strauss/Carisa Marie; Jose Maria Reina; Ettore Sottsass; Enrico Cosi &amp; Sergio Tabellini; Eugeni Quitllet; Jose Santaeulalia; Jessica Hollander; JoyJolt; Jim and Phoebe Howard; Julia Knight; Kelly Wearstler; Laura Park; Kurt Merki Jr.; Karin Reiter; Karo Martirosyan; Lexora; LACAVA; LILY; Levi Wilson; LeadGoods; Julie Neill; Juan Huerta; Lillian August; Kent Wilcoxson Jordan; Kayvan; Karim Rashid; Kevin O'Brien; Lynn McKernan; Lipman Art; Madison Knowles-Stewart; MaestroBath; M. FEDER; LOOMLAN; Loretta Yang; Lyn Hamer Cook; Loloi; Linum Home Textiles; Konstantin Grcic; Ludovica &amp; Roberto Palomba; Kaleen; Liora Manne; Malanta Knowles; Mark D. Sikes; Marc Sadler; Mesut Bozkurt; Meirxifeng Design; Marcel Wanders; Marla Rae; Matteo Thun; Matteo Thun &amp; Antonio Rodriguez; Metrohouse Designs; Marytumm; National Outdoor Living; Mary Jurek; Melissa Hyatt LLC; Naomi Neilson; Myard; The Met x Ann Gish; Martha Stewart; Modern Space; Melea Markell; MTI Baths; Michael Updike; Naoto Fukasawa; Morettis; National Tree Company; Nick Sheridan; Momeni; Michele De Lucchi &amp; Giancarlo Fassina; Mode Living Team; Monika Lubkowsa-Jonas; MH London; New World Trading; Ngala Trading; NovaSolo; York Wallcoverings; Fran Bradburn; Yasi; Suzanne Kasler; Norman Wyatt Jr.; Nikki Chu; Tammy Keller; TapLong; Glow Crystal Lighting; Patrice Lowe; Summer Snow; Flatfish; Olivia Rose; TeakSmith; Notting Hill Decorative Hardware; Tovolo; Feiss; Oiva Toikka; Swig Life; The Enchanted Home; Wedgwood; Frank Huster; Tim Klein; Exotic India; Quorum; Vera Wang; Tvilum; Tufenkian Design Studio; Francisco Polope; Hiroshi Koshitaka; Oussum; Sylvia Corban; Suzanne Renaud; Nude design team; Ottomanson; Peter Townsend; Pergamino; Hansgrohe; George Dyachenko; Hilary Farr; Thom Filicia; VEVOR; Hubbardton Forge; Hendryx Haus; Four Hands; Urban Trends Collection; Viso Project; Harmonia Living; Hekman; Yinuo Pure Furniture Limited; Gorham; Varvara Sivas; Franklin Corporation; Graywolf Design Co; The Creative Bunch Studio; Rachel K; United Artworks; Vickerman; Willow Collections; Piero Lissoni; Wexford Home; Homebody Accents; Pride Sasser; Handy Living; HKH International; Ferruccio Laviani; Twist Modern; Fernando Martinez; Phoenix Design; Thomas O'Brien; Home Dynamix; Sweet Jojo Designs; RBROHANT; Ramon Esteve; Yamazaki Home; Tycolit; Oxygen Lighting; Phyllis Morris; Get Bed Ready; Heckman; Robert Sonneman; The Allstone Group; Ellen DeGeneres; Foersom &amp; Hiort-Lorenzen MDD; Dexsa; Vinform; ELK Home; Patricia Urquiola; Ron Rezek; Hudson Valley; Rachel Lee; Zaza Ergemlidze; Robert Allen; Raul Rubio; Ron McIntyre; Roma Moulding; Ralph Lauren; Reflectionsonus Art Studio; Philippe Starck; Howcool; Tony Zaza; Greentouch Home; Riverside Furniture; Umbra; Falls Bridge Candles; Michael Anastassiades; Sean Lavin; E. Barber and J. Osgerby; Neri &amp; Hu; Mogens Lassen; Flemming Lassen; Paloma Contreras; Meneghello Paolelli; Zeki Muren; Alicia Engman; G. DeBrekht; Corey Damen Jenkins; Garcia Cumini; Charlotte Moss; Angela Harris, The Studio; Unavailable; Does Not Apply</t>
  </si>
  <si>
    <t>371810</t>
  </si>
  <si>
    <t>Product Care</t>
  </si>
  <si>
    <t>What is the appropriate way to clean and/or care for this product? Please select as many answers as applicable.</t>
  </si>
  <si>
    <t>Please choose one or more from the following, using a semicolon (;) to separate each value: Hand wash recommended; Spot clean only; Clean with soap and water; Clean spills immediately; Non-Abrasive, Neutral Ph Cleaner; Vacuum with no beater bar/rotating brush; Professional / Dry Clean Recommended; Vacuum with upholstery attachment; Use product specific cleaner; Wipe clean with a dry cloth; Avoid use of abrasive cleaners; Do not wash; Dust mop; Hose down; Spot clean; Wipe with wet cloth; Spot clean with water; No washing / drying care; Do not bleach; After cleaning, use sealant; Vacuum; Avoid direct sunlight; Clean with cloth, mild soap, and warm water; Spot clean with mild detergent; Spot clean as needed; Do not use any cleaning agents; Machine wash; Dry clean recommended; Use dry, solvent-based cleaner; Wipe down with mild soap and water; Wipe with cloth; Wipe Clean Only; Hand Wash Only - Towel Dry Immediately; Wipe clean with a damp cloth; Does Not Apply</t>
  </si>
  <si>
    <t>379963</t>
  </si>
  <si>
    <t>380015</t>
  </si>
  <si>
    <t>Pattern Repeat Frequency</t>
  </si>
  <si>
    <t>Please enter the number of unique patterns in the design of the product.</t>
  </si>
  <si>
    <t>381985</t>
  </si>
  <si>
    <t>Wood Species</t>
  </si>
  <si>
    <t>What type of wood was used to construct this product? This describes the actual materials used, not the product's appearance.</t>
  </si>
  <si>
    <t>Please choose one or more from the following, using a semicolon (;) to separate each value: Acacia; Alder; Ash; Bamboo; Beech; Birch; Camphor; Cedar; Cherry; Elm; Eucalyptus; Fir; Hickory; Mahogany; Mango; Maple; Oak; Pine; Poplar; Rosewood; Rubberwood; Sheesham; Spruce; Teak; Walnut; Wenge; Pecan; Shorea; Paulownia; Chestnut; Hemlock; Aspen; Mindi; Ipe; Olive; Ajo; Agarwood; Afzelia; Afrormosia; Bubinga; Brazilwood; Cumaru; Cedar, Mulanje; Cedar, Spanish; Aloewood; Lignum vitae; Mahogany, African; Mahogany, Mexican; Padauk, African; Macacauba; Ebony, Madagascar; Lignum vitae, Argentine; Gavilan; Mahogany, Honduran; Mahogany, Cuban; Stinkwood, red; Yew, Chinese; Pau rosa, Brazilian; Sandalwood, East African; Ramin; Zitan; Yew, Himalayan; Yew, Japanese; Rosewood, Siamese; Yew, Taiwan; Burlwood; Platane Wood; Sungkai; Does Not Apply</t>
  </si>
  <si>
    <t>302380</t>
  </si>
  <si>
    <t>Sports Team Name</t>
  </si>
  <si>
    <t>Which sports team does this product display? Please only fill out this information if the product has a logo from one of these sports teams on the product itself.</t>
  </si>
  <si>
    <t>Please choose one or more from the following, using a semicolon (;) to separate each value: MLB Atlanta Braves; MLB Chicago Cubs; MLB Arizona Diamondbacks; MLB Baltimore Orioles; MLB Kansas City Royals; MLB Boston Red Sox; MLB Milwaukee Brewers; MLB Detroit Tigers; MLB Cincinnati Reds; MLB Los Angeles Dodgers; MLB Colorado Rockies; MLB Chicago White Sox; MLB Houston Astros; MLB Miami Marlins; MLB Minnesota Twins; MLB Philadelphia Phillies; NBA New York Knicks; NHL Edmonton Oilers; MLB Los Angeles Angels; MLB New York Mets; MLB New York Yankees; MLB Pittsburgh Pirates; MLB San Diego Padres; MLB San Francisco Giants; NHL Los Angeles Kings; NHL Pittsburgh Penguins; MLB Seattle Mariners; MLB Cleveland Guardians; MLB Tampa Bay Rays; MLB Toronto Blue Jays; MLB Washington Nationals; NBA Boston Celtics; NBA Charlotte Hornets; NBA Denver Nuggets; NBA Golden State Warriors; NFL Houston Texans; NFL Baltimore Ravens; NBA Detroit Pistons; NBA Cleveland Cavaliers; NBA Houston Rockets; NBA Atlanta Hawks; NHL Washington Capitals; NBA Los Angeles Clippers; NBA Minnesota Timberwolves; NBA Brooklyn Nets; NBA Sacramento Kings; NBA Washington Wizards; NBA San Antonio Spurs; NHL Calgary Flames; NHL Carolina Hurricanes; NBA Indiana Pacers; NBA New Orleans Pelicans; NFL New York Giants; NBA Memphis Grizzlies; MLB Oakland Athletics; NHL Detroit Red Wings; NHL Colorado Avalanche; NHL New York Islanders; NBA Chicago Bulls; NBA Utah Jazz; NBA Philadelphia 76ers; NBA Milwaukee Bucks; NBA Miami Heat; NBA Oklahoma City Thunder; NBA Orlando Magic; NHL Montreal Canadiens; NHL Vancouver Canucks; NHL San Jose Sharks; NHL Arizona Coyotes; NHL Winnipeg Jets; NHL Buffalo Sabres; NHL Boston Bruins; NHL Vegas Golden Knights; NFL Buffalo Bills; NBA Toronto Raptors; NFL Arizona Cardinals; MLB Texas Rangers; NFL Cincinnati Bengals; NFL Carolina Panthers; NFL Detroit Lions; NFL Atlanta Falcons; NFL Green Bay Packers; NFL Denver Broncos; NFL Miami Dolphins; NFL Jacksonville Jaguars; NHL Dallas Stars; NFL Kansas City Chiefs; NHL Florida Panthers; NHL Minnesota Wild; NBA Phoenix Suns; NFL Indianapolis Colts; NFL Minnesota Vikings; NHL Columbus Blue Jackets; NFL Pittsburgh Steelers; NFL New York Jets; NFL Las Vegas Raiders; NFL New Orleans Saints; NFL San Francisco 49ers; NHL Nashville Predators; NHL St. Louis Blues; NHL Philadelphia Flyers; NHL Tampa Bay Lightning; NHL Toronto Maple Leafs; MLB St. Louis Cardinals; NHL Ottawa Senators; NFL Seattle Seahawks; NCAA US Naval Academy; NFL Tampa Bay Buccaneers; NHL Anaheim Ducks; NCAA Xavier; NBA Dallas Mavericks; NFL Los Angeles Rams; NFL Washington Commanders; NCAA Villanova; NFL New England Patriots; NCAA Wisconsin; NBA Portland Trail Blazers; NCAA UCLA; NHL Chicago Blackhawks; NFL Chicago Bears; NBA Los Angeles Lakers; NCAA Utah; NCAA Alabama; NHL New Jersey Devils; NCAA Syracuse; NHL New York Rangers; NCAA U.S Air Force Academy; NCAA James Madison; NFL Cleveland Browns; NCAA UCF; NCAA Towson; NCAA Tennessee; NCAA Purdue; NCAA Texas State; NCAA Pittsburgh; NCAA SMU; NCAA Ole Miss; NCAA Seton Hall; NCAA Texas; NCAA Penn State; NCAA North Dakota; NCAA North Carolina; NCAA Mississippi State; NCAA Oklahoma; NCAA Oklahoma State; NCAA Ohio; NCAA Nebraska; NCAA Missouri State; NCAA Ohio State; NCAA Notre Dame; NCAA Michigan; NCAA Michigan Tech; NCAA Michigan Wolverines; NCAA Louisville; NCAA Michigan State; NCAA Indiana; NCAA Memphis; NCAA Houston; NCAA Miami Of Ohio; NCAA Georgia Tech; NCAA Georgia Southern University; NCAA Clemson; NCAA East Carolina University; NCAA Florida Gators; NCAA Duke; NCAA Eastern Kentucky; NCAA Georgetown; NCAA Coastal Carolina University; NCAA Colorado State; NCAA Georgia; NCAA Citadel; NCAA Creighton; NCAA Central Michigan; NCAA Boston College; NCAA BYU; NCAA Texas A&amp;M; NCAA Butler University; NCAA TCU; NFL Dallas Cowboys; NFL Philadelphia Eagles; NCAA Virginia Tech; NFL Los Angeles Chargers; NCAA University Of Southern California; NCAA Boise State; NFL Tennessee Titans; NCAA Louisiana State; NCAA U.S Military Academy; NHL Seattle Kraken; AFC Bournemouth; Brighton and Hove Albion; Arsenal; Everton; Chelsea; Crystal Palace; Liverpool; Leicester City; Fulham; Aston Villa; Brentford; Leeds United; FC Bayern München; SV Werder Bremen; RB Leipzig; Manchester City; 1. FC Köln; Bayer 04 Leverkusen; Tottenham Hotspur; West Ham United; VfB Stuttgart; VfL Bochum 1848; FC Schalke 04; Wolverhampton Wanderers; 1. FC Union Berlin; VfL Wolfsburg; TSG Hoffenheim; Hertha Berlin; SC Freiburg; FC Augsburg; 1. FSV Mainz 05; Nottingham Forest; Southampton; Borussia Dortmund; Manchester United; Eintracht Frankfurt; Borussia Mönchengladbach; Newcastle United; Club Atlético de Madrid SAD; Real Club Celta de Vigo SAD; Rayo Vallecano de Madrid SAD; Valencia Club de Fútbol SAD; Club Atlético Osasuna; Real Club Deportivo Mallorca SAD; Real Sociedad de Fútbol SAD; Sevilla Fútbol Club SAD; Unión Deportiva Almería SAD; Fútbol Club Barcelona; RCD Espanyol de Barcelona; Cádiz Club de Fútbol SAD; Villarreal Club de Fútbol SAD; Getafe Club de Fútbol SAD; Girona Fútbol Club SAD; Elche Club de Fútbol SAD; Real Betis Balompié SAD; Real Valladolid Club de Fútbol SAD; Athletic Club; Real Madrid Club de Fútbol; Associazione Calcio Monza S.P.A.; Atalanta Bergamasca Calcio S.P.A.; Torino Football Club S.P.A.; Roma Associazione Sportiva S.P.A.; Juventus Football Club S.P.A.; Sassuolo Calcio Unione Sportiva S.R.L.; Milan Associazione Calcio S.P.A.; Udinese Calcio S.P.A.; Bologna Football Club 1909 S.P.A.; Unione Sportiva Cremonese; Spezia Calcio S.R.L.; Fiorentina Acf S.P.A.; Sampdoria Unione Calcio S.P.A; U.S. Salernitana 1919 S.R.L.; Empoli Football Club S.P.A.; Unione Sportiva Lecce S.P.A.; Napoli Societa' Sportiva Calcio S.P.A.; Hellas Verona Football Club S.P.A.; Internazionale Football Club S.P.A.; Lazio Societa' Sportiva S.P.A.; Angers SCO; FC Nantes; FC Metz; Olympique De Marseille; Olympique Lyonnais; Losc Lille; Montpellier Hérault SC; RC Lens; Paris Saint-Germain; OGC Nice; FC Lorient; RC Strasbourg Alsace; Estac Troyes; Stade Brestois 29; AS Monaco; AS Saint-Étienne; FC Girondins De Bordeaux; Stade Rennais FC; Clermont Foot 63; Stade De Reims; CFL Hamilton Tiger-Cats; CFL Toronto Argonauts; MLS Minnesota United FC; MLS Los Angeles FC; MLS Montreal Impact; MLS Orlando City; CFL Winnipeg Blue Bombers; MLB Boston Braves; AFL Hollywood Rangers; MLS Chicago Fire; Alabama Agricultural &amp; Mechanical University; MLB 1966 California Angels; MLS Kansas City Sporting; MLS New York Red Bulls; MLS New England Revolution; MLS New York City FC; MLS Cincinnati FC; MLS Atlanta Dream; MLS Colorado Rapids; MLS Houston Dynamo; MLS Philadelphia Union; MLB 1944 Brooklyn Dodgers; MLB 1954 Philadelphia Athletics; MLS D.C. United; CFL Edmonton Elks; MLS Columbus Crew; MLB Brooklyn Dodgers; MLS Atlanta United; CFL Montreal Alouettes; MLB 1990 Montreal Expos; CFL Saskatchewan Roughriders; MLB 1998 Tampa Bay Devil Rays; MLS Dallas FC; MLS LA Galaxy; MLS Portland Timbers; NCAA Kentucky; NCAA Kent State; NCAA Lamar Cardinals and Lady Cardinals; MLS Real Salt Lake; NCAA South Florida; NCAA Truman State; NCAA Tulane; World Cup England; NCAA Kennesaw State; NCAA Idaho State; NCAA Illinois; NCAA Kansas City; NCAA Idaho Vandals; NCAA Jacksonville; NCAA Kentucky State; NCAA George Mason; NCAA Alabama - Huntsville; NCAA Grand Valley State; NCAA Idaho; NCAA Louisiana - Monroe; MLS Toronto FC; NCAA Long Beach State; NCAA Akron Zips; NCAA McNeese State; NCAA Alabama State; NCAA Minnesota Duluth; MLS Seattle Sounders; NCAA Maine; NCAA New Orleans; NCAA Hawaii; NCAA Alabama A &amp; M; NCAA Marquette; NCAA Jackson State; NCAA Missouri Western State; NCAA Florida State; NCAA Morehead State; NCAA Miami Florida; NCAA Minot State; NCAA Louisiana; NCAA Minnesota; NCAA Missouri; NCAA Ferris State; NCAA Cornell; NCAA Bowling Green State; NCAA Eastern Washington; NCAA Bethune Cookman; NCAA Ball State; NCAA Davidson; NCAA Eastern Carolina; NCAA Colgate; NCAA Bucknell; NCAA Colorado; NCAA Clark Atlanta; NCAA Duquesne; NCAA Baylor; World Cup United States; NCAA Arizona State; NCAA Buffalo; NCAA Brown; NCAA Elon; World Cup Portugal; World Cup Italy; NCAA Louisiana Ragin' Cajuns; World Cup Mexico; MLS Vancouver Whitecaps; NCAA Delaware; NCAA Boston University; NCAA William &amp; Mary; NFL Seattle Bombers; NFL Boston Shamrocks; NHL New Orleans Brass; World Cup Australia; NCAA Yale; NCAA Wyoming; NCAA Louisiana Tech; NCAA Detroit Mercy; MLS San Jose Earthquake; NFL Calgary Stampeders; World Cup France; NCAA Wyoming State; NCAA Gonzaga; NFL Washington Senators; NCAA Youngstown State; NCAA Cal State Fullerton; NCAA Hampton; NCAA California State; NCAA Arkansas State; NHL Baltimore Clippers; World Cup Spain; NCAA Alaska; NCAA Mercer; NCAA Bemidji State; NCAA Wright State; NCAA Florida Gulf Coast; NCAA Minnesota State; NCAA Campbell; NCAA DePaul; NCAA Indiana State; NCAA Bradley; NCAA Fresno State; NCAA Arkansas; NCAA Georgia State; NCAA Cal Berkeley; NCAA Hartford; NCAA Charleston Southern; NCAA Brooklyn; Premier League Team Swansea City; World Cup Germany; NCAA George Washington; NCAA Columbia; NCAA Iowa State; NCAA East Tennessee State; NCAA Eastern Illinois; NCAA Cleveland State; NCAA Auburn; NCAA Concordia; NCAA Kansas State; NBA Seattle Super Sonics; NCAA Denver; NCAA Montana; NCAA Albany State; NCAA Marine Corps; NCAA Western Michigan; NCAA Chattanooga Mocs; NCAA Loyola Chicago; NCAA New Mexico; NCAA Dartmouth; NCAA Morehouse; NCAA Montana State; NCAA MIT; NHL Atlanta Thrashers; NCAA Arizona; NCAA Appalachian State; NCAA Iowa; NCAA Middle Tennessee State; NCAA Marshall; NCAA Kansas; NCAA Milwaukee; NCAA Cincinnati; NCAA Dayton; NCAA Emporia State; NCAA Nicholls State; NCAA Virginia Military Institute; NCAA Nevada; NCAA Weber State; NCAA Washington Capitals; NCAA Washington; NCAA Wofford; Premier League Team Norwich City; NCAA Western Carolina; NCAA Virginia Commonwealth; NCAA Western Kentucky; NCAA Virginia; NCAA Nebraska Wesleyan; NCAA South Dakota State; NCAA New Hampshire; NCAA Utah State; NCAA Valdosta State; NCAA Cal Poly; NCAA Vanderbilt; NCAA UChicago; NCAA UConn; NCAA New Mexico State; NCAA Virginia State; NCAA South Carolina State; NCAA Texas Tech; NCAA Wichita State; NCAA UMass; NCAA Tulsa; NCAA NC State; NCAA St. John's; NCAA Southwest Minnesota State; NCAA Washington State; NCAA Wake Forest; NCAA UNC Wilmington; NCAA Nebraska - Lincoln; NCAA Vermont; NCAA UNC Asheville; NCAA Southern Mississippi; NCAA Southern; NCAA Seattle; NCAA Saint Joseph's; NCAA West Virginia; NCAA Tennessee Tech; NCAA San Diego; NCAA North Dakota State; NCAA South Alabama; NCAA Stanford; NCAA Sacramento State; NCAA Toledo; NCAA Rutgers; NCAA Northern Illinois; NCAA Northwestern; NCAA Alcorn State; NHL San Francisco Seals; NCAA Maryland; NCAA Alabama - Birmingham; NCAA Eastern Michigan; NCAA Illinois State; NCAA Southern Illinois; NCAA St. Joseph's; NCAA San Diego State; NCAA South Dakota; NCAA Northern Arizona; NCAA North Carolina State; NCAA Northern Iowa; NCAA Toronto; NCAA Portland; NCAA Saint Louis; NCAA San Francisco; NCAA Oregon; NCAA San Jose State; NCAA Valparaiso; NCAA Sioux Falls; NCAA Temple; NCAA Washington and Lee; NCAA Sam Houston State; NCAA U.S. Coast Guard Academy; NCAA Oakland; NCAA Regent; NCAA Rockies - Colorado; NCAA Southeastern Louisiana; NCAA Northern Michigan; NCAA Ohio Dominican; NCAA NYU; NCAA Northern State Wolves; NCAA Texas - El Paso; NCAA South Carolina Gamecocks; NCAA Texas - San Antonio; NCAA North Florida; NCAA Virginia Wesleyan; NCAA Tennessee State; NCAA Richmond; NCAA Rhode Island; NCAA Stephen F. Austin State; NCAA North Texas University; NCAA Old Dominion; NCAA Rice; NCAA Texas - Rio Grande Valley; NCAA Oregon State; Unavailable; Does Not Apply</t>
  </si>
  <si>
    <t>300666</t>
  </si>
  <si>
    <t>83654</t>
  </si>
  <si>
    <t>Pattern Interval</t>
  </si>
  <si>
    <t>[Inches] How much space is in-between each pattern? Please enter just the number (e.g. 1.5).</t>
  </si>
  <si>
    <t>435497</t>
  </si>
  <si>
    <t>Please choose one or more from the following, using a semicolon (;) to separate each value: Breathable; Dual Sided; Paintable / Stainable</t>
  </si>
  <si>
    <t>436381</t>
  </si>
  <si>
    <t>Please choose one or more from the following, using a semicolon (;) to separate each value: Aluminum; Cast Iron; Fabric; Paper; Plastic; PVC; Steel; Vinyl; Wood; Fleece; Grass Cloth; MDF; Non-Woven; Particle Board / Chipboard; Plywood / Laminate Board</t>
  </si>
  <si>
    <t>437136</t>
  </si>
  <si>
    <t>487304</t>
  </si>
  <si>
    <t>Finish</t>
  </si>
  <si>
    <t>What is the finish of the product?</t>
  </si>
  <si>
    <t>Please choose one or more from the following, using a semicolon (;) to separate each value: Satin; Gloss; Rubber Coated; Neoprene Dipped; Distressed; Glitter / Shimmer; Low-Gloss; Matte; Metallic; Primed; Semi Gloss</t>
  </si>
  <si>
    <t>83653</t>
  </si>
  <si>
    <t>Overall Product Length - End to End</t>
  </si>
  <si>
    <t>[Feet] What is the overall length (longest side) of the product from end to end? Please enter just the number (e.g. 45.5).</t>
  </si>
  <si>
    <t>83652</t>
  </si>
  <si>
    <t>83655</t>
  </si>
  <si>
    <t>Square Footage per Unit</t>
  </si>
  <si>
    <t>[Square Feet] What is the total square footage of this wallpaper SKU? This is the total square footage included in ONE UNIT of the SKU. For Rolls, this should be the total square footage in the roll, for Double Rolls, the total square footage included in the double roll. For wall murals, the value should reflect the total area of the mural. Please enter just the number (i.e. 45.5).</t>
  </si>
  <si>
    <t>83656</t>
  </si>
  <si>
    <t>Overall Product Weight</t>
  </si>
  <si>
    <t>[Pounds] What is the total weight of this product once assembled? If this product includes multiples of the same item, add weight of one individual unit (e.g. 1 Dining Chair in a set of 2). Please enter just the number (i.e. 45.5).</t>
  </si>
  <si>
    <t>238830</t>
  </si>
  <si>
    <t>333897</t>
  </si>
  <si>
    <t>486624</t>
  </si>
  <si>
    <t>237291</t>
  </si>
  <si>
    <t>250059</t>
  </si>
  <si>
    <t>251781</t>
  </si>
  <si>
    <t>415800</t>
  </si>
  <si>
    <t>Carton Weight</t>
  </si>
  <si>
    <t>Carton Height</t>
  </si>
  <si>
    <t>Carton Width</t>
  </si>
  <si>
    <t>Carton Depth</t>
  </si>
  <si>
    <t>Image File Name or URL</t>
  </si>
  <si>
    <t>Video File Name or URL</t>
  </si>
  <si>
    <t>Document File Name or URL</t>
  </si>
  <si>
    <t>Document Type</t>
  </si>
  <si>
    <t>Legal Document Type</t>
  </si>
  <si>
    <t>Document Region</t>
  </si>
  <si>
    <t>Chemical</t>
  </si>
  <si>
    <t>Toxicity</t>
  </si>
  <si>
    <t>Variant Details - Variant Grouping (Class 3757)</t>
  </si>
  <si>
    <t>Variant Details - Variant Grouping (Class 6161)</t>
  </si>
  <si>
    <t>Specifications</t>
  </si>
  <si>
    <t>Installation &amp; Assembly</t>
  </si>
  <si>
    <t>Owner Manual</t>
  </si>
  <si>
    <t>Delivery Information</t>
  </si>
  <si>
    <t>Warranty Information</t>
  </si>
  <si>
    <t>Certifications</t>
  </si>
  <si>
    <t>Disclaimers</t>
  </si>
  <si>
    <t>Buying Guides</t>
  </si>
  <si>
    <t>Promotions</t>
  </si>
  <si>
    <t>Dimensions</t>
  </si>
  <si>
    <t>Marketing Materials</t>
  </si>
  <si>
    <t>Energy Guide</t>
  </si>
  <si>
    <t>Other</t>
  </si>
  <si>
    <t>Product Information Sheet</t>
  </si>
  <si>
    <t>Digital Law Label</t>
  </si>
  <si>
    <t>AAFA Certified</t>
  </si>
  <si>
    <t>AATCC 116 Grade</t>
  </si>
  <si>
    <t>AATCC 16.1-2014 Grade</t>
  </si>
  <si>
    <t>AATCC 16.3-2014 Grade</t>
  </si>
  <si>
    <t>AATCC 8 Grade</t>
  </si>
  <si>
    <t>AC Rated</t>
  </si>
  <si>
    <t>ACT Flammability Guidelines Compliant</t>
  </si>
  <si>
    <t>AHAM CADR Dust rating</t>
  </si>
  <si>
    <t>AHAM CADR Pollen rating</t>
  </si>
  <si>
    <t>AHAM CADR Smoke rating</t>
  </si>
  <si>
    <t>AHMA Certified</t>
  </si>
  <si>
    <t>AHMA Compliant</t>
  </si>
  <si>
    <t>AHRI Certified</t>
  </si>
  <si>
    <t>ANSI A117.1 Compliant</t>
  </si>
  <si>
    <t>ANSI A137.1 Compliant</t>
  </si>
  <si>
    <t>ANSI IT9.2 Compliant</t>
  </si>
  <si>
    <t>ANSI Z1.5A/CGA 9.1M Certified</t>
  </si>
  <si>
    <t>ANSI Z124.1.2 Compliant</t>
  </si>
  <si>
    <t>ANSI Z124.3 Compliant</t>
  </si>
  <si>
    <t>ANSI Z124.6-97 Compliant</t>
  </si>
  <si>
    <t>ANSI Z21.11.2-2016 - Gas-Fired Unvented Room Heaters and Gas-Fired Unvented Decorative Room Heaters</t>
  </si>
  <si>
    <t>ANSI Z21.50-2016/CSA 2.22-2016 - Standard for Vented Decorative Gas Appliances</t>
  </si>
  <si>
    <t>ANSI Z21.60-2017/CSA 2.26-2017- Standard for Decorative Gas Appliances</t>
  </si>
  <si>
    <t>ANSI Z21.84-2017 - Standard for Manually Lighted/ Natural Gas/ Decorative Gas Appliances</t>
  </si>
  <si>
    <t>ANSI Z21.88-2017/CSA 2.33-2017- Standard for Vented Gas Fireplace Heaters</t>
  </si>
  <si>
    <t>ANSI Z358 Compliant</t>
  </si>
  <si>
    <t>ANSI/BHMA A156 Certified</t>
  </si>
  <si>
    <t>ANSI/BIFMA M7.1 Standard Test Method for Determining VOC Emissions</t>
  </si>
  <si>
    <t>ANSI/BIFMA X5.1 Office Seating</t>
  </si>
  <si>
    <t>ANSI/BIFMA X5.11 Large Occupant Office Seating</t>
  </si>
  <si>
    <t>ANSI/BIFMA X5.3 Vertical Files</t>
  </si>
  <si>
    <t>ANSI/BIFMA X5.4 Lounge &amp; Public Seating</t>
  </si>
  <si>
    <t>ANSI/BIFMA X5.5 Desk Products</t>
  </si>
  <si>
    <t>ANSI/BIFMA X5.6 Panel Systems</t>
  </si>
  <si>
    <t>ANSI/BIFMA X5.9 Storage</t>
  </si>
  <si>
    <t>ANSI/BIFMA X6.1 Educational Seating</t>
  </si>
  <si>
    <t>ANSI/BIFMA X7.1 Standard for Formaldehyde &amp; TVOC Emissions</t>
  </si>
  <si>
    <t>ANSI/ESD S20.20 Certified</t>
  </si>
  <si>
    <t>ANSI/NISO Z39.48 Compliant</t>
  </si>
  <si>
    <t>ANSI/SOHO S6.5 Small Office/Home Office</t>
  </si>
  <si>
    <t>APMA Certified</t>
  </si>
  <si>
    <t>ASHRAE 62.2 Standard Compliant</t>
  </si>
  <si>
    <t>ASME A112.18.1 Compliant</t>
  </si>
  <si>
    <t>ASME A112.18.2 Compliant</t>
  </si>
  <si>
    <t>ASME A112.19.1 Compliant</t>
  </si>
  <si>
    <t>ASME A112.19.2 Compliant</t>
  </si>
  <si>
    <t>ASME A112.19.3 Compliant</t>
  </si>
  <si>
    <t>ASP:02:01 Certification</t>
  </si>
  <si>
    <t>ASSE 1001 Certified</t>
  </si>
  <si>
    <t>ASSE 1006 Certified</t>
  </si>
  <si>
    <t>ASSE 1016 Certified</t>
  </si>
  <si>
    <t>ASTM 1821-19</t>
  </si>
  <si>
    <t>ASTM E1590-07 Compliant</t>
  </si>
  <si>
    <t>ASTM F1004-19 Certified</t>
  </si>
  <si>
    <t>ASTM F1148-17 Compliant</t>
  </si>
  <si>
    <t>ASTM F1148-18 Compliant</t>
  </si>
  <si>
    <t>ASTM F1148-18 Certified</t>
  </si>
  <si>
    <t>ASTM F1169 - 13 Compliant</t>
  </si>
  <si>
    <t>ASTM F1487-17 Compliant</t>
  </si>
  <si>
    <t>ASTM F1821 - 16 Compliant</t>
  </si>
  <si>
    <t>ASTM F1912-17 Compliant</t>
  </si>
  <si>
    <t>ASTM F1917 - 12 Compliant</t>
  </si>
  <si>
    <t>ASTM F2057 - 14</t>
  </si>
  <si>
    <t>ASTM F2057 - 17</t>
  </si>
  <si>
    <t>ASTM F2057 - 19 Certified</t>
  </si>
  <si>
    <t>ASTM F2085 - 12 Compliant</t>
  </si>
  <si>
    <t>ASTM F2088-15 Compliant</t>
  </si>
  <si>
    <t>ASTM F2194 Compliant</t>
  </si>
  <si>
    <t>ASTM F2225-15 Compliant</t>
  </si>
  <si>
    <t>ASTM F2388 - 18 Certified</t>
  </si>
  <si>
    <t>ASTM F2613 - 17 Compliant</t>
  </si>
  <si>
    <t>ASTM F2729 - 18 Compliant</t>
  </si>
  <si>
    <t>ASTM F2933-18 Compliant</t>
  </si>
  <si>
    <t>ASTM F3084 - 16 Compliant</t>
  </si>
  <si>
    <t>ASTM F3096 - 14 Compliant</t>
  </si>
  <si>
    <t>ASTM F3363-19 Compliant</t>
  </si>
  <si>
    <t>ASTM F381-16 Compliant</t>
  </si>
  <si>
    <t>ASTM F406 - 10a Compliant</t>
  </si>
  <si>
    <t>ASTM F406 - 15 Compliant</t>
  </si>
  <si>
    <t>ASTM F406 - 17 Certified</t>
  </si>
  <si>
    <t>ASTM F963 - 17 Certified</t>
  </si>
  <si>
    <t>ASTM F963-11 Compliant</t>
  </si>
  <si>
    <t>ATA Rated</t>
  </si>
  <si>
    <t>BHFTI Upholstered Furniture Flammability Compliant</t>
  </si>
  <si>
    <t>BIFMA G1 Ergonomics Guideline for Furniture</t>
  </si>
  <si>
    <t>BIFMA HCF 8.1 - Healthcare Furniture Design</t>
  </si>
  <si>
    <t>Blauer Engel</t>
  </si>
  <si>
    <t>BS 5287: 1988 Certified</t>
  </si>
  <si>
    <t>BS 5852 Certified</t>
  </si>
  <si>
    <t>BS 5867-2:2008 Certified</t>
  </si>
  <si>
    <t>BS 7176: 2007 Certified</t>
  </si>
  <si>
    <t>BS 7177:2008+A1:2011 Certified</t>
  </si>
  <si>
    <t>BS EN 13120: 2009 + A1: 2014 (Requirements for Window Blinds or Drapery Cords) - EU ONLY</t>
  </si>
  <si>
    <t>BS EN 716-1 Compliant - EU ONLY</t>
  </si>
  <si>
    <t>BS EN12790 Certified</t>
  </si>
  <si>
    <t>CAL TB 116 Compliant</t>
  </si>
  <si>
    <t>CAL TB 117-2013 Compliant</t>
  </si>
  <si>
    <t>CALGreen Compliant</t>
  </si>
  <si>
    <t>California AB 1953 Compliant</t>
  </si>
  <si>
    <t>CAN C22.2 No. 3 - Electrical Components of Fuel Burning Equipment</t>
  </si>
  <si>
    <t>CAN/ULC-S674</t>
  </si>
  <si>
    <t>CARB Phase II Compliant (formaldehyde emissions)</t>
  </si>
  <si>
    <t>CE Certified</t>
  </si>
  <si>
    <t>CEE Rating</t>
  </si>
  <si>
    <t>CertiPUR-US Certified</t>
  </si>
  <si>
    <t>cETL Listed</t>
  </si>
  <si>
    <t>CGA 2.17- M91 (R2014)</t>
  </si>
  <si>
    <t>Chemicals of Concern Compliant</t>
  </si>
  <si>
    <t>Chemikalien-Verbotsverordnung / Section 3 Compliant</t>
  </si>
  <si>
    <t>Children's Product Certificate (CPC)</t>
  </si>
  <si>
    <t>CISPR 22 Compliant</t>
  </si>
  <si>
    <t>Complies with 16 CFR 1305.4</t>
  </si>
  <si>
    <t>ASTM F1427 - 13 Compliant - Consumer Safety Specification for Bunk Beds</t>
  </si>
  <si>
    <t>CPAI-84 Compliant</t>
  </si>
  <si>
    <t>CPSC - 15 U.S. Code § 1278a - Children's Products Containing Lead</t>
  </si>
  <si>
    <t>CPSC - 16 CFR 1213 Compliant</t>
  </si>
  <si>
    <t>CPSC - 16 CFR 1215 Compliant - Safety Standards for Infant Bath Seats</t>
  </si>
  <si>
    <t>ASTM 1821-19 and/or CPSC - 16 CFR 1217 Compliant</t>
  </si>
  <si>
    <t>CPSC - 16 CFR 1218 Compliant</t>
  </si>
  <si>
    <t>ASTM F1169-19 Compliant and/or CPSC - 16 CFR 1219 Compliant</t>
  </si>
  <si>
    <t>ASTM F406-22 and/or CPSC - 16 CFR 1220 Compliant</t>
  </si>
  <si>
    <t>CPSC - 16 CFR 1221 Compliant</t>
  </si>
  <si>
    <t>CPSC - 16 CFR 1225 Compliant</t>
  </si>
  <si>
    <t>CPSC - 16 CFR 1234 Compliant</t>
  </si>
  <si>
    <t>CPSC - 16 CFR 1238 Compliant</t>
  </si>
  <si>
    <t>CPSC - 16 CFR 1239 Compliant</t>
  </si>
  <si>
    <t>CPSC - 16 CFR 1303 Compliant</t>
  </si>
  <si>
    <t>CPSC - 16 CFR 1500.48 Compliant</t>
  </si>
  <si>
    <t>CPSC - 16 CFR 1500.49 Compliant</t>
  </si>
  <si>
    <t>CPSC - 16 CFR 1513 Compliant</t>
  </si>
  <si>
    <t>CPSC - 16 CFR 1630 Compliant</t>
  </si>
  <si>
    <t>CPSC - 16 CFR 1631 Compliant</t>
  </si>
  <si>
    <t>CPSC - 16 CFR 1632 Compliant</t>
  </si>
  <si>
    <t>CPSC - 16 CFR 1633 Compliant</t>
  </si>
  <si>
    <t>CPSC - 16 CFR Part 1130-Requirements For Consumer Registration Of Durable Infant Or Toddler Products</t>
  </si>
  <si>
    <t>CPSC - 16 CFR Part 1307-Prohibition Of Children's Toys And Child Care Articles Containing Specified Phthalates</t>
  </si>
  <si>
    <t>CPSC 16 CFR 1500.3(c)(6)(vi)</t>
  </si>
  <si>
    <t>CPSC 16 CFR 1500.44</t>
  </si>
  <si>
    <t>CPSIA Compliant</t>
  </si>
  <si>
    <t>Cradle to Cradle Certified</t>
  </si>
  <si>
    <t>CRI Certified</t>
  </si>
  <si>
    <t>CRI Green Label Certified</t>
  </si>
  <si>
    <t>CRI Green Label Plus Certified</t>
  </si>
  <si>
    <t>CSA 2.41-2014/ANSI Z21.97-2014</t>
  </si>
  <si>
    <t>CSA B125.1 Certified</t>
  </si>
  <si>
    <t>CSA B13 Certified</t>
  </si>
  <si>
    <t>CSA B45 Certified</t>
  </si>
  <si>
    <t>CSA B45.1 Certified</t>
  </si>
  <si>
    <t>CSA B45.2 Certified</t>
  </si>
  <si>
    <t>CSA Certified</t>
  </si>
  <si>
    <t>CSA Listed for Canada</t>
  </si>
  <si>
    <t>CSA Listed for USA</t>
  </si>
  <si>
    <t>CSPC - 16 CFR 1750 Compliant</t>
  </si>
  <si>
    <t>cUL Listed</t>
  </si>
  <si>
    <t>cUPC Certified</t>
  </si>
  <si>
    <t>DECT 6.0 Compliant</t>
  </si>
  <si>
    <t>DIN EN 12935 Certified</t>
  </si>
  <si>
    <t>DIN EN 16647:2016</t>
  </si>
  <si>
    <t>Dry/ Damp/ or Wet Location Listed - CAN</t>
  </si>
  <si>
    <t>Dry/ Damp/ or Wet Location Listed - USA</t>
  </si>
  <si>
    <t>EU 2018/2005</t>
  </si>
  <si>
    <t>EIA Compliant</t>
  </si>
  <si>
    <t>EISA 2007 Compliant</t>
  </si>
  <si>
    <t>EN 1111:2017</t>
  </si>
  <si>
    <t>EN 1130-1:1996 (Safety Requirements for Cribs and Cradles) - EU ONLY</t>
  </si>
  <si>
    <t>EN 12221-1 (Standards for Changing Tables) - EU ONLY</t>
  </si>
  <si>
    <t>EN 1287:2017</t>
  </si>
  <si>
    <t>EN 13219 (Standards for Trampolines) - EU ONLY</t>
  </si>
  <si>
    <t>EN 14428:2015</t>
  </si>
  <si>
    <t>EN 14516:2019</t>
  </si>
  <si>
    <t>EN 14527:2019 Certified</t>
  </si>
  <si>
    <t>EN 14528:2018 Certified</t>
  </si>
  <si>
    <t>EN 1466:2014</t>
  </si>
  <si>
    <t>EN 14688:2018 Certified</t>
  </si>
  <si>
    <t>EN 14749:2016 Certified</t>
  </si>
  <si>
    <t>EN 14878: 2007 (Requirements for Children's Sleepwear) - EU ONLY</t>
  </si>
  <si>
    <t>EN 14988-1 (Safety Standards for High Chairs) - EU ONLY</t>
  </si>
  <si>
    <t>EN 15312 (Safety Standards for Multi-Sport Equipment) - EU ONLY</t>
  </si>
  <si>
    <t>EN 1725 (Safety Standards for Adult Beds) - EU ONLY</t>
  </si>
  <si>
    <t>EN 1930 (Standards for Child Gates and Safety Barriers) - EU ONLY</t>
  </si>
  <si>
    <t>EN 200:2008 Certified</t>
  </si>
  <si>
    <t>EN 50291-1 (Standards for Smoke Detectors and CO Detectors) - EU ONLY</t>
  </si>
  <si>
    <t>EN 54-12 (Standards for Smoke Detectors and CO Detectors) - EU ONLY</t>
  </si>
  <si>
    <t>EN 71 Compliant</t>
  </si>
  <si>
    <t>EN 71-14:2018 Compliant</t>
  </si>
  <si>
    <t>EN 747-1 (Standards for Childrens Bunk Beds) - EU ONLY</t>
  </si>
  <si>
    <t>EN 748 (Safety Standards for Football Goals) - EU ONLY</t>
  </si>
  <si>
    <t>EN 997:2018</t>
  </si>
  <si>
    <t>Energy Label Type</t>
  </si>
  <si>
    <t>Energy Policy Act 1992 Compliant</t>
  </si>
  <si>
    <t>ENERGY STAR Certified</t>
  </si>
  <si>
    <t>EPA Compliant</t>
  </si>
  <si>
    <t>EPA Pesticide Registration Number</t>
  </si>
  <si>
    <t>EPP Compliant</t>
  </si>
  <si>
    <t>ETL Listed</t>
  </si>
  <si>
    <t>EU 2018/1513</t>
  </si>
  <si>
    <t>EU Energy Efficiency Class</t>
  </si>
  <si>
    <t>EuroLatex ECO-Standard</t>
  </si>
  <si>
    <t>FCC Compliant</t>
  </si>
  <si>
    <t>FCC Part 15 Compliant</t>
  </si>
  <si>
    <t>FCC Part 68 Compliant</t>
  </si>
  <si>
    <t>FIRA Certified</t>
  </si>
  <si>
    <t>Fire Rated</t>
  </si>
  <si>
    <t>FISP Certified</t>
  </si>
  <si>
    <t>FloorScore Certification</t>
  </si>
  <si>
    <t>FM Approved</t>
  </si>
  <si>
    <t>Food Safe</t>
  </si>
  <si>
    <t>FSC Certified</t>
  </si>
  <si>
    <t>General Certificate of Conformity (GCC)</t>
  </si>
  <si>
    <t>Glass Doors and Enclosures Regulations SOR/2016-174</t>
  </si>
  <si>
    <t>Glazed Ceramics and Glassware Regulations SOR/2016-175</t>
  </si>
  <si>
    <t>GOLS 3.0 (Global Organic Latex Standard) Certified</t>
  </si>
  <si>
    <t>Goodweave Certified</t>
  </si>
  <si>
    <t>GOTS 5.0 (Global Organic Textile Standard) Certified</t>
  </si>
  <si>
    <t>Green Public Procurement Certified</t>
  </si>
  <si>
    <t>GREENGUARD Certified</t>
  </si>
  <si>
    <t>GREENGUARD Gold Certified</t>
  </si>
  <si>
    <t>GS (Geprüfte Sicherheit) verzeichnet</t>
  </si>
  <si>
    <t>GSA Approved</t>
  </si>
  <si>
    <t>Health Canada - SOR/2016-176 Compliant</t>
  </si>
  <si>
    <t>Health Canada - SOR/2016-179 Compliant</t>
  </si>
  <si>
    <t>Health Canada - SOR/2016-183 Compliant</t>
  </si>
  <si>
    <t>Health Canada Compliant</t>
  </si>
  <si>
    <t>HFES 100 Certified Ergonomic</t>
  </si>
  <si>
    <t>HVI 2100 Certified</t>
  </si>
  <si>
    <t>HVI Certified</t>
  </si>
  <si>
    <t>IAPMO Certified</t>
  </si>
  <si>
    <t>IATA Compliant</t>
  </si>
  <si>
    <t>IEC/EN 62471 Compliant</t>
  </si>
  <si>
    <t>Indoor Air Quality Certified</t>
  </si>
  <si>
    <t>IP Rating</t>
  </si>
  <si>
    <t>IPEMA Certified</t>
  </si>
  <si>
    <t>ISO 14000 Certified</t>
  </si>
  <si>
    <t>ISO 14001 Certified</t>
  </si>
  <si>
    <t>ISO 9000 Certified</t>
  </si>
  <si>
    <t>ISO 9001 Certified</t>
  </si>
  <si>
    <t>ISTA 1A Certified</t>
  </si>
  <si>
    <t>ISTA 3A Certified</t>
  </si>
  <si>
    <t>ISTA 3A or 6A Certified</t>
  </si>
  <si>
    <t>ISTA1ACertified</t>
  </si>
  <si>
    <t>ISTA3Aor6ACertified</t>
  </si>
  <si>
    <t>ITSF Compliant</t>
  </si>
  <si>
    <t>ITTF Approved</t>
  </si>
  <si>
    <t>ITTO Compliant</t>
  </si>
  <si>
    <t>Janka Hardness Rating (PSI)</t>
  </si>
  <si>
    <t>JPMA Certified</t>
  </si>
  <si>
    <t>Kettles Regulations SOR/2016-181</t>
  </si>
  <si>
    <t>Lacey Act Compliant</t>
  </si>
  <si>
    <t>LM-79 Certified</t>
  </si>
  <si>
    <t>LM-80 Certified</t>
  </si>
  <si>
    <t>Low Lead Compliant</t>
  </si>
  <si>
    <t>Mattress Flammability Testing - Public Occupancy Use</t>
  </si>
  <si>
    <t>MERV Rating</t>
  </si>
  <si>
    <t>MET Listed</t>
  </si>
  <si>
    <t>Minnesota 325F.177 Compliant</t>
  </si>
  <si>
    <t>MOHS - Surface Hardness</t>
  </si>
  <si>
    <t>NAECA Certified</t>
  </si>
  <si>
    <t>NAHB Compliant</t>
  </si>
  <si>
    <t>NEMA Certified</t>
  </si>
  <si>
    <t>New York City Water Regulation Compliant</t>
  </si>
  <si>
    <t>NFPA 211 - Standard for Chimeys/ Fireplaces/ Vents and Solid Fuel-Burning Appliances</t>
  </si>
  <si>
    <t>NFPA 253 or ASTM E648 Compliant</t>
  </si>
  <si>
    <t>NFPA Compliant</t>
  </si>
  <si>
    <t>NFSI Certified</t>
  </si>
  <si>
    <t>NOMITE Certified</t>
  </si>
  <si>
    <t>NRPA Certified</t>
  </si>
  <si>
    <t>NSF Certified</t>
  </si>
  <si>
    <t>NSF/ANSI 184 Certified</t>
  </si>
  <si>
    <t>NSF/ANSI 3 Certified</t>
  </si>
  <si>
    <t>FACTS - NSF/ANSI 336 –Compliant</t>
  </si>
  <si>
    <t>NSF/ANSI 61 Certified</t>
  </si>
  <si>
    <t>OEKO-TEX Standard 100 Certified</t>
  </si>
  <si>
    <t>OSHA Compliant</t>
  </si>
  <si>
    <t>PAT Tested</t>
  </si>
  <si>
    <t>PEFC Certified</t>
  </si>
  <si>
    <t>PEI Rated</t>
  </si>
  <si>
    <t>PEI Rating</t>
  </si>
  <si>
    <t>Responsible Down Standard Certified</t>
  </si>
  <si>
    <t>RoHS Compliant</t>
  </si>
  <si>
    <t>SATRA Approved</t>
  </si>
  <si>
    <t>SCC Compliant</t>
  </si>
  <si>
    <t>SCS Certified</t>
  </si>
  <si>
    <t>SDWA Compliant</t>
  </si>
  <si>
    <t>SFI Certified</t>
  </si>
  <si>
    <t>SOR/2016-152 - Canadian Regulation - Cribs/ Cradles and Bassinets</t>
  </si>
  <si>
    <t>SOR/2016-193 - Surface Coating Materials Regulations</t>
  </si>
  <si>
    <t>SOR/2018-83 -Consumer Products Containing Lead Regulations</t>
  </si>
  <si>
    <t>Stiftung Warentest Note</t>
  </si>
  <si>
    <t>TAA Compliant</t>
  </si>
  <si>
    <t>TCLP Compliant</t>
  </si>
  <si>
    <t>Textile Flammability Regulations SOR/2016-194</t>
  </si>
  <si>
    <t>Textile Labelling and Advertising Regulations (C.R.C./ c. 1551)</t>
  </si>
  <si>
    <t>Tipover Restraint Device Included</t>
  </si>
  <si>
    <t>Title 20 - California Code of Regulations</t>
  </si>
  <si>
    <t>Title 24 Compliant</t>
  </si>
  <si>
    <t>Toys Regulations SOR/2016-195</t>
  </si>
  <si>
    <t>TSA Compliant</t>
  </si>
  <si>
    <t>TSCA Title VI Compliant (formaldehyde emissions)</t>
  </si>
  <si>
    <t>TÜV Rheinland zertifiziert</t>
  </si>
  <si>
    <t>UL 10B Compliant</t>
  </si>
  <si>
    <t>UL 10C Compliant</t>
  </si>
  <si>
    <t>UL 1678 Listed</t>
  </si>
  <si>
    <t>UL 1951 Listed</t>
  </si>
  <si>
    <t>UL 2108 Listed</t>
  </si>
  <si>
    <t>UL 4041 - Safety Standard for Outdoor Furniture</t>
  </si>
  <si>
    <t>UL Gas-Fired Mark</t>
  </si>
  <si>
    <t>UL Listed</t>
  </si>
  <si>
    <t>UN 38.3 Testing Requirements</t>
  </si>
  <si>
    <t>UPC Certified</t>
  </si>
  <si>
    <t>USATT Approved</t>
  </si>
  <si>
    <t>USDA Compliant</t>
  </si>
  <si>
    <t>USDA Organic/ NOP Certified</t>
  </si>
  <si>
    <t>USPS Approved</t>
  </si>
  <si>
    <t>Vermont Act 193 Compliant</t>
  </si>
  <si>
    <t>Washington Children's Safe Product Act</t>
  </si>
  <si>
    <t>Washington State VIAQ Code Compliant</t>
  </si>
  <si>
    <t>WQA Gold Seal Certified</t>
  </si>
  <si>
    <t>WW-P-541 Certified</t>
  </si>
  <si>
    <t>Safety Data Sheets (SDS)</t>
  </si>
  <si>
    <t>Canadian Energy Label (EnerGuide)</t>
  </si>
  <si>
    <t>GS Marked</t>
  </si>
  <si>
    <t>DIN EN 1860</t>
  </si>
  <si>
    <t>EN 17072:2018</t>
  </si>
  <si>
    <t>UKCA Marked</t>
  </si>
  <si>
    <t>ASTM F1169-19 Compliant - Safety Specification for Full Sized Baby Cribs</t>
  </si>
  <si>
    <t>ASTM F2933-19 Certified</t>
  </si>
  <si>
    <t>ASTM F1912-19 Certified</t>
  </si>
  <si>
    <t>ASTM F2088-20 Certified</t>
  </si>
  <si>
    <t>ASTM F1427-19 - Consumer Safety Specification for Bunk Beds</t>
  </si>
  <si>
    <t>ASTM F2085-19 Certified</t>
  </si>
  <si>
    <t>ASTM F2613-19 Certified</t>
  </si>
  <si>
    <t>ASTM F3084-20 Certified</t>
  </si>
  <si>
    <t>TÜV SÜD Certified</t>
  </si>
  <si>
    <t>BS EN 442-1:2014 - Requirements for Radiators and Convectors</t>
  </si>
  <si>
    <t>CSA B45.5/IAPMO Z124</t>
  </si>
  <si>
    <t>ASTM F3429 / F3429M – 20 Compliant - Standard Specification for Disposable Flammable Liquid Fuel Containers</t>
  </si>
  <si>
    <t>REACH (Registration/ Evaluation/ Authorisation and Restriction of Chemicals) Compliant</t>
  </si>
  <si>
    <t>ASTM F1148-20</t>
  </si>
  <si>
    <t>EN 1130:2019 (Safety Requirements for Cribs and Cradles) - EU ONLY</t>
  </si>
  <si>
    <t>UK General Product Safety Regulation</t>
  </si>
  <si>
    <t>EN 16582 - Requirements for Domestic Swimming Pools</t>
  </si>
  <si>
    <t>EN 16713 - Requirements for Filtration Systems/ Circulation Systems/ and Treatment in Domestic Swimming Pools</t>
  </si>
  <si>
    <t>EN 1021 1&amp;2 - Furniture Flammability Standard</t>
  </si>
  <si>
    <t>FIRA/FRQG C001:2016 - General Safety Requirements for Children's Furniture</t>
  </si>
  <si>
    <t>BS 8509 - British Safety Standard for Children's Beds</t>
  </si>
  <si>
    <t>FIRA/FRQG C002:2016 - Seating: Requirements for Strength/ Stability/ and Durability</t>
  </si>
  <si>
    <t>FIRA/FRQG C003:2016 - Tables and desks: Requirements for strength/ stability and durability</t>
  </si>
  <si>
    <t>FIRA/FRQG C004:2016 - Storage furniture – Requirements for strength/ stability and durability</t>
  </si>
  <si>
    <t>EN 71-8:2018 Compliant</t>
  </si>
  <si>
    <t>EN 71-1:2014 + A1:2018</t>
  </si>
  <si>
    <t>EN 62115:2005+A11:2012</t>
  </si>
  <si>
    <t>EU: 2006/42/EC - EU Machinery Directive</t>
  </si>
  <si>
    <t>CPSC - 16 CFR 1222 Compliant</t>
  </si>
  <si>
    <t>CPSC 16 CFR 1227.2</t>
  </si>
  <si>
    <t>EN 16890: 2017</t>
  </si>
  <si>
    <t>SOR/2016-167 - Carriages and Strollers Regulations</t>
  </si>
  <si>
    <t>Recycled Content</t>
  </si>
  <si>
    <t>Global Recycled Standard (Textile Exchange) Certified</t>
  </si>
  <si>
    <t>Recycled Claim Standard (Textile Exchange) Certified</t>
  </si>
  <si>
    <t>ISO 14021 Recycled Content Standard Certified</t>
  </si>
  <si>
    <t>Organic Content Standard (Textile Exchange) Certified</t>
  </si>
  <si>
    <t>Asthma and Allergy Friendly Certified</t>
  </si>
  <si>
    <t>British Allergy Foundation Seal of Approval</t>
  </si>
  <si>
    <t>Carbon Neutral Certifications</t>
  </si>
  <si>
    <t>Golden M Certified</t>
  </si>
  <si>
    <t>MAS Certified Green</t>
  </si>
  <si>
    <t>FloorScore Certified</t>
  </si>
  <si>
    <t>CertiPUR-EU Certified</t>
  </si>
  <si>
    <t>EU Ecolabel</t>
  </si>
  <si>
    <t>EPA WaterSense Certified</t>
  </si>
  <si>
    <t>Blue Angel Certified</t>
  </si>
  <si>
    <t>Responsible Down Standard (Textile Exchange) Certified</t>
  </si>
  <si>
    <t>Bluesign Certified</t>
  </si>
  <si>
    <t>GreenScreen Certified</t>
  </si>
  <si>
    <t>MADE SAFE Certified</t>
  </si>
  <si>
    <t>Responsible Wool Standard (Textile Exchange) Certified</t>
  </si>
  <si>
    <t>Das Kork Logo Certified</t>
  </si>
  <si>
    <t>DGM Emissions Label for Furniture</t>
  </si>
  <si>
    <t>GUT Label</t>
  </si>
  <si>
    <t>LEVEL - ANSI/BIFMA e3 Furniture Sustainability Standard - Certified</t>
  </si>
  <si>
    <t>Natureplus Eco-Label</t>
  </si>
  <si>
    <t>NATURLEDER IVN Certified</t>
  </si>
  <si>
    <t>NATURTEXTIL IVN Certified BEST</t>
  </si>
  <si>
    <t>ÖkoControl Seal</t>
  </si>
  <si>
    <t>Sustainability Assessment for Carpet - NSF/ANSI 140 - Compliant</t>
  </si>
  <si>
    <t>Sustainability Assessment for Wallcovering Products - NSF/ANSI 342 - Compliant</t>
  </si>
  <si>
    <t>Type III Product Specific Environmental Product Declaration (EPD)</t>
  </si>
  <si>
    <t>UL ECOLOGO Certified</t>
  </si>
  <si>
    <t>USDA BioBased Product</t>
  </si>
  <si>
    <t>DOWNPASS Certified</t>
  </si>
  <si>
    <t>Green Squared (G2) Certified</t>
  </si>
  <si>
    <t>FairTrade Certified</t>
  </si>
  <si>
    <t>FairTrade Certified Cotton</t>
  </si>
  <si>
    <t>FSC 100% Certified</t>
  </si>
  <si>
    <t>FSC MIX Certified</t>
  </si>
  <si>
    <t>FSC Recycled</t>
  </si>
  <si>
    <t>SFI Certified Sourcing</t>
  </si>
  <si>
    <t>SFI Chain-of-Custody Certified</t>
  </si>
  <si>
    <t>SFI Fiber Sourcing Certified</t>
  </si>
  <si>
    <t>ENERGY STAR Canada Certified</t>
  </si>
  <si>
    <t>Carbon Neutral - PAS 2060 - Certified</t>
  </si>
  <si>
    <t>Carbonfree Product Certification</t>
  </si>
  <si>
    <t>Indoor Advantage Certified</t>
  </si>
  <si>
    <t>Indoor Advantage Gold Certified</t>
  </si>
  <si>
    <t>Indoor Air Comfort Certified</t>
  </si>
  <si>
    <t>Indoor Air Comfort GOLD Certified</t>
  </si>
  <si>
    <t>OEKO-TEX LEATHER STANDARD Certified</t>
  </si>
  <si>
    <t>OEKO-TEX MADE IN GREEN Certified</t>
  </si>
  <si>
    <t>Cradle to Cradle Material Health Certificate</t>
  </si>
  <si>
    <t>eco-INSTITUT-Label</t>
  </si>
  <si>
    <t>CARB Certified (Ozone Emissions for Air Cleaners)</t>
  </si>
  <si>
    <t>EN 1103:2006</t>
  </si>
  <si>
    <t>Code of Practice for Fire Safety of Furnishings and Fittings in Places of Assembly</t>
  </si>
  <si>
    <t>EN 13773</t>
  </si>
  <si>
    <t>I.S. 419:2011</t>
  </si>
  <si>
    <t>ÖNORM A3800-1</t>
  </si>
  <si>
    <t>ÖNORM B 3825</t>
  </si>
  <si>
    <t>EN 14619:2019</t>
  </si>
  <si>
    <t>Product Attestation</t>
  </si>
  <si>
    <t>California Carpet Stewardship Program Compliant</t>
  </si>
  <si>
    <t>Is Responsible Person Information Available</t>
  </si>
  <si>
    <t>FIRA/FRQG C001: 2021 Furniture - Children’s Domestic Furniture – General Safety Requirements</t>
  </si>
  <si>
    <t>BS EN 17191:2021</t>
  </si>
  <si>
    <t>FIRA/FRQG C003: 2021 Furniture - Children’s Domestic Furniture – Tables &amp; Desks – Requirements for Strength/ Stability and Durability</t>
  </si>
  <si>
    <t>National Minority Supplier Development Council Certification</t>
  </si>
  <si>
    <t>Small Business Administration Certification</t>
  </si>
  <si>
    <t>SupplierGATEWAY Enhanced Digital Certification</t>
  </si>
  <si>
    <t>System for Award Management Certification</t>
  </si>
  <si>
    <t>Women’s Business Enterprise National Council Certification</t>
  </si>
  <si>
    <t>Other Minority Business Enterprise Certification</t>
  </si>
  <si>
    <t>&gt; 50% Black/ Women or LatinX Certification</t>
  </si>
  <si>
    <t>EU Food Contact Regulation - Plastics</t>
  </si>
  <si>
    <t>Fairtrade International Certified - Sports Ball</t>
  </si>
  <si>
    <t>FLOCERT Expiration Date</t>
  </si>
  <si>
    <t>CANFER Compliant</t>
  </si>
  <si>
    <t>ASTM F2710-19 Compliant</t>
  </si>
  <si>
    <t>CPSC 16 CFR 1207</t>
  </si>
  <si>
    <t>ASTM F1004-22 Compliant</t>
  </si>
  <si>
    <t>BS EN 14960 Compliant (Inflatables)</t>
  </si>
  <si>
    <t>EN 14468-1:2015 Compliant (Table Tennis Tables)</t>
  </si>
  <si>
    <t>BS 7972:2001+A1:2009 Compliant (Children's bedguards)</t>
  </si>
  <si>
    <t>Energy Efficiency Regulations Compliant</t>
  </si>
  <si>
    <t>EU/UK Timber Compliant</t>
  </si>
  <si>
    <t>SOR/2023-101 - Carriages and Strollers</t>
  </si>
  <si>
    <t>ASTM F2388-21</t>
  </si>
  <si>
    <t>EN 16779-1: 2018</t>
  </si>
  <si>
    <t>ASTM F406-22</t>
  </si>
  <si>
    <t>ANSI Z21.11.2-2019</t>
  </si>
  <si>
    <t>ASTM B117-19</t>
  </si>
  <si>
    <t>CPSC - 40 CFR 60</t>
  </si>
  <si>
    <t>CSA / ANSI Z21.58:22</t>
  </si>
  <si>
    <t>CSA / ANSI Z83.26:20</t>
  </si>
  <si>
    <t>EC No. 1907/2006 Annex XVII</t>
  </si>
  <si>
    <t>EC No. 1935/2004</t>
  </si>
  <si>
    <t>FDA Generally Recognized as Safe (GRAS)</t>
  </si>
  <si>
    <t>UL 1278 4th Ed</t>
  </si>
  <si>
    <t>UL 2021 4th Ed</t>
  </si>
  <si>
    <t>EN 12520</t>
  </si>
  <si>
    <t>BS EN 16781</t>
  </si>
  <si>
    <t>ASTM F2057-23 (STURDY)</t>
  </si>
  <si>
    <t>EN 16780: 2018</t>
  </si>
  <si>
    <t>ASTM F2613-21</t>
  </si>
  <si>
    <t>ASTM F1427-21e1</t>
  </si>
  <si>
    <t>Unified Water Label</t>
  </si>
  <si>
    <t>CPSC - 16 CFR 1241</t>
  </si>
  <si>
    <t>CPSC - 16 CFR 1263 Compliant (Reese's Law)</t>
  </si>
  <si>
    <t>EU 2024/590</t>
  </si>
  <si>
    <t>BS EN 597-1</t>
  </si>
  <si>
    <t>ASTM F1912-21 Compliant</t>
  </si>
  <si>
    <t>ASTM F963-23 Compliant</t>
  </si>
  <si>
    <t>FIRA/FRQG C004:2016 + A1 2017</t>
  </si>
  <si>
    <t>EUDR</t>
  </si>
  <si>
    <t>CA PFAS</t>
  </si>
  <si>
    <t>CPSC - 16 CFR 1242</t>
  </si>
  <si>
    <t>EU General Product Safety Regulation</t>
  </si>
  <si>
    <t>EPA Compliant - Step 2 Certified</t>
  </si>
  <si>
    <t>ANSI/WCMA A100.1-2018 Standard</t>
  </si>
  <si>
    <t>SOR/2019-97 - Corded Window Coverings Regulations</t>
  </si>
  <si>
    <t>ANSI/BIFMA X6.4 Occasional-Use Seating Standard</t>
  </si>
  <si>
    <t>ASTM F1148-22</t>
  </si>
  <si>
    <t>SOR/2016 - 217</t>
  </si>
  <si>
    <t>16 CFR 1235</t>
  </si>
  <si>
    <t>ASTM F2088-24</t>
  </si>
  <si>
    <t>16 CFR 1243</t>
  </si>
  <si>
    <t>IS 419 / EN 1021</t>
  </si>
  <si>
    <t>IS 419 / EN 597/ EN 16890</t>
  </si>
  <si>
    <t>IS 419 / EN 597</t>
  </si>
  <si>
    <t>ASTM-1917-23</t>
  </si>
  <si>
    <t>Low Voltage Directive</t>
  </si>
  <si>
    <t>Children's Furniture Safety and Stability</t>
  </si>
  <si>
    <t>CPSC - 16 CFR 1224</t>
  </si>
  <si>
    <t>ASTM F2276-23 (General Mechanical Requirements)</t>
  </si>
  <si>
    <t>ASTM F2276-23 or ASTM F2810-15</t>
  </si>
  <si>
    <t>ASTM F2276-23 or ASTM F1250-20</t>
  </si>
  <si>
    <t>ASTM F2276-23 or ASTM F2216-17a</t>
  </si>
  <si>
    <t>ASTM F2276-23 or ASTM F3105-20</t>
  </si>
  <si>
    <t>ASTM F2276-23 or ASTM F2115-25</t>
  </si>
  <si>
    <t>UL 1647 (Electrical Safety)</t>
  </si>
  <si>
    <t>In-House Contract-Quality Testing Document</t>
  </si>
  <si>
    <t>Contract Grade Signed Verification Letter</t>
  </si>
  <si>
    <t>SOR/2018-186</t>
  </si>
  <si>
    <t>SOR/2024-217</t>
  </si>
  <si>
    <t>Certified Egyptian Cotton</t>
  </si>
  <si>
    <t>SOR/2011-17</t>
  </si>
  <si>
    <t>BS EN ISO 20957-1</t>
  </si>
  <si>
    <t>BS EN ISO 20957-2</t>
  </si>
  <si>
    <t>BS EN ISO 20957-9</t>
  </si>
  <si>
    <t>BS EN ISO 20957-5</t>
  </si>
  <si>
    <t>BS EN ISO 20957-10</t>
  </si>
  <si>
    <t>BS EN ISO 20957-4</t>
  </si>
  <si>
    <t>BS EN ISO 29057-6</t>
  </si>
  <si>
    <t>CFR 1205</t>
  </si>
  <si>
    <t>ANSI B71.1-2017 - Standard Specifications for Pedestrian-Controlled Mowers and Ride-On Mowers</t>
  </si>
  <si>
    <t>CAN/CSA-C22.2 No. 147 Compliant</t>
  </si>
  <si>
    <t>California Proposition 65</t>
  </si>
  <si>
    <t>EN 13310:2015+A1:2018 Certified</t>
  </si>
  <si>
    <t>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t>
  </si>
  <si>
    <t>Insects</t>
  </si>
  <si>
    <t>Religious &amp; Spiritual</t>
  </si>
  <si>
    <t>Scenic &amp; Cityscapes</t>
  </si>
  <si>
    <t>Animals</t>
  </si>
  <si>
    <t>Furniture</t>
  </si>
  <si>
    <t>Novelty &amp; Humor</t>
  </si>
  <si>
    <t>Plants &amp; Flowers</t>
  </si>
  <si>
    <t>STEM</t>
  </si>
  <si>
    <t>Fashion</t>
  </si>
  <si>
    <t>Geography</t>
  </si>
  <si>
    <t>Buildings &amp; Architecture</t>
  </si>
  <si>
    <t>Transportation</t>
  </si>
  <si>
    <t>Nautical &amp; Beach</t>
  </si>
  <si>
    <t>Abstract</t>
  </si>
  <si>
    <t>Patriotic</t>
  </si>
  <si>
    <t>Food &amp; Beverage</t>
  </si>
  <si>
    <t>Fantasy &amp; Sci-Fi</t>
  </si>
  <si>
    <t>Bath &amp; Laundry</t>
  </si>
  <si>
    <t>History &amp; Language</t>
  </si>
  <si>
    <t>Entertainment</t>
  </si>
  <si>
    <t>Astrology &amp; Stars</t>
  </si>
  <si>
    <t>Cities &amp; Countries</t>
  </si>
  <si>
    <t>Disney/Pixar</t>
  </si>
  <si>
    <t>No Subject</t>
  </si>
  <si>
    <t>People</t>
  </si>
  <si>
    <t>Sports</t>
  </si>
  <si>
    <t>Landscape &amp; Nature</t>
  </si>
  <si>
    <t>Text &amp; Numbers</t>
  </si>
  <si>
    <t>Education</t>
  </si>
  <si>
    <t>Birds</t>
  </si>
  <si>
    <t>U.S. States &amp; Territories</t>
  </si>
  <si>
    <t>Polycarbonate (PC)</t>
  </si>
  <si>
    <t>Polyethylene Plastic</t>
  </si>
  <si>
    <t>Glass</t>
  </si>
  <si>
    <t>Silicone</t>
  </si>
  <si>
    <t>Stainless Steel</t>
  </si>
  <si>
    <t>Melamine</t>
  </si>
  <si>
    <t>Polypropylene</t>
  </si>
  <si>
    <t>Cane</t>
  </si>
  <si>
    <t>Raffia</t>
  </si>
  <si>
    <t>Mango Wood</t>
  </si>
  <si>
    <t>Aluminum</t>
  </si>
  <si>
    <t>Linen Blend</t>
  </si>
  <si>
    <t>Acrylic</t>
  </si>
  <si>
    <t>Limestone</t>
  </si>
  <si>
    <t>Artificial Grass</t>
  </si>
  <si>
    <t>Antler</t>
  </si>
  <si>
    <t>HDPE</t>
  </si>
  <si>
    <t>Linen</t>
  </si>
  <si>
    <t>Foam</t>
  </si>
  <si>
    <t>Cowhide</t>
  </si>
  <si>
    <t>Copper / Copper Plated</t>
  </si>
  <si>
    <t>Engineered Wood</t>
  </si>
  <si>
    <t>Cast Aluminum</t>
  </si>
  <si>
    <t>Flat Wire</t>
  </si>
  <si>
    <t>Crystal</t>
  </si>
  <si>
    <t>Fleece / Microfiber</t>
  </si>
  <si>
    <t>Cardboard / Paper</t>
  </si>
  <si>
    <t>Chenille</t>
  </si>
  <si>
    <t>Cherry Wood</t>
  </si>
  <si>
    <t>Handblown Glass</t>
  </si>
  <si>
    <t>Cement</t>
  </si>
  <si>
    <t>Flannel</t>
  </si>
  <si>
    <t>Chrome</t>
  </si>
  <si>
    <t>Enamelware</t>
  </si>
  <si>
    <t>Enameled Cast Iron</t>
  </si>
  <si>
    <t>Agate / Geode</t>
  </si>
  <si>
    <t>Fiberglass</t>
  </si>
  <si>
    <t>Bronze</t>
  </si>
  <si>
    <t>Cast Iron</t>
  </si>
  <si>
    <t>Bamboo Slat / Seagrass</t>
  </si>
  <si>
    <t>Beaded</t>
  </si>
  <si>
    <t>Alpaca</t>
  </si>
  <si>
    <t>Felt</t>
  </si>
  <si>
    <t>Denim</t>
  </si>
  <si>
    <t>Clay</t>
  </si>
  <si>
    <t>Gel</t>
  </si>
  <si>
    <t>Coir</t>
  </si>
  <si>
    <t>Cardboard</t>
  </si>
  <si>
    <t>Leather</t>
  </si>
  <si>
    <t>Cashmere</t>
  </si>
  <si>
    <t>Galvanized Steel</t>
  </si>
  <si>
    <t>Hemp</t>
  </si>
  <si>
    <t>Fireclay</t>
  </si>
  <si>
    <t>Anodized Aluminum</t>
  </si>
  <si>
    <t>Blended Fabric</t>
  </si>
  <si>
    <t>Bamboo</t>
  </si>
  <si>
    <t>Brass</t>
  </si>
  <si>
    <t>Burlap</t>
  </si>
  <si>
    <t>Ceramic</t>
  </si>
  <si>
    <t>Canvas</t>
  </si>
  <si>
    <t>Composite</t>
  </si>
  <si>
    <t>Carbon Steel</t>
  </si>
  <si>
    <t>Compressed Polyester</t>
  </si>
  <si>
    <t>Ceramic / Porcelain</t>
  </si>
  <si>
    <t>Bone China</t>
  </si>
  <si>
    <t>Cedar</t>
  </si>
  <si>
    <t>Concrete</t>
  </si>
  <si>
    <t>Cotton</t>
  </si>
  <si>
    <t>Earthenware</t>
  </si>
  <si>
    <t>Engineered Stone</t>
  </si>
  <si>
    <t>Concrete / Cement</t>
  </si>
  <si>
    <t>Corrugated</t>
  </si>
  <si>
    <t>Enamel / Lacquer</t>
  </si>
  <si>
    <t>Cotton Blend</t>
  </si>
  <si>
    <t>Compressed Stone</t>
  </si>
  <si>
    <t>Copper</t>
  </si>
  <si>
    <t>Faux Leather</t>
  </si>
  <si>
    <t>Faux Sheepskin</t>
  </si>
  <si>
    <t>Fiberstone</t>
  </si>
  <si>
    <t>Fine Silver</t>
  </si>
  <si>
    <t>Hard-Anodized Aluminum</t>
  </si>
  <si>
    <t>Granite</t>
  </si>
  <si>
    <t>Heavy Gauge Wire</t>
  </si>
  <si>
    <t>Faux Fur</t>
  </si>
  <si>
    <t>Faux Mohair</t>
  </si>
  <si>
    <t>Faux Cowhide</t>
  </si>
  <si>
    <t>Iron</t>
  </si>
  <si>
    <t>High Leaded Crystal</t>
  </si>
  <si>
    <t>Marble</t>
  </si>
  <si>
    <t>Lead Crystal</t>
  </si>
  <si>
    <t>Ironstone</t>
  </si>
  <si>
    <t>Leather / Faux Leather</t>
  </si>
  <si>
    <t>Latex</t>
  </si>
  <si>
    <t>Jute</t>
  </si>
  <si>
    <t>Lead Free Crystal</t>
  </si>
  <si>
    <t>Lace</t>
  </si>
  <si>
    <t>Jute / Sisal</t>
  </si>
  <si>
    <t>Laminate</t>
  </si>
  <si>
    <t>Marble / Granite</t>
  </si>
  <si>
    <t>Mercury Glass</t>
  </si>
  <si>
    <t>Medium Density Fiberboard (MDF)</t>
  </si>
  <si>
    <t>Mesh</t>
  </si>
  <si>
    <t>Merino Wool</t>
  </si>
  <si>
    <t>Memory Foam</t>
  </si>
  <si>
    <t>Natural Stone</t>
  </si>
  <si>
    <t>Microfiber / Polyester</t>
  </si>
  <si>
    <t>Natural Fiber</t>
  </si>
  <si>
    <t>Microfiber</t>
  </si>
  <si>
    <t>Natural Fibers</t>
  </si>
  <si>
    <t>Magnet</t>
  </si>
  <si>
    <t>Muslin</t>
  </si>
  <si>
    <t>Metal</t>
  </si>
  <si>
    <t>Microfiber / Microsuede</t>
  </si>
  <si>
    <t>Paper</t>
  </si>
  <si>
    <t>Olefin</t>
  </si>
  <si>
    <t>Nickel</t>
  </si>
  <si>
    <t>PEVA</t>
  </si>
  <si>
    <t>Nylon</t>
  </si>
  <si>
    <t>Oak</t>
  </si>
  <si>
    <t>Oxford Fabric</t>
  </si>
  <si>
    <t>Polyamide</t>
  </si>
  <si>
    <t>Plywood</t>
  </si>
  <si>
    <t>Pinecones</t>
  </si>
  <si>
    <t>Plastic / Acrylic</t>
  </si>
  <si>
    <t>Pewter</t>
  </si>
  <si>
    <t>Polycarbonate Plastic</t>
  </si>
  <si>
    <t>Nickel Plated</t>
  </si>
  <si>
    <t>Plastic</t>
  </si>
  <si>
    <t>Polyester</t>
  </si>
  <si>
    <t>Polymer</t>
  </si>
  <si>
    <t>Polyester Fill</t>
  </si>
  <si>
    <t>Polystyrene</t>
  </si>
  <si>
    <t>Polyvinyl Chloride (PVC)</t>
  </si>
  <si>
    <t>Polyurethane</t>
  </si>
  <si>
    <t>Porcelain China</t>
  </si>
  <si>
    <t>Powder Coated Steel</t>
  </si>
  <si>
    <t>Polypropylene Plastic</t>
  </si>
  <si>
    <t>Porcelain Enameled Steel</t>
  </si>
  <si>
    <t>Porcelain</t>
  </si>
  <si>
    <t>Powder Coated Aluminum</t>
  </si>
  <si>
    <t>Polyester Blend</t>
  </si>
  <si>
    <t>Polyresin</t>
  </si>
  <si>
    <t>Polymarble</t>
  </si>
  <si>
    <t>Polyurethane (PU)</t>
  </si>
  <si>
    <t>Sandstone</t>
  </si>
  <si>
    <t>Silver</t>
  </si>
  <si>
    <t>Sheepskin</t>
  </si>
  <si>
    <t>Sateen</t>
  </si>
  <si>
    <t>Rayon / Viscose</t>
  </si>
  <si>
    <t>Rayon from Bamboo</t>
  </si>
  <si>
    <t>Silver Plated</t>
  </si>
  <si>
    <t>Sherpa</t>
  </si>
  <si>
    <t>Quartz</t>
  </si>
  <si>
    <t>Shell / Capiz</t>
  </si>
  <si>
    <t>Rope</t>
  </si>
  <si>
    <t>Silk</t>
  </si>
  <si>
    <t>Rayon</t>
  </si>
  <si>
    <t>Seagrass</t>
  </si>
  <si>
    <t>PVC</t>
  </si>
  <si>
    <t>Rubber</t>
  </si>
  <si>
    <t>Quartzite</t>
  </si>
  <si>
    <t>Real Greenery</t>
  </si>
  <si>
    <t>Resin</t>
  </si>
  <si>
    <t>Rocks / Pebbles</t>
  </si>
  <si>
    <t>Recycled P.E.T</t>
  </si>
  <si>
    <t>Real Floral</t>
  </si>
  <si>
    <t>Suede / Faux Suede</t>
  </si>
  <si>
    <t>Solid Brass</t>
  </si>
  <si>
    <t>Stainless Steel (18/0)</t>
  </si>
  <si>
    <t>Sponge</t>
  </si>
  <si>
    <t>Tin</t>
  </si>
  <si>
    <t>Teak</t>
  </si>
  <si>
    <t>Stainless Steel (18/10)</t>
  </si>
  <si>
    <t>Slate</t>
  </si>
  <si>
    <t>Travertine</t>
  </si>
  <si>
    <t>Stainless Steel (18/8)</t>
  </si>
  <si>
    <t>Sterling Silver</t>
  </si>
  <si>
    <t>Terrycloth</t>
  </si>
  <si>
    <t>Stone</t>
  </si>
  <si>
    <t>Terracotta</t>
  </si>
  <si>
    <t>Synthetic</t>
  </si>
  <si>
    <t>Thermoplastic</t>
  </si>
  <si>
    <t>Tencel</t>
  </si>
  <si>
    <t>Stoneware</t>
  </si>
  <si>
    <t>Tempered Glass</t>
  </si>
  <si>
    <t>Tinsel</t>
  </si>
  <si>
    <t>Steel</t>
  </si>
  <si>
    <t>Solid Wood</t>
  </si>
  <si>
    <t>Solid Surface</t>
  </si>
  <si>
    <t>Tritan Plastic</t>
  </si>
  <si>
    <t>Sunbrella®</t>
  </si>
  <si>
    <t>Upholstered</t>
  </si>
  <si>
    <t>Velour</t>
  </si>
  <si>
    <t>Twig</t>
  </si>
  <si>
    <t>Velvet</t>
  </si>
  <si>
    <t>Vitreous China</t>
  </si>
  <si>
    <t>Urethane</t>
  </si>
  <si>
    <t>Zinc</t>
  </si>
  <si>
    <t>Rattan</t>
  </si>
  <si>
    <t>Turkish Cotton</t>
  </si>
  <si>
    <t>Vinyl</t>
  </si>
  <si>
    <t>Wrought Iron</t>
  </si>
  <si>
    <t>Wood</t>
  </si>
  <si>
    <t>Wool</t>
  </si>
  <si>
    <t>Wire</t>
  </si>
  <si>
    <t>Zinc Alloy</t>
  </si>
  <si>
    <t>Walnut Wood</t>
  </si>
  <si>
    <t>Viscose</t>
  </si>
  <si>
    <t>Wicker</t>
  </si>
  <si>
    <t>Wool / Felt</t>
  </si>
  <si>
    <t>Charcoal</t>
  </si>
  <si>
    <t>Enamel Coated Steel</t>
  </si>
  <si>
    <t>Vinyl Coated Steel</t>
  </si>
  <si>
    <t>Mirror</t>
  </si>
  <si>
    <t>Water Hyacinth</t>
  </si>
  <si>
    <t>MDF</t>
  </si>
  <si>
    <t>Particle Board / Chipboard</t>
  </si>
  <si>
    <t>Plywood / Laminate Board</t>
  </si>
  <si>
    <t>Please choose one or more from the following, using a semicolon (;) to separate each value: Polycarbonate (PC); Polyethylene Plastic; Glass; Silicone; Stainless Steel; Melamine; Polypropylene; Cane; Raffia; Mango Wood; Aluminum; Linen Blend; Acrylic; Limestone; Artificial Grass; Antler; HDPE; Jersey; Linen; Foam; Cowhide; Copper / Copper Plated; Engineered Wood; Cast Aluminum; Flat Wire; Crystal; Fleece / Microfiber; Cardboard / Paper; Chenille; Cherry Wood; Handblown Glass; Cement; Flannel; Chrome; Enamelware; Enameled Cast Iron; Agate / Geode; Fiberglass; Bronze; Cast Iron; Bamboo Slat / Seagrass; Beaded; Alpaca; Felt; Denim; Clay; Gel; Coir; Cardboard; Leather; Cashmere; Galvanized Steel; Hemp; Fireclay; Anodized Aluminum; Blended Fabric; Bamboo; Brass; Burlap; Ceramic; Canvas; Composite; Carbon Steel; Compressed Polyester; Ceramic / Porcelain; Bone China; Cedar; Concrete; Cotton; Earthenware; Engineered Stone; Concrete / Cement; Corrugated; Enamel / Lacquer; Cotton Blend; Compressed Stone; Copper; Faux Leather; Fabric; Faux Sheepskin; Fiberstone; Fine Silver; Hard-Anodized Aluminum; Granite; Heavy Gauge Wire; Faux Fur; Faux Mohair; Faux Cowhide; Iron; High Leaded Crystal; Marble; Lead Crystal; Ironstone; Leather / Faux Leather; Latex; Jute; Lead Free Crystal; Lace; Jute / Sisal; Laminate; Marble / Granite; Mercury Glass; Medium Density Fiberboard (MDF); Mesh; Merino Wool; Memory Foam; Natural Stone; Microfiber / Polyester; Natural Fiber; Microfiber; Natural Fibers; Magnet; Muslin; Metal; Microfiber / Microsuede; Paper; Olefin; Nickel; PEVA; Nylon; Oak; Oxford Fabric; Polyamide; Plywood; Pinecones; Plastic / Acrylic; Pewter; Polycarbonate Plastic; Nickel Plated; Plastic; Polyester; Polymer; Polyester Fill; Polystyrene; Polyvinyl Chloride (PVC); Polyurethane; Porcelain China; Powder Coated Steel; Polypropylene Plastic; Porcelain Enameled Steel; Porcelain; Powder Coated Aluminum; Polyester Blend; Polyresin; Polymarble; Polyurethane (PU); Sandstone; Silver; Sheepskin; Sateen; Rayon / Viscose; Rayon from Bamboo; Silver Plated; Sherpa; Quartz; S</t>
  </si>
  <si>
    <t>Acrylic Panel</t>
  </si>
  <si>
    <t>Glass Wall</t>
  </si>
  <si>
    <t>Orange Peel Wall</t>
  </si>
  <si>
    <t>Brick Wall</t>
  </si>
  <si>
    <t>Gypsum Wall</t>
  </si>
  <si>
    <t>Plywood Wall</t>
  </si>
  <si>
    <t>Textured Wall</t>
  </si>
  <si>
    <t>Drywall</t>
  </si>
  <si>
    <t>Existing Tile</t>
  </si>
  <si>
    <t>Cement Wall</t>
  </si>
  <si>
    <t>Stucco Wall</t>
  </si>
  <si>
    <t>Ceramic Tile Wall</t>
  </si>
  <si>
    <t>Painted Gypsum</t>
  </si>
  <si>
    <t>Stone Wall</t>
  </si>
  <si>
    <t>Medium Density Fiberboard</t>
  </si>
  <si>
    <t>Chalkboard</t>
  </si>
  <si>
    <t>Flat Surface</t>
  </si>
  <si>
    <t>Appliance</t>
  </si>
  <si>
    <t>Multi-Surface</t>
  </si>
  <si>
    <t>Bedroom</t>
  </si>
  <si>
    <t>Dining Room</t>
  </si>
  <si>
    <t>Kitchen</t>
  </si>
  <si>
    <t>Living Room</t>
  </si>
  <si>
    <t>Bathroom</t>
  </si>
  <si>
    <t>Laundry Room</t>
  </si>
  <si>
    <t>Nursery</t>
  </si>
  <si>
    <t>Pantry</t>
  </si>
  <si>
    <t>Home Office</t>
  </si>
  <si>
    <t>Game Room</t>
  </si>
  <si>
    <t>Foyer</t>
  </si>
  <si>
    <t>Playroom</t>
  </si>
  <si>
    <t>Patio</t>
  </si>
  <si>
    <t>Closet</t>
  </si>
  <si>
    <t>Restaurant Dining Room</t>
  </si>
  <si>
    <t>Basement</t>
  </si>
  <si>
    <t>Garage/Shop</t>
  </si>
  <si>
    <t>Commercial Office</t>
  </si>
  <si>
    <t>Backyard</t>
  </si>
  <si>
    <t>Mudroom/Deck</t>
  </si>
  <si>
    <t>School Classroom</t>
  </si>
  <si>
    <t>Hotel Room</t>
  </si>
  <si>
    <t>Lobby/Reception</t>
  </si>
  <si>
    <t>Hallway</t>
  </si>
  <si>
    <t>Studio</t>
  </si>
  <si>
    <t>Art School</t>
  </si>
  <si>
    <t>Commercial Kitchen</t>
  </si>
  <si>
    <t>Made in USA</t>
  </si>
  <si>
    <t>Made in USA of Imported Materials</t>
  </si>
  <si>
    <t>Product of Canada</t>
  </si>
  <si>
    <t>Made In Canada</t>
  </si>
  <si>
    <t>Mold / Mildew Resistant</t>
  </si>
  <si>
    <t>Water Resistant</t>
  </si>
  <si>
    <t>No Durability Features</t>
  </si>
  <si>
    <t>Fade Resistant</t>
  </si>
  <si>
    <t>Heat Resistant</t>
  </si>
  <si>
    <t>Stain Resistant</t>
  </si>
  <si>
    <t>Shatter Resistant</t>
  </si>
  <si>
    <t>Tip Resistant</t>
  </si>
  <si>
    <t>Waterproof</t>
  </si>
  <si>
    <t>Weather Resistant</t>
  </si>
  <si>
    <t>Rust Resistant</t>
  </si>
  <si>
    <t>Antimicrobial</t>
  </si>
  <si>
    <t>Anodic Protection</t>
  </si>
  <si>
    <t>Condensation Free</t>
  </si>
  <si>
    <t>Predator Resistant</t>
  </si>
  <si>
    <t>Drill Resistant</t>
  </si>
  <si>
    <t>Pry Resistant</t>
  </si>
  <si>
    <t>Fray Resistant</t>
  </si>
  <si>
    <t>Non-Staining</t>
  </si>
  <si>
    <t>Foldable / Folding</t>
  </si>
  <si>
    <t>Ergonomic</t>
  </si>
  <si>
    <t>Reversible</t>
  </si>
  <si>
    <t>Collapsible</t>
  </si>
  <si>
    <t>Extendable</t>
  </si>
  <si>
    <t>Tilt</t>
  </si>
  <si>
    <t>Configurable / Modular</t>
  </si>
  <si>
    <t>Swivel</t>
  </si>
  <si>
    <t>Trimmable</t>
  </si>
  <si>
    <t>Removable</t>
  </si>
  <si>
    <t>Convertible</t>
  </si>
  <si>
    <t>Rotating</t>
  </si>
  <si>
    <t>Lift Assist</t>
  </si>
  <si>
    <t>Reclining</t>
  </si>
  <si>
    <t>Double Sided</t>
  </si>
  <si>
    <t>Retractable</t>
  </si>
  <si>
    <t>Glider</t>
  </si>
  <si>
    <t>Wall Recline</t>
  </si>
  <si>
    <t>Adjustable</t>
  </si>
  <si>
    <t>Swing Arm</t>
  </si>
  <si>
    <t>Temperature</t>
  </si>
  <si>
    <t>Stackable</t>
  </si>
  <si>
    <t>Tilt Lock</t>
  </si>
  <si>
    <t>Tilt Out</t>
  </si>
  <si>
    <t>Tilting</t>
  </si>
  <si>
    <t>Black</t>
  </si>
  <si>
    <t>Brown</t>
  </si>
  <si>
    <t>Beige</t>
  </si>
  <si>
    <t>Pink</t>
  </si>
  <si>
    <t>Purple</t>
  </si>
  <si>
    <t>Gold</t>
  </si>
  <si>
    <t>White</t>
  </si>
  <si>
    <t>Ivory</t>
  </si>
  <si>
    <t>Tan</t>
  </si>
  <si>
    <t>Teal</t>
  </si>
  <si>
    <t>Navy</t>
  </si>
  <si>
    <t>Orange</t>
  </si>
  <si>
    <t>Green</t>
  </si>
  <si>
    <t>Cream</t>
  </si>
  <si>
    <t>Clear</t>
  </si>
  <si>
    <t>Handle(s)</t>
  </si>
  <si>
    <t>Paste</t>
  </si>
  <si>
    <t>Justice League (All Characters)</t>
  </si>
  <si>
    <t>Disney Princesses (All Characters)</t>
  </si>
  <si>
    <t>The Avengers (All Characters)</t>
  </si>
  <si>
    <t>Mickey Mouse Clubhouse</t>
  </si>
  <si>
    <t>Harry Potter</t>
  </si>
  <si>
    <t>Frozen</t>
  </si>
  <si>
    <t>Charlie Brown</t>
  </si>
  <si>
    <t>Dr. Seuss</t>
  </si>
  <si>
    <t>Disney Fairies (All Characters)</t>
  </si>
  <si>
    <t>Star Wars</t>
  </si>
  <si>
    <t>Toy Story</t>
  </si>
  <si>
    <t>The Little Mermaid</t>
  </si>
  <si>
    <t>The Wizard of Oz</t>
  </si>
  <si>
    <t>Teenage Mutant Ninja Turtles</t>
  </si>
  <si>
    <t>Finding Nemo</t>
  </si>
  <si>
    <t>Spongebob Squarepants</t>
  </si>
  <si>
    <t>Minions</t>
  </si>
  <si>
    <t>Cars</t>
  </si>
  <si>
    <t>Hello Kitty</t>
  </si>
  <si>
    <t>Angry Birds</t>
  </si>
  <si>
    <t>Dumbo</t>
  </si>
  <si>
    <t>The Big Bang Theory</t>
  </si>
  <si>
    <t>My Little Pony</t>
  </si>
  <si>
    <t>Thomas The Tank Engine &amp; Friends</t>
  </si>
  <si>
    <t>Betty Boop</t>
  </si>
  <si>
    <t>Doc McStuffins</t>
  </si>
  <si>
    <t>Tom &amp; Jerry</t>
  </si>
  <si>
    <t>Dragons</t>
  </si>
  <si>
    <t>Berenstain Bears</t>
  </si>
  <si>
    <t>The Walking Dead</t>
  </si>
  <si>
    <t>Winnie the Pooh</t>
  </si>
  <si>
    <t>Scooby-Doo</t>
  </si>
  <si>
    <t>Beauty &amp; the Beast</t>
  </si>
  <si>
    <t>Bubble Guppies</t>
  </si>
  <si>
    <t>Monsters Inc.</t>
  </si>
  <si>
    <t>Looney Tunes</t>
  </si>
  <si>
    <t>Pokemon</t>
  </si>
  <si>
    <t>The Lion King</t>
  </si>
  <si>
    <t>Sesame Street</t>
  </si>
  <si>
    <t>Barbie</t>
  </si>
  <si>
    <t>Asterix</t>
  </si>
  <si>
    <t>Dora the Explorer</t>
  </si>
  <si>
    <t>Star Trek</t>
  </si>
  <si>
    <t>The Muppets</t>
  </si>
  <si>
    <t>Curious George</t>
  </si>
  <si>
    <t>The Simpsons</t>
  </si>
  <si>
    <t>Yogi Bear and Friends</t>
  </si>
  <si>
    <t>Angelina Ballerina</t>
  </si>
  <si>
    <t>The Polar Express</t>
  </si>
  <si>
    <t>Peter Pan</t>
  </si>
  <si>
    <t>Jake and the Neverland Pirates</t>
  </si>
  <si>
    <t>Pinocchio</t>
  </si>
  <si>
    <t>Frankenstein</t>
  </si>
  <si>
    <t>Sofia the First</t>
  </si>
  <si>
    <t>Peter Rabbit</t>
  </si>
  <si>
    <t>Planes</t>
  </si>
  <si>
    <t>Despicable Me</t>
  </si>
  <si>
    <t>Alice In Wonderland</t>
  </si>
  <si>
    <t>A Nightmare On Elm Street</t>
  </si>
  <si>
    <t>Among Us</t>
  </si>
  <si>
    <t>Bambi</t>
  </si>
  <si>
    <t>Baby Shark's Big Show</t>
  </si>
  <si>
    <t>A Christmas Story</t>
  </si>
  <si>
    <t>101 Dalmatians</t>
  </si>
  <si>
    <t>Avatar</t>
  </si>
  <si>
    <t>Captain Marvel</t>
  </si>
  <si>
    <t>DuckTales</t>
  </si>
  <si>
    <t>The Batman</t>
  </si>
  <si>
    <t>Fantastic Beasts and Where To Find Them</t>
  </si>
  <si>
    <t>The Office</t>
  </si>
  <si>
    <t>Blaze and the Monster Machines</t>
  </si>
  <si>
    <t>Blue's Clues</t>
  </si>
  <si>
    <t>Dance Moms</t>
  </si>
  <si>
    <t>Birds of Prey</t>
  </si>
  <si>
    <t>Black Panther</t>
  </si>
  <si>
    <t>E.T.</t>
  </si>
  <si>
    <t>Demon Slayer: Kimetsu no Yaiba</t>
  </si>
  <si>
    <t>Daniel Tiger's Neighborhood</t>
  </si>
  <si>
    <t>Finding Dory</t>
  </si>
  <si>
    <t>Beetlejuice</t>
  </si>
  <si>
    <t>Descendants</t>
  </si>
  <si>
    <t>Doom</t>
  </si>
  <si>
    <t>DC Super Hero Girls</t>
  </si>
  <si>
    <t>CoComelon</t>
  </si>
  <si>
    <t>City Streets</t>
  </si>
  <si>
    <t>Cruella</t>
  </si>
  <si>
    <t>Child's Play</t>
  </si>
  <si>
    <t>Darling In The FRANXX</t>
  </si>
  <si>
    <t>Encanto</t>
  </si>
  <si>
    <t>Fortnite</t>
  </si>
  <si>
    <t>Gravity Falls</t>
  </si>
  <si>
    <t>Friends</t>
  </si>
  <si>
    <t>Genshin Impact</t>
  </si>
  <si>
    <t>Gudetama: An Eggcellent Adventure</t>
  </si>
  <si>
    <t>Ghostbusters</t>
  </si>
  <si>
    <t>Friday the 13th</t>
  </si>
  <si>
    <t>Guardians of the Galaxy</t>
  </si>
  <si>
    <t>Godzilla</t>
  </si>
  <si>
    <t>Gremlins</t>
  </si>
  <si>
    <t>Hawkeye</t>
  </si>
  <si>
    <t>IT</t>
  </si>
  <si>
    <t>JoJo Siwa</t>
  </si>
  <si>
    <t>Hulk</t>
  </si>
  <si>
    <t>Jujutsu Kaisen</t>
  </si>
  <si>
    <t>Hocus Pocus</t>
  </si>
  <si>
    <t>Lego</t>
  </si>
  <si>
    <t>L.O.L. Surprise</t>
  </si>
  <si>
    <t>Halo</t>
  </si>
  <si>
    <t>Lady and the Tramp</t>
  </si>
  <si>
    <t>Mira: Royal Detective</t>
  </si>
  <si>
    <t>Iron Man</t>
  </si>
  <si>
    <t>My Neighbor Totoro</t>
  </si>
  <si>
    <t>My Hero Academia</t>
  </si>
  <si>
    <t>Monster Jam</t>
  </si>
  <si>
    <t>Lilo &amp; Stitch</t>
  </si>
  <si>
    <t>Naruto</t>
  </si>
  <si>
    <t>Monopoly</t>
  </si>
  <si>
    <t>Power Rangers</t>
  </si>
  <si>
    <t>Step Brothers</t>
  </si>
  <si>
    <t>Jurassic World</t>
  </si>
  <si>
    <t>Spirited Away</t>
  </si>
  <si>
    <t>Spider-Man</t>
  </si>
  <si>
    <t>Mario Kart</t>
  </si>
  <si>
    <t>PJ Masks</t>
  </si>
  <si>
    <t>Space Jam</t>
  </si>
  <si>
    <t>Squad Goals</t>
  </si>
  <si>
    <t>Sleeping Beauty</t>
  </si>
  <si>
    <t>Kung Fu Panda</t>
  </si>
  <si>
    <t>Puppy Dog Pals</t>
  </si>
  <si>
    <t>Space Jam 2</t>
  </si>
  <si>
    <t>Loki - Marvel</t>
  </si>
  <si>
    <t>Luca</t>
  </si>
  <si>
    <t>Rocky</t>
  </si>
  <si>
    <t>Rick and Morty</t>
  </si>
  <si>
    <t>Raya and The Last Dragon</t>
  </si>
  <si>
    <t>Squid Games</t>
  </si>
  <si>
    <t>Peppa Pig</t>
  </si>
  <si>
    <t>Stranger Things</t>
  </si>
  <si>
    <t>Lost in Space</t>
  </si>
  <si>
    <t>Moana</t>
  </si>
  <si>
    <t>Paw Patrol</t>
  </si>
  <si>
    <t>Party Town</t>
  </si>
  <si>
    <t>Minecraft</t>
  </si>
  <si>
    <t>Shopkins</t>
  </si>
  <si>
    <t>Spies in Space</t>
  </si>
  <si>
    <t>Snow White and the Seven Dwarfs</t>
  </si>
  <si>
    <t>Jaws</t>
  </si>
  <si>
    <t>Pocoyo</t>
  </si>
  <si>
    <t>Rudolph the Red-Nosed Reindeer</t>
  </si>
  <si>
    <t>Sonic the Hedgehog</t>
  </si>
  <si>
    <t>Superman</t>
  </si>
  <si>
    <t>Suicide Squad</t>
  </si>
  <si>
    <t>Wonder Woman</t>
  </si>
  <si>
    <t>The Mandalorian</t>
  </si>
  <si>
    <t>The Ring of Fire</t>
  </si>
  <si>
    <t>The Pirates of The Caribbean</t>
  </si>
  <si>
    <t>Trolls</t>
  </si>
  <si>
    <t>The Matrix</t>
  </si>
  <si>
    <t>The Sandlot</t>
  </si>
  <si>
    <t>Tron</t>
  </si>
  <si>
    <t>The Aristocats</t>
  </si>
  <si>
    <t>The Nightmare Before Christmas</t>
  </si>
  <si>
    <t>The Lion Guard</t>
  </si>
  <si>
    <t>The Grinch</t>
  </si>
  <si>
    <t>The Golden Girls</t>
  </si>
  <si>
    <t>Top Gun</t>
  </si>
  <si>
    <t>The Eternals</t>
  </si>
  <si>
    <t>The Lord of the Rings</t>
  </si>
  <si>
    <t>The Peanuts Movie</t>
  </si>
  <si>
    <t>The Octonauts</t>
  </si>
  <si>
    <t>The Godfather</t>
  </si>
  <si>
    <t>Texas Chainsaw Massacre</t>
  </si>
  <si>
    <t>To All The Boys</t>
  </si>
  <si>
    <t>Bluey - Bluey</t>
  </si>
  <si>
    <t>Dungeons &amp; Dragons</t>
  </si>
  <si>
    <t>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t>
  </si>
  <si>
    <t>Breathable</t>
  </si>
  <si>
    <t>Dual Sided</t>
  </si>
  <si>
    <t>Animated</t>
  </si>
  <si>
    <t>Non-Wall Damaging</t>
  </si>
  <si>
    <t>Reusable</t>
  </si>
  <si>
    <t>Vintage</t>
  </si>
  <si>
    <t>Window Clinging</t>
  </si>
  <si>
    <t>Newborn (Birth - 6 months old)</t>
  </si>
  <si>
    <t>Infant (6 - 12 Months)</t>
  </si>
  <si>
    <t>Toddler (1 - 3 Years)</t>
  </si>
  <si>
    <t>Pre-school (3 - 5 Years)</t>
  </si>
  <si>
    <t>Youth (5 - 8 Years)</t>
  </si>
  <si>
    <t>Pre-teen (9 - 12 Years)</t>
  </si>
  <si>
    <t>Teen (13+)</t>
  </si>
  <si>
    <t>Adult (18+)</t>
  </si>
  <si>
    <t>All Ages</t>
  </si>
  <si>
    <t>Adult</t>
  </si>
  <si>
    <t>Baby</t>
  </si>
  <si>
    <t>Kid</t>
  </si>
  <si>
    <t>Teen</t>
  </si>
  <si>
    <t>Toddler</t>
  </si>
  <si>
    <t>Dual Language</t>
  </si>
  <si>
    <t>Distribution Conflict</t>
  </si>
  <si>
    <t>Logistics</t>
  </si>
  <si>
    <t>Cancer</t>
  </si>
  <si>
    <t>Developmental</t>
  </si>
  <si>
    <t>Striped</t>
  </si>
  <si>
    <t>Plaid</t>
  </si>
  <si>
    <t>Chevron</t>
  </si>
  <si>
    <t>Damask</t>
  </si>
  <si>
    <t>Paisley</t>
  </si>
  <si>
    <t>Geometric</t>
  </si>
  <si>
    <t>Gingham</t>
  </si>
  <si>
    <t>Animal Print</t>
  </si>
  <si>
    <t>Camouflage</t>
  </si>
  <si>
    <t>Polka Dots</t>
  </si>
  <si>
    <t>Ikat</t>
  </si>
  <si>
    <t>Houndstooth</t>
  </si>
  <si>
    <t>Toile</t>
  </si>
  <si>
    <t>Patchwork</t>
  </si>
  <si>
    <t>Ombre</t>
  </si>
  <si>
    <t>Checkered</t>
  </si>
  <si>
    <t>Floral</t>
  </si>
  <si>
    <t>Argyle</t>
  </si>
  <si>
    <t>Solid Color</t>
  </si>
  <si>
    <t>No Pattern</t>
  </si>
  <si>
    <t>Trellis</t>
  </si>
  <si>
    <t>Dots</t>
  </si>
  <si>
    <t>Starburst</t>
  </si>
  <si>
    <t>Geometric Shapes</t>
  </si>
  <si>
    <t>Brick</t>
  </si>
  <si>
    <t>Irish Chain</t>
  </si>
  <si>
    <t>Wood &amp; Shiplap</t>
  </si>
  <si>
    <t>Chevron / Zig Zag</t>
  </si>
  <si>
    <t>Drunkard's Path</t>
  </si>
  <si>
    <t>Moroccan</t>
  </si>
  <si>
    <t>Oriental</t>
  </si>
  <si>
    <t>Block Print</t>
  </si>
  <si>
    <t>Arc</t>
  </si>
  <si>
    <t>Vintage Look</t>
  </si>
  <si>
    <t>Drop</t>
  </si>
  <si>
    <t>Straight</t>
  </si>
  <si>
    <t>Random</t>
  </si>
  <si>
    <t>Peelable</t>
  </si>
  <si>
    <t>Strippable</t>
  </si>
  <si>
    <t>Solution Required</t>
  </si>
  <si>
    <t>Non Residential Use</t>
  </si>
  <si>
    <t>Residential Use</t>
  </si>
  <si>
    <t>Drip Free</t>
  </si>
  <si>
    <t>Reinforced</t>
  </si>
  <si>
    <t>Non-Porous</t>
  </si>
  <si>
    <t>Achille Castiglioni</t>
  </si>
  <si>
    <t>Alfredo Llorens</t>
  </si>
  <si>
    <t>Becky Bailey</t>
  </si>
  <si>
    <t>Badeloft</t>
  </si>
  <si>
    <t>Alain Van Havre</t>
  </si>
  <si>
    <t>Bannoura</t>
  </si>
  <si>
    <t>Ann Gish</t>
  </si>
  <si>
    <t>Ambesonne</t>
  </si>
  <si>
    <t>Alberto Tabellini &amp; David Reiss</t>
  </si>
  <si>
    <t>Andres Martinez</t>
  </si>
  <si>
    <t>Allison Paladino</t>
  </si>
  <si>
    <t>AERIN</t>
  </si>
  <si>
    <t>Alexa Hampton</t>
  </si>
  <si>
    <t>Antonio Citterio</t>
  </si>
  <si>
    <t>BergHOFF</t>
  </si>
  <si>
    <t>Ardmore</t>
  </si>
  <si>
    <t>Arnold Krog</t>
  </si>
  <si>
    <t>Bruno Marashlian</t>
  </si>
  <si>
    <t>Carol Benson-Cobb</t>
  </si>
  <si>
    <t>Campania International</t>
  </si>
  <si>
    <t>Debra Ann of Atomic Mobiles</t>
  </si>
  <si>
    <t>ARTCANVAS</t>
  </si>
  <si>
    <t>Karen Didion</t>
  </si>
  <si>
    <t>Maceteros</t>
  </si>
  <si>
    <t>Rosiland Solomon</t>
  </si>
  <si>
    <t>Ysnay</t>
  </si>
  <si>
    <t>Ashley Norton</t>
  </si>
  <si>
    <t>University frames</t>
  </si>
  <si>
    <t>Ashley Helms</t>
  </si>
  <si>
    <t>B2U</t>
  </si>
  <si>
    <t>Artwall</t>
  </si>
  <si>
    <t>Aviva Stanoff</t>
  </si>
  <si>
    <t>ArtVerse</t>
  </si>
  <si>
    <t>Artorang</t>
  </si>
  <si>
    <t>ACROMA</t>
  </si>
  <si>
    <t>Barrow Industries</t>
  </si>
  <si>
    <t>Barclay Butera</t>
  </si>
  <si>
    <t>Aqua Gallery</t>
  </si>
  <si>
    <t>Barrow Fabric</t>
  </si>
  <si>
    <t>Barbara Barry</t>
  </si>
  <si>
    <t>Aston</t>
  </si>
  <si>
    <t>Barry Goralnick</t>
  </si>
  <si>
    <t>Barbara and James Restin</t>
  </si>
  <si>
    <t>Arshs Fine Rugs</t>
  </si>
  <si>
    <t>Brightech</t>
  </si>
  <si>
    <t>C.L.L Collections</t>
  </si>
  <si>
    <t>Bunny Williams</t>
  </si>
  <si>
    <t>Busalt Design</t>
  </si>
  <si>
    <t>Candice Olson</t>
  </si>
  <si>
    <t>Betsy Drake Interiors</t>
  </si>
  <si>
    <t>Bhawna's Fusion</t>
  </si>
  <si>
    <t>Capital Lighting Fixture Co.</t>
  </si>
  <si>
    <t>Booth &amp; Williams</t>
  </si>
  <si>
    <t>Berbermade</t>
  </si>
  <si>
    <t>Caroline's Treasures</t>
  </si>
  <si>
    <t>Christian Lacroix</t>
  </si>
  <si>
    <t>Chic Teak</t>
  </si>
  <si>
    <t>Chapman &amp; Myers</t>
  </si>
  <si>
    <t>ChiChi Decor</t>
  </si>
  <si>
    <t>Celerie Kemble</t>
  </si>
  <si>
    <t>ChildBeWild</t>
  </si>
  <si>
    <t>Casa Fine Arts</t>
  </si>
  <si>
    <t>Bespoky Rugs</t>
  </si>
  <si>
    <t>Dawn Sweitzer</t>
  </si>
  <si>
    <t>Dana Gibson</t>
  </si>
  <si>
    <t>David Chipperfield</t>
  </si>
  <si>
    <t>Darren Gygi</t>
  </si>
  <si>
    <t>Creative Matters Inc.</t>
  </si>
  <si>
    <t>Dana McMillan</t>
  </si>
  <si>
    <t>Danielle Davis</t>
  </si>
  <si>
    <t>David Phoenix</t>
  </si>
  <si>
    <t>Christopher Fareed</t>
  </si>
  <si>
    <t>E by Design</t>
  </si>
  <si>
    <t>COXBRIGHT</t>
  </si>
  <si>
    <t>Coe Steinwart</t>
  </si>
  <si>
    <t>DreamLine</t>
  </si>
  <si>
    <t>Daphne Polselli</t>
  </si>
  <si>
    <t>Diane Beesley</t>
  </si>
  <si>
    <t>Denny Knight</t>
  </si>
  <si>
    <t>Diane Keaton</t>
  </si>
  <si>
    <t>echo</t>
  </si>
  <si>
    <t>Ebros Gift</t>
  </si>
  <si>
    <t>EGLO</t>
  </si>
  <si>
    <t>Duravit</t>
  </si>
  <si>
    <t>Eleonora Ferragatta</t>
  </si>
  <si>
    <t>E. F. Chapman</t>
  </si>
  <si>
    <t>Elaine Smith</t>
  </si>
  <si>
    <t>East West Furniture</t>
  </si>
  <si>
    <t>iCanvas</t>
  </si>
  <si>
    <t>Empava</t>
  </si>
  <si>
    <t>Ernest Massuet</t>
  </si>
  <si>
    <t>James Restin</t>
  </si>
  <si>
    <t>Enrico Lavazzi</t>
  </si>
  <si>
    <t>Ella's Bubbles</t>
  </si>
  <si>
    <t>Emissary</t>
  </si>
  <si>
    <t>Jaime Hayon</t>
  </si>
  <si>
    <t>Evergreen</t>
  </si>
  <si>
    <t>Jean-Marie Massaud</t>
  </si>
  <si>
    <t>J Paul</t>
  </si>
  <si>
    <t>Jennifer Hollack Raboin</t>
  </si>
  <si>
    <t>Javier Mariscal</t>
  </si>
  <si>
    <t>Jasper Morrison</t>
  </si>
  <si>
    <t>James Brooksberry</t>
  </si>
  <si>
    <t>Jamie Graney</t>
  </si>
  <si>
    <t>J. Kent Martin</t>
  </si>
  <si>
    <t>Jonathan Adler</t>
  </si>
  <si>
    <t>Jennifer Ridel</t>
  </si>
  <si>
    <t>Jose Javier Malavia</t>
  </si>
  <si>
    <t>John Beard</t>
  </si>
  <si>
    <t>JMV</t>
  </si>
  <si>
    <t>Jordan Glassco Smith</t>
  </si>
  <si>
    <t>Europatex</t>
  </si>
  <si>
    <t>Jorge Pensi</t>
  </si>
  <si>
    <t>Jose Luis Santes</t>
  </si>
  <si>
    <t>John Strauss/Carisa Marie</t>
  </si>
  <si>
    <t>Jose Maria Reina</t>
  </si>
  <si>
    <t>Ettore Sottsass</t>
  </si>
  <si>
    <t>Enrico Cosi &amp; Sergio Tabellini</t>
  </si>
  <si>
    <t>Eugeni Quitllet</t>
  </si>
  <si>
    <t>Jose Santaeulalia</t>
  </si>
  <si>
    <t>Jessica Hollander</t>
  </si>
  <si>
    <t>JoyJolt</t>
  </si>
  <si>
    <t>Jim and Phoebe Howard</t>
  </si>
  <si>
    <t>Julia Knight</t>
  </si>
  <si>
    <t>Kelly Wearstler</t>
  </si>
  <si>
    <t>Laura Park</t>
  </si>
  <si>
    <t>Kurt Merki Jr.</t>
  </si>
  <si>
    <t>Karin Reiter</t>
  </si>
  <si>
    <t>Karo Martirosyan</t>
  </si>
  <si>
    <t>Lexora</t>
  </si>
  <si>
    <t>LACAVA</t>
  </si>
  <si>
    <t>LILY</t>
  </si>
  <si>
    <t>Levi Wilson</t>
  </si>
  <si>
    <t>LeadGoods</t>
  </si>
  <si>
    <t>Julie Neill</t>
  </si>
  <si>
    <t>Juan Huerta</t>
  </si>
  <si>
    <t>Lillian August</t>
  </si>
  <si>
    <t>Kent Wilcoxson Jordan</t>
  </si>
  <si>
    <t>Kayvan</t>
  </si>
  <si>
    <t>Karim Rashid</t>
  </si>
  <si>
    <t>Kevin O'Brien</t>
  </si>
  <si>
    <t>Lynn McKernan</t>
  </si>
  <si>
    <t>Lipman Art</t>
  </si>
  <si>
    <t>Madison Knowles-Stewart</t>
  </si>
  <si>
    <t>MaestroBath</t>
  </si>
  <si>
    <t>M. FEDER</t>
  </si>
  <si>
    <t>LOOMLAN</t>
  </si>
  <si>
    <t>Loretta Yang</t>
  </si>
  <si>
    <t>Lyn Hamer Cook</t>
  </si>
  <si>
    <t>Loloi</t>
  </si>
  <si>
    <t>Linum Home Textiles</t>
  </si>
  <si>
    <t>Konstantin Grcic</t>
  </si>
  <si>
    <t>Ludovica &amp; Roberto Palomba</t>
  </si>
  <si>
    <t>Kaleen</t>
  </si>
  <si>
    <t>Liora Manne</t>
  </si>
  <si>
    <t>Malanta Knowles</t>
  </si>
  <si>
    <t>Mark D. Sikes</t>
  </si>
  <si>
    <t>Marc Sadler</t>
  </si>
  <si>
    <t>Mesut Bozkurt</t>
  </si>
  <si>
    <t>Meirxifeng Design</t>
  </si>
  <si>
    <t>Marcel Wanders</t>
  </si>
  <si>
    <t>Marla Rae</t>
  </si>
  <si>
    <t>Matteo Thun</t>
  </si>
  <si>
    <t>Matteo Thun &amp; Antonio Rodriguez</t>
  </si>
  <si>
    <t>Metrohouse Designs</t>
  </si>
  <si>
    <t>Marytumm</t>
  </si>
  <si>
    <t>National Outdoor Living</t>
  </si>
  <si>
    <t>Mary Jurek</t>
  </si>
  <si>
    <t>Melissa Hyatt LLC</t>
  </si>
  <si>
    <t>Naomi Neilson</t>
  </si>
  <si>
    <t>Myard</t>
  </si>
  <si>
    <t>The Met x Ann Gish</t>
  </si>
  <si>
    <t>Martha Stewart</t>
  </si>
  <si>
    <t>Modern Space</t>
  </si>
  <si>
    <t>Melea Markell</t>
  </si>
  <si>
    <t>MTI Baths</t>
  </si>
  <si>
    <t>Michael Updike</t>
  </si>
  <si>
    <t>Naoto Fukasawa</t>
  </si>
  <si>
    <t>Morettis</t>
  </si>
  <si>
    <t>National Tree Company</t>
  </si>
  <si>
    <t>Nick Sheridan</t>
  </si>
  <si>
    <t>Momeni</t>
  </si>
  <si>
    <t>Michele De Lucchi &amp; Giancarlo Fassina</t>
  </si>
  <si>
    <t>Mode Living Team</t>
  </si>
  <si>
    <t>Monika Lubkowsa-Jonas</t>
  </si>
  <si>
    <t>MH London</t>
  </si>
  <si>
    <t>New World Trading</t>
  </si>
  <si>
    <t>Ngala Trading</t>
  </si>
  <si>
    <t>NovaSolo</t>
  </si>
  <si>
    <t>York Wallcoverings</t>
  </si>
  <si>
    <t>Fran Bradburn</t>
  </si>
  <si>
    <t>Yasi</t>
  </si>
  <si>
    <t>Suzanne Kasler</t>
  </si>
  <si>
    <t>Norman Wyatt Jr.</t>
  </si>
  <si>
    <t>Nikki Chu</t>
  </si>
  <si>
    <t>Tammy Keller</t>
  </si>
  <si>
    <t>TapLong</t>
  </si>
  <si>
    <t>Glow Crystal Lighting</t>
  </si>
  <si>
    <t>Patrice Lowe</t>
  </si>
  <si>
    <t>Summer Snow</t>
  </si>
  <si>
    <t>Flatfish</t>
  </si>
  <si>
    <t>Olivia Rose</t>
  </si>
  <si>
    <t>TeakSmith</t>
  </si>
  <si>
    <t>Notting Hill Decorative Hardware</t>
  </si>
  <si>
    <t>Tovolo</t>
  </si>
  <si>
    <t>Feiss</t>
  </si>
  <si>
    <t>Oiva Toikka</t>
  </si>
  <si>
    <t>Swig Life</t>
  </si>
  <si>
    <t>The Enchanted Home</t>
  </si>
  <si>
    <t>Wedgwood</t>
  </si>
  <si>
    <t>Frank Huster</t>
  </si>
  <si>
    <t>Tim Klein</t>
  </si>
  <si>
    <t>Exotic India</t>
  </si>
  <si>
    <t>Quorum</t>
  </si>
  <si>
    <t>Vera Wang</t>
  </si>
  <si>
    <t>Tvilum</t>
  </si>
  <si>
    <t>Tufenkian Design Studio</t>
  </si>
  <si>
    <t>Francisco Polope</t>
  </si>
  <si>
    <t>Hiroshi Koshitaka</t>
  </si>
  <si>
    <t>Oussum</t>
  </si>
  <si>
    <t>Sylvia Corban</t>
  </si>
  <si>
    <t>Suzanne Renaud</t>
  </si>
  <si>
    <t>Nude design team</t>
  </si>
  <si>
    <t>Ottomanson</t>
  </si>
  <si>
    <t>Peter Townsend</t>
  </si>
  <si>
    <t>Pergamino</t>
  </si>
  <si>
    <t>Hansgrohe</t>
  </si>
  <si>
    <t>George Dyachenko</t>
  </si>
  <si>
    <t>Hilary Farr</t>
  </si>
  <si>
    <t>Thom Filicia</t>
  </si>
  <si>
    <t>VEVOR</t>
  </si>
  <si>
    <t>Hubbardton Forge</t>
  </si>
  <si>
    <t>Hendryx Haus</t>
  </si>
  <si>
    <t>Four Hands</t>
  </si>
  <si>
    <t>Urban Trends Collection</t>
  </si>
  <si>
    <t>Viso Project</t>
  </si>
  <si>
    <t>Harmonia Living</t>
  </si>
  <si>
    <t>Hekman</t>
  </si>
  <si>
    <t>Yinuo Pure Furniture Limited</t>
  </si>
  <si>
    <t>Gorham</t>
  </si>
  <si>
    <t>Varvara Sivas</t>
  </si>
  <si>
    <t>Franklin Corporation</t>
  </si>
  <si>
    <t>Graywolf Design Co</t>
  </si>
  <si>
    <t>The Creative Bunch Studio</t>
  </si>
  <si>
    <t>Rachel K</t>
  </si>
  <si>
    <t>United Artworks</t>
  </si>
  <si>
    <t>Vickerman</t>
  </si>
  <si>
    <t>Willow Collections</t>
  </si>
  <si>
    <t>Piero Lissoni</t>
  </si>
  <si>
    <t>Wexford Home</t>
  </si>
  <si>
    <t>Homebody Accents</t>
  </si>
  <si>
    <t>Pride Sasser</t>
  </si>
  <si>
    <t>Handy Living</t>
  </si>
  <si>
    <t>HKH International</t>
  </si>
  <si>
    <t>Ferruccio Laviani</t>
  </si>
  <si>
    <t>Twist Modern</t>
  </si>
  <si>
    <t>Fernando Martinez</t>
  </si>
  <si>
    <t>Phoenix Design</t>
  </si>
  <si>
    <t>Thomas O'Brien</t>
  </si>
  <si>
    <t>Home Dynamix</t>
  </si>
  <si>
    <t>Sweet Jojo Designs</t>
  </si>
  <si>
    <t>RBROHANT</t>
  </si>
  <si>
    <t>Ramon Esteve</t>
  </si>
  <si>
    <t>Yamazaki Home</t>
  </si>
  <si>
    <t>Tycolit</t>
  </si>
  <si>
    <t>Oxygen Lighting</t>
  </si>
  <si>
    <t>Phyllis Morris</t>
  </si>
  <si>
    <t>Get Bed Ready</t>
  </si>
  <si>
    <t>Heckman</t>
  </si>
  <si>
    <t>Robert Sonneman</t>
  </si>
  <si>
    <t>The Allstone Group</t>
  </si>
  <si>
    <t>Ellen DeGeneres</t>
  </si>
  <si>
    <t>Foersom &amp; Hiort-Lorenzen MDD</t>
  </si>
  <si>
    <t>Dexsa</t>
  </si>
  <si>
    <t>Vinform</t>
  </si>
  <si>
    <t>ELK Home</t>
  </si>
  <si>
    <t>Patricia Urquiola</t>
  </si>
  <si>
    <t>Ron Rezek</t>
  </si>
  <si>
    <t>Hudson Valley</t>
  </si>
  <si>
    <t>Rachel Lee</t>
  </si>
  <si>
    <t>Zaza Ergemlidze</t>
  </si>
  <si>
    <t>Robert Allen</t>
  </si>
  <si>
    <t>Raul Rubio</t>
  </si>
  <si>
    <t>Ron McIntyre</t>
  </si>
  <si>
    <t>Roma Moulding</t>
  </si>
  <si>
    <t>Ralph Lauren</t>
  </si>
  <si>
    <t>Reflectionsonus Art Studio</t>
  </si>
  <si>
    <t>Philippe Starck</t>
  </si>
  <si>
    <t>Howcool</t>
  </si>
  <si>
    <t>Tony Zaza</t>
  </si>
  <si>
    <t>Greentouch Home</t>
  </si>
  <si>
    <t>Riverside Furniture</t>
  </si>
  <si>
    <t>Umbra</t>
  </si>
  <si>
    <t>Falls Bridge Candles</t>
  </si>
  <si>
    <t>Michael Anastassiades</t>
  </si>
  <si>
    <t>Sean Lavin</t>
  </si>
  <si>
    <t>E. Barber and J. Osgerby</t>
  </si>
  <si>
    <t>Neri &amp; Hu</t>
  </si>
  <si>
    <t>Mogens Lassen</t>
  </si>
  <si>
    <t>Flemming Lassen</t>
  </si>
  <si>
    <t>Paloma Contreras</t>
  </si>
  <si>
    <t>Meneghello Paolelli</t>
  </si>
  <si>
    <t>Zeki Muren</t>
  </si>
  <si>
    <t>Alicia Engman</t>
  </si>
  <si>
    <t>G. DeBrekht</t>
  </si>
  <si>
    <t>Corey Damen Jenkins</t>
  </si>
  <si>
    <t>Garcia Cumini</t>
  </si>
  <si>
    <t>Charlotte Moss</t>
  </si>
  <si>
    <t>Angela Harris, The Studio</t>
  </si>
  <si>
    <t>Please choose one or more from the following, using a semicolon (;) to separate each value: Achille Castiglioni; Alfredo Llorens; Becky Bailey; Badeloft; Alain Van Havre; Bannoura; Ann Gish; Ambesonne; Alberto Tabellini &amp; David Reiss; Andres Martinez; Allison Paladino; AERIN; Alexa Hampton; Antonio Citterio; BergHOFF; Ardmore; Arnold Krog; Bruno Marashlian; Carol Benson-Cobb; Campania International; Debra Ann of Atomic Mobiles; ARTCANVAS; Karen Didion; Maceteros; Rosiland Solomon; Ysnay; Ashley Norton; University frames; Ashley Helms; B2U; Artwall; Aviva Stanoff; ArtVerse; Artorang; ACROMA; Barrow Industries; Barclay Butera; Aqua Gallery; Barrow Fabric; Barbara Barry; Aston; Barry Goralnick; Barbara and James Restin; Arshs Fine Rugs; Brightech; C.L.L Collections; Bunny Williams; Busalt Design; Candice Olson; Betsy Drake Interiors; Bhawna's Fusion; Capital Lighting Fixture Co.; Booth &amp; Williams; Berbermade; Caroline's Treasures; Christian Lacroix; Chic Teak; Chapman &amp; Myers; ChiChi Decor; Celerie Kemble; ChildBeWild; Casa Fine Arts; Bespoky Rugs; Dawn Sweitzer; Dana Gibson; David Chipperfield; Darren Gygi; Creative Matters Inc.; Dana McMillan; Danielle Davis; David Phoenix; Christopher Fareed; E by Design; COXBRIGHT; Coe Steinwart; DreamLine; Daphne Polselli; Diane Beesley; Denny Knight; Diane Keaton; echo; Ebros Gift; EGLO; Duravit; Eleonora Ferragatta; E. F. Chapman; Elaine Smith; East West Furniture; iCanvas; Empava; Ernest Massuet; James Restin; Enrico Lavazzi; Ella's Bubbles; Emissary; Jaime Hayon; Evergreen; Jean-Marie Massaud; J Paul; Jennifer Hollack Raboin; Javier Mariscal; Jasper Morrison; James Brooksberry; Jamie Graney; J. Kent Martin; Jonathan Adler; Jennifer Ridel; Jose Javier Malavia; John Beard; JMV; Jordan Glassco Smith; Europatex; Jorge Pensi; Jose Luis Santes; John Strauss/Carisa Marie; Jose Maria Reina; Ettore Sottsass; Enrico Cosi &amp; Sergio Tabellini; Eugeni Quitllet; Jose Santaeulalia; Jessica Hollander; JoyJolt; Jim and Phoebe Howard; Julia Knight; Kelly Wearstler; Laura Park; Kurt Merki Jr.; Karin Reiter; Karo Martirosyan</t>
  </si>
  <si>
    <t>Hand wash recommended</t>
  </si>
  <si>
    <t>Spot clean only</t>
  </si>
  <si>
    <t>Clean with soap and water</t>
  </si>
  <si>
    <t>Clean spills immediately</t>
  </si>
  <si>
    <t>Non-Abrasive, Neutral Ph Cleaner</t>
  </si>
  <si>
    <t>Vacuum with no beater bar/rotating brush</t>
  </si>
  <si>
    <t>Professional / Dry Clean Recommended</t>
  </si>
  <si>
    <t>Vacuum with upholstery attachment</t>
  </si>
  <si>
    <t>Use product specific cleaner</t>
  </si>
  <si>
    <t>Wipe clean with a dry cloth</t>
  </si>
  <si>
    <t>Avoid use of abrasive cleaners</t>
  </si>
  <si>
    <t>Do not wash</t>
  </si>
  <si>
    <t>Dust mop</t>
  </si>
  <si>
    <t>Hose down</t>
  </si>
  <si>
    <t>Spot clean</t>
  </si>
  <si>
    <t>Wipe with wet cloth</t>
  </si>
  <si>
    <t>Spot clean with water</t>
  </si>
  <si>
    <t>No washing / drying care</t>
  </si>
  <si>
    <t>Do not bleach</t>
  </si>
  <si>
    <t>After cleaning, use sealant</t>
  </si>
  <si>
    <t>Vacuum</t>
  </si>
  <si>
    <t>Avoid direct sunlight</t>
  </si>
  <si>
    <t>Clean with cloth, mild soap, and warm water</t>
  </si>
  <si>
    <t>Spot clean with mild detergent</t>
  </si>
  <si>
    <t>Spot clean as needed</t>
  </si>
  <si>
    <t>Do not use any cleaning agents</t>
  </si>
  <si>
    <t>Machine wash</t>
  </si>
  <si>
    <t>Dry clean recommended</t>
  </si>
  <si>
    <t>Use dry, solvent-based cleaner</t>
  </si>
  <si>
    <t>Wipe down with mild soap and water</t>
  </si>
  <si>
    <t>Wipe with cloth</t>
  </si>
  <si>
    <t>Wipe Clean Only</t>
  </si>
  <si>
    <t>Hand Wash Only - Towel Dry Immediately</t>
  </si>
  <si>
    <t>Wipe clean with a damp cloth</t>
  </si>
  <si>
    <t>Acacia</t>
  </si>
  <si>
    <t>Alder</t>
  </si>
  <si>
    <t>Ash</t>
  </si>
  <si>
    <t>Beech</t>
  </si>
  <si>
    <t>Birch</t>
  </si>
  <si>
    <t>Camphor</t>
  </si>
  <si>
    <t>Cherry</t>
  </si>
  <si>
    <t>Elm</t>
  </si>
  <si>
    <t>Eucalyptus</t>
  </si>
  <si>
    <t>Fir</t>
  </si>
  <si>
    <t>Hickory</t>
  </si>
  <si>
    <t>Mahogany</t>
  </si>
  <si>
    <t>Mango</t>
  </si>
  <si>
    <t>Maple</t>
  </si>
  <si>
    <t>Pine</t>
  </si>
  <si>
    <t>Poplar</t>
  </si>
  <si>
    <t>Rosewood</t>
  </si>
  <si>
    <t>Rubberwood</t>
  </si>
  <si>
    <t>Sheesham</t>
  </si>
  <si>
    <t>Spruce</t>
  </si>
  <si>
    <t>Walnut</t>
  </si>
  <si>
    <t>Wenge</t>
  </si>
  <si>
    <t>Pecan</t>
  </si>
  <si>
    <t>Shorea</t>
  </si>
  <si>
    <t>Paulownia</t>
  </si>
  <si>
    <t>Chestnut</t>
  </si>
  <si>
    <t>Hemlock</t>
  </si>
  <si>
    <t>Aspen</t>
  </si>
  <si>
    <t>Mindi</t>
  </si>
  <si>
    <t>Ipe</t>
  </si>
  <si>
    <t>Olive</t>
  </si>
  <si>
    <t>Ajo</t>
  </si>
  <si>
    <t>Agarwood</t>
  </si>
  <si>
    <t>Afzelia</t>
  </si>
  <si>
    <t>Afrormosia</t>
  </si>
  <si>
    <t>Bubinga</t>
  </si>
  <si>
    <t>Brazilwood</t>
  </si>
  <si>
    <t>Cumaru</t>
  </si>
  <si>
    <t>Cedar, Mulanje</t>
  </si>
  <si>
    <t>Cedar, Spanish</t>
  </si>
  <si>
    <t>Aloewood</t>
  </si>
  <si>
    <t>Lignum vitae</t>
  </si>
  <si>
    <t>Mahogany, African</t>
  </si>
  <si>
    <t>Mahogany, Mexican</t>
  </si>
  <si>
    <t>Padauk, African</t>
  </si>
  <si>
    <t>Macacauba</t>
  </si>
  <si>
    <t>Ebony, Madagascar</t>
  </si>
  <si>
    <t>Lignum vitae, Argentine</t>
  </si>
  <si>
    <t>Gavilan</t>
  </si>
  <si>
    <t>Mahogany, Honduran</t>
  </si>
  <si>
    <t>Mahogany, Cuban</t>
  </si>
  <si>
    <t>Stinkwood, red</t>
  </si>
  <si>
    <t>Yew, Chinese</t>
  </si>
  <si>
    <t>Pau rosa, Brazilian</t>
  </si>
  <si>
    <t>Sandalwood, East African</t>
  </si>
  <si>
    <t>Ramin</t>
  </si>
  <si>
    <t>Zitan</t>
  </si>
  <si>
    <t>Yew, Himalayan</t>
  </si>
  <si>
    <t>Yew, Japanese</t>
  </si>
  <si>
    <t>Rosewood, Siamese</t>
  </si>
  <si>
    <t>Yew, Taiwan</t>
  </si>
  <si>
    <t>Burlwood</t>
  </si>
  <si>
    <t>Platane Wood</t>
  </si>
  <si>
    <t>Sungkai</t>
  </si>
  <si>
    <t>MLB Atlanta Braves</t>
  </si>
  <si>
    <t>MLB Chicago Cubs</t>
  </si>
  <si>
    <t>MLB Arizona Diamondbacks</t>
  </si>
  <si>
    <t>MLB Baltimore Orioles</t>
  </si>
  <si>
    <t>MLB Kansas City Royals</t>
  </si>
  <si>
    <t>MLB Boston Red Sox</t>
  </si>
  <si>
    <t>MLB Milwaukee Brewers</t>
  </si>
  <si>
    <t>MLB Detroit Tigers</t>
  </si>
  <si>
    <t>MLB Cincinnati Reds</t>
  </si>
  <si>
    <t>MLB Los Angeles Dodgers</t>
  </si>
  <si>
    <t>MLB Colorado Rockies</t>
  </si>
  <si>
    <t>MLB Chicago White Sox</t>
  </si>
  <si>
    <t>MLB Houston Astros</t>
  </si>
  <si>
    <t>MLB Miami Marlins</t>
  </si>
  <si>
    <t>MLB Minnesota Twins</t>
  </si>
  <si>
    <t>MLB Philadelphia Phillies</t>
  </si>
  <si>
    <t>NBA New York Knicks</t>
  </si>
  <si>
    <t>NHL Edmonton Oilers</t>
  </si>
  <si>
    <t>MLB Los Angeles Angels</t>
  </si>
  <si>
    <t>MLB New York Mets</t>
  </si>
  <si>
    <t>MLB New York Yankees</t>
  </si>
  <si>
    <t>MLB Pittsburgh Pirates</t>
  </si>
  <si>
    <t>MLB San Diego Padres</t>
  </si>
  <si>
    <t>MLB San Francisco Giants</t>
  </si>
  <si>
    <t>NHL Los Angeles Kings</t>
  </si>
  <si>
    <t>NHL Pittsburgh Penguins</t>
  </si>
  <si>
    <t>MLB Seattle Mariners</t>
  </si>
  <si>
    <t>MLB Cleveland Guardians</t>
  </si>
  <si>
    <t>MLB Tampa Bay Rays</t>
  </si>
  <si>
    <t>MLB Toronto Blue Jays</t>
  </si>
  <si>
    <t>MLB Washington Nationals</t>
  </si>
  <si>
    <t>NBA Boston Celtics</t>
  </si>
  <si>
    <t>NBA Charlotte Hornets</t>
  </si>
  <si>
    <t>NBA Denver Nuggets</t>
  </si>
  <si>
    <t>NBA Golden State Warriors</t>
  </si>
  <si>
    <t>NFL Houston Texans</t>
  </si>
  <si>
    <t>NFL Baltimore Ravens</t>
  </si>
  <si>
    <t>NBA Detroit Pistons</t>
  </si>
  <si>
    <t>NBA Cleveland Cavaliers</t>
  </si>
  <si>
    <t>NBA Houston Rockets</t>
  </si>
  <si>
    <t>NBA Atlanta Hawks</t>
  </si>
  <si>
    <t>NHL Washington Capitals</t>
  </si>
  <si>
    <t>NBA Los Angeles Clippers</t>
  </si>
  <si>
    <t>NBA Minnesota Timberwolves</t>
  </si>
  <si>
    <t>NBA Brooklyn Nets</t>
  </si>
  <si>
    <t>NBA Sacramento Kings</t>
  </si>
  <si>
    <t>NBA Washington Wizards</t>
  </si>
  <si>
    <t>NBA San Antonio Spurs</t>
  </si>
  <si>
    <t>NHL Calgary Flames</t>
  </si>
  <si>
    <t>NHL Carolina Hurricanes</t>
  </si>
  <si>
    <t>NBA Indiana Pacers</t>
  </si>
  <si>
    <t>NBA New Orleans Pelicans</t>
  </si>
  <si>
    <t>NFL New York Giants</t>
  </si>
  <si>
    <t>NBA Memphis Grizzlies</t>
  </si>
  <si>
    <t>MLB Oakland Athletics</t>
  </si>
  <si>
    <t>NHL Detroit Red Wings</t>
  </si>
  <si>
    <t>NHL Colorado Avalanche</t>
  </si>
  <si>
    <t>NHL New York Islanders</t>
  </si>
  <si>
    <t>NBA Chicago Bulls</t>
  </si>
  <si>
    <t>NBA Utah Jazz</t>
  </si>
  <si>
    <t>NBA Philadelphia 76ers</t>
  </si>
  <si>
    <t>NBA Milwaukee Bucks</t>
  </si>
  <si>
    <t>NBA Miami Heat</t>
  </si>
  <si>
    <t>NBA Oklahoma City Thunder</t>
  </si>
  <si>
    <t>NBA Orlando Magic</t>
  </si>
  <si>
    <t>NHL Montreal Canadiens</t>
  </si>
  <si>
    <t>NHL Vancouver Canucks</t>
  </si>
  <si>
    <t>NHL San Jose Sharks</t>
  </si>
  <si>
    <t>NHL Arizona Coyotes</t>
  </si>
  <si>
    <t>NHL Winnipeg Jets</t>
  </si>
  <si>
    <t>NHL Buffalo Sabres</t>
  </si>
  <si>
    <t>NHL Boston Bruins</t>
  </si>
  <si>
    <t>NHL Vegas Golden Knights</t>
  </si>
  <si>
    <t>NFL Buffalo Bills</t>
  </si>
  <si>
    <t>NBA Toronto Raptors</t>
  </si>
  <si>
    <t>NFL Arizona Cardinals</t>
  </si>
  <si>
    <t>MLB Texas Rangers</t>
  </si>
  <si>
    <t>NFL Cincinnati Bengals</t>
  </si>
  <si>
    <t>NFL Carolina Panthers</t>
  </si>
  <si>
    <t>NFL Detroit Lions</t>
  </si>
  <si>
    <t>NFL Atlanta Falcons</t>
  </si>
  <si>
    <t>NFL Green Bay Packers</t>
  </si>
  <si>
    <t>NFL Denver Broncos</t>
  </si>
  <si>
    <t>NFL Miami Dolphins</t>
  </si>
  <si>
    <t>NFL Jacksonville Jaguars</t>
  </si>
  <si>
    <t>NHL Dallas Stars</t>
  </si>
  <si>
    <t>NFL Kansas City Chiefs</t>
  </si>
  <si>
    <t>NHL Florida Panthers</t>
  </si>
  <si>
    <t>NHL Minnesota Wild</t>
  </si>
  <si>
    <t>NBA Phoenix Suns</t>
  </si>
  <si>
    <t>NFL Indianapolis Colts</t>
  </si>
  <si>
    <t>NFL Minnesota Vikings</t>
  </si>
  <si>
    <t>NHL Columbus Blue Jackets</t>
  </si>
  <si>
    <t>NFL Pittsburgh Steelers</t>
  </si>
  <si>
    <t>NFL New York Jets</t>
  </si>
  <si>
    <t>NFL Las Vegas Raiders</t>
  </si>
  <si>
    <t>NFL New Orleans Saints</t>
  </si>
  <si>
    <t>NFL San Francisco 49ers</t>
  </si>
  <si>
    <t>NHL Nashville Predators</t>
  </si>
  <si>
    <t>NHL St. Louis Blues</t>
  </si>
  <si>
    <t>NHL Philadelphia Flyers</t>
  </si>
  <si>
    <t>NHL Tampa Bay Lightning</t>
  </si>
  <si>
    <t>NHL Toronto Maple Leafs</t>
  </si>
  <si>
    <t>MLB St. Louis Cardinals</t>
  </si>
  <si>
    <t>NHL Ottawa Senators</t>
  </si>
  <si>
    <t>NFL Seattle Seahawks</t>
  </si>
  <si>
    <t>NCAA US Naval Academy</t>
  </si>
  <si>
    <t>NFL Tampa Bay Buccaneers</t>
  </si>
  <si>
    <t>NHL Anaheim Ducks</t>
  </si>
  <si>
    <t>NCAA Xavier</t>
  </si>
  <si>
    <t>NBA Dallas Mavericks</t>
  </si>
  <si>
    <t>NFL Los Angeles Rams</t>
  </si>
  <si>
    <t>NFL Washington Commanders</t>
  </si>
  <si>
    <t>NCAA Villanova</t>
  </si>
  <si>
    <t>NFL New England Patriots</t>
  </si>
  <si>
    <t>NCAA Wisconsin</t>
  </si>
  <si>
    <t>NBA Portland Trail Blazers</t>
  </si>
  <si>
    <t>NCAA UCLA</t>
  </si>
  <si>
    <t>NHL Chicago Blackhawks</t>
  </si>
  <si>
    <t>NFL Chicago Bears</t>
  </si>
  <si>
    <t>NBA Los Angeles Lakers</t>
  </si>
  <si>
    <t>NCAA Utah</t>
  </si>
  <si>
    <t>NCAA Alabama</t>
  </si>
  <si>
    <t>NHL New Jersey Devils</t>
  </si>
  <si>
    <t>NCAA Syracuse</t>
  </si>
  <si>
    <t>NHL New York Rangers</t>
  </si>
  <si>
    <t>NCAA U.S Air Force Academy</t>
  </si>
  <si>
    <t>NCAA James Madison</t>
  </si>
  <si>
    <t>NFL Cleveland Browns</t>
  </si>
  <si>
    <t>NCAA UCF</t>
  </si>
  <si>
    <t>NCAA Towson</t>
  </si>
  <si>
    <t>NCAA Tennessee</t>
  </si>
  <si>
    <t>NCAA Purdue</t>
  </si>
  <si>
    <t>NCAA Texas State</t>
  </si>
  <si>
    <t>NCAA Pittsburgh</t>
  </si>
  <si>
    <t>NCAA SMU</t>
  </si>
  <si>
    <t>NCAA Ole Miss</t>
  </si>
  <si>
    <t>NCAA Seton Hall</t>
  </si>
  <si>
    <t>NCAA Texas</t>
  </si>
  <si>
    <t>NCAA Penn State</t>
  </si>
  <si>
    <t>NCAA North Dakota</t>
  </si>
  <si>
    <t>NCAA North Carolina</t>
  </si>
  <si>
    <t>NCAA Mississippi State</t>
  </si>
  <si>
    <t>NCAA Oklahoma</t>
  </si>
  <si>
    <t>NCAA Oklahoma State</t>
  </si>
  <si>
    <t>NCAA Ohio</t>
  </si>
  <si>
    <t>NCAA Nebraska</t>
  </si>
  <si>
    <t>NCAA Missouri State</t>
  </si>
  <si>
    <t>NCAA Ohio State</t>
  </si>
  <si>
    <t>NCAA Notre Dame</t>
  </si>
  <si>
    <t>NCAA Michigan</t>
  </si>
  <si>
    <t>NCAA Michigan Tech</t>
  </si>
  <si>
    <t>NCAA Michigan Wolverines</t>
  </si>
  <si>
    <t>NCAA Louisville</t>
  </si>
  <si>
    <t>NCAA Michigan State</t>
  </si>
  <si>
    <t>NCAA Indiana</t>
  </si>
  <si>
    <t>NCAA Memphis</t>
  </si>
  <si>
    <t>NCAA Houston</t>
  </si>
  <si>
    <t>NCAA Miami Of Ohio</t>
  </si>
  <si>
    <t>NCAA Georgia Tech</t>
  </si>
  <si>
    <t>NCAA Georgia Southern University</t>
  </si>
  <si>
    <t>NCAA Clemson</t>
  </si>
  <si>
    <t>NCAA East Carolina University</t>
  </si>
  <si>
    <t>NCAA Florida Gators</t>
  </si>
  <si>
    <t>NCAA Duke</t>
  </si>
  <si>
    <t>NCAA Eastern Kentucky</t>
  </si>
  <si>
    <t>NCAA Georgetown</t>
  </si>
  <si>
    <t>NCAA Coastal Carolina University</t>
  </si>
  <si>
    <t>NCAA Colorado State</t>
  </si>
  <si>
    <t>NCAA Georgia</t>
  </si>
  <si>
    <t>NCAA Citadel</t>
  </si>
  <si>
    <t>NCAA Creighton</t>
  </si>
  <si>
    <t>NCAA Central Michigan</t>
  </si>
  <si>
    <t>NCAA Boston College</t>
  </si>
  <si>
    <t>NCAA BYU</t>
  </si>
  <si>
    <t>NCAA Texas A&amp;M</t>
  </si>
  <si>
    <t>NCAA Butler University</t>
  </si>
  <si>
    <t>NCAA TCU</t>
  </si>
  <si>
    <t>NFL Dallas Cowboys</t>
  </si>
  <si>
    <t>NFL Philadelphia Eagles</t>
  </si>
  <si>
    <t>NCAA Virginia Tech</t>
  </si>
  <si>
    <t>NFL Los Angeles Chargers</t>
  </si>
  <si>
    <t>NCAA University Of Southern California</t>
  </si>
  <si>
    <t>NCAA Boise State</t>
  </si>
  <si>
    <t>NFL Tennessee Titans</t>
  </si>
  <si>
    <t>NCAA Louisiana State</t>
  </si>
  <si>
    <t>NCAA U.S Military Academy</t>
  </si>
  <si>
    <t>NHL Seattle Kraken</t>
  </si>
  <si>
    <t>AFC Bournemouth</t>
  </si>
  <si>
    <t>Brighton and Hove Albion</t>
  </si>
  <si>
    <t>Arsenal</t>
  </si>
  <si>
    <t>Everton</t>
  </si>
  <si>
    <t>Chelsea</t>
  </si>
  <si>
    <t>Crystal Palace</t>
  </si>
  <si>
    <t>Liverpool</t>
  </si>
  <si>
    <t>Leicester City</t>
  </si>
  <si>
    <t>Fulham</t>
  </si>
  <si>
    <t>Aston Villa</t>
  </si>
  <si>
    <t>Brentford</t>
  </si>
  <si>
    <t>Leeds United</t>
  </si>
  <si>
    <t>FC Bayern München</t>
  </si>
  <si>
    <t>SV Werder Bremen</t>
  </si>
  <si>
    <t>RB Leipzig</t>
  </si>
  <si>
    <t>Manchester City</t>
  </si>
  <si>
    <t>1. FC Köln</t>
  </si>
  <si>
    <t>Bayer 04 Leverkusen</t>
  </si>
  <si>
    <t>Tottenham Hotspur</t>
  </si>
  <si>
    <t>West Ham United</t>
  </si>
  <si>
    <t>VfB Stuttgart</t>
  </si>
  <si>
    <t>VfL Bochum 1848</t>
  </si>
  <si>
    <t>FC Schalke 04</t>
  </si>
  <si>
    <t>Wolverhampton Wanderers</t>
  </si>
  <si>
    <t>1. FC Union Berlin</t>
  </si>
  <si>
    <t>VfL Wolfsburg</t>
  </si>
  <si>
    <t>TSG Hoffenheim</t>
  </si>
  <si>
    <t>Hertha Berlin</t>
  </si>
  <si>
    <t>SC Freiburg</t>
  </si>
  <si>
    <t>FC Augsburg</t>
  </si>
  <si>
    <t>1. FSV Mainz 05</t>
  </si>
  <si>
    <t>Nottingham Forest</t>
  </si>
  <si>
    <t>Southampton</t>
  </si>
  <si>
    <t>Borussia Dortmund</t>
  </si>
  <si>
    <t>Manchester United</t>
  </si>
  <si>
    <t>Eintracht Frankfurt</t>
  </si>
  <si>
    <t>Borussia Mönchengladbach</t>
  </si>
  <si>
    <t>Newcastle United</t>
  </si>
  <si>
    <t>Club Atlético de Madrid SAD</t>
  </si>
  <si>
    <t>Real Club Celta de Vigo SAD</t>
  </si>
  <si>
    <t>Rayo Vallecano de Madrid SAD</t>
  </si>
  <si>
    <t>Valencia Club de Fútbol SAD</t>
  </si>
  <si>
    <t>Club Atlético Osasuna</t>
  </si>
  <si>
    <t>Real Club Deportivo Mallorca SAD</t>
  </si>
  <si>
    <t>Real Sociedad de Fútbol SAD</t>
  </si>
  <si>
    <t>Sevilla Fútbol Club SAD</t>
  </si>
  <si>
    <t>Unión Deportiva Almería SAD</t>
  </si>
  <si>
    <t>Fútbol Club Barcelona</t>
  </si>
  <si>
    <t>RCD Espanyol de Barcelona</t>
  </si>
  <si>
    <t>Cádiz Club de Fútbol SAD</t>
  </si>
  <si>
    <t>Villarreal Club de Fútbol SAD</t>
  </si>
  <si>
    <t>Getafe Club de Fútbol SAD</t>
  </si>
  <si>
    <t>Girona Fútbol Club SAD</t>
  </si>
  <si>
    <t>Elche Club de Fútbol SAD</t>
  </si>
  <si>
    <t>Real Betis Balompié SAD</t>
  </si>
  <si>
    <t>Real Valladolid Club de Fútbol SAD</t>
  </si>
  <si>
    <t>Athletic Club</t>
  </si>
  <si>
    <t>Real Madrid Club de Fútbol</t>
  </si>
  <si>
    <t>Associazione Calcio Monza S.P.A.</t>
  </si>
  <si>
    <t>Atalanta Bergamasca Calcio S.P.A.</t>
  </si>
  <si>
    <t>Torino Football Club S.P.A.</t>
  </si>
  <si>
    <t>Roma Associazione Sportiva S.P.A.</t>
  </si>
  <si>
    <t>Juventus Football Club S.P.A.</t>
  </si>
  <si>
    <t>Sassuolo Calcio Unione Sportiva S.R.L.</t>
  </si>
  <si>
    <t>Milan Associazione Calcio S.P.A.</t>
  </si>
  <si>
    <t>Udinese Calcio S.P.A.</t>
  </si>
  <si>
    <t>Bologna Football Club 1909 S.P.A.</t>
  </si>
  <si>
    <t>Unione Sportiva Cremonese</t>
  </si>
  <si>
    <t>Spezia Calcio S.R.L.</t>
  </si>
  <si>
    <t>Fiorentina Acf S.P.A.</t>
  </si>
  <si>
    <t>Sampdoria Unione Calcio S.P.A</t>
  </si>
  <si>
    <t>U.S. Salernitana 1919 S.R.L.</t>
  </si>
  <si>
    <t>Empoli Football Club S.P.A.</t>
  </si>
  <si>
    <t>Unione Sportiva Lecce S.P.A.</t>
  </si>
  <si>
    <t>Napoli Societa' Sportiva Calcio S.P.A.</t>
  </si>
  <si>
    <t>Hellas Verona Football Club S.P.A.</t>
  </si>
  <si>
    <t>Internazionale Football Club S.P.A.</t>
  </si>
  <si>
    <t>Lazio Societa' Sportiva S.P.A.</t>
  </si>
  <si>
    <t>Angers SCO</t>
  </si>
  <si>
    <t>FC Nantes</t>
  </si>
  <si>
    <t>FC Metz</t>
  </si>
  <si>
    <t>Olympique De Marseille</t>
  </si>
  <si>
    <t>Olympique Lyonnais</t>
  </si>
  <si>
    <t>Losc Lille</t>
  </si>
  <si>
    <t>Montpellier Hérault SC</t>
  </si>
  <si>
    <t>RC Lens</t>
  </si>
  <si>
    <t>Paris Saint-Germain</t>
  </si>
  <si>
    <t>OGC Nice</t>
  </si>
  <si>
    <t>FC Lorient</t>
  </si>
  <si>
    <t>RC Strasbourg Alsace</t>
  </si>
  <si>
    <t>Estac Troyes</t>
  </si>
  <si>
    <t>Stade Brestois 29</t>
  </si>
  <si>
    <t>AS Monaco</t>
  </si>
  <si>
    <t>AS Saint-Étienne</t>
  </si>
  <si>
    <t>FC Girondins De Bordeaux</t>
  </si>
  <si>
    <t>Stade Rennais FC</t>
  </si>
  <si>
    <t>Clermont Foot 63</t>
  </si>
  <si>
    <t>Stade De Reims</t>
  </si>
  <si>
    <t>CFL Hamilton Tiger-Cats</t>
  </si>
  <si>
    <t>CFL Toronto Argonauts</t>
  </si>
  <si>
    <t>MLS Minnesota United FC</t>
  </si>
  <si>
    <t>MLS Los Angeles FC</t>
  </si>
  <si>
    <t>MLS Montreal Impact</t>
  </si>
  <si>
    <t>MLS Orlando City</t>
  </si>
  <si>
    <t>CFL Winnipeg Blue Bombers</t>
  </si>
  <si>
    <t>MLB Boston Braves</t>
  </si>
  <si>
    <t>AFL Hollywood Rangers</t>
  </si>
  <si>
    <t>MLS Chicago Fire</t>
  </si>
  <si>
    <t>Alabama Agricultural &amp; Mechanical University</t>
  </si>
  <si>
    <t>MLB 1966 California Angels</t>
  </si>
  <si>
    <t>MLS Kansas City Sporting</t>
  </si>
  <si>
    <t>MLS New York Red Bulls</t>
  </si>
  <si>
    <t>MLS New England Revolution</t>
  </si>
  <si>
    <t>MLS New York City FC</t>
  </si>
  <si>
    <t>MLS Cincinnati FC</t>
  </si>
  <si>
    <t>MLS Atlanta Dream</t>
  </si>
  <si>
    <t>MLS Colorado Rapids</t>
  </si>
  <si>
    <t>MLS Houston Dynamo</t>
  </si>
  <si>
    <t>MLS Philadelphia Union</t>
  </si>
  <si>
    <t>MLB 1944 Brooklyn Dodgers</t>
  </si>
  <si>
    <t>MLB 1954 Philadelphia Athletics</t>
  </si>
  <si>
    <t>MLS D.C. United</t>
  </si>
  <si>
    <t>CFL Edmonton Elks</t>
  </si>
  <si>
    <t>MLS Columbus Crew</t>
  </si>
  <si>
    <t>MLB Brooklyn Dodgers</t>
  </si>
  <si>
    <t>MLS Atlanta United</t>
  </si>
  <si>
    <t>CFL Montreal Alouettes</t>
  </si>
  <si>
    <t>MLB 1990 Montreal Expos</t>
  </si>
  <si>
    <t>CFL Saskatchewan Roughriders</t>
  </si>
  <si>
    <t>MLB 1998 Tampa Bay Devil Rays</t>
  </si>
  <si>
    <t>MLS Dallas FC</t>
  </si>
  <si>
    <t>MLS LA Galaxy</t>
  </si>
  <si>
    <t>MLS Portland Timbers</t>
  </si>
  <si>
    <t>NCAA Kentucky</t>
  </si>
  <si>
    <t>NCAA Kent State</t>
  </si>
  <si>
    <t>NCAA Lamar Cardinals and Lady Cardinals</t>
  </si>
  <si>
    <t>MLS Real Salt Lake</t>
  </si>
  <si>
    <t>NCAA South Florida</t>
  </si>
  <si>
    <t>NCAA Truman State</t>
  </si>
  <si>
    <t>NCAA Tulane</t>
  </si>
  <si>
    <t>World Cup England</t>
  </si>
  <si>
    <t>NCAA Kennesaw State</t>
  </si>
  <si>
    <t>NCAA Idaho State</t>
  </si>
  <si>
    <t>NCAA Illinois</t>
  </si>
  <si>
    <t>NCAA Kansas City</t>
  </si>
  <si>
    <t>NCAA Idaho Vandals</t>
  </si>
  <si>
    <t>NCAA Jacksonville</t>
  </si>
  <si>
    <t>NCAA Kentucky State</t>
  </si>
  <si>
    <t>NCAA George Mason</t>
  </si>
  <si>
    <t>NCAA Alabama - Huntsville</t>
  </si>
  <si>
    <t>NCAA Grand Valley State</t>
  </si>
  <si>
    <t>NCAA Idaho</t>
  </si>
  <si>
    <t>NCAA Louisiana - Monroe</t>
  </si>
  <si>
    <t>MLS Toronto FC</t>
  </si>
  <si>
    <t>NCAA Long Beach State</t>
  </si>
  <si>
    <t>NCAA Akron Zips</t>
  </si>
  <si>
    <t>NCAA McNeese State</t>
  </si>
  <si>
    <t>NCAA Alabama State</t>
  </si>
  <si>
    <t>NCAA Minnesota Duluth</t>
  </si>
  <si>
    <t>MLS Seattle Sounders</t>
  </si>
  <si>
    <t>NCAA Maine</t>
  </si>
  <si>
    <t>NCAA New Orleans</t>
  </si>
  <si>
    <t>NCAA Hawaii</t>
  </si>
  <si>
    <t>NCAA Alabama A &amp; M</t>
  </si>
  <si>
    <t>NCAA Marquette</t>
  </si>
  <si>
    <t>NCAA Jackson State</t>
  </si>
  <si>
    <t>NCAA Missouri Western State</t>
  </si>
  <si>
    <t>NCAA Florida State</t>
  </si>
  <si>
    <t>NCAA Morehead State</t>
  </si>
  <si>
    <t>NCAA Miami Florida</t>
  </si>
  <si>
    <t>NCAA Minot State</t>
  </si>
  <si>
    <t>NCAA Louisiana</t>
  </si>
  <si>
    <t>NCAA Minnesota</t>
  </si>
  <si>
    <t>NCAA Missouri</t>
  </si>
  <si>
    <t>NCAA Ferris State</t>
  </si>
  <si>
    <t>NCAA Cornell</t>
  </si>
  <si>
    <t>NCAA Bowling Green State</t>
  </si>
  <si>
    <t>NCAA Eastern Washington</t>
  </si>
  <si>
    <t>NCAA Bethune Cookman</t>
  </si>
  <si>
    <t>NCAA Ball State</t>
  </si>
  <si>
    <t>NCAA Davidson</t>
  </si>
  <si>
    <t>NCAA Eastern Carolina</t>
  </si>
  <si>
    <t>NCAA Colgate</t>
  </si>
  <si>
    <t>NCAA Bucknell</t>
  </si>
  <si>
    <t>NCAA Colorado</t>
  </si>
  <si>
    <t>NCAA Clark Atlanta</t>
  </si>
  <si>
    <t>NCAA Duquesne</t>
  </si>
  <si>
    <t>NCAA Baylor</t>
  </si>
  <si>
    <t>World Cup United States</t>
  </si>
  <si>
    <t>NCAA Arizona State</t>
  </si>
  <si>
    <t>NCAA Buffalo</t>
  </si>
  <si>
    <t>NCAA Brown</t>
  </si>
  <si>
    <t>NCAA Elon</t>
  </si>
  <si>
    <t>World Cup Portugal</t>
  </si>
  <si>
    <t>World Cup Italy</t>
  </si>
  <si>
    <t>NCAA Louisiana Ragin' Cajuns</t>
  </si>
  <si>
    <t>World Cup Mexico</t>
  </si>
  <si>
    <t>MLS Vancouver Whitecaps</t>
  </si>
  <si>
    <t>NCAA Delaware</t>
  </si>
  <si>
    <t>NCAA Boston University</t>
  </si>
  <si>
    <t>NCAA William &amp; Mary</t>
  </si>
  <si>
    <t>NFL Seattle Bombers</t>
  </si>
  <si>
    <t>NFL Boston Shamrocks</t>
  </si>
  <si>
    <t>NHL New Orleans Brass</t>
  </si>
  <si>
    <t>World Cup Australia</t>
  </si>
  <si>
    <t>NCAA Yale</t>
  </si>
  <si>
    <t>NCAA Wyoming</t>
  </si>
  <si>
    <t>NCAA Louisiana Tech</t>
  </si>
  <si>
    <t>NCAA Detroit Mercy</t>
  </si>
  <si>
    <t>MLS San Jose Earthquake</t>
  </si>
  <si>
    <t>NFL Calgary Stampeders</t>
  </si>
  <si>
    <t>World Cup France</t>
  </si>
  <si>
    <t>NCAA Wyoming State</t>
  </si>
  <si>
    <t>NCAA Gonzaga</t>
  </si>
  <si>
    <t>NFL Washington Senators</t>
  </si>
  <si>
    <t>NCAA Youngstown State</t>
  </si>
  <si>
    <t>NCAA Cal State Fullerton</t>
  </si>
  <si>
    <t>NCAA Hampton</t>
  </si>
  <si>
    <t>NCAA California State</t>
  </si>
  <si>
    <t>NCAA Arkansas State</t>
  </si>
  <si>
    <t>NHL Baltimore Clippers</t>
  </si>
  <si>
    <t>World Cup Spain</t>
  </si>
  <si>
    <t>NCAA Alaska</t>
  </si>
  <si>
    <t>NCAA Mercer</t>
  </si>
  <si>
    <t>NCAA Bemidji State</t>
  </si>
  <si>
    <t>NCAA Wright State</t>
  </si>
  <si>
    <t>NCAA Florida Gulf Coast</t>
  </si>
  <si>
    <t>NCAA Minnesota State</t>
  </si>
  <si>
    <t>NCAA Campbell</t>
  </si>
  <si>
    <t>NCAA DePaul</t>
  </si>
  <si>
    <t>NCAA Indiana State</t>
  </si>
  <si>
    <t>NCAA Bradley</t>
  </si>
  <si>
    <t>NCAA Fresno State</t>
  </si>
  <si>
    <t>NCAA Arkansas</t>
  </si>
  <si>
    <t>NCAA Georgia State</t>
  </si>
  <si>
    <t>NCAA Cal Berkeley</t>
  </si>
  <si>
    <t>NCAA Hartford</t>
  </si>
  <si>
    <t>NCAA Charleston Southern</t>
  </si>
  <si>
    <t>NCAA Brooklyn</t>
  </si>
  <si>
    <t>Premier League Team Swansea City</t>
  </si>
  <si>
    <t>World Cup Germany</t>
  </si>
  <si>
    <t>NCAA George Washington</t>
  </si>
  <si>
    <t>NCAA Columbia</t>
  </si>
  <si>
    <t>NCAA Iowa State</t>
  </si>
  <si>
    <t>NCAA East Tennessee State</t>
  </si>
  <si>
    <t>NCAA Eastern Illinois</t>
  </si>
  <si>
    <t>NCAA Cleveland State</t>
  </si>
  <si>
    <t>NCAA Auburn</t>
  </si>
  <si>
    <t>NCAA Concordia</t>
  </si>
  <si>
    <t>NCAA Kansas State</t>
  </si>
  <si>
    <t>NBA Seattle Super Sonics</t>
  </si>
  <si>
    <t>NCAA Denver</t>
  </si>
  <si>
    <t>NCAA Montana</t>
  </si>
  <si>
    <t>NCAA Albany State</t>
  </si>
  <si>
    <t>NCAA Marine Corps</t>
  </si>
  <si>
    <t>NCAA Western Michigan</t>
  </si>
  <si>
    <t>NCAA Chattanooga Mocs</t>
  </si>
  <si>
    <t>NCAA Loyola Chicago</t>
  </si>
  <si>
    <t>NCAA New Mexico</t>
  </si>
  <si>
    <t>NCAA Dartmouth</t>
  </si>
  <si>
    <t>NCAA Morehouse</t>
  </si>
  <si>
    <t>NCAA Montana State</t>
  </si>
  <si>
    <t>NCAA MIT</t>
  </si>
  <si>
    <t>NHL Atlanta Thrashers</t>
  </si>
  <si>
    <t>NCAA Arizona</t>
  </si>
  <si>
    <t>NCAA Appalachian State</t>
  </si>
  <si>
    <t>NCAA Iowa</t>
  </si>
  <si>
    <t>NCAA Middle Tennessee State</t>
  </si>
  <si>
    <t>NCAA Marshall</t>
  </si>
  <si>
    <t>NCAA Kansas</t>
  </si>
  <si>
    <t>NCAA Milwaukee</t>
  </si>
  <si>
    <t>NCAA Cincinnati</t>
  </si>
  <si>
    <t>NCAA Dayton</t>
  </si>
  <si>
    <t>NCAA Emporia State</t>
  </si>
  <si>
    <t>NCAA Nicholls State</t>
  </si>
  <si>
    <t>NCAA Virginia Military Institute</t>
  </si>
  <si>
    <t>NCAA Nevada</t>
  </si>
  <si>
    <t>NCAA Weber State</t>
  </si>
  <si>
    <t>NCAA Washington Capitals</t>
  </si>
  <si>
    <t>NCAA Washington</t>
  </si>
  <si>
    <t>NCAA Wofford</t>
  </si>
  <si>
    <t>Premier League Team Norwich City</t>
  </si>
  <si>
    <t>NCAA Western Carolina</t>
  </si>
  <si>
    <t>NCAA Virginia Commonwealth</t>
  </si>
  <si>
    <t>NCAA Western Kentucky</t>
  </si>
  <si>
    <t>NCAA Virginia</t>
  </si>
  <si>
    <t>NCAA Nebraska Wesleyan</t>
  </si>
  <si>
    <t>NCAA South Dakota State</t>
  </si>
  <si>
    <t>NCAA New Hampshire</t>
  </si>
  <si>
    <t>NCAA Utah State</t>
  </si>
  <si>
    <t>NCAA Valdosta State</t>
  </si>
  <si>
    <t>NCAA Cal Poly</t>
  </si>
  <si>
    <t>NCAA Vanderbilt</t>
  </si>
  <si>
    <t>NCAA UChicago</t>
  </si>
  <si>
    <t>NCAA UConn</t>
  </si>
  <si>
    <t>NCAA New Mexico State</t>
  </si>
  <si>
    <t>NCAA Virginia State</t>
  </si>
  <si>
    <t>NCAA South Carolina State</t>
  </si>
  <si>
    <t>NCAA Texas Tech</t>
  </si>
  <si>
    <t>NCAA Wichita State</t>
  </si>
  <si>
    <t>NCAA UMass</t>
  </si>
  <si>
    <t>NCAA Tulsa</t>
  </si>
  <si>
    <t>NCAA NC State</t>
  </si>
  <si>
    <t>NCAA St. John's</t>
  </si>
  <si>
    <t>NCAA Southwest Minnesota State</t>
  </si>
  <si>
    <t>NCAA Washington State</t>
  </si>
  <si>
    <t>NCAA Wake Forest</t>
  </si>
  <si>
    <t>NCAA UNC Wilmington</t>
  </si>
  <si>
    <t>NCAA Nebraska - Lincoln</t>
  </si>
  <si>
    <t>NCAA Vermont</t>
  </si>
  <si>
    <t>NCAA UNC Asheville</t>
  </si>
  <si>
    <t>NCAA Southern Mississippi</t>
  </si>
  <si>
    <t>NCAA Southern</t>
  </si>
  <si>
    <t>NCAA Seattle</t>
  </si>
  <si>
    <t>NCAA Saint Joseph's</t>
  </si>
  <si>
    <t>NCAA West Virginia</t>
  </si>
  <si>
    <t>NCAA Tennessee Tech</t>
  </si>
  <si>
    <t>NCAA San Diego</t>
  </si>
  <si>
    <t>NCAA North Dakota State</t>
  </si>
  <si>
    <t>NCAA South Alabama</t>
  </si>
  <si>
    <t>NCAA Stanford</t>
  </si>
  <si>
    <t>NCAA Sacramento State</t>
  </si>
  <si>
    <t>NCAA Toledo</t>
  </si>
  <si>
    <t>NCAA Rutgers</t>
  </si>
  <si>
    <t>NCAA Northern Illinois</t>
  </si>
  <si>
    <t>NCAA Northwestern</t>
  </si>
  <si>
    <t>NCAA Alcorn State</t>
  </si>
  <si>
    <t>NHL San Francisco Seals</t>
  </si>
  <si>
    <t>NCAA Maryland</t>
  </si>
  <si>
    <t>NCAA Alabama - Birmingham</t>
  </si>
  <si>
    <t>NCAA Eastern Michigan</t>
  </si>
  <si>
    <t>NCAA Illinois State</t>
  </si>
  <si>
    <t>NCAA Southern Illinois</t>
  </si>
  <si>
    <t>NCAA St. Joseph's</t>
  </si>
  <si>
    <t>NCAA San Diego State</t>
  </si>
  <si>
    <t>NCAA South Dakota</t>
  </si>
  <si>
    <t>NCAA Northern Arizona</t>
  </si>
  <si>
    <t>NCAA North Carolina State</t>
  </si>
  <si>
    <t>NCAA Northern Iowa</t>
  </si>
  <si>
    <t>NCAA Toronto</t>
  </si>
  <si>
    <t>NCAA Portland</t>
  </si>
  <si>
    <t>NCAA Saint Louis</t>
  </si>
  <si>
    <t>NCAA San Francisco</t>
  </si>
  <si>
    <t>NCAA Oregon</t>
  </si>
  <si>
    <t>NCAA San Jose State</t>
  </si>
  <si>
    <t>NCAA Valparaiso</t>
  </si>
  <si>
    <t>NCAA Sioux Falls</t>
  </si>
  <si>
    <t>NCAA Temple</t>
  </si>
  <si>
    <t>NCAA Washington and Lee</t>
  </si>
  <si>
    <t>NCAA Sam Houston State</t>
  </si>
  <si>
    <t>NCAA U.S. Coast Guard Academy</t>
  </si>
  <si>
    <t>NCAA Oakland</t>
  </si>
  <si>
    <t>NCAA Regent</t>
  </si>
  <si>
    <t>NCAA Rockies - Colorado</t>
  </si>
  <si>
    <t>NCAA Southeastern Louisiana</t>
  </si>
  <si>
    <t>NCAA Northern Michigan</t>
  </si>
  <si>
    <t>NCAA Ohio Dominican</t>
  </si>
  <si>
    <t>NCAA NYU</t>
  </si>
  <si>
    <t>NCAA Northern State Wolves</t>
  </si>
  <si>
    <t>NCAA Texas - El Paso</t>
  </si>
  <si>
    <t>NCAA South Carolina Gamecocks</t>
  </si>
  <si>
    <t>NCAA Texas - San Antonio</t>
  </si>
  <si>
    <t>NCAA North Florida</t>
  </si>
  <si>
    <t>NCAA Virginia Wesleyan</t>
  </si>
  <si>
    <t>NCAA Tennessee State</t>
  </si>
  <si>
    <t>NCAA Richmond</t>
  </si>
  <si>
    <t>NCAA Rhode Island</t>
  </si>
  <si>
    <t>NCAA Stephen F. Austin State</t>
  </si>
  <si>
    <t>NCAA North Texas University</t>
  </si>
  <si>
    <t>NCAA Old Dominion</t>
  </si>
  <si>
    <t>NCAA Rice</t>
  </si>
  <si>
    <t>NCAA Texas - Rio Grande Valley</t>
  </si>
  <si>
    <t>NCAA Oregon State</t>
  </si>
  <si>
    <t xml:space="preserve">Please choose one or more from the following, using a semicolon (;) to separate each value: MLB Atlanta Braves; MLB Chicago Cubs; MLB Arizona Diamondbacks; MLB Baltimore Orioles; MLB Kansas City Royals; MLB Boston Red Sox; MLB Milwaukee Brewers; MLB Detroit Tigers; MLB Cincinnati Reds; MLB Los Angeles Dodgers; MLB Colorado Rockies; MLB Chicago White Sox; MLB Houston Astros; MLB Miami Marlins; MLB Minnesota Twins; MLB Philadelphia Phillies; NBA New York Knicks; NHL Edmonton Oilers; MLB Los Angeles Angels; MLB New York Mets; MLB New York Yankees; MLB Pittsburgh Pirates; MLB San Diego Padres; MLB San Francisco Giants; NHL Los Angeles Kings; NHL Pittsburgh Penguins; MLB Seattle Mariners; MLB Cleveland Guardians; MLB Tampa Bay Rays; MLB Toronto Blue Jays; MLB Washington Nationals; NBA Boston Celtics; NBA Charlotte Hornets; NBA Denver Nuggets; NBA Golden State Warriors; NFL Houston Texans; NFL Baltimore Ravens; NBA Detroit Pistons; NBA Cleveland Cavaliers; NBA Houston Rockets; NBA Atlanta Hawks; NHL Washington Capitals; NBA Los Angeles Clippers; NBA Minnesota Timberwolves; NBA Brooklyn Nets; NBA Sacramento Kings; NBA Washington Wizards; NBA San Antonio Spurs; NHL Calgary Flames; NHL Carolina Hurricanes; NBA Indiana Pacers; NBA New Orleans Pelicans; NFL New York Giants; NBA Memphis Grizzlies; MLB Oakland Athletics; NHL Detroit Red Wings; NHL Colorado Avalanche; NHL New York Islanders; NBA Chicago Bulls; NBA Utah Jazz; NBA Philadelphia 76ers; NBA Milwaukee Bucks; NBA Miami Heat; NBA Oklahoma City Thunder; NBA Orlando Magic; NHL Montreal Canadiens; NHL Vancouver Canucks; NHL San Jose Sharks; NHL Arizona Coyotes; NHL Winnipeg Jets; NHL Buffalo Sabres; NHL Boston Bruins; NHL Vegas Golden Knights; NFL Buffalo Bills; NBA Toronto Raptors; NFL Arizona Cardinals; MLB Texas Rangers; NFL Cincinnati Bengals; NFL Carolina Panthers; NFL Detroit Lions; NFL Atlanta Falcons; NFL Green Bay Packers; NFL Denver Broncos; NFL Miami Dolphins; NFL Jacksonville Jaguars; NHL Dallas Stars; NFL Kansas City Chiefs; NHL Florida Panthers; NHL Minnesota Wild; NBA Phoenix Suns; NFL </t>
  </si>
  <si>
    <t>Paintable / Stainable</t>
  </si>
  <si>
    <t>Fleece</t>
  </si>
  <si>
    <t>Grass Cloth</t>
  </si>
  <si>
    <t>Non-Woven</t>
  </si>
  <si>
    <t>Gloss</t>
  </si>
  <si>
    <t>Rubber Coated</t>
  </si>
  <si>
    <t>Neoprene Dipped</t>
  </si>
  <si>
    <t>Distressed</t>
  </si>
  <si>
    <t>Glitter / Shimmer</t>
  </si>
  <si>
    <t>Low-Gloss</t>
  </si>
  <si>
    <t>Metallic</t>
  </si>
  <si>
    <t>Primed</t>
  </si>
  <si>
    <t>Semi Gloss</t>
  </si>
  <si>
    <t>This Error Summary tab lists all errors and warnings in the spec sheet. Each entry includes a link to the specific cell and detailed information about the issue.</t>
  </si>
  <si>
    <t>Status</t>
  </si>
  <si>
    <t>Location</t>
  </si>
  <si>
    <t>Sheet Name</t>
  </si>
  <si>
    <t>Field</t>
  </si>
  <si>
    <t>Provided Answer</t>
  </si>
  <si>
    <t>Error Message</t>
  </si>
</sst>
</file>

<file path=xl/styles.xml><?xml version="1.0" encoding="utf-8"?>
<styleSheet xmlns="http://schemas.openxmlformats.org/spreadsheetml/2006/main">
  <fonts count="10">
    <font>
      <sz val="11"/>
      <color theme="1"/>
      <name val="Calibri"/>
      <family val="2"/>
      <scheme val="minor"/>
    </font>
    <font>
      <b/>
      <sz val="12"/>
      <color theme="1"/>
      <name val="Helvetica"/>
      <family val="2"/>
    </font>
    <font>
      <sz val="11"/>
      <color rgb="FF0000FF"/>
      <name val="Helvetica"/>
      <family val="2"/>
    </font>
    <font>
      <b/>
      <sz val="11"/>
      <color theme="1"/>
      <name val="Helvetica"/>
      <family val="2"/>
    </font>
    <font>
      <sz val="11"/>
      <color theme="1"/>
      <name val="Helvetica"/>
      <family val="2"/>
    </font>
    <font>
      <b/>
      <i/>
      <sz val="11"/>
      <color theme="1"/>
      <name val="Helvetica"/>
      <family val="2"/>
    </font>
    <font>
      <b/>
      <u/>
      <sz val="11"/>
      <color rgb="FF0000FF"/>
      <name val="Helvetica"/>
      <family val="2"/>
    </font>
    <font>
      <b/>
      <sz val="11"/>
      <color rgb="FFFFFFFF"/>
      <name val="Helvetica"/>
      <family val="2"/>
    </font>
    <font>
      <sz val="11"/>
      <color rgb="FFFFFFFF"/>
      <name val="Calibri"/>
      <family val="2"/>
      <scheme val="minor"/>
    </font>
    <font>
      <sz val="8"/>
      <color indexed="81"/>
      <name val="Tahoma"/>
      <family val="2"/>
    </font>
  </fonts>
  <fills count="21">
    <fill>
      <patternFill patternType="none"/>
    </fill>
    <fill>
      <patternFill patternType="gray125"/>
    </fill>
    <fill>
      <patternFill patternType="solid">
        <fgColor rgb="FFDAE9D3"/>
        <bgColor indexed="64"/>
      </patternFill>
    </fill>
    <fill>
      <patternFill patternType="solid">
        <fgColor rgb="FFD8D8D8"/>
        <bgColor indexed="64"/>
      </patternFill>
    </fill>
    <fill>
      <patternFill patternType="solid">
        <fgColor rgb="FFFFABA7"/>
        <bgColor indexed="64"/>
      </patternFill>
    </fill>
    <fill>
      <patternFill patternType="solid">
        <fgColor rgb="FFFF8080"/>
        <bgColor indexed="64"/>
      </patternFill>
    </fill>
    <fill>
      <patternFill patternType="solid">
        <fgColor rgb="FFD8E4F9"/>
        <bgColor indexed="64"/>
      </patternFill>
    </fill>
    <fill>
      <patternFill patternType="solid">
        <fgColor rgb="FFFFFFCC"/>
        <bgColor indexed="64"/>
      </patternFill>
    </fill>
    <fill>
      <patternFill patternType="solid">
        <fgColor rgb="FFC4BD97"/>
        <bgColor indexed="64"/>
      </patternFill>
    </fill>
    <fill>
      <patternFill patternType="solid">
        <fgColor rgb="FFF4CEEC"/>
        <bgColor indexed="64"/>
      </patternFill>
    </fill>
    <fill>
      <patternFill patternType="solid">
        <fgColor rgb="FFA3D571"/>
        <bgColor indexed="64"/>
      </patternFill>
    </fill>
    <fill>
      <patternFill patternType="solid">
        <fgColor rgb="FF0EF0AA"/>
        <bgColor indexed="64"/>
      </patternFill>
    </fill>
    <fill>
      <patternFill patternType="solid">
        <fgColor rgb="FFFFCCCC"/>
        <bgColor indexed="64"/>
      </patternFill>
    </fill>
    <fill>
      <patternFill patternType="solid">
        <fgColor rgb="FFFF6699"/>
        <bgColor indexed="64"/>
      </patternFill>
    </fill>
    <fill>
      <patternFill patternType="solid">
        <fgColor rgb="FFCCFF66"/>
        <bgColor indexed="64"/>
      </patternFill>
    </fill>
    <fill>
      <patternFill patternType="solid">
        <fgColor rgb="FFCC99FF"/>
        <bgColor indexed="64"/>
      </patternFill>
    </fill>
    <fill>
      <patternFill patternType="solid">
        <fgColor rgb="FF9D86FE"/>
        <bgColor indexed="64"/>
      </patternFill>
    </fill>
    <fill>
      <patternFill patternType="solid">
        <fgColor rgb="FFEFEFEF"/>
        <bgColor indexed="64"/>
      </patternFill>
    </fill>
    <fill>
      <patternFill patternType="solid">
        <fgColor rgb="FF684C7C"/>
        <bgColor indexed="64"/>
      </patternFill>
    </fill>
    <fill>
      <patternFill patternType="solid">
        <fgColor rgb="FFD0C4DC"/>
        <bgColor indexed="64"/>
      </patternFill>
    </fill>
    <fill>
      <patternFill patternType="solid">
        <fgColor rgb="FF000000"/>
        <bgColor indexed="64"/>
      </patternFill>
    </fill>
  </fills>
  <borders count="11">
    <border>
      <left/>
      <right/>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style="thin">
        <color auto="1"/>
      </left>
      <right/>
      <top/>
      <bottom/>
      <diagonal/>
    </border>
    <border>
      <left style="medium">
        <color auto="1"/>
      </left>
      <right style="medium">
        <color auto="1"/>
      </right>
      <top style="medium">
        <color auto="1"/>
      </top>
      <bottom style="medium">
        <color auto="1"/>
      </bottom>
      <diagonal/>
    </border>
    <border>
      <left style="medium">
        <color rgb="FF000000"/>
      </left>
      <right style="medium">
        <color rgb="FF000000"/>
      </right>
      <top style="medium">
        <color rgb="FF000000"/>
      </top>
      <bottom style="medium">
        <color rgb="FF000000"/>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1">
    <xf numFmtId="0" fontId="0" fillId="0" borderId="0" xfId="0"/>
    <xf numFmtId="0" fontId="1" fillId="2" borderId="0" xfId="0" applyFont="1" applyFill="1" applyAlignment="1">
      <alignment wrapText="1"/>
    </xf>
    <xf numFmtId="0" fontId="2" fillId="0" borderId="0" xfId="0" applyFont="1" applyAlignment="1">
      <alignment wrapText="1"/>
    </xf>
    <xf numFmtId="0" fontId="3" fillId="0" borderId="0" xfId="0" applyFont="1" applyAlignment="1">
      <alignment wrapText="1"/>
    </xf>
    <xf numFmtId="0" fontId="4" fillId="0" borderId="0" xfId="0" applyFont="1" applyAlignment="1">
      <alignment wrapText="1"/>
    </xf>
    <xf numFmtId="0" fontId="1" fillId="3" borderId="0" xfId="0" applyFont="1" applyFill="1" applyAlignment="1">
      <alignment wrapText="1"/>
    </xf>
    <xf numFmtId="0" fontId="3" fillId="3" borderId="1" xfId="0" applyFont="1" applyFill="1" applyBorder="1" applyAlignment="1">
      <alignment wrapText="1"/>
    </xf>
    <xf numFmtId="0" fontId="4" fillId="3" borderId="2" xfId="0" applyFont="1" applyFill="1" applyBorder="1" applyAlignment="1">
      <alignment wrapText="1"/>
    </xf>
    <xf numFmtId="0" fontId="4" fillId="4" borderId="3" xfId="0" applyFont="1" applyFill="1" applyBorder="1" applyAlignment="1">
      <alignment wrapText="1"/>
    </xf>
    <xf numFmtId="0" fontId="4" fillId="0" borderId="4" xfId="0" applyFont="1" applyBorder="1" applyAlignment="1">
      <alignment wrapText="1"/>
    </xf>
    <xf numFmtId="0" fontId="4" fillId="3" borderId="3" xfId="0" applyFont="1" applyFill="1" applyBorder="1" applyAlignment="1">
      <alignment wrapText="1"/>
    </xf>
    <xf numFmtId="0" fontId="4" fillId="5" borderId="3" xfId="0" applyFont="1" applyFill="1" applyBorder="1" applyAlignment="1">
      <alignment wrapText="1"/>
    </xf>
    <xf numFmtId="0" fontId="4" fillId="6" borderId="3" xfId="0" applyFont="1" applyFill="1" applyBorder="1" applyAlignment="1">
      <alignment wrapText="1"/>
    </xf>
    <xf numFmtId="0" fontId="4" fillId="7" borderId="3" xfId="0" applyFont="1" applyFill="1" applyBorder="1" applyAlignment="1">
      <alignment wrapText="1"/>
    </xf>
    <xf numFmtId="0" fontId="4" fillId="0" borderId="5" xfId="0" applyFont="1" applyBorder="1" applyAlignment="1">
      <alignment wrapText="1"/>
    </xf>
    <xf numFmtId="0" fontId="4" fillId="0" borderId="6" xfId="0" applyFont="1" applyBorder="1" applyAlignment="1">
      <alignment wrapText="1"/>
    </xf>
    <xf numFmtId="0" fontId="4" fillId="0" borderId="7" xfId="0" applyFont="1" applyBorder="1" applyAlignment="1">
      <alignment wrapText="1"/>
    </xf>
    <xf numFmtId="0" fontId="5" fillId="0" borderId="0" xfId="0" applyFont="1" applyAlignment="1">
      <alignment wrapText="1"/>
    </xf>
    <xf numFmtId="0" fontId="3" fillId="0" borderId="8" xfId="0" applyFont="1" applyBorder="1" applyAlignment="1">
      <alignment horizontal="center" vertical="center" wrapText="1"/>
    </xf>
    <xf numFmtId="0" fontId="3" fillId="0" borderId="8" xfId="0" applyFont="1" applyBorder="1" applyAlignment="1">
      <alignment horizontal="center" vertical="center"/>
    </xf>
    <xf numFmtId="0" fontId="0" fillId="0" borderId="0" xfId="0" applyAlignment="1" applyProtection="1">
      <alignment vertical="center" wrapText="1"/>
      <protection hidden="1"/>
    </xf>
    <xf numFmtId="0" fontId="6" fillId="0" borderId="0" xfId="0" applyFont="1" applyAlignment="1" applyProtection="1">
      <alignment vertical="center" wrapText="1"/>
      <protection hidden="1"/>
    </xf>
    <xf numFmtId="0" fontId="0" fillId="0" borderId="0" xfId="0" applyProtection="1">
      <protection locked="0"/>
    </xf>
    <xf numFmtId="0" fontId="3" fillId="8" borderId="8" xfId="0" applyFont="1" applyFill="1" applyBorder="1"/>
    <xf numFmtId="0" fontId="3" fillId="9" borderId="8" xfId="0" applyFont="1" applyFill="1" applyBorder="1"/>
    <xf numFmtId="0" fontId="3" fillId="10" borderId="8" xfId="0" applyFont="1" applyFill="1" applyBorder="1"/>
    <xf numFmtId="0" fontId="3" fillId="11" borderId="8" xfId="0" applyFont="1" applyFill="1" applyBorder="1"/>
    <xf numFmtId="0" fontId="3" fillId="12" borderId="8" xfId="0" applyFont="1" applyFill="1" applyBorder="1"/>
    <xf numFmtId="0" fontId="3" fillId="13" borderId="8" xfId="0" applyFont="1" applyFill="1" applyBorder="1"/>
    <xf numFmtId="0" fontId="3" fillId="14" borderId="8" xfId="0" applyFont="1" applyFill="1" applyBorder="1"/>
    <xf numFmtId="0" fontId="3" fillId="15" borderId="8" xfId="0" applyFont="1" applyFill="1" applyBorder="1"/>
    <xf numFmtId="0" fontId="3" fillId="16" borderId="8" xfId="0" applyFont="1" applyFill="1" applyBorder="1"/>
    <xf numFmtId="0" fontId="0" fillId="17" borderId="9" xfId="0" applyFill="1" applyBorder="1" applyAlignment="1">
      <alignment horizontal="center" vertical="top" wrapText="1"/>
    </xf>
    <xf numFmtId="0" fontId="7" fillId="18" borderId="8" xfId="0" applyFont="1" applyFill="1" applyBorder="1" applyAlignment="1">
      <alignment horizontal="center" vertical="center"/>
    </xf>
    <xf numFmtId="0" fontId="3" fillId="19" borderId="8" xfId="0" applyFont="1" applyFill="1" applyBorder="1" applyAlignment="1">
      <alignment horizontal="center" vertical="center"/>
    </xf>
    <xf numFmtId="0" fontId="3" fillId="0" borderId="9" xfId="0" applyFont="1" applyBorder="1" applyAlignment="1">
      <alignment horizontal="center" vertical="top" wrapText="1"/>
    </xf>
    <xf numFmtId="0" fontId="6" fillId="0" borderId="9" xfId="0" applyFont="1" applyBorder="1" applyAlignment="1">
      <alignment horizontal="center" vertical="top" wrapText="1"/>
    </xf>
    <xf numFmtId="0" fontId="8" fillId="20" borderId="9" xfId="0" applyFont="1" applyFill="1" applyBorder="1" applyAlignment="1">
      <alignment horizontal="center"/>
    </xf>
    <xf numFmtId="0" fontId="0" fillId="3" borderId="10" xfId="0" applyFill="1" applyBorder="1" applyProtection="1">
      <protection locked="0"/>
    </xf>
    <xf numFmtId="0" fontId="0" fillId="0" borderId="0" xfId="0" applyProtection="1">
      <protection hidden="1"/>
    </xf>
    <xf numFmtId="0" fontId="6" fillId="19" borderId="9" xfId="0" applyFont="1" applyFill="1" applyBorder="1" applyAlignment="1">
      <alignment horizontal="center" vertical="center" wrapText="1"/>
    </xf>
  </cellXfs>
  <cellStyles count="1">
    <cellStyle name="Normal" xfId="0" builtinId="0"/>
  </cellStyles>
  <dxfs count="12">
    <dxf>
      <fill>
        <patternFill>
          <bgColor rgb="FFFF484F"/>
        </patternFill>
      </fill>
    </dxf>
    <dxf>
      <fill>
        <patternFill>
          <bgColor rgb="FFFFABA7"/>
        </patternFill>
      </fill>
    </dxf>
    <dxf>
      <fill>
        <patternFill>
          <bgColor rgb="FFFFFFCC"/>
        </patternFill>
      </fill>
    </dxf>
    <dxf>
      <fill>
        <patternFill>
          <bgColor rgb="FFD9D9D9"/>
        </patternFill>
      </fill>
    </dxf>
    <dxf>
      <font>
        <color rgb="FF000000"/>
      </font>
      <fill>
        <patternFill>
          <bgColor rgb="FFB7E2CD"/>
        </patternFill>
      </fill>
    </dxf>
    <dxf>
      <font>
        <u/>
        <color rgb="FF0000FF"/>
      </font>
      <fill>
        <patternFill>
          <bgColor rgb="FFF4C7C3"/>
        </patternFill>
      </fill>
    </dxf>
    <dxf>
      <font>
        <u/>
        <color rgb="FF0000FF"/>
      </font>
      <fill>
        <patternFill>
          <bgColor rgb="FFFFFFCC"/>
        </patternFill>
      </fill>
    </dxf>
    <dxf>
      <fill>
        <patternFill>
          <bgColor rgb="FFD8D8D8"/>
        </patternFill>
      </fill>
      <border>
        <left style="thin">
          <color rgb="FF000000"/>
        </left>
        <right style="thin">
          <color rgb="FF000000"/>
        </right>
        <top style="thin">
          <color rgb="FF000000"/>
        </top>
        <bottom style="thin">
          <color rgb="FF000000"/>
        </bottom>
        <vertical/>
        <horizontal/>
      </border>
    </dxf>
    <dxf>
      <fill>
        <patternFill>
          <bgColor rgb="FFEEECE1"/>
        </patternFill>
      </fill>
      <border>
        <left style="thin">
          <color rgb="FF000000"/>
        </left>
        <right style="thin">
          <color rgb="FF000000"/>
        </right>
        <top style="thin">
          <color rgb="FF000000"/>
        </top>
        <bottom style="thin">
          <color rgb="FF000000"/>
        </bottom>
        <vertical/>
        <horizontal/>
      </border>
    </dxf>
    <dxf>
      <fill>
        <patternFill>
          <bgColor rgb="FFFF484F"/>
        </patternFill>
      </fill>
      <border>
        <left style="thin">
          <color rgb="FF808080"/>
        </left>
        <right style="thin">
          <color rgb="FF808080"/>
        </right>
        <top style="thin">
          <color rgb="FF808080"/>
        </top>
        <bottom style="thin">
          <color rgb="FF808080"/>
        </bottom>
        <vertical/>
        <horizontal/>
      </border>
    </dxf>
    <dxf>
      <fill>
        <patternFill>
          <bgColor rgb="FFFFFFCC"/>
        </patternFill>
      </fill>
      <border>
        <left style="thin">
          <color rgb="FF808080"/>
        </left>
        <right style="thin">
          <color rgb="FF808080"/>
        </right>
        <top style="thin">
          <color rgb="FF808080"/>
        </top>
        <bottom style="thin">
          <color rgb="FF808080"/>
        </bottom>
        <vertical/>
        <horizontal/>
      </border>
    </dxf>
    <dxf>
      <fill>
        <patternFill>
          <bgColor rgb="FFFFABA7"/>
        </patternFill>
      </fill>
      <border>
        <left style="thin">
          <color rgb="FF808080"/>
        </left>
        <right style="thin">
          <color rgb="FF808080"/>
        </right>
        <top style="thin">
          <color rgb="FF808080"/>
        </top>
        <bottom style="thin">
          <color rgb="FF808080"/>
        </bottom>
        <vertical/>
        <horizontal/>
      </border>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theme" Target="theme/theme1.xml"/><Relationship Id="rId27" Type="http://schemas.openxmlformats.org/officeDocument/2006/relationships/styles" Target="styles.xml"/><Relationship Id="rId28" Type="http://schemas.openxmlformats.org/officeDocument/2006/relationships/sharedStrings" Target="sharedStrings.xml"/><Relationship Id="rId2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artners.wayfair.com/help/2/article/3221" TargetMode="External"/></Relationships>
</file>

<file path=xl/worksheets/_rels/sheet4.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5.xml.rels><?xml version="1.0" encoding="UTF-8" standalone="yes"?>
<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6.xml.rels><?xml version="1.0" encoding="UTF-8" standalone="yes"?>
<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_rels/sheet7.xml.rels><?xml version="1.0" encoding="UTF-8" standalone="yes"?>
<Relationships xmlns="http://schemas.openxmlformats.org/package/2006/relationships"><Relationship Id="rId1" Type="http://schemas.openxmlformats.org/officeDocument/2006/relationships/vmlDrawing" Target="../drawings/vmlDrawing4.vml"/><Relationship Id="rId2" Type="http://schemas.openxmlformats.org/officeDocument/2006/relationships/comments" Target="../comments4.xml"/></Relationships>
</file>

<file path=xl/worksheets/_rels/sheet8.xml.rels><?xml version="1.0" encoding="UTF-8" standalone="yes"?>
<Relationships xmlns="http://schemas.openxmlformats.org/package/2006/relationships"><Relationship Id="rId1" Type="http://schemas.openxmlformats.org/officeDocument/2006/relationships/vmlDrawing" Target="../drawings/vmlDrawing5.vml"/><Relationship Id="rId2" Type="http://schemas.openxmlformats.org/officeDocument/2006/relationships/comments" Target="../comments5.xml"/></Relationships>
</file>

<file path=xl/worksheets/_rels/sheet9.xml.rels><?xml version="1.0" encoding="UTF-8" standalone="yes"?>
<Relationships xmlns="http://schemas.openxmlformats.org/package/2006/relationships"><Relationship Id="rId1" Type="http://schemas.openxmlformats.org/officeDocument/2006/relationships/vmlDrawing" Target="../drawings/vmlDrawing6.vml"/><Relationship Id="rId2"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dimension ref="A1:D45"/>
  <sheetViews>
    <sheetView showGridLines="0" tabSelected="1" workbookViewId="0"/>
  </sheetViews>
  <sheetFormatPr defaultRowHeight="15"/>
  <cols>
    <col min="1" max="1" width="149.5703125" bestFit="1" customWidth="1"/>
    <col min="3" max="3" width="15.5703125" bestFit="1" customWidth="1"/>
    <col min="4" max="4" width="105" bestFit="1" customWidth="1"/>
  </cols>
  <sheetData>
    <row r="1" spans="1:4">
      <c r="A1" s="1" t="s">
        <v>0</v>
      </c>
      <c r="D1" s="2" t="s">
        <v>41</v>
      </c>
    </row>
    <row r="2" spans="1:4">
      <c r="A2" s="3" t="s">
        <v>1</v>
      </c>
    </row>
    <row r="3" spans="1:4">
      <c r="A3" s="4" t="s">
        <v>2</v>
      </c>
      <c r="C3" s="5" t="s">
        <v>42</v>
      </c>
      <c r="D3" s="5"/>
    </row>
    <row r="4" spans="1:4">
      <c r="A4" s="4" t="s">
        <v>3</v>
      </c>
      <c r="C4" s="6" t="s">
        <v>43</v>
      </c>
      <c r="D4" s="7"/>
    </row>
    <row r="5" spans="1:4">
      <c r="A5" s="4" t="s">
        <v>4</v>
      </c>
      <c r="C5" s="8" t="s">
        <v>44</v>
      </c>
      <c r="D5" s="9" t="s">
        <v>45</v>
      </c>
    </row>
    <row r="6" spans="1:4">
      <c r="A6" s="4" t="s">
        <v>5</v>
      </c>
      <c r="C6" s="10" t="s">
        <v>46</v>
      </c>
      <c r="D6" s="9" t="s">
        <v>47</v>
      </c>
    </row>
    <row r="7" spans="1:4">
      <c r="C7" s="11" t="s">
        <v>48</v>
      </c>
      <c r="D7" s="9" t="s">
        <v>49</v>
      </c>
    </row>
    <row r="8" spans="1:4">
      <c r="A8" s="5" t="s">
        <v>6</v>
      </c>
      <c r="C8" s="12" t="s">
        <v>50</v>
      </c>
      <c r="D8" s="9" t="s">
        <v>51</v>
      </c>
    </row>
    <row r="9" spans="1:4">
      <c r="A9" s="3" t="s">
        <v>7</v>
      </c>
      <c r="C9" s="13" t="s">
        <v>52</v>
      </c>
      <c r="D9" s="9" t="s">
        <v>53</v>
      </c>
    </row>
    <row r="10" spans="1:4">
      <c r="A10" s="4" t="s">
        <v>8</v>
      </c>
      <c r="C10" s="14" t="s">
        <v>54</v>
      </c>
      <c r="D10" s="15" t="s">
        <v>55</v>
      </c>
    </row>
    <row r="11" spans="1:4">
      <c r="A11" s="4" t="s">
        <v>9</v>
      </c>
      <c r="D11" s="4" t="s">
        <v>56</v>
      </c>
    </row>
    <row r="12" spans="1:4">
      <c r="A12" s="3" t="s">
        <v>10</v>
      </c>
    </row>
    <row r="13" spans="1:4">
      <c r="A13" s="4" t="s">
        <v>11</v>
      </c>
      <c r="C13" s="6" t="s">
        <v>57</v>
      </c>
      <c r="D13" s="7"/>
    </row>
    <row r="14" spans="1:4">
      <c r="A14" s="4" t="s">
        <v>12</v>
      </c>
      <c r="C14" s="16" t="s">
        <v>58</v>
      </c>
      <c r="D14" s="9" t="s">
        <v>59</v>
      </c>
    </row>
    <row r="15" spans="1:4">
      <c r="A15" s="4" t="s">
        <v>13</v>
      </c>
      <c r="C15" s="16" t="s">
        <v>60</v>
      </c>
      <c r="D15" s="9" t="s">
        <v>61</v>
      </c>
    </row>
    <row r="16" spans="1:4">
      <c r="C16" s="16" t="s">
        <v>62</v>
      </c>
      <c r="D16" s="9" t="s">
        <v>63</v>
      </c>
    </row>
    <row r="17" spans="1:4">
      <c r="A17" s="4" t="s">
        <v>14</v>
      </c>
      <c r="C17" s="14" t="s">
        <v>64</v>
      </c>
      <c r="D17" s="15" t="s">
        <v>65</v>
      </c>
    </row>
    <row r="18" spans="1:4">
      <c r="A18" s="4" t="s">
        <v>15</v>
      </c>
    </row>
    <row r="19" spans="1:4">
      <c r="A19" s="17" t="s">
        <v>16</v>
      </c>
      <c r="C19" s="6" t="s">
        <v>66</v>
      </c>
      <c r="D19" s="7"/>
    </row>
    <row r="20" spans="1:4">
      <c r="A20" s="4" t="s">
        <v>17</v>
      </c>
      <c r="C20" s="16" t="s">
        <v>67</v>
      </c>
      <c r="D20" s="9" t="s">
        <v>68</v>
      </c>
    </row>
    <row r="21" spans="1:4">
      <c r="A21" s="4" t="s">
        <v>18</v>
      </c>
      <c r="C21" s="16" t="s">
        <v>69</v>
      </c>
      <c r="D21" s="9" t="s">
        <v>70</v>
      </c>
    </row>
    <row r="22" spans="1:4">
      <c r="A22" s="4" t="s">
        <v>19</v>
      </c>
      <c r="C22" s="16" t="s">
        <v>71</v>
      </c>
      <c r="D22" s="9" t="s">
        <v>72</v>
      </c>
    </row>
    <row r="23" spans="1:4">
      <c r="A23" s="4" t="s">
        <v>20</v>
      </c>
      <c r="C23" s="16" t="s">
        <v>73</v>
      </c>
      <c r="D23" s="9" t="s">
        <v>74</v>
      </c>
    </row>
    <row r="24" spans="1:4">
      <c r="A24" s="4" t="s">
        <v>21</v>
      </c>
      <c r="C24" s="16" t="s">
        <v>75</v>
      </c>
      <c r="D24" s="9" t="s">
        <v>76</v>
      </c>
    </row>
    <row r="25" spans="1:4">
      <c r="A25" s="4" t="s">
        <v>22</v>
      </c>
      <c r="C25" s="14" t="s">
        <v>77</v>
      </c>
      <c r="D25" s="15" t="s">
        <v>78</v>
      </c>
    </row>
    <row r="26" spans="1:4">
      <c r="A26" s="4" t="s">
        <v>23</v>
      </c>
      <c r="D26" s="4" t="s">
        <v>79</v>
      </c>
    </row>
    <row r="27" spans="1:4">
      <c r="A27" s="4" t="s">
        <v>24</v>
      </c>
    </row>
    <row r="28" spans="1:4">
      <c r="A28" s="4" t="s">
        <v>25</v>
      </c>
    </row>
    <row r="29" spans="1:4">
      <c r="A29" s="4" t="s">
        <v>26</v>
      </c>
    </row>
    <row r="31" spans="1:4">
      <c r="A31" s="5" t="s">
        <v>27</v>
      </c>
    </row>
    <row r="32" spans="1:4">
      <c r="A32" s="3" t="s">
        <v>28</v>
      </c>
    </row>
    <row r="33" spans="1:1">
      <c r="A33" s="4" t="s">
        <v>29</v>
      </c>
    </row>
    <row r="34" spans="1:1">
      <c r="A34" s="4" t="s">
        <v>30</v>
      </c>
    </row>
    <row r="35" spans="1:1">
      <c r="A35" s="3" t="s">
        <v>31</v>
      </c>
    </row>
    <row r="36" spans="1:1">
      <c r="A36" s="4" t="s">
        <v>32</v>
      </c>
    </row>
    <row r="37" spans="1:1">
      <c r="A37" s="3" t="s">
        <v>33</v>
      </c>
    </row>
    <row r="38" spans="1:1">
      <c r="A38" s="4" t="s">
        <v>34</v>
      </c>
    </row>
    <row r="39" spans="1:1">
      <c r="A39" s="17" t="s">
        <v>16</v>
      </c>
    </row>
    <row r="40" spans="1:1">
      <c r="A40" s="4" t="s">
        <v>35</v>
      </c>
    </row>
    <row r="41" spans="1:1">
      <c r="A41" s="3" t="s">
        <v>36</v>
      </c>
    </row>
    <row r="42" spans="1:1">
      <c r="A42" s="4" t="s">
        <v>37</v>
      </c>
    </row>
    <row r="43" spans="1:1">
      <c r="A43" s="4" t="s">
        <v>38</v>
      </c>
    </row>
    <row r="44" spans="1:1">
      <c r="A44" s="3" t="s">
        <v>39</v>
      </c>
    </row>
    <row r="45" spans="1:1">
      <c r="A45" s="4" t="s">
        <v>40</v>
      </c>
    </row>
  </sheetData>
  <sheetProtection password="B33F" sheet="1" objects="1" scenarios="1"/>
  <hyperlinks>
    <hyperlink ref="D1" r:id="rId1"/>
  </hyperlink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J6002"/>
  <sheetViews>
    <sheetView workbookViewId="0"/>
  </sheetViews>
  <sheetFormatPr defaultRowHeight="15"/>
  <cols>
    <col min="1" max="2" width="30.7109375" customWidth="1"/>
    <col min="3" max="3" width="20.7109375" customWidth="1"/>
    <col min="4" max="6" width="30.7109375" customWidth="1"/>
    <col min="7" max="8" width="50.7109375" customWidth="1"/>
    <col min="10" max="10" width="0" hidden="1" customWidth="1"/>
  </cols>
  <sheetData>
    <row r="1" spans="1:10" ht="50" customHeight="1">
      <c r="A1" s="18" t="s">
        <v>4700</v>
      </c>
      <c r="B1" s="18"/>
      <c r="C1" s="18"/>
      <c r="D1" s="18"/>
      <c r="E1" s="18"/>
      <c r="F1" s="18"/>
      <c r="G1" s="18"/>
      <c r="H1" s="18"/>
    </row>
    <row r="2" spans="1:10" ht="50" customHeight="1">
      <c r="A2" s="19" t="s">
        <v>4701</v>
      </c>
      <c r="B2" s="19" t="s">
        <v>4702</v>
      </c>
      <c r="C2" s="19" t="s">
        <v>4703</v>
      </c>
      <c r="D2" s="19" t="s">
        <v>2222</v>
      </c>
      <c r="E2" s="19" t="s">
        <v>2240</v>
      </c>
      <c r="F2" s="19" t="s">
        <v>4704</v>
      </c>
      <c r="G2" s="19" t="s">
        <v>4705</v>
      </c>
      <c r="H2" s="19" t="s">
        <v>4706</v>
      </c>
    </row>
    <row r="3" spans="1:10">
      <c r="A3" s="20" cm="1">
        <f t="array" ref="A3">_xlfn.LET(_xlpm.class3757Data, GetSheetStatusData(Class3757Tracker, Class3757Errors), _xlpm.class6161Data, GetSheetStatusData(Class6161Tracker, Class6161Errors), _xlpm.shippingAndFulfillment__cartonsData, GetSheetStatusData(shippingAndFulfillment__cartonsTracker, shippingAndFulfillment__cartonsErrors), _xlpm.media__imagesData, GetSheetStatusData(media__imagesTracker, media__imagesErrors), _xlpm.media__videosData, GetSheetStatusData(media__videosTracker, media__videosErrors), _xlpm.media__documentsData, GetSheetStatusData(media__documentsTracker, media__documentsErrors), _xlpm.propSixtyFive__chemicalsData, GetSheetStatusData(propSixtyFive__chemicalsTracker, propSixtyFive__chemicalsErrors), _xlpm.stackedData, _xlfn.VSTACK(_xlpm.class3757Data, _xlpm.class6161Data, _xlpm.shippingAndFulfillment__cartonsData, _xlpm.media__imagesData, _xlpm.media__videosData, _xlpm.media__documentsData, _xlpm.propSixtyFive__chemicalsData), _xlfn._xlws.FILTER(_xlpm.stackedData, _xlpm.stackedData&lt;&gt;"", ""))</f>
        <v>0</v>
      </c>
      <c r="B3" s="21">
        <f>IF(AND(C3&lt;&gt;"", J3&lt;&gt;""), HYPERLINK("#'" &amp; C3 &amp; "'!" &amp; J3, J3), "")</f>
        <v>0</v>
      </c>
      <c r="C3" s="20" cm="1">
        <f t="array" ref="C3">_xlfn.LET(_xlpm.class3757Data, GetSheetNameData(Class3757Tracker, Class3757Errors, "3757 - Wall Stickers"), _xlpm.class6161Data, GetSheetNameData(Class6161Tracker, Class6161Errors, "6161 - Wallpaper"), _xlpm.shippingAndFulfillment__cartonsData, GetSheetNameData(shippingAndFulfillment__cartonsTracker, shippingAndFulfillment__cartonsErrors, "Additional Cartons"), _xlpm.media__imagesData, GetSheetNameData(media__imagesTracker, media__imagesErrors, "Additional Images"), _xlpm.media__videosData, GetSheetNameData(media__videosTracker, media__videosErrors, "Additional Videos"), _xlpm.media__documentsData, GetSheetNameData(media__documentsTracker, media__documentsErrors, "Additional Documents"), _xlpm.propSixtyFive__chemicalsData, GetSheetNameData(propSixtyFive__chemicalsTracker, propSixtyFive__chemicalsErrors, "Additional Chemicals"), _xlpm.stackedData, _xlfn.VSTACK(_xlpm.class3757Data, _xlpm.class6161Data, _xlpm.shippingAndFulfillment__cartonsData, _xlpm.media__imagesData, _xlpm.media__videosData, _xlpm.media__documentsData, _xlpm.propSixtyFive__chemicalsData), _xlfn._xlws.FILTER(_xlpm.stackedData, _xlpm.stackedData&lt;&gt;"", ""))</f>
        <v>0</v>
      </c>
      <c r="D3" s="20" cm="1">
        <f t="array" ref="D3">_xlfn.LET(_xlpm.class3757PartNumbers, GetSheetSupplierPartNumbers(Class3757Tracker, Class3757Errors, '3757 - Wall Stickers'!B:B), _xlpm.class6161PartNumbers, GetSheetSupplierPartNumbers(Class6161Tracker, Class6161Errors, '6161 - Wallpaper'!B:B), _xlpm.shippingAndFulfillment__cartonsPartNumbers, GetSheetSupplierPartNumbers(shippingAndFulfillment__cartonsTracker, shippingAndFulfillment__cartonsErrors, 'Additional Cartons'!B:B), _xlpm.media__imagesPartNumbers, GetSheetSupplierPartNumbers(media__imagesTracker, media__imagesErrors, 'Additional Images'!B:B), _xlpm.media__videosPartNumbers, GetSheetSupplierPartNumbers(media__videosTracker, media__videosErrors, 'Additional Videos'!B:B), _xlpm.media__documentsPartNumbers, GetSheetSupplierPartNumbers(media__documentsTracker, media__documentsErrors, 'Additional Documents'!B:B), _xlpm.propSixtyFive__chemicalsPartNumbers, GetSheetSupplierPartNumbers(propSixtyFive__chemicalsTracker, propSixtyFive__chemicalsErrors, 'Additional Chemicals'!B:B), _xlpm.stackedPartNumbers, _xlfn.VSTACK(_xlpm.class3757PartNumbers, _xlpm.class6161PartNumbers, _xlpm.shippingAndFulfillment__cartonsPartNumbers, _xlpm.media__imagesPartNumbers, _xlpm.media__videosPartNumbers, _xlpm.media__documentsPartNumbers, _xlpm.propSixtyFive__chemicalsPartNumbers), _xlfn._xlws.FILTER(_xlpm.stackedPartNumbers, _xlpm.stackedPartNumbers&lt;&gt;"", ""))</f>
        <v>0</v>
      </c>
      <c r="E3" s="20" cm="1">
        <f t="array" ref="E3">_xlfn.LET(_xlpm.class3757ProductNames, GetSheetProductNames(Class3757Tracker, Class3757Errors, '3757 - Wall Stickers'!G:G), _xlpm.class6161ProductNames, GetSheetProductNames(Class6161Tracker, Class6161Errors, '6161 - Wallpaper'!G:G), _xlpm.shippingAndFulfillment__cartonsProductNames, GetSheetProductNames(shippingAndFulfillment__cartonsTracker, shippingAndFulfillment__cartonsErrors, 'Additional Cartons'!Z:Z), _xlpm.media__imagesProductNames, GetSheetProductNames(media__imagesTracker, media__imagesErrors, 'Additional Images'!Z:Z), _xlpm.media__videosProductNames, GetSheetProductNames(media__videosTracker, media__videosErrors, 'Additional Videos'!Z:Z), _xlpm.media__documentsProductNames, GetSheetProductNames(media__documentsTracker, media__documentsErrors, 'Additional Documents'!Z:Z), _xlpm.propSixtyFive__chemicalsProductNames, GetSheetProductNames(propSixtyFive__chemicalsTracker, propSixtyFive__chemicalsErrors, 'Additional Chemicals'!Z:Z), _xlpm.stackedProductNames, _xlfn.VSTACK(_xlpm.class3757ProductNames, _xlpm.class6161ProductNames, _xlpm.shippingAndFulfillment__cartonsProductNames, _xlpm.media__imagesProductNames, _xlpm.media__videosProductNames, _xlpm.media__documentsProductNames, _xlpm.propSixtyFive__chemicalsProductNames), _xlfn._xlws.FILTER(_xlpm.stackedProductNames, _xlpm.stackedProductNames&lt;&gt;"EMPTY_ERROR", ""))</f>
        <v>0</v>
      </c>
      <c r="F3" s="20" cm="1">
        <f t="array" ref="F3">_xlfn.LET(
                                     _xlpm.class3757QuestionDisplayNames, GetErrorQuestionDisplayNames(Class3757Headers, Class3757Tracker, Class3757Errors)
                , 
                                     _xlpm.class6161QuestionDisplayNames, GetErrorQuestionDisplayNames(Class6161Headers, Class6161Tracker, Class6161Errors)
                , 
                                     _xlpm.shippingAndFulfillment__cartonsQuestionDisplayNames, GetErrorQuestionDisplayNames(shippingAndFulfillment__cartonsHeaders, shippingAndFulfillment__cartonsTracker, shippingAndFulfillment__cartonsErrors)
                , 
                                     _xlpm.media__imagesQuestionDisplayNames, GetErrorQuestionDisplayNames(media__imagesHeaders, media__imagesTracker, media__imagesErrors)
                , 
                                     _xlpm.media__videosQuestionDisplayNames, GetErrorQuestionDisplayNames(media__videosHeaders, media__videosTracker, media__videosErrors)
                , 
                                     _xlpm.media__documentsQuestionDisplayNames, GetErrorQuestionDisplayNames(media__documentsHeaders, media__documentsTracker, media__documentsErrors)
                , 
                                     _xlpm.propSixtyFive__chemicalsQuestionDisplayNames, GetErrorQuestionDisplayNames(propSixtyFive__chemicalsHeaders, propSixtyFive__chemicalsTracker, propSixtyFive__chemicalsErrors)
                , _xlpm.stackedQuestionDisplayNames, _xlfn.VSTACK(_xlpm.class3757QuestionDisplayNames, _xlpm.class6161QuestionDisplayNames, _xlpm.shippingAndFulfillment__cartonsQuestionDisplayNames, _xlpm.media__imagesQuestionDisplayNames, _xlpm.media__videosQuestionDisplayNames, _xlpm.media__documentsQuestionDisplayNames, _xlpm.propSixtyFive__chemicalsQuestionDisplayNames), _xlfn._xlws.FILTER(_xlpm.stackedQuestionDisplayNames, _xlpm.stackedQuestionDisplayNames&lt;&gt;"", ""))</f>
        <v>0</v>
      </c>
      <c r="G3" s="20" cm="1">
        <f t="array" ref="G3">_xlfn.LET(
                         _xlpm.class3757ProvidedAnswers, GetFilteredProvidedAnswers(Class3757Answers, Class3757Errors, Class3757Tracker)
    , 
                         _xlpm.class6161ProvidedAnswers, GetFilteredProvidedAnswers(Class6161Answers, Class6161Errors, Class6161Tracker)
    , 
                         _xlpm.shippingAndFulfillment__cartonsProvidedAnswers, GetFilteredProvidedAnswers(shippingAndFulfillment__cartonsAnswers, shippingAndFulfillment__cartonsErrors, shippingAndFulfillment__cartonsTracker)
    , 
                         _xlpm.media__imagesProvidedAnswers, GetFilteredProvidedAnswers(media__imagesAnswers, media__imagesErrors, media__imagesTracker)
    , 
                         _xlpm.media__videosProvidedAnswers, GetFilteredProvidedAnswers(media__videosAnswers, media__videosErrors, media__videosTracker)
    , 
                         _xlpm.media__documentsProvidedAnswers, GetFilteredProvidedAnswers(media__documentsAnswers, media__documentsErrors, media__documentsTracker)
    , 
                         _xlpm.propSixtyFive__chemicalsProvidedAnswers, GetFilteredProvidedAnswers(propSixtyFive__chemicalsAnswers, propSixtyFive__chemicalsErrors, propSixtyFive__chemicalsTracker)
    , _xlpm.stackedProvidedAnswers, _xlfn.VSTACK(_xlpm.class3757ProvidedAnswers, _xlpm.class6161ProvidedAnswers, _xlpm.shippingAndFulfillment__cartonsProvidedAnswers, _xlpm.media__imagesProvidedAnswers, _xlpm.media__videosProvidedAnswers, _xlpm.media__documentsProvidedAnswers, _xlpm.propSixtyFive__chemicalsProvidedAnswers), _xlfn._xlws.FILTER(_xlpm.stackedProvidedAnswers, _xlpm.stackedProvidedAnswers&lt;&gt;"EMPTY_ERROR", ""))</f>
        <v>0</v>
      </c>
      <c r="H3" s="20" cm="1">
        <f t="array" ref="H3">_xlfn.LET(_xlpm.class3757ErrorMessages, _xlfn.FILTER(
                    _xlfn.TOCOL(Class3757Errors),
                    _xlfn.TOCOL((Class3757Errors &lt;&gt; "") * (Class3757Tracker &lt;&gt; "Valid") * (Class3757Tracker &lt;&gt; "Disabled")), ""
                ), _xlpm.class6161ErrorMessages, _xlfn.FILTER(
                    _xlfn.TOCOL(Class6161Errors),
                    _xlfn.TOCOL((Class6161Errors &lt;&gt; "") * (Class6161Tracker &lt;&gt; "Valid") * (Class6161Tracker &lt;&gt; "Disabled")), ""
                ), _xlpm.shippingAndFulfillment__cartonsErrorMessages, _xlfn.FILTER(
                    _xlfn.TOCOL(shippingAndFulfillment__cartonsErrors),
                    _xlfn.TOCOL((shippingAndFulfillment__cartonsErrors &lt;&gt; "") * (shippingAndFulfillment__cartonsTracker &lt;&gt; "Valid") * (shippingAndFulfillment__cartonsTracker &lt;&gt; "Disabled")), ""
                ), _xlpm.media__imagesErrorMessages, _xlfn.FILTER(
                    _xlfn.TOCOL(media__imagesErrors),
                    _xlfn.TOCOL((media__imagesErrors &lt;&gt; "") * (media__imagesTracker &lt;&gt; "Valid") * (media__imagesTracker &lt;&gt; "Disabled")), ""
                ), _xlpm.media__videosErrorMessages, _xlfn.FILTER(
                    _xlfn.TOCOL(media__videosErrors),
                    _xlfn.TOCOL((media__videosErrors &lt;&gt; "") * (media__videosTracker &lt;&gt; "Valid") * (media__videosTracker &lt;&gt; "Disabled")), ""
                ), _xlpm.media__documentsErrorMessages, _xlfn.FILTER(
                    _xlfn.TOCOL(media__documentsErrors),
                    _xlfn.TOCOL((media__documentsErrors &lt;&gt; "") * (media__documentsTracker &lt;&gt; "Valid") * (media__documentsTracker &lt;&gt; "Disabled")), ""
                ), _xlpm.propSixtyFive__chemicalsErrorMessages, _xlfn.FILTER(
                    _xlfn.TOCOL(propSixtyFive__chemicalsErrors),
                    _xlfn.TOCOL((propSixtyFive__chemicalsErrors &lt;&gt; "") * (propSixtyFive__chemicalsTracker &lt;&gt; "Valid") * (propSixtyFive__chemicalsTracker &lt;&gt; "Disabled")), ""
                ), _xlpm.stackedErrorMessages, _xlfn.VSTACK(_xlpm.class3757ErrorMessages, _xlpm.class6161ErrorMessages, _xlpm.shippingAndFulfillment__cartonsErrorMessages, _xlpm.media__imagesErrorMessages, _xlpm.media__videosErrorMessages, _xlpm.media__documentsErrorMessages, _xlpm.propSixtyFive__chemicalsErrorMessages), _xlpm.filteredMessages, _xlfn._xlws.FILTER(_xlpm.stackedErrorMessages, _xlpm.stackedErrorMessages&lt;&gt;"", ""), IFERROR(_xlfn.TEXTAFTER(_xlpm.filteredMessages, ":"), _xlpm.filteredMessages))</f>
        <v>0</v>
      </c>
      <c r="J3" cm="1">
        <f t="array" ref="J3">_xlfn.LET(_xlpm.class3757Addresses, GetSheetLocationAddresses(Class3757Tracker, Class3757Errors), _xlpm.class6161Addresses, GetSheetLocationAddresses(Class6161Tracker, Class6161Errors), _xlpm.shippingAndFulfillment__cartonsAddresses, GetSheetLocationAddresses(shippingAndFulfillment__cartonsTracker, shippingAndFulfillment__cartonsErrors), _xlpm.media__imagesAddresses, GetSheetLocationAddresses(media__imagesTracker, media__imagesErrors), _xlpm.media__videosAddresses, GetSheetLocationAddresses(media__videosTracker, media__videosErrors), _xlpm.media__documentsAddresses, GetSheetLocationAddresses(media__documentsTracker, media__documentsErrors), _xlpm.propSixtyFive__chemicalsAddresses, GetSheetLocationAddresses(propSixtyFive__chemicalsTracker, propSixtyFive__chemicalsErrors), _xlpm.stackedAddresses, _xlfn.VSTACK(_xlpm.class3757Addresses, _xlpm.class6161Addresses, _xlpm.shippingAndFulfillment__cartonsAddresses, _xlpm.media__imagesAddresses, _xlpm.media__videosAddresses, _xlpm.media__documentsAddresses, _xlpm.propSixtyFive__chemicalsAddresses), _xlfn._xlws.FILTER(_xlpm.stackedAddresses, _xlpm.stackedAddresses&lt;&gt;"", ""))</f>
        <v>0</v>
      </c>
    </row>
    <row r="4" spans="1:10">
      <c r="B4" s="21">
        <f>IF(AND(C4&lt;&gt;"", J4&lt;&gt;""), HYPERLINK("#'" &amp; C4 &amp; "'!" &amp; J4, J4), "")</f>
        <v>0</v>
      </c>
    </row>
    <row r="5" spans="1:10">
      <c r="B5" s="21">
        <f>IF(AND(C5&lt;&gt;"", J5&lt;&gt;""), HYPERLINK("#'" &amp; C5 &amp; "'!" &amp; J5, J5), "")</f>
        <v>0</v>
      </c>
    </row>
    <row r="6" spans="1:10">
      <c r="B6" s="21">
        <f>IF(AND(C6&lt;&gt;"", J6&lt;&gt;""), HYPERLINK("#'" &amp; C6 &amp; "'!" &amp; J6, J6), "")</f>
        <v>0</v>
      </c>
    </row>
    <row r="7" spans="1:10">
      <c r="B7" s="21">
        <f>IF(AND(C7&lt;&gt;"", J7&lt;&gt;""), HYPERLINK("#'" &amp; C7 &amp; "'!" &amp; J7, J7), "")</f>
        <v>0</v>
      </c>
    </row>
    <row r="8" spans="1:10">
      <c r="B8" s="21">
        <f>IF(AND(C8&lt;&gt;"", J8&lt;&gt;""), HYPERLINK("#'" &amp; C8 &amp; "'!" &amp; J8, J8), "")</f>
        <v>0</v>
      </c>
    </row>
    <row r="9" spans="1:10">
      <c r="B9" s="21">
        <f>IF(AND(C9&lt;&gt;"", J9&lt;&gt;""), HYPERLINK("#'" &amp; C9 &amp; "'!" &amp; J9, J9), "")</f>
        <v>0</v>
      </c>
    </row>
    <row r="10" spans="1:10">
      <c r="B10" s="21">
        <f>IF(AND(C10&lt;&gt;"", J10&lt;&gt;""), HYPERLINK("#'" &amp; C10 &amp; "'!" &amp; J10, J10), "")</f>
        <v>0</v>
      </c>
    </row>
    <row r="11" spans="1:10">
      <c r="B11" s="21">
        <f>IF(AND(C11&lt;&gt;"", J11&lt;&gt;""), HYPERLINK("#'" &amp; C11 &amp; "'!" &amp; J11, J11), "")</f>
        <v>0</v>
      </c>
    </row>
    <row r="12" spans="1:10">
      <c r="B12" s="21">
        <f>IF(AND(C12&lt;&gt;"", J12&lt;&gt;""), HYPERLINK("#'" &amp; C12 &amp; "'!" &amp; J12, J12), "")</f>
        <v>0</v>
      </c>
    </row>
    <row r="13" spans="1:10">
      <c r="B13" s="21">
        <f>IF(AND(C13&lt;&gt;"", J13&lt;&gt;""), HYPERLINK("#'" &amp; C13 &amp; "'!" &amp; J13, J13), "")</f>
        <v>0</v>
      </c>
    </row>
    <row r="14" spans="1:10">
      <c r="B14" s="21">
        <f>IF(AND(C14&lt;&gt;"", J14&lt;&gt;""), HYPERLINK("#'" &amp; C14 &amp; "'!" &amp; J14, J14), "")</f>
        <v>0</v>
      </c>
    </row>
    <row r="15" spans="1:10">
      <c r="B15" s="21">
        <f>IF(AND(C15&lt;&gt;"", J15&lt;&gt;""), HYPERLINK("#'" &amp; C15 &amp; "'!" &amp; J15, J15), "")</f>
        <v>0</v>
      </c>
    </row>
    <row r="16" spans="1:10">
      <c r="B16" s="21">
        <f>IF(AND(C16&lt;&gt;"", J16&lt;&gt;""), HYPERLINK("#'" &amp; C16 &amp; "'!" &amp; J16, J16), "")</f>
        <v>0</v>
      </c>
    </row>
    <row r="17" spans="2:2">
      <c r="B17" s="21">
        <f>IF(AND(C17&lt;&gt;"", J17&lt;&gt;""), HYPERLINK("#'" &amp; C17 &amp; "'!" &amp; J17, J17), "")</f>
        <v>0</v>
      </c>
    </row>
    <row r="18" spans="2:2">
      <c r="B18" s="21">
        <f>IF(AND(C18&lt;&gt;"", J18&lt;&gt;""), HYPERLINK("#'" &amp; C18 &amp; "'!" &amp; J18, J18), "")</f>
        <v>0</v>
      </c>
    </row>
    <row r="19" spans="2:2">
      <c r="B19" s="21">
        <f>IF(AND(C19&lt;&gt;"", J19&lt;&gt;""), HYPERLINK("#'" &amp; C19 &amp; "'!" &amp; J19, J19), "")</f>
        <v>0</v>
      </c>
    </row>
    <row r="20" spans="2:2">
      <c r="B20" s="21">
        <f>IF(AND(C20&lt;&gt;"", J20&lt;&gt;""), HYPERLINK("#'" &amp; C20 &amp; "'!" &amp; J20, J20), "")</f>
        <v>0</v>
      </c>
    </row>
    <row r="21" spans="2:2">
      <c r="B21" s="21">
        <f>IF(AND(C21&lt;&gt;"", J21&lt;&gt;""), HYPERLINK("#'" &amp; C21 &amp; "'!" &amp; J21, J21), "")</f>
        <v>0</v>
      </c>
    </row>
    <row r="22" spans="2:2">
      <c r="B22" s="21">
        <f>IF(AND(C22&lt;&gt;"", J22&lt;&gt;""), HYPERLINK("#'" &amp; C22 &amp; "'!" &amp; J22, J22), "")</f>
        <v>0</v>
      </c>
    </row>
    <row r="23" spans="2:2">
      <c r="B23" s="21">
        <f>IF(AND(C23&lt;&gt;"", J23&lt;&gt;""), HYPERLINK("#'" &amp; C23 &amp; "'!" &amp; J23, J23), "")</f>
        <v>0</v>
      </c>
    </row>
    <row r="24" spans="2:2">
      <c r="B24" s="21">
        <f>IF(AND(C24&lt;&gt;"", J24&lt;&gt;""), HYPERLINK("#'" &amp; C24 &amp; "'!" &amp; J24, J24), "")</f>
        <v>0</v>
      </c>
    </row>
    <row r="25" spans="2:2">
      <c r="B25" s="21">
        <f>IF(AND(C25&lt;&gt;"", J25&lt;&gt;""), HYPERLINK("#'" &amp; C25 &amp; "'!" &amp; J25, J25), "")</f>
        <v>0</v>
      </c>
    </row>
    <row r="26" spans="2:2">
      <c r="B26" s="21">
        <f>IF(AND(C26&lt;&gt;"", J26&lt;&gt;""), HYPERLINK("#'" &amp; C26 &amp; "'!" &amp; J26, J26), "")</f>
        <v>0</v>
      </c>
    </row>
    <row r="27" spans="2:2">
      <c r="B27" s="21">
        <f>IF(AND(C27&lt;&gt;"", J27&lt;&gt;""), HYPERLINK("#'" &amp; C27 &amp; "'!" &amp; J27, J27), "")</f>
        <v>0</v>
      </c>
    </row>
    <row r="28" spans="2:2">
      <c r="B28" s="21">
        <f>IF(AND(C28&lt;&gt;"", J28&lt;&gt;""), HYPERLINK("#'" &amp; C28 &amp; "'!" &amp; J28, J28), "")</f>
        <v>0</v>
      </c>
    </row>
    <row r="29" spans="2:2">
      <c r="B29" s="21">
        <f>IF(AND(C29&lt;&gt;"", J29&lt;&gt;""), HYPERLINK("#'" &amp; C29 &amp; "'!" &amp; J29, J29), "")</f>
        <v>0</v>
      </c>
    </row>
    <row r="30" spans="2:2">
      <c r="B30" s="21">
        <f>IF(AND(C30&lt;&gt;"", J30&lt;&gt;""), HYPERLINK("#'" &amp; C30 &amp; "'!" &amp; J30, J30), "")</f>
        <v>0</v>
      </c>
    </row>
    <row r="31" spans="2:2">
      <c r="B31" s="21">
        <f>IF(AND(C31&lt;&gt;"", J31&lt;&gt;""), HYPERLINK("#'" &amp; C31 &amp; "'!" &amp; J31, J31), "")</f>
        <v>0</v>
      </c>
    </row>
    <row r="32" spans="2:2">
      <c r="B32" s="21">
        <f>IF(AND(C32&lt;&gt;"", J32&lt;&gt;""), HYPERLINK("#'" &amp; C32 &amp; "'!" &amp; J32, J32), "")</f>
        <v>0</v>
      </c>
    </row>
    <row r="33" spans="2:2">
      <c r="B33" s="21">
        <f>IF(AND(C33&lt;&gt;"", J33&lt;&gt;""), HYPERLINK("#'" &amp; C33 &amp; "'!" &amp; J33, J33), "")</f>
        <v>0</v>
      </c>
    </row>
    <row r="34" spans="2:2">
      <c r="B34" s="21">
        <f>IF(AND(C34&lt;&gt;"", J34&lt;&gt;""), HYPERLINK("#'" &amp; C34 &amp; "'!" &amp; J34, J34), "")</f>
        <v>0</v>
      </c>
    </row>
    <row r="35" spans="2:2">
      <c r="B35" s="21">
        <f>IF(AND(C35&lt;&gt;"", J35&lt;&gt;""), HYPERLINK("#'" &amp; C35 &amp; "'!" &amp; J35, J35), "")</f>
        <v>0</v>
      </c>
    </row>
    <row r="36" spans="2:2">
      <c r="B36" s="21">
        <f>IF(AND(C36&lt;&gt;"", J36&lt;&gt;""), HYPERLINK("#'" &amp; C36 &amp; "'!" &amp; J36, J36), "")</f>
        <v>0</v>
      </c>
    </row>
    <row r="37" spans="2:2">
      <c r="B37" s="21">
        <f>IF(AND(C37&lt;&gt;"", J37&lt;&gt;""), HYPERLINK("#'" &amp; C37 &amp; "'!" &amp; J37, J37), "")</f>
        <v>0</v>
      </c>
    </row>
    <row r="38" spans="2:2">
      <c r="B38" s="21">
        <f>IF(AND(C38&lt;&gt;"", J38&lt;&gt;""), HYPERLINK("#'" &amp; C38 &amp; "'!" &amp; J38, J38), "")</f>
        <v>0</v>
      </c>
    </row>
    <row r="39" spans="2:2">
      <c r="B39" s="21">
        <f>IF(AND(C39&lt;&gt;"", J39&lt;&gt;""), HYPERLINK("#'" &amp; C39 &amp; "'!" &amp; J39, J39), "")</f>
        <v>0</v>
      </c>
    </row>
    <row r="40" spans="2:2">
      <c r="B40" s="21">
        <f>IF(AND(C40&lt;&gt;"", J40&lt;&gt;""), HYPERLINK("#'" &amp; C40 &amp; "'!" &amp; J40, J40), "")</f>
        <v>0</v>
      </c>
    </row>
    <row r="41" spans="2:2">
      <c r="B41" s="21">
        <f>IF(AND(C41&lt;&gt;"", J41&lt;&gt;""), HYPERLINK("#'" &amp; C41 &amp; "'!" &amp; J41, J41), "")</f>
        <v>0</v>
      </c>
    </row>
    <row r="42" spans="2:2">
      <c r="B42" s="21">
        <f>IF(AND(C42&lt;&gt;"", J42&lt;&gt;""), HYPERLINK("#'" &amp; C42 &amp; "'!" &amp; J42, J42), "")</f>
        <v>0</v>
      </c>
    </row>
    <row r="43" spans="2:2">
      <c r="B43" s="21">
        <f>IF(AND(C43&lt;&gt;"", J43&lt;&gt;""), HYPERLINK("#'" &amp; C43 &amp; "'!" &amp; J43, J43), "")</f>
        <v>0</v>
      </c>
    </row>
    <row r="44" spans="2:2">
      <c r="B44" s="21">
        <f>IF(AND(C44&lt;&gt;"", J44&lt;&gt;""), HYPERLINK("#'" &amp; C44 &amp; "'!" &amp; J44, J44), "")</f>
        <v>0</v>
      </c>
    </row>
    <row r="45" spans="2:2">
      <c r="B45" s="21">
        <f>IF(AND(C45&lt;&gt;"", J45&lt;&gt;""), HYPERLINK("#'" &amp; C45 &amp; "'!" &amp; J45, J45), "")</f>
        <v>0</v>
      </c>
    </row>
    <row r="46" spans="2:2">
      <c r="B46" s="21">
        <f>IF(AND(C46&lt;&gt;"", J46&lt;&gt;""), HYPERLINK("#'" &amp; C46 &amp; "'!" &amp; J46, J46), "")</f>
        <v>0</v>
      </c>
    </row>
    <row r="47" spans="2:2">
      <c r="B47" s="21">
        <f>IF(AND(C47&lt;&gt;"", J47&lt;&gt;""), HYPERLINK("#'" &amp; C47 &amp; "'!" &amp; J47, J47), "")</f>
        <v>0</v>
      </c>
    </row>
    <row r="48" spans="2:2">
      <c r="B48" s="21">
        <f>IF(AND(C48&lt;&gt;"", J48&lt;&gt;""), HYPERLINK("#'" &amp; C48 &amp; "'!" &amp; J48, J48), "")</f>
        <v>0</v>
      </c>
    </row>
    <row r="49" spans="2:2">
      <c r="B49" s="21">
        <f>IF(AND(C49&lt;&gt;"", J49&lt;&gt;""), HYPERLINK("#'" &amp; C49 &amp; "'!" &amp; J49, J49), "")</f>
        <v>0</v>
      </c>
    </row>
    <row r="50" spans="2:2">
      <c r="B50" s="21">
        <f>IF(AND(C50&lt;&gt;"", J50&lt;&gt;""), HYPERLINK("#'" &amp; C50 &amp; "'!" &amp; J50, J50), "")</f>
        <v>0</v>
      </c>
    </row>
    <row r="51" spans="2:2">
      <c r="B51" s="21">
        <f>IF(AND(C51&lt;&gt;"", J51&lt;&gt;""), HYPERLINK("#'" &amp; C51 &amp; "'!" &amp; J51, J51), "")</f>
        <v>0</v>
      </c>
    </row>
    <row r="52" spans="2:2">
      <c r="B52" s="21">
        <f>IF(AND(C52&lt;&gt;"", J52&lt;&gt;""), HYPERLINK("#'" &amp; C52 &amp; "'!" &amp; J52, J52), "")</f>
        <v>0</v>
      </c>
    </row>
    <row r="53" spans="2:2">
      <c r="B53" s="21">
        <f>IF(AND(C53&lt;&gt;"", J53&lt;&gt;""), HYPERLINK("#'" &amp; C53 &amp; "'!" &amp; J53, J53), "")</f>
        <v>0</v>
      </c>
    </row>
    <row r="54" spans="2:2">
      <c r="B54" s="21">
        <f>IF(AND(C54&lt;&gt;"", J54&lt;&gt;""), HYPERLINK("#'" &amp; C54 &amp; "'!" &amp; J54, J54), "")</f>
        <v>0</v>
      </c>
    </row>
    <row r="55" spans="2:2">
      <c r="B55" s="21">
        <f>IF(AND(C55&lt;&gt;"", J55&lt;&gt;""), HYPERLINK("#'" &amp; C55 &amp; "'!" &amp; J55, J55), "")</f>
        <v>0</v>
      </c>
    </row>
    <row r="56" spans="2:2">
      <c r="B56" s="21">
        <f>IF(AND(C56&lt;&gt;"", J56&lt;&gt;""), HYPERLINK("#'" &amp; C56 &amp; "'!" &amp; J56, J56), "")</f>
        <v>0</v>
      </c>
    </row>
    <row r="57" spans="2:2">
      <c r="B57" s="21">
        <f>IF(AND(C57&lt;&gt;"", J57&lt;&gt;""), HYPERLINK("#'" &amp; C57 &amp; "'!" &amp; J57, J57), "")</f>
        <v>0</v>
      </c>
    </row>
    <row r="58" spans="2:2">
      <c r="B58" s="21">
        <f>IF(AND(C58&lt;&gt;"", J58&lt;&gt;""), HYPERLINK("#'" &amp; C58 &amp; "'!" &amp; J58, J58), "")</f>
        <v>0</v>
      </c>
    </row>
    <row r="59" spans="2:2">
      <c r="B59" s="21">
        <f>IF(AND(C59&lt;&gt;"", J59&lt;&gt;""), HYPERLINK("#'" &amp; C59 &amp; "'!" &amp; J59, J59), "")</f>
        <v>0</v>
      </c>
    </row>
    <row r="60" spans="2:2">
      <c r="B60" s="21">
        <f>IF(AND(C60&lt;&gt;"", J60&lt;&gt;""), HYPERLINK("#'" &amp; C60 &amp; "'!" &amp; J60, J60), "")</f>
        <v>0</v>
      </c>
    </row>
    <row r="61" spans="2:2">
      <c r="B61" s="21">
        <f>IF(AND(C61&lt;&gt;"", J61&lt;&gt;""), HYPERLINK("#'" &amp; C61 &amp; "'!" &amp; J61, J61), "")</f>
        <v>0</v>
      </c>
    </row>
    <row r="62" spans="2:2">
      <c r="B62" s="21">
        <f>IF(AND(C62&lt;&gt;"", J62&lt;&gt;""), HYPERLINK("#'" &amp; C62 &amp; "'!" &amp; J62, J62), "")</f>
        <v>0</v>
      </c>
    </row>
    <row r="63" spans="2:2">
      <c r="B63" s="21">
        <f>IF(AND(C63&lt;&gt;"", J63&lt;&gt;""), HYPERLINK("#'" &amp; C63 &amp; "'!" &amp; J63, J63), "")</f>
        <v>0</v>
      </c>
    </row>
    <row r="64" spans="2:2">
      <c r="B64" s="21">
        <f>IF(AND(C64&lt;&gt;"", J64&lt;&gt;""), HYPERLINK("#'" &amp; C64 &amp; "'!" &amp; J64, J64), "")</f>
        <v>0</v>
      </c>
    </row>
    <row r="65" spans="2:2">
      <c r="B65" s="21">
        <f>IF(AND(C65&lt;&gt;"", J65&lt;&gt;""), HYPERLINK("#'" &amp; C65 &amp; "'!" &amp; J65, J65), "")</f>
        <v>0</v>
      </c>
    </row>
    <row r="66" spans="2:2">
      <c r="B66" s="21">
        <f>IF(AND(C66&lt;&gt;"", J66&lt;&gt;""), HYPERLINK("#'" &amp; C66 &amp; "'!" &amp; J66, J66), "")</f>
        <v>0</v>
      </c>
    </row>
    <row r="67" spans="2:2">
      <c r="B67" s="21">
        <f>IF(AND(C67&lt;&gt;"", J67&lt;&gt;""), HYPERLINK("#'" &amp; C67 &amp; "'!" &amp; J67, J67), "")</f>
        <v>0</v>
      </c>
    </row>
    <row r="68" spans="2:2">
      <c r="B68" s="21">
        <f>IF(AND(C68&lt;&gt;"", J68&lt;&gt;""), HYPERLINK("#'" &amp; C68 &amp; "'!" &amp; J68, J68), "")</f>
        <v>0</v>
      </c>
    </row>
    <row r="69" spans="2:2">
      <c r="B69" s="21">
        <f>IF(AND(C69&lt;&gt;"", J69&lt;&gt;""), HYPERLINK("#'" &amp; C69 &amp; "'!" &amp; J69, J69), "")</f>
        <v>0</v>
      </c>
    </row>
    <row r="70" spans="2:2">
      <c r="B70" s="21">
        <f>IF(AND(C70&lt;&gt;"", J70&lt;&gt;""), HYPERLINK("#'" &amp; C70 &amp; "'!" &amp; J70, J70), "")</f>
        <v>0</v>
      </c>
    </row>
    <row r="71" spans="2:2">
      <c r="B71" s="21">
        <f>IF(AND(C71&lt;&gt;"", J71&lt;&gt;""), HYPERLINK("#'" &amp; C71 &amp; "'!" &amp; J71, J71), "")</f>
        <v>0</v>
      </c>
    </row>
    <row r="72" spans="2:2">
      <c r="B72" s="21">
        <f>IF(AND(C72&lt;&gt;"", J72&lt;&gt;""), HYPERLINK("#'" &amp; C72 &amp; "'!" &amp; J72, J72), "")</f>
        <v>0</v>
      </c>
    </row>
    <row r="73" spans="2:2">
      <c r="B73" s="21">
        <f>IF(AND(C73&lt;&gt;"", J73&lt;&gt;""), HYPERLINK("#'" &amp; C73 &amp; "'!" &amp; J73, J73), "")</f>
        <v>0</v>
      </c>
    </row>
    <row r="74" spans="2:2">
      <c r="B74" s="21">
        <f>IF(AND(C74&lt;&gt;"", J74&lt;&gt;""), HYPERLINK("#'" &amp; C74 &amp; "'!" &amp; J74, J74), "")</f>
        <v>0</v>
      </c>
    </row>
    <row r="75" spans="2:2">
      <c r="B75" s="21">
        <f>IF(AND(C75&lt;&gt;"", J75&lt;&gt;""), HYPERLINK("#'" &amp; C75 &amp; "'!" &amp; J75, J75), "")</f>
        <v>0</v>
      </c>
    </row>
    <row r="76" spans="2:2">
      <c r="B76" s="21">
        <f>IF(AND(C76&lt;&gt;"", J76&lt;&gt;""), HYPERLINK("#'" &amp; C76 &amp; "'!" &amp; J76, J76), "")</f>
        <v>0</v>
      </c>
    </row>
    <row r="77" spans="2:2">
      <c r="B77" s="21">
        <f>IF(AND(C77&lt;&gt;"", J77&lt;&gt;""), HYPERLINK("#'" &amp; C77 &amp; "'!" &amp; J77, J77), "")</f>
        <v>0</v>
      </c>
    </row>
    <row r="78" spans="2:2">
      <c r="B78" s="21">
        <f>IF(AND(C78&lt;&gt;"", J78&lt;&gt;""), HYPERLINK("#'" &amp; C78 &amp; "'!" &amp; J78, J78), "")</f>
        <v>0</v>
      </c>
    </row>
    <row r="79" spans="2:2">
      <c r="B79" s="21">
        <f>IF(AND(C79&lt;&gt;"", J79&lt;&gt;""), HYPERLINK("#'" &amp; C79 &amp; "'!" &amp; J79, J79), "")</f>
        <v>0</v>
      </c>
    </row>
    <row r="80" spans="2:2">
      <c r="B80" s="21">
        <f>IF(AND(C80&lt;&gt;"", J80&lt;&gt;""), HYPERLINK("#'" &amp; C80 &amp; "'!" &amp; J80, J80), "")</f>
        <v>0</v>
      </c>
    </row>
    <row r="81" spans="2:2">
      <c r="B81" s="21">
        <f>IF(AND(C81&lt;&gt;"", J81&lt;&gt;""), HYPERLINK("#'" &amp; C81 &amp; "'!" &amp; J81, J81), "")</f>
        <v>0</v>
      </c>
    </row>
    <row r="82" spans="2:2">
      <c r="B82" s="21">
        <f>IF(AND(C82&lt;&gt;"", J82&lt;&gt;""), HYPERLINK("#'" &amp; C82 &amp; "'!" &amp; J82, J82), "")</f>
        <v>0</v>
      </c>
    </row>
    <row r="83" spans="2:2">
      <c r="B83" s="21">
        <f>IF(AND(C83&lt;&gt;"", J83&lt;&gt;""), HYPERLINK("#'" &amp; C83 &amp; "'!" &amp; J83, J83), "")</f>
        <v>0</v>
      </c>
    </row>
    <row r="84" spans="2:2">
      <c r="B84" s="21">
        <f>IF(AND(C84&lt;&gt;"", J84&lt;&gt;""), HYPERLINK("#'" &amp; C84 &amp; "'!" &amp; J84, J84), "")</f>
        <v>0</v>
      </c>
    </row>
    <row r="85" spans="2:2">
      <c r="B85" s="21">
        <f>IF(AND(C85&lt;&gt;"", J85&lt;&gt;""), HYPERLINK("#'" &amp; C85 &amp; "'!" &amp; J85, J85), "")</f>
        <v>0</v>
      </c>
    </row>
    <row r="86" spans="2:2">
      <c r="B86" s="21">
        <f>IF(AND(C86&lt;&gt;"", J86&lt;&gt;""), HYPERLINK("#'" &amp; C86 &amp; "'!" &amp; J86, J86), "")</f>
        <v>0</v>
      </c>
    </row>
    <row r="87" spans="2:2">
      <c r="B87" s="21">
        <f>IF(AND(C87&lt;&gt;"", J87&lt;&gt;""), HYPERLINK("#'" &amp; C87 &amp; "'!" &amp; J87, J87), "")</f>
        <v>0</v>
      </c>
    </row>
    <row r="88" spans="2:2">
      <c r="B88" s="21">
        <f>IF(AND(C88&lt;&gt;"", J88&lt;&gt;""), HYPERLINK("#'" &amp; C88 &amp; "'!" &amp; J88, J88), "")</f>
        <v>0</v>
      </c>
    </row>
    <row r="89" spans="2:2">
      <c r="B89" s="21">
        <f>IF(AND(C89&lt;&gt;"", J89&lt;&gt;""), HYPERLINK("#'" &amp; C89 &amp; "'!" &amp; J89, J89), "")</f>
        <v>0</v>
      </c>
    </row>
    <row r="90" spans="2:2">
      <c r="B90" s="21">
        <f>IF(AND(C90&lt;&gt;"", J90&lt;&gt;""), HYPERLINK("#'" &amp; C90 &amp; "'!" &amp; J90, J90), "")</f>
        <v>0</v>
      </c>
    </row>
    <row r="91" spans="2:2">
      <c r="B91" s="21">
        <f>IF(AND(C91&lt;&gt;"", J91&lt;&gt;""), HYPERLINK("#'" &amp; C91 &amp; "'!" &amp; J91, J91), "")</f>
        <v>0</v>
      </c>
    </row>
    <row r="92" spans="2:2">
      <c r="B92" s="21">
        <f>IF(AND(C92&lt;&gt;"", J92&lt;&gt;""), HYPERLINK("#'" &amp; C92 &amp; "'!" &amp; J92, J92), "")</f>
        <v>0</v>
      </c>
    </row>
    <row r="93" spans="2:2">
      <c r="B93" s="21">
        <f>IF(AND(C93&lt;&gt;"", J93&lt;&gt;""), HYPERLINK("#'" &amp; C93 &amp; "'!" &amp; J93, J93), "")</f>
        <v>0</v>
      </c>
    </row>
    <row r="94" spans="2:2">
      <c r="B94" s="21">
        <f>IF(AND(C94&lt;&gt;"", J94&lt;&gt;""), HYPERLINK("#'" &amp; C94 &amp; "'!" &amp; J94, J94), "")</f>
        <v>0</v>
      </c>
    </row>
    <row r="95" spans="2:2">
      <c r="B95" s="21">
        <f>IF(AND(C95&lt;&gt;"", J95&lt;&gt;""), HYPERLINK("#'" &amp; C95 &amp; "'!" &amp; J95, J95), "")</f>
        <v>0</v>
      </c>
    </row>
    <row r="96" spans="2:2">
      <c r="B96" s="21">
        <f>IF(AND(C96&lt;&gt;"", J96&lt;&gt;""), HYPERLINK("#'" &amp; C96 &amp; "'!" &amp; J96, J96), "")</f>
        <v>0</v>
      </c>
    </row>
    <row r="97" spans="2:2">
      <c r="B97" s="21">
        <f>IF(AND(C97&lt;&gt;"", J97&lt;&gt;""), HYPERLINK("#'" &amp; C97 &amp; "'!" &amp; J97, J97), "")</f>
        <v>0</v>
      </c>
    </row>
    <row r="98" spans="2:2">
      <c r="B98" s="21">
        <f>IF(AND(C98&lt;&gt;"", J98&lt;&gt;""), HYPERLINK("#'" &amp; C98 &amp; "'!" &amp; J98, J98), "")</f>
        <v>0</v>
      </c>
    </row>
    <row r="99" spans="2:2">
      <c r="B99" s="21">
        <f>IF(AND(C99&lt;&gt;"", J99&lt;&gt;""), HYPERLINK("#'" &amp; C99 &amp; "'!" &amp; J99, J99), "")</f>
        <v>0</v>
      </c>
    </row>
    <row r="100" spans="2:2">
      <c r="B100" s="21">
        <f>IF(AND(C100&lt;&gt;"", J100&lt;&gt;""), HYPERLINK("#'" &amp; C100 &amp; "'!" &amp; J100, J100), "")</f>
        <v>0</v>
      </c>
    </row>
    <row r="101" spans="2:2">
      <c r="B101" s="21">
        <f>IF(AND(C101&lt;&gt;"", J101&lt;&gt;""), HYPERLINK("#'" &amp; C101 &amp; "'!" &amp; J101, J101), "")</f>
        <v>0</v>
      </c>
    </row>
    <row r="102" spans="2:2">
      <c r="B102" s="21">
        <f>IF(AND(C102&lt;&gt;"", J102&lt;&gt;""), HYPERLINK("#'" &amp; C102 &amp; "'!" &amp; J102, J102), "")</f>
        <v>0</v>
      </c>
    </row>
    <row r="103" spans="2:2">
      <c r="B103" s="21">
        <f>IF(AND(C103&lt;&gt;"", J103&lt;&gt;""), HYPERLINK("#'" &amp; C103 &amp; "'!" &amp; J103, J103), "")</f>
        <v>0</v>
      </c>
    </row>
    <row r="104" spans="2:2">
      <c r="B104" s="21">
        <f>IF(AND(C104&lt;&gt;"", J104&lt;&gt;""), HYPERLINK("#'" &amp; C104 &amp; "'!" &amp; J104, J104), "")</f>
        <v>0</v>
      </c>
    </row>
    <row r="105" spans="2:2">
      <c r="B105" s="21">
        <f>IF(AND(C105&lt;&gt;"", J105&lt;&gt;""), HYPERLINK("#'" &amp; C105 &amp; "'!" &amp; J105, J105), "")</f>
        <v>0</v>
      </c>
    </row>
    <row r="106" spans="2:2">
      <c r="B106" s="21">
        <f>IF(AND(C106&lt;&gt;"", J106&lt;&gt;""), HYPERLINK("#'" &amp; C106 &amp; "'!" &amp; J106, J106), "")</f>
        <v>0</v>
      </c>
    </row>
    <row r="107" spans="2:2">
      <c r="B107" s="21">
        <f>IF(AND(C107&lt;&gt;"", J107&lt;&gt;""), HYPERLINK("#'" &amp; C107 &amp; "'!" &amp; J107, J107), "")</f>
        <v>0</v>
      </c>
    </row>
    <row r="108" spans="2:2">
      <c r="B108" s="21">
        <f>IF(AND(C108&lt;&gt;"", J108&lt;&gt;""), HYPERLINK("#'" &amp; C108 &amp; "'!" &amp; J108, J108), "")</f>
        <v>0</v>
      </c>
    </row>
    <row r="109" spans="2:2">
      <c r="B109" s="21">
        <f>IF(AND(C109&lt;&gt;"", J109&lt;&gt;""), HYPERLINK("#'" &amp; C109 &amp; "'!" &amp; J109, J109), "")</f>
        <v>0</v>
      </c>
    </row>
    <row r="110" spans="2:2">
      <c r="B110" s="21">
        <f>IF(AND(C110&lt;&gt;"", J110&lt;&gt;""), HYPERLINK("#'" &amp; C110 &amp; "'!" &amp; J110, J110), "")</f>
        <v>0</v>
      </c>
    </row>
    <row r="111" spans="2:2">
      <c r="B111" s="21">
        <f>IF(AND(C111&lt;&gt;"", J111&lt;&gt;""), HYPERLINK("#'" &amp; C111 &amp; "'!" &amp; J111, J111), "")</f>
        <v>0</v>
      </c>
    </row>
    <row r="112" spans="2:2">
      <c r="B112" s="21">
        <f>IF(AND(C112&lt;&gt;"", J112&lt;&gt;""), HYPERLINK("#'" &amp; C112 &amp; "'!" &amp; J112, J112), "")</f>
        <v>0</v>
      </c>
    </row>
    <row r="113" spans="2:2">
      <c r="B113" s="21">
        <f>IF(AND(C113&lt;&gt;"", J113&lt;&gt;""), HYPERLINK("#'" &amp; C113 &amp; "'!" &amp; J113, J113), "")</f>
        <v>0</v>
      </c>
    </row>
    <row r="114" spans="2:2">
      <c r="B114" s="21">
        <f>IF(AND(C114&lt;&gt;"", J114&lt;&gt;""), HYPERLINK("#'" &amp; C114 &amp; "'!" &amp; J114, J114), "")</f>
        <v>0</v>
      </c>
    </row>
    <row r="115" spans="2:2">
      <c r="B115" s="21">
        <f>IF(AND(C115&lt;&gt;"", J115&lt;&gt;""), HYPERLINK("#'" &amp; C115 &amp; "'!" &amp; J115, J115), "")</f>
        <v>0</v>
      </c>
    </row>
    <row r="116" spans="2:2">
      <c r="B116" s="21">
        <f>IF(AND(C116&lt;&gt;"", J116&lt;&gt;""), HYPERLINK("#'" &amp; C116 &amp; "'!" &amp; J116, J116), "")</f>
        <v>0</v>
      </c>
    </row>
    <row r="117" spans="2:2">
      <c r="B117" s="21">
        <f>IF(AND(C117&lt;&gt;"", J117&lt;&gt;""), HYPERLINK("#'" &amp; C117 &amp; "'!" &amp; J117, J117), "")</f>
        <v>0</v>
      </c>
    </row>
    <row r="118" spans="2:2">
      <c r="B118" s="21">
        <f>IF(AND(C118&lt;&gt;"", J118&lt;&gt;""), HYPERLINK("#'" &amp; C118 &amp; "'!" &amp; J118, J118), "")</f>
        <v>0</v>
      </c>
    </row>
    <row r="119" spans="2:2">
      <c r="B119" s="21">
        <f>IF(AND(C119&lt;&gt;"", J119&lt;&gt;""), HYPERLINK("#'" &amp; C119 &amp; "'!" &amp; J119, J119), "")</f>
        <v>0</v>
      </c>
    </row>
    <row r="120" spans="2:2">
      <c r="B120" s="21">
        <f>IF(AND(C120&lt;&gt;"", J120&lt;&gt;""), HYPERLINK("#'" &amp; C120 &amp; "'!" &amp; J120, J120), "")</f>
        <v>0</v>
      </c>
    </row>
    <row r="121" spans="2:2">
      <c r="B121" s="21">
        <f>IF(AND(C121&lt;&gt;"", J121&lt;&gt;""), HYPERLINK("#'" &amp; C121 &amp; "'!" &amp; J121, J121), "")</f>
        <v>0</v>
      </c>
    </row>
    <row r="122" spans="2:2">
      <c r="B122" s="21">
        <f>IF(AND(C122&lt;&gt;"", J122&lt;&gt;""), HYPERLINK("#'" &amp; C122 &amp; "'!" &amp; J122, J122), "")</f>
        <v>0</v>
      </c>
    </row>
    <row r="123" spans="2:2">
      <c r="B123" s="21">
        <f>IF(AND(C123&lt;&gt;"", J123&lt;&gt;""), HYPERLINK("#'" &amp; C123 &amp; "'!" &amp; J123, J123), "")</f>
        <v>0</v>
      </c>
    </row>
    <row r="124" spans="2:2">
      <c r="B124" s="21">
        <f>IF(AND(C124&lt;&gt;"", J124&lt;&gt;""), HYPERLINK("#'" &amp; C124 &amp; "'!" &amp; J124, J124), "")</f>
        <v>0</v>
      </c>
    </row>
    <row r="125" spans="2:2">
      <c r="B125" s="21">
        <f>IF(AND(C125&lt;&gt;"", J125&lt;&gt;""), HYPERLINK("#'" &amp; C125 &amp; "'!" &amp; J125, J125), "")</f>
        <v>0</v>
      </c>
    </row>
    <row r="126" spans="2:2">
      <c r="B126" s="21">
        <f>IF(AND(C126&lt;&gt;"", J126&lt;&gt;""), HYPERLINK("#'" &amp; C126 &amp; "'!" &amp; J126, J126), "")</f>
        <v>0</v>
      </c>
    </row>
    <row r="127" spans="2:2">
      <c r="B127" s="21">
        <f>IF(AND(C127&lt;&gt;"", J127&lt;&gt;""), HYPERLINK("#'" &amp; C127 &amp; "'!" &amp; J127, J127), "")</f>
        <v>0</v>
      </c>
    </row>
    <row r="128" spans="2:2">
      <c r="B128" s="21">
        <f>IF(AND(C128&lt;&gt;"", J128&lt;&gt;""), HYPERLINK("#'" &amp; C128 &amp; "'!" &amp; J128, J128), "")</f>
        <v>0</v>
      </c>
    </row>
    <row r="129" spans="2:2">
      <c r="B129" s="21">
        <f>IF(AND(C129&lt;&gt;"", J129&lt;&gt;""), HYPERLINK("#'" &amp; C129 &amp; "'!" &amp; J129, J129), "")</f>
        <v>0</v>
      </c>
    </row>
    <row r="130" spans="2:2">
      <c r="B130" s="21">
        <f>IF(AND(C130&lt;&gt;"", J130&lt;&gt;""), HYPERLINK("#'" &amp; C130 &amp; "'!" &amp; J130, J130), "")</f>
        <v>0</v>
      </c>
    </row>
    <row r="131" spans="2:2">
      <c r="B131" s="21">
        <f>IF(AND(C131&lt;&gt;"", J131&lt;&gt;""), HYPERLINK("#'" &amp; C131 &amp; "'!" &amp; J131, J131), "")</f>
        <v>0</v>
      </c>
    </row>
    <row r="132" spans="2:2">
      <c r="B132" s="21">
        <f>IF(AND(C132&lt;&gt;"", J132&lt;&gt;""), HYPERLINK("#'" &amp; C132 &amp; "'!" &amp; J132, J132), "")</f>
        <v>0</v>
      </c>
    </row>
    <row r="133" spans="2:2">
      <c r="B133" s="21">
        <f>IF(AND(C133&lt;&gt;"", J133&lt;&gt;""), HYPERLINK("#'" &amp; C133 &amp; "'!" &amp; J133, J133), "")</f>
        <v>0</v>
      </c>
    </row>
    <row r="134" spans="2:2">
      <c r="B134" s="21">
        <f>IF(AND(C134&lt;&gt;"", J134&lt;&gt;""), HYPERLINK("#'" &amp; C134 &amp; "'!" &amp; J134, J134), "")</f>
        <v>0</v>
      </c>
    </row>
    <row r="135" spans="2:2">
      <c r="B135" s="21">
        <f>IF(AND(C135&lt;&gt;"", J135&lt;&gt;""), HYPERLINK("#'" &amp; C135 &amp; "'!" &amp; J135, J135), "")</f>
        <v>0</v>
      </c>
    </row>
    <row r="136" spans="2:2">
      <c r="B136" s="21">
        <f>IF(AND(C136&lt;&gt;"", J136&lt;&gt;""), HYPERLINK("#'" &amp; C136 &amp; "'!" &amp; J136, J136), "")</f>
        <v>0</v>
      </c>
    </row>
    <row r="137" spans="2:2">
      <c r="B137" s="21">
        <f>IF(AND(C137&lt;&gt;"", J137&lt;&gt;""), HYPERLINK("#'" &amp; C137 &amp; "'!" &amp; J137, J137), "")</f>
        <v>0</v>
      </c>
    </row>
    <row r="138" spans="2:2">
      <c r="B138" s="21">
        <f>IF(AND(C138&lt;&gt;"", J138&lt;&gt;""), HYPERLINK("#'" &amp; C138 &amp; "'!" &amp; J138, J138), "")</f>
        <v>0</v>
      </c>
    </row>
    <row r="139" spans="2:2">
      <c r="B139" s="21">
        <f>IF(AND(C139&lt;&gt;"", J139&lt;&gt;""), HYPERLINK("#'" &amp; C139 &amp; "'!" &amp; J139, J139), "")</f>
        <v>0</v>
      </c>
    </row>
    <row r="140" spans="2:2">
      <c r="B140" s="21">
        <f>IF(AND(C140&lt;&gt;"", J140&lt;&gt;""), HYPERLINK("#'" &amp; C140 &amp; "'!" &amp; J140, J140), "")</f>
        <v>0</v>
      </c>
    </row>
    <row r="141" spans="2:2">
      <c r="B141" s="21">
        <f>IF(AND(C141&lt;&gt;"", J141&lt;&gt;""), HYPERLINK("#'" &amp; C141 &amp; "'!" &amp; J141, J141), "")</f>
        <v>0</v>
      </c>
    </row>
    <row r="142" spans="2:2">
      <c r="B142" s="21">
        <f>IF(AND(C142&lt;&gt;"", J142&lt;&gt;""), HYPERLINK("#'" &amp; C142 &amp; "'!" &amp; J142, J142), "")</f>
        <v>0</v>
      </c>
    </row>
    <row r="143" spans="2:2">
      <c r="B143" s="21">
        <f>IF(AND(C143&lt;&gt;"", J143&lt;&gt;""), HYPERLINK("#'" &amp; C143 &amp; "'!" &amp; J143, J143), "")</f>
        <v>0</v>
      </c>
    </row>
    <row r="144" spans="2:2">
      <c r="B144" s="21">
        <f>IF(AND(C144&lt;&gt;"", J144&lt;&gt;""), HYPERLINK("#'" &amp; C144 &amp; "'!" &amp; J144, J144), "")</f>
        <v>0</v>
      </c>
    </row>
    <row r="145" spans="2:2">
      <c r="B145" s="21">
        <f>IF(AND(C145&lt;&gt;"", J145&lt;&gt;""), HYPERLINK("#'" &amp; C145 &amp; "'!" &amp; J145, J145), "")</f>
        <v>0</v>
      </c>
    </row>
    <row r="146" spans="2:2">
      <c r="B146" s="21">
        <f>IF(AND(C146&lt;&gt;"", J146&lt;&gt;""), HYPERLINK("#'" &amp; C146 &amp; "'!" &amp; J146, J146), "")</f>
        <v>0</v>
      </c>
    </row>
    <row r="147" spans="2:2">
      <c r="B147" s="21">
        <f>IF(AND(C147&lt;&gt;"", J147&lt;&gt;""), HYPERLINK("#'" &amp; C147 &amp; "'!" &amp; J147, J147), "")</f>
        <v>0</v>
      </c>
    </row>
    <row r="148" spans="2:2">
      <c r="B148" s="21">
        <f>IF(AND(C148&lt;&gt;"", J148&lt;&gt;""), HYPERLINK("#'" &amp; C148 &amp; "'!" &amp; J148, J148), "")</f>
        <v>0</v>
      </c>
    </row>
    <row r="149" spans="2:2">
      <c r="B149" s="21">
        <f>IF(AND(C149&lt;&gt;"", J149&lt;&gt;""), HYPERLINK("#'" &amp; C149 &amp; "'!" &amp; J149, J149), "")</f>
        <v>0</v>
      </c>
    </row>
    <row r="150" spans="2:2">
      <c r="B150" s="21">
        <f>IF(AND(C150&lt;&gt;"", J150&lt;&gt;""), HYPERLINK("#'" &amp; C150 &amp; "'!" &amp; J150, J150), "")</f>
        <v>0</v>
      </c>
    </row>
    <row r="151" spans="2:2">
      <c r="B151" s="21">
        <f>IF(AND(C151&lt;&gt;"", J151&lt;&gt;""), HYPERLINK("#'" &amp; C151 &amp; "'!" &amp; J151, J151), "")</f>
        <v>0</v>
      </c>
    </row>
    <row r="152" spans="2:2">
      <c r="B152" s="21">
        <f>IF(AND(C152&lt;&gt;"", J152&lt;&gt;""), HYPERLINK("#'" &amp; C152 &amp; "'!" &amp; J152, J152), "")</f>
        <v>0</v>
      </c>
    </row>
    <row r="153" spans="2:2">
      <c r="B153" s="21">
        <f>IF(AND(C153&lt;&gt;"", J153&lt;&gt;""), HYPERLINK("#'" &amp; C153 &amp; "'!" &amp; J153, J153), "")</f>
        <v>0</v>
      </c>
    </row>
    <row r="154" spans="2:2">
      <c r="B154" s="21">
        <f>IF(AND(C154&lt;&gt;"", J154&lt;&gt;""), HYPERLINK("#'" &amp; C154 &amp; "'!" &amp; J154, J154), "")</f>
        <v>0</v>
      </c>
    </row>
    <row r="155" spans="2:2">
      <c r="B155" s="21">
        <f>IF(AND(C155&lt;&gt;"", J155&lt;&gt;""), HYPERLINK("#'" &amp; C155 &amp; "'!" &amp; J155, J155), "")</f>
        <v>0</v>
      </c>
    </row>
    <row r="156" spans="2:2">
      <c r="B156" s="21">
        <f>IF(AND(C156&lt;&gt;"", J156&lt;&gt;""), HYPERLINK("#'" &amp; C156 &amp; "'!" &amp; J156, J156), "")</f>
        <v>0</v>
      </c>
    </row>
    <row r="157" spans="2:2">
      <c r="B157" s="21">
        <f>IF(AND(C157&lt;&gt;"", J157&lt;&gt;""), HYPERLINK("#'" &amp; C157 &amp; "'!" &amp; J157, J157), "")</f>
        <v>0</v>
      </c>
    </row>
    <row r="158" spans="2:2">
      <c r="B158" s="21">
        <f>IF(AND(C158&lt;&gt;"", J158&lt;&gt;""), HYPERLINK("#'" &amp; C158 &amp; "'!" &amp; J158, J158), "")</f>
        <v>0</v>
      </c>
    </row>
    <row r="159" spans="2:2">
      <c r="B159" s="21">
        <f>IF(AND(C159&lt;&gt;"", J159&lt;&gt;""), HYPERLINK("#'" &amp; C159 &amp; "'!" &amp; J159, J159), "")</f>
        <v>0</v>
      </c>
    </row>
    <row r="160" spans="2:2">
      <c r="B160" s="21">
        <f>IF(AND(C160&lt;&gt;"", J160&lt;&gt;""), HYPERLINK("#'" &amp; C160 &amp; "'!" &amp; J160, J160), "")</f>
        <v>0</v>
      </c>
    </row>
    <row r="161" spans="2:2">
      <c r="B161" s="21">
        <f>IF(AND(C161&lt;&gt;"", J161&lt;&gt;""), HYPERLINK("#'" &amp; C161 &amp; "'!" &amp; J161, J161), "")</f>
        <v>0</v>
      </c>
    </row>
    <row r="162" spans="2:2">
      <c r="B162" s="21">
        <f>IF(AND(C162&lt;&gt;"", J162&lt;&gt;""), HYPERLINK("#'" &amp; C162 &amp; "'!" &amp; J162, J162), "")</f>
        <v>0</v>
      </c>
    </row>
    <row r="163" spans="2:2">
      <c r="B163" s="21">
        <f>IF(AND(C163&lt;&gt;"", J163&lt;&gt;""), HYPERLINK("#'" &amp; C163 &amp; "'!" &amp; J163, J163), "")</f>
        <v>0</v>
      </c>
    </row>
    <row r="164" spans="2:2">
      <c r="B164" s="21">
        <f>IF(AND(C164&lt;&gt;"", J164&lt;&gt;""), HYPERLINK("#'" &amp; C164 &amp; "'!" &amp; J164, J164), "")</f>
        <v>0</v>
      </c>
    </row>
    <row r="165" spans="2:2">
      <c r="B165" s="21">
        <f>IF(AND(C165&lt;&gt;"", J165&lt;&gt;""), HYPERLINK("#'" &amp; C165 &amp; "'!" &amp; J165, J165), "")</f>
        <v>0</v>
      </c>
    </row>
    <row r="166" spans="2:2">
      <c r="B166" s="21">
        <f>IF(AND(C166&lt;&gt;"", J166&lt;&gt;""), HYPERLINK("#'" &amp; C166 &amp; "'!" &amp; J166, J166), "")</f>
        <v>0</v>
      </c>
    </row>
    <row r="167" spans="2:2">
      <c r="B167" s="21">
        <f>IF(AND(C167&lt;&gt;"", J167&lt;&gt;""), HYPERLINK("#'" &amp; C167 &amp; "'!" &amp; J167, J167), "")</f>
        <v>0</v>
      </c>
    </row>
    <row r="168" spans="2:2">
      <c r="B168" s="21">
        <f>IF(AND(C168&lt;&gt;"", J168&lt;&gt;""), HYPERLINK("#'" &amp; C168 &amp; "'!" &amp; J168, J168), "")</f>
        <v>0</v>
      </c>
    </row>
    <row r="169" spans="2:2">
      <c r="B169" s="21">
        <f>IF(AND(C169&lt;&gt;"", J169&lt;&gt;""), HYPERLINK("#'" &amp; C169 &amp; "'!" &amp; J169, J169), "")</f>
        <v>0</v>
      </c>
    </row>
    <row r="170" spans="2:2">
      <c r="B170" s="21">
        <f>IF(AND(C170&lt;&gt;"", J170&lt;&gt;""), HYPERLINK("#'" &amp; C170 &amp; "'!" &amp; J170, J170), "")</f>
        <v>0</v>
      </c>
    </row>
    <row r="171" spans="2:2">
      <c r="B171" s="21">
        <f>IF(AND(C171&lt;&gt;"", J171&lt;&gt;""), HYPERLINK("#'" &amp; C171 &amp; "'!" &amp; J171, J171), "")</f>
        <v>0</v>
      </c>
    </row>
    <row r="172" spans="2:2">
      <c r="B172" s="21">
        <f>IF(AND(C172&lt;&gt;"", J172&lt;&gt;""), HYPERLINK("#'" &amp; C172 &amp; "'!" &amp; J172, J172), "")</f>
        <v>0</v>
      </c>
    </row>
    <row r="173" spans="2:2">
      <c r="B173" s="21">
        <f>IF(AND(C173&lt;&gt;"", J173&lt;&gt;""), HYPERLINK("#'" &amp; C173 &amp; "'!" &amp; J173, J173), "")</f>
        <v>0</v>
      </c>
    </row>
    <row r="174" spans="2:2">
      <c r="B174" s="21">
        <f>IF(AND(C174&lt;&gt;"", J174&lt;&gt;""), HYPERLINK("#'" &amp; C174 &amp; "'!" &amp; J174, J174), "")</f>
        <v>0</v>
      </c>
    </row>
    <row r="175" spans="2:2">
      <c r="B175" s="21">
        <f>IF(AND(C175&lt;&gt;"", J175&lt;&gt;""), HYPERLINK("#'" &amp; C175 &amp; "'!" &amp; J175, J175), "")</f>
        <v>0</v>
      </c>
    </row>
    <row r="176" spans="2:2">
      <c r="B176" s="21">
        <f>IF(AND(C176&lt;&gt;"", J176&lt;&gt;""), HYPERLINK("#'" &amp; C176 &amp; "'!" &amp; J176, J176), "")</f>
        <v>0</v>
      </c>
    </row>
    <row r="177" spans="2:2">
      <c r="B177" s="21">
        <f>IF(AND(C177&lt;&gt;"", J177&lt;&gt;""), HYPERLINK("#'" &amp; C177 &amp; "'!" &amp; J177, J177), "")</f>
        <v>0</v>
      </c>
    </row>
    <row r="178" spans="2:2">
      <c r="B178" s="21">
        <f>IF(AND(C178&lt;&gt;"", J178&lt;&gt;""), HYPERLINK("#'" &amp; C178 &amp; "'!" &amp; J178, J178), "")</f>
        <v>0</v>
      </c>
    </row>
    <row r="179" spans="2:2">
      <c r="B179" s="21">
        <f>IF(AND(C179&lt;&gt;"", J179&lt;&gt;""), HYPERLINK("#'" &amp; C179 &amp; "'!" &amp; J179, J179), "")</f>
        <v>0</v>
      </c>
    </row>
    <row r="180" spans="2:2">
      <c r="B180" s="21">
        <f>IF(AND(C180&lt;&gt;"", J180&lt;&gt;""), HYPERLINK("#'" &amp; C180 &amp; "'!" &amp; J180, J180), "")</f>
        <v>0</v>
      </c>
    </row>
    <row r="181" spans="2:2">
      <c r="B181" s="21">
        <f>IF(AND(C181&lt;&gt;"", J181&lt;&gt;""), HYPERLINK("#'" &amp; C181 &amp; "'!" &amp; J181, J181), "")</f>
        <v>0</v>
      </c>
    </row>
    <row r="182" spans="2:2">
      <c r="B182" s="21">
        <f>IF(AND(C182&lt;&gt;"", J182&lt;&gt;""), HYPERLINK("#'" &amp; C182 &amp; "'!" &amp; J182, J182), "")</f>
        <v>0</v>
      </c>
    </row>
    <row r="183" spans="2:2">
      <c r="B183" s="21">
        <f>IF(AND(C183&lt;&gt;"", J183&lt;&gt;""), HYPERLINK("#'" &amp; C183 &amp; "'!" &amp; J183, J183), "")</f>
        <v>0</v>
      </c>
    </row>
    <row r="184" spans="2:2">
      <c r="B184" s="21">
        <f>IF(AND(C184&lt;&gt;"", J184&lt;&gt;""), HYPERLINK("#'" &amp; C184 &amp; "'!" &amp; J184, J184), "")</f>
        <v>0</v>
      </c>
    </row>
    <row r="185" spans="2:2">
      <c r="B185" s="21">
        <f>IF(AND(C185&lt;&gt;"", J185&lt;&gt;""), HYPERLINK("#'" &amp; C185 &amp; "'!" &amp; J185, J185), "")</f>
        <v>0</v>
      </c>
    </row>
    <row r="186" spans="2:2">
      <c r="B186" s="21">
        <f>IF(AND(C186&lt;&gt;"", J186&lt;&gt;""), HYPERLINK("#'" &amp; C186 &amp; "'!" &amp; J186, J186), "")</f>
        <v>0</v>
      </c>
    </row>
    <row r="187" spans="2:2">
      <c r="B187" s="21">
        <f>IF(AND(C187&lt;&gt;"", J187&lt;&gt;""), HYPERLINK("#'" &amp; C187 &amp; "'!" &amp; J187, J187), "")</f>
        <v>0</v>
      </c>
    </row>
    <row r="188" spans="2:2">
      <c r="B188" s="21">
        <f>IF(AND(C188&lt;&gt;"", J188&lt;&gt;""), HYPERLINK("#'" &amp; C188 &amp; "'!" &amp; J188, J188), "")</f>
        <v>0</v>
      </c>
    </row>
    <row r="189" spans="2:2">
      <c r="B189" s="21">
        <f>IF(AND(C189&lt;&gt;"", J189&lt;&gt;""), HYPERLINK("#'" &amp; C189 &amp; "'!" &amp; J189, J189), "")</f>
        <v>0</v>
      </c>
    </row>
    <row r="190" spans="2:2">
      <c r="B190" s="21">
        <f>IF(AND(C190&lt;&gt;"", J190&lt;&gt;""), HYPERLINK("#'" &amp; C190 &amp; "'!" &amp; J190, J190), "")</f>
        <v>0</v>
      </c>
    </row>
    <row r="191" spans="2:2">
      <c r="B191" s="21">
        <f>IF(AND(C191&lt;&gt;"", J191&lt;&gt;""), HYPERLINK("#'" &amp; C191 &amp; "'!" &amp; J191, J191), "")</f>
        <v>0</v>
      </c>
    </row>
    <row r="192" spans="2:2">
      <c r="B192" s="21">
        <f>IF(AND(C192&lt;&gt;"", J192&lt;&gt;""), HYPERLINK("#'" &amp; C192 &amp; "'!" &amp; J192, J192), "")</f>
        <v>0</v>
      </c>
    </row>
    <row r="193" spans="2:2">
      <c r="B193" s="21">
        <f>IF(AND(C193&lt;&gt;"", J193&lt;&gt;""), HYPERLINK("#'" &amp; C193 &amp; "'!" &amp; J193, J193), "")</f>
        <v>0</v>
      </c>
    </row>
    <row r="194" spans="2:2">
      <c r="B194" s="21">
        <f>IF(AND(C194&lt;&gt;"", J194&lt;&gt;""), HYPERLINK("#'" &amp; C194 &amp; "'!" &amp; J194, J194), "")</f>
        <v>0</v>
      </c>
    </row>
    <row r="195" spans="2:2">
      <c r="B195" s="21">
        <f>IF(AND(C195&lt;&gt;"", J195&lt;&gt;""), HYPERLINK("#'" &amp; C195 &amp; "'!" &amp; J195, J195), "")</f>
        <v>0</v>
      </c>
    </row>
    <row r="196" spans="2:2">
      <c r="B196" s="21">
        <f>IF(AND(C196&lt;&gt;"", J196&lt;&gt;""), HYPERLINK("#'" &amp; C196 &amp; "'!" &amp; J196, J196), "")</f>
        <v>0</v>
      </c>
    </row>
    <row r="197" spans="2:2">
      <c r="B197" s="21">
        <f>IF(AND(C197&lt;&gt;"", J197&lt;&gt;""), HYPERLINK("#'" &amp; C197 &amp; "'!" &amp; J197, J197), "")</f>
        <v>0</v>
      </c>
    </row>
    <row r="198" spans="2:2">
      <c r="B198" s="21">
        <f>IF(AND(C198&lt;&gt;"", J198&lt;&gt;""), HYPERLINK("#'" &amp; C198 &amp; "'!" &amp; J198, J198), "")</f>
        <v>0</v>
      </c>
    </row>
    <row r="199" spans="2:2">
      <c r="B199" s="21">
        <f>IF(AND(C199&lt;&gt;"", J199&lt;&gt;""), HYPERLINK("#'" &amp; C199 &amp; "'!" &amp; J199, J199), "")</f>
        <v>0</v>
      </c>
    </row>
    <row r="200" spans="2:2">
      <c r="B200" s="21">
        <f>IF(AND(C200&lt;&gt;"", J200&lt;&gt;""), HYPERLINK("#'" &amp; C200 &amp; "'!" &amp; J200, J200), "")</f>
        <v>0</v>
      </c>
    </row>
    <row r="201" spans="2:2">
      <c r="B201" s="21">
        <f>IF(AND(C201&lt;&gt;"", J201&lt;&gt;""), HYPERLINK("#'" &amp; C201 &amp; "'!" &amp; J201, J201), "")</f>
        <v>0</v>
      </c>
    </row>
    <row r="202" spans="2:2">
      <c r="B202" s="21">
        <f>IF(AND(C202&lt;&gt;"", J202&lt;&gt;""), HYPERLINK("#'" &amp; C202 &amp; "'!" &amp; J202, J202), "")</f>
        <v>0</v>
      </c>
    </row>
    <row r="203" spans="2:2">
      <c r="B203" s="21">
        <f>IF(AND(C203&lt;&gt;"", J203&lt;&gt;""), HYPERLINK("#'" &amp; C203 &amp; "'!" &amp; J203, J203), "")</f>
        <v>0</v>
      </c>
    </row>
    <row r="204" spans="2:2">
      <c r="B204" s="21">
        <f>IF(AND(C204&lt;&gt;"", J204&lt;&gt;""), HYPERLINK("#'" &amp; C204 &amp; "'!" &amp; J204, J204), "")</f>
        <v>0</v>
      </c>
    </row>
    <row r="205" spans="2:2">
      <c r="B205" s="21">
        <f>IF(AND(C205&lt;&gt;"", J205&lt;&gt;""), HYPERLINK("#'" &amp; C205 &amp; "'!" &amp; J205, J205), "")</f>
        <v>0</v>
      </c>
    </row>
    <row r="206" spans="2:2">
      <c r="B206" s="21">
        <f>IF(AND(C206&lt;&gt;"", J206&lt;&gt;""), HYPERLINK("#'" &amp; C206 &amp; "'!" &amp; J206, J206), "")</f>
        <v>0</v>
      </c>
    </row>
    <row r="207" spans="2:2">
      <c r="B207" s="21">
        <f>IF(AND(C207&lt;&gt;"", J207&lt;&gt;""), HYPERLINK("#'" &amp; C207 &amp; "'!" &amp; J207, J207), "")</f>
        <v>0</v>
      </c>
    </row>
    <row r="208" spans="2:2">
      <c r="B208" s="21">
        <f>IF(AND(C208&lt;&gt;"", J208&lt;&gt;""), HYPERLINK("#'" &amp; C208 &amp; "'!" &amp; J208, J208), "")</f>
        <v>0</v>
      </c>
    </row>
    <row r="209" spans="2:2">
      <c r="B209" s="21">
        <f>IF(AND(C209&lt;&gt;"", J209&lt;&gt;""), HYPERLINK("#'" &amp; C209 &amp; "'!" &amp; J209, J209), "")</f>
        <v>0</v>
      </c>
    </row>
    <row r="210" spans="2:2">
      <c r="B210" s="21">
        <f>IF(AND(C210&lt;&gt;"", J210&lt;&gt;""), HYPERLINK("#'" &amp; C210 &amp; "'!" &amp; J210, J210), "")</f>
        <v>0</v>
      </c>
    </row>
    <row r="211" spans="2:2">
      <c r="B211" s="21">
        <f>IF(AND(C211&lt;&gt;"", J211&lt;&gt;""), HYPERLINK("#'" &amp; C211 &amp; "'!" &amp; J211, J211), "")</f>
        <v>0</v>
      </c>
    </row>
    <row r="212" spans="2:2">
      <c r="B212" s="21">
        <f>IF(AND(C212&lt;&gt;"", J212&lt;&gt;""), HYPERLINK("#'" &amp; C212 &amp; "'!" &amp; J212, J212), "")</f>
        <v>0</v>
      </c>
    </row>
    <row r="213" spans="2:2">
      <c r="B213" s="21">
        <f>IF(AND(C213&lt;&gt;"", J213&lt;&gt;""), HYPERLINK("#'" &amp; C213 &amp; "'!" &amp; J213, J213), "")</f>
        <v>0</v>
      </c>
    </row>
    <row r="214" spans="2:2">
      <c r="B214" s="21">
        <f>IF(AND(C214&lt;&gt;"", J214&lt;&gt;""), HYPERLINK("#'" &amp; C214 &amp; "'!" &amp; J214, J214), "")</f>
        <v>0</v>
      </c>
    </row>
    <row r="215" spans="2:2">
      <c r="B215" s="21">
        <f>IF(AND(C215&lt;&gt;"", J215&lt;&gt;""), HYPERLINK("#'" &amp; C215 &amp; "'!" &amp; J215, J215), "")</f>
        <v>0</v>
      </c>
    </row>
    <row r="216" spans="2:2">
      <c r="B216" s="21">
        <f>IF(AND(C216&lt;&gt;"", J216&lt;&gt;""), HYPERLINK("#'" &amp; C216 &amp; "'!" &amp; J216, J216), "")</f>
        <v>0</v>
      </c>
    </row>
    <row r="217" spans="2:2">
      <c r="B217" s="21">
        <f>IF(AND(C217&lt;&gt;"", J217&lt;&gt;""), HYPERLINK("#'" &amp; C217 &amp; "'!" &amp; J217, J217), "")</f>
        <v>0</v>
      </c>
    </row>
    <row r="218" spans="2:2">
      <c r="B218" s="21">
        <f>IF(AND(C218&lt;&gt;"", J218&lt;&gt;""), HYPERLINK("#'" &amp; C218 &amp; "'!" &amp; J218, J218), "")</f>
        <v>0</v>
      </c>
    </row>
    <row r="219" spans="2:2">
      <c r="B219" s="21">
        <f>IF(AND(C219&lt;&gt;"", J219&lt;&gt;""), HYPERLINK("#'" &amp; C219 &amp; "'!" &amp; J219, J219), "")</f>
        <v>0</v>
      </c>
    </row>
    <row r="220" spans="2:2">
      <c r="B220" s="21">
        <f>IF(AND(C220&lt;&gt;"", J220&lt;&gt;""), HYPERLINK("#'" &amp; C220 &amp; "'!" &amp; J220, J220), "")</f>
        <v>0</v>
      </c>
    </row>
    <row r="221" spans="2:2">
      <c r="B221" s="21">
        <f>IF(AND(C221&lt;&gt;"", J221&lt;&gt;""), HYPERLINK("#'" &amp; C221 &amp; "'!" &amp; J221, J221), "")</f>
        <v>0</v>
      </c>
    </row>
    <row r="222" spans="2:2">
      <c r="B222" s="21">
        <f>IF(AND(C222&lt;&gt;"", J222&lt;&gt;""), HYPERLINK("#'" &amp; C222 &amp; "'!" &amp; J222, J222), "")</f>
        <v>0</v>
      </c>
    </row>
    <row r="223" spans="2:2">
      <c r="B223" s="21">
        <f>IF(AND(C223&lt;&gt;"", J223&lt;&gt;""), HYPERLINK("#'" &amp; C223 &amp; "'!" &amp; J223, J223), "")</f>
        <v>0</v>
      </c>
    </row>
    <row r="224" spans="2:2">
      <c r="B224" s="21">
        <f>IF(AND(C224&lt;&gt;"", J224&lt;&gt;""), HYPERLINK("#'" &amp; C224 &amp; "'!" &amp; J224, J224), "")</f>
        <v>0</v>
      </c>
    </row>
    <row r="225" spans="2:2">
      <c r="B225" s="21">
        <f>IF(AND(C225&lt;&gt;"", J225&lt;&gt;""), HYPERLINK("#'" &amp; C225 &amp; "'!" &amp; J225, J225), "")</f>
        <v>0</v>
      </c>
    </row>
    <row r="226" spans="2:2">
      <c r="B226" s="21">
        <f>IF(AND(C226&lt;&gt;"", J226&lt;&gt;""), HYPERLINK("#'" &amp; C226 &amp; "'!" &amp; J226, J226), "")</f>
        <v>0</v>
      </c>
    </row>
    <row r="227" spans="2:2">
      <c r="B227" s="21">
        <f>IF(AND(C227&lt;&gt;"", J227&lt;&gt;""), HYPERLINK("#'" &amp; C227 &amp; "'!" &amp; J227, J227), "")</f>
        <v>0</v>
      </c>
    </row>
    <row r="228" spans="2:2">
      <c r="B228" s="21">
        <f>IF(AND(C228&lt;&gt;"", J228&lt;&gt;""), HYPERLINK("#'" &amp; C228 &amp; "'!" &amp; J228, J228), "")</f>
        <v>0</v>
      </c>
    </row>
    <row r="229" spans="2:2">
      <c r="B229" s="21">
        <f>IF(AND(C229&lt;&gt;"", J229&lt;&gt;""), HYPERLINK("#'" &amp; C229 &amp; "'!" &amp; J229, J229), "")</f>
        <v>0</v>
      </c>
    </row>
    <row r="230" spans="2:2">
      <c r="B230" s="21">
        <f>IF(AND(C230&lt;&gt;"", J230&lt;&gt;""), HYPERLINK("#'" &amp; C230 &amp; "'!" &amp; J230, J230), "")</f>
        <v>0</v>
      </c>
    </row>
    <row r="231" spans="2:2">
      <c r="B231" s="21">
        <f>IF(AND(C231&lt;&gt;"", J231&lt;&gt;""), HYPERLINK("#'" &amp; C231 &amp; "'!" &amp; J231, J231), "")</f>
        <v>0</v>
      </c>
    </row>
    <row r="232" spans="2:2">
      <c r="B232" s="21">
        <f>IF(AND(C232&lt;&gt;"", J232&lt;&gt;""), HYPERLINK("#'" &amp; C232 &amp; "'!" &amp; J232, J232), "")</f>
        <v>0</v>
      </c>
    </row>
    <row r="233" spans="2:2">
      <c r="B233" s="21">
        <f>IF(AND(C233&lt;&gt;"", J233&lt;&gt;""), HYPERLINK("#'" &amp; C233 &amp; "'!" &amp; J233, J233), "")</f>
        <v>0</v>
      </c>
    </row>
    <row r="234" spans="2:2">
      <c r="B234" s="21">
        <f>IF(AND(C234&lt;&gt;"", J234&lt;&gt;""), HYPERLINK("#'" &amp; C234 &amp; "'!" &amp; J234, J234), "")</f>
        <v>0</v>
      </c>
    </row>
    <row r="235" spans="2:2">
      <c r="B235" s="21">
        <f>IF(AND(C235&lt;&gt;"", J235&lt;&gt;""), HYPERLINK("#'" &amp; C235 &amp; "'!" &amp; J235, J235), "")</f>
        <v>0</v>
      </c>
    </row>
    <row r="236" spans="2:2">
      <c r="B236" s="21">
        <f>IF(AND(C236&lt;&gt;"", J236&lt;&gt;""), HYPERLINK("#'" &amp; C236 &amp; "'!" &amp; J236, J236), "")</f>
        <v>0</v>
      </c>
    </row>
    <row r="237" spans="2:2">
      <c r="B237" s="21">
        <f>IF(AND(C237&lt;&gt;"", J237&lt;&gt;""), HYPERLINK("#'" &amp; C237 &amp; "'!" &amp; J237, J237), "")</f>
        <v>0</v>
      </c>
    </row>
    <row r="238" spans="2:2">
      <c r="B238" s="21">
        <f>IF(AND(C238&lt;&gt;"", J238&lt;&gt;""), HYPERLINK("#'" &amp; C238 &amp; "'!" &amp; J238, J238), "")</f>
        <v>0</v>
      </c>
    </row>
    <row r="239" spans="2:2">
      <c r="B239" s="21">
        <f>IF(AND(C239&lt;&gt;"", J239&lt;&gt;""), HYPERLINK("#'" &amp; C239 &amp; "'!" &amp; J239, J239), "")</f>
        <v>0</v>
      </c>
    </row>
    <row r="240" spans="2:2">
      <c r="B240" s="21">
        <f>IF(AND(C240&lt;&gt;"", J240&lt;&gt;""), HYPERLINK("#'" &amp; C240 &amp; "'!" &amp; J240, J240), "")</f>
        <v>0</v>
      </c>
    </row>
    <row r="241" spans="2:2">
      <c r="B241" s="21">
        <f>IF(AND(C241&lt;&gt;"", J241&lt;&gt;""), HYPERLINK("#'" &amp; C241 &amp; "'!" &amp; J241, J241), "")</f>
        <v>0</v>
      </c>
    </row>
    <row r="242" spans="2:2">
      <c r="B242" s="21">
        <f>IF(AND(C242&lt;&gt;"", J242&lt;&gt;""), HYPERLINK("#'" &amp; C242 &amp; "'!" &amp; J242, J242), "")</f>
        <v>0</v>
      </c>
    </row>
    <row r="243" spans="2:2">
      <c r="B243" s="21">
        <f>IF(AND(C243&lt;&gt;"", J243&lt;&gt;""), HYPERLINK("#'" &amp; C243 &amp; "'!" &amp; J243, J243), "")</f>
        <v>0</v>
      </c>
    </row>
    <row r="244" spans="2:2">
      <c r="B244" s="21">
        <f>IF(AND(C244&lt;&gt;"", J244&lt;&gt;""), HYPERLINK("#'" &amp; C244 &amp; "'!" &amp; J244, J244), "")</f>
        <v>0</v>
      </c>
    </row>
    <row r="245" spans="2:2">
      <c r="B245" s="21">
        <f>IF(AND(C245&lt;&gt;"", J245&lt;&gt;""), HYPERLINK("#'" &amp; C245 &amp; "'!" &amp; J245, J245), "")</f>
        <v>0</v>
      </c>
    </row>
    <row r="246" spans="2:2">
      <c r="B246" s="21">
        <f>IF(AND(C246&lt;&gt;"", J246&lt;&gt;""), HYPERLINK("#'" &amp; C246 &amp; "'!" &amp; J246, J246), "")</f>
        <v>0</v>
      </c>
    </row>
    <row r="247" spans="2:2">
      <c r="B247" s="21">
        <f>IF(AND(C247&lt;&gt;"", J247&lt;&gt;""), HYPERLINK("#'" &amp; C247 &amp; "'!" &amp; J247, J247), "")</f>
        <v>0</v>
      </c>
    </row>
    <row r="248" spans="2:2">
      <c r="B248" s="21">
        <f>IF(AND(C248&lt;&gt;"", J248&lt;&gt;""), HYPERLINK("#'" &amp; C248 &amp; "'!" &amp; J248, J248), "")</f>
        <v>0</v>
      </c>
    </row>
    <row r="249" spans="2:2">
      <c r="B249" s="21">
        <f>IF(AND(C249&lt;&gt;"", J249&lt;&gt;""), HYPERLINK("#'" &amp; C249 &amp; "'!" &amp; J249, J249), "")</f>
        <v>0</v>
      </c>
    </row>
    <row r="250" spans="2:2">
      <c r="B250" s="21">
        <f>IF(AND(C250&lt;&gt;"", J250&lt;&gt;""), HYPERLINK("#'" &amp; C250 &amp; "'!" &amp; J250, J250), "")</f>
        <v>0</v>
      </c>
    </row>
    <row r="251" spans="2:2">
      <c r="B251" s="21">
        <f>IF(AND(C251&lt;&gt;"", J251&lt;&gt;""), HYPERLINK("#'" &amp; C251 &amp; "'!" &amp; J251, J251), "")</f>
        <v>0</v>
      </c>
    </row>
    <row r="252" spans="2:2">
      <c r="B252" s="21">
        <f>IF(AND(C252&lt;&gt;"", J252&lt;&gt;""), HYPERLINK("#'" &amp; C252 &amp; "'!" &amp; J252, J252), "")</f>
        <v>0</v>
      </c>
    </row>
    <row r="253" spans="2:2">
      <c r="B253" s="21">
        <f>IF(AND(C253&lt;&gt;"", J253&lt;&gt;""), HYPERLINK("#'" &amp; C253 &amp; "'!" &amp; J253, J253), "")</f>
        <v>0</v>
      </c>
    </row>
    <row r="254" spans="2:2">
      <c r="B254" s="21">
        <f>IF(AND(C254&lt;&gt;"", J254&lt;&gt;""), HYPERLINK("#'" &amp; C254 &amp; "'!" &amp; J254, J254), "")</f>
        <v>0</v>
      </c>
    </row>
    <row r="255" spans="2:2">
      <c r="B255" s="21">
        <f>IF(AND(C255&lt;&gt;"", J255&lt;&gt;""), HYPERLINK("#'" &amp; C255 &amp; "'!" &amp; J255, J255), "")</f>
        <v>0</v>
      </c>
    </row>
    <row r="256" spans="2:2">
      <c r="B256" s="21">
        <f>IF(AND(C256&lt;&gt;"", J256&lt;&gt;""), HYPERLINK("#'" &amp; C256 &amp; "'!" &amp; J256, J256), "")</f>
        <v>0</v>
      </c>
    </row>
    <row r="257" spans="2:2">
      <c r="B257" s="21">
        <f>IF(AND(C257&lt;&gt;"", J257&lt;&gt;""), HYPERLINK("#'" &amp; C257 &amp; "'!" &amp; J257, J257), "")</f>
        <v>0</v>
      </c>
    </row>
    <row r="258" spans="2:2">
      <c r="B258" s="21">
        <f>IF(AND(C258&lt;&gt;"", J258&lt;&gt;""), HYPERLINK("#'" &amp; C258 &amp; "'!" &amp; J258, J258), "")</f>
        <v>0</v>
      </c>
    </row>
    <row r="259" spans="2:2">
      <c r="B259" s="21">
        <f>IF(AND(C259&lt;&gt;"", J259&lt;&gt;""), HYPERLINK("#'" &amp; C259 &amp; "'!" &amp; J259, J259), "")</f>
        <v>0</v>
      </c>
    </row>
    <row r="260" spans="2:2">
      <c r="B260" s="21">
        <f>IF(AND(C260&lt;&gt;"", J260&lt;&gt;""), HYPERLINK("#'" &amp; C260 &amp; "'!" &amp; J260, J260), "")</f>
        <v>0</v>
      </c>
    </row>
    <row r="261" spans="2:2">
      <c r="B261" s="21">
        <f>IF(AND(C261&lt;&gt;"", J261&lt;&gt;""), HYPERLINK("#'" &amp; C261 &amp; "'!" &amp; J261, J261), "")</f>
        <v>0</v>
      </c>
    </row>
    <row r="262" spans="2:2">
      <c r="B262" s="21">
        <f>IF(AND(C262&lt;&gt;"", J262&lt;&gt;""), HYPERLINK("#'" &amp; C262 &amp; "'!" &amp; J262, J262), "")</f>
        <v>0</v>
      </c>
    </row>
    <row r="263" spans="2:2">
      <c r="B263" s="21">
        <f>IF(AND(C263&lt;&gt;"", J263&lt;&gt;""), HYPERLINK("#'" &amp; C263 &amp; "'!" &amp; J263, J263), "")</f>
        <v>0</v>
      </c>
    </row>
    <row r="264" spans="2:2">
      <c r="B264" s="21">
        <f>IF(AND(C264&lt;&gt;"", J264&lt;&gt;""), HYPERLINK("#'" &amp; C264 &amp; "'!" &amp; J264, J264), "")</f>
        <v>0</v>
      </c>
    </row>
    <row r="265" spans="2:2">
      <c r="B265" s="21">
        <f>IF(AND(C265&lt;&gt;"", J265&lt;&gt;""), HYPERLINK("#'" &amp; C265 &amp; "'!" &amp; J265, J265), "")</f>
        <v>0</v>
      </c>
    </row>
    <row r="266" spans="2:2">
      <c r="B266" s="21">
        <f>IF(AND(C266&lt;&gt;"", J266&lt;&gt;""), HYPERLINK("#'" &amp; C266 &amp; "'!" &amp; J266, J266), "")</f>
        <v>0</v>
      </c>
    </row>
    <row r="267" spans="2:2">
      <c r="B267" s="21">
        <f>IF(AND(C267&lt;&gt;"", J267&lt;&gt;""), HYPERLINK("#'" &amp; C267 &amp; "'!" &amp; J267, J267), "")</f>
        <v>0</v>
      </c>
    </row>
    <row r="268" spans="2:2">
      <c r="B268" s="21">
        <f>IF(AND(C268&lt;&gt;"", J268&lt;&gt;""), HYPERLINK("#'" &amp; C268 &amp; "'!" &amp; J268, J268), "")</f>
        <v>0</v>
      </c>
    </row>
    <row r="269" spans="2:2">
      <c r="B269" s="21">
        <f>IF(AND(C269&lt;&gt;"", J269&lt;&gt;""), HYPERLINK("#'" &amp; C269 &amp; "'!" &amp; J269, J269), "")</f>
        <v>0</v>
      </c>
    </row>
    <row r="270" spans="2:2">
      <c r="B270" s="21">
        <f>IF(AND(C270&lt;&gt;"", J270&lt;&gt;""), HYPERLINK("#'" &amp; C270 &amp; "'!" &amp; J270, J270), "")</f>
        <v>0</v>
      </c>
    </row>
    <row r="271" spans="2:2">
      <c r="B271" s="21">
        <f>IF(AND(C271&lt;&gt;"", J271&lt;&gt;""), HYPERLINK("#'" &amp; C271 &amp; "'!" &amp; J271, J271), "")</f>
        <v>0</v>
      </c>
    </row>
    <row r="272" spans="2:2">
      <c r="B272" s="21">
        <f>IF(AND(C272&lt;&gt;"", J272&lt;&gt;""), HYPERLINK("#'" &amp; C272 &amp; "'!" &amp; J272, J272), "")</f>
        <v>0</v>
      </c>
    </row>
    <row r="273" spans="2:2">
      <c r="B273" s="21">
        <f>IF(AND(C273&lt;&gt;"", J273&lt;&gt;""), HYPERLINK("#'" &amp; C273 &amp; "'!" &amp; J273, J273), "")</f>
        <v>0</v>
      </c>
    </row>
    <row r="274" spans="2:2">
      <c r="B274" s="21">
        <f>IF(AND(C274&lt;&gt;"", J274&lt;&gt;""), HYPERLINK("#'" &amp; C274 &amp; "'!" &amp; J274, J274), "")</f>
        <v>0</v>
      </c>
    </row>
    <row r="275" spans="2:2">
      <c r="B275" s="21">
        <f>IF(AND(C275&lt;&gt;"", J275&lt;&gt;""), HYPERLINK("#'" &amp; C275 &amp; "'!" &amp; J275, J275), "")</f>
        <v>0</v>
      </c>
    </row>
    <row r="276" spans="2:2">
      <c r="B276" s="21">
        <f>IF(AND(C276&lt;&gt;"", J276&lt;&gt;""), HYPERLINK("#'" &amp; C276 &amp; "'!" &amp; J276, J276), "")</f>
        <v>0</v>
      </c>
    </row>
    <row r="277" spans="2:2">
      <c r="B277" s="21">
        <f>IF(AND(C277&lt;&gt;"", J277&lt;&gt;""), HYPERLINK("#'" &amp; C277 &amp; "'!" &amp; J277, J277), "")</f>
        <v>0</v>
      </c>
    </row>
    <row r="278" spans="2:2">
      <c r="B278" s="21">
        <f>IF(AND(C278&lt;&gt;"", J278&lt;&gt;""), HYPERLINK("#'" &amp; C278 &amp; "'!" &amp; J278, J278), "")</f>
        <v>0</v>
      </c>
    </row>
    <row r="279" spans="2:2">
      <c r="B279" s="21">
        <f>IF(AND(C279&lt;&gt;"", J279&lt;&gt;""), HYPERLINK("#'" &amp; C279 &amp; "'!" &amp; J279, J279), "")</f>
        <v>0</v>
      </c>
    </row>
    <row r="280" spans="2:2">
      <c r="B280" s="21">
        <f>IF(AND(C280&lt;&gt;"", J280&lt;&gt;""), HYPERLINK("#'" &amp; C280 &amp; "'!" &amp; J280, J280), "")</f>
        <v>0</v>
      </c>
    </row>
    <row r="281" spans="2:2">
      <c r="B281" s="21">
        <f>IF(AND(C281&lt;&gt;"", J281&lt;&gt;""), HYPERLINK("#'" &amp; C281 &amp; "'!" &amp; J281, J281), "")</f>
        <v>0</v>
      </c>
    </row>
    <row r="282" spans="2:2">
      <c r="B282" s="21">
        <f>IF(AND(C282&lt;&gt;"", J282&lt;&gt;""), HYPERLINK("#'" &amp; C282 &amp; "'!" &amp; J282, J282), "")</f>
        <v>0</v>
      </c>
    </row>
    <row r="283" spans="2:2">
      <c r="B283" s="21">
        <f>IF(AND(C283&lt;&gt;"", J283&lt;&gt;""), HYPERLINK("#'" &amp; C283 &amp; "'!" &amp; J283, J283), "")</f>
        <v>0</v>
      </c>
    </row>
    <row r="284" spans="2:2">
      <c r="B284" s="21">
        <f>IF(AND(C284&lt;&gt;"", J284&lt;&gt;""), HYPERLINK("#'" &amp; C284 &amp; "'!" &amp; J284, J284), "")</f>
        <v>0</v>
      </c>
    </row>
    <row r="285" spans="2:2">
      <c r="B285" s="21">
        <f>IF(AND(C285&lt;&gt;"", J285&lt;&gt;""), HYPERLINK("#'" &amp; C285 &amp; "'!" &amp; J285, J285), "")</f>
        <v>0</v>
      </c>
    </row>
    <row r="286" spans="2:2">
      <c r="B286" s="21">
        <f>IF(AND(C286&lt;&gt;"", J286&lt;&gt;""), HYPERLINK("#'" &amp; C286 &amp; "'!" &amp; J286, J286), "")</f>
        <v>0</v>
      </c>
    </row>
    <row r="287" spans="2:2">
      <c r="B287" s="21">
        <f>IF(AND(C287&lt;&gt;"", J287&lt;&gt;""), HYPERLINK("#'" &amp; C287 &amp; "'!" &amp; J287, J287), "")</f>
        <v>0</v>
      </c>
    </row>
    <row r="288" spans="2:2">
      <c r="B288" s="21">
        <f>IF(AND(C288&lt;&gt;"", J288&lt;&gt;""), HYPERLINK("#'" &amp; C288 &amp; "'!" &amp; J288, J288), "")</f>
        <v>0</v>
      </c>
    </row>
    <row r="289" spans="2:2">
      <c r="B289" s="21">
        <f>IF(AND(C289&lt;&gt;"", J289&lt;&gt;""), HYPERLINK("#'" &amp; C289 &amp; "'!" &amp; J289, J289), "")</f>
        <v>0</v>
      </c>
    </row>
    <row r="290" spans="2:2">
      <c r="B290" s="21">
        <f>IF(AND(C290&lt;&gt;"", J290&lt;&gt;""), HYPERLINK("#'" &amp; C290 &amp; "'!" &amp; J290, J290), "")</f>
        <v>0</v>
      </c>
    </row>
    <row r="291" spans="2:2">
      <c r="B291" s="21">
        <f>IF(AND(C291&lt;&gt;"", J291&lt;&gt;""), HYPERLINK("#'" &amp; C291 &amp; "'!" &amp; J291, J291), "")</f>
        <v>0</v>
      </c>
    </row>
    <row r="292" spans="2:2">
      <c r="B292" s="21">
        <f>IF(AND(C292&lt;&gt;"", J292&lt;&gt;""), HYPERLINK("#'" &amp; C292 &amp; "'!" &amp; J292, J292), "")</f>
        <v>0</v>
      </c>
    </row>
    <row r="293" spans="2:2">
      <c r="B293" s="21">
        <f>IF(AND(C293&lt;&gt;"", J293&lt;&gt;""), HYPERLINK("#'" &amp; C293 &amp; "'!" &amp; J293, J293), "")</f>
        <v>0</v>
      </c>
    </row>
    <row r="294" spans="2:2">
      <c r="B294" s="21">
        <f>IF(AND(C294&lt;&gt;"", J294&lt;&gt;""), HYPERLINK("#'" &amp; C294 &amp; "'!" &amp; J294, J294), "")</f>
        <v>0</v>
      </c>
    </row>
    <row r="295" spans="2:2">
      <c r="B295" s="21">
        <f>IF(AND(C295&lt;&gt;"", J295&lt;&gt;""), HYPERLINK("#'" &amp; C295 &amp; "'!" &amp; J295, J295), "")</f>
        <v>0</v>
      </c>
    </row>
    <row r="296" spans="2:2">
      <c r="B296" s="21">
        <f>IF(AND(C296&lt;&gt;"", J296&lt;&gt;""), HYPERLINK("#'" &amp; C296 &amp; "'!" &amp; J296, J296), "")</f>
        <v>0</v>
      </c>
    </row>
    <row r="297" spans="2:2">
      <c r="B297" s="21">
        <f>IF(AND(C297&lt;&gt;"", J297&lt;&gt;""), HYPERLINK("#'" &amp; C297 &amp; "'!" &amp; J297, J297), "")</f>
        <v>0</v>
      </c>
    </row>
    <row r="298" spans="2:2">
      <c r="B298" s="21">
        <f>IF(AND(C298&lt;&gt;"", J298&lt;&gt;""), HYPERLINK("#'" &amp; C298 &amp; "'!" &amp; J298, J298), "")</f>
        <v>0</v>
      </c>
    </row>
    <row r="299" spans="2:2">
      <c r="B299" s="21">
        <f>IF(AND(C299&lt;&gt;"", J299&lt;&gt;""), HYPERLINK("#'" &amp; C299 &amp; "'!" &amp; J299, J299), "")</f>
        <v>0</v>
      </c>
    </row>
    <row r="300" spans="2:2">
      <c r="B300" s="21">
        <f>IF(AND(C300&lt;&gt;"", J300&lt;&gt;""), HYPERLINK("#'" &amp; C300 &amp; "'!" &amp; J300, J300), "")</f>
        <v>0</v>
      </c>
    </row>
    <row r="301" spans="2:2">
      <c r="B301" s="21">
        <f>IF(AND(C301&lt;&gt;"", J301&lt;&gt;""), HYPERLINK("#'" &amp; C301 &amp; "'!" &amp; J301, J301), "")</f>
        <v>0</v>
      </c>
    </row>
    <row r="302" spans="2:2">
      <c r="B302" s="21">
        <f>IF(AND(C302&lt;&gt;"", J302&lt;&gt;""), HYPERLINK("#'" &amp; C302 &amp; "'!" &amp; J302, J302), "")</f>
        <v>0</v>
      </c>
    </row>
    <row r="303" spans="2:2">
      <c r="B303" s="21">
        <f>IF(AND(C303&lt;&gt;"", J303&lt;&gt;""), HYPERLINK("#'" &amp; C303 &amp; "'!" &amp; J303, J303), "")</f>
        <v>0</v>
      </c>
    </row>
    <row r="304" spans="2:2">
      <c r="B304" s="21">
        <f>IF(AND(C304&lt;&gt;"", J304&lt;&gt;""), HYPERLINK("#'" &amp; C304 &amp; "'!" &amp; J304, J304), "")</f>
        <v>0</v>
      </c>
    </row>
    <row r="305" spans="2:2">
      <c r="B305" s="21">
        <f>IF(AND(C305&lt;&gt;"", J305&lt;&gt;""), HYPERLINK("#'" &amp; C305 &amp; "'!" &amp; J305, J305), "")</f>
        <v>0</v>
      </c>
    </row>
    <row r="306" spans="2:2">
      <c r="B306" s="21">
        <f>IF(AND(C306&lt;&gt;"", J306&lt;&gt;""), HYPERLINK("#'" &amp; C306 &amp; "'!" &amp; J306, J306), "")</f>
        <v>0</v>
      </c>
    </row>
    <row r="307" spans="2:2">
      <c r="B307" s="21">
        <f>IF(AND(C307&lt;&gt;"", J307&lt;&gt;""), HYPERLINK("#'" &amp; C307 &amp; "'!" &amp; J307, J307), "")</f>
        <v>0</v>
      </c>
    </row>
    <row r="308" spans="2:2">
      <c r="B308" s="21">
        <f>IF(AND(C308&lt;&gt;"", J308&lt;&gt;""), HYPERLINK("#'" &amp; C308 &amp; "'!" &amp; J308, J308), "")</f>
        <v>0</v>
      </c>
    </row>
    <row r="309" spans="2:2">
      <c r="B309" s="21">
        <f>IF(AND(C309&lt;&gt;"", J309&lt;&gt;""), HYPERLINK("#'" &amp; C309 &amp; "'!" &amp; J309, J309), "")</f>
        <v>0</v>
      </c>
    </row>
    <row r="310" spans="2:2">
      <c r="B310" s="21">
        <f>IF(AND(C310&lt;&gt;"", J310&lt;&gt;""), HYPERLINK("#'" &amp; C310 &amp; "'!" &amp; J310, J310), "")</f>
        <v>0</v>
      </c>
    </row>
    <row r="311" spans="2:2">
      <c r="B311" s="21">
        <f>IF(AND(C311&lt;&gt;"", J311&lt;&gt;""), HYPERLINK("#'" &amp; C311 &amp; "'!" &amp; J311, J311), "")</f>
        <v>0</v>
      </c>
    </row>
    <row r="312" spans="2:2">
      <c r="B312" s="21">
        <f>IF(AND(C312&lt;&gt;"", J312&lt;&gt;""), HYPERLINK("#'" &amp; C312 &amp; "'!" &amp; J312, J312), "")</f>
        <v>0</v>
      </c>
    </row>
    <row r="313" spans="2:2">
      <c r="B313" s="21">
        <f>IF(AND(C313&lt;&gt;"", J313&lt;&gt;""), HYPERLINK("#'" &amp; C313 &amp; "'!" &amp; J313, J313), "")</f>
        <v>0</v>
      </c>
    </row>
    <row r="314" spans="2:2">
      <c r="B314" s="21">
        <f>IF(AND(C314&lt;&gt;"", J314&lt;&gt;""), HYPERLINK("#'" &amp; C314 &amp; "'!" &amp; J314, J314), "")</f>
        <v>0</v>
      </c>
    </row>
    <row r="315" spans="2:2">
      <c r="B315" s="21">
        <f>IF(AND(C315&lt;&gt;"", J315&lt;&gt;""), HYPERLINK("#'" &amp; C315 &amp; "'!" &amp; J315, J315), "")</f>
        <v>0</v>
      </c>
    </row>
    <row r="316" spans="2:2">
      <c r="B316" s="21">
        <f>IF(AND(C316&lt;&gt;"", J316&lt;&gt;""), HYPERLINK("#'" &amp; C316 &amp; "'!" &amp; J316, J316), "")</f>
        <v>0</v>
      </c>
    </row>
    <row r="317" spans="2:2">
      <c r="B317" s="21">
        <f>IF(AND(C317&lt;&gt;"", J317&lt;&gt;""), HYPERLINK("#'" &amp; C317 &amp; "'!" &amp; J317, J317), "")</f>
        <v>0</v>
      </c>
    </row>
    <row r="318" spans="2:2">
      <c r="B318" s="21">
        <f>IF(AND(C318&lt;&gt;"", J318&lt;&gt;""), HYPERLINK("#'" &amp; C318 &amp; "'!" &amp; J318, J318), "")</f>
        <v>0</v>
      </c>
    </row>
    <row r="319" spans="2:2">
      <c r="B319" s="21">
        <f>IF(AND(C319&lt;&gt;"", J319&lt;&gt;""), HYPERLINK("#'" &amp; C319 &amp; "'!" &amp; J319, J319), "")</f>
        <v>0</v>
      </c>
    </row>
    <row r="320" spans="2:2">
      <c r="B320" s="21">
        <f>IF(AND(C320&lt;&gt;"", J320&lt;&gt;""), HYPERLINK("#'" &amp; C320 &amp; "'!" &amp; J320, J320), "")</f>
        <v>0</v>
      </c>
    </row>
    <row r="321" spans="2:2">
      <c r="B321" s="21">
        <f>IF(AND(C321&lt;&gt;"", J321&lt;&gt;""), HYPERLINK("#'" &amp; C321 &amp; "'!" &amp; J321, J321), "")</f>
        <v>0</v>
      </c>
    </row>
    <row r="322" spans="2:2">
      <c r="B322" s="21">
        <f>IF(AND(C322&lt;&gt;"", J322&lt;&gt;""), HYPERLINK("#'" &amp; C322 &amp; "'!" &amp; J322, J322), "")</f>
        <v>0</v>
      </c>
    </row>
    <row r="323" spans="2:2">
      <c r="B323" s="21">
        <f>IF(AND(C323&lt;&gt;"", J323&lt;&gt;""), HYPERLINK("#'" &amp; C323 &amp; "'!" &amp; J323, J323), "")</f>
        <v>0</v>
      </c>
    </row>
    <row r="324" spans="2:2">
      <c r="B324" s="21">
        <f>IF(AND(C324&lt;&gt;"", J324&lt;&gt;""), HYPERLINK("#'" &amp; C324 &amp; "'!" &amp; J324, J324), "")</f>
        <v>0</v>
      </c>
    </row>
    <row r="325" spans="2:2">
      <c r="B325" s="21">
        <f>IF(AND(C325&lt;&gt;"", J325&lt;&gt;""), HYPERLINK("#'" &amp; C325 &amp; "'!" &amp; J325, J325), "")</f>
        <v>0</v>
      </c>
    </row>
    <row r="326" spans="2:2">
      <c r="B326" s="21">
        <f>IF(AND(C326&lt;&gt;"", J326&lt;&gt;""), HYPERLINK("#'" &amp; C326 &amp; "'!" &amp; J326, J326), "")</f>
        <v>0</v>
      </c>
    </row>
    <row r="327" spans="2:2">
      <c r="B327" s="21">
        <f>IF(AND(C327&lt;&gt;"", J327&lt;&gt;""), HYPERLINK("#'" &amp; C327 &amp; "'!" &amp; J327, J327), "")</f>
        <v>0</v>
      </c>
    </row>
    <row r="328" spans="2:2">
      <c r="B328" s="21">
        <f>IF(AND(C328&lt;&gt;"", J328&lt;&gt;""), HYPERLINK("#'" &amp; C328 &amp; "'!" &amp; J328, J328), "")</f>
        <v>0</v>
      </c>
    </row>
    <row r="329" spans="2:2">
      <c r="B329" s="21">
        <f>IF(AND(C329&lt;&gt;"", J329&lt;&gt;""), HYPERLINK("#'" &amp; C329 &amp; "'!" &amp; J329, J329), "")</f>
        <v>0</v>
      </c>
    </row>
    <row r="330" spans="2:2">
      <c r="B330" s="21">
        <f>IF(AND(C330&lt;&gt;"", J330&lt;&gt;""), HYPERLINK("#'" &amp; C330 &amp; "'!" &amp; J330, J330), "")</f>
        <v>0</v>
      </c>
    </row>
    <row r="331" spans="2:2">
      <c r="B331" s="21">
        <f>IF(AND(C331&lt;&gt;"", J331&lt;&gt;""), HYPERLINK("#'" &amp; C331 &amp; "'!" &amp; J331, J331), "")</f>
        <v>0</v>
      </c>
    </row>
    <row r="332" spans="2:2">
      <c r="B332" s="21">
        <f>IF(AND(C332&lt;&gt;"", J332&lt;&gt;""), HYPERLINK("#'" &amp; C332 &amp; "'!" &amp; J332, J332), "")</f>
        <v>0</v>
      </c>
    </row>
    <row r="333" spans="2:2">
      <c r="B333" s="21">
        <f>IF(AND(C333&lt;&gt;"", J333&lt;&gt;""), HYPERLINK("#'" &amp; C333 &amp; "'!" &amp; J333, J333), "")</f>
        <v>0</v>
      </c>
    </row>
    <row r="334" spans="2:2">
      <c r="B334" s="21">
        <f>IF(AND(C334&lt;&gt;"", J334&lt;&gt;""), HYPERLINK("#'" &amp; C334 &amp; "'!" &amp; J334, J334), "")</f>
        <v>0</v>
      </c>
    </row>
    <row r="335" spans="2:2">
      <c r="B335" s="21">
        <f>IF(AND(C335&lt;&gt;"", J335&lt;&gt;""), HYPERLINK("#'" &amp; C335 &amp; "'!" &amp; J335, J335), "")</f>
        <v>0</v>
      </c>
    </row>
    <row r="336" spans="2:2">
      <c r="B336" s="21">
        <f>IF(AND(C336&lt;&gt;"", J336&lt;&gt;""), HYPERLINK("#'" &amp; C336 &amp; "'!" &amp; J336, J336), "")</f>
        <v>0</v>
      </c>
    </row>
    <row r="337" spans="2:2">
      <c r="B337" s="21">
        <f>IF(AND(C337&lt;&gt;"", J337&lt;&gt;""), HYPERLINK("#'" &amp; C337 &amp; "'!" &amp; J337, J337), "")</f>
        <v>0</v>
      </c>
    </row>
    <row r="338" spans="2:2">
      <c r="B338" s="21">
        <f>IF(AND(C338&lt;&gt;"", J338&lt;&gt;""), HYPERLINK("#'" &amp; C338 &amp; "'!" &amp; J338, J338), "")</f>
        <v>0</v>
      </c>
    </row>
    <row r="339" spans="2:2">
      <c r="B339" s="21">
        <f>IF(AND(C339&lt;&gt;"", J339&lt;&gt;""), HYPERLINK("#'" &amp; C339 &amp; "'!" &amp; J339, J339), "")</f>
        <v>0</v>
      </c>
    </row>
    <row r="340" spans="2:2">
      <c r="B340" s="21">
        <f>IF(AND(C340&lt;&gt;"", J340&lt;&gt;""), HYPERLINK("#'" &amp; C340 &amp; "'!" &amp; J340, J340), "")</f>
        <v>0</v>
      </c>
    </row>
    <row r="341" spans="2:2">
      <c r="B341" s="21">
        <f>IF(AND(C341&lt;&gt;"", J341&lt;&gt;""), HYPERLINK("#'" &amp; C341 &amp; "'!" &amp; J341, J341), "")</f>
        <v>0</v>
      </c>
    </row>
    <row r="342" spans="2:2">
      <c r="B342" s="21">
        <f>IF(AND(C342&lt;&gt;"", J342&lt;&gt;""), HYPERLINK("#'" &amp; C342 &amp; "'!" &amp; J342, J342), "")</f>
        <v>0</v>
      </c>
    </row>
    <row r="343" spans="2:2">
      <c r="B343" s="21">
        <f>IF(AND(C343&lt;&gt;"", J343&lt;&gt;""), HYPERLINK("#'" &amp; C343 &amp; "'!" &amp; J343, J343), "")</f>
        <v>0</v>
      </c>
    </row>
    <row r="344" spans="2:2">
      <c r="B344" s="21">
        <f>IF(AND(C344&lt;&gt;"", J344&lt;&gt;""), HYPERLINK("#'" &amp; C344 &amp; "'!" &amp; J344, J344), "")</f>
        <v>0</v>
      </c>
    </row>
    <row r="345" spans="2:2">
      <c r="B345" s="21">
        <f>IF(AND(C345&lt;&gt;"", J345&lt;&gt;""), HYPERLINK("#'" &amp; C345 &amp; "'!" &amp; J345, J345), "")</f>
        <v>0</v>
      </c>
    </row>
    <row r="346" spans="2:2">
      <c r="B346" s="21">
        <f>IF(AND(C346&lt;&gt;"", J346&lt;&gt;""), HYPERLINK("#'" &amp; C346 &amp; "'!" &amp; J346, J346), "")</f>
        <v>0</v>
      </c>
    </row>
    <row r="347" spans="2:2">
      <c r="B347" s="21">
        <f>IF(AND(C347&lt;&gt;"", J347&lt;&gt;""), HYPERLINK("#'" &amp; C347 &amp; "'!" &amp; J347, J347), "")</f>
        <v>0</v>
      </c>
    </row>
    <row r="348" spans="2:2">
      <c r="B348" s="21">
        <f>IF(AND(C348&lt;&gt;"", J348&lt;&gt;""), HYPERLINK("#'" &amp; C348 &amp; "'!" &amp; J348, J348), "")</f>
        <v>0</v>
      </c>
    </row>
    <row r="349" spans="2:2">
      <c r="B349" s="21">
        <f>IF(AND(C349&lt;&gt;"", J349&lt;&gt;""), HYPERLINK("#'" &amp; C349 &amp; "'!" &amp; J349, J349), "")</f>
        <v>0</v>
      </c>
    </row>
    <row r="350" spans="2:2">
      <c r="B350" s="21">
        <f>IF(AND(C350&lt;&gt;"", J350&lt;&gt;""), HYPERLINK("#'" &amp; C350 &amp; "'!" &amp; J350, J350), "")</f>
        <v>0</v>
      </c>
    </row>
    <row r="351" spans="2:2">
      <c r="B351" s="21">
        <f>IF(AND(C351&lt;&gt;"", J351&lt;&gt;""), HYPERLINK("#'" &amp; C351 &amp; "'!" &amp; J351, J351), "")</f>
        <v>0</v>
      </c>
    </row>
    <row r="352" spans="2:2">
      <c r="B352" s="21">
        <f>IF(AND(C352&lt;&gt;"", J352&lt;&gt;""), HYPERLINK("#'" &amp; C352 &amp; "'!" &amp; J352, J352), "")</f>
        <v>0</v>
      </c>
    </row>
    <row r="353" spans="2:2">
      <c r="B353" s="21">
        <f>IF(AND(C353&lt;&gt;"", J353&lt;&gt;""), HYPERLINK("#'" &amp; C353 &amp; "'!" &amp; J353, J353), "")</f>
        <v>0</v>
      </c>
    </row>
    <row r="354" spans="2:2">
      <c r="B354" s="21">
        <f>IF(AND(C354&lt;&gt;"", J354&lt;&gt;""), HYPERLINK("#'" &amp; C354 &amp; "'!" &amp; J354, J354), "")</f>
        <v>0</v>
      </c>
    </row>
    <row r="355" spans="2:2">
      <c r="B355" s="21">
        <f>IF(AND(C355&lt;&gt;"", J355&lt;&gt;""), HYPERLINK("#'" &amp; C355 &amp; "'!" &amp; J355, J355), "")</f>
        <v>0</v>
      </c>
    </row>
    <row r="356" spans="2:2">
      <c r="B356" s="21">
        <f>IF(AND(C356&lt;&gt;"", J356&lt;&gt;""), HYPERLINK("#'" &amp; C356 &amp; "'!" &amp; J356, J356), "")</f>
        <v>0</v>
      </c>
    </row>
    <row r="357" spans="2:2">
      <c r="B357" s="21">
        <f>IF(AND(C357&lt;&gt;"", J357&lt;&gt;""), HYPERLINK("#'" &amp; C357 &amp; "'!" &amp; J357, J357), "")</f>
        <v>0</v>
      </c>
    </row>
    <row r="358" spans="2:2">
      <c r="B358" s="21">
        <f>IF(AND(C358&lt;&gt;"", J358&lt;&gt;""), HYPERLINK("#'" &amp; C358 &amp; "'!" &amp; J358, J358), "")</f>
        <v>0</v>
      </c>
    </row>
    <row r="359" spans="2:2">
      <c r="B359" s="21">
        <f>IF(AND(C359&lt;&gt;"", J359&lt;&gt;""), HYPERLINK("#'" &amp; C359 &amp; "'!" &amp; J359, J359), "")</f>
        <v>0</v>
      </c>
    </row>
    <row r="360" spans="2:2">
      <c r="B360" s="21">
        <f>IF(AND(C360&lt;&gt;"", J360&lt;&gt;""), HYPERLINK("#'" &amp; C360 &amp; "'!" &amp; J360, J360), "")</f>
        <v>0</v>
      </c>
    </row>
    <row r="361" spans="2:2">
      <c r="B361" s="21">
        <f>IF(AND(C361&lt;&gt;"", J361&lt;&gt;""), HYPERLINK("#'" &amp; C361 &amp; "'!" &amp; J361, J361), "")</f>
        <v>0</v>
      </c>
    </row>
    <row r="362" spans="2:2">
      <c r="B362" s="21">
        <f>IF(AND(C362&lt;&gt;"", J362&lt;&gt;""), HYPERLINK("#'" &amp; C362 &amp; "'!" &amp; J362, J362), "")</f>
        <v>0</v>
      </c>
    </row>
    <row r="363" spans="2:2">
      <c r="B363" s="21">
        <f>IF(AND(C363&lt;&gt;"", J363&lt;&gt;""), HYPERLINK("#'" &amp; C363 &amp; "'!" &amp; J363, J363), "")</f>
        <v>0</v>
      </c>
    </row>
    <row r="364" spans="2:2">
      <c r="B364" s="21">
        <f>IF(AND(C364&lt;&gt;"", J364&lt;&gt;""), HYPERLINK("#'" &amp; C364 &amp; "'!" &amp; J364, J364), "")</f>
        <v>0</v>
      </c>
    </row>
    <row r="365" spans="2:2">
      <c r="B365" s="21">
        <f>IF(AND(C365&lt;&gt;"", J365&lt;&gt;""), HYPERLINK("#'" &amp; C365 &amp; "'!" &amp; J365, J365), "")</f>
        <v>0</v>
      </c>
    </row>
    <row r="366" spans="2:2">
      <c r="B366" s="21">
        <f>IF(AND(C366&lt;&gt;"", J366&lt;&gt;""), HYPERLINK("#'" &amp; C366 &amp; "'!" &amp; J366, J366), "")</f>
        <v>0</v>
      </c>
    </row>
    <row r="367" spans="2:2">
      <c r="B367" s="21">
        <f>IF(AND(C367&lt;&gt;"", J367&lt;&gt;""), HYPERLINK("#'" &amp; C367 &amp; "'!" &amp; J367, J367), "")</f>
        <v>0</v>
      </c>
    </row>
    <row r="368" spans="2:2">
      <c r="B368" s="21">
        <f>IF(AND(C368&lt;&gt;"", J368&lt;&gt;""), HYPERLINK("#'" &amp; C368 &amp; "'!" &amp; J368, J368), "")</f>
        <v>0</v>
      </c>
    </row>
    <row r="369" spans="2:2">
      <c r="B369" s="21">
        <f>IF(AND(C369&lt;&gt;"", J369&lt;&gt;""), HYPERLINK("#'" &amp; C369 &amp; "'!" &amp; J369, J369), "")</f>
        <v>0</v>
      </c>
    </row>
    <row r="370" spans="2:2">
      <c r="B370" s="21">
        <f>IF(AND(C370&lt;&gt;"", J370&lt;&gt;""), HYPERLINK("#'" &amp; C370 &amp; "'!" &amp; J370, J370), "")</f>
        <v>0</v>
      </c>
    </row>
    <row r="371" spans="2:2">
      <c r="B371" s="21">
        <f>IF(AND(C371&lt;&gt;"", J371&lt;&gt;""), HYPERLINK("#'" &amp; C371 &amp; "'!" &amp; J371, J371), "")</f>
        <v>0</v>
      </c>
    </row>
    <row r="372" spans="2:2">
      <c r="B372" s="21">
        <f>IF(AND(C372&lt;&gt;"", J372&lt;&gt;""), HYPERLINK("#'" &amp; C372 &amp; "'!" &amp; J372, J372), "")</f>
        <v>0</v>
      </c>
    </row>
    <row r="373" spans="2:2">
      <c r="B373" s="21">
        <f>IF(AND(C373&lt;&gt;"", J373&lt;&gt;""), HYPERLINK("#'" &amp; C373 &amp; "'!" &amp; J373, J373), "")</f>
        <v>0</v>
      </c>
    </row>
    <row r="374" spans="2:2">
      <c r="B374" s="21">
        <f>IF(AND(C374&lt;&gt;"", J374&lt;&gt;""), HYPERLINK("#'" &amp; C374 &amp; "'!" &amp; J374, J374), "")</f>
        <v>0</v>
      </c>
    </row>
    <row r="375" spans="2:2">
      <c r="B375" s="21">
        <f>IF(AND(C375&lt;&gt;"", J375&lt;&gt;""), HYPERLINK("#'" &amp; C375 &amp; "'!" &amp; J375, J375), "")</f>
        <v>0</v>
      </c>
    </row>
    <row r="376" spans="2:2">
      <c r="B376" s="21">
        <f>IF(AND(C376&lt;&gt;"", J376&lt;&gt;""), HYPERLINK("#'" &amp; C376 &amp; "'!" &amp; J376, J376), "")</f>
        <v>0</v>
      </c>
    </row>
    <row r="377" spans="2:2">
      <c r="B377" s="21">
        <f>IF(AND(C377&lt;&gt;"", J377&lt;&gt;""), HYPERLINK("#'" &amp; C377 &amp; "'!" &amp; J377, J377), "")</f>
        <v>0</v>
      </c>
    </row>
    <row r="378" spans="2:2">
      <c r="B378" s="21">
        <f>IF(AND(C378&lt;&gt;"", J378&lt;&gt;""), HYPERLINK("#'" &amp; C378 &amp; "'!" &amp; J378, J378), "")</f>
        <v>0</v>
      </c>
    </row>
    <row r="379" spans="2:2">
      <c r="B379" s="21">
        <f>IF(AND(C379&lt;&gt;"", J379&lt;&gt;""), HYPERLINK("#'" &amp; C379 &amp; "'!" &amp; J379, J379), "")</f>
        <v>0</v>
      </c>
    </row>
    <row r="380" spans="2:2">
      <c r="B380" s="21">
        <f>IF(AND(C380&lt;&gt;"", J380&lt;&gt;""), HYPERLINK("#'" &amp; C380 &amp; "'!" &amp; J380, J380), "")</f>
        <v>0</v>
      </c>
    </row>
    <row r="381" spans="2:2">
      <c r="B381" s="21">
        <f>IF(AND(C381&lt;&gt;"", J381&lt;&gt;""), HYPERLINK("#'" &amp; C381 &amp; "'!" &amp; J381, J381), "")</f>
        <v>0</v>
      </c>
    </row>
    <row r="382" spans="2:2">
      <c r="B382" s="21">
        <f>IF(AND(C382&lt;&gt;"", J382&lt;&gt;""), HYPERLINK("#'" &amp; C382 &amp; "'!" &amp; J382, J382), "")</f>
        <v>0</v>
      </c>
    </row>
    <row r="383" spans="2:2">
      <c r="B383" s="21">
        <f>IF(AND(C383&lt;&gt;"", J383&lt;&gt;""), HYPERLINK("#'" &amp; C383 &amp; "'!" &amp; J383, J383), "")</f>
        <v>0</v>
      </c>
    </row>
    <row r="384" spans="2:2">
      <c r="B384" s="21">
        <f>IF(AND(C384&lt;&gt;"", J384&lt;&gt;""), HYPERLINK("#'" &amp; C384 &amp; "'!" &amp; J384, J384), "")</f>
        <v>0</v>
      </c>
    </row>
    <row r="385" spans="2:2">
      <c r="B385" s="21">
        <f>IF(AND(C385&lt;&gt;"", J385&lt;&gt;""), HYPERLINK("#'" &amp; C385 &amp; "'!" &amp; J385, J385), "")</f>
        <v>0</v>
      </c>
    </row>
    <row r="386" spans="2:2">
      <c r="B386" s="21">
        <f>IF(AND(C386&lt;&gt;"", J386&lt;&gt;""), HYPERLINK("#'" &amp; C386 &amp; "'!" &amp; J386, J386), "")</f>
        <v>0</v>
      </c>
    </row>
    <row r="387" spans="2:2">
      <c r="B387" s="21">
        <f>IF(AND(C387&lt;&gt;"", J387&lt;&gt;""), HYPERLINK("#'" &amp; C387 &amp; "'!" &amp; J387, J387), "")</f>
        <v>0</v>
      </c>
    </row>
    <row r="388" spans="2:2">
      <c r="B388" s="21">
        <f>IF(AND(C388&lt;&gt;"", J388&lt;&gt;""), HYPERLINK("#'" &amp; C388 &amp; "'!" &amp; J388, J388), "")</f>
        <v>0</v>
      </c>
    </row>
    <row r="389" spans="2:2">
      <c r="B389" s="21">
        <f>IF(AND(C389&lt;&gt;"", J389&lt;&gt;""), HYPERLINK("#'" &amp; C389 &amp; "'!" &amp; J389, J389), "")</f>
        <v>0</v>
      </c>
    </row>
    <row r="390" spans="2:2">
      <c r="B390" s="21">
        <f>IF(AND(C390&lt;&gt;"", J390&lt;&gt;""), HYPERLINK("#'" &amp; C390 &amp; "'!" &amp; J390, J390), "")</f>
        <v>0</v>
      </c>
    </row>
    <row r="391" spans="2:2">
      <c r="B391" s="21">
        <f>IF(AND(C391&lt;&gt;"", J391&lt;&gt;""), HYPERLINK("#'" &amp; C391 &amp; "'!" &amp; J391, J391), "")</f>
        <v>0</v>
      </c>
    </row>
    <row r="392" spans="2:2">
      <c r="B392" s="21">
        <f>IF(AND(C392&lt;&gt;"", J392&lt;&gt;""), HYPERLINK("#'" &amp; C392 &amp; "'!" &amp; J392, J392), "")</f>
        <v>0</v>
      </c>
    </row>
    <row r="393" spans="2:2">
      <c r="B393" s="21">
        <f>IF(AND(C393&lt;&gt;"", J393&lt;&gt;""), HYPERLINK("#'" &amp; C393 &amp; "'!" &amp; J393, J393), "")</f>
        <v>0</v>
      </c>
    </row>
    <row r="394" spans="2:2">
      <c r="B394" s="21">
        <f>IF(AND(C394&lt;&gt;"", J394&lt;&gt;""), HYPERLINK("#'" &amp; C394 &amp; "'!" &amp; J394, J394), "")</f>
        <v>0</v>
      </c>
    </row>
    <row r="395" spans="2:2">
      <c r="B395" s="21">
        <f>IF(AND(C395&lt;&gt;"", J395&lt;&gt;""), HYPERLINK("#'" &amp; C395 &amp; "'!" &amp; J395, J395), "")</f>
        <v>0</v>
      </c>
    </row>
    <row r="396" spans="2:2">
      <c r="B396" s="21">
        <f>IF(AND(C396&lt;&gt;"", J396&lt;&gt;""), HYPERLINK("#'" &amp; C396 &amp; "'!" &amp; J396, J396), "")</f>
        <v>0</v>
      </c>
    </row>
    <row r="397" spans="2:2">
      <c r="B397" s="21">
        <f>IF(AND(C397&lt;&gt;"", J397&lt;&gt;""), HYPERLINK("#'" &amp; C397 &amp; "'!" &amp; J397, J397), "")</f>
        <v>0</v>
      </c>
    </row>
    <row r="398" spans="2:2">
      <c r="B398" s="21">
        <f>IF(AND(C398&lt;&gt;"", J398&lt;&gt;""), HYPERLINK("#'" &amp; C398 &amp; "'!" &amp; J398, J398), "")</f>
        <v>0</v>
      </c>
    </row>
    <row r="399" spans="2:2">
      <c r="B399" s="21">
        <f>IF(AND(C399&lt;&gt;"", J399&lt;&gt;""), HYPERLINK("#'" &amp; C399 &amp; "'!" &amp; J399, J399), "")</f>
        <v>0</v>
      </c>
    </row>
    <row r="400" spans="2:2">
      <c r="B400" s="21">
        <f>IF(AND(C400&lt;&gt;"", J400&lt;&gt;""), HYPERLINK("#'" &amp; C400 &amp; "'!" &amp; J400, J400), "")</f>
        <v>0</v>
      </c>
    </row>
    <row r="401" spans="2:2">
      <c r="B401" s="21">
        <f>IF(AND(C401&lt;&gt;"", J401&lt;&gt;""), HYPERLINK("#'" &amp; C401 &amp; "'!" &amp; J401, J401), "")</f>
        <v>0</v>
      </c>
    </row>
    <row r="402" spans="2:2">
      <c r="B402" s="21">
        <f>IF(AND(C402&lt;&gt;"", J402&lt;&gt;""), HYPERLINK("#'" &amp; C402 &amp; "'!" &amp; J402, J402), "")</f>
        <v>0</v>
      </c>
    </row>
    <row r="403" spans="2:2">
      <c r="B403" s="21">
        <f>IF(AND(C403&lt;&gt;"", J403&lt;&gt;""), HYPERLINK("#'" &amp; C403 &amp; "'!" &amp; J403, J403), "")</f>
        <v>0</v>
      </c>
    </row>
    <row r="404" spans="2:2">
      <c r="B404" s="21">
        <f>IF(AND(C404&lt;&gt;"", J404&lt;&gt;""), HYPERLINK("#'" &amp; C404 &amp; "'!" &amp; J404, J404), "")</f>
        <v>0</v>
      </c>
    </row>
    <row r="405" spans="2:2">
      <c r="B405" s="21">
        <f>IF(AND(C405&lt;&gt;"", J405&lt;&gt;""), HYPERLINK("#'" &amp; C405 &amp; "'!" &amp; J405, J405), "")</f>
        <v>0</v>
      </c>
    </row>
    <row r="406" spans="2:2">
      <c r="B406" s="21">
        <f>IF(AND(C406&lt;&gt;"", J406&lt;&gt;""), HYPERLINK("#'" &amp; C406 &amp; "'!" &amp; J406, J406), "")</f>
        <v>0</v>
      </c>
    </row>
    <row r="407" spans="2:2">
      <c r="B407" s="21">
        <f>IF(AND(C407&lt;&gt;"", J407&lt;&gt;""), HYPERLINK("#'" &amp; C407 &amp; "'!" &amp; J407, J407), "")</f>
        <v>0</v>
      </c>
    </row>
    <row r="408" spans="2:2">
      <c r="B408" s="21">
        <f>IF(AND(C408&lt;&gt;"", J408&lt;&gt;""), HYPERLINK("#'" &amp; C408 &amp; "'!" &amp; J408, J408), "")</f>
        <v>0</v>
      </c>
    </row>
    <row r="409" spans="2:2">
      <c r="B409" s="21">
        <f>IF(AND(C409&lt;&gt;"", J409&lt;&gt;""), HYPERLINK("#'" &amp; C409 &amp; "'!" &amp; J409, J409), "")</f>
        <v>0</v>
      </c>
    </row>
    <row r="410" spans="2:2">
      <c r="B410" s="21">
        <f>IF(AND(C410&lt;&gt;"", J410&lt;&gt;""), HYPERLINK("#'" &amp; C410 &amp; "'!" &amp; J410, J410), "")</f>
        <v>0</v>
      </c>
    </row>
    <row r="411" spans="2:2">
      <c r="B411" s="21">
        <f>IF(AND(C411&lt;&gt;"", J411&lt;&gt;""), HYPERLINK("#'" &amp; C411 &amp; "'!" &amp; J411, J411), "")</f>
        <v>0</v>
      </c>
    </row>
    <row r="412" spans="2:2">
      <c r="B412" s="21">
        <f>IF(AND(C412&lt;&gt;"", J412&lt;&gt;""), HYPERLINK("#'" &amp; C412 &amp; "'!" &amp; J412, J412), "")</f>
        <v>0</v>
      </c>
    </row>
    <row r="413" spans="2:2">
      <c r="B413" s="21">
        <f>IF(AND(C413&lt;&gt;"", J413&lt;&gt;""), HYPERLINK("#'" &amp; C413 &amp; "'!" &amp; J413, J413), "")</f>
        <v>0</v>
      </c>
    </row>
    <row r="414" spans="2:2">
      <c r="B414" s="21">
        <f>IF(AND(C414&lt;&gt;"", J414&lt;&gt;""), HYPERLINK("#'" &amp; C414 &amp; "'!" &amp; J414, J414), "")</f>
        <v>0</v>
      </c>
    </row>
    <row r="415" spans="2:2">
      <c r="B415" s="21">
        <f>IF(AND(C415&lt;&gt;"", J415&lt;&gt;""), HYPERLINK("#'" &amp; C415 &amp; "'!" &amp; J415, J415), "")</f>
        <v>0</v>
      </c>
    </row>
    <row r="416" spans="2:2">
      <c r="B416" s="21">
        <f>IF(AND(C416&lt;&gt;"", J416&lt;&gt;""), HYPERLINK("#'" &amp; C416 &amp; "'!" &amp; J416, J416), "")</f>
        <v>0</v>
      </c>
    </row>
    <row r="417" spans="2:2">
      <c r="B417" s="21">
        <f>IF(AND(C417&lt;&gt;"", J417&lt;&gt;""), HYPERLINK("#'" &amp; C417 &amp; "'!" &amp; J417, J417), "")</f>
        <v>0</v>
      </c>
    </row>
    <row r="418" spans="2:2">
      <c r="B418" s="21">
        <f>IF(AND(C418&lt;&gt;"", J418&lt;&gt;""), HYPERLINK("#'" &amp; C418 &amp; "'!" &amp; J418, J418), "")</f>
        <v>0</v>
      </c>
    </row>
    <row r="419" spans="2:2">
      <c r="B419" s="21">
        <f>IF(AND(C419&lt;&gt;"", J419&lt;&gt;""), HYPERLINK("#'" &amp; C419 &amp; "'!" &amp; J419, J419), "")</f>
        <v>0</v>
      </c>
    </row>
    <row r="420" spans="2:2">
      <c r="B420" s="21">
        <f>IF(AND(C420&lt;&gt;"", J420&lt;&gt;""), HYPERLINK("#'" &amp; C420 &amp; "'!" &amp; J420, J420), "")</f>
        <v>0</v>
      </c>
    </row>
    <row r="421" spans="2:2">
      <c r="B421" s="21">
        <f>IF(AND(C421&lt;&gt;"", J421&lt;&gt;""), HYPERLINK("#'" &amp; C421 &amp; "'!" &amp; J421, J421), "")</f>
        <v>0</v>
      </c>
    </row>
    <row r="422" spans="2:2">
      <c r="B422" s="21">
        <f>IF(AND(C422&lt;&gt;"", J422&lt;&gt;""), HYPERLINK("#'" &amp; C422 &amp; "'!" &amp; J422, J422), "")</f>
        <v>0</v>
      </c>
    </row>
    <row r="423" spans="2:2">
      <c r="B423" s="21">
        <f>IF(AND(C423&lt;&gt;"", J423&lt;&gt;""), HYPERLINK("#'" &amp; C423 &amp; "'!" &amp; J423, J423), "")</f>
        <v>0</v>
      </c>
    </row>
    <row r="424" spans="2:2">
      <c r="B424" s="21">
        <f>IF(AND(C424&lt;&gt;"", J424&lt;&gt;""), HYPERLINK("#'" &amp; C424 &amp; "'!" &amp; J424, J424), "")</f>
        <v>0</v>
      </c>
    </row>
    <row r="425" spans="2:2">
      <c r="B425" s="21">
        <f>IF(AND(C425&lt;&gt;"", J425&lt;&gt;""), HYPERLINK("#'" &amp; C425 &amp; "'!" &amp; J425, J425), "")</f>
        <v>0</v>
      </c>
    </row>
    <row r="426" spans="2:2">
      <c r="B426" s="21">
        <f>IF(AND(C426&lt;&gt;"", J426&lt;&gt;""), HYPERLINK("#'" &amp; C426 &amp; "'!" &amp; J426, J426), "")</f>
        <v>0</v>
      </c>
    </row>
    <row r="427" spans="2:2">
      <c r="B427" s="21">
        <f>IF(AND(C427&lt;&gt;"", J427&lt;&gt;""), HYPERLINK("#'" &amp; C427 &amp; "'!" &amp; J427, J427), "")</f>
        <v>0</v>
      </c>
    </row>
    <row r="428" spans="2:2">
      <c r="B428" s="21">
        <f>IF(AND(C428&lt;&gt;"", J428&lt;&gt;""), HYPERLINK("#'" &amp; C428 &amp; "'!" &amp; J428, J428), "")</f>
        <v>0</v>
      </c>
    </row>
    <row r="429" spans="2:2">
      <c r="B429" s="21">
        <f>IF(AND(C429&lt;&gt;"", J429&lt;&gt;""), HYPERLINK("#'" &amp; C429 &amp; "'!" &amp; J429, J429), "")</f>
        <v>0</v>
      </c>
    </row>
    <row r="430" spans="2:2">
      <c r="B430" s="21">
        <f>IF(AND(C430&lt;&gt;"", J430&lt;&gt;""), HYPERLINK("#'" &amp; C430 &amp; "'!" &amp; J430, J430), "")</f>
        <v>0</v>
      </c>
    </row>
    <row r="431" spans="2:2">
      <c r="B431" s="21">
        <f>IF(AND(C431&lt;&gt;"", J431&lt;&gt;""), HYPERLINK("#'" &amp; C431 &amp; "'!" &amp; J431, J431), "")</f>
        <v>0</v>
      </c>
    </row>
    <row r="432" spans="2:2">
      <c r="B432" s="21">
        <f>IF(AND(C432&lt;&gt;"", J432&lt;&gt;""), HYPERLINK("#'" &amp; C432 &amp; "'!" &amp; J432, J432), "")</f>
        <v>0</v>
      </c>
    </row>
    <row r="433" spans="2:2">
      <c r="B433" s="21">
        <f>IF(AND(C433&lt;&gt;"", J433&lt;&gt;""), HYPERLINK("#'" &amp; C433 &amp; "'!" &amp; J433, J433), "")</f>
        <v>0</v>
      </c>
    </row>
    <row r="434" spans="2:2">
      <c r="B434" s="21">
        <f>IF(AND(C434&lt;&gt;"", J434&lt;&gt;""), HYPERLINK("#'" &amp; C434 &amp; "'!" &amp; J434, J434), "")</f>
        <v>0</v>
      </c>
    </row>
    <row r="435" spans="2:2">
      <c r="B435" s="21">
        <f>IF(AND(C435&lt;&gt;"", J435&lt;&gt;""), HYPERLINK("#'" &amp; C435 &amp; "'!" &amp; J435, J435), "")</f>
        <v>0</v>
      </c>
    </row>
    <row r="436" spans="2:2">
      <c r="B436" s="21">
        <f>IF(AND(C436&lt;&gt;"", J436&lt;&gt;""), HYPERLINK("#'" &amp; C436 &amp; "'!" &amp; J436, J436), "")</f>
        <v>0</v>
      </c>
    </row>
    <row r="437" spans="2:2">
      <c r="B437" s="21">
        <f>IF(AND(C437&lt;&gt;"", J437&lt;&gt;""), HYPERLINK("#'" &amp; C437 &amp; "'!" &amp; J437, J437), "")</f>
        <v>0</v>
      </c>
    </row>
    <row r="438" spans="2:2">
      <c r="B438" s="21">
        <f>IF(AND(C438&lt;&gt;"", J438&lt;&gt;""), HYPERLINK("#'" &amp; C438 &amp; "'!" &amp; J438, J438), "")</f>
        <v>0</v>
      </c>
    </row>
    <row r="439" spans="2:2">
      <c r="B439" s="21">
        <f>IF(AND(C439&lt;&gt;"", J439&lt;&gt;""), HYPERLINK("#'" &amp; C439 &amp; "'!" &amp; J439, J439), "")</f>
        <v>0</v>
      </c>
    </row>
    <row r="440" spans="2:2">
      <c r="B440" s="21">
        <f>IF(AND(C440&lt;&gt;"", J440&lt;&gt;""), HYPERLINK("#'" &amp; C440 &amp; "'!" &amp; J440, J440), "")</f>
        <v>0</v>
      </c>
    </row>
    <row r="441" spans="2:2">
      <c r="B441" s="21">
        <f>IF(AND(C441&lt;&gt;"", J441&lt;&gt;""), HYPERLINK("#'" &amp; C441 &amp; "'!" &amp; J441, J441), "")</f>
        <v>0</v>
      </c>
    </row>
    <row r="442" spans="2:2">
      <c r="B442" s="21">
        <f>IF(AND(C442&lt;&gt;"", J442&lt;&gt;""), HYPERLINK("#'" &amp; C442 &amp; "'!" &amp; J442, J442), "")</f>
        <v>0</v>
      </c>
    </row>
    <row r="443" spans="2:2">
      <c r="B443" s="21">
        <f>IF(AND(C443&lt;&gt;"", J443&lt;&gt;""), HYPERLINK("#'" &amp; C443 &amp; "'!" &amp; J443, J443), "")</f>
        <v>0</v>
      </c>
    </row>
    <row r="444" spans="2:2">
      <c r="B444" s="21">
        <f>IF(AND(C444&lt;&gt;"", J444&lt;&gt;""), HYPERLINK("#'" &amp; C444 &amp; "'!" &amp; J444, J444), "")</f>
        <v>0</v>
      </c>
    </row>
    <row r="445" spans="2:2">
      <c r="B445" s="21">
        <f>IF(AND(C445&lt;&gt;"", J445&lt;&gt;""), HYPERLINK("#'" &amp; C445 &amp; "'!" &amp; J445, J445), "")</f>
        <v>0</v>
      </c>
    </row>
    <row r="446" spans="2:2">
      <c r="B446" s="21">
        <f>IF(AND(C446&lt;&gt;"", J446&lt;&gt;""), HYPERLINK("#'" &amp; C446 &amp; "'!" &amp; J446, J446), "")</f>
        <v>0</v>
      </c>
    </row>
    <row r="447" spans="2:2">
      <c r="B447" s="21">
        <f>IF(AND(C447&lt;&gt;"", J447&lt;&gt;""), HYPERLINK("#'" &amp; C447 &amp; "'!" &amp; J447, J447), "")</f>
        <v>0</v>
      </c>
    </row>
    <row r="448" spans="2:2">
      <c r="B448" s="21">
        <f>IF(AND(C448&lt;&gt;"", J448&lt;&gt;""), HYPERLINK("#'" &amp; C448 &amp; "'!" &amp; J448, J448), "")</f>
        <v>0</v>
      </c>
    </row>
    <row r="449" spans="2:2">
      <c r="B449" s="21">
        <f>IF(AND(C449&lt;&gt;"", J449&lt;&gt;""), HYPERLINK("#'" &amp; C449 &amp; "'!" &amp; J449, J449), "")</f>
        <v>0</v>
      </c>
    </row>
    <row r="450" spans="2:2">
      <c r="B450" s="21">
        <f>IF(AND(C450&lt;&gt;"", J450&lt;&gt;""), HYPERLINK("#'" &amp; C450 &amp; "'!" &amp; J450, J450), "")</f>
        <v>0</v>
      </c>
    </row>
    <row r="451" spans="2:2">
      <c r="B451" s="21">
        <f>IF(AND(C451&lt;&gt;"", J451&lt;&gt;""), HYPERLINK("#'" &amp; C451 &amp; "'!" &amp; J451, J451), "")</f>
        <v>0</v>
      </c>
    </row>
    <row r="452" spans="2:2">
      <c r="B452" s="21">
        <f>IF(AND(C452&lt;&gt;"", J452&lt;&gt;""), HYPERLINK("#'" &amp; C452 &amp; "'!" &amp; J452, J452), "")</f>
        <v>0</v>
      </c>
    </row>
    <row r="453" spans="2:2">
      <c r="B453" s="21">
        <f>IF(AND(C453&lt;&gt;"", J453&lt;&gt;""), HYPERLINK("#'" &amp; C453 &amp; "'!" &amp; J453, J453), "")</f>
        <v>0</v>
      </c>
    </row>
    <row r="454" spans="2:2">
      <c r="B454" s="21">
        <f>IF(AND(C454&lt;&gt;"", J454&lt;&gt;""), HYPERLINK("#'" &amp; C454 &amp; "'!" &amp; J454, J454), "")</f>
        <v>0</v>
      </c>
    </row>
    <row r="455" spans="2:2">
      <c r="B455" s="21">
        <f>IF(AND(C455&lt;&gt;"", J455&lt;&gt;""), HYPERLINK("#'" &amp; C455 &amp; "'!" &amp; J455, J455), "")</f>
        <v>0</v>
      </c>
    </row>
    <row r="456" spans="2:2">
      <c r="B456" s="21">
        <f>IF(AND(C456&lt;&gt;"", J456&lt;&gt;""), HYPERLINK("#'" &amp; C456 &amp; "'!" &amp; J456, J456), "")</f>
        <v>0</v>
      </c>
    </row>
    <row r="457" spans="2:2">
      <c r="B457" s="21">
        <f>IF(AND(C457&lt;&gt;"", J457&lt;&gt;""), HYPERLINK("#'" &amp; C457 &amp; "'!" &amp; J457, J457), "")</f>
        <v>0</v>
      </c>
    </row>
    <row r="458" spans="2:2">
      <c r="B458" s="21">
        <f>IF(AND(C458&lt;&gt;"", J458&lt;&gt;""), HYPERLINK("#'" &amp; C458 &amp; "'!" &amp; J458, J458), "")</f>
        <v>0</v>
      </c>
    </row>
    <row r="459" spans="2:2">
      <c r="B459" s="21">
        <f>IF(AND(C459&lt;&gt;"", J459&lt;&gt;""), HYPERLINK("#'" &amp; C459 &amp; "'!" &amp; J459, J459), "")</f>
        <v>0</v>
      </c>
    </row>
    <row r="460" spans="2:2">
      <c r="B460" s="21">
        <f>IF(AND(C460&lt;&gt;"", J460&lt;&gt;""), HYPERLINK("#'" &amp; C460 &amp; "'!" &amp; J460, J460), "")</f>
        <v>0</v>
      </c>
    </row>
    <row r="461" spans="2:2">
      <c r="B461" s="21">
        <f>IF(AND(C461&lt;&gt;"", J461&lt;&gt;""), HYPERLINK("#'" &amp; C461 &amp; "'!" &amp; J461, J461), "")</f>
        <v>0</v>
      </c>
    </row>
    <row r="462" spans="2:2">
      <c r="B462" s="21">
        <f>IF(AND(C462&lt;&gt;"", J462&lt;&gt;""), HYPERLINK("#'" &amp; C462 &amp; "'!" &amp; J462, J462), "")</f>
        <v>0</v>
      </c>
    </row>
    <row r="463" spans="2:2">
      <c r="B463" s="21">
        <f>IF(AND(C463&lt;&gt;"", J463&lt;&gt;""), HYPERLINK("#'" &amp; C463 &amp; "'!" &amp; J463, J463), "")</f>
        <v>0</v>
      </c>
    </row>
    <row r="464" spans="2:2">
      <c r="B464" s="21">
        <f>IF(AND(C464&lt;&gt;"", J464&lt;&gt;""), HYPERLINK("#'" &amp; C464 &amp; "'!" &amp; J464, J464), "")</f>
        <v>0</v>
      </c>
    </row>
    <row r="465" spans="2:2">
      <c r="B465" s="21">
        <f>IF(AND(C465&lt;&gt;"", J465&lt;&gt;""), HYPERLINK("#'" &amp; C465 &amp; "'!" &amp; J465, J465), "")</f>
        <v>0</v>
      </c>
    </row>
    <row r="466" spans="2:2">
      <c r="B466" s="21">
        <f>IF(AND(C466&lt;&gt;"", J466&lt;&gt;""), HYPERLINK("#'" &amp; C466 &amp; "'!" &amp; J466, J466), "")</f>
        <v>0</v>
      </c>
    </row>
    <row r="467" spans="2:2">
      <c r="B467" s="21">
        <f>IF(AND(C467&lt;&gt;"", J467&lt;&gt;""), HYPERLINK("#'" &amp; C467 &amp; "'!" &amp; J467, J467), "")</f>
        <v>0</v>
      </c>
    </row>
    <row r="468" spans="2:2">
      <c r="B468" s="21">
        <f>IF(AND(C468&lt;&gt;"", J468&lt;&gt;""), HYPERLINK("#'" &amp; C468 &amp; "'!" &amp; J468, J468), "")</f>
        <v>0</v>
      </c>
    </row>
    <row r="469" spans="2:2">
      <c r="B469" s="21">
        <f>IF(AND(C469&lt;&gt;"", J469&lt;&gt;""), HYPERLINK("#'" &amp; C469 &amp; "'!" &amp; J469, J469), "")</f>
        <v>0</v>
      </c>
    </row>
    <row r="470" spans="2:2">
      <c r="B470" s="21">
        <f>IF(AND(C470&lt;&gt;"", J470&lt;&gt;""), HYPERLINK("#'" &amp; C470 &amp; "'!" &amp; J470, J470), "")</f>
        <v>0</v>
      </c>
    </row>
    <row r="471" spans="2:2">
      <c r="B471" s="21">
        <f>IF(AND(C471&lt;&gt;"", J471&lt;&gt;""), HYPERLINK("#'" &amp; C471 &amp; "'!" &amp; J471, J471), "")</f>
        <v>0</v>
      </c>
    </row>
    <row r="472" spans="2:2">
      <c r="B472" s="21">
        <f>IF(AND(C472&lt;&gt;"", J472&lt;&gt;""), HYPERLINK("#'" &amp; C472 &amp; "'!" &amp; J472, J472), "")</f>
        <v>0</v>
      </c>
    </row>
    <row r="473" spans="2:2">
      <c r="B473" s="21">
        <f>IF(AND(C473&lt;&gt;"", J473&lt;&gt;""), HYPERLINK("#'" &amp; C473 &amp; "'!" &amp; J473, J473), "")</f>
        <v>0</v>
      </c>
    </row>
    <row r="474" spans="2:2">
      <c r="B474" s="21">
        <f>IF(AND(C474&lt;&gt;"", J474&lt;&gt;""), HYPERLINK("#'" &amp; C474 &amp; "'!" &amp; J474, J474), "")</f>
        <v>0</v>
      </c>
    </row>
    <row r="475" spans="2:2">
      <c r="B475" s="21">
        <f>IF(AND(C475&lt;&gt;"", J475&lt;&gt;""), HYPERLINK("#'" &amp; C475 &amp; "'!" &amp; J475, J475), "")</f>
        <v>0</v>
      </c>
    </row>
    <row r="476" spans="2:2">
      <c r="B476" s="21">
        <f>IF(AND(C476&lt;&gt;"", J476&lt;&gt;""), HYPERLINK("#'" &amp; C476 &amp; "'!" &amp; J476, J476), "")</f>
        <v>0</v>
      </c>
    </row>
    <row r="477" spans="2:2">
      <c r="B477" s="21">
        <f>IF(AND(C477&lt;&gt;"", J477&lt;&gt;""), HYPERLINK("#'" &amp; C477 &amp; "'!" &amp; J477, J477), "")</f>
        <v>0</v>
      </c>
    </row>
    <row r="478" spans="2:2">
      <c r="B478" s="21">
        <f>IF(AND(C478&lt;&gt;"", J478&lt;&gt;""), HYPERLINK("#'" &amp; C478 &amp; "'!" &amp; J478, J478), "")</f>
        <v>0</v>
      </c>
    </row>
    <row r="479" spans="2:2">
      <c r="B479" s="21">
        <f>IF(AND(C479&lt;&gt;"", J479&lt;&gt;""), HYPERLINK("#'" &amp; C479 &amp; "'!" &amp; J479, J479), "")</f>
        <v>0</v>
      </c>
    </row>
    <row r="480" spans="2:2">
      <c r="B480" s="21">
        <f>IF(AND(C480&lt;&gt;"", J480&lt;&gt;""), HYPERLINK("#'" &amp; C480 &amp; "'!" &amp; J480, J480), "")</f>
        <v>0</v>
      </c>
    </row>
    <row r="481" spans="2:2">
      <c r="B481" s="21">
        <f>IF(AND(C481&lt;&gt;"", J481&lt;&gt;""), HYPERLINK("#'" &amp; C481 &amp; "'!" &amp; J481, J481), "")</f>
        <v>0</v>
      </c>
    </row>
    <row r="482" spans="2:2">
      <c r="B482" s="21">
        <f>IF(AND(C482&lt;&gt;"", J482&lt;&gt;""), HYPERLINK("#'" &amp; C482 &amp; "'!" &amp; J482, J482), "")</f>
        <v>0</v>
      </c>
    </row>
    <row r="483" spans="2:2">
      <c r="B483" s="21">
        <f>IF(AND(C483&lt;&gt;"", J483&lt;&gt;""), HYPERLINK("#'" &amp; C483 &amp; "'!" &amp; J483, J483), "")</f>
        <v>0</v>
      </c>
    </row>
    <row r="484" spans="2:2">
      <c r="B484" s="21">
        <f>IF(AND(C484&lt;&gt;"", J484&lt;&gt;""), HYPERLINK("#'" &amp; C484 &amp; "'!" &amp; J484, J484), "")</f>
        <v>0</v>
      </c>
    </row>
    <row r="485" spans="2:2">
      <c r="B485" s="21">
        <f>IF(AND(C485&lt;&gt;"", J485&lt;&gt;""), HYPERLINK("#'" &amp; C485 &amp; "'!" &amp; J485, J485), "")</f>
        <v>0</v>
      </c>
    </row>
    <row r="486" spans="2:2">
      <c r="B486" s="21">
        <f>IF(AND(C486&lt;&gt;"", J486&lt;&gt;""), HYPERLINK("#'" &amp; C486 &amp; "'!" &amp; J486, J486), "")</f>
        <v>0</v>
      </c>
    </row>
    <row r="487" spans="2:2">
      <c r="B487" s="21">
        <f>IF(AND(C487&lt;&gt;"", J487&lt;&gt;""), HYPERLINK("#'" &amp; C487 &amp; "'!" &amp; J487, J487), "")</f>
        <v>0</v>
      </c>
    </row>
    <row r="488" spans="2:2">
      <c r="B488" s="21">
        <f>IF(AND(C488&lt;&gt;"", J488&lt;&gt;""), HYPERLINK("#'" &amp; C488 &amp; "'!" &amp; J488, J488), "")</f>
        <v>0</v>
      </c>
    </row>
    <row r="489" spans="2:2">
      <c r="B489" s="21">
        <f>IF(AND(C489&lt;&gt;"", J489&lt;&gt;""), HYPERLINK("#'" &amp; C489 &amp; "'!" &amp; J489, J489), "")</f>
        <v>0</v>
      </c>
    </row>
    <row r="490" spans="2:2">
      <c r="B490" s="21">
        <f>IF(AND(C490&lt;&gt;"", J490&lt;&gt;""), HYPERLINK("#'" &amp; C490 &amp; "'!" &amp; J490, J490), "")</f>
        <v>0</v>
      </c>
    </row>
    <row r="491" spans="2:2">
      <c r="B491" s="21">
        <f>IF(AND(C491&lt;&gt;"", J491&lt;&gt;""), HYPERLINK("#'" &amp; C491 &amp; "'!" &amp; J491, J491), "")</f>
        <v>0</v>
      </c>
    </row>
    <row r="492" spans="2:2">
      <c r="B492" s="21">
        <f>IF(AND(C492&lt;&gt;"", J492&lt;&gt;""), HYPERLINK("#'" &amp; C492 &amp; "'!" &amp; J492, J492), "")</f>
        <v>0</v>
      </c>
    </row>
    <row r="493" spans="2:2">
      <c r="B493" s="21">
        <f>IF(AND(C493&lt;&gt;"", J493&lt;&gt;""), HYPERLINK("#'" &amp; C493 &amp; "'!" &amp; J493, J493), "")</f>
        <v>0</v>
      </c>
    </row>
    <row r="494" spans="2:2">
      <c r="B494" s="21">
        <f>IF(AND(C494&lt;&gt;"", J494&lt;&gt;""), HYPERLINK("#'" &amp; C494 &amp; "'!" &amp; J494, J494), "")</f>
        <v>0</v>
      </c>
    </row>
    <row r="495" spans="2:2">
      <c r="B495" s="21">
        <f>IF(AND(C495&lt;&gt;"", J495&lt;&gt;""), HYPERLINK("#'" &amp; C495 &amp; "'!" &amp; J495, J495), "")</f>
        <v>0</v>
      </c>
    </row>
    <row r="496" spans="2:2">
      <c r="B496" s="21">
        <f>IF(AND(C496&lt;&gt;"", J496&lt;&gt;""), HYPERLINK("#'" &amp; C496 &amp; "'!" &amp; J496, J496), "")</f>
        <v>0</v>
      </c>
    </row>
    <row r="497" spans="2:2">
      <c r="B497" s="21">
        <f>IF(AND(C497&lt;&gt;"", J497&lt;&gt;""), HYPERLINK("#'" &amp; C497 &amp; "'!" &amp; J497, J497), "")</f>
        <v>0</v>
      </c>
    </row>
    <row r="498" spans="2:2">
      <c r="B498" s="21">
        <f>IF(AND(C498&lt;&gt;"", J498&lt;&gt;""), HYPERLINK("#'" &amp; C498 &amp; "'!" &amp; J498, J498), "")</f>
        <v>0</v>
      </c>
    </row>
    <row r="499" spans="2:2">
      <c r="B499" s="21">
        <f>IF(AND(C499&lt;&gt;"", J499&lt;&gt;""), HYPERLINK("#'" &amp; C499 &amp; "'!" &amp; J499, J499), "")</f>
        <v>0</v>
      </c>
    </row>
    <row r="500" spans="2:2">
      <c r="B500" s="21">
        <f>IF(AND(C500&lt;&gt;"", J500&lt;&gt;""), HYPERLINK("#'" &amp; C500 &amp; "'!" &amp; J500, J500), "")</f>
        <v>0</v>
      </c>
    </row>
    <row r="501" spans="2:2">
      <c r="B501" s="21">
        <f>IF(AND(C501&lt;&gt;"", J501&lt;&gt;""), HYPERLINK("#'" &amp; C501 &amp; "'!" &amp; J501, J501), "")</f>
        <v>0</v>
      </c>
    </row>
    <row r="502" spans="2:2">
      <c r="B502" s="21">
        <f>IF(AND(C502&lt;&gt;"", J502&lt;&gt;""), HYPERLINK("#'" &amp; C502 &amp; "'!" &amp; J502, J502), "")</f>
        <v>0</v>
      </c>
    </row>
    <row r="503" spans="2:2">
      <c r="B503" s="21">
        <f>IF(AND(C503&lt;&gt;"", J503&lt;&gt;""), HYPERLINK("#'" &amp; C503 &amp; "'!" &amp; J503, J503), "")</f>
        <v>0</v>
      </c>
    </row>
    <row r="504" spans="2:2">
      <c r="B504" s="21">
        <f>IF(AND(C504&lt;&gt;"", J504&lt;&gt;""), HYPERLINK("#'" &amp; C504 &amp; "'!" &amp; J504, J504), "")</f>
        <v>0</v>
      </c>
    </row>
    <row r="505" spans="2:2">
      <c r="B505" s="21">
        <f>IF(AND(C505&lt;&gt;"", J505&lt;&gt;""), HYPERLINK("#'" &amp; C505 &amp; "'!" &amp; J505, J505), "")</f>
        <v>0</v>
      </c>
    </row>
    <row r="506" spans="2:2">
      <c r="B506" s="21">
        <f>IF(AND(C506&lt;&gt;"", J506&lt;&gt;""), HYPERLINK("#'" &amp; C506 &amp; "'!" &amp; J506, J506), "")</f>
        <v>0</v>
      </c>
    </row>
    <row r="507" spans="2:2">
      <c r="B507" s="21">
        <f>IF(AND(C507&lt;&gt;"", J507&lt;&gt;""), HYPERLINK("#'" &amp; C507 &amp; "'!" &amp; J507, J507), "")</f>
        <v>0</v>
      </c>
    </row>
    <row r="508" spans="2:2">
      <c r="B508" s="21">
        <f>IF(AND(C508&lt;&gt;"", J508&lt;&gt;""), HYPERLINK("#'" &amp; C508 &amp; "'!" &amp; J508, J508), "")</f>
        <v>0</v>
      </c>
    </row>
    <row r="509" spans="2:2">
      <c r="B509" s="21">
        <f>IF(AND(C509&lt;&gt;"", J509&lt;&gt;""), HYPERLINK("#'" &amp; C509 &amp; "'!" &amp; J509, J509), "")</f>
        <v>0</v>
      </c>
    </row>
    <row r="510" spans="2:2">
      <c r="B510" s="21">
        <f>IF(AND(C510&lt;&gt;"", J510&lt;&gt;""), HYPERLINK("#'" &amp; C510 &amp; "'!" &amp; J510, J510), "")</f>
        <v>0</v>
      </c>
    </row>
    <row r="511" spans="2:2">
      <c r="B511" s="21">
        <f>IF(AND(C511&lt;&gt;"", J511&lt;&gt;""), HYPERLINK("#'" &amp; C511 &amp; "'!" &amp; J511, J511), "")</f>
        <v>0</v>
      </c>
    </row>
    <row r="512" spans="2:2">
      <c r="B512" s="21">
        <f>IF(AND(C512&lt;&gt;"", J512&lt;&gt;""), HYPERLINK("#'" &amp; C512 &amp; "'!" &amp; J512, J512), "")</f>
        <v>0</v>
      </c>
    </row>
    <row r="513" spans="2:2">
      <c r="B513" s="21">
        <f>IF(AND(C513&lt;&gt;"", J513&lt;&gt;""), HYPERLINK("#'" &amp; C513 &amp; "'!" &amp; J513, J513), "")</f>
        <v>0</v>
      </c>
    </row>
    <row r="514" spans="2:2">
      <c r="B514" s="21">
        <f>IF(AND(C514&lt;&gt;"", J514&lt;&gt;""), HYPERLINK("#'" &amp; C514 &amp; "'!" &amp; J514, J514), "")</f>
        <v>0</v>
      </c>
    </row>
    <row r="515" spans="2:2">
      <c r="B515" s="21">
        <f>IF(AND(C515&lt;&gt;"", J515&lt;&gt;""), HYPERLINK("#'" &amp; C515 &amp; "'!" &amp; J515, J515), "")</f>
        <v>0</v>
      </c>
    </row>
    <row r="516" spans="2:2">
      <c r="B516" s="21">
        <f>IF(AND(C516&lt;&gt;"", J516&lt;&gt;""), HYPERLINK("#'" &amp; C516 &amp; "'!" &amp; J516, J516), "")</f>
        <v>0</v>
      </c>
    </row>
    <row r="517" spans="2:2">
      <c r="B517" s="21">
        <f>IF(AND(C517&lt;&gt;"", J517&lt;&gt;""), HYPERLINK("#'" &amp; C517 &amp; "'!" &amp; J517, J517), "")</f>
        <v>0</v>
      </c>
    </row>
    <row r="518" spans="2:2">
      <c r="B518" s="21">
        <f>IF(AND(C518&lt;&gt;"", J518&lt;&gt;""), HYPERLINK("#'" &amp; C518 &amp; "'!" &amp; J518, J518), "")</f>
        <v>0</v>
      </c>
    </row>
    <row r="519" spans="2:2">
      <c r="B519" s="21">
        <f>IF(AND(C519&lt;&gt;"", J519&lt;&gt;""), HYPERLINK("#'" &amp; C519 &amp; "'!" &amp; J519, J519), "")</f>
        <v>0</v>
      </c>
    </row>
    <row r="520" spans="2:2">
      <c r="B520" s="21">
        <f>IF(AND(C520&lt;&gt;"", J520&lt;&gt;""), HYPERLINK("#'" &amp; C520 &amp; "'!" &amp; J520, J520), "")</f>
        <v>0</v>
      </c>
    </row>
    <row r="521" spans="2:2">
      <c r="B521" s="21">
        <f>IF(AND(C521&lt;&gt;"", J521&lt;&gt;""), HYPERLINK("#'" &amp; C521 &amp; "'!" &amp; J521, J521), "")</f>
        <v>0</v>
      </c>
    </row>
    <row r="522" spans="2:2">
      <c r="B522" s="21">
        <f>IF(AND(C522&lt;&gt;"", J522&lt;&gt;""), HYPERLINK("#'" &amp; C522 &amp; "'!" &amp; J522, J522), "")</f>
        <v>0</v>
      </c>
    </row>
    <row r="523" spans="2:2">
      <c r="B523" s="21">
        <f>IF(AND(C523&lt;&gt;"", J523&lt;&gt;""), HYPERLINK("#'" &amp; C523 &amp; "'!" &amp; J523, J523), "")</f>
        <v>0</v>
      </c>
    </row>
    <row r="524" spans="2:2">
      <c r="B524" s="21">
        <f>IF(AND(C524&lt;&gt;"", J524&lt;&gt;""), HYPERLINK("#'" &amp; C524 &amp; "'!" &amp; J524, J524), "")</f>
        <v>0</v>
      </c>
    </row>
    <row r="525" spans="2:2">
      <c r="B525" s="21">
        <f>IF(AND(C525&lt;&gt;"", J525&lt;&gt;""), HYPERLINK("#'" &amp; C525 &amp; "'!" &amp; J525, J525), "")</f>
        <v>0</v>
      </c>
    </row>
    <row r="526" spans="2:2">
      <c r="B526" s="21">
        <f>IF(AND(C526&lt;&gt;"", J526&lt;&gt;""), HYPERLINK("#'" &amp; C526 &amp; "'!" &amp; J526, J526), "")</f>
        <v>0</v>
      </c>
    </row>
    <row r="527" spans="2:2">
      <c r="B527" s="21">
        <f>IF(AND(C527&lt;&gt;"", J527&lt;&gt;""), HYPERLINK("#'" &amp; C527 &amp; "'!" &amp; J527, J527), "")</f>
        <v>0</v>
      </c>
    </row>
    <row r="528" spans="2:2">
      <c r="B528" s="21">
        <f>IF(AND(C528&lt;&gt;"", J528&lt;&gt;""), HYPERLINK("#'" &amp; C528 &amp; "'!" &amp; J528, J528), "")</f>
        <v>0</v>
      </c>
    </row>
    <row r="529" spans="2:2">
      <c r="B529" s="21">
        <f>IF(AND(C529&lt;&gt;"", J529&lt;&gt;""), HYPERLINK("#'" &amp; C529 &amp; "'!" &amp; J529, J529), "")</f>
        <v>0</v>
      </c>
    </row>
    <row r="530" spans="2:2">
      <c r="B530" s="21">
        <f>IF(AND(C530&lt;&gt;"", J530&lt;&gt;""), HYPERLINK("#'" &amp; C530 &amp; "'!" &amp; J530, J530), "")</f>
        <v>0</v>
      </c>
    </row>
    <row r="531" spans="2:2">
      <c r="B531" s="21">
        <f>IF(AND(C531&lt;&gt;"", J531&lt;&gt;""), HYPERLINK("#'" &amp; C531 &amp; "'!" &amp; J531, J531), "")</f>
        <v>0</v>
      </c>
    </row>
    <row r="532" spans="2:2">
      <c r="B532" s="21">
        <f>IF(AND(C532&lt;&gt;"", J532&lt;&gt;""), HYPERLINK("#'" &amp; C532 &amp; "'!" &amp; J532, J532), "")</f>
        <v>0</v>
      </c>
    </row>
    <row r="533" spans="2:2">
      <c r="B533" s="21">
        <f>IF(AND(C533&lt;&gt;"", J533&lt;&gt;""), HYPERLINK("#'" &amp; C533 &amp; "'!" &amp; J533, J533), "")</f>
        <v>0</v>
      </c>
    </row>
    <row r="534" spans="2:2">
      <c r="B534" s="21">
        <f>IF(AND(C534&lt;&gt;"", J534&lt;&gt;""), HYPERLINK("#'" &amp; C534 &amp; "'!" &amp; J534, J534), "")</f>
        <v>0</v>
      </c>
    </row>
    <row r="535" spans="2:2">
      <c r="B535" s="21">
        <f>IF(AND(C535&lt;&gt;"", J535&lt;&gt;""), HYPERLINK("#'" &amp; C535 &amp; "'!" &amp; J535, J535), "")</f>
        <v>0</v>
      </c>
    </row>
    <row r="536" spans="2:2">
      <c r="B536" s="21">
        <f>IF(AND(C536&lt;&gt;"", J536&lt;&gt;""), HYPERLINK("#'" &amp; C536 &amp; "'!" &amp; J536, J536), "")</f>
        <v>0</v>
      </c>
    </row>
    <row r="537" spans="2:2">
      <c r="B537" s="21">
        <f>IF(AND(C537&lt;&gt;"", J537&lt;&gt;""), HYPERLINK("#'" &amp; C537 &amp; "'!" &amp; J537, J537), "")</f>
        <v>0</v>
      </c>
    </row>
    <row r="538" spans="2:2">
      <c r="B538" s="21">
        <f>IF(AND(C538&lt;&gt;"", J538&lt;&gt;""), HYPERLINK("#'" &amp; C538 &amp; "'!" &amp; J538, J538), "")</f>
        <v>0</v>
      </c>
    </row>
    <row r="539" spans="2:2">
      <c r="B539" s="21">
        <f>IF(AND(C539&lt;&gt;"", J539&lt;&gt;""), HYPERLINK("#'" &amp; C539 &amp; "'!" &amp; J539, J539), "")</f>
        <v>0</v>
      </c>
    </row>
    <row r="540" spans="2:2">
      <c r="B540" s="21">
        <f>IF(AND(C540&lt;&gt;"", J540&lt;&gt;""), HYPERLINK("#'" &amp; C540 &amp; "'!" &amp; J540, J540), "")</f>
        <v>0</v>
      </c>
    </row>
    <row r="541" spans="2:2">
      <c r="B541" s="21">
        <f>IF(AND(C541&lt;&gt;"", J541&lt;&gt;""), HYPERLINK("#'" &amp; C541 &amp; "'!" &amp; J541, J541), "")</f>
        <v>0</v>
      </c>
    </row>
    <row r="542" spans="2:2">
      <c r="B542" s="21">
        <f>IF(AND(C542&lt;&gt;"", J542&lt;&gt;""), HYPERLINK("#'" &amp; C542 &amp; "'!" &amp; J542, J542), "")</f>
        <v>0</v>
      </c>
    </row>
    <row r="543" spans="2:2">
      <c r="B543" s="21">
        <f>IF(AND(C543&lt;&gt;"", J543&lt;&gt;""), HYPERLINK("#'" &amp; C543 &amp; "'!" &amp; J543, J543), "")</f>
        <v>0</v>
      </c>
    </row>
    <row r="544" spans="2:2">
      <c r="B544" s="21">
        <f>IF(AND(C544&lt;&gt;"", J544&lt;&gt;""), HYPERLINK("#'" &amp; C544 &amp; "'!" &amp; J544, J544), "")</f>
        <v>0</v>
      </c>
    </row>
    <row r="545" spans="2:2">
      <c r="B545" s="21">
        <f>IF(AND(C545&lt;&gt;"", J545&lt;&gt;""), HYPERLINK("#'" &amp; C545 &amp; "'!" &amp; J545, J545), "")</f>
        <v>0</v>
      </c>
    </row>
    <row r="546" spans="2:2">
      <c r="B546" s="21">
        <f>IF(AND(C546&lt;&gt;"", J546&lt;&gt;""), HYPERLINK("#'" &amp; C546 &amp; "'!" &amp; J546, J546), "")</f>
        <v>0</v>
      </c>
    </row>
    <row r="547" spans="2:2">
      <c r="B547" s="21">
        <f>IF(AND(C547&lt;&gt;"", J547&lt;&gt;""), HYPERLINK("#'" &amp; C547 &amp; "'!" &amp; J547, J547), "")</f>
        <v>0</v>
      </c>
    </row>
    <row r="548" spans="2:2">
      <c r="B548" s="21">
        <f>IF(AND(C548&lt;&gt;"", J548&lt;&gt;""), HYPERLINK("#'" &amp; C548 &amp; "'!" &amp; J548, J548), "")</f>
        <v>0</v>
      </c>
    </row>
    <row r="549" spans="2:2">
      <c r="B549" s="21">
        <f>IF(AND(C549&lt;&gt;"", J549&lt;&gt;""), HYPERLINK("#'" &amp; C549 &amp; "'!" &amp; J549, J549), "")</f>
        <v>0</v>
      </c>
    </row>
    <row r="550" spans="2:2">
      <c r="B550" s="21">
        <f>IF(AND(C550&lt;&gt;"", J550&lt;&gt;""), HYPERLINK("#'" &amp; C550 &amp; "'!" &amp; J550, J550), "")</f>
        <v>0</v>
      </c>
    </row>
    <row r="551" spans="2:2">
      <c r="B551" s="21">
        <f>IF(AND(C551&lt;&gt;"", J551&lt;&gt;""), HYPERLINK("#'" &amp; C551 &amp; "'!" &amp; J551, J551), "")</f>
        <v>0</v>
      </c>
    </row>
    <row r="552" spans="2:2">
      <c r="B552" s="21">
        <f>IF(AND(C552&lt;&gt;"", J552&lt;&gt;""), HYPERLINK("#'" &amp; C552 &amp; "'!" &amp; J552, J552), "")</f>
        <v>0</v>
      </c>
    </row>
    <row r="553" spans="2:2">
      <c r="B553" s="21">
        <f>IF(AND(C553&lt;&gt;"", J553&lt;&gt;""), HYPERLINK("#'" &amp; C553 &amp; "'!" &amp; J553, J553), "")</f>
        <v>0</v>
      </c>
    </row>
    <row r="554" spans="2:2">
      <c r="B554" s="21">
        <f>IF(AND(C554&lt;&gt;"", J554&lt;&gt;""), HYPERLINK("#'" &amp; C554 &amp; "'!" &amp; J554, J554), "")</f>
        <v>0</v>
      </c>
    </row>
    <row r="555" spans="2:2">
      <c r="B555" s="21">
        <f>IF(AND(C555&lt;&gt;"", J555&lt;&gt;""), HYPERLINK("#'" &amp; C555 &amp; "'!" &amp; J555, J555), "")</f>
        <v>0</v>
      </c>
    </row>
    <row r="556" spans="2:2">
      <c r="B556" s="21">
        <f>IF(AND(C556&lt;&gt;"", J556&lt;&gt;""), HYPERLINK("#'" &amp; C556 &amp; "'!" &amp; J556, J556), "")</f>
        <v>0</v>
      </c>
    </row>
    <row r="557" spans="2:2">
      <c r="B557" s="21">
        <f>IF(AND(C557&lt;&gt;"", J557&lt;&gt;""), HYPERLINK("#'" &amp; C557 &amp; "'!" &amp; J557, J557), "")</f>
        <v>0</v>
      </c>
    </row>
    <row r="558" spans="2:2">
      <c r="B558" s="21">
        <f>IF(AND(C558&lt;&gt;"", J558&lt;&gt;""), HYPERLINK("#'" &amp; C558 &amp; "'!" &amp; J558, J558), "")</f>
        <v>0</v>
      </c>
    </row>
    <row r="559" spans="2:2">
      <c r="B559" s="21">
        <f>IF(AND(C559&lt;&gt;"", J559&lt;&gt;""), HYPERLINK("#'" &amp; C559 &amp; "'!" &amp; J559, J559), "")</f>
        <v>0</v>
      </c>
    </row>
    <row r="560" spans="2:2">
      <c r="B560" s="21">
        <f>IF(AND(C560&lt;&gt;"", J560&lt;&gt;""), HYPERLINK("#'" &amp; C560 &amp; "'!" &amp; J560, J560), "")</f>
        <v>0</v>
      </c>
    </row>
    <row r="561" spans="2:2">
      <c r="B561" s="21">
        <f>IF(AND(C561&lt;&gt;"", J561&lt;&gt;""), HYPERLINK("#'" &amp; C561 &amp; "'!" &amp; J561, J561), "")</f>
        <v>0</v>
      </c>
    </row>
    <row r="562" spans="2:2">
      <c r="B562" s="21">
        <f>IF(AND(C562&lt;&gt;"", J562&lt;&gt;""), HYPERLINK("#'" &amp; C562 &amp; "'!" &amp; J562, J562), "")</f>
        <v>0</v>
      </c>
    </row>
    <row r="563" spans="2:2">
      <c r="B563" s="21">
        <f>IF(AND(C563&lt;&gt;"", J563&lt;&gt;""), HYPERLINK("#'" &amp; C563 &amp; "'!" &amp; J563, J563), "")</f>
        <v>0</v>
      </c>
    </row>
    <row r="564" spans="2:2">
      <c r="B564" s="21">
        <f>IF(AND(C564&lt;&gt;"", J564&lt;&gt;""), HYPERLINK("#'" &amp; C564 &amp; "'!" &amp; J564, J564), "")</f>
        <v>0</v>
      </c>
    </row>
    <row r="565" spans="2:2">
      <c r="B565" s="21">
        <f>IF(AND(C565&lt;&gt;"", J565&lt;&gt;""), HYPERLINK("#'" &amp; C565 &amp; "'!" &amp; J565, J565), "")</f>
        <v>0</v>
      </c>
    </row>
    <row r="566" spans="2:2">
      <c r="B566" s="21">
        <f>IF(AND(C566&lt;&gt;"", J566&lt;&gt;""), HYPERLINK("#'" &amp; C566 &amp; "'!" &amp; J566, J566), "")</f>
        <v>0</v>
      </c>
    </row>
    <row r="567" spans="2:2">
      <c r="B567" s="21">
        <f>IF(AND(C567&lt;&gt;"", J567&lt;&gt;""), HYPERLINK("#'" &amp; C567 &amp; "'!" &amp; J567, J567), "")</f>
        <v>0</v>
      </c>
    </row>
    <row r="568" spans="2:2">
      <c r="B568" s="21">
        <f>IF(AND(C568&lt;&gt;"", J568&lt;&gt;""), HYPERLINK("#'" &amp; C568 &amp; "'!" &amp; J568, J568), "")</f>
        <v>0</v>
      </c>
    </row>
    <row r="569" spans="2:2">
      <c r="B569" s="21">
        <f>IF(AND(C569&lt;&gt;"", J569&lt;&gt;""), HYPERLINK("#'" &amp; C569 &amp; "'!" &amp; J569, J569), "")</f>
        <v>0</v>
      </c>
    </row>
    <row r="570" spans="2:2">
      <c r="B570" s="21">
        <f>IF(AND(C570&lt;&gt;"", J570&lt;&gt;""), HYPERLINK("#'" &amp; C570 &amp; "'!" &amp; J570, J570), "")</f>
        <v>0</v>
      </c>
    </row>
    <row r="571" spans="2:2">
      <c r="B571" s="21">
        <f>IF(AND(C571&lt;&gt;"", J571&lt;&gt;""), HYPERLINK("#'" &amp; C571 &amp; "'!" &amp; J571, J571), "")</f>
        <v>0</v>
      </c>
    </row>
    <row r="572" spans="2:2">
      <c r="B572" s="21">
        <f>IF(AND(C572&lt;&gt;"", J572&lt;&gt;""), HYPERLINK("#'" &amp; C572 &amp; "'!" &amp; J572, J572), "")</f>
        <v>0</v>
      </c>
    </row>
    <row r="573" spans="2:2">
      <c r="B573" s="21">
        <f>IF(AND(C573&lt;&gt;"", J573&lt;&gt;""), HYPERLINK("#'" &amp; C573 &amp; "'!" &amp; J573, J573), "")</f>
        <v>0</v>
      </c>
    </row>
    <row r="574" spans="2:2">
      <c r="B574" s="21">
        <f>IF(AND(C574&lt;&gt;"", J574&lt;&gt;""), HYPERLINK("#'" &amp; C574 &amp; "'!" &amp; J574, J574), "")</f>
        <v>0</v>
      </c>
    </row>
    <row r="575" spans="2:2">
      <c r="B575" s="21">
        <f>IF(AND(C575&lt;&gt;"", J575&lt;&gt;""), HYPERLINK("#'" &amp; C575 &amp; "'!" &amp; J575, J575), "")</f>
        <v>0</v>
      </c>
    </row>
    <row r="576" spans="2:2">
      <c r="B576" s="21">
        <f>IF(AND(C576&lt;&gt;"", J576&lt;&gt;""), HYPERLINK("#'" &amp; C576 &amp; "'!" &amp; J576, J576), "")</f>
        <v>0</v>
      </c>
    </row>
    <row r="577" spans="2:2">
      <c r="B577" s="21">
        <f>IF(AND(C577&lt;&gt;"", J577&lt;&gt;""), HYPERLINK("#'" &amp; C577 &amp; "'!" &amp; J577, J577), "")</f>
        <v>0</v>
      </c>
    </row>
    <row r="578" spans="2:2">
      <c r="B578" s="21">
        <f>IF(AND(C578&lt;&gt;"", J578&lt;&gt;""), HYPERLINK("#'" &amp; C578 &amp; "'!" &amp; J578, J578), "")</f>
        <v>0</v>
      </c>
    </row>
    <row r="579" spans="2:2">
      <c r="B579" s="21">
        <f>IF(AND(C579&lt;&gt;"", J579&lt;&gt;""), HYPERLINK("#'" &amp; C579 &amp; "'!" &amp; J579, J579), "")</f>
        <v>0</v>
      </c>
    </row>
    <row r="580" spans="2:2">
      <c r="B580" s="21">
        <f>IF(AND(C580&lt;&gt;"", J580&lt;&gt;""), HYPERLINK("#'" &amp; C580 &amp; "'!" &amp; J580, J580), "")</f>
        <v>0</v>
      </c>
    </row>
    <row r="581" spans="2:2">
      <c r="B581" s="21">
        <f>IF(AND(C581&lt;&gt;"", J581&lt;&gt;""), HYPERLINK("#'" &amp; C581 &amp; "'!" &amp; J581, J581), "")</f>
        <v>0</v>
      </c>
    </row>
    <row r="582" spans="2:2">
      <c r="B582" s="21">
        <f>IF(AND(C582&lt;&gt;"", J582&lt;&gt;""), HYPERLINK("#'" &amp; C582 &amp; "'!" &amp; J582, J582), "")</f>
        <v>0</v>
      </c>
    </row>
    <row r="583" spans="2:2">
      <c r="B583" s="21">
        <f>IF(AND(C583&lt;&gt;"", J583&lt;&gt;""), HYPERLINK("#'" &amp; C583 &amp; "'!" &amp; J583, J583), "")</f>
        <v>0</v>
      </c>
    </row>
    <row r="584" spans="2:2">
      <c r="B584" s="21">
        <f>IF(AND(C584&lt;&gt;"", J584&lt;&gt;""), HYPERLINK("#'" &amp; C584 &amp; "'!" &amp; J584, J584), "")</f>
        <v>0</v>
      </c>
    </row>
    <row r="585" spans="2:2">
      <c r="B585" s="21">
        <f>IF(AND(C585&lt;&gt;"", J585&lt;&gt;""), HYPERLINK("#'" &amp; C585 &amp; "'!" &amp; J585, J585), "")</f>
        <v>0</v>
      </c>
    </row>
    <row r="586" spans="2:2">
      <c r="B586" s="21">
        <f>IF(AND(C586&lt;&gt;"", J586&lt;&gt;""), HYPERLINK("#'" &amp; C586 &amp; "'!" &amp; J586, J586), "")</f>
        <v>0</v>
      </c>
    </row>
    <row r="587" spans="2:2">
      <c r="B587" s="21">
        <f>IF(AND(C587&lt;&gt;"", J587&lt;&gt;""), HYPERLINK("#'" &amp; C587 &amp; "'!" &amp; J587, J587), "")</f>
        <v>0</v>
      </c>
    </row>
    <row r="588" spans="2:2">
      <c r="B588" s="21">
        <f>IF(AND(C588&lt;&gt;"", J588&lt;&gt;""), HYPERLINK("#'" &amp; C588 &amp; "'!" &amp; J588, J588), "")</f>
        <v>0</v>
      </c>
    </row>
    <row r="589" spans="2:2">
      <c r="B589" s="21">
        <f>IF(AND(C589&lt;&gt;"", J589&lt;&gt;""), HYPERLINK("#'" &amp; C589 &amp; "'!" &amp; J589, J589), "")</f>
        <v>0</v>
      </c>
    </row>
    <row r="590" spans="2:2">
      <c r="B590" s="21">
        <f>IF(AND(C590&lt;&gt;"", J590&lt;&gt;""), HYPERLINK("#'" &amp; C590 &amp; "'!" &amp; J590, J590), "")</f>
        <v>0</v>
      </c>
    </row>
    <row r="591" spans="2:2">
      <c r="B591" s="21">
        <f>IF(AND(C591&lt;&gt;"", J591&lt;&gt;""), HYPERLINK("#'" &amp; C591 &amp; "'!" &amp; J591, J591), "")</f>
        <v>0</v>
      </c>
    </row>
    <row r="592" spans="2:2">
      <c r="B592" s="21">
        <f>IF(AND(C592&lt;&gt;"", J592&lt;&gt;""), HYPERLINK("#'" &amp; C592 &amp; "'!" &amp; J592, J592), "")</f>
        <v>0</v>
      </c>
    </row>
    <row r="593" spans="2:2">
      <c r="B593" s="21">
        <f>IF(AND(C593&lt;&gt;"", J593&lt;&gt;""), HYPERLINK("#'" &amp; C593 &amp; "'!" &amp; J593, J593), "")</f>
        <v>0</v>
      </c>
    </row>
    <row r="594" spans="2:2">
      <c r="B594" s="21">
        <f>IF(AND(C594&lt;&gt;"", J594&lt;&gt;""), HYPERLINK("#'" &amp; C594 &amp; "'!" &amp; J594, J594), "")</f>
        <v>0</v>
      </c>
    </row>
    <row r="595" spans="2:2">
      <c r="B595" s="21">
        <f>IF(AND(C595&lt;&gt;"", J595&lt;&gt;""), HYPERLINK("#'" &amp; C595 &amp; "'!" &amp; J595, J595), "")</f>
        <v>0</v>
      </c>
    </row>
    <row r="596" spans="2:2">
      <c r="B596" s="21">
        <f>IF(AND(C596&lt;&gt;"", J596&lt;&gt;""), HYPERLINK("#'" &amp; C596 &amp; "'!" &amp; J596, J596), "")</f>
        <v>0</v>
      </c>
    </row>
    <row r="597" spans="2:2">
      <c r="B597" s="21">
        <f>IF(AND(C597&lt;&gt;"", J597&lt;&gt;""), HYPERLINK("#'" &amp; C597 &amp; "'!" &amp; J597, J597), "")</f>
        <v>0</v>
      </c>
    </row>
    <row r="598" spans="2:2">
      <c r="B598" s="21">
        <f>IF(AND(C598&lt;&gt;"", J598&lt;&gt;""), HYPERLINK("#'" &amp; C598 &amp; "'!" &amp; J598, J598), "")</f>
        <v>0</v>
      </c>
    </row>
    <row r="599" spans="2:2">
      <c r="B599" s="21">
        <f>IF(AND(C599&lt;&gt;"", J599&lt;&gt;""), HYPERLINK("#'" &amp; C599 &amp; "'!" &amp; J599, J599), "")</f>
        <v>0</v>
      </c>
    </row>
    <row r="600" spans="2:2">
      <c r="B600" s="21">
        <f>IF(AND(C600&lt;&gt;"", J600&lt;&gt;""), HYPERLINK("#'" &amp; C600 &amp; "'!" &amp; J600, J600), "")</f>
        <v>0</v>
      </c>
    </row>
    <row r="601" spans="2:2">
      <c r="B601" s="21">
        <f>IF(AND(C601&lt;&gt;"", J601&lt;&gt;""), HYPERLINK("#'" &amp; C601 &amp; "'!" &amp; J601, J601), "")</f>
        <v>0</v>
      </c>
    </row>
    <row r="602" spans="2:2">
      <c r="B602" s="21">
        <f>IF(AND(C602&lt;&gt;"", J602&lt;&gt;""), HYPERLINK("#'" &amp; C602 &amp; "'!" &amp; J602, J602), "")</f>
        <v>0</v>
      </c>
    </row>
    <row r="603" spans="2:2">
      <c r="B603" s="21">
        <f>IF(AND(C603&lt;&gt;"", J603&lt;&gt;""), HYPERLINK("#'" &amp; C603 &amp; "'!" &amp; J603, J603), "")</f>
        <v>0</v>
      </c>
    </row>
    <row r="604" spans="2:2">
      <c r="B604" s="21">
        <f>IF(AND(C604&lt;&gt;"", J604&lt;&gt;""), HYPERLINK("#'" &amp; C604 &amp; "'!" &amp; J604, J604), "")</f>
        <v>0</v>
      </c>
    </row>
    <row r="605" spans="2:2">
      <c r="B605" s="21">
        <f>IF(AND(C605&lt;&gt;"", J605&lt;&gt;""), HYPERLINK("#'" &amp; C605 &amp; "'!" &amp; J605, J605), "")</f>
        <v>0</v>
      </c>
    </row>
    <row r="606" spans="2:2">
      <c r="B606" s="21">
        <f>IF(AND(C606&lt;&gt;"", J606&lt;&gt;""), HYPERLINK("#'" &amp; C606 &amp; "'!" &amp; J606, J606), "")</f>
        <v>0</v>
      </c>
    </row>
    <row r="607" spans="2:2">
      <c r="B607" s="21">
        <f>IF(AND(C607&lt;&gt;"", J607&lt;&gt;""), HYPERLINK("#'" &amp; C607 &amp; "'!" &amp; J607, J607), "")</f>
        <v>0</v>
      </c>
    </row>
    <row r="608" spans="2:2">
      <c r="B608" s="21">
        <f>IF(AND(C608&lt;&gt;"", J608&lt;&gt;""), HYPERLINK("#'" &amp; C608 &amp; "'!" &amp; J608, J608), "")</f>
        <v>0</v>
      </c>
    </row>
    <row r="609" spans="2:2">
      <c r="B609" s="21">
        <f>IF(AND(C609&lt;&gt;"", J609&lt;&gt;""), HYPERLINK("#'" &amp; C609 &amp; "'!" &amp; J609, J609), "")</f>
        <v>0</v>
      </c>
    </row>
    <row r="610" spans="2:2">
      <c r="B610" s="21">
        <f>IF(AND(C610&lt;&gt;"", J610&lt;&gt;""), HYPERLINK("#'" &amp; C610 &amp; "'!" &amp; J610, J610), "")</f>
        <v>0</v>
      </c>
    </row>
    <row r="611" spans="2:2">
      <c r="B611" s="21">
        <f>IF(AND(C611&lt;&gt;"", J611&lt;&gt;""), HYPERLINK("#'" &amp; C611 &amp; "'!" &amp; J611, J611), "")</f>
        <v>0</v>
      </c>
    </row>
    <row r="612" spans="2:2">
      <c r="B612" s="21">
        <f>IF(AND(C612&lt;&gt;"", J612&lt;&gt;""), HYPERLINK("#'" &amp; C612 &amp; "'!" &amp; J612, J612), "")</f>
        <v>0</v>
      </c>
    </row>
    <row r="613" spans="2:2">
      <c r="B613" s="21">
        <f>IF(AND(C613&lt;&gt;"", J613&lt;&gt;""), HYPERLINK("#'" &amp; C613 &amp; "'!" &amp; J613, J613), "")</f>
        <v>0</v>
      </c>
    </row>
    <row r="614" spans="2:2">
      <c r="B614" s="21">
        <f>IF(AND(C614&lt;&gt;"", J614&lt;&gt;""), HYPERLINK("#'" &amp; C614 &amp; "'!" &amp; J614, J614), "")</f>
        <v>0</v>
      </c>
    </row>
    <row r="615" spans="2:2">
      <c r="B615" s="21">
        <f>IF(AND(C615&lt;&gt;"", J615&lt;&gt;""), HYPERLINK("#'" &amp; C615 &amp; "'!" &amp; J615, J615), "")</f>
        <v>0</v>
      </c>
    </row>
    <row r="616" spans="2:2">
      <c r="B616" s="21">
        <f>IF(AND(C616&lt;&gt;"", J616&lt;&gt;""), HYPERLINK("#'" &amp; C616 &amp; "'!" &amp; J616, J616), "")</f>
        <v>0</v>
      </c>
    </row>
    <row r="617" spans="2:2">
      <c r="B617" s="21">
        <f>IF(AND(C617&lt;&gt;"", J617&lt;&gt;""), HYPERLINK("#'" &amp; C617 &amp; "'!" &amp; J617, J617), "")</f>
        <v>0</v>
      </c>
    </row>
    <row r="618" spans="2:2">
      <c r="B618" s="21">
        <f>IF(AND(C618&lt;&gt;"", J618&lt;&gt;""), HYPERLINK("#'" &amp; C618 &amp; "'!" &amp; J618, J618), "")</f>
        <v>0</v>
      </c>
    </row>
    <row r="619" spans="2:2">
      <c r="B619" s="21">
        <f>IF(AND(C619&lt;&gt;"", J619&lt;&gt;""), HYPERLINK("#'" &amp; C619 &amp; "'!" &amp; J619, J619), "")</f>
        <v>0</v>
      </c>
    </row>
    <row r="620" spans="2:2">
      <c r="B620" s="21">
        <f>IF(AND(C620&lt;&gt;"", J620&lt;&gt;""), HYPERLINK("#'" &amp; C620 &amp; "'!" &amp; J620, J620), "")</f>
        <v>0</v>
      </c>
    </row>
    <row r="621" spans="2:2">
      <c r="B621" s="21">
        <f>IF(AND(C621&lt;&gt;"", J621&lt;&gt;""), HYPERLINK("#'" &amp; C621 &amp; "'!" &amp; J621, J621), "")</f>
        <v>0</v>
      </c>
    </row>
    <row r="622" spans="2:2">
      <c r="B622" s="21">
        <f>IF(AND(C622&lt;&gt;"", J622&lt;&gt;""), HYPERLINK("#'" &amp; C622 &amp; "'!" &amp; J622, J622), "")</f>
        <v>0</v>
      </c>
    </row>
    <row r="623" spans="2:2">
      <c r="B623" s="21">
        <f>IF(AND(C623&lt;&gt;"", J623&lt;&gt;""), HYPERLINK("#'" &amp; C623 &amp; "'!" &amp; J623, J623), "")</f>
        <v>0</v>
      </c>
    </row>
    <row r="624" spans="2:2">
      <c r="B624" s="21">
        <f>IF(AND(C624&lt;&gt;"", J624&lt;&gt;""), HYPERLINK("#'" &amp; C624 &amp; "'!" &amp; J624, J624), "")</f>
        <v>0</v>
      </c>
    </row>
    <row r="625" spans="2:2">
      <c r="B625" s="21">
        <f>IF(AND(C625&lt;&gt;"", J625&lt;&gt;""), HYPERLINK("#'" &amp; C625 &amp; "'!" &amp; J625, J625), "")</f>
        <v>0</v>
      </c>
    </row>
    <row r="626" spans="2:2">
      <c r="B626" s="21">
        <f>IF(AND(C626&lt;&gt;"", J626&lt;&gt;""), HYPERLINK("#'" &amp; C626 &amp; "'!" &amp; J626, J626), "")</f>
        <v>0</v>
      </c>
    </row>
    <row r="627" spans="2:2">
      <c r="B627" s="21">
        <f>IF(AND(C627&lt;&gt;"", J627&lt;&gt;""), HYPERLINK("#'" &amp; C627 &amp; "'!" &amp; J627, J627), "")</f>
        <v>0</v>
      </c>
    </row>
    <row r="628" spans="2:2">
      <c r="B628" s="21">
        <f>IF(AND(C628&lt;&gt;"", J628&lt;&gt;""), HYPERLINK("#'" &amp; C628 &amp; "'!" &amp; J628, J628), "")</f>
        <v>0</v>
      </c>
    </row>
    <row r="629" spans="2:2">
      <c r="B629" s="21">
        <f>IF(AND(C629&lt;&gt;"", J629&lt;&gt;""), HYPERLINK("#'" &amp; C629 &amp; "'!" &amp; J629, J629), "")</f>
        <v>0</v>
      </c>
    </row>
    <row r="630" spans="2:2">
      <c r="B630" s="21">
        <f>IF(AND(C630&lt;&gt;"", J630&lt;&gt;""), HYPERLINK("#'" &amp; C630 &amp; "'!" &amp; J630, J630), "")</f>
        <v>0</v>
      </c>
    </row>
    <row r="631" spans="2:2">
      <c r="B631" s="21">
        <f>IF(AND(C631&lt;&gt;"", J631&lt;&gt;""), HYPERLINK("#'" &amp; C631 &amp; "'!" &amp; J631, J631), "")</f>
        <v>0</v>
      </c>
    </row>
    <row r="632" spans="2:2">
      <c r="B632" s="21">
        <f>IF(AND(C632&lt;&gt;"", J632&lt;&gt;""), HYPERLINK("#'" &amp; C632 &amp; "'!" &amp; J632, J632), "")</f>
        <v>0</v>
      </c>
    </row>
    <row r="633" spans="2:2">
      <c r="B633" s="21">
        <f>IF(AND(C633&lt;&gt;"", J633&lt;&gt;""), HYPERLINK("#'" &amp; C633 &amp; "'!" &amp; J633, J633), "")</f>
        <v>0</v>
      </c>
    </row>
    <row r="634" spans="2:2">
      <c r="B634" s="21">
        <f>IF(AND(C634&lt;&gt;"", J634&lt;&gt;""), HYPERLINK("#'" &amp; C634 &amp; "'!" &amp; J634, J634), "")</f>
        <v>0</v>
      </c>
    </row>
    <row r="635" spans="2:2">
      <c r="B635" s="21">
        <f>IF(AND(C635&lt;&gt;"", J635&lt;&gt;""), HYPERLINK("#'" &amp; C635 &amp; "'!" &amp; J635, J635), "")</f>
        <v>0</v>
      </c>
    </row>
    <row r="636" spans="2:2">
      <c r="B636" s="21">
        <f>IF(AND(C636&lt;&gt;"", J636&lt;&gt;""), HYPERLINK("#'" &amp; C636 &amp; "'!" &amp; J636, J636), "")</f>
        <v>0</v>
      </c>
    </row>
    <row r="637" spans="2:2">
      <c r="B637" s="21">
        <f>IF(AND(C637&lt;&gt;"", J637&lt;&gt;""), HYPERLINK("#'" &amp; C637 &amp; "'!" &amp; J637, J637), "")</f>
        <v>0</v>
      </c>
    </row>
    <row r="638" spans="2:2">
      <c r="B638" s="21">
        <f>IF(AND(C638&lt;&gt;"", J638&lt;&gt;""), HYPERLINK("#'" &amp; C638 &amp; "'!" &amp; J638, J638), "")</f>
        <v>0</v>
      </c>
    </row>
    <row r="639" spans="2:2">
      <c r="B639" s="21">
        <f>IF(AND(C639&lt;&gt;"", J639&lt;&gt;""), HYPERLINK("#'" &amp; C639 &amp; "'!" &amp; J639, J639), "")</f>
        <v>0</v>
      </c>
    </row>
    <row r="640" spans="2:2">
      <c r="B640" s="21">
        <f>IF(AND(C640&lt;&gt;"", J640&lt;&gt;""), HYPERLINK("#'" &amp; C640 &amp; "'!" &amp; J640, J640), "")</f>
        <v>0</v>
      </c>
    </row>
    <row r="641" spans="2:2">
      <c r="B641" s="21">
        <f>IF(AND(C641&lt;&gt;"", J641&lt;&gt;""), HYPERLINK("#'" &amp; C641 &amp; "'!" &amp; J641, J641), "")</f>
        <v>0</v>
      </c>
    </row>
    <row r="642" spans="2:2">
      <c r="B642" s="21">
        <f>IF(AND(C642&lt;&gt;"", J642&lt;&gt;""), HYPERLINK("#'" &amp; C642 &amp; "'!" &amp; J642, J642), "")</f>
        <v>0</v>
      </c>
    </row>
    <row r="643" spans="2:2">
      <c r="B643" s="21">
        <f>IF(AND(C643&lt;&gt;"", J643&lt;&gt;""), HYPERLINK("#'" &amp; C643 &amp; "'!" &amp; J643, J643), "")</f>
        <v>0</v>
      </c>
    </row>
    <row r="644" spans="2:2">
      <c r="B644" s="21">
        <f>IF(AND(C644&lt;&gt;"", J644&lt;&gt;""), HYPERLINK("#'" &amp; C644 &amp; "'!" &amp; J644, J644), "")</f>
        <v>0</v>
      </c>
    </row>
    <row r="645" spans="2:2">
      <c r="B645" s="21">
        <f>IF(AND(C645&lt;&gt;"", J645&lt;&gt;""), HYPERLINK("#'" &amp; C645 &amp; "'!" &amp; J645, J645), "")</f>
        <v>0</v>
      </c>
    </row>
    <row r="646" spans="2:2">
      <c r="B646" s="21">
        <f>IF(AND(C646&lt;&gt;"", J646&lt;&gt;""), HYPERLINK("#'" &amp; C646 &amp; "'!" &amp; J646, J646), "")</f>
        <v>0</v>
      </c>
    </row>
    <row r="647" spans="2:2">
      <c r="B647" s="21">
        <f>IF(AND(C647&lt;&gt;"", J647&lt;&gt;""), HYPERLINK("#'" &amp; C647 &amp; "'!" &amp; J647, J647), "")</f>
        <v>0</v>
      </c>
    </row>
    <row r="648" spans="2:2">
      <c r="B648" s="21">
        <f>IF(AND(C648&lt;&gt;"", J648&lt;&gt;""), HYPERLINK("#'" &amp; C648 &amp; "'!" &amp; J648, J648), "")</f>
        <v>0</v>
      </c>
    </row>
    <row r="649" spans="2:2">
      <c r="B649" s="21">
        <f>IF(AND(C649&lt;&gt;"", J649&lt;&gt;""), HYPERLINK("#'" &amp; C649 &amp; "'!" &amp; J649, J649), "")</f>
        <v>0</v>
      </c>
    </row>
    <row r="650" spans="2:2">
      <c r="B650" s="21">
        <f>IF(AND(C650&lt;&gt;"", J650&lt;&gt;""), HYPERLINK("#'" &amp; C650 &amp; "'!" &amp; J650, J650), "")</f>
        <v>0</v>
      </c>
    </row>
    <row r="651" spans="2:2">
      <c r="B651" s="21">
        <f>IF(AND(C651&lt;&gt;"", J651&lt;&gt;""), HYPERLINK("#'" &amp; C651 &amp; "'!" &amp; J651, J651), "")</f>
        <v>0</v>
      </c>
    </row>
    <row r="652" spans="2:2">
      <c r="B652" s="21">
        <f>IF(AND(C652&lt;&gt;"", J652&lt;&gt;""), HYPERLINK("#'" &amp; C652 &amp; "'!" &amp; J652, J652), "")</f>
        <v>0</v>
      </c>
    </row>
    <row r="653" spans="2:2">
      <c r="B653" s="21">
        <f>IF(AND(C653&lt;&gt;"", J653&lt;&gt;""), HYPERLINK("#'" &amp; C653 &amp; "'!" &amp; J653, J653), "")</f>
        <v>0</v>
      </c>
    </row>
    <row r="654" spans="2:2">
      <c r="B654" s="21">
        <f>IF(AND(C654&lt;&gt;"", J654&lt;&gt;""), HYPERLINK("#'" &amp; C654 &amp; "'!" &amp; J654, J654), "")</f>
        <v>0</v>
      </c>
    </row>
    <row r="655" spans="2:2">
      <c r="B655" s="21">
        <f>IF(AND(C655&lt;&gt;"", J655&lt;&gt;""), HYPERLINK("#'" &amp; C655 &amp; "'!" &amp; J655, J655), "")</f>
        <v>0</v>
      </c>
    </row>
    <row r="656" spans="2:2">
      <c r="B656" s="21">
        <f>IF(AND(C656&lt;&gt;"", J656&lt;&gt;""), HYPERLINK("#'" &amp; C656 &amp; "'!" &amp; J656, J656), "")</f>
        <v>0</v>
      </c>
    </row>
    <row r="657" spans="2:2">
      <c r="B657" s="21">
        <f>IF(AND(C657&lt;&gt;"", J657&lt;&gt;""), HYPERLINK("#'" &amp; C657 &amp; "'!" &amp; J657, J657), "")</f>
        <v>0</v>
      </c>
    </row>
    <row r="658" spans="2:2">
      <c r="B658" s="21">
        <f>IF(AND(C658&lt;&gt;"", J658&lt;&gt;""), HYPERLINK("#'" &amp; C658 &amp; "'!" &amp; J658, J658), "")</f>
        <v>0</v>
      </c>
    </row>
    <row r="659" spans="2:2">
      <c r="B659" s="21">
        <f>IF(AND(C659&lt;&gt;"", J659&lt;&gt;""), HYPERLINK("#'" &amp; C659 &amp; "'!" &amp; J659, J659), "")</f>
        <v>0</v>
      </c>
    </row>
    <row r="660" spans="2:2">
      <c r="B660" s="21">
        <f>IF(AND(C660&lt;&gt;"", J660&lt;&gt;""), HYPERLINK("#'" &amp; C660 &amp; "'!" &amp; J660, J660), "")</f>
        <v>0</v>
      </c>
    </row>
    <row r="661" spans="2:2">
      <c r="B661" s="21">
        <f>IF(AND(C661&lt;&gt;"", J661&lt;&gt;""), HYPERLINK("#'" &amp; C661 &amp; "'!" &amp; J661, J661), "")</f>
        <v>0</v>
      </c>
    </row>
    <row r="662" spans="2:2">
      <c r="B662" s="21">
        <f>IF(AND(C662&lt;&gt;"", J662&lt;&gt;""), HYPERLINK("#'" &amp; C662 &amp; "'!" &amp; J662, J662), "")</f>
        <v>0</v>
      </c>
    </row>
    <row r="663" spans="2:2">
      <c r="B663" s="21">
        <f>IF(AND(C663&lt;&gt;"", J663&lt;&gt;""), HYPERLINK("#'" &amp; C663 &amp; "'!" &amp; J663, J663), "")</f>
        <v>0</v>
      </c>
    </row>
    <row r="664" spans="2:2">
      <c r="B664" s="21">
        <f>IF(AND(C664&lt;&gt;"", J664&lt;&gt;""), HYPERLINK("#'" &amp; C664 &amp; "'!" &amp; J664, J664), "")</f>
        <v>0</v>
      </c>
    </row>
    <row r="665" spans="2:2">
      <c r="B665" s="21">
        <f>IF(AND(C665&lt;&gt;"", J665&lt;&gt;""), HYPERLINK("#'" &amp; C665 &amp; "'!" &amp; J665, J665), "")</f>
        <v>0</v>
      </c>
    </row>
    <row r="666" spans="2:2">
      <c r="B666" s="21">
        <f>IF(AND(C666&lt;&gt;"", J666&lt;&gt;""), HYPERLINK("#'" &amp; C666 &amp; "'!" &amp; J666, J666), "")</f>
        <v>0</v>
      </c>
    </row>
    <row r="667" spans="2:2">
      <c r="B667" s="21">
        <f>IF(AND(C667&lt;&gt;"", J667&lt;&gt;""), HYPERLINK("#'" &amp; C667 &amp; "'!" &amp; J667, J667), "")</f>
        <v>0</v>
      </c>
    </row>
    <row r="668" spans="2:2">
      <c r="B668" s="21">
        <f>IF(AND(C668&lt;&gt;"", J668&lt;&gt;""), HYPERLINK("#'" &amp; C668 &amp; "'!" &amp; J668, J668), "")</f>
        <v>0</v>
      </c>
    </row>
    <row r="669" spans="2:2">
      <c r="B669" s="21">
        <f>IF(AND(C669&lt;&gt;"", J669&lt;&gt;""), HYPERLINK("#'" &amp; C669 &amp; "'!" &amp; J669, J669), "")</f>
        <v>0</v>
      </c>
    </row>
    <row r="670" spans="2:2">
      <c r="B670" s="21">
        <f>IF(AND(C670&lt;&gt;"", J670&lt;&gt;""), HYPERLINK("#'" &amp; C670 &amp; "'!" &amp; J670, J670), "")</f>
        <v>0</v>
      </c>
    </row>
    <row r="671" spans="2:2">
      <c r="B671" s="21">
        <f>IF(AND(C671&lt;&gt;"", J671&lt;&gt;""), HYPERLINK("#'" &amp; C671 &amp; "'!" &amp; J671, J671), "")</f>
        <v>0</v>
      </c>
    </row>
    <row r="672" spans="2:2">
      <c r="B672" s="21">
        <f>IF(AND(C672&lt;&gt;"", J672&lt;&gt;""), HYPERLINK("#'" &amp; C672 &amp; "'!" &amp; J672, J672), "")</f>
        <v>0</v>
      </c>
    </row>
    <row r="673" spans="2:2">
      <c r="B673" s="21">
        <f>IF(AND(C673&lt;&gt;"", J673&lt;&gt;""), HYPERLINK("#'" &amp; C673 &amp; "'!" &amp; J673, J673), "")</f>
        <v>0</v>
      </c>
    </row>
    <row r="674" spans="2:2">
      <c r="B674" s="21">
        <f>IF(AND(C674&lt;&gt;"", J674&lt;&gt;""), HYPERLINK("#'" &amp; C674 &amp; "'!" &amp; J674, J674), "")</f>
        <v>0</v>
      </c>
    </row>
    <row r="675" spans="2:2">
      <c r="B675" s="21">
        <f>IF(AND(C675&lt;&gt;"", J675&lt;&gt;""), HYPERLINK("#'" &amp; C675 &amp; "'!" &amp; J675, J675), "")</f>
        <v>0</v>
      </c>
    </row>
    <row r="676" spans="2:2">
      <c r="B676" s="21">
        <f>IF(AND(C676&lt;&gt;"", J676&lt;&gt;""), HYPERLINK("#'" &amp; C676 &amp; "'!" &amp; J676, J676), "")</f>
        <v>0</v>
      </c>
    </row>
    <row r="677" spans="2:2">
      <c r="B677" s="21">
        <f>IF(AND(C677&lt;&gt;"", J677&lt;&gt;""), HYPERLINK("#'" &amp; C677 &amp; "'!" &amp; J677, J677), "")</f>
        <v>0</v>
      </c>
    </row>
    <row r="678" spans="2:2">
      <c r="B678" s="21">
        <f>IF(AND(C678&lt;&gt;"", J678&lt;&gt;""), HYPERLINK("#'" &amp; C678 &amp; "'!" &amp; J678, J678), "")</f>
        <v>0</v>
      </c>
    </row>
    <row r="679" spans="2:2">
      <c r="B679" s="21">
        <f>IF(AND(C679&lt;&gt;"", J679&lt;&gt;""), HYPERLINK("#'" &amp; C679 &amp; "'!" &amp; J679, J679), "")</f>
        <v>0</v>
      </c>
    </row>
    <row r="680" spans="2:2">
      <c r="B680" s="21">
        <f>IF(AND(C680&lt;&gt;"", J680&lt;&gt;""), HYPERLINK("#'" &amp; C680 &amp; "'!" &amp; J680, J680), "")</f>
        <v>0</v>
      </c>
    </row>
    <row r="681" spans="2:2">
      <c r="B681" s="21">
        <f>IF(AND(C681&lt;&gt;"", J681&lt;&gt;""), HYPERLINK("#'" &amp; C681 &amp; "'!" &amp; J681, J681), "")</f>
        <v>0</v>
      </c>
    </row>
    <row r="682" spans="2:2">
      <c r="B682" s="21">
        <f>IF(AND(C682&lt;&gt;"", J682&lt;&gt;""), HYPERLINK("#'" &amp; C682 &amp; "'!" &amp; J682, J682), "")</f>
        <v>0</v>
      </c>
    </row>
    <row r="683" spans="2:2">
      <c r="B683" s="21">
        <f>IF(AND(C683&lt;&gt;"", J683&lt;&gt;""), HYPERLINK("#'" &amp; C683 &amp; "'!" &amp; J683, J683), "")</f>
        <v>0</v>
      </c>
    </row>
    <row r="684" spans="2:2">
      <c r="B684" s="21">
        <f>IF(AND(C684&lt;&gt;"", J684&lt;&gt;""), HYPERLINK("#'" &amp; C684 &amp; "'!" &amp; J684, J684), "")</f>
        <v>0</v>
      </c>
    </row>
    <row r="685" spans="2:2">
      <c r="B685" s="21">
        <f>IF(AND(C685&lt;&gt;"", J685&lt;&gt;""), HYPERLINK("#'" &amp; C685 &amp; "'!" &amp; J685, J685), "")</f>
        <v>0</v>
      </c>
    </row>
    <row r="686" spans="2:2">
      <c r="B686" s="21">
        <f>IF(AND(C686&lt;&gt;"", J686&lt;&gt;""), HYPERLINK("#'" &amp; C686 &amp; "'!" &amp; J686, J686), "")</f>
        <v>0</v>
      </c>
    </row>
    <row r="687" spans="2:2">
      <c r="B687" s="21">
        <f>IF(AND(C687&lt;&gt;"", J687&lt;&gt;""), HYPERLINK("#'" &amp; C687 &amp; "'!" &amp; J687, J687), "")</f>
        <v>0</v>
      </c>
    </row>
    <row r="688" spans="2:2">
      <c r="B688" s="21">
        <f>IF(AND(C688&lt;&gt;"", J688&lt;&gt;""), HYPERLINK("#'" &amp; C688 &amp; "'!" &amp; J688, J688), "")</f>
        <v>0</v>
      </c>
    </row>
    <row r="689" spans="2:2">
      <c r="B689" s="21">
        <f>IF(AND(C689&lt;&gt;"", J689&lt;&gt;""), HYPERLINK("#'" &amp; C689 &amp; "'!" &amp; J689, J689), "")</f>
        <v>0</v>
      </c>
    </row>
    <row r="690" spans="2:2">
      <c r="B690" s="21">
        <f>IF(AND(C690&lt;&gt;"", J690&lt;&gt;""), HYPERLINK("#'" &amp; C690 &amp; "'!" &amp; J690, J690), "")</f>
        <v>0</v>
      </c>
    </row>
    <row r="691" spans="2:2">
      <c r="B691" s="21">
        <f>IF(AND(C691&lt;&gt;"", J691&lt;&gt;""), HYPERLINK("#'" &amp; C691 &amp; "'!" &amp; J691, J691), "")</f>
        <v>0</v>
      </c>
    </row>
    <row r="692" spans="2:2">
      <c r="B692" s="21">
        <f>IF(AND(C692&lt;&gt;"", J692&lt;&gt;""), HYPERLINK("#'" &amp; C692 &amp; "'!" &amp; J692, J692), "")</f>
        <v>0</v>
      </c>
    </row>
    <row r="693" spans="2:2">
      <c r="B693" s="21">
        <f>IF(AND(C693&lt;&gt;"", J693&lt;&gt;""), HYPERLINK("#'" &amp; C693 &amp; "'!" &amp; J693, J693), "")</f>
        <v>0</v>
      </c>
    </row>
    <row r="694" spans="2:2">
      <c r="B694" s="21">
        <f>IF(AND(C694&lt;&gt;"", J694&lt;&gt;""), HYPERLINK("#'" &amp; C694 &amp; "'!" &amp; J694, J694), "")</f>
        <v>0</v>
      </c>
    </row>
    <row r="695" spans="2:2">
      <c r="B695" s="21">
        <f>IF(AND(C695&lt;&gt;"", J695&lt;&gt;""), HYPERLINK("#'" &amp; C695 &amp; "'!" &amp; J695, J695), "")</f>
        <v>0</v>
      </c>
    </row>
    <row r="696" spans="2:2">
      <c r="B696" s="21">
        <f>IF(AND(C696&lt;&gt;"", J696&lt;&gt;""), HYPERLINK("#'" &amp; C696 &amp; "'!" &amp; J696, J696), "")</f>
        <v>0</v>
      </c>
    </row>
    <row r="697" spans="2:2">
      <c r="B697" s="21">
        <f>IF(AND(C697&lt;&gt;"", J697&lt;&gt;""), HYPERLINK("#'" &amp; C697 &amp; "'!" &amp; J697, J697), "")</f>
        <v>0</v>
      </c>
    </row>
    <row r="698" spans="2:2">
      <c r="B698" s="21">
        <f>IF(AND(C698&lt;&gt;"", J698&lt;&gt;""), HYPERLINK("#'" &amp; C698 &amp; "'!" &amp; J698, J698), "")</f>
        <v>0</v>
      </c>
    </row>
    <row r="699" spans="2:2">
      <c r="B699" s="21">
        <f>IF(AND(C699&lt;&gt;"", J699&lt;&gt;""), HYPERLINK("#'" &amp; C699 &amp; "'!" &amp; J699, J699), "")</f>
        <v>0</v>
      </c>
    </row>
    <row r="700" spans="2:2">
      <c r="B700" s="21">
        <f>IF(AND(C700&lt;&gt;"", J700&lt;&gt;""), HYPERLINK("#'" &amp; C700 &amp; "'!" &amp; J700, J700), "")</f>
        <v>0</v>
      </c>
    </row>
    <row r="701" spans="2:2">
      <c r="B701" s="21">
        <f>IF(AND(C701&lt;&gt;"", J701&lt;&gt;""), HYPERLINK("#'" &amp; C701 &amp; "'!" &amp; J701, J701), "")</f>
        <v>0</v>
      </c>
    </row>
    <row r="702" spans="2:2">
      <c r="B702" s="21">
        <f>IF(AND(C702&lt;&gt;"", J702&lt;&gt;""), HYPERLINK("#'" &amp; C702 &amp; "'!" &amp; J702, J702), "")</f>
        <v>0</v>
      </c>
    </row>
    <row r="703" spans="2:2">
      <c r="B703" s="21">
        <f>IF(AND(C703&lt;&gt;"", J703&lt;&gt;""), HYPERLINK("#'" &amp; C703 &amp; "'!" &amp; J703, J703), "")</f>
        <v>0</v>
      </c>
    </row>
    <row r="704" spans="2:2">
      <c r="B704" s="21">
        <f>IF(AND(C704&lt;&gt;"", J704&lt;&gt;""), HYPERLINK("#'" &amp; C704 &amp; "'!" &amp; J704, J704), "")</f>
        <v>0</v>
      </c>
    </row>
    <row r="705" spans="2:2">
      <c r="B705" s="21">
        <f>IF(AND(C705&lt;&gt;"", J705&lt;&gt;""), HYPERLINK("#'" &amp; C705 &amp; "'!" &amp; J705, J705), "")</f>
        <v>0</v>
      </c>
    </row>
    <row r="706" spans="2:2">
      <c r="B706" s="21">
        <f>IF(AND(C706&lt;&gt;"", J706&lt;&gt;""), HYPERLINK("#'" &amp; C706 &amp; "'!" &amp; J706, J706), "")</f>
        <v>0</v>
      </c>
    </row>
    <row r="707" spans="2:2">
      <c r="B707" s="21">
        <f>IF(AND(C707&lt;&gt;"", J707&lt;&gt;""), HYPERLINK("#'" &amp; C707 &amp; "'!" &amp; J707, J707), "")</f>
        <v>0</v>
      </c>
    </row>
    <row r="708" spans="2:2">
      <c r="B708" s="21">
        <f>IF(AND(C708&lt;&gt;"", J708&lt;&gt;""), HYPERLINK("#'" &amp; C708 &amp; "'!" &amp; J708, J708), "")</f>
        <v>0</v>
      </c>
    </row>
    <row r="709" spans="2:2">
      <c r="B709" s="21">
        <f>IF(AND(C709&lt;&gt;"", J709&lt;&gt;""), HYPERLINK("#'" &amp; C709 &amp; "'!" &amp; J709, J709), "")</f>
        <v>0</v>
      </c>
    </row>
    <row r="710" spans="2:2">
      <c r="B710" s="21">
        <f>IF(AND(C710&lt;&gt;"", J710&lt;&gt;""), HYPERLINK("#'" &amp; C710 &amp; "'!" &amp; J710, J710), "")</f>
        <v>0</v>
      </c>
    </row>
    <row r="711" spans="2:2">
      <c r="B711" s="21">
        <f>IF(AND(C711&lt;&gt;"", J711&lt;&gt;""), HYPERLINK("#'" &amp; C711 &amp; "'!" &amp; J711, J711), "")</f>
        <v>0</v>
      </c>
    </row>
    <row r="712" spans="2:2">
      <c r="B712" s="21">
        <f>IF(AND(C712&lt;&gt;"", J712&lt;&gt;""), HYPERLINK("#'" &amp; C712 &amp; "'!" &amp; J712, J712), "")</f>
        <v>0</v>
      </c>
    </row>
    <row r="713" spans="2:2">
      <c r="B713" s="21">
        <f>IF(AND(C713&lt;&gt;"", J713&lt;&gt;""), HYPERLINK("#'" &amp; C713 &amp; "'!" &amp; J713, J713), "")</f>
        <v>0</v>
      </c>
    </row>
    <row r="714" spans="2:2">
      <c r="B714" s="21">
        <f>IF(AND(C714&lt;&gt;"", J714&lt;&gt;""), HYPERLINK("#'" &amp; C714 &amp; "'!" &amp; J714, J714), "")</f>
        <v>0</v>
      </c>
    </row>
    <row r="715" spans="2:2">
      <c r="B715" s="21">
        <f>IF(AND(C715&lt;&gt;"", J715&lt;&gt;""), HYPERLINK("#'" &amp; C715 &amp; "'!" &amp; J715, J715), "")</f>
        <v>0</v>
      </c>
    </row>
    <row r="716" spans="2:2">
      <c r="B716" s="21">
        <f>IF(AND(C716&lt;&gt;"", J716&lt;&gt;""), HYPERLINK("#'" &amp; C716 &amp; "'!" &amp; J716, J716), "")</f>
        <v>0</v>
      </c>
    </row>
    <row r="717" spans="2:2">
      <c r="B717" s="21">
        <f>IF(AND(C717&lt;&gt;"", J717&lt;&gt;""), HYPERLINK("#'" &amp; C717 &amp; "'!" &amp; J717, J717), "")</f>
        <v>0</v>
      </c>
    </row>
    <row r="718" spans="2:2">
      <c r="B718" s="21">
        <f>IF(AND(C718&lt;&gt;"", J718&lt;&gt;""), HYPERLINK("#'" &amp; C718 &amp; "'!" &amp; J718, J718), "")</f>
        <v>0</v>
      </c>
    </row>
    <row r="719" spans="2:2">
      <c r="B719" s="21">
        <f>IF(AND(C719&lt;&gt;"", J719&lt;&gt;""), HYPERLINK("#'" &amp; C719 &amp; "'!" &amp; J719, J719), "")</f>
        <v>0</v>
      </c>
    </row>
    <row r="720" spans="2:2">
      <c r="B720" s="21">
        <f>IF(AND(C720&lt;&gt;"", J720&lt;&gt;""), HYPERLINK("#'" &amp; C720 &amp; "'!" &amp; J720, J720), "")</f>
        <v>0</v>
      </c>
    </row>
    <row r="721" spans="2:2">
      <c r="B721" s="21">
        <f>IF(AND(C721&lt;&gt;"", J721&lt;&gt;""), HYPERLINK("#'" &amp; C721 &amp; "'!" &amp; J721, J721), "")</f>
        <v>0</v>
      </c>
    </row>
    <row r="722" spans="2:2">
      <c r="B722" s="21">
        <f>IF(AND(C722&lt;&gt;"", J722&lt;&gt;""), HYPERLINK("#'" &amp; C722 &amp; "'!" &amp; J722, J722), "")</f>
        <v>0</v>
      </c>
    </row>
    <row r="723" spans="2:2">
      <c r="B723" s="21">
        <f>IF(AND(C723&lt;&gt;"", J723&lt;&gt;""), HYPERLINK("#'" &amp; C723 &amp; "'!" &amp; J723, J723), "")</f>
        <v>0</v>
      </c>
    </row>
    <row r="724" spans="2:2">
      <c r="B724" s="21">
        <f>IF(AND(C724&lt;&gt;"", J724&lt;&gt;""), HYPERLINK("#'" &amp; C724 &amp; "'!" &amp; J724, J724), "")</f>
        <v>0</v>
      </c>
    </row>
    <row r="725" spans="2:2">
      <c r="B725" s="21">
        <f>IF(AND(C725&lt;&gt;"", J725&lt;&gt;""), HYPERLINK("#'" &amp; C725 &amp; "'!" &amp; J725, J725), "")</f>
        <v>0</v>
      </c>
    </row>
    <row r="726" spans="2:2">
      <c r="B726" s="21">
        <f>IF(AND(C726&lt;&gt;"", J726&lt;&gt;""), HYPERLINK("#'" &amp; C726 &amp; "'!" &amp; J726, J726), "")</f>
        <v>0</v>
      </c>
    </row>
    <row r="727" spans="2:2">
      <c r="B727" s="21">
        <f>IF(AND(C727&lt;&gt;"", J727&lt;&gt;""), HYPERLINK("#'" &amp; C727 &amp; "'!" &amp; J727, J727), "")</f>
        <v>0</v>
      </c>
    </row>
    <row r="728" spans="2:2">
      <c r="B728" s="21">
        <f>IF(AND(C728&lt;&gt;"", J728&lt;&gt;""), HYPERLINK("#'" &amp; C728 &amp; "'!" &amp; J728, J728), "")</f>
        <v>0</v>
      </c>
    </row>
    <row r="729" spans="2:2">
      <c r="B729" s="21">
        <f>IF(AND(C729&lt;&gt;"", J729&lt;&gt;""), HYPERLINK("#'" &amp; C729 &amp; "'!" &amp; J729, J729), "")</f>
        <v>0</v>
      </c>
    </row>
    <row r="730" spans="2:2">
      <c r="B730" s="21">
        <f>IF(AND(C730&lt;&gt;"", J730&lt;&gt;""), HYPERLINK("#'" &amp; C730 &amp; "'!" &amp; J730, J730), "")</f>
        <v>0</v>
      </c>
    </row>
    <row r="731" spans="2:2">
      <c r="B731" s="21">
        <f>IF(AND(C731&lt;&gt;"", J731&lt;&gt;""), HYPERLINK("#'" &amp; C731 &amp; "'!" &amp; J731, J731), "")</f>
        <v>0</v>
      </c>
    </row>
    <row r="732" spans="2:2">
      <c r="B732" s="21">
        <f>IF(AND(C732&lt;&gt;"", J732&lt;&gt;""), HYPERLINK("#'" &amp; C732 &amp; "'!" &amp; J732, J732), "")</f>
        <v>0</v>
      </c>
    </row>
    <row r="733" spans="2:2">
      <c r="B733" s="21">
        <f>IF(AND(C733&lt;&gt;"", J733&lt;&gt;""), HYPERLINK("#'" &amp; C733 &amp; "'!" &amp; J733, J733), "")</f>
        <v>0</v>
      </c>
    </row>
    <row r="734" spans="2:2">
      <c r="B734" s="21">
        <f>IF(AND(C734&lt;&gt;"", J734&lt;&gt;""), HYPERLINK("#'" &amp; C734 &amp; "'!" &amp; J734, J734), "")</f>
        <v>0</v>
      </c>
    </row>
    <row r="735" spans="2:2">
      <c r="B735" s="21">
        <f>IF(AND(C735&lt;&gt;"", J735&lt;&gt;""), HYPERLINK("#'" &amp; C735 &amp; "'!" &amp; J735, J735), "")</f>
        <v>0</v>
      </c>
    </row>
    <row r="736" spans="2:2">
      <c r="B736" s="21">
        <f>IF(AND(C736&lt;&gt;"", J736&lt;&gt;""), HYPERLINK("#'" &amp; C736 &amp; "'!" &amp; J736, J736), "")</f>
        <v>0</v>
      </c>
    </row>
    <row r="737" spans="2:2">
      <c r="B737" s="21">
        <f>IF(AND(C737&lt;&gt;"", J737&lt;&gt;""), HYPERLINK("#'" &amp; C737 &amp; "'!" &amp; J737, J737), "")</f>
        <v>0</v>
      </c>
    </row>
    <row r="738" spans="2:2">
      <c r="B738" s="21">
        <f>IF(AND(C738&lt;&gt;"", J738&lt;&gt;""), HYPERLINK("#'" &amp; C738 &amp; "'!" &amp; J738, J738), "")</f>
        <v>0</v>
      </c>
    </row>
    <row r="739" spans="2:2">
      <c r="B739" s="21">
        <f>IF(AND(C739&lt;&gt;"", J739&lt;&gt;""), HYPERLINK("#'" &amp; C739 &amp; "'!" &amp; J739, J739), "")</f>
        <v>0</v>
      </c>
    </row>
    <row r="740" spans="2:2">
      <c r="B740" s="21">
        <f>IF(AND(C740&lt;&gt;"", J740&lt;&gt;""), HYPERLINK("#'" &amp; C740 &amp; "'!" &amp; J740, J740), "")</f>
        <v>0</v>
      </c>
    </row>
    <row r="741" spans="2:2">
      <c r="B741" s="21">
        <f>IF(AND(C741&lt;&gt;"", J741&lt;&gt;""), HYPERLINK("#'" &amp; C741 &amp; "'!" &amp; J741, J741), "")</f>
        <v>0</v>
      </c>
    </row>
    <row r="742" spans="2:2">
      <c r="B742" s="21">
        <f>IF(AND(C742&lt;&gt;"", J742&lt;&gt;""), HYPERLINK("#'" &amp; C742 &amp; "'!" &amp; J742, J742), "")</f>
        <v>0</v>
      </c>
    </row>
    <row r="743" spans="2:2">
      <c r="B743" s="21">
        <f>IF(AND(C743&lt;&gt;"", J743&lt;&gt;""), HYPERLINK("#'" &amp; C743 &amp; "'!" &amp; J743, J743), "")</f>
        <v>0</v>
      </c>
    </row>
    <row r="744" spans="2:2">
      <c r="B744" s="21">
        <f>IF(AND(C744&lt;&gt;"", J744&lt;&gt;""), HYPERLINK("#'" &amp; C744 &amp; "'!" &amp; J744, J744), "")</f>
        <v>0</v>
      </c>
    </row>
    <row r="745" spans="2:2">
      <c r="B745" s="21">
        <f>IF(AND(C745&lt;&gt;"", J745&lt;&gt;""), HYPERLINK("#'" &amp; C745 &amp; "'!" &amp; J745, J745), "")</f>
        <v>0</v>
      </c>
    </row>
    <row r="746" spans="2:2">
      <c r="B746" s="21">
        <f>IF(AND(C746&lt;&gt;"", J746&lt;&gt;""), HYPERLINK("#'" &amp; C746 &amp; "'!" &amp; J746, J746), "")</f>
        <v>0</v>
      </c>
    </row>
    <row r="747" spans="2:2">
      <c r="B747" s="21">
        <f>IF(AND(C747&lt;&gt;"", J747&lt;&gt;""), HYPERLINK("#'" &amp; C747 &amp; "'!" &amp; J747, J747), "")</f>
        <v>0</v>
      </c>
    </row>
    <row r="748" spans="2:2">
      <c r="B748" s="21">
        <f>IF(AND(C748&lt;&gt;"", J748&lt;&gt;""), HYPERLINK("#'" &amp; C748 &amp; "'!" &amp; J748, J748), "")</f>
        <v>0</v>
      </c>
    </row>
    <row r="749" spans="2:2">
      <c r="B749" s="21">
        <f>IF(AND(C749&lt;&gt;"", J749&lt;&gt;""), HYPERLINK("#'" &amp; C749 &amp; "'!" &amp; J749, J749), "")</f>
        <v>0</v>
      </c>
    </row>
    <row r="750" spans="2:2">
      <c r="B750" s="21">
        <f>IF(AND(C750&lt;&gt;"", J750&lt;&gt;""), HYPERLINK("#'" &amp; C750 &amp; "'!" &amp; J750, J750), "")</f>
        <v>0</v>
      </c>
    </row>
    <row r="751" spans="2:2">
      <c r="B751" s="21">
        <f>IF(AND(C751&lt;&gt;"", J751&lt;&gt;""), HYPERLINK("#'" &amp; C751 &amp; "'!" &amp; J751, J751), "")</f>
        <v>0</v>
      </c>
    </row>
    <row r="752" spans="2:2">
      <c r="B752" s="21">
        <f>IF(AND(C752&lt;&gt;"", J752&lt;&gt;""), HYPERLINK("#'" &amp; C752 &amp; "'!" &amp; J752, J752), "")</f>
        <v>0</v>
      </c>
    </row>
    <row r="753" spans="2:2">
      <c r="B753" s="21">
        <f>IF(AND(C753&lt;&gt;"", J753&lt;&gt;""), HYPERLINK("#'" &amp; C753 &amp; "'!" &amp; J753, J753), "")</f>
        <v>0</v>
      </c>
    </row>
    <row r="754" spans="2:2">
      <c r="B754" s="21">
        <f>IF(AND(C754&lt;&gt;"", J754&lt;&gt;""), HYPERLINK("#'" &amp; C754 &amp; "'!" &amp; J754, J754), "")</f>
        <v>0</v>
      </c>
    </row>
    <row r="755" spans="2:2">
      <c r="B755" s="21">
        <f>IF(AND(C755&lt;&gt;"", J755&lt;&gt;""), HYPERLINK("#'" &amp; C755 &amp; "'!" &amp; J755, J755), "")</f>
        <v>0</v>
      </c>
    </row>
    <row r="756" spans="2:2">
      <c r="B756" s="21">
        <f>IF(AND(C756&lt;&gt;"", J756&lt;&gt;""), HYPERLINK("#'" &amp; C756 &amp; "'!" &amp; J756, J756), "")</f>
        <v>0</v>
      </c>
    </row>
    <row r="757" spans="2:2">
      <c r="B757" s="21">
        <f>IF(AND(C757&lt;&gt;"", J757&lt;&gt;""), HYPERLINK("#'" &amp; C757 &amp; "'!" &amp; J757, J757), "")</f>
        <v>0</v>
      </c>
    </row>
    <row r="758" spans="2:2">
      <c r="B758" s="21">
        <f>IF(AND(C758&lt;&gt;"", J758&lt;&gt;""), HYPERLINK("#'" &amp; C758 &amp; "'!" &amp; J758, J758), "")</f>
        <v>0</v>
      </c>
    </row>
    <row r="759" spans="2:2">
      <c r="B759" s="21">
        <f>IF(AND(C759&lt;&gt;"", J759&lt;&gt;""), HYPERLINK("#'" &amp; C759 &amp; "'!" &amp; J759, J759), "")</f>
        <v>0</v>
      </c>
    </row>
    <row r="760" spans="2:2">
      <c r="B760" s="21">
        <f>IF(AND(C760&lt;&gt;"", J760&lt;&gt;""), HYPERLINK("#'" &amp; C760 &amp; "'!" &amp; J760, J760), "")</f>
        <v>0</v>
      </c>
    </row>
    <row r="761" spans="2:2">
      <c r="B761" s="21">
        <f>IF(AND(C761&lt;&gt;"", J761&lt;&gt;""), HYPERLINK("#'" &amp; C761 &amp; "'!" &amp; J761, J761), "")</f>
        <v>0</v>
      </c>
    </row>
    <row r="762" spans="2:2">
      <c r="B762" s="21">
        <f>IF(AND(C762&lt;&gt;"", J762&lt;&gt;""), HYPERLINK("#'" &amp; C762 &amp; "'!" &amp; J762, J762), "")</f>
        <v>0</v>
      </c>
    </row>
    <row r="763" spans="2:2">
      <c r="B763" s="21">
        <f>IF(AND(C763&lt;&gt;"", J763&lt;&gt;""), HYPERLINK("#'" &amp; C763 &amp; "'!" &amp; J763, J763), "")</f>
        <v>0</v>
      </c>
    </row>
    <row r="764" spans="2:2">
      <c r="B764" s="21">
        <f>IF(AND(C764&lt;&gt;"", J764&lt;&gt;""), HYPERLINK("#'" &amp; C764 &amp; "'!" &amp; J764, J764), "")</f>
        <v>0</v>
      </c>
    </row>
    <row r="765" spans="2:2">
      <c r="B765" s="21">
        <f>IF(AND(C765&lt;&gt;"", J765&lt;&gt;""), HYPERLINK("#'" &amp; C765 &amp; "'!" &amp; J765, J765), "")</f>
        <v>0</v>
      </c>
    </row>
    <row r="766" spans="2:2">
      <c r="B766" s="21">
        <f>IF(AND(C766&lt;&gt;"", J766&lt;&gt;""), HYPERLINK("#'" &amp; C766 &amp; "'!" &amp; J766, J766), "")</f>
        <v>0</v>
      </c>
    </row>
    <row r="767" spans="2:2">
      <c r="B767" s="21">
        <f>IF(AND(C767&lt;&gt;"", J767&lt;&gt;""), HYPERLINK("#'" &amp; C767 &amp; "'!" &amp; J767, J767), "")</f>
        <v>0</v>
      </c>
    </row>
    <row r="768" spans="2:2">
      <c r="B768" s="21">
        <f>IF(AND(C768&lt;&gt;"", J768&lt;&gt;""), HYPERLINK("#'" &amp; C768 &amp; "'!" &amp; J768, J768), "")</f>
        <v>0</v>
      </c>
    </row>
    <row r="769" spans="2:2">
      <c r="B769" s="21">
        <f>IF(AND(C769&lt;&gt;"", J769&lt;&gt;""), HYPERLINK("#'" &amp; C769 &amp; "'!" &amp; J769, J769), "")</f>
        <v>0</v>
      </c>
    </row>
    <row r="770" spans="2:2">
      <c r="B770" s="21">
        <f>IF(AND(C770&lt;&gt;"", J770&lt;&gt;""), HYPERLINK("#'" &amp; C770 &amp; "'!" &amp; J770, J770), "")</f>
        <v>0</v>
      </c>
    </row>
    <row r="771" spans="2:2">
      <c r="B771" s="21">
        <f>IF(AND(C771&lt;&gt;"", J771&lt;&gt;""), HYPERLINK("#'" &amp; C771 &amp; "'!" &amp; J771, J771), "")</f>
        <v>0</v>
      </c>
    </row>
    <row r="772" spans="2:2">
      <c r="B772" s="21">
        <f>IF(AND(C772&lt;&gt;"", J772&lt;&gt;""), HYPERLINK("#'" &amp; C772 &amp; "'!" &amp; J772, J772), "")</f>
        <v>0</v>
      </c>
    </row>
    <row r="773" spans="2:2">
      <c r="B773" s="21">
        <f>IF(AND(C773&lt;&gt;"", J773&lt;&gt;""), HYPERLINK("#'" &amp; C773 &amp; "'!" &amp; J773, J773), "")</f>
        <v>0</v>
      </c>
    </row>
    <row r="774" spans="2:2">
      <c r="B774" s="21">
        <f>IF(AND(C774&lt;&gt;"", J774&lt;&gt;""), HYPERLINK("#'" &amp; C774 &amp; "'!" &amp; J774, J774), "")</f>
        <v>0</v>
      </c>
    </row>
    <row r="775" spans="2:2">
      <c r="B775" s="21">
        <f>IF(AND(C775&lt;&gt;"", J775&lt;&gt;""), HYPERLINK("#'" &amp; C775 &amp; "'!" &amp; J775, J775), "")</f>
        <v>0</v>
      </c>
    </row>
    <row r="776" spans="2:2">
      <c r="B776" s="21">
        <f>IF(AND(C776&lt;&gt;"", J776&lt;&gt;""), HYPERLINK("#'" &amp; C776 &amp; "'!" &amp; J776, J776), "")</f>
        <v>0</v>
      </c>
    </row>
    <row r="777" spans="2:2">
      <c r="B777" s="21">
        <f>IF(AND(C777&lt;&gt;"", J777&lt;&gt;""), HYPERLINK("#'" &amp; C777 &amp; "'!" &amp; J777, J777), "")</f>
        <v>0</v>
      </c>
    </row>
    <row r="778" spans="2:2">
      <c r="B778" s="21">
        <f>IF(AND(C778&lt;&gt;"", J778&lt;&gt;""), HYPERLINK("#'" &amp; C778 &amp; "'!" &amp; J778, J778), "")</f>
        <v>0</v>
      </c>
    </row>
    <row r="779" spans="2:2">
      <c r="B779" s="21">
        <f>IF(AND(C779&lt;&gt;"", J779&lt;&gt;""), HYPERLINK("#'" &amp; C779 &amp; "'!" &amp; J779, J779), "")</f>
        <v>0</v>
      </c>
    </row>
    <row r="780" spans="2:2">
      <c r="B780" s="21">
        <f>IF(AND(C780&lt;&gt;"", J780&lt;&gt;""), HYPERLINK("#'" &amp; C780 &amp; "'!" &amp; J780, J780), "")</f>
        <v>0</v>
      </c>
    </row>
    <row r="781" spans="2:2">
      <c r="B781" s="21">
        <f>IF(AND(C781&lt;&gt;"", J781&lt;&gt;""), HYPERLINK("#'" &amp; C781 &amp; "'!" &amp; J781, J781), "")</f>
        <v>0</v>
      </c>
    </row>
    <row r="782" spans="2:2">
      <c r="B782" s="21">
        <f>IF(AND(C782&lt;&gt;"", J782&lt;&gt;""), HYPERLINK("#'" &amp; C782 &amp; "'!" &amp; J782, J782), "")</f>
        <v>0</v>
      </c>
    </row>
    <row r="783" spans="2:2">
      <c r="B783" s="21">
        <f>IF(AND(C783&lt;&gt;"", J783&lt;&gt;""), HYPERLINK("#'" &amp; C783 &amp; "'!" &amp; J783, J783), "")</f>
        <v>0</v>
      </c>
    </row>
    <row r="784" spans="2:2">
      <c r="B784" s="21">
        <f>IF(AND(C784&lt;&gt;"", J784&lt;&gt;""), HYPERLINK("#'" &amp; C784 &amp; "'!" &amp; J784, J784), "")</f>
        <v>0</v>
      </c>
    </row>
    <row r="785" spans="2:2">
      <c r="B785" s="21">
        <f>IF(AND(C785&lt;&gt;"", J785&lt;&gt;""), HYPERLINK("#'" &amp; C785 &amp; "'!" &amp; J785, J785), "")</f>
        <v>0</v>
      </c>
    </row>
    <row r="786" spans="2:2">
      <c r="B786" s="21">
        <f>IF(AND(C786&lt;&gt;"", J786&lt;&gt;""), HYPERLINK("#'" &amp; C786 &amp; "'!" &amp; J786, J786), "")</f>
        <v>0</v>
      </c>
    </row>
    <row r="787" spans="2:2">
      <c r="B787" s="21">
        <f>IF(AND(C787&lt;&gt;"", J787&lt;&gt;""), HYPERLINK("#'" &amp; C787 &amp; "'!" &amp; J787, J787), "")</f>
        <v>0</v>
      </c>
    </row>
    <row r="788" spans="2:2">
      <c r="B788" s="21">
        <f>IF(AND(C788&lt;&gt;"", J788&lt;&gt;""), HYPERLINK("#'" &amp; C788 &amp; "'!" &amp; J788, J788), "")</f>
        <v>0</v>
      </c>
    </row>
    <row r="789" spans="2:2">
      <c r="B789" s="21">
        <f>IF(AND(C789&lt;&gt;"", J789&lt;&gt;""), HYPERLINK("#'" &amp; C789 &amp; "'!" &amp; J789, J789), "")</f>
        <v>0</v>
      </c>
    </row>
    <row r="790" spans="2:2">
      <c r="B790" s="21">
        <f>IF(AND(C790&lt;&gt;"", J790&lt;&gt;""), HYPERLINK("#'" &amp; C790 &amp; "'!" &amp; J790, J790), "")</f>
        <v>0</v>
      </c>
    </row>
    <row r="791" spans="2:2">
      <c r="B791" s="21">
        <f>IF(AND(C791&lt;&gt;"", J791&lt;&gt;""), HYPERLINK("#'" &amp; C791 &amp; "'!" &amp; J791, J791), "")</f>
        <v>0</v>
      </c>
    </row>
    <row r="792" spans="2:2">
      <c r="B792" s="21">
        <f>IF(AND(C792&lt;&gt;"", J792&lt;&gt;""), HYPERLINK("#'" &amp; C792 &amp; "'!" &amp; J792, J792), "")</f>
        <v>0</v>
      </c>
    </row>
    <row r="793" spans="2:2">
      <c r="B793" s="21">
        <f>IF(AND(C793&lt;&gt;"", J793&lt;&gt;""), HYPERLINK("#'" &amp; C793 &amp; "'!" &amp; J793, J793), "")</f>
        <v>0</v>
      </c>
    </row>
    <row r="794" spans="2:2">
      <c r="B794" s="21">
        <f>IF(AND(C794&lt;&gt;"", J794&lt;&gt;""), HYPERLINK("#'" &amp; C794 &amp; "'!" &amp; J794, J794), "")</f>
        <v>0</v>
      </c>
    </row>
    <row r="795" spans="2:2">
      <c r="B795" s="21">
        <f>IF(AND(C795&lt;&gt;"", J795&lt;&gt;""), HYPERLINK("#'" &amp; C795 &amp; "'!" &amp; J795, J795), "")</f>
        <v>0</v>
      </c>
    </row>
    <row r="796" spans="2:2">
      <c r="B796" s="21">
        <f>IF(AND(C796&lt;&gt;"", J796&lt;&gt;""), HYPERLINK("#'" &amp; C796 &amp; "'!" &amp; J796, J796), "")</f>
        <v>0</v>
      </c>
    </row>
    <row r="797" spans="2:2">
      <c r="B797" s="21">
        <f>IF(AND(C797&lt;&gt;"", J797&lt;&gt;""), HYPERLINK("#'" &amp; C797 &amp; "'!" &amp; J797, J797), "")</f>
        <v>0</v>
      </c>
    </row>
    <row r="798" spans="2:2">
      <c r="B798" s="21">
        <f>IF(AND(C798&lt;&gt;"", J798&lt;&gt;""), HYPERLINK("#'" &amp; C798 &amp; "'!" &amp; J798, J798), "")</f>
        <v>0</v>
      </c>
    </row>
    <row r="799" spans="2:2">
      <c r="B799" s="21">
        <f>IF(AND(C799&lt;&gt;"", J799&lt;&gt;""), HYPERLINK("#'" &amp; C799 &amp; "'!" &amp; J799, J799), "")</f>
        <v>0</v>
      </c>
    </row>
    <row r="800" spans="2:2">
      <c r="B800" s="21">
        <f>IF(AND(C800&lt;&gt;"", J800&lt;&gt;""), HYPERLINK("#'" &amp; C800 &amp; "'!" &amp; J800, J800), "")</f>
        <v>0</v>
      </c>
    </row>
    <row r="801" spans="2:2">
      <c r="B801" s="21">
        <f>IF(AND(C801&lt;&gt;"", J801&lt;&gt;""), HYPERLINK("#'" &amp; C801 &amp; "'!" &amp; J801, J801), "")</f>
        <v>0</v>
      </c>
    </row>
    <row r="802" spans="2:2">
      <c r="B802" s="21">
        <f>IF(AND(C802&lt;&gt;"", J802&lt;&gt;""), HYPERLINK("#'" &amp; C802 &amp; "'!" &amp; J802, J802), "")</f>
        <v>0</v>
      </c>
    </row>
    <row r="803" spans="2:2">
      <c r="B803" s="21">
        <f>IF(AND(C803&lt;&gt;"", J803&lt;&gt;""), HYPERLINK("#'" &amp; C803 &amp; "'!" &amp; J803, J803), "")</f>
        <v>0</v>
      </c>
    </row>
    <row r="804" spans="2:2">
      <c r="B804" s="21">
        <f>IF(AND(C804&lt;&gt;"", J804&lt;&gt;""), HYPERLINK("#'" &amp; C804 &amp; "'!" &amp; J804, J804), "")</f>
        <v>0</v>
      </c>
    </row>
    <row r="805" spans="2:2">
      <c r="B805" s="21">
        <f>IF(AND(C805&lt;&gt;"", J805&lt;&gt;""), HYPERLINK("#'" &amp; C805 &amp; "'!" &amp; J805, J805), "")</f>
        <v>0</v>
      </c>
    </row>
    <row r="806" spans="2:2">
      <c r="B806" s="21">
        <f>IF(AND(C806&lt;&gt;"", J806&lt;&gt;""), HYPERLINK("#'" &amp; C806 &amp; "'!" &amp; J806, J806), "")</f>
        <v>0</v>
      </c>
    </row>
    <row r="807" spans="2:2">
      <c r="B807" s="21">
        <f>IF(AND(C807&lt;&gt;"", J807&lt;&gt;""), HYPERLINK("#'" &amp; C807 &amp; "'!" &amp; J807, J807), "")</f>
        <v>0</v>
      </c>
    </row>
    <row r="808" spans="2:2">
      <c r="B808" s="21">
        <f>IF(AND(C808&lt;&gt;"", J808&lt;&gt;""), HYPERLINK("#'" &amp; C808 &amp; "'!" &amp; J808, J808), "")</f>
        <v>0</v>
      </c>
    </row>
    <row r="809" spans="2:2">
      <c r="B809" s="21">
        <f>IF(AND(C809&lt;&gt;"", J809&lt;&gt;""), HYPERLINK("#'" &amp; C809 &amp; "'!" &amp; J809, J809), "")</f>
        <v>0</v>
      </c>
    </row>
    <row r="810" spans="2:2">
      <c r="B810" s="21">
        <f>IF(AND(C810&lt;&gt;"", J810&lt;&gt;""), HYPERLINK("#'" &amp; C810 &amp; "'!" &amp; J810, J810), "")</f>
        <v>0</v>
      </c>
    </row>
    <row r="811" spans="2:2">
      <c r="B811" s="21">
        <f>IF(AND(C811&lt;&gt;"", J811&lt;&gt;""), HYPERLINK("#'" &amp; C811 &amp; "'!" &amp; J811, J811), "")</f>
        <v>0</v>
      </c>
    </row>
    <row r="812" spans="2:2">
      <c r="B812" s="21">
        <f>IF(AND(C812&lt;&gt;"", J812&lt;&gt;""), HYPERLINK("#'" &amp; C812 &amp; "'!" &amp; J812, J812), "")</f>
        <v>0</v>
      </c>
    </row>
    <row r="813" spans="2:2">
      <c r="B813" s="21">
        <f>IF(AND(C813&lt;&gt;"", J813&lt;&gt;""), HYPERLINK("#'" &amp; C813 &amp; "'!" &amp; J813, J813), "")</f>
        <v>0</v>
      </c>
    </row>
    <row r="814" spans="2:2">
      <c r="B814" s="21">
        <f>IF(AND(C814&lt;&gt;"", J814&lt;&gt;""), HYPERLINK("#'" &amp; C814 &amp; "'!" &amp; J814, J814), "")</f>
        <v>0</v>
      </c>
    </row>
    <row r="815" spans="2:2">
      <c r="B815" s="21">
        <f>IF(AND(C815&lt;&gt;"", J815&lt;&gt;""), HYPERLINK("#'" &amp; C815 &amp; "'!" &amp; J815, J815), "")</f>
        <v>0</v>
      </c>
    </row>
    <row r="816" spans="2:2">
      <c r="B816" s="21">
        <f>IF(AND(C816&lt;&gt;"", J816&lt;&gt;""), HYPERLINK("#'" &amp; C816 &amp; "'!" &amp; J816, J816), "")</f>
        <v>0</v>
      </c>
    </row>
    <row r="817" spans="2:2">
      <c r="B817" s="21">
        <f>IF(AND(C817&lt;&gt;"", J817&lt;&gt;""), HYPERLINK("#'" &amp; C817 &amp; "'!" &amp; J817, J817), "")</f>
        <v>0</v>
      </c>
    </row>
    <row r="818" spans="2:2">
      <c r="B818" s="21">
        <f>IF(AND(C818&lt;&gt;"", J818&lt;&gt;""), HYPERLINK("#'" &amp; C818 &amp; "'!" &amp; J818, J818), "")</f>
        <v>0</v>
      </c>
    </row>
    <row r="819" spans="2:2">
      <c r="B819" s="21">
        <f>IF(AND(C819&lt;&gt;"", J819&lt;&gt;""), HYPERLINK("#'" &amp; C819 &amp; "'!" &amp; J819, J819), "")</f>
        <v>0</v>
      </c>
    </row>
    <row r="820" spans="2:2">
      <c r="B820" s="21">
        <f>IF(AND(C820&lt;&gt;"", J820&lt;&gt;""), HYPERLINK("#'" &amp; C820 &amp; "'!" &amp; J820, J820), "")</f>
        <v>0</v>
      </c>
    </row>
    <row r="821" spans="2:2">
      <c r="B821" s="21">
        <f>IF(AND(C821&lt;&gt;"", J821&lt;&gt;""), HYPERLINK("#'" &amp; C821 &amp; "'!" &amp; J821, J821), "")</f>
        <v>0</v>
      </c>
    </row>
    <row r="822" spans="2:2">
      <c r="B822" s="21">
        <f>IF(AND(C822&lt;&gt;"", J822&lt;&gt;""), HYPERLINK("#'" &amp; C822 &amp; "'!" &amp; J822, J822), "")</f>
        <v>0</v>
      </c>
    </row>
    <row r="823" spans="2:2">
      <c r="B823" s="21">
        <f>IF(AND(C823&lt;&gt;"", J823&lt;&gt;""), HYPERLINK("#'" &amp; C823 &amp; "'!" &amp; J823, J823), "")</f>
        <v>0</v>
      </c>
    </row>
    <row r="824" spans="2:2">
      <c r="B824" s="21">
        <f>IF(AND(C824&lt;&gt;"", J824&lt;&gt;""), HYPERLINK("#'" &amp; C824 &amp; "'!" &amp; J824, J824), "")</f>
        <v>0</v>
      </c>
    </row>
    <row r="825" spans="2:2">
      <c r="B825" s="21">
        <f>IF(AND(C825&lt;&gt;"", J825&lt;&gt;""), HYPERLINK("#'" &amp; C825 &amp; "'!" &amp; J825, J825), "")</f>
        <v>0</v>
      </c>
    </row>
    <row r="826" spans="2:2">
      <c r="B826" s="21">
        <f>IF(AND(C826&lt;&gt;"", J826&lt;&gt;""), HYPERLINK("#'" &amp; C826 &amp; "'!" &amp; J826, J826), "")</f>
        <v>0</v>
      </c>
    </row>
    <row r="827" spans="2:2">
      <c r="B827" s="21">
        <f>IF(AND(C827&lt;&gt;"", J827&lt;&gt;""), HYPERLINK("#'" &amp; C827 &amp; "'!" &amp; J827, J827), "")</f>
        <v>0</v>
      </c>
    </row>
    <row r="828" spans="2:2">
      <c r="B828" s="21">
        <f>IF(AND(C828&lt;&gt;"", J828&lt;&gt;""), HYPERLINK("#'" &amp; C828 &amp; "'!" &amp; J828, J828), "")</f>
        <v>0</v>
      </c>
    </row>
    <row r="829" spans="2:2">
      <c r="B829" s="21">
        <f>IF(AND(C829&lt;&gt;"", J829&lt;&gt;""), HYPERLINK("#'" &amp; C829 &amp; "'!" &amp; J829, J829), "")</f>
        <v>0</v>
      </c>
    </row>
    <row r="830" spans="2:2">
      <c r="B830" s="21">
        <f>IF(AND(C830&lt;&gt;"", J830&lt;&gt;""), HYPERLINK("#'" &amp; C830 &amp; "'!" &amp; J830, J830), "")</f>
        <v>0</v>
      </c>
    </row>
    <row r="831" spans="2:2">
      <c r="B831" s="21">
        <f>IF(AND(C831&lt;&gt;"", J831&lt;&gt;""), HYPERLINK("#'" &amp; C831 &amp; "'!" &amp; J831, J831), "")</f>
        <v>0</v>
      </c>
    </row>
    <row r="832" spans="2:2">
      <c r="B832" s="21">
        <f>IF(AND(C832&lt;&gt;"", J832&lt;&gt;""), HYPERLINK("#'" &amp; C832 &amp; "'!" &amp; J832, J832), "")</f>
        <v>0</v>
      </c>
    </row>
    <row r="833" spans="2:2">
      <c r="B833" s="21">
        <f>IF(AND(C833&lt;&gt;"", J833&lt;&gt;""), HYPERLINK("#'" &amp; C833 &amp; "'!" &amp; J833, J833), "")</f>
        <v>0</v>
      </c>
    </row>
    <row r="834" spans="2:2">
      <c r="B834" s="21">
        <f>IF(AND(C834&lt;&gt;"", J834&lt;&gt;""), HYPERLINK("#'" &amp; C834 &amp; "'!" &amp; J834, J834), "")</f>
        <v>0</v>
      </c>
    </row>
    <row r="835" spans="2:2">
      <c r="B835" s="21">
        <f>IF(AND(C835&lt;&gt;"", J835&lt;&gt;""), HYPERLINK("#'" &amp; C835 &amp; "'!" &amp; J835, J835), "")</f>
        <v>0</v>
      </c>
    </row>
    <row r="836" spans="2:2">
      <c r="B836" s="21">
        <f>IF(AND(C836&lt;&gt;"", J836&lt;&gt;""), HYPERLINK("#'" &amp; C836 &amp; "'!" &amp; J836, J836), "")</f>
        <v>0</v>
      </c>
    </row>
    <row r="837" spans="2:2">
      <c r="B837" s="21">
        <f>IF(AND(C837&lt;&gt;"", J837&lt;&gt;""), HYPERLINK("#'" &amp; C837 &amp; "'!" &amp; J837, J837), "")</f>
        <v>0</v>
      </c>
    </row>
    <row r="838" spans="2:2">
      <c r="B838" s="21">
        <f>IF(AND(C838&lt;&gt;"", J838&lt;&gt;""), HYPERLINK("#'" &amp; C838 &amp; "'!" &amp; J838, J838), "")</f>
        <v>0</v>
      </c>
    </row>
    <row r="839" spans="2:2">
      <c r="B839" s="21">
        <f>IF(AND(C839&lt;&gt;"", J839&lt;&gt;""), HYPERLINK("#'" &amp; C839 &amp; "'!" &amp; J839, J839), "")</f>
        <v>0</v>
      </c>
    </row>
    <row r="840" spans="2:2">
      <c r="B840" s="21">
        <f>IF(AND(C840&lt;&gt;"", J840&lt;&gt;""), HYPERLINK("#'" &amp; C840 &amp; "'!" &amp; J840, J840), "")</f>
        <v>0</v>
      </c>
    </row>
    <row r="841" spans="2:2">
      <c r="B841" s="21">
        <f>IF(AND(C841&lt;&gt;"", J841&lt;&gt;""), HYPERLINK("#'" &amp; C841 &amp; "'!" &amp; J841, J841), "")</f>
        <v>0</v>
      </c>
    </row>
    <row r="842" spans="2:2">
      <c r="B842" s="21">
        <f>IF(AND(C842&lt;&gt;"", J842&lt;&gt;""), HYPERLINK("#'" &amp; C842 &amp; "'!" &amp; J842, J842), "")</f>
        <v>0</v>
      </c>
    </row>
    <row r="843" spans="2:2">
      <c r="B843" s="21">
        <f>IF(AND(C843&lt;&gt;"", J843&lt;&gt;""), HYPERLINK("#'" &amp; C843 &amp; "'!" &amp; J843, J843), "")</f>
        <v>0</v>
      </c>
    </row>
    <row r="844" spans="2:2">
      <c r="B844" s="21">
        <f>IF(AND(C844&lt;&gt;"", J844&lt;&gt;""), HYPERLINK("#'" &amp; C844 &amp; "'!" &amp; J844, J844), "")</f>
        <v>0</v>
      </c>
    </row>
    <row r="845" spans="2:2">
      <c r="B845" s="21">
        <f>IF(AND(C845&lt;&gt;"", J845&lt;&gt;""), HYPERLINK("#'" &amp; C845 &amp; "'!" &amp; J845, J845), "")</f>
        <v>0</v>
      </c>
    </row>
    <row r="846" spans="2:2">
      <c r="B846" s="21">
        <f>IF(AND(C846&lt;&gt;"", J846&lt;&gt;""), HYPERLINK("#'" &amp; C846 &amp; "'!" &amp; J846, J846), "")</f>
        <v>0</v>
      </c>
    </row>
    <row r="847" spans="2:2">
      <c r="B847" s="21">
        <f>IF(AND(C847&lt;&gt;"", J847&lt;&gt;""), HYPERLINK("#'" &amp; C847 &amp; "'!" &amp; J847, J847), "")</f>
        <v>0</v>
      </c>
    </row>
    <row r="848" spans="2:2">
      <c r="B848" s="21">
        <f>IF(AND(C848&lt;&gt;"", J848&lt;&gt;""), HYPERLINK("#'" &amp; C848 &amp; "'!" &amp; J848, J848), "")</f>
        <v>0</v>
      </c>
    </row>
    <row r="849" spans="2:2">
      <c r="B849" s="21">
        <f>IF(AND(C849&lt;&gt;"", J849&lt;&gt;""), HYPERLINK("#'" &amp; C849 &amp; "'!" &amp; J849, J849), "")</f>
        <v>0</v>
      </c>
    </row>
    <row r="850" spans="2:2">
      <c r="B850" s="21">
        <f>IF(AND(C850&lt;&gt;"", J850&lt;&gt;""), HYPERLINK("#'" &amp; C850 &amp; "'!" &amp; J850, J850), "")</f>
        <v>0</v>
      </c>
    </row>
    <row r="851" spans="2:2">
      <c r="B851" s="21">
        <f>IF(AND(C851&lt;&gt;"", J851&lt;&gt;""), HYPERLINK("#'" &amp; C851 &amp; "'!" &amp; J851, J851), "")</f>
        <v>0</v>
      </c>
    </row>
    <row r="852" spans="2:2">
      <c r="B852" s="21">
        <f>IF(AND(C852&lt;&gt;"", J852&lt;&gt;""), HYPERLINK("#'" &amp; C852 &amp; "'!" &amp; J852, J852), "")</f>
        <v>0</v>
      </c>
    </row>
    <row r="853" spans="2:2">
      <c r="B853" s="21">
        <f>IF(AND(C853&lt;&gt;"", J853&lt;&gt;""), HYPERLINK("#'" &amp; C853 &amp; "'!" &amp; J853, J853), "")</f>
        <v>0</v>
      </c>
    </row>
    <row r="854" spans="2:2">
      <c r="B854" s="21">
        <f>IF(AND(C854&lt;&gt;"", J854&lt;&gt;""), HYPERLINK("#'" &amp; C854 &amp; "'!" &amp; J854, J854), "")</f>
        <v>0</v>
      </c>
    </row>
    <row r="855" spans="2:2">
      <c r="B855" s="21">
        <f>IF(AND(C855&lt;&gt;"", J855&lt;&gt;""), HYPERLINK("#'" &amp; C855 &amp; "'!" &amp; J855, J855), "")</f>
        <v>0</v>
      </c>
    </row>
    <row r="856" spans="2:2">
      <c r="B856" s="21">
        <f>IF(AND(C856&lt;&gt;"", J856&lt;&gt;""), HYPERLINK("#'" &amp; C856 &amp; "'!" &amp; J856, J856), "")</f>
        <v>0</v>
      </c>
    </row>
    <row r="857" spans="2:2">
      <c r="B857" s="21">
        <f>IF(AND(C857&lt;&gt;"", J857&lt;&gt;""), HYPERLINK("#'" &amp; C857 &amp; "'!" &amp; J857, J857), "")</f>
        <v>0</v>
      </c>
    </row>
    <row r="858" spans="2:2">
      <c r="B858" s="21">
        <f>IF(AND(C858&lt;&gt;"", J858&lt;&gt;""), HYPERLINK("#'" &amp; C858 &amp; "'!" &amp; J858, J858), "")</f>
        <v>0</v>
      </c>
    </row>
    <row r="859" spans="2:2">
      <c r="B859" s="21">
        <f>IF(AND(C859&lt;&gt;"", J859&lt;&gt;""), HYPERLINK("#'" &amp; C859 &amp; "'!" &amp; J859, J859), "")</f>
        <v>0</v>
      </c>
    </row>
    <row r="860" spans="2:2">
      <c r="B860" s="21">
        <f>IF(AND(C860&lt;&gt;"", J860&lt;&gt;""), HYPERLINK("#'" &amp; C860 &amp; "'!" &amp; J860, J860), "")</f>
        <v>0</v>
      </c>
    </row>
    <row r="861" spans="2:2">
      <c r="B861" s="21">
        <f>IF(AND(C861&lt;&gt;"", J861&lt;&gt;""), HYPERLINK("#'" &amp; C861 &amp; "'!" &amp; J861, J861), "")</f>
        <v>0</v>
      </c>
    </row>
    <row r="862" spans="2:2">
      <c r="B862" s="21">
        <f>IF(AND(C862&lt;&gt;"", J862&lt;&gt;""), HYPERLINK("#'" &amp; C862 &amp; "'!" &amp; J862, J862), "")</f>
        <v>0</v>
      </c>
    </row>
    <row r="863" spans="2:2">
      <c r="B863" s="21">
        <f>IF(AND(C863&lt;&gt;"", J863&lt;&gt;""), HYPERLINK("#'" &amp; C863 &amp; "'!" &amp; J863, J863), "")</f>
        <v>0</v>
      </c>
    </row>
    <row r="864" spans="2:2">
      <c r="B864" s="21">
        <f>IF(AND(C864&lt;&gt;"", J864&lt;&gt;""), HYPERLINK("#'" &amp; C864 &amp; "'!" &amp; J864, J864), "")</f>
        <v>0</v>
      </c>
    </row>
    <row r="865" spans="2:2">
      <c r="B865" s="21">
        <f>IF(AND(C865&lt;&gt;"", J865&lt;&gt;""), HYPERLINK("#'" &amp; C865 &amp; "'!" &amp; J865, J865), "")</f>
        <v>0</v>
      </c>
    </row>
    <row r="866" spans="2:2">
      <c r="B866" s="21">
        <f>IF(AND(C866&lt;&gt;"", J866&lt;&gt;""), HYPERLINK("#'" &amp; C866 &amp; "'!" &amp; J866, J866), "")</f>
        <v>0</v>
      </c>
    </row>
    <row r="867" spans="2:2">
      <c r="B867" s="21">
        <f>IF(AND(C867&lt;&gt;"", J867&lt;&gt;""), HYPERLINK("#'" &amp; C867 &amp; "'!" &amp; J867, J867), "")</f>
        <v>0</v>
      </c>
    </row>
    <row r="868" spans="2:2">
      <c r="B868" s="21">
        <f>IF(AND(C868&lt;&gt;"", J868&lt;&gt;""), HYPERLINK("#'" &amp; C868 &amp; "'!" &amp; J868, J868), "")</f>
        <v>0</v>
      </c>
    </row>
    <row r="869" spans="2:2">
      <c r="B869" s="21">
        <f>IF(AND(C869&lt;&gt;"", J869&lt;&gt;""), HYPERLINK("#'" &amp; C869 &amp; "'!" &amp; J869, J869), "")</f>
        <v>0</v>
      </c>
    </row>
    <row r="870" spans="2:2">
      <c r="B870" s="21">
        <f>IF(AND(C870&lt;&gt;"", J870&lt;&gt;""), HYPERLINK("#'" &amp; C870 &amp; "'!" &amp; J870, J870), "")</f>
        <v>0</v>
      </c>
    </row>
    <row r="871" spans="2:2">
      <c r="B871" s="21">
        <f>IF(AND(C871&lt;&gt;"", J871&lt;&gt;""), HYPERLINK("#'" &amp; C871 &amp; "'!" &amp; J871, J871), "")</f>
        <v>0</v>
      </c>
    </row>
    <row r="872" spans="2:2">
      <c r="B872" s="21">
        <f>IF(AND(C872&lt;&gt;"", J872&lt;&gt;""), HYPERLINK("#'" &amp; C872 &amp; "'!" &amp; J872, J872), "")</f>
        <v>0</v>
      </c>
    </row>
    <row r="873" spans="2:2">
      <c r="B873" s="21">
        <f>IF(AND(C873&lt;&gt;"", J873&lt;&gt;""), HYPERLINK("#'" &amp; C873 &amp; "'!" &amp; J873, J873), "")</f>
        <v>0</v>
      </c>
    </row>
    <row r="874" spans="2:2">
      <c r="B874" s="21">
        <f>IF(AND(C874&lt;&gt;"", J874&lt;&gt;""), HYPERLINK("#'" &amp; C874 &amp; "'!" &amp; J874, J874), "")</f>
        <v>0</v>
      </c>
    </row>
    <row r="875" spans="2:2">
      <c r="B875" s="21">
        <f>IF(AND(C875&lt;&gt;"", J875&lt;&gt;""), HYPERLINK("#'" &amp; C875 &amp; "'!" &amp; J875, J875), "")</f>
        <v>0</v>
      </c>
    </row>
    <row r="876" spans="2:2">
      <c r="B876" s="21">
        <f>IF(AND(C876&lt;&gt;"", J876&lt;&gt;""), HYPERLINK("#'" &amp; C876 &amp; "'!" &amp; J876, J876), "")</f>
        <v>0</v>
      </c>
    </row>
    <row r="877" spans="2:2">
      <c r="B877" s="21">
        <f>IF(AND(C877&lt;&gt;"", J877&lt;&gt;""), HYPERLINK("#'" &amp; C877 &amp; "'!" &amp; J877, J877), "")</f>
        <v>0</v>
      </c>
    </row>
    <row r="878" spans="2:2">
      <c r="B878" s="21">
        <f>IF(AND(C878&lt;&gt;"", J878&lt;&gt;""), HYPERLINK("#'" &amp; C878 &amp; "'!" &amp; J878, J878), "")</f>
        <v>0</v>
      </c>
    </row>
    <row r="879" spans="2:2">
      <c r="B879" s="21">
        <f>IF(AND(C879&lt;&gt;"", J879&lt;&gt;""), HYPERLINK("#'" &amp; C879 &amp; "'!" &amp; J879, J879), "")</f>
        <v>0</v>
      </c>
    </row>
    <row r="880" spans="2:2">
      <c r="B880" s="21">
        <f>IF(AND(C880&lt;&gt;"", J880&lt;&gt;""), HYPERLINK("#'" &amp; C880 &amp; "'!" &amp; J880, J880), "")</f>
        <v>0</v>
      </c>
    </row>
    <row r="881" spans="2:2">
      <c r="B881" s="21">
        <f>IF(AND(C881&lt;&gt;"", J881&lt;&gt;""), HYPERLINK("#'" &amp; C881 &amp; "'!" &amp; J881, J881), "")</f>
        <v>0</v>
      </c>
    </row>
    <row r="882" spans="2:2">
      <c r="B882" s="21">
        <f>IF(AND(C882&lt;&gt;"", J882&lt;&gt;""), HYPERLINK("#'" &amp; C882 &amp; "'!" &amp; J882, J882), "")</f>
        <v>0</v>
      </c>
    </row>
    <row r="883" spans="2:2">
      <c r="B883" s="21">
        <f>IF(AND(C883&lt;&gt;"", J883&lt;&gt;""), HYPERLINK("#'" &amp; C883 &amp; "'!" &amp; J883, J883), "")</f>
        <v>0</v>
      </c>
    </row>
    <row r="884" spans="2:2">
      <c r="B884" s="21">
        <f>IF(AND(C884&lt;&gt;"", J884&lt;&gt;""), HYPERLINK("#'" &amp; C884 &amp; "'!" &amp; J884, J884), "")</f>
        <v>0</v>
      </c>
    </row>
    <row r="885" spans="2:2">
      <c r="B885" s="21">
        <f>IF(AND(C885&lt;&gt;"", J885&lt;&gt;""), HYPERLINK("#'" &amp; C885 &amp; "'!" &amp; J885, J885), "")</f>
        <v>0</v>
      </c>
    </row>
    <row r="886" spans="2:2">
      <c r="B886" s="21">
        <f>IF(AND(C886&lt;&gt;"", J886&lt;&gt;""), HYPERLINK("#'" &amp; C886 &amp; "'!" &amp; J886, J886), "")</f>
        <v>0</v>
      </c>
    </row>
    <row r="887" spans="2:2">
      <c r="B887" s="21">
        <f>IF(AND(C887&lt;&gt;"", J887&lt;&gt;""), HYPERLINK("#'" &amp; C887 &amp; "'!" &amp; J887, J887), "")</f>
        <v>0</v>
      </c>
    </row>
    <row r="888" spans="2:2">
      <c r="B888" s="21">
        <f>IF(AND(C888&lt;&gt;"", J888&lt;&gt;""), HYPERLINK("#'" &amp; C888 &amp; "'!" &amp; J888, J888), "")</f>
        <v>0</v>
      </c>
    </row>
    <row r="889" spans="2:2">
      <c r="B889" s="21">
        <f>IF(AND(C889&lt;&gt;"", J889&lt;&gt;""), HYPERLINK("#'" &amp; C889 &amp; "'!" &amp; J889, J889), "")</f>
        <v>0</v>
      </c>
    </row>
    <row r="890" spans="2:2">
      <c r="B890" s="21">
        <f>IF(AND(C890&lt;&gt;"", J890&lt;&gt;""), HYPERLINK("#'" &amp; C890 &amp; "'!" &amp; J890, J890), "")</f>
        <v>0</v>
      </c>
    </row>
    <row r="891" spans="2:2">
      <c r="B891" s="21">
        <f>IF(AND(C891&lt;&gt;"", J891&lt;&gt;""), HYPERLINK("#'" &amp; C891 &amp; "'!" &amp; J891, J891), "")</f>
        <v>0</v>
      </c>
    </row>
    <row r="892" spans="2:2">
      <c r="B892" s="21">
        <f>IF(AND(C892&lt;&gt;"", J892&lt;&gt;""), HYPERLINK("#'" &amp; C892 &amp; "'!" &amp; J892, J892), "")</f>
        <v>0</v>
      </c>
    </row>
    <row r="893" spans="2:2">
      <c r="B893" s="21">
        <f>IF(AND(C893&lt;&gt;"", J893&lt;&gt;""), HYPERLINK("#'" &amp; C893 &amp; "'!" &amp; J893, J893), "")</f>
        <v>0</v>
      </c>
    </row>
    <row r="894" spans="2:2">
      <c r="B894" s="21">
        <f>IF(AND(C894&lt;&gt;"", J894&lt;&gt;""), HYPERLINK("#'" &amp; C894 &amp; "'!" &amp; J894, J894), "")</f>
        <v>0</v>
      </c>
    </row>
    <row r="895" spans="2:2">
      <c r="B895" s="21">
        <f>IF(AND(C895&lt;&gt;"", J895&lt;&gt;""), HYPERLINK("#'" &amp; C895 &amp; "'!" &amp; J895, J895), "")</f>
        <v>0</v>
      </c>
    </row>
    <row r="896" spans="2:2">
      <c r="B896" s="21">
        <f>IF(AND(C896&lt;&gt;"", J896&lt;&gt;""), HYPERLINK("#'" &amp; C896 &amp; "'!" &amp; J896, J896), "")</f>
        <v>0</v>
      </c>
    </row>
    <row r="897" spans="2:2">
      <c r="B897" s="21">
        <f>IF(AND(C897&lt;&gt;"", J897&lt;&gt;""), HYPERLINK("#'" &amp; C897 &amp; "'!" &amp; J897, J897), "")</f>
        <v>0</v>
      </c>
    </row>
    <row r="898" spans="2:2">
      <c r="B898" s="21">
        <f>IF(AND(C898&lt;&gt;"", J898&lt;&gt;""), HYPERLINK("#'" &amp; C898 &amp; "'!" &amp; J898, J898), "")</f>
        <v>0</v>
      </c>
    </row>
    <row r="899" spans="2:2">
      <c r="B899" s="21">
        <f>IF(AND(C899&lt;&gt;"", J899&lt;&gt;""), HYPERLINK("#'" &amp; C899 &amp; "'!" &amp; J899, J899), "")</f>
        <v>0</v>
      </c>
    </row>
    <row r="900" spans="2:2">
      <c r="B900" s="21">
        <f>IF(AND(C900&lt;&gt;"", J900&lt;&gt;""), HYPERLINK("#'" &amp; C900 &amp; "'!" &amp; J900, J900), "")</f>
        <v>0</v>
      </c>
    </row>
    <row r="901" spans="2:2">
      <c r="B901" s="21">
        <f>IF(AND(C901&lt;&gt;"", J901&lt;&gt;""), HYPERLINK("#'" &amp; C901 &amp; "'!" &amp; J901, J901), "")</f>
        <v>0</v>
      </c>
    </row>
    <row r="902" spans="2:2">
      <c r="B902" s="21">
        <f>IF(AND(C902&lt;&gt;"", J902&lt;&gt;""), HYPERLINK("#'" &amp; C902 &amp; "'!" &amp; J902, J902), "")</f>
        <v>0</v>
      </c>
    </row>
    <row r="903" spans="2:2">
      <c r="B903" s="21">
        <f>IF(AND(C903&lt;&gt;"", J903&lt;&gt;""), HYPERLINK("#'" &amp; C903 &amp; "'!" &amp; J903, J903), "")</f>
        <v>0</v>
      </c>
    </row>
    <row r="904" spans="2:2">
      <c r="B904" s="21">
        <f>IF(AND(C904&lt;&gt;"", J904&lt;&gt;""), HYPERLINK("#'" &amp; C904 &amp; "'!" &amp; J904, J904), "")</f>
        <v>0</v>
      </c>
    </row>
    <row r="905" spans="2:2">
      <c r="B905" s="21">
        <f>IF(AND(C905&lt;&gt;"", J905&lt;&gt;""), HYPERLINK("#'" &amp; C905 &amp; "'!" &amp; J905, J905), "")</f>
        <v>0</v>
      </c>
    </row>
    <row r="906" spans="2:2">
      <c r="B906" s="21">
        <f>IF(AND(C906&lt;&gt;"", J906&lt;&gt;""), HYPERLINK("#'" &amp; C906 &amp; "'!" &amp; J906, J906), "")</f>
        <v>0</v>
      </c>
    </row>
    <row r="907" spans="2:2">
      <c r="B907" s="21">
        <f>IF(AND(C907&lt;&gt;"", J907&lt;&gt;""), HYPERLINK("#'" &amp; C907 &amp; "'!" &amp; J907, J907), "")</f>
        <v>0</v>
      </c>
    </row>
    <row r="908" spans="2:2">
      <c r="B908" s="21">
        <f>IF(AND(C908&lt;&gt;"", J908&lt;&gt;""), HYPERLINK("#'" &amp; C908 &amp; "'!" &amp; J908, J908), "")</f>
        <v>0</v>
      </c>
    </row>
    <row r="909" spans="2:2">
      <c r="B909" s="21">
        <f>IF(AND(C909&lt;&gt;"", J909&lt;&gt;""), HYPERLINK("#'" &amp; C909 &amp; "'!" &amp; J909, J909), "")</f>
        <v>0</v>
      </c>
    </row>
    <row r="910" spans="2:2">
      <c r="B910" s="21">
        <f>IF(AND(C910&lt;&gt;"", J910&lt;&gt;""), HYPERLINK("#'" &amp; C910 &amp; "'!" &amp; J910, J910), "")</f>
        <v>0</v>
      </c>
    </row>
    <row r="911" spans="2:2">
      <c r="B911" s="21">
        <f>IF(AND(C911&lt;&gt;"", J911&lt;&gt;""), HYPERLINK("#'" &amp; C911 &amp; "'!" &amp; J911, J911), "")</f>
        <v>0</v>
      </c>
    </row>
    <row r="912" spans="2:2">
      <c r="B912" s="21">
        <f>IF(AND(C912&lt;&gt;"", J912&lt;&gt;""), HYPERLINK("#'" &amp; C912 &amp; "'!" &amp; J912, J912), "")</f>
        <v>0</v>
      </c>
    </row>
    <row r="913" spans="2:2">
      <c r="B913" s="21">
        <f>IF(AND(C913&lt;&gt;"", J913&lt;&gt;""), HYPERLINK("#'" &amp; C913 &amp; "'!" &amp; J913, J913), "")</f>
        <v>0</v>
      </c>
    </row>
    <row r="914" spans="2:2">
      <c r="B914" s="21">
        <f>IF(AND(C914&lt;&gt;"", J914&lt;&gt;""), HYPERLINK("#'" &amp; C914 &amp; "'!" &amp; J914, J914), "")</f>
        <v>0</v>
      </c>
    </row>
    <row r="915" spans="2:2">
      <c r="B915" s="21">
        <f>IF(AND(C915&lt;&gt;"", J915&lt;&gt;""), HYPERLINK("#'" &amp; C915 &amp; "'!" &amp; J915, J915), "")</f>
        <v>0</v>
      </c>
    </row>
    <row r="916" spans="2:2">
      <c r="B916" s="21">
        <f>IF(AND(C916&lt;&gt;"", J916&lt;&gt;""), HYPERLINK("#'" &amp; C916 &amp; "'!" &amp; J916, J916), "")</f>
        <v>0</v>
      </c>
    </row>
    <row r="917" spans="2:2">
      <c r="B917" s="21">
        <f>IF(AND(C917&lt;&gt;"", J917&lt;&gt;""), HYPERLINK("#'" &amp; C917 &amp; "'!" &amp; J917, J917), "")</f>
        <v>0</v>
      </c>
    </row>
    <row r="918" spans="2:2">
      <c r="B918" s="21">
        <f>IF(AND(C918&lt;&gt;"", J918&lt;&gt;""), HYPERLINK("#'" &amp; C918 &amp; "'!" &amp; J918, J918), "")</f>
        <v>0</v>
      </c>
    </row>
    <row r="919" spans="2:2">
      <c r="B919" s="21">
        <f>IF(AND(C919&lt;&gt;"", J919&lt;&gt;""), HYPERLINK("#'" &amp; C919 &amp; "'!" &amp; J919, J919), "")</f>
        <v>0</v>
      </c>
    </row>
    <row r="920" spans="2:2">
      <c r="B920" s="21">
        <f>IF(AND(C920&lt;&gt;"", J920&lt;&gt;""), HYPERLINK("#'" &amp; C920 &amp; "'!" &amp; J920, J920), "")</f>
        <v>0</v>
      </c>
    </row>
    <row r="921" spans="2:2">
      <c r="B921" s="21">
        <f>IF(AND(C921&lt;&gt;"", J921&lt;&gt;""), HYPERLINK("#'" &amp; C921 &amp; "'!" &amp; J921, J921), "")</f>
        <v>0</v>
      </c>
    </row>
    <row r="922" spans="2:2">
      <c r="B922" s="21">
        <f>IF(AND(C922&lt;&gt;"", J922&lt;&gt;""), HYPERLINK("#'" &amp; C922 &amp; "'!" &amp; J922, J922), "")</f>
        <v>0</v>
      </c>
    </row>
    <row r="923" spans="2:2">
      <c r="B923" s="21">
        <f>IF(AND(C923&lt;&gt;"", J923&lt;&gt;""), HYPERLINK("#'" &amp; C923 &amp; "'!" &amp; J923, J923), "")</f>
        <v>0</v>
      </c>
    </row>
    <row r="924" spans="2:2">
      <c r="B924" s="21">
        <f>IF(AND(C924&lt;&gt;"", J924&lt;&gt;""), HYPERLINK("#'" &amp; C924 &amp; "'!" &amp; J924, J924), "")</f>
        <v>0</v>
      </c>
    </row>
    <row r="925" spans="2:2">
      <c r="B925" s="21">
        <f>IF(AND(C925&lt;&gt;"", J925&lt;&gt;""), HYPERLINK("#'" &amp; C925 &amp; "'!" &amp; J925, J925), "")</f>
        <v>0</v>
      </c>
    </row>
    <row r="926" spans="2:2">
      <c r="B926" s="21">
        <f>IF(AND(C926&lt;&gt;"", J926&lt;&gt;""), HYPERLINK("#'" &amp; C926 &amp; "'!" &amp; J926, J926), "")</f>
        <v>0</v>
      </c>
    </row>
    <row r="927" spans="2:2">
      <c r="B927" s="21">
        <f>IF(AND(C927&lt;&gt;"", J927&lt;&gt;""), HYPERLINK("#'" &amp; C927 &amp; "'!" &amp; J927, J927), "")</f>
        <v>0</v>
      </c>
    </row>
    <row r="928" spans="2:2">
      <c r="B928" s="21">
        <f>IF(AND(C928&lt;&gt;"", J928&lt;&gt;""), HYPERLINK("#'" &amp; C928 &amp; "'!" &amp; J928, J928), "")</f>
        <v>0</v>
      </c>
    </row>
    <row r="929" spans="2:2">
      <c r="B929" s="21">
        <f>IF(AND(C929&lt;&gt;"", J929&lt;&gt;""), HYPERLINK("#'" &amp; C929 &amp; "'!" &amp; J929, J929), "")</f>
        <v>0</v>
      </c>
    </row>
    <row r="930" spans="2:2">
      <c r="B930" s="21">
        <f>IF(AND(C930&lt;&gt;"", J930&lt;&gt;""), HYPERLINK("#'" &amp; C930 &amp; "'!" &amp; J930, J930), "")</f>
        <v>0</v>
      </c>
    </row>
    <row r="931" spans="2:2">
      <c r="B931" s="21">
        <f>IF(AND(C931&lt;&gt;"", J931&lt;&gt;""), HYPERLINK("#'" &amp; C931 &amp; "'!" &amp; J931, J931), "")</f>
        <v>0</v>
      </c>
    </row>
    <row r="932" spans="2:2">
      <c r="B932" s="21">
        <f>IF(AND(C932&lt;&gt;"", J932&lt;&gt;""), HYPERLINK("#'" &amp; C932 &amp; "'!" &amp; J932, J932), "")</f>
        <v>0</v>
      </c>
    </row>
    <row r="933" spans="2:2">
      <c r="B933" s="21">
        <f>IF(AND(C933&lt;&gt;"", J933&lt;&gt;""), HYPERLINK("#'" &amp; C933 &amp; "'!" &amp; J933, J933), "")</f>
        <v>0</v>
      </c>
    </row>
    <row r="934" spans="2:2">
      <c r="B934" s="21">
        <f>IF(AND(C934&lt;&gt;"", J934&lt;&gt;""), HYPERLINK("#'" &amp; C934 &amp; "'!" &amp; J934, J934), "")</f>
        <v>0</v>
      </c>
    </row>
    <row r="935" spans="2:2">
      <c r="B935" s="21">
        <f>IF(AND(C935&lt;&gt;"", J935&lt;&gt;""), HYPERLINK("#'" &amp; C935 &amp; "'!" &amp; J935, J935), "")</f>
        <v>0</v>
      </c>
    </row>
    <row r="936" spans="2:2">
      <c r="B936" s="21">
        <f>IF(AND(C936&lt;&gt;"", J936&lt;&gt;""), HYPERLINK("#'" &amp; C936 &amp; "'!" &amp; J936, J936), "")</f>
        <v>0</v>
      </c>
    </row>
    <row r="937" spans="2:2">
      <c r="B937" s="21">
        <f>IF(AND(C937&lt;&gt;"", J937&lt;&gt;""), HYPERLINK("#'" &amp; C937 &amp; "'!" &amp; J937, J937), "")</f>
        <v>0</v>
      </c>
    </row>
    <row r="938" spans="2:2">
      <c r="B938" s="21">
        <f>IF(AND(C938&lt;&gt;"", J938&lt;&gt;""), HYPERLINK("#'" &amp; C938 &amp; "'!" &amp; J938, J938), "")</f>
        <v>0</v>
      </c>
    </row>
    <row r="939" spans="2:2">
      <c r="B939" s="21">
        <f>IF(AND(C939&lt;&gt;"", J939&lt;&gt;""), HYPERLINK("#'" &amp; C939 &amp; "'!" &amp; J939, J939), "")</f>
        <v>0</v>
      </c>
    </row>
    <row r="940" spans="2:2">
      <c r="B940" s="21">
        <f>IF(AND(C940&lt;&gt;"", J940&lt;&gt;""), HYPERLINK("#'" &amp; C940 &amp; "'!" &amp; J940, J940), "")</f>
        <v>0</v>
      </c>
    </row>
    <row r="941" spans="2:2">
      <c r="B941" s="21">
        <f>IF(AND(C941&lt;&gt;"", J941&lt;&gt;""), HYPERLINK("#'" &amp; C941 &amp; "'!" &amp; J941, J941), "")</f>
        <v>0</v>
      </c>
    </row>
    <row r="942" spans="2:2">
      <c r="B942" s="21">
        <f>IF(AND(C942&lt;&gt;"", J942&lt;&gt;""), HYPERLINK("#'" &amp; C942 &amp; "'!" &amp; J942, J942), "")</f>
        <v>0</v>
      </c>
    </row>
    <row r="943" spans="2:2">
      <c r="B943" s="21">
        <f>IF(AND(C943&lt;&gt;"", J943&lt;&gt;""), HYPERLINK("#'" &amp; C943 &amp; "'!" &amp; J943, J943), "")</f>
        <v>0</v>
      </c>
    </row>
    <row r="944" spans="2:2">
      <c r="B944" s="21">
        <f>IF(AND(C944&lt;&gt;"", J944&lt;&gt;""), HYPERLINK("#'" &amp; C944 &amp; "'!" &amp; J944, J944), "")</f>
        <v>0</v>
      </c>
    </row>
    <row r="945" spans="2:2">
      <c r="B945" s="21">
        <f>IF(AND(C945&lt;&gt;"", J945&lt;&gt;""), HYPERLINK("#'" &amp; C945 &amp; "'!" &amp; J945, J945), "")</f>
        <v>0</v>
      </c>
    </row>
    <row r="946" spans="2:2">
      <c r="B946" s="21">
        <f>IF(AND(C946&lt;&gt;"", J946&lt;&gt;""), HYPERLINK("#'" &amp; C946 &amp; "'!" &amp; J946, J946), "")</f>
        <v>0</v>
      </c>
    </row>
    <row r="947" spans="2:2">
      <c r="B947" s="21">
        <f>IF(AND(C947&lt;&gt;"", J947&lt;&gt;""), HYPERLINK("#'" &amp; C947 &amp; "'!" &amp; J947, J947), "")</f>
        <v>0</v>
      </c>
    </row>
    <row r="948" spans="2:2">
      <c r="B948" s="21">
        <f>IF(AND(C948&lt;&gt;"", J948&lt;&gt;""), HYPERLINK("#'" &amp; C948 &amp; "'!" &amp; J948, J948), "")</f>
        <v>0</v>
      </c>
    </row>
    <row r="949" spans="2:2">
      <c r="B949" s="21">
        <f>IF(AND(C949&lt;&gt;"", J949&lt;&gt;""), HYPERLINK("#'" &amp; C949 &amp; "'!" &amp; J949, J949), "")</f>
        <v>0</v>
      </c>
    </row>
    <row r="950" spans="2:2">
      <c r="B950" s="21">
        <f>IF(AND(C950&lt;&gt;"", J950&lt;&gt;""), HYPERLINK("#'" &amp; C950 &amp; "'!" &amp; J950, J950), "")</f>
        <v>0</v>
      </c>
    </row>
    <row r="951" spans="2:2">
      <c r="B951" s="21">
        <f>IF(AND(C951&lt;&gt;"", J951&lt;&gt;""), HYPERLINK("#'" &amp; C951 &amp; "'!" &amp; J951, J951), "")</f>
        <v>0</v>
      </c>
    </row>
    <row r="952" spans="2:2">
      <c r="B952" s="21">
        <f>IF(AND(C952&lt;&gt;"", J952&lt;&gt;""), HYPERLINK("#'" &amp; C952 &amp; "'!" &amp; J952, J952), "")</f>
        <v>0</v>
      </c>
    </row>
    <row r="953" spans="2:2">
      <c r="B953" s="21">
        <f>IF(AND(C953&lt;&gt;"", J953&lt;&gt;""), HYPERLINK("#'" &amp; C953 &amp; "'!" &amp; J953, J953), "")</f>
        <v>0</v>
      </c>
    </row>
    <row r="954" spans="2:2">
      <c r="B954" s="21">
        <f>IF(AND(C954&lt;&gt;"", J954&lt;&gt;""), HYPERLINK("#'" &amp; C954 &amp; "'!" &amp; J954, J954), "")</f>
        <v>0</v>
      </c>
    </row>
    <row r="955" spans="2:2">
      <c r="B955" s="21">
        <f>IF(AND(C955&lt;&gt;"", J955&lt;&gt;""), HYPERLINK("#'" &amp; C955 &amp; "'!" &amp; J955, J955), "")</f>
        <v>0</v>
      </c>
    </row>
    <row r="956" spans="2:2">
      <c r="B956" s="21">
        <f>IF(AND(C956&lt;&gt;"", J956&lt;&gt;""), HYPERLINK("#'" &amp; C956 &amp; "'!" &amp; J956, J956), "")</f>
        <v>0</v>
      </c>
    </row>
    <row r="957" spans="2:2">
      <c r="B957" s="21">
        <f>IF(AND(C957&lt;&gt;"", J957&lt;&gt;""), HYPERLINK("#'" &amp; C957 &amp; "'!" &amp; J957, J957), "")</f>
        <v>0</v>
      </c>
    </row>
    <row r="958" spans="2:2">
      <c r="B958" s="21">
        <f>IF(AND(C958&lt;&gt;"", J958&lt;&gt;""), HYPERLINK("#'" &amp; C958 &amp; "'!" &amp; J958, J958), "")</f>
        <v>0</v>
      </c>
    </row>
    <row r="959" spans="2:2">
      <c r="B959" s="21">
        <f>IF(AND(C959&lt;&gt;"", J959&lt;&gt;""), HYPERLINK("#'" &amp; C959 &amp; "'!" &amp; J959, J959), "")</f>
        <v>0</v>
      </c>
    </row>
    <row r="960" spans="2:2">
      <c r="B960" s="21">
        <f>IF(AND(C960&lt;&gt;"", J960&lt;&gt;""), HYPERLINK("#'" &amp; C960 &amp; "'!" &amp; J960, J960), "")</f>
        <v>0</v>
      </c>
    </row>
    <row r="961" spans="2:2">
      <c r="B961" s="21">
        <f>IF(AND(C961&lt;&gt;"", J961&lt;&gt;""), HYPERLINK("#'" &amp; C961 &amp; "'!" &amp; J961, J961), "")</f>
        <v>0</v>
      </c>
    </row>
    <row r="962" spans="2:2">
      <c r="B962" s="21">
        <f>IF(AND(C962&lt;&gt;"", J962&lt;&gt;""), HYPERLINK("#'" &amp; C962 &amp; "'!" &amp; J962, J962), "")</f>
        <v>0</v>
      </c>
    </row>
    <row r="963" spans="2:2">
      <c r="B963" s="21">
        <f>IF(AND(C963&lt;&gt;"", J963&lt;&gt;""), HYPERLINK("#'" &amp; C963 &amp; "'!" &amp; J963, J963), "")</f>
        <v>0</v>
      </c>
    </row>
    <row r="964" spans="2:2">
      <c r="B964" s="21">
        <f>IF(AND(C964&lt;&gt;"", J964&lt;&gt;""), HYPERLINK("#'" &amp; C964 &amp; "'!" &amp; J964, J964), "")</f>
        <v>0</v>
      </c>
    </row>
    <row r="965" spans="2:2">
      <c r="B965" s="21">
        <f>IF(AND(C965&lt;&gt;"", J965&lt;&gt;""), HYPERLINK("#'" &amp; C965 &amp; "'!" &amp; J965, J965), "")</f>
        <v>0</v>
      </c>
    </row>
    <row r="966" spans="2:2">
      <c r="B966" s="21">
        <f>IF(AND(C966&lt;&gt;"", J966&lt;&gt;""), HYPERLINK("#'" &amp; C966 &amp; "'!" &amp; J966, J966), "")</f>
        <v>0</v>
      </c>
    </row>
    <row r="967" spans="2:2">
      <c r="B967" s="21">
        <f>IF(AND(C967&lt;&gt;"", J967&lt;&gt;""), HYPERLINK("#'" &amp; C967 &amp; "'!" &amp; J967, J967), "")</f>
        <v>0</v>
      </c>
    </row>
    <row r="968" spans="2:2">
      <c r="B968" s="21">
        <f>IF(AND(C968&lt;&gt;"", J968&lt;&gt;""), HYPERLINK("#'" &amp; C968 &amp; "'!" &amp; J968, J968), "")</f>
        <v>0</v>
      </c>
    </row>
    <row r="969" spans="2:2">
      <c r="B969" s="21">
        <f>IF(AND(C969&lt;&gt;"", J969&lt;&gt;""), HYPERLINK("#'" &amp; C969 &amp; "'!" &amp; J969, J969), "")</f>
        <v>0</v>
      </c>
    </row>
    <row r="970" spans="2:2">
      <c r="B970" s="21">
        <f>IF(AND(C970&lt;&gt;"", J970&lt;&gt;""), HYPERLINK("#'" &amp; C970 &amp; "'!" &amp; J970, J970), "")</f>
        <v>0</v>
      </c>
    </row>
    <row r="971" spans="2:2">
      <c r="B971" s="21">
        <f>IF(AND(C971&lt;&gt;"", J971&lt;&gt;""), HYPERLINK("#'" &amp; C971 &amp; "'!" &amp; J971, J971), "")</f>
        <v>0</v>
      </c>
    </row>
    <row r="972" spans="2:2">
      <c r="B972" s="21">
        <f>IF(AND(C972&lt;&gt;"", J972&lt;&gt;""), HYPERLINK("#'" &amp; C972 &amp; "'!" &amp; J972, J972), "")</f>
        <v>0</v>
      </c>
    </row>
    <row r="973" spans="2:2">
      <c r="B973" s="21">
        <f>IF(AND(C973&lt;&gt;"", J973&lt;&gt;""), HYPERLINK("#'" &amp; C973 &amp; "'!" &amp; J973, J973), "")</f>
        <v>0</v>
      </c>
    </row>
    <row r="974" spans="2:2">
      <c r="B974" s="21">
        <f>IF(AND(C974&lt;&gt;"", J974&lt;&gt;""), HYPERLINK("#'" &amp; C974 &amp; "'!" &amp; J974, J974), "")</f>
        <v>0</v>
      </c>
    </row>
    <row r="975" spans="2:2">
      <c r="B975" s="21">
        <f>IF(AND(C975&lt;&gt;"", J975&lt;&gt;""), HYPERLINK("#'" &amp; C975 &amp; "'!" &amp; J975, J975), "")</f>
        <v>0</v>
      </c>
    </row>
    <row r="976" spans="2:2">
      <c r="B976" s="21">
        <f>IF(AND(C976&lt;&gt;"", J976&lt;&gt;""), HYPERLINK("#'" &amp; C976 &amp; "'!" &amp; J976, J976), "")</f>
        <v>0</v>
      </c>
    </row>
    <row r="977" spans="2:2">
      <c r="B977" s="21">
        <f>IF(AND(C977&lt;&gt;"", J977&lt;&gt;""), HYPERLINK("#'" &amp; C977 &amp; "'!" &amp; J977, J977), "")</f>
        <v>0</v>
      </c>
    </row>
    <row r="978" spans="2:2">
      <c r="B978" s="21">
        <f>IF(AND(C978&lt;&gt;"", J978&lt;&gt;""), HYPERLINK("#'" &amp; C978 &amp; "'!" &amp; J978, J978), "")</f>
        <v>0</v>
      </c>
    </row>
    <row r="979" spans="2:2">
      <c r="B979" s="21">
        <f>IF(AND(C979&lt;&gt;"", J979&lt;&gt;""), HYPERLINK("#'" &amp; C979 &amp; "'!" &amp; J979, J979), "")</f>
        <v>0</v>
      </c>
    </row>
    <row r="980" spans="2:2">
      <c r="B980" s="21">
        <f>IF(AND(C980&lt;&gt;"", J980&lt;&gt;""), HYPERLINK("#'" &amp; C980 &amp; "'!" &amp; J980, J980), "")</f>
        <v>0</v>
      </c>
    </row>
    <row r="981" spans="2:2">
      <c r="B981" s="21">
        <f>IF(AND(C981&lt;&gt;"", J981&lt;&gt;""), HYPERLINK("#'" &amp; C981 &amp; "'!" &amp; J981, J981), "")</f>
        <v>0</v>
      </c>
    </row>
    <row r="982" spans="2:2">
      <c r="B982" s="21">
        <f>IF(AND(C982&lt;&gt;"", J982&lt;&gt;""), HYPERLINK("#'" &amp; C982 &amp; "'!" &amp; J982, J982), "")</f>
        <v>0</v>
      </c>
    </row>
    <row r="983" spans="2:2">
      <c r="B983" s="21">
        <f>IF(AND(C983&lt;&gt;"", J983&lt;&gt;""), HYPERLINK("#'" &amp; C983 &amp; "'!" &amp; J983, J983), "")</f>
        <v>0</v>
      </c>
    </row>
    <row r="984" spans="2:2">
      <c r="B984" s="21">
        <f>IF(AND(C984&lt;&gt;"", J984&lt;&gt;""), HYPERLINK("#'" &amp; C984 &amp; "'!" &amp; J984, J984), "")</f>
        <v>0</v>
      </c>
    </row>
    <row r="985" spans="2:2">
      <c r="B985" s="21">
        <f>IF(AND(C985&lt;&gt;"", J985&lt;&gt;""), HYPERLINK("#'" &amp; C985 &amp; "'!" &amp; J985, J985), "")</f>
        <v>0</v>
      </c>
    </row>
    <row r="986" spans="2:2">
      <c r="B986" s="21">
        <f>IF(AND(C986&lt;&gt;"", J986&lt;&gt;""), HYPERLINK("#'" &amp; C986 &amp; "'!" &amp; J986, J986), "")</f>
        <v>0</v>
      </c>
    </row>
    <row r="987" spans="2:2">
      <c r="B987" s="21">
        <f>IF(AND(C987&lt;&gt;"", J987&lt;&gt;""), HYPERLINK("#'" &amp; C987 &amp; "'!" &amp; J987, J987), "")</f>
        <v>0</v>
      </c>
    </row>
    <row r="988" spans="2:2">
      <c r="B988" s="21">
        <f>IF(AND(C988&lt;&gt;"", J988&lt;&gt;""), HYPERLINK("#'" &amp; C988 &amp; "'!" &amp; J988, J988), "")</f>
        <v>0</v>
      </c>
    </row>
    <row r="989" spans="2:2">
      <c r="B989" s="21">
        <f>IF(AND(C989&lt;&gt;"", J989&lt;&gt;""), HYPERLINK("#'" &amp; C989 &amp; "'!" &amp; J989, J989), "")</f>
        <v>0</v>
      </c>
    </row>
    <row r="990" spans="2:2">
      <c r="B990" s="21">
        <f>IF(AND(C990&lt;&gt;"", J990&lt;&gt;""), HYPERLINK("#'" &amp; C990 &amp; "'!" &amp; J990, J990), "")</f>
        <v>0</v>
      </c>
    </row>
    <row r="991" spans="2:2">
      <c r="B991" s="21">
        <f>IF(AND(C991&lt;&gt;"", J991&lt;&gt;""), HYPERLINK("#'" &amp; C991 &amp; "'!" &amp; J991, J991), "")</f>
        <v>0</v>
      </c>
    </row>
    <row r="992" spans="2:2">
      <c r="B992" s="21">
        <f>IF(AND(C992&lt;&gt;"", J992&lt;&gt;""), HYPERLINK("#'" &amp; C992 &amp; "'!" &amp; J992, J992), "")</f>
        <v>0</v>
      </c>
    </row>
    <row r="993" spans="2:2">
      <c r="B993" s="21">
        <f>IF(AND(C993&lt;&gt;"", J993&lt;&gt;""), HYPERLINK("#'" &amp; C993 &amp; "'!" &amp; J993, J993), "")</f>
        <v>0</v>
      </c>
    </row>
    <row r="994" spans="2:2">
      <c r="B994" s="21">
        <f>IF(AND(C994&lt;&gt;"", J994&lt;&gt;""), HYPERLINK("#'" &amp; C994 &amp; "'!" &amp; J994, J994), "")</f>
        <v>0</v>
      </c>
    </row>
    <row r="995" spans="2:2">
      <c r="B995" s="21">
        <f>IF(AND(C995&lt;&gt;"", J995&lt;&gt;""), HYPERLINK("#'" &amp; C995 &amp; "'!" &amp; J995, J995), "")</f>
        <v>0</v>
      </c>
    </row>
    <row r="996" spans="2:2">
      <c r="B996" s="21">
        <f>IF(AND(C996&lt;&gt;"", J996&lt;&gt;""), HYPERLINK("#'" &amp; C996 &amp; "'!" &amp; J996, J996), "")</f>
        <v>0</v>
      </c>
    </row>
    <row r="997" spans="2:2">
      <c r="B997" s="21">
        <f>IF(AND(C997&lt;&gt;"", J997&lt;&gt;""), HYPERLINK("#'" &amp; C997 &amp; "'!" &amp; J997, J997), "")</f>
        <v>0</v>
      </c>
    </row>
    <row r="998" spans="2:2">
      <c r="B998" s="21">
        <f>IF(AND(C998&lt;&gt;"", J998&lt;&gt;""), HYPERLINK("#'" &amp; C998 &amp; "'!" &amp; J998, J998), "")</f>
        <v>0</v>
      </c>
    </row>
    <row r="999" spans="2:2">
      <c r="B999" s="21">
        <f>IF(AND(C999&lt;&gt;"", J999&lt;&gt;""), HYPERLINK("#'" &amp; C999 &amp; "'!" &amp; J999, J999), "")</f>
        <v>0</v>
      </c>
    </row>
    <row r="1000" spans="2:2">
      <c r="B1000" s="21">
        <f>IF(AND(C1000&lt;&gt;"", J1000&lt;&gt;""), HYPERLINK("#'" &amp; C1000 &amp; "'!" &amp; J1000, J1000), "")</f>
        <v>0</v>
      </c>
    </row>
    <row r="1001" spans="2:2">
      <c r="B1001" s="21">
        <f>IF(AND(C1001&lt;&gt;"", J1001&lt;&gt;""), HYPERLINK("#'" &amp; C1001 &amp; "'!" &amp; J1001, J1001), "")</f>
        <v>0</v>
      </c>
    </row>
    <row r="1002" spans="2:2">
      <c r="B1002" s="21">
        <f>IF(AND(C1002&lt;&gt;"", J1002&lt;&gt;""), HYPERLINK("#'" &amp; C1002 &amp; "'!" &amp; J1002, J1002), "")</f>
        <v>0</v>
      </c>
    </row>
    <row r="1003" spans="2:2">
      <c r="B1003" s="21">
        <f>IF(AND(C1003&lt;&gt;"", J1003&lt;&gt;""), HYPERLINK("#'" &amp; C1003 &amp; "'!" &amp; J1003, J1003), "")</f>
        <v>0</v>
      </c>
    </row>
    <row r="1004" spans="2:2">
      <c r="B1004" s="21">
        <f>IF(AND(C1004&lt;&gt;"", J1004&lt;&gt;""), HYPERLINK("#'" &amp; C1004 &amp; "'!" &amp; J1004, J1004), "")</f>
        <v>0</v>
      </c>
    </row>
    <row r="1005" spans="2:2">
      <c r="B1005" s="21">
        <f>IF(AND(C1005&lt;&gt;"", J1005&lt;&gt;""), HYPERLINK("#'" &amp; C1005 &amp; "'!" &amp; J1005, J1005), "")</f>
        <v>0</v>
      </c>
    </row>
    <row r="1006" spans="2:2">
      <c r="B1006" s="21">
        <f>IF(AND(C1006&lt;&gt;"", J1006&lt;&gt;""), HYPERLINK("#'" &amp; C1006 &amp; "'!" &amp; J1006, J1006), "")</f>
        <v>0</v>
      </c>
    </row>
    <row r="1007" spans="2:2">
      <c r="B1007" s="21">
        <f>IF(AND(C1007&lt;&gt;"", J1007&lt;&gt;""), HYPERLINK("#'" &amp; C1007 &amp; "'!" &amp; J1007, J1007), "")</f>
        <v>0</v>
      </c>
    </row>
    <row r="1008" spans="2:2">
      <c r="B1008" s="21">
        <f>IF(AND(C1008&lt;&gt;"", J1008&lt;&gt;""), HYPERLINK("#'" &amp; C1008 &amp; "'!" &amp; J1008, J1008), "")</f>
        <v>0</v>
      </c>
    </row>
    <row r="1009" spans="2:2">
      <c r="B1009" s="21">
        <f>IF(AND(C1009&lt;&gt;"", J1009&lt;&gt;""), HYPERLINK("#'" &amp; C1009 &amp; "'!" &amp; J1009, J1009), "")</f>
        <v>0</v>
      </c>
    </row>
    <row r="1010" spans="2:2">
      <c r="B1010" s="21">
        <f>IF(AND(C1010&lt;&gt;"", J1010&lt;&gt;""), HYPERLINK("#'" &amp; C1010 &amp; "'!" &amp; J1010, J1010), "")</f>
        <v>0</v>
      </c>
    </row>
    <row r="1011" spans="2:2">
      <c r="B1011" s="21">
        <f>IF(AND(C1011&lt;&gt;"", J1011&lt;&gt;""), HYPERLINK("#'" &amp; C1011 &amp; "'!" &amp; J1011, J1011), "")</f>
        <v>0</v>
      </c>
    </row>
    <row r="1012" spans="2:2">
      <c r="B1012" s="21">
        <f>IF(AND(C1012&lt;&gt;"", J1012&lt;&gt;""), HYPERLINK("#'" &amp; C1012 &amp; "'!" &amp; J1012, J1012), "")</f>
        <v>0</v>
      </c>
    </row>
    <row r="1013" spans="2:2">
      <c r="B1013" s="21">
        <f>IF(AND(C1013&lt;&gt;"", J1013&lt;&gt;""), HYPERLINK("#'" &amp; C1013 &amp; "'!" &amp; J1013, J1013), "")</f>
        <v>0</v>
      </c>
    </row>
    <row r="1014" spans="2:2">
      <c r="B1014" s="21">
        <f>IF(AND(C1014&lt;&gt;"", J1014&lt;&gt;""), HYPERLINK("#'" &amp; C1014 &amp; "'!" &amp; J1014, J1014), "")</f>
        <v>0</v>
      </c>
    </row>
    <row r="1015" spans="2:2">
      <c r="B1015" s="21">
        <f>IF(AND(C1015&lt;&gt;"", J1015&lt;&gt;""), HYPERLINK("#'" &amp; C1015 &amp; "'!" &amp; J1015, J1015), "")</f>
        <v>0</v>
      </c>
    </row>
    <row r="1016" spans="2:2">
      <c r="B1016" s="21">
        <f>IF(AND(C1016&lt;&gt;"", J1016&lt;&gt;""), HYPERLINK("#'" &amp; C1016 &amp; "'!" &amp; J1016, J1016), "")</f>
        <v>0</v>
      </c>
    </row>
    <row r="1017" spans="2:2">
      <c r="B1017" s="21">
        <f>IF(AND(C1017&lt;&gt;"", J1017&lt;&gt;""), HYPERLINK("#'" &amp; C1017 &amp; "'!" &amp; J1017, J1017), "")</f>
        <v>0</v>
      </c>
    </row>
    <row r="1018" spans="2:2">
      <c r="B1018" s="21">
        <f>IF(AND(C1018&lt;&gt;"", J1018&lt;&gt;""), HYPERLINK("#'" &amp; C1018 &amp; "'!" &amp; J1018, J1018), "")</f>
        <v>0</v>
      </c>
    </row>
    <row r="1019" spans="2:2">
      <c r="B1019" s="21">
        <f>IF(AND(C1019&lt;&gt;"", J1019&lt;&gt;""), HYPERLINK("#'" &amp; C1019 &amp; "'!" &amp; J1019, J1019), "")</f>
        <v>0</v>
      </c>
    </row>
    <row r="1020" spans="2:2">
      <c r="B1020" s="21">
        <f>IF(AND(C1020&lt;&gt;"", J1020&lt;&gt;""), HYPERLINK("#'" &amp; C1020 &amp; "'!" &amp; J1020, J1020), "")</f>
        <v>0</v>
      </c>
    </row>
    <row r="1021" spans="2:2">
      <c r="B1021" s="21">
        <f>IF(AND(C1021&lt;&gt;"", J1021&lt;&gt;""), HYPERLINK("#'" &amp; C1021 &amp; "'!" &amp; J1021, J1021), "")</f>
        <v>0</v>
      </c>
    </row>
    <row r="1022" spans="2:2">
      <c r="B1022" s="21">
        <f>IF(AND(C1022&lt;&gt;"", J1022&lt;&gt;""), HYPERLINK("#'" &amp; C1022 &amp; "'!" &amp; J1022, J1022), "")</f>
        <v>0</v>
      </c>
    </row>
    <row r="1023" spans="2:2">
      <c r="B1023" s="21">
        <f>IF(AND(C1023&lt;&gt;"", J1023&lt;&gt;""), HYPERLINK("#'" &amp; C1023 &amp; "'!" &amp; J1023, J1023), "")</f>
        <v>0</v>
      </c>
    </row>
    <row r="1024" spans="2:2">
      <c r="B1024" s="21">
        <f>IF(AND(C1024&lt;&gt;"", J1024&lt;&gt;""), HYPERLINK("#'" &amp; C1024 &amp; "'!" &amp; J1024, J1024), "")</f>
        <v>0</v>
      </c>
    </row>
    <row r="1025" spans="2:2">
      <c r="B1025" s="21">
        <f>IF(AND(C1025&lt;&gt;"", J1025&lt;&gt;""), HYPERLINK("#'" &amp; C1025 &amp; "'!" &amp; J1025, J1025), "")</f>
        <v>0</v>
      </c>
    </row>
    <row r="1026" spans="2:2">
      <c r="B1026" s="21">
        <f>IF(AND(C1026&lt;&gt;"", J1026&lt;&gt;""), HYPERLINK("#'" &amp; C1026 &amp; "'!" &amp; J1026, J1026), "")</f>
        <v>0</v>
      </c>
    </row>
    <row r="1027" spans="2:2">
      <c r="B1027" s="21">
        <f>IF(AND(C1027&lt;&gt;"", J1027&lt;&gt;""), HYPERLINK("#'" &amp; C1027 &amp; "'!" &amp; J1027, J1027), "")</f>
        <v>0</v>
      </c>
    </row>
    <row r="1028" spans="2:2">
      <c r="B1028" s="21">
        <f>IF(AND(C1028&lt;&gt;"", J1028&lt;&gt;""), HYPERLINK("#'" &amp; C1028 &amp; "'!" &amp; J1028, J1028), "")</f>
        <v>0</v>
      </c>
    </row>
    <row r="1029" spans="2:2">
      <c r="B1029" s="21">
        <f>IF(AND(C1029&lt;&gt;"", J1029&lt;&gt;""), HYPERLINK("#'" &amp; C1029 &amp; "'!" &amp; J1029, J1029), "")</f>
        <v>0</v>
      </c>
    </row>
    <row r="1030" spans="2:2">
      <c r="B1030" s="21">
        <f>IF(AND(C1030&lt;&gt;"", J1030&lt;&gt;""), HYPERLINK("#'" &amp; C1030 &amp; "'!" &amp; J1030, J1030), "")</f>
        <v>0</v>
      </c>
    </row>
    <row r="1031" spans="2:2">
      <c r="B1031" s="21">
        <f>IF(AND(C1031&lt;&gt;"", J1031&lt;&gt;""), HYPERLINK("#'" &amp; C1031 &amp; "'!" &amp; J1031, J1031), "")</f>
        <v>0</v>
      </c>
    </row>
    <row r="1032" spans="2:2">
      <c r="B1032" s="21">
        <f>IF(AND(C1032&lt;&gt;"", J1032&lt;&gt;""), HYPERLINK("#'" &amp; C1032 &amp; "'!" &amp; J1032, J1032), "")</f>
        <v>0</v>
      </c>
    </row>
    <row r="1033" spans="2:2">
      <c r="B1033" s="21">
        <f>IF(AND(C1033&lt;&gt;"", J1033&lt;&gt;""), HYPERLINK("#'" &amp; C1033 &amp; "'!" &amp; J1033, J1033), "")</f>
        <v>0</v>
      </c>
    </row>
    <row r="1034" spans="2:2">
      <c r="B1034" s="21">
        <f>IF(AND(C1034&lt;&gt;"", J1034&lt;&gt;""), HYPERLINK("#'" &amp; C1034 &amp; "'!" &amp; J1034, J1034), "")</f>
        <v>0</v>
      </c>
    </row>
    <row r="1035" spans="2:2">
      <c r="B1035" s="21">
        <f>IF(AND(C1035&lt;&gt;"", J1035&lt;&gt;""), HYPERLINK("#'" &amp; C1035 &amp; "'!" &amp; J1035, J1035), "")</f>
        <v>0</v>
      </c>
    </row>
    <row r="1036" spans="2:2">
      <c r="B1036" s="21">
        <f>IF(AND(C1036&lt;&gt;"", J1036&lt;&gt;""), HYPERLINK("#'" &amp; C1036 &amp; "'!" &amp; J1036, J1036), "")</f>
        <v>0</v>
      </c>
    </row>
    <row r="1037" spans="2:2">
      <c r="B1037" s="21">
        <f>IF(AND(C1037&lt;&gt;"", J1037&lt;&gt;""), HYPERLINK("#'" &amp; C1037 &amp; "'!" &amp; J1037, J1037), "")</f>
        <v>0</v>
      </c>
    </row>
    <row r="1038" spans="2:2">
      <c r="B1038" s="21">
        <f>IF(AND(C1038&lt;&gt;"", J1038&lt;&gt;""), HYPERLINK("#'" &amp; C1038 &amp; "'!" &amp; J1038, J1038), "")</f>
        <v>0</v>
      </c>
    </row>
    <row r="1039" spans="2:2">
      <c r="B1039" s="21">
        <f>IF(AND(C1039&lt;&gt;"", J1039&lt;&gt;""), HYPERLINK("#'" &amp; C1039 &amp; "'!" &amp; J1039, J1039), "")</f>
        <v>0</v>
      </c>
    </row>
    <row r="1040" spans="2:2">
      <c r="B1040" s="21">
        <f>IF(AND(C1040&lt;&gt;"", J1040&lt;&gt;""), HYPERLINK("#'" &amp; C1040 &amp; "'!" &amp; J1040, J1040), "")</f>
        <v>0</v>
      </c>
    </row>
    <row r="1041" spans="2:2">
      <c r="B1041" s="21">
        <f>IF(AND(C1041&lt;&gt;"", J1041&lt;&gt;""), HYPERLINK("#'" &amp; C1041 &amp; "'!" &amp; J1041, J1041), "")</f>
        <v>0</v>
      </c>
    </row>
    <row r="1042" spans="2:2">
      <c r="B1042" s="21">
        <f>IF(AND(C1042&lt;&gt;"", J1042&lt;&gt;""), HYPERLINK("#'" &amp; C1042 &amp; "'!" &amp; J1042, J1042), "")</f>
        <v>0</v>
      </c>
    </row>
    <row r="1043" spans="2:2">
      <c r="B1043" s="21">
        <f>IF(AND(C1043&lt;&gt;"", J1043&lt;&gt;""), HYPERLINK("#'" &amp; C1043 &amp; "'!" &amp; J1043, J1043), "")</f>
        <v>0</v>
      </c>
    </row>
    <row r="1044" spans="2:2">
      <c r="B1044" s="21">
        <f>IF(AND(C1044&lt;&gt;"", J1044&lt;&gt;""), HYPERLINK("#'" &amp; C1044 &amp; "'!" &amp; J1044, J1044), "")</f>
        <v>0</v>
      </c>
    </row>
    <row r="1045" spans="2:2">
      <c r="B1045" s="21">
        <f>IF(AND(C1045&lt;&gt;"", J1045&lt;&gt;""), HYPERLINK("#'" &amp; C1045 &amp; "'!" &amp; J1045, J1045), "")</f>
        <v>0</v>
      </c>
    </row>
    <row r="1046" spans="2:2">
      <c r="B1046" s="21">
        <f>IF(AND(C1046&lt;&gt;"", J1046&lt;&gt;""), HYPERLINK("#'" &amp; C1046 &amp; "'!" &amp; J1046, J1046), "")</f>
        <v>0</v>
      </c>
    </row>
    <row r="1047" spans="2:2">
      <c r="B1047" s="21">
        <f>IF(AND(C1047&lt;&gt;"", J1047&lt;&gt;""), HYPERLINK("#'" &amp; C1047 &amp; "'!" &amp; J1047, J1047), "")</f>
        <v>0</v>
      </c>
    </row>
    <row r="1048" spans="2:2">
      <c r="B1048" s="21">
        <f>IF(AND(C1048&lt;&gt;"", J1048&lt;&gt;""), HYPERLINK("#'" &amp; C1048 &amp; "'!" &amp; J1048, J1048), "")</f>
        <v>0</v>
      </c>
    </row>
    <row r="1049" spans="2:2">
      <c r="B1049" s="21">
        <f>IF(AND(C1049&lt;&gt;"", J1049&lt;&gt;""), HYPERLINK("#'" &amp; C1049 &amp; "'!" &amp; J1049, J1049), "")</f>
        <v>0</v>
      </c>
    </row>
    <row r="1050" spans="2:2">
      <c r="B1050" s="21">
        <f>IF(AND(C1050&lt;&gt;"", J1050&lt;&gt;""), HYPERLINK("#'" &amp; C1050 &amp; "'!" &amp; J1050, J1050), "")</f>
        <v>0</v>
      </c>
    </row>
    <row r="1051" spans="2:2">
      <c r="B1051" s="21">
        <f>IF(AND(C1051&lt;&gt;"", J1051&lt;&gt;""), HYPERLINK("#'" &amp; C1051 &amp; "'!" &amp; J1051, J1051), "")</f>
        <v>0</v>
      </c>
    </row>
    <row r="1052" spans="2:2">
      <c r="B1052" s="21">
        <f>IF(AND(C1052&lt;&gt;"", J1052&lt;&gt;""), HYPERLINK("#'" &amp; C1052 &amp; "'!" &amp; J1052, J1052), "")</f>
        <v>0</v>
      </c>
    </row>
    <row r="1053" spans="2:2">
      <c r="B1053" s="21">
        <f>IF(AND(C1053&lt;&gt;"", J1053&lt;&gt;""), HYPERLINK("#'" &amp; C1053 &amp; "'!" &amp; J1053, J1053), "")</f>
        <v>0</v>
      </c>
    </row>
    <row r="1054" spans="2:2">
      <c r="B1054" s="21">
        <f>IF(AND(C1054&lt;&gt;"", J1054&lt;&gt;""), HYPERLINK("#'" &amp; C1054 &amp; "'!" &amp; J1054, J1054), "")</f>
        <v>0</v>
      </c>
    </row>
    <row r="1055" spans="2:2">
      <c r="B1055" s="21">
        <f>IF(AND(C1055&lt;&gt;"", J1055&lt;&gt;""), HYPERLINK("#'" &amp; C1055 &amp; "'!" &amp; J1055, J1055), "")</f>
        <v>0</v>
      </c>
    </row>
    <row r="1056" spans="2:2">
      <c r="B1056" s="21">
        <f>IF(AND(C1056&lt;&gt;"", J1056&lt;&gt;""), HYPERLINK("#'" &amp; C1056 &amp; "'!" &amp; J1056, J1056), "")</f>
        <v>0</v>
      </c>
    </row>
    <row r="1057" spans="2:2">
      <c r="B1057" s="21">
        <f>IF(AND(C1057&lt;&gt;"", J1057&lt;&gt;""), HYPERLINK("#'" &amp; C1057 &amp; "'!" &amp; J1057, J1057), "")</f>
        <v>0</v>
      </c>
    </row>
    <row r="1058" spans="2:2">
      <c r="B1058" s="21">
        <f>IF(AND(C1058&lt;&gt;"", J1058&lt;&gt;""), HYPERLINK("#'" &amp; C1058 &amp; "'!" &amp; J1058, J1058), "")</f>
        <v>0</v>
      </c>
    </row>
    <row r="1059" spans="2:2">
      <c r="B1059" s="21">
        <f>IF(AND(C1059&lt;&gt;"", J1059&lt;&gt;""), HYPERLINK("#'" &amp; C1059 &amp; "'!" &amp; J1059, J1059), "")</f>
        <v>0</v>
      </c>
    </row>
    <row r="1060" spans="2:2">
      <c r="B1060" s="21">
        <f>IF(AND(C1060&lt;&gt;"", J1060&lt;&gt;""), HYPERLINK("#'" &amp; C1060 &amp; "'!" &amp; J1060, J1060), "")</f>
        <v>0</v>
      </c>
    </row>
    <row r="1061" spans="2:2">
      <c r="B1061" s="21">
        <f>IF(AND(C1061&lt;&gt;"", J1061&lt;&gt;""), HYPERLINK("#'" &amp; C1061 &amp; "'!" &amp; J1061, J1061), "")</f>
        <v>0</v>
      </c>
    </row>
    <row r="1062" spans="2:2">
      <c r="B1062" s="21">
        <f>IF(AND(C1062&lt;&gt;"", J1062&lt;&gt;""), HYPERLINK("#'" &amp; C1062 &amp; "'!" &amp; J1062, J1062), "")</f>
        <v>0</v>
      </c>
    </row>
    <row r="1063" spans="2:2">
      <c r="B1063" s="21">
        <f>IF(AND(C1063&lt;&gt;"", J1063&lt;&gt;""), HYPERLINK("#'" &amp; C1063 &amp; "'!" &amp; J1063, J1063), "")</f>
        <v>0</v>
      </c>
    </row>
    <row r="1064" spans="2:2">
      <c r="B1064" s="21">
        <f>IF(AND(C1064&lt;&gt;"", J1064&lt;&gt;""), HYPERLINK("#'" &amp; C1064 &amp; "'!" &amp; J1064, J1064), "")</f>
        <v>0</v>
      </c>
    </row>
    <row r="1065" spans="2:2">
      <c r="B1065" s="21">
        <f>IF(AND(C1065&lt;&gt;"", J1065&lt;&gt;""), HYPERLINK("#'" &amp; C1065 &amp; "'!" &amp; J1065, J1065), "")</f>
        <v>0</v>
      </c>
    </row>
    <row r="1066" spans="2:2">
      <c r="B1066" s="21">
        <f>IF(AND(C1066&lt;&gt;"", J1066&lt;&gt;""), HYPERLINK("#'" &amp; C1066 &amp; "'!" &amp; J1066, J1066), "")</f>
        <v>0</v>
      </c>
    </row>
    <row r="1067" spans="2:2">
      <c r="B1067" s="21">
        <f>IF(AND(C1067&lt;&gt;"", J1067&lt;&gt;""), HYPERLINK("#'" &amp; C1067 &amp; "'!" &amp; J1067, J1067), "")</f>
        <v>0</v>
      </c>
    </row>
    <row r="1068" spans="2:2">
      <c r="B1068" s="21">
        <f>IF(AND(C1068&lt;&gt;"", J1068&lt;&gt;""), HYPERLINK("#'" &amp; C1068 &amp; "'!" &amp; J1068, J1068), "")</f>
        <v>0</v>
      </c>
    </row>
    <row r="1069" spans="2:2">
      <c r="B1069" s="21">
        <f>IF(AND(C1069&lt;&gt;"", J1069&lt;&gt;""), HYPERLINK("#'" &amp; C1069 &amp; "'!" &amp; J1069, J1069), "")</f>
        <v>0</v>
      </c>
    </row>
    <row r="1070" spans="2:2">
      <c r="B1070" s="21">
        <f>IF(AND(C1070&lt;&gt;"", J1070&lt;&gt;""), HYPERLINK("#'" &amp; C1070 &amp; "'!" &amp; J1070, J1070), "")</f>
        <v>0</v>
      </c>
    </row>
    <row r="1071" spans="2:2">
      <c r="B1071" s="21">
        <f>IF(AND(C1071&lt;&gt;"", J1071&lt;&gt;""), HYPERLINK("#'" &amp; C1071 &amp; "'!" &amp; J1071, J1071), "")</f>
        <v>0</v>
      </c>
    </row>
    <row r="1072" spans="2:2">
      <c r="B1072" s="21">
        <f>IF(AND(C1072&lt;&gt;"", J1072&lt;&gt;""), HYPERLINK("#'" &amp; C1072 &amp; "'!" &amp; J1072, J1072), "")</f>
        <v>0</v>
      </c>
    </row>
    <row r="1073" spans="2:2">
      <c r="B1073" s="21">
        <f>IF(AND(C1073&lt;&gt;"", J1073&lt;&gt;""), HYPERLINK("#'" &amp; C1073 &amp; "'!" &amp; J1073, J1073), "")</f>
        <v>0</v>
      </c>
    </row>
    <row r="1074" spans="2:2">
      <c r="B1074" s="21">
        <f>IF(AND(C1074&lt;&gt;"", J1074&lt;&gt;""), HYPERLINK("#'" &amp; C1074 &amp; "'!" &amp; J1074, J1074), "")</f>
        <v>0</v>
      </c>
    </row>
    <row r="1075" spans="2:2">
      <c r="B1075" s="21">
        <f>IF(AND(C1075&lt;&gt;"", J1075&lt;&gt;""), HYPERLINK("#'" &amp; C1075 &amp; "'!" &amp; J1075, J1075), "")</f>
        <v>0</v>
      </c>
    </row>
    <row r="1076" spans="2:2">
      <c r="B1076" s="21">
        <f>IF(AND(C1076&lt;&gt;"", J1076&lt;&gt;""), HYPERLINK("#'" &amp; C1076 &amp; "'!" &amp; J1076, J1076), "")</f>
        <v>0</v>
      </c>
    </row>
    <row r="1077" spans="2:2">
      <c r="B1077" s="21">
        <f>IF(AND(C1077&lt;&gt;"", J1077&lt;&gt;""), HYPERLINK("#'" &amp; C1077 &amp; "'!" &amp; J1077, J1077), "")</f>
        <v>0</v>
      </c>
    </row>
    <row r="1078" spans="2:2">
      <c r="B1078" s="21">
        <f>IF(AND(C1078&lt;&gt;"", J1078&lt;&gt;""), HYPERLINK("#'" &amp; C1078 &amp; "'!" &amp; J1078, J1078), "")</f>
        <v>0</v>
      </c>
    </row>
    <row r="1079" spans="2:2">
      <c r="B1079" s="21">
        <f>IF(AND(C1079&lt;&gt;"", J1079&lt;&gt;""), HYPERLINK("#'" &amp; C1079 &amp; "'!" &amp; J1079, J1079), "")</f>
        <v>0</v>
      </c>
    </row>
    <row r="1080" spans="2:2">
      <c r="B1080" s="21">
        <f>IF(AND(C1080&lt;&gt;"", J1080&lt;&gt;""), HYPERLINK("#'" &amp; C1080 &amp; "'!" &amp; J1080, J1080), "")</f>
        <v>0</v>
      </c>
    </row>
    <row r="1081" spans="2:2">
      <c r="B1081" s="21">
        <f>IF(AND(C1081&lt;&gt;"", J1081&lt;&gt;""), HYPERLINK("#'" &amp; C1081 &amp; "'!" &amp; J1081, J1081), "")</f>
        <v>0</v>
      </c>
    </row>
    <row r="1082" spans="2:2">
      <c r="B1082" s="21">
        <f>IF(AND(C1082&lt;&gt;"", J1082&lt;&gt;""), HYPERLINK("#'" &amp; C1082 &amp; "'!" &amp; J1082, J1082), "")</f>
        <v>0</v>
      </c>
    </row>
    <row r="1083" spans="2:2">
      <c r="B1083" s="21">
        <f>IF(AND(C1083&lt;&gt;"", J1083&lt;&gt;""), HYPERLINK("#'" &amp; C1083 &amp; "'!" &amp; J1083, J1083), "")</f>
        <v>0</v>
      </c>
    </row>
    <row r="1084" spans="2:2">
      <c r="B1084" s="21">
        <f>IF(AND(C1084&lt;&gt;"", J1084&lt;&gt;""), HYPERLINK("#'" &amp; C1084 &amp; "'!" &amp; J1084, J1084), "")</f>
        <v>0</v>
      </c>
    </row>
    <row r="1085" spans="2:2">
      <c r="B1085" s="21">
        <f>IF(AND(C1085&lt;&gt;"", J1085&lt;&gt;""), HYPERLINK("#'" &amp; C1085 &amp; "'!" &amp; J1085, J1085), "")</f>
        <v>0</v>
      </c>
    </row>
    <row r="1086" spans="2:2">
      <c r="B1086" s="21">
        <f>IF(AND(C1086&lt;&gt;"", J1086&lt;&gt;""), HYPERLINK("#'" &amp; C1086 &amp; "'!" &amp; J1086, J1086), "")</f>
        <v>0</v>
      </c>
    </row>
    <row r="1087" spans="2:2">
      <c r="B1087" s="21">
        <f>IF(AND(C1087&lt;&gt;"", J1087&lt;&gt;""), HYPERLINK("#'" &amp; C1087 &amp; "'!" &amp; J1087, J1087), "")</f>
        <v>0</v>
      </c>
    </row>
    <row r="1088" spans="2:2">
      <c r="B1088" s="21">
        <f>IF(AND(C1088&lt;&gt;"", J1088&lt;&gt;""), HYPERLINK("#'" &amp; C1088 &amp; "'!" &amp; J1088, J1088), "")</f>
        <v>0</v>
      </c>
    </row>
    <row r="1089" spans="2:2">
      <c r="B1089" s="21">
        <f>IF(AND(C1089&lt;&gt;"", J1089&lt;&gt;""), HYPERLINK("#'" &amp; C1089 &amp; "'!" &amp; J1089, J1089), "")</f>
        <v>0</v>
      </c>
    </row>
    <row r="1090" spans="2:2">
      <c r="B1090" s="21">
        <f>IF(AND(C1090&lt;&gt;"", J1090&lt;&gt;""), HYPERLINK("#'" &amp; C1090 &amp; "'!" &amp; J1090, J1090), "")</f>
        <v>0</v>
      </c>
    </row>
    <row r="1091" spans="2:2">
      <c r="B1091" s="21">
        <f>IF(AND(C1091&lt;&gt;"", J1091&lt;&gt;""), HYPERLINK("#'" &amp; C1091 &amp; "'!" &amp; J1091, J1091), "")</f>
        <v>0</v>
      </c>
    </row>
    <row r="1092" spans="2:2">
      <c r="B1092" s="21">
        <f>IF(AND(C1092&lt;&gt;"", J1092&lt;&gt;""), HYPERLINK("#'" &amp; C1092 &amp; "'!" &amp; J1092, J1092), "")</f>
        <v>0</v>
      </c>
    </row>
    <row r="1093" spans="2:2">
      <c r="B1093" s="21">
        <f>IF(AND(C1093&lt;&gt;"", J1093&lt;&gt;""), HYPERLINK("#'" &amp; C1093 &amp; "'!" &amp; J1093, J1093), "")</f>
        <v>0</v>
      </c>
    </row>
    <row r="1094" spans="2:2">
      <c r="B1094" s="21">
        <f>IF(AND(C1094&lt;&gt;"", J1094&lt;&gt;""), HYPERLINK("#'" &amp; C1094 &amp; "'!" &amp; J1094, J1094), "")</f>
        <v>0</v>
      </c>
    </row>
    <row r="1095" spans="2:2">
      <c r="B1095" s="21">
        <f>IF(AND(C1095&lt;&gt;"", J1095&lt;&gt;""), HYPERLINK("#'" &amp; C1095 &amp; "'!" &amp; J1095, J1095), "")</f>
        <v>0</v>
      </c>
    </row>
    <row r="1096" spans="2:2">
      <c r="B1096" s="21">
        <f>IF(AND(C1096&lt;&gt;"", J1096&lt;&gt;""), HYPERLINK("#'" &amp; C1096 &amp; "'!" &amp; J1096, J1096), "")</f>
        <v>0</v>
      </c>
    </row>
    <row r="1097" spans="2:2">
      <c r="B1097" s="21">
        <f>IF(AND(C1097&lt;&gt;"", J1097&lt;&gt;""), HYPERLINK("#'" &amp; C1097 &amp; "'!" &amp; J1097, J1097), "")</f>
        <v>0</v>
      </c>
    </row>
    <row r="1098" spans="2:2">
      <c r="B1098" s="21">
        <f>IF(AND(C1098&lt;&gt;"", J1098&lt;&gt;""), HYPERLINK("#'" &amp; C1098 &amp; "'!" &amp; J1098, J1098), "")</f>
        <v>0</v>
      </c>
    </row>
    <row r="1099" spans="2:2">
      <c r="B1099" s="21">
        <f>IF(AND(C1099&lt;&gt;"", J1099&lt;&gt;""), HYPERLINK("#'" &amp; C1099 &amp; "'!" &amp; J1099, J1099), "")</f>
        <v>0</v>
      </c>
    </row>
    <row r="1100" spans="2:2">
      <c r="B1100" s="21">
        <f>IF(AND(C1100&lt;&gt;"", J1100&lt;&gt;""), HYPERLINK("#'" &amp; C1100 &amp; "'!" &amp; J1100, J1100), "")</f>
        <v>0</v>
      </c>
    </row>
    <row r="1101" spans="2:2">
      <c r="B1101" s="21">
        <f>IF(AND(C1101&lt;&gt;"", J1101&lt;&gt;""), HYPERLINK("#'" &amp; C1101 &amp; "'!" &amp; J1101, J1101), "")</f>
        <v>0</v>
      </c>
    </row>
    <row r="1102" spans="2:2">
      <c r="B1102" s="21">
        <f>IF(AND(C1102&lt;&gt;"", J1102&lt;&gt;""), HYPERLINK("#'" &amp; C1102 &amp; "'!" &amp; J1102, J1102), "")</f>
        <v>0</v>
      </c>
    </row>
    <row r="1103" spans="2:2">
      <c r="B1103" s="21">
        <f>IF(AND(C1103&lt;&gt;"", J1103&lt;&gt;""), HYPERLINK("#'" &amp; C1103 &amp; "'!" &amp; J1103, J1103), "")</f>
        <v>0</v>
      </c>
    </row>
    <row r="1104" spans="2:2">
      <c r="B1104" s="21">
        <f>IF(AND(C1104&lt;&gt;"", J1104&lt;&gt;""), HYPERLINK("#'" &amp; C1104 &amp; "'!" &amp; J1104, J1104), "")</f>
        <v>0</v>
      </c>
    </row>
    <row r="1105" spans="2:2">
      <c r="B1105" s="21">
        <f>IF(AND(C1105&lt;&gt;"", J1105&lt;&gt;""), HYPERLINK("#'" &amp; C1105 &amp; "'!" &amp; J1105, J1105), "")</f>
        <v>0</v>
      </c>
    </row>
    <row r="1106" spans="2:2">
      <c r="B1106" s="21">
        <f>IF(AND(C1106&lt;&gt;"", J1106&lt;&gt;""), HYPERLINK("#'" &amp; C1106 &amp; "'!" &amp; J1106, J1106), "")</f>
        <v>0</v>
      </c>
    </row>
    <row r="1107" spans="2:2">
      <c r="B1107" s="21">
        <f>IF(AND(C1107&lt;&gt;"", J1107&lt;&gt;""), HYPERLINK("#'" &amp; C1107 &amp; "'!" &amp; J1107, J1107), "")</f>
        <v>0</v>
      </c>
    </row>
    <row r="1108" spans="2:2">
      <c r="B1108" s="21">
        <f>IF(AND(C1108&lt;&gt;"", J1108&lt;&gt;""), HYPERLINK("#'" &amp; C1108 &amp; "'!" &amp; J1108, J1108), "")</f>
        <v>0</v>
      </c>
    </row>
    <row r="1109" spans="2:2">
      <c r="B1109" s="21">
        <f>IF(AND(C1109&lt;&gt;"", J1109&lt;&gt;""), HYPERLINK("#'" &amp; C1109 &amp; "'!" &amp; J1109, J1109), "")</f>
        <v>0</v>
      </c>
    </row>
    <row r="1110" spans="2:2">
      <c r="B1110" s="21">
        <f>IF(AND(C1110&lt;&gt;"", J1110&lt;&gt;""), HYPERLINK("#'" &amp; C1110 &amp; "'!" &amp; J1110, J1110), "")</f>
        <v>0</v>
      </c>
    </row>
    <row r="1111" spans="2:2">
      <c r="B1111" s="21">
        <f>IF(AND(C1111&lt;&gt;"", J1111&lt;&gt;""), HYPERLINK("#'" &amp; C1111 &amp; "'!" &amp; J1111, J1111), "")</f>
        <v>0</v>
      </c>
    </row>
    <row r="1112" spans="2:2">
      <c r="B1112" s="21">
        <f>IF(AND(C1112&lt;&gt;"", J1112&lt;&gt;""), HYPERLINK("#'" &amp; C1112 &amp; "'!" &amp; J1112, J1112), "")</f>
        <v>0</v>
      </c>
    </row>
    <row r="1113" spans="2:2">
      <c r="B1113" s="21">
        <f>IF(AND(C1113&lt;&gt;"", J1113&lt;&gt;""), HYPERLINK("#'" &amp; C1113 &amp; "'!" &amp; J1113, J1113), "")</f>
        <v>0</v>
      </c>
    </row>
    <row r="1114" spans="2:2">
      <c r="B1114" s="21">
        <f>IF(AND(C1114&lt;&gt;"", J1114&lt;&gt;""), HYPERLINK("#'" &amp; C1114 &amp; "'!" &amp; J1114, J1114), "")</f>
        <v>0</v>
      </c>
    </row>
    <row r="1115" spans="2:2">
      <c r="B1115" s="21">
        <f>IF(AND(C1115&lt;&gt;"", J1115&lt;&gt;""), HYPERLINK("#'" &amp; C1115 &amp; "'!" &amp; J1115, J1115), "")</f>
        <v>0</v>
      </c>
    </row>
    <row r="1116" spans="2:2">
      <c r="B1116" s="21">
        <f>IF(AND(C1116&lt;&gt;"", J1116&lt;&gt;""), HYPERLINK("#'" &amp; C1116 &amp; "'!" &amp; J1116, J1116), "")</f>
        <v>0</v>
      </c>
    </row>
    <row r="1117" spans="2:2">
      <c r="B1117" s="21">
        <f>IF(AND(C1117&lt;&gt;"", J1117&lt;&gt;""), HYPERLINK("#'" &amp; C1117 &amp; "'!" &amp; J1117, J1117), "")</f>
        <v>0</v>
      </c>
    </row>
    <row r="1118" spans="2:2">
      <c r="B1118" s="21">
        <f>IF(AND(C1118&lt;&gt;"", J1118&lt;&gt;""), HYPERLINK("#'" &amp; C1118 &amp; "'!" &amp; J1118, J1118), "")</f>
        <v>0</v>
      </c>
    </row>
    <row r="1119" spans="2:2">
      <c r="B1119" s="21">
        <f>IF(AND(C1119&lt;&gt;"", J1119&lt;&gt;""), HYPERLINK("#'" &amp; C1119 &amp; "'!" &amp; J1119, J1119), "")</f>
        <v>0</v>
      </c>
    </row>
    <row r="1120" spans="2:2">
      <c r="B1120" s="21">
        <f>IF(AND(C1120&lt;&gt;"", J1120&lt;&gt;""), HYPERLINK("#'" &amp; C1120 &amp; "'!" &amp; J1120, J1120), "")</f>
        <v>0</v>
      </c>
    </row>
    <row r="1121" spans="2:2">
      <c r="B1121" s="21">
        <f>IF(AND(C1121&lt;&gt;"", J1121&lt;&gt;""), HYPERLINK("#'" &amp; C1121 &amp; "'!" &amp; J1121, J1121), "")</f>
        <v>0</v>
      </c>
    </row>
    <row r="1122" spans="2:2">
      <c r="B1122" s="21">
        <f>IF(AND(C1122&lt;&gt;"", J1122&lt;&gt;""), HYPERLINK("#'" &amp; C1122 &amp; "'!" &amp; J1122, J1122), "")</f>
        <v>0</v>
      </c>
    </row>
    <row r="1123" spans="2:2">
      <c r="B1123" s="21">
        <f>IF(AND(C1123&lt;&gt;"", J1123&lt;&gt;""), HYPERLINK("#'" &amp; C1123 &amp; "'!" &amp; J1123, J1123), "")</f>
        <v>0</v>
      </c>
    </row>
    <row r="1124" spans="2:2">
      <c r="B1124" s="21">
        <f>IF(AND(C1124&lt;&gt;"", J1124&lt;&gt;""), HYPERLINK("#'" &amp; C1124 &amp; "'!" &amp; J1124, J1124), "")</f>
        <v>0</v>
      </c>
    </row>
    <row r="1125" spans="2:2">
      <c r="B1125" s="21">
        <f>IF(AND(C1125&lt;&gt;"", J1125&lt;&gt;""), HYPERLINK("#'" &amp; C1125 &amp; "'!" &amp; J1125, J1125), "")</f>
        <v>0</v>
      </c>
    </row>
    <row r="1126" spans="2:2">
      <c r="B1126" s="21">
        <f>IF(AND(C1126&lt;&gt;"", J1126&lt;&gt;""), HYPERLINK("#'" &amp; C1126 &amp; "'!" &amp; J1126, J1126), "")</f>
        <v>0</v>
      </c>
    </row>
    <row r="1127" spans="2:2">
      <c r="B1127" s="21">
        <f>IF(AND(C1127&lt;&gt;"", J1127&lt;&gt;""), HYPERLINK("#'" &amp; C1127 &amp; "'!" &amp; J1127, J1127), "")</f>
        <v>0</v>
      </c>
    </row>
    <row r="1128" spans="2:2">
      <c r="B1128" s="21">
        <f>IF(AND(C1128&lt;&gt;"", J1128&lt;&gt;""), HYPERLINK("#'" &amp; C1128 &amp; "'!" &amp; J1128, J1128), "")</f>
        <v>0</v>
      </c>
    </row>
    <row r="1129" spans="2:2">
      <c r="B1129" s="21">
        <f>IF(AND(C1129&lt;&gt;"", J1129&lt;&gt;""), HYPERLINK("#'" &amp; C1129 &amp; "'!" &amp; J1129, J1129), "")</f>
        <v>0</v>
      </c>
    </row>
    <row r="1130" spans="2:2">
      <c r="B1130" s="21">
        <f>IF(AND(C1130&lt;&gt;"", J1130&lt;&gt;""), HYPERLINK("#'" &amp; C1130 &amp; "'!" &amp; J1130, J1130), "")</f>
        <v>0</v>
      </c>
    </row>
    <row r="1131" spans="2:2">
      <c r="B1131" s="21">
        <f>IF(AND(C1131&lt;&gt;"", J1131&lt;&gt;""), HYPERLINK("#'" &amp; C1131 &amp; "'!" &amp; J1131, J1131), "")</f>
        <v>0</v>
      </c>
    </row>
    <row r="1132" spans="2:2">
      <c r="B1132" s="21">
        <f>IF(AND(C1132&lt;&gt;"", J1132&lt;&gt;""), HYPERLINK("#'" &amp; C1132 &amp; "'!" &amp; J1132, J1132), "")</f>
        <v>0</v>
      </c>
    </row>
    <row r="1133" spans="2:2">
      <c r="B1133" s="21">
        <f>IF(AND(C1133&lt;&gt;"", J1133&lt;&gt;""), HYPERLINK("#'" &amp; C1133 &amp; "'!" &amp; J1133, J1133), "")</f>
        <v>0</v>
      </c>
    </row>
    <row r="1134" spans="2:2">
      <c r="B1134" s="21">
        <f>IF(AND(C1134&lt;&gt;"", J1134&lt;&gt;""), HYPERLINK("#'" &amp; C1134 &amp; "'!" &amp; J1134, J1134), "")</f>
        <v>0</v>
      </c>
    </row>
    <row r="1135" spans="2:2">
      <c r="B1135" s="21">
        <f>IF(AND(C1135&lt;&gt;"", J1135&lt;&gt;""), HYPERLINK("#'" &amp; C1135 &amp; "'!" &amp; J1135, J1135), "")</f>
        <v>0</v>
      </c>
    </row>
    <row r="1136" spans="2:2">
      <c r="B1136" s="21">
        <f>IF(AND(C1136&lt;&gt;"", J1136&lt;&gt;""), HYPERLINK("#'" &amp; C1136 &amp; "'!" &amp; J1136, J1136), "")</f>
        <v>0</v>
      </c>
    </row>
    <row r="1137" spans="2:2">
      <c r="B1137" s="21">
        <f>IF(AND(C1137&lt;&gt;"", J1137&lt;&gt;""), HYPERLINK("#'" &amp; C1137 &amp; "'!" &amp; J1137, J1137), "")</f>
        <v>0</v>
      </c>
    </row>
    <row r="1138" spans="2:2">
      <c r="B1138" s="21">
        <f>IF(AND(C1138&lt;&gt;"", J1138&lt;&gt;""), HYPERLINK("#'" &amp; C1138 &amp; "'!" &amp; J1138, J1138), "")</f>
        <v>0</v>
      </c>
    </row>
    <row r="1139" spans="2:2">
      <c r="B1139" s="21">
        <f>IF(AND(C1139&lt;&gt;"", J1139&lt;&gt;""), HYPERLINK("#'" &amp; C1139 &amp; "'!" &amp; J1139, J1139), "")</f>
        <v>0</v>
      </c>
    </row>
    <row r="1140" spans="2:2">
      <c r="B1140" s="21">
        <f>IF(AND(C1140&lt;&gt;"", J1140&lt;&gt;""), HYPERLINK("#'" &amp; C1140 &amp; "'!" &amp; J1140, J1140), "")</f>
        <v>0</v>
      </c>
    </row>
    <row r="1141" spans="2:2">
      <c r="B1141" s="21">
        <f>IF(AND(C1141&lt;&gt;"", J1141&lt;&gt;""), HYPERLINK("#'" &amp; C1141 &amp; "'!" &amp; J1141, J1141), "")</f>
        <v>0</v>
      </c>
    </row>
    <row r="1142" spans="2:2">
      <c r="B1142" s="21">
        <f>IF(AND(C1142&lt;&gt;"", J1142&lt;&gt;""), HYPERLINK("#'" &amp; C1142 &amp; "'!" &amp; J1142, J1142), "")</f>
        <v>0</v>
      </c>
    </row>
    <row r="1143" spans="2:2">
      <c r="B1143" s="21">
        <f>IF(AND(C1143&lt;&gt;"", J1143&lt;&gt;""), HYPERLINK("#'" &amp; C1143 &amp; "'!" &amp; J1143, J1143), "")</f>
        <v>0</v>
      </c>
    </row>
    <row r="1144" spans="2:2">
      <c r="B1144" s="21">
        <f>IF(AND(C1144&lt;&gt;"", J1144&lt;&gt;""), HYPERLINK("#'" &amp; C1144 &amp; "'!" &amp; J1144, J1144), "")</f>
        <v>0</v>
      </c>
    </row>
    <row r="1145" spans="2:2">
      <c r="B1145" s="21">
        <f>IF(AND(C1145&lt;&gt;"", J1145&lt;&gt;""), HYPERLINK("#'" &amp; C1145 &amp; "'!" &amp; J1145, J1145), "")</f>
        <v>0</v>
      </c>
    </row>
    <row r="1146" spans="2:2">
      <c r="B1146" s="21">
        <f>IF(AND(C1146&lt;&gt;"", J1146&lt;&gt;""), HYPERLINK("#'" &amp; C1146 &amp; "'!" &amp; J1146, J1146), "")</f>
        <v>0</v>
      </c>
    </row>
    <row r="1147" spans="2:2">
      <c r="B1147" s="21">
        <f>IF(AND(C1147&lt;&gt;"", J1147&lt;&gt;""), HYPERLINK("#'" &amp; C1147 &amp; "'!" &amp; J1147, J1147), "")</f>
        <v>0</v>
      </c>
    </row>
    <row r="1148" spans="2:2">
      <c r="B1148" s="21">
        <f>IF(AND(C1148&lt;&gt;"", J1148&lt;&gt;""), HYPERLINK("#'" &amp; C1148 &amp; "'!" &amp; J1148, J1148), "")</f>
        <v>0</v>
      </c>
    </row>
    <row r="1149" spans="2:2">
      <c r="B1149" s="21">
        <f>IF(AND(C1149&lt;&gt;"", J1149&lt;&gt;""), HYPERLINK("#'" &amp; C1149 &amp; "'!" &amp; J1149, J1149), "")</f>
        <v>0</v>
      </c>
    </row>
    <row r="1150" spans="2:2">
      <c r="B1150" s="21">
        <f>IF(AND(C1150&lt;&gt;"", J1150&lt;&gt;""), HYPERLINK("#'" &amp; C1150 &amp; "'!" &amp; J1150, J1150), "")</f>
        <v>0</v>
      </c>
    </row>
    <row r="1151" spans="2:2">
      <c r="B1151" s="21">
        <f>IF(AND(C1151&lt;&gt;"", J1151&lt;&gt;""), HYPERLINK("#'" &amp; C1151 &amp; "'!" &amp; J1151, J1151), "")</f>
        <v>0</v>
      </c>
    </row>
    <row r="1152" spans="2:2">
      <c r="B1152" s="21">
        <f>IF(AND(C1152&lt;&gt;"", J1152&lt;&gt;""), HYPERLINK("#'" &amp; C1152 &amp; "'!" &amp; J1152, J1152), "")</f>
        <v>0</v>
      </c>
    </row>
    <row r="1153" spans="2:2">
      <c r="B1153" s="21">
        <f>IF(AND(C1153&lt;&gt;"", J1153&lt;&gt;""), HYPERLINK("#'" &amp; C1153 &amp; "'!" &amp; J1153, J1153), "")</f>
        <v>0</v>
      </c>
    </row>
    <row r="1154" spans="2:2">
      <c r="B1154" s="21">
        <f>IF(AND(C1154&lt;&gt;"", J1154&lt;&gt;""), HYPERLINK("#'" &amp; C1154 &amp; "'!" &amp; J1154, J1154), "")</f>
        <v>0</v>
      </c>
    </row>
    <row r="1155" spans="2:2">
      <c r="B1155" s="21">
        <f>IF(AND(C1155&lt;&gt;"", J1155&lt;&gt;""), HYPERLINK("#'" &amp; C1155 &amp; "'!" &amp; J1155, J1155), "")</f>
        <v>0</v>
      </c>
    </row>
    <row r="1156" spans="2:2">
      <c r="B1156" s="21">
        <f>IF(AND(C1156&lt;&gt;"", J1156&lt;&gt;""), HYPERLINK("#'" &amp; C1156 &amp; "'!" &amp; J1156, J1156), "")</f>
        <v>0</v>
      </c>
    </row>
    <row r="1157" spans="2:2">
      <c r="B1157" s="21">
        <f>IF(AND(C1157&lt;&gt;"", J1157&lt;&gt;""), HYPERLINK("#'" &amp; C1157 &amp; "'!" &amp; J1157, J1157), "")</f>
        <v>0</v>
      </c>
    </row>
    <row r="1158" spans="2:2">
      <c r="B1158" s="21">
        <f>IF(AND(C1158&lt;&gt;"", J1158&lt;&gt;""), HYPERLINK("#'" &amp; C1158 &amp; "'!" &amp; J1158, J1158), "")</f>
        <v>0</v>
      </c>
    </row>
    <row r="1159" spans="2:2">
      <c r="B1159" s="21">
        <f>IF(AND(C1159&lt;&gt;"", J1159&lt;&gt;""), HYPERLINK("#'" &amp; C1159 &amp; "'!" &amp; J1159, J1159), "")</f>
        <v>0</v>
      </c>
    </row>
    <row r="1160" spans="2:2">
      <c r="B1160" s="21">
        <f>IF(AND(C1160&lt;&gt;"", J1160&lt;&gt;""), HYPERLINK("#'" &amp; C1160 &amp; "'!" &amp; J1160, J1160), "")</f>
        <v>0</v>
      </c>
    </row>
    <row r="1161" spans="2:2">
      <c r="B1161" s="21">
        <f>IF(AND(C1161&lt;&gt;"", J1161&lt;&gt;""), HYPERLINK("#'" &amp; C1161 &amp; "'!" &amp; J1161, J1161), "")</f>
        <v>0</v>
      </c>
    </row>
    <row r="1162" spans="2:2">
      <c r="B1162" s="21">
        <f>IF(AND(C1162&lt;&gt;"", J1162&lt;&gt;""), HYPERLINK("#'" &amp; C1162 &amp; "'!" &amp; J1162, J1162), "")</f>
        <v>0</v>
      </c>
    </row>
    <row r="1163" spans="2:2">
      <c r="B1163" s="21">
        <f>IF(AND(C1163&lt;&gt;"", J1163&lt;&gt;""), HYPERLINK("#'" &amp; C1163 &amp; "'!" &amp; J1163, J1163), "")</f>
        <v>0</v>
      </c>
    </row>
    <row r="1164" spans="2:2">
      <c r="B1164" s="21">
        <f>IF(AND(C1164&lt;&gt;"", J1164&lt;&gt;""), HYPERLINK("#'" &amp; C1164 &amp; "'!" &amp; J1164, J1164), "")</f>
        <v>0</v>
      </c>
    </row>
    <row r="1165" spans="2:2">
      <c r="B1165" s="21">
        <f>IF(AND(C1165&lt;&gt;"", J1165&lt;&gt;""), HYPERLINK("#'" &amp; C1165 &amp; "'!" &amp; J1165, J1165), "")</f>
        <v>0</v>
      </c>
    </row>
    <row r="1166" spans="2:2">
      <c r="B1166" s="21">
        <f>IF(AND(C1166&lt;&gt;"", J1166&lt;&gt;""), HYPERLINK("#'" &amp; C1166 &amp; "'!" &amp; J1166, J1166), "")</f>
        <v>0</v>
      </c>
    </row>
    <row r="1167" spans="2:2">
      <c r="B1167" s="21">
        <f>IF(AND(C1167&lt;&gt;"", J1167&lt;&gt;""), HYPERLINK("#'" &amp; C1167 &amp; "'!" &amp; J1167, J1167), "")</f>
        <v>0</v>
      </c>
    </row>
    <row r="1168" spans="2:2">
      <c r="B1168" s="21">
        <f>IF(AND(C1168&lt;&gt;"", J1168&lt;&gt;""), HYPERLINK("#'" &amp; C1168 &amp; "'!" &amp; J1168, J1168), "")</f>
        <v>0</v>
      </c>
    </row>
    <row r="1169" spans="2:2">
      <c r="B1169" s="21">
        <f>IF(AND(C1169&lt;&gt;"", J1169&lt;&gt;""), HYPERLINK("#'" &amp; C1169 &amp; "'!" &amp; J1169, J1169), "")</f>
        <v>0</v>
      </c>
    </row>
    <row r="1170" spans="2:2">
      <c r="B1170" s="21">
        <f>IF(AND(C1170&lt;&gt;"", J1170&lt;&gt;""), HYPERLINK("#'" &amp; C1170 &amp; "'!" &amp; J1170, J1170), "")</f>
        <v>0</v>
      </c>
    </row>
    <row r="1171" spans="2:2">
      <c r="B1171" s="21">
        <f>IF(AND(C1171&lt;&gt;"", J1171&lt;&gt;""), HYPERLINK("#'" &amp; C1171 &amp; "'!" &amp; J1171, J1171), "")</f>
        <v>0</v>
      </c>
    </row>
    <row r="1172" spans="2:2">
      <c r="B1172" s="21">
        <f>IF(AND(C1172&lt;&gt;"", J1172&lt;&gt;""), HYPERLINK("#'" &amp; C1172 &amp; "'!" &amp; J1172, J1172), "")</f>
        <v>0</v>
      </c>
    </row>
    <row r="1173" spans="2:2">
      <c r="B1173" s="21">
        <f>IF(AND(C1173&lt;&gt;"", J1173&lt;&gt;""), HYPERLINK("#'" &amp; C1173 &amp; "'!" &amp; J1173, J1173), "")</f>
        <v>0</v>
      </c>
    </row>
    <row r="1174" spans="2:2">
      <c r="B1174" s="21">
        <f>IF(AND(C1174&lt;&gt;"", J1174&lt;&gt;""), HYPERLINK("#'" &amp; C1174 &amp; "'!" &amp; J1174, J1174), "")</f>
        <v>0</v>
      </c>
    </row>
    <row r="1175" spans="2:2">
      <c r="B1175" s="21">
        <f>IF(AND(C1175&lt;&gt;"", J1175&lt;&gt;""), HYPERLINK("#'" &amp; C1175 &amp; "'!" &amp; J1175, J1175), "")</f>
        <v>0</v>
      </c>
    </row>
    <row r="1176" spans="2:2">
      <c r="B1176" s="21">
        <f>IF(AND(C1176&lt;&gt;"", J1176&lt;&gt;""), HYPERLINK("#'" &amp; C1176 &amp; "'!" &amp; J1176, J1176), "")</f>
        <v>0</v>
      </c>
    </row>
    <row r="1177" spans="2:2">
      <c r="B1177" s="21">
        <f>IF(AND(C1177&lt;&gt;"", J1177&lt;&gt;""), HYPERLINK("#'" &amp; C1177 &amp; "'!" &amp; J1177, J1177), "")</f>
        <v>0</v>
      </c>
    </row>
    <row r="1178" spans="2:2">
      <c r="B1178" s="21">
        <f>IF(AND(C1178&lt;&gt;"", J1178&lt;&gt;""), HYPERLINK("#'" &amp; C1178 &amp; "'!" &amp; J1178, J1178), "")</f>
        <v>0</v>
      </c>
    </row>
    <row r="1179" spans="2:2">
      <c r="B1179" s="21">
        <f>IF(AND(C1179&lt;&gt;"", J1179&lt;&gt;""), HYPERLINK("#'" &amp; C1179 &amp; "'!" &amp; J1179, J1179), "")</f>
        <v>0</v>
      </c>
    </row>
    <row r="1180" spans="2:2">
      <c r="B1180" s="21">
        <f>IF(AND(C1180&lt;&gt;"", J1180&lt;&gt;""), HYPERLINK("#'" &amp; C1180 &amp; "'!" &amp; J1180, J1180), "")</f>
        <v>0</v>
      </c>
    </row>
    <row r="1181" spans="2:2">
      <c r="B1181" s="21">
        <f>IF(AND(C1181&lt;&gt;"", J1181&lt;&gt;""), HYPERLINK("#'" &amp; C1181 &amp; "'!" &amp; J1181, J1181), "")</f>
        <v>0</v>
      </c>
    </row>
    <row r="1182" spans="2:2">
      <c r="B1182" s="21">
        <f>IF(AND(C1182&lt;&gt;"", J1182&lt;&gt;""), HYPERLINK("#'" &amp; C1182 &amp; "'!" &amp; J1182, J1182), "")</f>
        <v>0</v>
      </c>
    </row>
    <row r="1183" spans="2:2">
      <c r="B1183" s="21">
        <f>IF(AND(C1183&lt;&gt;"", J1183&lt;&gt;""), HYPERLINK("#'" &amp; C1183 &amp; "'!" &amp; J1183, J1183), "")</f>
        <v>0</v>
      </c>
    </row>
    <row r="1184" spans="2:2">
      <c r="B1184" s="21">
        <f>IF(AND(C1184&lt;&gt;"", J1184&lt;&gt;""), HYPERLINK("#'" &amp; C1184 &amp; "'!" &amp; J1184, J1184), "")</f>
        <v>0</v>
      </c>
    </row>
    <row r="1185" spans="2:2">
      <c r="B1185" s="21">
        <f>IF(AND(C1185&lt;&gt;"", J1185&lt;&gt;""), HYPERLINK("#'" &amp; C1185 &amp; "'!" &amp; J1185, J1185), "")</f>
        <v>0</v>
      </c>
    </row>
    <row r="1186" spans="2:2">
      <c r="B1186" s="21">
        <f>IF(AND(C1186&lt;&gt;"", J1186&lt;&gt;""), HYPERLINK("#'" &amp; C1186 &amp; "'!" &amp; J1186, J1186), "")</f>
        <v>0</v>
      </c>
    </row>
    <row r="1187" spans="2:2">
      <c r="B1187" s="21">
        <f>IF(AND(C1187&lt;&gt;"", J1187&lt;&gt;""), HYPERLINK("#'" &amp; C1187 &amp; "'!" &amp; J1187, J1187), "")</f>
        <v>0</v>
      </c>
    </row>
    <row r="1188" spans="2:2">
      <c r="B1188" s="21">
        <f>IF(AND(C1188&lt;&gt;"", J1188&lt;&gt;""), HYPERLINK("#'" &amp; C1188 &amp; "'!" &amp; J1188, J1188), "")</f>
        <v>0</v>
      </c>
    </row>
    <row r="1189" spans="2:2">
      <c r="B1189" s="21">
        <f>IF(AND(C1189&lt;&gt;"", J1189&lt;&gt;""), HYPERLINK("#'" &amp; C1189 &amp; "'!" &amp; J1189, J1189), "")</f>
        <v>0</v>
      </c>
    </row>
    <row r="1190" spans="2:2">
      <c r="B1190" s="21">
        <f>IF(AND(C1190&lt;&gt;"", J1190&lt;&gt;""), HYPERLINK("#'" &amp; C1190 &amp; "'!" &amp; J1190, J1190), "")</f>
        <v>0</v>
      </c>
    </row>
    <row r="1191" spans="2:2">
      <c r="B1191" s="21">
        <f>IF(AND(C1191&lt;&gt;"", J1191&lt;&gt;""), HYPERLINK("#'" &amp; C1191 &amp; "'!" &amp; J1191, J1191), "")</f>
        <v>0</v>
      </c>
    </row>
    <row r="1192" spans="2:2">
      <c r="B1192" s="21">
        <f>IF(AND(C1192&lt;&gt;"", J1192&lt;&gt;""), HYPERLINK("#'" &amp; C1192 &amp; "'!" &amp; J1192, J1192), "")</f>
        <v>0</v>
      </c>
    </row>
    <row r="1193" spans="2:2">
      <c r="B1193" s="21">
        <f>IF(AND(C1193&lt;&gt;"", J1193&lt;&gt;""), HYPERLINK("#'" &amp; C1193 &amp; "'!" &amp; J1193, J1193), "")</f>
        <v>0</v>
      </c>
    </row>
    <row r="1194" spans="2:2">
      <c r="B1194" s="21">
        <f>IF(AND(C1194&lt;&gt;"", J1194&lt;&gt;""), HYPERLINK("#'" &amp; C1194 &amp; "'!" &amp; J1194, J1194), "")</f>
        <v>0</v>
      </c>
    </row>
    <row r="1195" spans="2:2">
      <c r="B1195" s="21">
        <f>IF(AND(C1195&lt;&gt;"", J1195&lt;&gt;""), HYPERLINK("#'" &amp; C1195 &amp; "'!" &amp; J1195, J1195), "")</f>
        <v>0</v>
      </c>
    </row>
    <row r="1196" spans="2:2">
      <c r="B1196" s="21">
        <f>IF(AND(C1196&lt;&gt;"", J1196&lt;&gt;""), HYPERLINK("#'" &amp; C1196 &amp; "'!" &amp; J1196, J1196), "")</f>
        <v>0</v>
      </c>
    </row>
    <row r="1197" spans="2:2">
      <c r="B1197" s="21">
        <f>IF(AND(C1197&lt;&gt;"", J1197&lt;&gt;""), HYPERLINK("#'" &amp; C1197 &amp; "'!" &amp; J1197, J1197), "")</f>
        <v>0</v>
      </c>
    </row>
    <row r="1198" spans="2:2">
      <c r="B1198" s="21">
        <f>IF(AND(C1198&lt;&gt;"", J1198&lt;&gt;""), HYPERLINK("#'" &amp; C1198 &amp; "'!" &amp; J1198, J1198), "")</f>
        <v>0</v>
      </c>
    </row>
    <row r="1199" spans="2:2">
      <c r="B1199" s="21">
        <f>IF(AND(C1199&lt;&gt;"", J1199&lt;&gt;""), HYPERLINK("#'" &amp; C1199 &amp; "'!" &amp; J1199, J1199), "")</f>
        <v>0</v>
      </c>
    </row>
    <row r="1200" spans="2:2">
      <c r="B1200" s="21">
        <f>IF(AND(C1200&lt;&gt;"", J1200&lt;&gt;""), HYPERLINK("#'" &amp; C1200 &amp; "'!" &amp; J1200, J1200), "")</f>
        <v>0</v>
      </c>
    </row>
    <row r="1201" spans="2:2">
      <c r="B1201" s="21">
        <f>IF(AND(C1201&lt;&gt;"", J1201&lt;&gt;""), HYPERLINK("#'" &amp; C1201 &amp; "'!" &amp; J1201, J1201), "")</f>
        <v>0</v>
      </c>
    </row>
    <row r="1202" spans="2:2">
      <c r="B1202" s="21">
        <f>IF(AND(C1202&lt;&gt;"", J1202&lt;&gt;""), HYPERLINK("#'" &amp; C1202 &amp; "'!" &amp; J1202, J1202), "")</f>
        <v>0</v>
      </c>
    </row>
    <row r="1203" spans="2:2">
      <c r="B1203" s="21">
        <f>IF(AND(C1203&lt;&gt;"", J1203&lt;&gt;""), HYPERLINK("#'" &amp; C1203 &amp; "'!" &amp; J1203, J1203), "")</f>
        <v>0</v>
      </c>
    </row>
    <row r="1204" spans="2:2">
      <c r="B1204" s="21">
        <f>IF(AND(C1204&lt;&gt;"", J1204&lt;&gt;""), HYPERLINK("#'" &amp; C1204 &amp; "'!" &amp; J1204, J1204), "")</f>
        <v>0</v>
      </c>
    </row>
    <row r="1205" spans="2:2">
      <c r="B1205" s="21">
        <f>IF(AND(C1205&lt;&gt;"", J1205&lt;&gt;""), HYPERLINK("#'" &amp; C1205 &amp; "'!" &amp; J1205, J1205), "")</f>
        <v>0</v>
      </c>
    </row>
    <row r="1206" spans="2:2">
      <c r="B1206" s="21">
        <f>IF(AND(C1206&lt;&gt;"", J1206&lt;&gt;""), HYPERLINK("#'" &amp; C1206 &amp; "'!" &amp; J1206, J1206), "")</f>
        <v>0</v>
      </c>
    </row>
    <row r="1207" spans="2:2">
      <c r="B1207" s="21">
        <f>IF(AND(C1207&lt;&gt;"", J1207&lt;&gt;""), HYPERLINK("#'" &amp; C1207 &amp; "'!" &amp; J1207, J1207), "")</f>
        <v>0</v>
      </c>
    </row>
    <row r="1208" spans="2:2">
      <c r="B1208" s="21">
        <f>IF(AND(C1208&lt;&gt;"", J1208&lt;&gt;""), HYPERLINK("#'" &amp; C1208 &amp; "'!" &amp; J1208, J1208), "")</f>
        <v>0</v>
      </c>
    </row>
    <row r="1209" spans="2:2">
      <c r="B1209" s="21">
        <f>IF(AND(C1209&lt;&gt;"", J1209&lt;&gt;""), HYPERLINK("#'" &amp; C1209 &amp; "'!" &amp; J1209, J1209), "")</f>
        <v>0</v>
      </c>
    </row>
    <row r="1210" spans="2:2">
      <c r="B1210" s="21">
        <f>IF(AND(C1210&lt;&gt;"", J1210&lt;&gt;""), HYPERLINK("#'" &amp; C1210 &amp; "'!" &amp; J1210, J1210), "")</f>
        <v>0</v>
      </c>
    </row>
    <row r="1211" spans="2:2">
      <c r="B1211" s="21">
        <f>IF(AND(C1211&lt;&gt;"", J1211&lt;&gt;""), HYPERLINK("#'" &amp; C1211 &amp; "'!" &amp; J1211, J1211), "")</f>
        <v>0</v>
      </c>
    </row>
    <row r="1212" spans="2:2">
      <c r="B1212" s="21">
        <f>IF(AND(C1212&lt;&gt;"", J1212&lt;&gt;""), HYPERLINK("#'" &amp; C1212 &amp; "'!" &amp; J1212, J1212), "")</f>
        <v>0</v>
      </c>
    </row>
    <row r="1213" spans="2:2">
      <c r="B1213" s="21">
        <f>IF(AND(C1213&lt;&gt;"", J1213&lt;&gt;""), HYPERLINK("#'" &amp; C1213 &amp; "'!" &amp; J1213, J1213), "")</f>
        <v>0</v>
      </c>
    </row>
    <row r="1214" spans="2:2">
      <c r="B1214" s="21">
        <f>IF(AND(C1214&lt;&gt;"", J1214&lt;&gt;""), HYPERLINK("#'" &amp; C1214 &amp; "'!" &amp; J1214, J1214), "")</f>
        <v>0</v>
      </c>
    </row>
    <row r="1215" spans="2:2">
      <c r="B1215" s="21">
        <f>IF(AND(C1215&lt;&gt;"", J1215&lt;&gt;""), HYPERLINK("#'" &amp; C1215 &amp; "'!" &amp; J1215, J1215), "")</f>
        <v>0</v>
      </c>
    </row>
    <row r="1216" spans="2:2">
      <c r="B1216" s="21">
        <f>IF(AND(C1216&lt;&gt;"", J1216&lt;&gt;""), HYPERLINK("#'" &amp; C1216 &amp; "'!" &amp; J1216, J1216), "")</f>
        <v>0</v>
      </c>
    </row>
    <row r="1217" spans="2:2">
      <c r="B1217" s="21">
        <f>IF(AND(C1217&lt;&gt;"", J1217&lt;&gt;""), HYPERLINK("#'" &amp; C1217 &amp; "'!" &amp; J1217, J1217), "")</f>
        <v>0</v>
      </c>
    </row>
    <row r="1218" spans="2:2">
      <c r="B1218" s="21">
        <f>IF(AND(C1218&lt;&gt;"", J1218&lt;&gt;""), HYPERLINK("#'" &amp; C1218 &amp; "'!" &amp; J1218, J1218), "")</f>
        <v>0</v>
      </c>
    </row>
    <row r="1219" spans="2:2">
      <c r="B1219" s="21">
        <f>IF(AND(C1219&lt;&gt;"", J1219&lt;&gt;""), HYPERLINK("#'" &amp; C1219 &amp; "'!" &amp; J1219, J1219), "")</f>
        <v>0</v>
      </c>
    </row>
    <row r="1220" spans="2:2">
      <c r="B1220" s="21">
        <f>IF(AND(C1220&lt;&gt;"", J1220&lt;&gt;""), HYPERLINK("#'" &amp; C1220 &amp; "'!" &amp; J1220, J1220), "")</f>
        <v>0</v>
      </c>
    </row>
    <row r="1221" spans="2:2">
      <c r="B1221" s="21">
        <f>IF(AND(C1221&lt;&gt;"", J1221&lt;&gt;""), HYPERLINK("#'" &amp; C1221 &amp; "'!" &amp; J1221, J1221), "")</f>
        <v>0</v>
      </c>
    </row>
    <row r="1222" spans="2:2">
      <c r="B1222" s="21">
        <f>IF(AND(C1222&lt;&gt;"", J1222&lt;&gt;""), HYPERLINK("#'" &amp; C1222 &amp; "'!" &amp; J1222, J1222), "")</f>
        <v>0</v>
      </c>
    </row>
    <row r="1223" spans="2:2">
      <c r="B1223" s="21">
        <f>IF(AND(C1223&lt;&gt;"", J1223&lt;&gt;""), HYPERLINK("#'" &amp; C1223 &amp; "'!" &amp; J1223, J1223), "")</f>
        <v>0</v>
      </c>
    </row>
    <row r="1224" spans="2:2">
      <c r="B1224" s="21">
        <f>IF(AND(C1224&lt;&gt;"", J1224&lt;&gt;""), HYPERLINK("#'" &amp; C1224 &amp; "'!" &amp; J1224, J1224), "")</f>
        <v>0</v>
      </c>
    </row>
    <row r="1225" spans="2:2">
      <c r="B1225" s="21">
        <f>IF(AND(C1225&lt;&gt;"", J1225&lt;&gt;""), HYPERLINK("#'" &amp; C1225 &amp; "'!" &amp; J1225, J1225), "")</f>
        <v>0</v>
      </c>
    </row>
    <row r="1226" spans="2:2">
      <c r="B1226" s="21">
        <f>IF(AND(C1226&lt;&gt;"", J1226&lt;&gt;""), HYPERLINK("#'" &amp; C1226 &amp; "'!" &amp; J1226, J1226), "")</f>
        <v>0</v>
      </c>
    </row>
    <row r="1227" spans="2:2">
      <c r="B1227" s="21">
        <f>IF(AND(C1227&lt;&gt;"", J1227&lt;&gt;""), HYPERLINK("#'" &amp; C1227 &amp; "'!" &amp; J1227, J1227), "")</f>
        <v>0</v>
      </c>
    </row>
    <row r="1228" spans="2:2">
      <c r="B1228" s="21">
        <f>IF(AND(C1228&lt;&gt;"", J1228&lt;&gt;""), HYPERLINK("#'" &amp; C1228 &amp; "'!" &amp; J1228, J1228), "")</f>
        <v>0</v>
      </c>
    </row>
    <row r="1229" spans="2:2">
      <c r="B1229" s="21">
        <f>IF(AND(C1229&lt;&gt;"", J1229&lt;&gt;""), HYPERLINK("#'" &amp; C1229 &amp; "'!" &amp; J1229, J1229), "")</f>
        <v>0</v>
      </c>
    </row>
    <row r="1230" spans="2:2">
      <c r="B1230" s="21">
        <f>IF(AND(C1230&lt;&gt;"", J1230&lt;&gt;""), HYPERLINK("#'" &amp; C1230 &amp; "'!" &amp; J1230, J1230), "")</f>
        <v>0</v>
      </c>
    </row>
    <row r="1231" spans="2:2">
      <c r="B1231" s="21">
        <f>IF(AND(C1231&lt;&gt;"", J1231&lt;&gt;""), HYPERLINK("#'" &amp; C1231 &amp; "'!" &amp; J1231, J1231), "")</f>
        <v>0</v>
      </c>
    </row>
    <row r="1232" spans="2:2">
      <c r="B1232" s="21">
        <f>IF(AND(C1232&lt;&gt;"", J1232&lt;&gt;""), HYPERLINK("#'" &amp; C1232 &amp; "'!" &amp; J1232, J1232), "")</f>
        <v>0</v>
      </c>
    </row>
    <row r="1233" spans="2:2">
      <c r="B1233" s="21">
        <f>IF(AND(C1233&lt;&gt;"", J1233&lt;&gt;""), HYPERLINK("#'" &amp; C1233 &amp; "'!" &amp; J1233, J1233), "")</f>
        <v>0</v>
      </c>
    </row>
    <row r="1234" spans="2:2">
      <c r="B1234" s="21">
        <f>IF(AND(C1234&lt;&gt;"", J1234&lt;&gt;""), HYPERLINK("#'" &amp; C1234 &amp; "'!" &amp; J1234, J1234), "")</f>
        <v>0</v>
      </c>
    </row>
    <row r="1235" spans="2:2">
      <c r="B1235" s="21">
        <f>IF(AND(C1235&lt;&gt;"", J1235&lt;&gt;""), HYPERLINK("#'" &amp; C1235 &amp; "'!" &amp; J1235, J1235), "")</f>
        <v>0</v>
      </c>
    </row>
    <row r="1236" spans="2:2">
      <c r="B1236" s="21">
        <f>IF(AND(C1236&lt;&gt;"", J1236&lt;&gt;""), HYPERLINK("#'" &amp; C1236 &amp; "'!" &amp; J1236, J1236), "")</f>
        <v>0</v>
      </c>
    </row>
    <row r="1237" spans="2:2">
      <c r="B1237" s="21">
        <f>IF(AND(C1237&lt;&gt;"", J1237&lt;&gt;""), HYPERLINK("#'" &amp; C1237 &amp; "'!" &amp; J1237, J1237), "")</f>
        <v>0</v>
      </c>
    </row>
    <row r="1238" spans="2:2">
      <c r="B1238" s="21">
        <f>IF(AND(C1238&lt;&gt;"", J1238&lt;&gt;""), HYPERLINK("#'" &amp; C1238 &amp; "'!" &amp; J1238, J1238), "")</f>
        <v>0</v>
      </c>
    </row>
    <row r="1239" spans="2:2">
      <c r="B1239" s="21">
        <f>IF(AND(C1239&lt;&gt;"", J1239&lt;&gt;""), HYPERLINK("#'" &amp; C1239 &amp; "'!" &amp; J1239, J1239), "")</f>
        <v>0</v>
      </c>
    </row>
    <row r="1240" spans="2:2">
      <c r="B1240" s="21">
        <f>IF(AND(C1240&lt;&gt;"", J1240&lt;&gt;""), HYPERLINK("#'" &amp; C1240 &amp; "'!" &amp; J1240, J1240), "")</f>
        <v>0</v>
      </c>
    </row>
    <row r="1241" spans="2:2">
      <c r="B1241" s="21">
        <f>IF(AND(C1241&lt;&gt;"", J1241&lt;&gt;""), HYPERLINK("#'" &amp; C1241 &amp; "'!" &amp; J1241, J1241), "")</f>
        <v>0</v>
      </c>
    </row>
    <row r="1242" spans="2:2">
      <c r="B1242" s="21">
        <f>IF(AND(C1242&lt;&gt;"", J1242&lt;&gt;""), HYPERLINK("#'" &amp; C1242 &amp; "'!" &amp; J1242, J1242), "")</f>
        <v>0</v>
      </c>
    </row>
    <row r="1243" spans="2:2">
      <c r="B1243" s="21">
        <f>IF(AND(C1243&lt;&gt;"", J1243&lt;&gt;""), HYPERLINK("#'" &amp; C1243 &amp; "'!" &amp; J1243, J1243), "")</f>
        <v>0</v>
      </c>
    </row>
    <row r="1244" spans="2:2">
      <c r="B1244" s="21">
        <f>IF(AND(C1244&lt;&gt;"", J1244&lt;&gt;""), HYPERLINK("#'" &amp; C1244 &amp; "'!" &amp; J1244, J1244), "")</f>
        <v>0</v>
      </c>
    </row>
    <row r="1245" spans="2:2">
      <c r="B1245" s="21">
        <f>IF(AND(C1245&lt;&gt;"", J1245&lt;&gt;""), HYPERLINK("#'" &amp; C1245 &amp; "'!" &amp; J1245, J1245), "")</f>
        <v>0</v>
      </c>
    </row>
    <row r="1246" spans="2:2">
      <c r="B1246" s="21">
        <f>IF(AND(C1246&lt;&gt;"", J1246&lt;&gt;""), HYPERLINK("#'" &amp; C1246 &amp; "'!" &amp; J1246, J1246), "")</f>
        <v>0</v>
      </c>
    </row>
    <row r="1247" spans="2:2">
      <c r="B1247" s="21">
        <f>IF(AND(C1247&lt;&gt;"", J1247&lt;&gt;""), HYPERLINK("#'" &amp; C1247 &amp; "'!" &amp; J1247, J1247), "")</f>
        <v>0</v>
      </c>
    </row>
    <row r="1248" spans="2:2">
      <c r="B1248" s="21">
        <f>IF(AND(C1248&lt;&gt;"", J1248&lt;&gt;""), HYPERLINK("#'" &amp; C1248 &amp; "'!" &amp; J1248, J1248), "")</f>
        <v>0</v>
      </c>
    </row>
    <row r="1249" spans="2:2">
      <c r="B1249" s="21">
        <f>IF(AND(C1249&lt;&gt;"", J1249&lt;&gt;""), HYPERLINK("#'" &amp; C1249 &amp; "'!" &amp; J1249, J1249), "")</f>
        <v>0</v>
      </c>
    </row>
    <row r="1250" spans="2:2">
      <c r="B1250" s="21">
        <f>IF(AND(C1250&lt;&gt;"", J1250&lt;&gt;""), HYPERLINK("#'" &amp; C1250 &amp; "'!" &amp; J1250, J1250), "")</f>
        <v>0</v>
      </c>
    </row>
    <row r="1251" spans="2:2">
      <c r="B1251" s="21">
        <f>IF(AND(C1251&lt;&gt;"", J1251&lt;&gt;""), HYPERLINK("#'" &amp; C1251 &amp; "'!" &amp; J1251, J1251), "")</f>
        <v>0</v>
      </c>
    </row>
    <row r="1252" spans="2:2">
      <c r="B1252" s="21">
        <f>IF(AND(C1252&lt;&gt;"", J1252&lt;&gt;""), HYPERLINK("#'" &amp; C1252 &amp; "'!" &amp; J1252, J1252), "")</f>
        <v>0</v>
      </c>
    </row>
    <row r="1253" spans="2:2">
      <c r="B1253" s="21">
        <f>IF(AND(C1253&lt;&gt;"", J1253&lt;&gt;""), HYPERLINK("#'" &amp; C1253 &amp; "'!" &amp; J1253, J1253), "")</f>
        <v>0</v>
      </c>
    </row>
    <row r="1254" spans="2:2">
      <c r="B1254" s="21">
        <f>IF(AND(C1254&lt;&gt;"", J1254&lt;&gt;""), HYPERLINK("#'" &amp; C1254 &amp; "'!" &amp; J1254, J1254), "")</f>
        <v>0</v>
      </c>
    </row>
    <row r="1255" spans="2:2">
      <c r="B1255" s="21">
        <f>IF(AND(C1255&lt;&gt;"", J1255&lt;&gt;""), HYPERLINK("#'" &amp; C1255 &amp; "'!" &amp; J1255, J1255), "")</f>
        <v>0</v>
      </c>
    </row>
    <row r="1256" spans="2:2">
      <c r="B1256" s="21">
        <f>IF(AND(C1256&lt;&gt;"", J1256&lt;&gt;""), HYPERLINK("#'" &amp; C1256 &amp; "'!" &amp; J1256, J1256), "")</f>
        <v>0</v>
      </c>
    </row>
    <row r="1257" spans="2:2">
      <c r="B1257" s="21">
        <f>IF(AND(C1257&lt;&gt;"", J1257&lt;&gt;""), HYPERLINK("#'" &amp; C1257 &amp; "'!" &amp; J1257, J1257), "")</f>
        <v>0</v>
      </c>
    </row>
    <row r="1258" spans="2:2">
      <c r="B1258" s="21">
        <f>IF(AND(C1258&lt;&gt;"", J1258&lt;&gt;""), HYPERLINK("#'" &amp; C1258 &amp; "'!" &amp; J1258, J1258), "")</f>
        <v>0</v>
      </c>
    </row>
    <row r="1259" spans="2:2">
      <c r="B1259" s="21">
        <f>IF(AND(C1259&lt;&gt;"", J1259&lt;&gt;""), HYPERLINK("#'" &amp; C1259 &amp; "'!" &amp; J1259, J1259), "")</f>
        <v>0</v>
      </c>
    </row>
    <row r="1260" spans="2:2">
      <c r="B1260" s="21">
        <f>IF(AND(C1260&lt;&gt;"", J1260&lt;&gt;""), HYPERLINK("#'" &amp; C1260 &amp; "'!" &amp; J1260, J1260), "")</f>
        <v>0</v>
      </c>
    </row>
    <row r="1261" spans="2:2">
      <c r="B1261" s="21">
        <f>IF(AND(C1261&lt;&gt;"", J1261&lt;&gt;""), HYPERLINK("#'" &amp; C1261 &amp; "'!" &amp; J1261, J1261), "")</f>
        <v>0</v>
      </c>
    </row>
    <row r="1262" spans="2:2">
      <c r="B1262" s="21">
        <f>IF(AND(C1262&lt;&gt;"", J1262&lt;&gt;""), HYPERLINK("#'" &amp; C1262 &amp; "'!" &amp; J1262, J1262), "")</f>
        <v>0</v>
      </c>
    </row>
    <row r="1263" spans="2:2">
      <c r="B1263" s="21">
        <f>IF(AND(C1263&lt;&gt;"", J1263&lt;&gt;""), HYPERLINK("#'" &amp; C1263 &amp; "'!" &amp; J1263, J1263), "")</f>
        <v>0</v>
      </c>
    </row>
    <row r="1264" spans="2:2">
      <c r="B1264" s="21">
        <f>IF(AND(C1264&lt;&gt;"", J1264&lt;&gt;""), HYPERLINK("#'" &amp; C1264 &amp; "'!" &amp; J1264, J1264), "")</f>
        <v>0</v>
      </c>
    </row>
    <row r="1265" spans="2:2">
      <c r="B1265" s="21">
        <f>IF(AND(C1265&lt;&gt;"", J1265&lt;&gt;""), HYPERLINK("#'" &amp; C1265 &amp; "'!" &amp; J1265, J1265), "")</f>
        <v>0</v>
      </c>
    </row>
    <row r="1266" spans="2:2">
      <c r="B1266" s="21">
        <f>IF(AND(C1266&lt;&gt;"", J1266&lt;&gt;""), HYPERLINK("#'" &amp; C1266 &amp; "'!" &amp; J1266, J1266), "")</f>
        <v>0</v>
      </c>
    </row>
    <row r="1267" spans="2:2">
      <c r="B1267" s="21">
        <f>IF(AND(C1267&lt;&gt;"", J1267&lt;&gt;""), HYPERLINK("#'" &amp; C1267 &amp; "'!" &amp; J1267, J1267), "")</f>
        <v>0</v>
      </c>
    </row>
    <row r="1268" spans="2:2">
      <c r="B1268" s="21">
        <f>IF(AND(C1268&lt;&gt;"", J1268&lt;&gt;""), HYPERLINK("#'" &amp; C1268 &amp; "'!" &amp; J1268, J1268), "")</f>
        <v>0</v>
      </c>
    </row>
    <row r="1269" spans="2:2">
      <c r="B1269" s="21">
        <f>IF(AND(C1269&lt;&gt;"", J1269&lt;&gt;""), HYPERLINK("#'" &amp; C1269 &amp; "'!" &amp; J1269, J1269), "")</f>
        <v>0</v>
      </c>
    </row>
    <row r="1270" spans="2:2">
      <c r="B1270" s="21">
        <f>IF(AND(C1270&lt;&gt;"", J1270&lt;&gt;""), HYPERLINK("#'" &amp; C1270 &amp; "'!" &amp; J1270, J1270), "")</f>
        <v>0</v>
      </c>
    </row>
    <row r="1271" spans="2:2">
      <c r="B1271" s="21">
        <f>IF(AND(C1271&lt;&gt;"", J1271&lt;&gt;""), HYPERLINK("#'" &amp; C1271 &amp; "'!" &amp; J1271, J1271), "")</f>
        <v>0</v>
      </c>
    </row>
    <row r="1272" spans="2:2">
      <c r="B1272" s="21">
        <f>IF(AND(C1272&lt;&gt;"", J1272&lt;&gt;""), HYPERLINK("#'" &amp; C1272 &amp; "'!" &amp; J1272, J1272), "")</f>
        <v>0</v>
      </c>
    </row>
    <row r="1273" spans="2:2">
      <c r="B1273" s="21">
        <f>IF(AND(C1273&lt;&gt;"", J1273&lt;&gt;""), HYPERLINK("#'" &amp; C1273 &amp; "'!" &amp; J1273, J1273), "")</f>
        <v>0</v>
      </c>
    </row>
    <row r="1274" spans="2:2">
      <c r="B1274" s="21">
        <f>IF(AND(C1274&lt;&gt;"", J1274&lt;&gt;""), HYPERLINK("#'" &amp; C1274 &amp; "'!" &amp; J1274, J1274), "")</f>
        <v>0</v>
      </c>
    </row>
    <row r="1275" spans="2:2">
      <c r="B1275" s="21">
        <f>IF(AND(C1275&lt;&gt;"", J1275&lt;&gt;""), HYPERLINK("#'" &amp; C1275 &amp; "'!" &amp; J1275, J1275), "")</f>
        <v>0</v>
      </c>
    </row>
    <row r="1276" spans="2:2">
      <c r="B1276" s="21">
        <f>IF(AND(C1276&lt;&gt;"", J1276&lt;&gt;""), HYPERLINK("#'" &amp; C1276 &amp; "'!" &amp; J1276, J1276), "")</f>
        <v>0</v>
      </c>
    </row>
    <row r="1277" spans="2:2">
      <c r="B1277" s="21">
        <f>IF(AND(C1277&lt;&gt;"", J1277&lt;&gt;""), HYPERLINK("#'" &amp; C1277 &amp; "'!" &amp; J1277, J1277), "")</f>
        <v>0</v>
      </c>
    </row>
    <row r="1278" spans="2:2">
      <c r="B1278" s="21">
        <f>IF(AND(C1278&lt;&gt;"", J1278&lt;&gt;""), HYPERLINK("#'" &amp; C1278 &amp; "'!" &amp; J1278, J1278), "")</f>
        <v>0</v>
      </c>
    </row>
    <row r="1279" spans="2:2">
      <c r="B1279" s="21">
        <f>IF(AND(C1279&lt;&gt;"", J1279&lt;&gt;""), HYPERLINK("#'" &amp; C1279 &amp; "'!" &amp; J1279, J1279), "")</f>
        <v>0</v>
      </c>
    </row>
    <row r="1280" spans="2:2">
      <c r="B1280" s="21">
        <f>IF(AND(C1280&lt;&gt;"", J1280&lt;&gt;""), HYPERLINK("#'" &amp; C1280 &amp; "'!" &amp; J1280, J1280), "")</f>
        <v>0</v>
      </c>
    </row>
    <row r="1281" spans="2:2">
      <c r="B1281" s="21">
        <f>IF(AND(C1281&lt;&gt;"", J1281&lt;&gt;""), HYPERLINK("#'" &amp; C1281 &amp; "'!" &amp; J1281, J1281), "")</f>
        <v>0</v>
      </c>
    </row>
    <row r="1282" spans="2:2">
      <c r="B1282" s="21">
        <f>IF(AND(C1282&lt;&gt;"", J1282&lt;&gt;""), HYPERLINK("#'" &amp; C1282 &amp; "'!" &amp; J1282, J1282), "")</f>
        <v>0</v>
      </c>
    </row>
    <row r="1283" spans="2:2">
      <c r="B1283" s="21">
        <f>IF(AND(C1283&lt;&gt;"", J1283&lt;&gt;""), HYPERLINK("#'" &amp; C1283 &amp; "'!" &amp; J1283, J1283), "")</f>
        <v>0</v>
      </c>
    </row>
    <row r="1284" spans="2:2">
      <c r="B1284" s="21">
        <f>IF(AND(C1284&lt;&gt;"", J1284&lt;&gt;""), HYPERLINK("#'" &amp; C1284 &amp; "'!" &amp; J1284, J1284), "")</f>
        <v>0</v>
      </c>
    </row>
    <row r="1285" spans="2:2">
      <c r="B1285" s="21">
        <f>IF(AND(C1285&lt;&gt;"", J1285&lt;&gt;""), HYPERLINK("#'" &amp; C1285 &amp; "'!" &amp; J1285, J1285), "")</f>
        <v>0</v>
      </c>
    </row>
    <row r="1286" spans="2:2">
      <c r="B1286" s="21">
        <f>IF(AND(C1286&lt;&gt;"", J1286&lt;&gt;""), HYPERLINK("#'" &amp; C1286 &amp; "'!" &amp; J1286, J1286), "")</f>
        <v>0</v>
      </c>
    </row>
    <row r="1287" spans="2:2">
      <c r="B1287" s="21">
        <f>IF(AND(C1287&lt;&gt;"", J1287&lt;&gt;""), HYPERLINK("#'" &amp; C1287 &amp; "'!" &amp; J1287, J1287), "")</f>
        <v>0</v>
      </c>
    </row>
    <row r="1288" spans="2:2">
      <c r="B1288" s="21">
        <f>IF(AND(C1288&lt;&gt;"", J1288&lt;&gt;""), HYPERLINK("#'" &amp; C1288 &amp; "'!" &amp; J1288, J1288), "")</f>
        <v>0</v>
      </c>
    </row>
    <row r="1289" spans="2:2">
      <c r="B1289" s="21">
        <f>IF(AND(C1289&lt;&gt;"", J1289&lt;&gt;""), HYPERLINK("#'" &amp; C1289 &amp; "'!" &amp; J1289, J1289), "")</f>
        <v>0</v>
      </c>
    </row>
    <row r="1290" spans="2:2">
      <c r="B1290" s="21">
        <f>IF(AND(C1290&lt;&gt;"", J1290&lt;&gt;""), HYPERLINK("#'" &amp; C1290 &amp; "'!" &amp; J1290, J1290), "")</f>
        <v>0</v>
      </c>
    </row>
    <row r="1291" spans="2:2">
      <c r="B1291" s="21">
        <f>IF(AND(C1291&lt;&gt;"", J1291&lt;&gt;""), HYPERLINK("#'" &amp; C1291 &amp; "'!" &amp; J1291, J1291), "")</f>
        <v>0</v>
      </c>
    </row>
    <row r="1292" spans="2:2">
      <c r="B1292" s="21">
        <f>IF(AND(C1292&lt;&gt;"", J1292&lt;&gt;""), HYPERLINK("#'" &amp; C1292 &amp; "'!" &amp; J1292, J1292), "")</f>
        <v>0</v>
      </c>
    </row>
    <row r="1293" spans="2:2">
      <c r="B1293" s="21">
        <f>IF(AND(C1293&lt;&gt;"", J1293&lt;&gt;""), HYPERLINK("#'" &amp; C1293 &amp; "'!" &amp; J1293, J1293), "")</f>
        <v>0</v>
      </c>
    </row>
    <row r="1294" spans="2:2">
      <c r="B1294" s="21">
        <f>IF(AND(C1294&lt;&gt;"", J1294&lt;&gt;""), HYPERLINK("#'" &amp; C1294 &amp; "'!" &amp; J1294, J1294), "")</f>
        <v>0</v>
      </c>
    </row>
    <row r="1295" spans="2:2">
      <c r="B1295" s="21">
        <f>IF(AND(C1295&lt;&gt;"", J1295&lt;&gt;""), HYPERLINK("#'" &amp; C1295 &amp; "'!" &amp; J1295, J1295), "")</f>
        <v>0</v>
      </c>
    </row>
    <row r="1296" spans="2:2">
      <c r="B1296" s="21">
        <f>IF(AND(C1296&lt;&gt;"", J1296&lt;&gt;""), HYPERLINK("#'" &amp; C1296 &amp; "'!" &amp; J1296, J1296), "")</f>
        <v>0</v>
      </c>
    </row>
    <row r="1297" spans="2:2">
      <c r="B1297" s="21">
        <f>IF(AND(C1297&lt;&gt;"", J1297&lt;&gt;""), HYPERLINK("#'" &amp; C1297 &amp; "'!" &amp; J1297, J1297), "")</f>
        <v>0</v>
      </c>
    </row>
    <row r="1298" spans="2:2">
      <c r="B1298" s="21">
        <f>IF(AND(C1298&lt;&gt;"", J1298&lt;&gt;""), HYPERLINK("#'" &amp; C1298 &amp; "'!" &amp; J1298, J1298), "")</f>
        <v>0</v>
      </c>
    </row>
    <row r="1299" spans="2:2">
      <c r="B1299" s="21">
        <f>IF(AND(C1299&lt;&gt;"", J1299&lt;&gt;""), HYPERLINK("#'" &amp; C1299 &amp; "'!" &amp; J1299, J1299), "")</f>
        <v>0</v>
      </c>
    </row>
    <row r="1300" spans="2:2">
      <c r="B1300" s="21">
        <f>IF(AND(C1300&lt;&gt;"", J1300&lt;&gt;""), HYPERLINK("#'" &amp; C1300 &amp; "'!" &amp; J1300, J1300), "")</f>
        <v>0</v>
      </c>
    </row>
    <row r="1301" spans="2:2">
      <c r="B1301" s="21">
        <f>IF(AND(C1301&lt;&gt;"", J1301&lt;&gt;""), HYPERLINK("#'" &amp; C1301 &amp; "'!" &amp; J1301, J1301), "")</f>
        <v>0</v>
      </c>
    </row>
    <row r="1302" spans="2:2">
      <c r="B1302" s="21">
        <f>IF(AND(C1302&lt;&gt;"", J1302&lt;&gt;""), HYPERLINK("#'" &amp; C1302 &amp; "'!" &amp; J1302, J1302), "")</f>
        <v>0</v>
      </c>
    </row>
    <row r="1303" spans="2:2">
      <c r="B1303" s="21">
        <f>IF(AND(C1303&lt;&gt;"", J1303&lt;&gt;""), HYPERLINK("#'" &amp; C1303 &amp; "'!" &amp; J1303, J1303), "")</f>
        <v>0</v>
      </c>
    </row>
    <row r="1304" spans="2:2">
      <c r="B1304" s="21">
        <f>IF(AND(C1304&lt;&gt;"", J1304&lt;&gt;""), HYPERLINK("#'" &amp; C1304 &amp; "'!" &amp; J1304, J1304), "")</f>
        <v>0</v>
      </c>
    </row>
    <row r="1305" spans="2:2">
      <c r="B1305" s="21">
        <f>IF(AND(C1305&lt;&gt;"", J1305&lt;&gt;""), HYPERLINK("#'" &amp; C1305 &amp; "'!" &amp; J1305, J1305), "")</f>
        <v>0</v>
      </c>
    </row>
    <row r="1306" spans="2:2">
      <c r="B1306" s="21">
        <f>IF(AND(C1306&lt;&gt;"", J1306&lt;&gt;""), HYPERLINK("#'" &amp; C1306 &amp; "'!" &amp; J1306, J1306), "")</f>
        <v>0</v>
      </c>
    </row>
    <row r="1307" spans="2:2">
      <c r="B1307" s="21">
        <f>IF(AND(C1307&lt;&gt;"", J1307&lt;&gt;""), HYPERLINK("#'" &amp; C1307 &amp; "'!" &amp; J1307, J1307), "")</f>
        <v>0</v>
      </c>
    </row>
    <row r="1308" spans="2:2">
      <c r="B1308" s="21">
        <f>IF(AND(C1308&lt;&gt;"", J1308&lt;&gt;""), HYPERLINK("#'" &amp; C1308 &amp; "'!" &amp; J1308, J1308), "")</f>
        <v>0</v>
      </c>
    </row>
    <row r="1309" spans="2:2">
      <c r="B1309" s="21">
        <f>IF(AND(C1309&lt;&gt;"", J1309&lt;&gt;""), HYPERLINK("#'" &amp; C1309 &amp; "'!" &amp; J1309, J1309), "")</f>
        <v>0</v>
      </c>
    </row>
    <row r="1310" spans="2:2">
      <c r="B1310" s="21">
        <f>IF(AND(C1310&lt;&gt;"", J1310&lt;&gt;""), HYPERLINK("#'" &amp; C1310 &amp; "'!" &amp; J1310, J1310), "")</f>
        <v>0</v>
      </c>
    </row>
    <row r="1311" spans="2:2">
      <c r="B1311" s="21">
        <f>IF(AND(C1311&lt;&gt;"", J1311&lt;&gt;""), HYPERLINK("#'" &amp; C1311 &amp; "'!" &amp; J1311, J1311), "")</f>
        <v>0</v>
      </c>
    </row>
    <row r="1312" spans="2:2">
      <c r="B1312" s="21">
        <f>IF(AND(C1312&lt;&gt;"", J1312&lt;&gt;""), HYPERLINK("#'" &amp; C1312 &amp; "'!" &amp; J1312, J1312), "")</f>
        <v>0</v>
      </c>
    </row>
    <row r="1313" spans="2:2">
      <c r="B1313" s="21">
        <f>IF(AND(C1313&lt;&gt;"", J1313&lt;&gt;""), HYPERLINK("#'" &amp; C1313 &amp; "'!" &amp; J1313, J1313), "")</f>
        <v>0</v>
      </c>
    </row>
    <row r="1314" spans="2:2">
      <c r="B1314" s="21">
        <f>IF(AND(C1314&lt;&gt;"", J1314&lt;&gt;""), HYPERLINK("#'" &amp; C1314 &amp; "'!" &amp; J1314, J1314), "")</f>
        <v>0</v>
      </c>
    </row>
    <row r="1315" spans="2:2">
      <c r="B1315" s="21">
        <f>IF(AND(C1315&lt;&gt;"", J1315&lt;&gt;""), HYPERLINK("#'" &amp; C1315 &amp; "'!" &amp; J1315, J1315), "")</f>
        <v>0</v>
      </c>
    </row>
    <row r="1316" spans="2:2">
      <c r="B1316" s="21">
        <f>IF(AND(C1316&lt;&gt;"", J1316&lt;&gt;""), HYPERLINK("#'" &amp; C1316 &amp; "'!" &amp; J1316, J1316), "")</f>
        <v>0</v>
      </c>
    </row>
    <row r="1317" spans="2:2">
      <c r="B1317" s="21">
        <f>IF(AND(C1317&lt;&gt;"", J1317&lt;&gt;""), HYPERLINK("#'" &amp; C1317 &amp; "'!" &amp; J1317, J1317), "")</f>
        <v>0</v>
      </c>
    </row>
    <row r="1318" spans="2:2">
      <c r="B1318" s="21">
        <f>IF(AND(C1318&lt;&gt;"", J1318&lt;&gt;""), HYPERLINK("#'" &amp; C1318 &amp; "'!" &amp; J1318, J1318), "")</f>
        <v>0</v>
      </c>
    </row>
    <row r="1319" spans="2:2">
      <c r="B1319" s="21">
        <f>IF(AND(C1319&lt;&gt;"", J1319&lt;&gt;""), HYPERLINK("#'" &amp; C1319 &amp; "'!" &amp; J1319, J1319), "")</f>
        <v>0</v>
      </c>
    </row>
    <row r="1320" spans="2:2">
      <c r="B1320" s="21">
        <f>IF(AND(C1320&lt;&gt;"", J1320&lt;&gt;""), HYPERLINK("#'" &amp; C1320 &amp; "'!" &amp; J1320, J1320), "")</f>
        <v>0</v>
      </c>
    </row>
    <row r="1321" spans="2:2">
      <c r="B1321" s="21">
        <f>IF(AND(C1321&lt;&gt;"", J1321&lt;&gt;""), HYPERLINK("#'" &amp; C1321 &amp; "'!" &amp; J1321, J1321), "")</f>
        <v>0</v>
      </c>
    </row>
    <row r="1322" spans="2:2">
      <c r="B1322" s="21">
        <f>IF(AND(C1322&lt;&gt;"", J1322&lt;&gt;""), HYPERLINK("#'" &amp; C1322 &amp; "'!" &amp; J1322, J1322), "")</f>
        <v>0</v>
      </c>
    </row>
    <row r="1323" spans="2:2">
      <c r="B1323" s="21">
        <f>IF(AND(C1323&lt;&gt;"", J1323&lt;&gt;""), HYPERLINK("#'" &amp; C1323 &amp; "'!" &amp; J1323, J1323), "")</f>
        <v>0</v>
      </c>
    </row>
    <row r="1324" spans="2:2">
      <c r="B1324" s="21">
        <f>IF(AND(C1324&lt;&gt;"", J1324&lt;&gt;""), HYPERLINK("#'" &amp; C1324 &amp; "'!" &amp; J1324, J1324), "")</f>
        <v>0</v>
      </c>
    </row>
    <row r="1325" spans="2:2">
      <c r="B1325" s="21">
        <f>IF(AND(C1325&lt;&gt;"", J1325&lt;&gt;""), HYPERLINK("#'" &amp; C1325 &amp; "'!" &amp; J1325, J1325), "")</f>
        <v>0</v>
      </c>
    </row>
    <row r="1326" spans="2:2">
      <c r="B1326" s="21">
        <f>IF(AND(C1326&lt;&gt;"", J1326&lt;&gt;""), HYPERLINK("#'" &amp; C1326 &amp; "'!" &amp; J1326, J1326), "")</f>
        <v>0</v>
      </c>
    </row>
    <row r="1327" spans="2:2">
      <c r="B1327" s="21">
        <f>IF(AND(C1327&lt;&gt;"", J1327&lt;&gt;""), HYPERLINK("#'" &amp; C1327 &amp; "'!" &amp; J1327, J1327), "")</f>
        <v>0</v>
      </c>
    </row>
    <row r="1328" spans="2:2">
      <c r="B1328" s="21">
        <f>IF(AND(C1328&lt;&gt;"", J1328&lt;&gt;""), HYPERLINK("#'" &amp; C1328 &amp; "'!" &amp; J1328, J1328), "")</f>
        <v>0</v>
      </c>
    </row>
    <row r="1329" spans="2:2">
      <c r="B1329" s="21">
        <f>IF(AND(C1329&lt;&gt;"", J1329&lt;&gt;""), HYPERLINK("#'" &amp; C1329 &amp; "'!" &amp; J1329, J1329), "")</f>
        <v>0</v>
      </c>
    </row>
    <row r="1330" spans="2:2">
      <c r="B1330" s="21">
        <f>IF(AND(C1330&lt;&gt;"", J1330&lt;&gt;""), HYPERLINK("#'" &amp; C1330 &amp; "'!" &amp; J1330, J1330), "")</f>
        <v>0</v>
      </c>
    </row>
    <row r="1331" spans="2:2">
      <c r="B1331" s="21">
        <f>IF(AND(C1331&lt;&gt;"", J1331&lt;&gt;""), HYPERLINK("#'" &amp; C1331 &amp; "'!" &amp; J1331, J1331), "")</f>
        <v>0</v>
      </c>
    </row>
    <row r="1332" spans="2:2">
      <c r="B1332" s="21">
        <f>IF(AND(C1332&lt;&gt;"", J1332&lt;&gt;""), HYPERLINK("#'" &amp; C1332 &amp; "'!" &amp; J1332, J1332), "")</f>
        <v>0</v>
      </c>
    </row>
    <row r="1333" spans="2:2">
      <c r="B1333" s="21">
        <f>IF(AND(C1333&lt;&gt;"", J1333&lt;&gt;""), HYPERLINK("#'" &amp; C1333 &amp; "'!" &amp; J1333, J1333), "")</f>
        <v>0</v>
      </c>
    </row>
    <row r="1334" spans="2:2">
      <c r="B1334" s="21">
        <f>IF(AND(C1334&lt;&gt;"", J1334&lt;&gt;""), HYPERLINK("#'" &amp; C1334 &amp; "'!" &amp; J1334, J1334), "")</f>
        <v>0</v>
      </c>
    </row>
    <row r="1335" spans="2:2">
      <c r="B1335" s="21">
        <f>IF(AND(C1335&lt;&gt;"", J1335&lt;&gt;""), HYPERLINK("#'" &amp; C1335 &amp; "'!" &amp; J1335, J1335), "")</f>
        <v>0</v>
      </c>
    </row>
    <row r="1336" spans="2:2">
      <c r="B1336" s="21">
        <f>IF(AND(C1336&lt;&gt;"", J1336&lt;&gt;""), HYPERLINK("#'" &amp; C1336 &amp; "'!" &amp; J1336, J1336), "")</f>
        <v>0</v>
      </c>
    </row>
    <row r="1337" spans="2:2">
      <c r="B1337" s="21">
        <f>IF(AND(C1337&lt;&gt;"", J1337&lt;&gt;""), HYPERLINK("#'" &amp; C1337 &amp; "'!" &amp; J1337, J1337), "")</f>
        <v>0</v>
      </c>
    </row>
    <row r="1338" spans="2:2">
      <c r="B1338" s="21">
        <f>IF(AND(C1338&lt;&gt;"", J1338&lt;&gt;""), HYPERLINK("#'" &amp; C1338 &amp; "'!" &amp; J1338, J1338), "")</f>
        <v>0</v>
      </c>
    </row>
    <row r="1339" spans="2:2">
      <c r="B1339" s="21">
        <f>IF(AND(C1339&lt;&gt;"", J1339&lt;&gt;""), HYPERLINK("#'" &amp; C1339 &amp; "'!" &amp; J1339, J1339), "")</f>
        <v>0</v>
      </c>
    </row>
    <row r="1340" spans="2:2">
      <c r="B1340" s="21">
        <f>IF(AND(C1340&lt;&gt;"", J1340&lt;&gt;""), HYPERLINK("#'" &amp; C1340 &amp; "'!" &amp; J1340, J1340), "")</f>
        <v>0</v>
      </c>
    </row>
    <row r="1341" spans="2:2">
      <c r="B1341" s="21">
        <f>IF(AND(C1341&lt;&gt;"", J1341&lt;&gt;""), HYPERLINK("#'" &amp; C1341 &amp; "'!" &amp; J1341, J1341), "")</f>
        <v>0</v>
      </c>
    </row>
    <row r="1342" spans="2:2">
      <c r="B1342" s="21">
        <f>IF(AND(C1342&lt;&gt;"", J1342&lt;&gt;""), HYPERLINK("#'" &amp; C1342 &amp; "'!" &amp; J1342, J1342), "")</f>
        <v>0</v>
      </c>
    </row>
    <row r="1343" spans="2:2">
      <c r="B1343" s="21">
        <f>IF(AND(C1343&lt;&gt;"", J1343&lt;&gt;""), HYPERLINK("#'" &amp; C1343 &amp; "'!" &amp; J1343, J1343), "")</f>
        <v>0</v>
      </c>
    </row>
    <row r="1344" spans="2:2">
      <c r="B1344" s="21">
        <f>IF(AND(C1344&lt;&gt;"", J1344&lt;&gt;""), HYPERLINK("#'" &amp; C1344 &amp; "'!" &amp; J1344, J1344), "")</f>
        <v>0</v>
      </c>
    </row>
    <row r="1345" spans="2:2">
      <c r="B1345" s="21">
        <f>IF(AND(C1345&lt;&gt;"", J1345&lt;&gt;""), HYPERLINK("#'" &amp; C1345 &amp; "'!" &amp; J1345, J1345), "")</f>
        <v>0</v>
      </c>
    </row>
    <row r="1346" spans="2:2">
      <c r="B1346" s="21">
        <f>IF(AND(C1346&lt;&gt;"", J1346&lt;&gt;""), HYPERLINK("#'" &amp; C1346 &amp; "'!" &amp; J1346, J1346), "")</f>
        <v>0</v>
      </c>
    </row>
    <row r="1347" spans="2:2">
      <c r="B1347" s="21">
        <f>IF(AND(C1347&lt;&gt;"", J1347&lt;&gt;""), HYPERLINK("#'" &amp; C1347 &amp; "'!" &amp; J1347, J1347), "")</f>
        <v>0</v>
      </c>
    </row>
    <row r="1348" spans="2:2">
      <c r="B1348" s="21">
        <f>IF(AND(C1348&lt;&gt;"", J1348&lt;&gt;""), HYPERLINK("#'" &amp; C1348 &amp; "'!" &amp; J1348, J1348), "")</f>
        <v>0</v>
      </c>
    </row>
    <row r="1349" spans="2:2">
      <c r="B1349" s="21">
        <f>IF(AND(C1349&lt;&gt;"", J1349&lt;&gt;""), HYPERLINK("#'" &amp; C1349 &amp; "'!" &amp; J1349, J1349), "")</f>
        <v>0</v>
      </c>
    </row>
    <row r="1350" spans="2:2">
      <c r="B1350" s="21">
        <f>IF(AND(C1350&lt;&gt;"", J1350&lt;&gt;""), HYPERLINK("#'" &amp; C1350 &amp; "'!" &amp; J1350, J1350), "")</f>
        <v>0</v>
      </c>
    </row>
    <row r="1351" spans="2:2">
      <c r="B1351" s="21">
        <f>IF(AND(C1351&lt;&gt;"", J1351&lt;&gt;""), HYPERLINK("#'" &amp; C1351 &amp; "'!" &amp; J1351, J1351), "")</f>
        <v>0</v>
      </c>
    </row>
    <row r="1352" spans="2:2">
      <c r="B1352" s="21">
        <f>IF(AND(C1352&lt;&gt;"", J1352&lt;&gt;""), HYPERLINK("#'" &amp; C1352 &amp; "'!" &amp; J1352, J1352), "")</f>
        <v>0</v>
      </c>
    </row>
    <row r="1353" spans="2:2">
      <c r="B1353" s="21">
        <f>IF(AND(C1353&lt;&gt;"", J1353&lt;&gt;""), HYPERLINK("#'" &amp; C1353 &amp; "'!" &amp; J1353, J1353), "")</f>
        <v>0</v>
      </c>
    </row>
    <row r="1354" spans="2:2">
      <c r="B1354" s="21">
        <f>IF(AND(C1354&lt;&gt;"", J1354&lt;&gt;""), HYPERLINK("#'" &amp; C1354 &amp; "'!" &amp; J1354, J1354), "")</f>
        <v>0</v>
      </c>
    </row>
    <row r="1355" spans="2:2">
      <c r="B1355" s="21">
        <f>IF(AND(C1355&lt;&gt;"", J1355&lt;&gt;""), HYPERLINK("#'" &amp; C1355 &amp; "'!" &amp; J1355, J1355), "")</f>
        <v>0</v>
      </c>
    </row>
    <row r="1356" spans="2:2">
      <c r="B1356" s="21">
        <f>IF(AND(C1356&lt;&gt;"", J1356&lt;&gt;""), HYPERLINK("#'" &amp; C1356 &amp; "'!" &amp; J1356, J1356), "")</f>
        <v>0</v>
      </c>
    </row>
    <row r="1357" spans="2:2">
      <c r="B1357" s="21">
        <f>IF(AND(C1357&lt;&gt;"", J1357&lt;&gt;""), HYPERLINK("#'" &amp; C1357 &amp; "'!" &amp; J1357, J1357), "")</f>
        <v>0</v>
      </c>
    </row>
    <row r="1358" spans="2:2">
      <c r="B1358" s="21">
        <f>IF(AND(C1358&lt;&gt;"", J1358&lt;&gt;""), HYPERLINK("#'" &amp; C1358 &amp; "'!" &amp; J1358, J1358), "")</f>
        <v>0</v>
      </c>
    </row>
    <row r="1359" spans="2:2">
      <c r="B1359" s="21">
        <f>IF(AND(C1359&lt;&gt;"", J1359&lt;&gt;""), HYPERLINK("#'" &amp; C1359 &amp; "'!" &amp; J1359, J1359), "")</f>
        <v>0</v>
      </c>
    </row>
    <row r="1360" spans="2:2">
      <c r="B1360" s="21">
        <f>IF(AND(C1360&lt;&gt;"", J1360&lt;&gt;""), HYPERLINK("#'" &amp; C1360 &amp; "'!" &amp; J1360, J1360), "")</f>
        <v>0</v>
      </c>
    </row>
    <row r="1361" spans="2:2">
      <c r="B1361" s="21">
        <f>IF(AND(C1361&lt;&gt;"", J1361&lt;&gt;""), HYPERLINK("#'" &amp; C1361 &amp; "'!" &amp; J1361, J1361), "")</f>
        <v>0</v>
      </c>
    </row>
    <row r="1362" spans="2:2">
      <c r="B1362" s="21">
        <f>IF(AND(C1362&lt;&gt;"", J1362&lt;&gt;""), HYPERLINK("#'" &amp; C1362 &amp; "'!" &amp; J1362, J1362), "")</f>
        <v>0</v>
      </c>
    </row>
    <row r="1363" spans="2:2">
      <c r="B1363" s="21">
        <f>IF(AND(C1363&lt;&gt;"", J1363&lt;&gt;""), HYPERLINK("#'" &amp; C1363 &amp; "'!" &amp; J1363, J1363), "")</f>
        <v>0</v>
      </c>
    </row>
    <row r="1364" spans="2:2">
      <c r="B1364" s="21">
        <f>IF(AND(C1364&lt;&gt;"", J1364&lt;&gt;""), HYPERLINK("#'" &amp; C1364 &amp; "'!" &amp; J1364, J1364), "")</f>
        <v>0</v>
      </c>
    </row>
    <row r="1365" spans="2:2">
      <c r="B1365" s="21">
        <f>IF(AND(C1365&lt;&gt;"", J1365&lt;&gt;""), HYPERLINK("#'" &amp; C1365 &amp; "'!" &amp; J1365, J1365), "")</f>
        <v>0</v>
      </c>
    </row>
    <row r="1366" spans="2:2">
      <c r="B1366" s="21">
        <f>IF(AND(C1366&lt;&gt;"", J1366&lt;&gt;""), HYPERLINK("#'" &amp; C1366 &amp; "'!" &amp; J1366, J1366), "")</f>
        <v>0</v>
      </c>
    </row>
    <row r="1367" spans="2:2">
      <c r="B1367" s="21">
        <f>IF(AND(C1367&lt;&gt;"", J1367&lt;&gt;""), HYPERLINK("#'" &amp; C1367 &amp; "'!" &amp; J1367, J1367), "")</f>
        <v>0</v>
      </c>
    </row>
    <row r="1368" spans="2:2">
      <c r="B1368" s="21">
        <f>IF(AND(C1368&lt;&gt;"", J1368&lt;&gt;""), HYPERLINK("#'" &amp; C1368 &amp; "'!" &amp; J1368, J1368), "")</f>
        <v>0</v>
      </c>
    </row>
    <row r="1369" spans="2:2">
      <c r="B1369" s="21">
        <f>IF(AND(C1369&lt;&gt;"", J1369&lt;&gt;""), HYPERLINK("#'" &amp; C1369 &amp; "'!" &amp; J1369, J1369), "")</f>
        <v>0</v>
      </c>
    </row>
    <row r="1370" spans="2:2">
      <c r="B1370" s="21">
        <f>IF(AND(C1370&lt;&gt;"", J1370&lt;&gt;""), HYPERLINK("#'" &amp; C1370 &amp; "'!" &amp; J1370, J1370), "")</f>
        <v>0</v>
      </c>
    </row>
    <row r="1371" spans="2:2">
      <c r="B1371" s="21">
        <f>IF(AND(C1371&lt;&gt;"", J1371&lt;&gt;""), HYPERLINK("#'" &amp; C1371 &amp; "'!" &amp; J1371, J1371), "")</f>
        <v>0</v>
      </c>
    </row>
    <row r="1372" spans="2:2">
      <c r="B1372" s="21">
        <f>IF(AND(C1372&lt;&gt;"", J1372&lt;&gt;""), HYPERLINK("#'" &amp; C1372 &amp; "'!" &amp; J1372, J1372), "")</f>
        <v>0</v>
      </c>
    </row>
    <row r="1373" spans="2:2">
      <c r="B1373" s="21">
        <f>IF(AND(C1373&lt;&gt;"", J1373&lt;&gt;""), HYPERLINK("#'" &amp; C1373 &amp; "'!" &amp; J1373, J1373), "")</f>
        <v>0</v>
      </c>
    </row>
    <row r="1374" spans="2:2">
      <c r="B1374" s="21">
        <f>IF(AND(C1374&lt;&gt;"", J1374&lt;&gt;""), HYPERLINK("#'" &amp; C1374 &amp; "'!" &amp; J1374, J1374), "")</f>
        <v>0</v>
      </c>
    </row>
    <row r="1375" spans="2:2">
      <c r="B1375" s="21">
        <f>IF(AND(C1375&lt;&gt;"", J1375&lt;&gt;""), HYPERLINK("#'" &amp; C1375 &amp; "'!" &amp; J1375, J1375), "")</f>
        <v>0</v>
      </c>
    </row>
    <row r="1376" spans="2:2">
      <c r="B1376" s="21">
        <f>IF(AND(C1376&lt;&gt;"", J1376&lt;&gt;""), HYPERLINK("#'" &amp; C1376 &amp; "'!" &amp; J1376, J1376), "")</f>
        <v>0</v>
      </c>
    </row>
    <row r="1377" spans="2:2">
      <c r="B1377" s="21">
        <f>IF(AND(C1377&lt;&gt;"", J1377&lt;&gt;""), HYPERLINK("#'" &amp; C1377 &amp; "'!" &amp; J1377, J1377), "")</f>
        <v>0</v>
      </c>
    </row>
    <row r="1378" spans="2:2">
      <c r="B1378" s="21">
        <f>IF(AND(C1378&lt;&gt;"", J1378&lt;&gt;""), HYPERLINK("#'" &amp; C1378 &amp; "'!" &amp; J1378, J1378), "")</f>
        <v>0</v>
      </c>
    </row>
    <row r="1379" spans="2:2">
      <c r="B1379" s="21">
        <f>IF(AND(C1379&lt;&gt;"", J1379&lt;&gt;""), HYPERLINK("#'" &amp; C1379 &amp; "'!" &amp; J1379, J1379), "")</f>
        <v>0</v>
      </c>
    </row>
    <row r="1380" spans="2:2">
      <c r="B1380" s="21">
        <f>IF(AND(C1380&lt;&gt;"", J1380&lt;&gt;""), HYPERLINK("#'" &amp; C1380 &amp; "'!" &amp; J1380, J1380), "")</f>
        <v>0</v>
      </c>
    </row>
    <row r="1381" spans="2:2">
      <c r="B1381" s="21">
        <f>IF(AND(C1381&lt;&gt;"", J1381&lt;&gt;""), HYPERLINK("#'" &amp; C1381 &amp; "'!" &amp; J1381, J1381), "")</f>
        <v>0</v>
      </c>
    </row>
    <row r="1382" spans="2:2">
      <c r="B1382" s="21">
        <f>IF(AND(C1382&lt;&gt;"", J1382&lt;&gt;""), HYPERLINK("#'" &amp; C1382 &amp; "'!" &amp; J1382, J1382), "")</f>
        <v>0</v>
      </c>
    </row>
    <row r="1383" spans="2:2">
      <c r="B1383" s="21">
        <f>IF(AND(C1383&lt;&gt;"", J1383&lt;&gt;""), HYPERLINK("#'" &amp; C1383 &amp; "'!" &amp; J1383, J1383), "")</f>
        <v>0</v>
      </c>
    </row>
    <row r="1384" spans="2:2">
      <c r="B1384" s="21">
        <f>IF(AND(C1384&lt;&gt;"", J1384&lt;&gt;""), HYPERLINK("#'" &amp; C1384 &amp; "'!" &amp; J1384, J1384), "")</f>
        <v>0</v>
      </c>
    </row>
    <row r="1385" spans="2:2">
      <c r="B1385" s="21">
        <f>IF(AND(C1385&lt;&gt;"", J1385&lt;&gt;""), HYPERLINK("#'" &amp; C1385 &amp; "'!" &amp; J1385, J1385), "")</f>
        <v>0</v>
      </c>
    </row>
    <row r="1386" spans="2:2">
      <c r="B1386" s="21">
        <f>IF(AND(C1386&lt;&gt;"", J1386&lt;&gt;""), HYPERLINK("#'" &amp; C1386 &amp; "'!" &amp; J1386, J1386), "")</f>
        <v>0</v>
      </c>
    </row>
    <row r="1387" spans="2:2">
      <c r="B1387" s="21">
        <f>IF(AND(C1387&lt;&gt;"", J1387&lt;&gt;""), HYPERLINK("#'" &amp; C1387 &amp; "'!" &amp; J1387, J1387), "")</f>
        <v>0</v>
      </c>
    </row>
    <row r="1388" spans="2:2">
      <c r="B1388" s="21">
        <f>IF(AND(C1388&lt;&gt;"", J1388&lt;&gt;""), HYPERLINK("#'" &amp; C1388 &amp; "'!" &amp; J1388, J1388), "")</f>
        <v>0</v>
      </c>
    </row>
    <row r="1389" spans="2:2">
      <c r="B1389" s="21">
        <f>IF(AND(C1389&lt;&gt;"", J1389&lt;&gt;""), HYPERLINK("#'" &amp; C1389 &amp; "'!" &amp; J1389, J1389), "")</f>
        <v>0</v>
      </c>
    </row>
    <row r="1390" spans="2:2">
      <c r="B1390" s="21">
        <f>IF(AND(C1390&lt;&gt;"", J1390&lt;&gt;""), HYPERLINK("#'" &amp; C1390 &amp; "'!" &amp; J1390, J1390), "")</f>
        <v>0</v>
      </c>
    </row>
    <row r="1391" spans="2:2">
      <c r="B1391" s="21">
        <f>IF(AND(C1391&lt;&gt;"", J1391&lt;&gt;""), HYPERLINK("#'" &amp; C1391 &amp; "'!" &amp; J1391, J1391), "")</f>
        <v>0</v>
      </c>
    </row>
    <row r="1392" spans="2:2">
      <c r="B1392" s="21">
        <f>IF(AND(C1392&lt;&gt;"", J1392&lt;&gt;""), HYPERLINK("#'" &amp; C1392 &amp; "'!" &amp; J1392, J1392), "")</f>
        <v>0</v>
      </c>
    </row>
    <row r="1393" spans="2:2">
      <c r="B1393" s="21">
        <f>IF(AND(C1393&lt;&gt;"", J1393&lt;&gt;""), HYPERLINK("#'" &amp; C1393 &amp; "'!" &amp; J1393, J1393), "")</f>
        <v>0</v>
      </c>
    </row>
    <row r="1394" spans="2:2">
      <c r="B1394" s="21">
        <f>IF(AND(C1394&lt;&gt;"", J1394&lt;&gt;""), HYPERLINK("#'" &amp; C1394 &amp; "'!" &amp; J1394, J1394), "")</f>
        <v>0</v>
      </c>
    </row>
    <row r="1395" spans="2:2">
      <c r="B1395" s="21">
        <f>IF(AND(C1395&lt;&gt;"", J1395&lt;&gt;""), HYPERLINK("#'" &amp; C1395 &amp; "'!" &amp; J1395, J1395), "")</f>
        <v>0</v>
      </c>
    </row>
    <row r="1396" spans="2:2">
      <c r="B1396" s="21">
        <f>IF(AND(C1396&lt;&gt;"", J1396&lt;&gt;""), HYPERLINK("#'" &amp; C1396 &amp; "'!" &amp; J1396, J1396), "")</f>
        <v>0</v>
      </c>
    </row>
    <row r="1397" spans="2:2">
      <c r="B1397" s="21">
        <f>IF(AND(C1397&lt;&gt;"", J1397&lt;&gt;""), HYPERLINK("#'" &amp; C1397 &amp; "'!" &amp; J1397, J1397), "")</f>
        <v>0</v>
      </c>
    </row>
    <row r="1398" spans="2:2">
      <c r="B1398" s="21">
        <f>IF(AND(C1398&lt;&gt;"", J1398&lt;&gt;""), HYPERLINK("#'" &amp; C1398 &amp; "'!" &amp; J1398, J1398), "")</f>
        <v>0</v>
      </c>
    </row>
    <row r="1399" spans="2:2">
      <c r="B1399" s="21">
        <f>IF(AND(C1399&lt;&gt;"", J1399&lt;&gt;""), HYPERLINK("#'" &amp; C1399 &amp; "'!" &amp; J1399, J1399), "")</f>
        <v>0</v>
      </c>
    </row>
    <row r="1400" spans="2:2">
      <c r="B1400" s="21">
        <f>IF(AND(C1400&lt;&gt;"", J1400&lt;&gt;""), HYPERLINK("#'" &amp; C1400 &amp; "'!" &amp; J1400, J1400), "")</f>
        <v>0</v>
      </c>
    </row>
    <row r="1401" spans="2:2">
      <c r="B1401" s="21">
        <f>IF(AND(C1401&lt;&gt;"", J1401&lt;&gt;""), HYPERLINK("#'" &amp; C1401 &amp; "'!" &amp; J1401, J1401), "")</f>
        <v>0</v>
      </c>
    </row>
    <row r="1402" spans="2:2">
      <c r="B1402" s="21">
        <f>IF(AND(C1402&lt;&gt;"", J1402&lt;&gt;""), HYPERLINK("#'" &amp; C1402 &amp; "'!" &amp; J1402, J1402), "")</f>
        <v>0</v>
      </c>
    </row>
    <row r="1403" spans="2:2">
      <c r="B1403" s="21">
        <f>IF(AND(C1403&lt;&gt;"", J1403&lt;&gt;""), HYPERLINK("#'" &amp; C1403 &amp; "'!" &amp; J1403, J1403), "")</f>
        <v>0</v>
      </c>
    </row>
    <row r="1404" spans="2:2">
      <c r="B1404" s="21">
        <f>IF(AND(C1404&lt;&gt;"", J1404&lt;&gt;""), HYPERLINK("#'" &amp; C1404 &amp; "'!" &amp; J1404, J1404), "")</f>
        <v>0</v>
      </c>
    </row>
    <row r="1405" spans="2:2">
      <c r="B1405" s="21">
        <f>IF(AND(C1405&lt;&gt;"", J1405&lt;&gt;""), HYPERLINK("#'" &amp; C1405 &amp; "'!" &amp; J1405, J1405), "")</f>
        <v>0</v>
      </c>
    </row>
    <row r="1406" spans="2:2">
      <c r="B1406" s="21">
        <f>IF(AND(C1406&lt;&gt;"", J1406&lt;&gt;""), HYPERLINK("#'" &amp; C1406 &amp; "'!" &amp; J1406, J1406), "")</f>
        <v>0</v>
      </c>
    </row>
    <row r="1407" spans="2:2">
      <c r="B1407" s="21">
        <f>IF(AND(C1407&lt;&gt;"", J1407&lt;&gt;""), HYPERLINK("#'" &amp; C1407 &amp; "'!" &amp; J1407, J1407), "")</f>
        <v>0</v>
      </c>
    </row>
    <row r="1408" spans="2:2">
      <c r="B1408" s="21">
        <f>IF(AND(C1408&lt;&gt;"", J1408&lt;&gt;""), HYPERLINK("#'" &amp; C1408 &amp; "'!" &amp; J1408, J1408), "")</f>
        <v>0</v>
      </c>
    </row>
    <row r="1409" spans="2:2">
      <c r="B1409" s="21">
        <f>IF(AND(C1409&lt;&gt;"", J1409&lt;&gt;""), HYPERLINK("#'" &amp; C1409 &amp; "'!" &amp; J1409, J1409), "")</f>
        <v>0</v>
      </c>
    </row>
    <row r="1410" spans="2:2">
      <c r="B1410" s="21">
        <f>IF(AND(C1410&lt;&gt;"", J1410&lt;&gt;""), HYPERLINK("#'" &amp; C1410 &amp; "'!" &amp; J1410, J1410), "")</f>
        <v>0</v>
      </c>
    </row>
    <row r="1411" spans="2:2">
      <c r="B1411" s="21">
        <f>IF(AND(C1411&lt;&gt;"", J1411&lt;&gt;""), HYPERLINK("#'" &amp; C1411 &amp; "'!" &amp; J1411, J1411), "")</f>
        <v>0</v>
      </c>
    </row>
    <row r="1412" spans="2:2">
      <c r="B1412" s="21">
        <f>IF(AND(C1412&lt;&gt;"", J1412&lt;&gt;""), HYPERLINK("#'" &amp; C1412 &amp; "'!" &amp; J1412, J1412), "")</f>
        <v>0</v>
      </c>
    </row>
    <row r="1413" spans="2:2">
      <c r="B1413" s="21">
        <f>IF(AND(C1413&lt;&gt;"", J1413&lt;&gt;""), HYPERLINK("#'" &amp; C1413 &amp; "'!" &amp; J1413, J1413), "")</f>
        <v>0</v>
      </c>
    </row>
    <row r="1414" spans="2:2">
      <c r="B1414" s="21">
        <f>IF(AND(C1414&lt;&gt;"", J1414&lt;&gt;""), HYPERLINK("#'" &amp; C1414 &amp; "'!" &amp; J1414, J1414), "")</f>
        <v>0</v>
      </c>
    </row>
    <row r="1415" spans="2:2">
      <c r="B1415" s="21">
        <f>IF(AND(C1415&lt;&gt;"", J1415&lt;&gt;""), HYPERLINK("#'" &amp; C1415 &amp; "'!" &amp; J1415, J1415), "")</f>
        <v>0</v>
      </c>
    </row>
    <row r="1416" spans="2:2">
      <c r="B1416" s="21">
        <f>IF(AND(C1416&lt;&gt;"", J1416&lt;&gt;""), HYPERLINK("#'" &amp; C1416 &amp; "'!" &amp; J1416, J1416), "")</f>
        <v>0</v>
      </c>
    </row>
    <row r="1417" spans="2:2">
      <c r="B1417" s="21">
        <f>IF(AND(C1417&lt;&gt;"", J1417&lt;&gt;""), HYPERLINK("#'" &amp; C1417 &amp; "'!" &amp; J1417, J1417), "")</f>
        <v>0</v>
      </c>
    </row>
    <row r="1418" spans="2:2">
      <c r="B1418" s="21">
        <f>IF(AND(C1418&lt;&gt;"", J1418&lt;&gt;""), HYPERLINK("#'" &amp; C1418 &amp; "'!" &amp; J1418, J1418), "")</f>
        <v>0</v>
      </c>
    </row>
    <row r="1419" spans="2:2">
      <c r="B1419" s="21">
        <f>IF(AND(C1419&lt;&gt;"", J1419&lt;&gt;""), HYPERLINK("#'" &amp; C1419 &amp; "'!" &amp; J1419, J1419), "")</f>
        <v>0</v>
      </c>
    </row>
    <row r="1420" spans="2:2">
      <c r="B1420" s="21">
        <f>IF(AND(C1420&lt;&gt;"", J1420&lt;&gt;""), HYPERLINK("#'" &amp; C1420 &amp; "'!" &amp; J1420, J1420), "")</f>
        <v>0</v>
      </c>
    </row>
    <row r="1421" spans="2:2">
      <c r="B1421" s="21">
        <f>IF(AND(C1421&lt;&gt;"", J1421&lt;&gt;""), HYPERLINK("#'" &amp; C1421 &amp; "'!" &amp; J1421, J1421), "")</f>
        <v>0</v>
      </c>
    </row>
    <row r="1422" spans="2:2">
      <c r="B1422" s="21">
        <f>IF(AND(C1422&lt;&gt;"", J1422&lt;&gt;""), HYPERLINK("#'" &amp; C1422 &amp; "'!" &amp; J1422, J1422), "")</f>
        <v>0</v>
      </c>
    </row>
    <row r="1423" spans="2:2">
      <c r="B1423" s="21">
        <f>IF(AND(C1423&lt;&gt;"", J1423&lt;&gt;""), HYPERLINK("#'" &amp; C1423 &amp; "'!" &amp; J1423, J1423), "")</f>
        <v>0</v>
      </c>
    </row>
    <row r="1424" spans="2:2">
      <c r="B1424" s="21">
        <f>IF(AND(C1424&lt;&gt;"", J1424&lt;&gt;""), HYPERLINK("#'" &amp; C1424 &amp; "'!" &amp; J1424, J1424), "")</f>
        <v>0</v>
      </c>
    </row>
    <row r="1425" spans="2:2">
      <c r="B1425" s="21">
        <f>IF(AND(C1425&lt;&gt;"", J1425&lt;&gt;""), HYPERLINK("#'" &amp; C1425 &amp; "'!" &amp; J1425, J1425), "")</f>
        <v>0</v>
      </c>
    </row>
    <row r="1426" spans="2:2">
      <c r="B1426" s="21">
        <f>IF(AND(C1426&lt;&gt;"", J1426&lt;&gt;""), HYPERLINK("#'" &amp; C1426 &amp; "'!" &amp; J1426, J1426), "")</f>
        <v>0</v>
      </c>
    </row>
    <row r="1427" spans="2:2">
      <c r="B1427" s="21">
        <f>IF(AND(C1427&lt;&gt;"", J1427&lt;&gt;""), HYPERLINK("#'" &amp; C1427 &amp; "'!" &amp; J1427, J1427), "")</f>
        <v>0</v>
      </c>
    </row>
    <row r="1428" spans="2:2">
      <c r="B1428" s="21">
        <f>IF(AND(C1428&lt;&gt;"", J1428&lt;&gt;""), HYPERLINK("#'" &amp; C1428 &amp; "'!" &amp; J1428, J1428), "")</f>
        <v>0</v>
      </c>
    </row>
    <row r="1429" spans="2:2">
      <c r="B1429" s="21">
        <f>IF(AND(C1429&lt;&gt;"", J1429&lt;&gt;""), HYPERLINK("#'" &amp; C1429 &amp; "'!" &amp; J1429, J1429), "")</f>
        <v>0</v>
      </c>
    </row>
    <row r="1430" spans="2:2">
      <c r="B1430" s="21">
        <f>IF(AND(C1430&lt;&gt;"", J1430&lt;&gt;""), HYPERLINK("#'" &amp; C1430 &amp; "'!" &amp; J1430, J1430), "")</f>
        <v>0</v>
      </c>
    </row>
    <row r="1431" spans="2:2">
      <c r="B1431" s="21">
        <f>IF(AND(C1431&lt;&gt;"", J1431&lt;&gt;""), HYPERLINK("#'" &amp; C1431 &amp; "'!" &amp; J1431, J1431), "")</f>
        <v>0</v>
      </c>
    </row>
    <row r="1432" spans="2:2">
      <c r="B1432" s="21">
        <f>IF(AND(C1432&lt;&gt;"", J1432&lt;&gt;""), HYPERLINK("#'" &amp; C1432 &amp; "'!" &amp; J1432, J1432), "")</f>
        <v>0</v>
      </c>
    </row>
    <row r="1433" spans="2:2">
      <c r="B1433" s="21">
        <f>IF(AND(C1433&lt;&gt;"", J1433&lt;&gt;""), HYPERLINK("#'" &amp; C1433 &amp; "'!" &amp; J1433, J1433), "")</f>
        <v>0</v>
      </c>
    </row>
    <row r="1434" spans="2:2">
      <c r="B1434" s="21">
        <f>IF(AND(C1434&lt;&gt;"", J1434&lt;&gt;""), HYPERLINK("#'" &amp; C1434 &amp; "'!" &amp; J1434, J1434), "")</f>
        <v>0</v>
      </c>
    </row>
    <row r="1435" spans="2:2">
      <c r="B1435" s="21">
        <f>IF(AND(C1435&lt;&gt;"", J1435&lt;&gt;""), HYPERLINK("#'" &amp; C1435 &amp; "'!" &amp; J1435, J1435), "")</f>
        <v>0</v>
      </c>
    </row>
    <row r="1436" spans="2:2">
      <c r="B1436" s="21">
        <f>IF(AND(C1436&lt;&gt;"", J1436&lt;&gt;""), HYPERLINK("#'" &amp; C1436 &amp; "'!" &amp; J1436, J1436), "")</f>
        <v>0</v>
      </c>
    </row>
    <row r="1437" spans="2:2">
      <c r="B1437" s="21">
        <f>IF(AND(C1437&lt;&gt;"", J1437&lt;&gt;""), HYPERLINK("#'" &amp; C1437 &amp; "'!" &amp; J1437, J1437), "")</f>
        <v>0</v>
      </c>
    </row>
    <row r="1438" spans="2:2">
      <c r="B1438" s="21">
        <f>IF(AND(C1438&lt;&gt;"", J1438&lt;&gt;""), HYPERLINK("#'" &amp; C1438 &amp; "'!" &amp; J1438, J1438), "")</f>
        <v>0</v>
      </c>
    </row>
    <row r="1439" spans="2:2">
      <c r="B1439" s="21">
        <f>IF(AND(C1439&lt;&gt;"", J1439&lt;&gt;""), HYPERLINK("#'" &amp; C1439 &amp; "'!" &amp; J1439, J1439), "")</f>
        <v>0</v>
      </c>
    </row>
    <row r="1440" spans="2:2">
      <c r="B1440" s="21">
        <f>IF(AND(C1440&lt;&gt;"", J1440&lt;&gt;""), HYPERLINK("#'" &amp; C1440 &amp; "'!" &amp; J1440, J1440), "")</f>
        <v>0</v>
      </c>
    </row>
    <row r="1441" spans="2:2">
      <c r="B1441" s="21">
        <f>IF(AND(C1441&lt;&gt;"", J1441&lt;&gt;""), HYPERLINK("#'" &amp; C1441 &amp; "'!" &amp; J1441, J1441), "")</f>
        <v>0</v>
      </c>
    </row>
    <row r="1442" spans="2:2">
      <c r="B1442" s="21">
        <f>IF(AND(C1442&lt;&gt;"", J1442&lt;&gt;""), HYPERLINK("#'" &amp; C1442 &amp; "'!" &amp; J1442, J1442), "")</f>
        <v>0</v>
      </c>
    </row>
    <row r="1443" spans="2:2">
      <c r="B1443" s="21">
        <f>IF(AND(C1443&lt;&gt;"", J1443&lt;&gt;""), HYPERLINK("#'" &amp; C1443 &amp; "'!" &amp; J1443, J1443), "")</f>
        <v>0</v>
      </c>
    </row>
    <row r="1444" spans="2:2">
      <c r="B1444" s="21">
        <f>IF(AND(C1444&lt;&gt;"", J1444&lt;&gt;""), HYPERLINK("#'" &amp; C1444 &amp; "'!" &amp; J1444, J1444), "")</f>
        <v>0</v>
      </c>
    </row>
    <row r="1445" spans="2:2">
      <c r="B1445" s="21">
        <f>IF(AND(C1445&lt;&gt;"", J1445&lt;&gt;""), HYPERLINK("#'" &amp; C1445 &amp; "'!" &amp; J1445, J1445), "")</f>
        <v>0</v>
      </c>
    </row>
    <row r="1446" spans="2:2">
      <c r="B1446" s="21">
        <f>IF(AND(C1446&lt;&gt;"", J1446&lt;&gt;""), HYPERLINK("#'" &amp; C1446 &amp; "'!" &amp; J1446, J1446), "")</f>
        <v>0</v>
      </c>
    </row>
    <row r="1447" spans="2:2">
      <c r="B1447" s="21">
        <f>IF(AND(C1447&lt;&gt;"", J1447&lt;&gt;""), HYPERLINK("#'" &amp; C1447 &amp; "'!" &amp; J1447, J1447), "")</f>
        <v>0</v>
      </c>
    </row>
    <row r="1448" spans="2:2">
      <c r="B1448" s="21">
        <f>IF(AND(C1448&lt;&gt;"", J1448&lt;&gt;""), HYPERLINK("#'" &amp; C1448 &amp; "'!" &amp; J1448, J1448), "")</f>
        <v>0</v>
      </c>
    </row>
    <row r="1449" spans="2:2">
      <c r="B1449" s="21">
        <f>IF(AND(C1449&lt;&gt;"", J1449&lt;&gt;""), HYPERLINK("#'" &amp; C1449 &amp; "'!" &amp; J1449, J1449), "")</f>
        <v>0</v>
      </c>
    </row>
    <row r="1450" spans="2:2">
      <c r="B1450" s="21">
        <f>IF(AND(C1450&lt;&gt;"", J1450&lt;&gt;""), HYPERLINK("#'" &amp; C1450 &amp; "'!" &amp; J1450, J1450), "")</f>
        <v>0</v>
      </c>
    </row>
    <row r="1451" spans="2:2">
      <c r="B1451" s="21">
        <f>IF(AND(C1451&lt;&gt;"", J1451&lt;&gt;""), HYPERLINK("#'" &amp; C1451 &amp; "'!" &amp; J1451, J1451), "")</f>
        <v>0</v>
      </c>
    </row>
    <row r="1452" spans="2:2">
      <c r="B1452" s="21">
        <f>IF(AND(C1452&lt;&gt;"", J1452&lt;&gt;""), HYPERLINK("#'" &amp; C1452 &amp; "'!" &amp; J1452, J1452), "")</f>
        <v>0</v>
      </c>
    </row>
    <row r="1453" spans="2:2">
      <c r="B1453" s="21">
        <f>IF(AND(C1453&lt;&gt;"", J1453&lt;&gt;""), HYPERLINK("#'" &amp; C1453 &amp; "'!" &amp; J1453, J1453), "")</f>
        <v>0</v>
      </c>
    </row>
    <row r="1454" spans="2:2">
      <c r="B1454" s="21">
        <f>IF(AND(C1454&lt;&gt;"", J1454&lt;&gt;""), HYPERLINK("#'" &amp; C1454 &amp; "'!" &amp; J1454, J1454), "")</f>
        <v>0</v>
      </c>
    </row>
    <row r="1455" spans="2:2">
      <c r="B1455" s="21">
        <f>IF(AND(C1455&lt;&gt;"", J1455&lt;&gt;""), HYPERLINK("#'" &amp; C1455 &amp; "'!" &amp; J1455, J1455), "")</f>
        <v>0</v>
      </c>
    </row>
    <row r="1456" spans="2:2">
      <c r="B1456" s="21">
        <f>IF(AND(C1456&lt;&gt;"", J1456&lt;&gt;""), HYPERLINK("#'" &amp; C1456 &amp; "'!" &amp; J1456, J1456), "")</f>
        <v>0</v>
      </c>
    </row>
    <row r="1457" spans="2:2">
      <c r="B1457" s="21">
        <f>IF(AND(C1457&lt;&gt;"", J1457&lt;&gt;""), HYPERLINK("#'" &amp; C1457 &amp; "'!" &amp; J1457, J1457), "")</f>
        <v>0</v>
      </c>
    </row>
    <row r="1458" spans="2:2">
      <c r="B1458" s="21">
        <f>IF(AND(C1458&lt;&gt;"", J1458&lt;&gt;""), HYPERLINK("#'" &amp; C1458 &amp; "'!" &amp; J1458, J1458), "")</f>
        <v>0</v>
      </c>
    </row>
    <row r="1459" spans="2:2">
      <c r="B1459" s="21">
        <f>IF(AND(C1459&lt;&gt;"", J1459&lt;&gt;""), HYPERLINK("#'" &amp; C1459 &amp; "'!" &amp; J1459, J1459), "")</f>
        <v>0</v>
      </c>
    </row>
    <row r="1460" spans="2:2">
      <c r="B1460" s="21">
        <f>IF(AND(C1460&lt;&gt;"", J1460&lt;&gt;""), HYPERLINK("#'" &amp; C1460 &amp; "'!" &amp; J1460, J1460), "")</f>
        <v>0</v>
      </c>
    </row>
    <row r="1461" spans="2:2">
      <c r="B1461" s="21">
        <f>IF(AND(C1461&lt;&gt;"", J1461&lt;&gt;""), HYPERLINK("#'" &amp; C1461 &amp; "'!" &amp; J1461, J1461), "")</f>
        <v>0</v>
      </c>
    </row>
    <row r="1462" spans="2:2">
      <c r="B1462" s="21">
        <f>IF(AND(C1462&lt;&gt;"", J1462&lt;&gt;""), HYPERLINK("#'" &amp; C1462 &amp; "'!" &amp; J1462, J1462), "")</f>
        <v>0</v>
      </c>
    </row>
    <row r="1463" spans="2:2">
      <c r="B1463" s="21">
        <f>IF(AND(C1463&lt;&gt;"", J1463&lt;&gt;""), HYPERLINK("#'" &amp; C1463 &amp; "'!" &amp; J1463, J1463), "")</f>
        <v>0</v>
      </c>
    </row>
    <row r="1464" spans="2:2">
      <c r="B1464" s="21">
        <f>IF(AND(C1464&lt;&gt;"", J1464&lt;&gt;""), HYPERLINK("#'" &amp; C1464 &amp; "'!" &amp; J1464, J1464), "")</f>
        <v>0</v>
      </c>
    </row>
    <row r="1465" spans="2:2">
      <c r="B1465" s="21">
        <f>IF(AND(C1465&lt;&gt;"", J1465&lt;&gt;""), HYPERLINK("#'" &amp; C1465 &amp; "'!" &amp; J1465, J1465), "")</f>
        <v>0</v>
      </c>
    </row>
    <row r="1466" spans="2:2">
      <c r="B1466" s="21">
        <f>IF(AND(C1466&lt;&gt;"", J1466&lt;&gt;""), HYPERLINK("#'" &amp; C1466 &amp; "'!" &amp; J1466, J1466), "")</f>
        <v>0</v>
      </c>
    </row>
    <row r="1467" spans="2:2">
      <c r="B1467" s="21">
        <f>IF(AND(C1467&lt;&gt;"", J1467&lt;&gt;""), HYPERLINK("#'" &amp; C1467 &amp; "'!" &amp; J1467, J1467), "")</f>
        <v>0</v>
      </c>
    </row>
    <row r="1468" spans="2:2">
      <c r="B1468" s="21">
        <f>IF(AND(C1468&lt;&gt;"", J1468&lt;&gt;""), HYPERLINK("#'" &amp; C1468 &amp; "'!" &amp; J1468, J1468), "")</f>
        <v>0</v>
      </c>
    </row>
    <row r="1469" spans="2:2">
      <c r="B1469" s="21">
        <f>IF(AND(C1469&lt;&gt;"", J1469&lt;&gt;""), HYPERLINK("#'" &amp; C1469 &amp; "'!" &amp; J1469, J1469), "")</f>
        <v>0</v>
      </c>
    </row>
    <row r="1470" spans="2:2">
      <c r="B1470" s="21">
        <f>IF(AND(C1470&lt;&gt;"", J1470&lt;&gt;""), HYPERLINK("#'" &amp; C1470 &amp; "'!" &amp; J1470, J1470), "")</f>
        <v>0</v>
      </c>
    </row>
    <row r="1471" spans="2:2">
      <c r="B1471" s="21">
        <f>IF(AND(C1471&lt;&gt;"", J1471&lt;&gt;""), HYPERLINK("#'" &amp; C1471 &amp; "'!" &amp; J1471, J1471), "")</f>
        <v>0</v>
      </c>
    </row>
    <row r="1472" spans="2:2">
      <c r="B1472" s="21">
        <f>IF(AND(C1472&lt;&gt;"", J1472&lt;&gt;""), HYPERLINK("#'" &amp; C1472 &amp; "'!" &amp; J1472, J1472), "")</f>
        <v>0</v>
      </c>
    </row>
    <row r="1473" spans="2:2">
      <c r="B1473" s="21">
        <f>IF(AND(C1473&lt;&gt;"", J1473&lt;&gt;""), HYPERLINK("#'" &amp; C1473 &amp; "'!" &amp; J1473, J1473), "")</f>
        <v>0</v>
      </c>
    </row>
    <row r="1474" spans="2:2">
      <c r="B1474" s="21">
        <f>IF(AND(C1474&lt;&gt;"", J1474&lt;&gt;""), HYPERLINK("#'" &amp; C1474 &amp; "'!" &amp; J1474, J1474), "")</f>
        <v>0</v>
      </c>
    </row>
    <row r="1475" spans="2:2">
      <c r="B1475" s="21">
        <f>IF(AND(C1475&lt;&gt;"", J1475&lt;&gt;""), HYPERLINK("#'" &amp; C1475 &amp; "'!" &amp; J1475, J1475), "")</f>
        <v>0</v>
      </c>
    </row>
    <row r="1476" spans="2:2">
      <c r="B1476" s="21">
        <f>IF(AND(C1476&lt;&gt;"", J1476&lt;&gt;""), HYPERLINK("#'" &amp; C1476 &amp; "'!" &amp; J1476, J1476), "")</f>
        <v>0</v>
      </c>
    </row>
    <row r="1477" spans="2:2">
      <c r="B1477" s="21">
        <f>IF(AND(C1477&lt;&gt;"", J1477&lt;&gt;""), HYPERLINK("#'" &amp; C1477 &amp; "'!" &amp; J1477, J1477), "")</f>
        <v>0</v>
      </c>
    </row>
    <row r="1478" spans="2:2">
      <c r="B1478" s="21">
        <f>IF(AND(C1478&lt;&gt;"", J1478&lt;&gt;""), HYPERLINK("#'" &amp; C1478 &amp; "'!" &amp; J1478, J1478), "")</f>
        <v>0</v>
      </c>
    </row>
    <row r="1479" spans="2:2">
      <c r="B1479" s="21">
        <f>IF(AND(C1479&lt;&gt;"", J1479&lt;&gt;""), HYPERLINK("#'" &amp; C1479 &amp; "'!" &amp; J1479, J1479), "")</f>
        <v>0</v>
      </c>
    </row>
    <row r="1480" spans="2:2">
      <c r="B1480" s="21">
        <f>IF(AND(C1480&lt;&gt;"", J1480&lt;&gt;""), HYPERLINK("#'" &amp; C1480 &amp; "'!" &amp; J1480, J1480), "")</f>
        <v>0</v>
      </c>
    </row>
    <row r="1481" spans="2:2">
      <c r="B1481" s="21">
        <f>IF(AND(C1481&lt;&gt;"", J1481&lt;&gt;""), HYPERLINK("#'" &amp; C1481 &amp; "'!" &amp; J1481, J1481), "")</f>
        <v>0</v>
      </c>
    </row>
    <row r="1482" spans="2:2">
      <c r="B1482" s="21">
        <f>IF(AND(C1482&lt;&gt;"", J1482&lt;&gt;""), HYPERLINK("#'" &amp; C1482 &amp; "'!" &amp; J1482, J1482), "")</f>
        <v>0</v>
      </c>
    </row>
    <row r="1483" spans="2:2">
      <c r="B1483" s="21">
        <f>IF(AND(C1483&lt;&gt;"", J1483&lt;&gt;""), HYPERLINK("#'" &amp; C1483 &amp; "'!" &amp; J1483, J1483), "")</f>
        <v>0</v>
      </c>
    </row>
    <row r="1484" spans="2:2">
      <c r="B1484" s="21">
        <f>IF(AND(C1484&lt;&gt;"", J1484&lt;&gt;""), HYPERLINK("#'" &amp; C1484 &amp; "'!" &amp; J1484, J1484), "")</f>
        <v>0</v>
      </c>
    </row>
    <row r="1485" spans="2:2">
      <c r="B1485" s="21">
        <f>IF(AND(C1485&lt;&gt;"", J1485&lt;&gt;""), HYPERLINK("#'" &amp; C1485 &amp; "'!" &amp; J1485, J1485), "")</f>
        <v>0</v>
      </c>
    </row>
    <row r="1486" spans="2:2">
      <c r="B1486" s="21">
        <f>IF(AND(C1486&lt;&gt;"", J1486&lt;&gt;""), HYPERLINK("#'" &amp; C1486 &amp; "'!" &amp; J1486, J1486), "")</f>
        <v>0</v>
      </c>
    </row>
    <row r="1487" spans="2:2">
      <c r="B1487" s="21">
        <f>IF(AND(C1487&lt;&gt;"", J1487&lt;&gt;""), HYPERLINK("#'" &amp; C1487 &amp; "'!" &amp; J1487, J1487), "")</f>
        <v>0</v>
      </c>
    </row>
    <row r="1488" spans="2:2">
      <c r="B1488" s="21">
        <f>IF(AND(C1488&lt;&gt;"", J1488&lt;&gt;""), HYPERLINK("#'" &amp; C1488 &amp; "'!" &amp; J1488, J1488), "")</f>
        <v>0</v>
      </c>
    </row>
    <row r="1489" spans="2:2">
      <c r="B1489" s="21">
        <f>IF(AND(C1489&lt;&gt;"", J1489&lt;&gt;""), HYPERLINK("#'" &amp; C1489 &amp; "'!" &amp; J1489, J1489), "")</f>
        <v>0</v>
      </c>
    </row>
    <row r="1490" spans="2:2">
      <c r="B1490" s="21">
        <f>IF(AND(C1490&lt;&gt;"", J1490&lt;&gt;""), HYPERLINK("#'" &amp; C1490 &amp; "'!" &amp; J1490, J1490), "")</f>
        <v>0</v>
      </c>
    </row>
    <row r="1491" spans="2:2">
      <c r="B1491" s="21">
        <f>IF(AND(C1491&lt;&gt;"", J1491&lt;&gt;""), HYPERLINK("#'" &amp; C1491 &amp; "'!" &amp; J1491, J1491), "")</f>
        <v>0</v>
      </c>
    </row>
    <row r="1492" spans="2:2">
      <c r="B1492" s="21">
        <f>IF(AND(C1492&lt;&gt;"", J1492&lt;&gt;""), HYPERLINK("#'" &amp; C1492 &amp; "'!" &amp; J1492, J1492), "")</f>
        <v>0</v>
      </c>
    </row>
    <row r="1493" spans="2:2">
      <c r="B1493" s="21">
        <f>IF(AND(C1493&lt;&gt;"", J1493&lt;&gt;""), HYPERLINK("#'" &amp; C1493 &amp; "'!" &amp; J1493, J1493), "")</f>
        <v>0</v>
      </c>
    </row>
    <row r="1494" spans="2:2">
      <c r="B1494" s="21">
        <f>IF(AND(C1494&lt;&gt;"", J1494&lt;&gt;""), HYPERLINK("#'" &amp; C1494 &amp; "'!" &amp; J1494, J1494), "")</f>
        <v>0</v>
      </c>
    </row>
    <row r="1495" spans="2:2">
      <c r="B1495" s="21">
        <f>IF(AND(C1495&lt;&gt;"", J1495&lt;&gt;""), HYPERLINK("#'" &amp; C1495 &amp; "'!" &amp; J1495, J1495), "")</f>
        <v>0</v>
      </c>
    </row>
    <row r="1496" spans="2:2">
      <c r="B1496" s="21">
        <f>IF(AND(C1496&lt;&gt;"", J1496&lt;&gt;""), HYPERLINK("#'" &amp; C1496 &amp; "'!" &amp; J1496, J1496), "")</f>
        <v>0</v>
      </c>
    </row>
    <row r="1497" spans="2:2">
      <c r="B1497" s="21">
        <f>IF(AND(C1497&lt;&gt;"", J1497&lt;&gt;""), HYPERLINK("#'" &amp; C1497 &amp; "'!" &amp; J1497, J1497), "")</f>
        <v>0</v>
      </c>
    </row>
    <row r="1498" spans="2:2">
      <c r="B1498" s="21">
        <f>IF(AND(C1498&lt;&gt;"", J1498&lt;&gt;""), HYPERLINK("#'" &amp; C1498 &amp; "'!" &amp; J1498, J1498), "")</f>
        <v>0</v>
      </c>
    </row>
    <row r="1499" spans="2:2">
      <c r="B1499" s="21">
        <f>IF(AND(C1499&lt;&gt;"", J1499&lt;&gt;""), HYPERLINK("#'" &amp; C1499 &amp; "'!" &amp; J1499, J1499), "")</f>
        <v>0</v>
      </c>
    </row>
    <row r="1500" spans="2:2">
      <c r="B1500" s="21">
        <f>IF(AND(C1500&lt;&gt;"", J1500&lt;&gt;""), HYPERLINK("#'" &amp; C1500 &amp; "'!" &amp; J1500, J1500), "")</f>
        <v>0</v>
      </c>
    </row>
    <row r="1501" spans="2:2">
      <c r="B1501" s="21">
        <f>IF(AND(C1501&lt;&gt;"", J1501&lt;&gt;""), HYPERLINK("#'" &amp; C1501 &amp; "'!" &amp; J1501, J1501), "")</f>
        <v>0</v>
      </c>
    </row>
    <row r="1502" spans="2:2">
      <c r="B1502" s="21">
        <f>IF(AND(C1502&lt;&gt;"", J1502&lt;&gt;""), HYPERLINK("#'" &amp; C1502 &amp; "'!" &amp; J1502, J1502), "")</f>
        <v>0</v>
      </c>
    </row>
    <row r="1503" spans="2:2">
      <c r="B1503" s="21">
        <f>IF(AND(C1503&lt;&gt;"", J1503&lt;&gt;""), HYPERLINK("#'" &amp; C1503 &amp; "'!" &amp; J1503, J1503), "")</f>
        <v>0</v>
      </c>
    </row>
    <row r="1504" spans="2:2">
      <c r="B1504" s="21">
        <f>IF(AND(C1504&lt;&gt;"", J1504&lt;&gt;""), HYPERLINK("#'" &amp; C1504 &amp; "'!" &amp; J1504, J1504), "")</f>
        <v>0</v>
      </c>
    </row>
    <row r="1505" spans="2:2">
      <c r="B1505" s="21">
        <f>IF(AND(C1505&lt;&gt;"", J1505&lt;&gt;""), HYPERLINK("#'" &amp; C1505 &amp; "'!" &amp; J1505, J1505), "")</f>
        <v>0</v>
      </c>
    </row>
    <row r="1506" spans="2:2">
      <c r="B1506" s="21">
        <f>IF(AND(C1506&lt;&gt;"", J1506&lt;&gt;""), HYPERLINK("#'" &amp; C1506 &amp; "'!" &amp; J1506, J1506), "")</f>
        <v>0</v>
      </c>
    </row>
    <row r="1507" spans="2:2">
      <c r="B1507" s="21">
        <f>IF(AND(C1507&lt;&gt;"", J1507&lt;&gt;""), HYPERLINK("#'" &amp; C1507 &amp; "'!" &amp; J1507, J1507), "")</f>
        <v>0</v>
      </c>
    </row>
    <row r="1508" spans="2:2">
      <c r="B1508" s="21">
        <f>IF(AND(C1508&lt;&gt;"", J1508&lt;&gt;""), HYPERLINK("#'" &amp; C1508 &amp; "'!" &amp; J1508, J1508), "")</f>
        <v>0</v>
      </c>
    </row>
    <row r="1509" spans="2:2">
      <c r="B1509" s="21">
        <f>IF(AND(C1509&lt;&gt;"", J1509&lt;&gt;""), HYPERLINK("#'" &amp; C1509 &amp; "'!" &amp; J1509, J1509), "")</f>
        <v>0</v>
      </c>
    </row>
    <row r="1510" spans="2:2">
      <c r="B1510" s="21">
        <f>IF(AND(C1510&lt;&gt;"", J1510&lt;&gt;""), HYPERLINK("#'" &amp; C1510 &amp; "'!" &amp; J1510, J1510), "")</f>
        <v>0</v>
      </c>
    </row>
    <row r="1511" spans="2:2">
      <c r="B1511" s="21">
        <f>IF(AND(C1511&lt;&gt;"", J1511&lt;&gt;""), HYPERLINK("#'" &amp; C1511 &amp; "'!" &amp; J1511, J1511), "")</f>
        <v>0</v>
      </c>
    </row>
    <row r="1512" spans="2:2">
      <c r="B1512" s="21">
        <f>IF(AND(C1512&lt;&gt;"", J1512&lt;&gt;""), HYPERLINK("#'" &amp; C1512 &amp; "'!" &amp; J1512, J1512), "")</f>
        <v>0</v>
      </c>
    </row>
    <row r="1513" spans="2:2">
      <c r="B1513" s="21">
        <f>IF(AND(C1513&lt;&gt;"", J1513&lt;&gt;""), HYPERLINK("#'" &amp; C1513 &amp; "'!" &amp; J1513, J1513), "")</f>
        <v>0</v>
      </c>
    </row>
    <row r="1514" spans="2:2">
      <c r="B1514" s="21">
        <f>IF(AND(C1514&lt;&gt;"", J1514&lt;&gt;""), HYPERLINK("#'" &amp; C1514 &amp; "'!" &amp; J1514, J1514), "")</f>
        <v>0</v>
      </c>
    </row>
    <row r="1515" spans="2:2">
      <c r="B1515" s="21">
        <f>IF(AND(C1515&lt;&gt;"", J1515&lt;&gt;""), HYPERLINK("#'" &amp; C1515 &amp; "'!" &amp; J1515, J1515), "")</f>
        <v>0</v>
      </c>
    </row>
    <row r="1516" spans="2:2">
      <c r="B1516" s="21">
        <f>IF(AND(C1516&lt;&gt;"", J1516&lt;&gt;""), HYPERLINK("#'" &amp; C1516 &amp; "'!" &amp; J1516, J1516), "")</f>
        <v>0</v>
      </c>
    </row>
    <row r="1517" spans="2:2">
      <c r="B1517" s="21">
        <f>IF(AND(C1517&lt;&gt;"", J1517&lt;&gt;""), HYPERLINK("#'" &amp; C1517 &amp; "'!" &amp; J1517, J1517), "")</f>
        <v>0</v>
      </c>
    </row>
    <row r="1518" spans="2:2">
      <c r="B1518" s="21">
        <f>IF(AND(C1518&lt;&gt;"", J1518&lt;&gt;""), HYPERLINK("#'" &amp; C1518 &amp; "'!" &amp; J1518, J1518), "")</f>
        <v>0</v>
      </c>
    </row>
    <row r="1519" spans="2:2">
      <c r="B1519" s="21">
        <f>IF(AND(C1519&lt;&gt;"", J1519&lt;&gt;""), HYPERLINK("#'" &amp; C1519 &amp; "'!" &amp; J1519, J1519), "")</f>
        <v>0</v>
      </c>
    </row>
    <row r="1520" spans="2:2">
      <c r="B1520" s="21">
        <f>IF(AND(C1520&lt;&gt;"", J1520&lt;&gt;""), HYPERLINK("#'" &amp; C1520 &amp; "'!" &amp; J1520, J1520), "")</f>
        <v>0</v>
      </c>
    </row>
    <row r="1521" spans="2:2">
      <c r="B1521" s="21">
        <f>IF(AND(C1521&lt;&gt;"", J1521&lt;&gt;""), HYPERLINK("#'" &amp; C1521 &amp; "'!" &amp; J1521, J1521), "")</f>
        <v>0</v>
      </c>
    </row>
    <row r="1522" spans="2:2">
      <c r="B1522" s="21">
        <f>IF(AND(C1522&lt;&gt;"", J1522&lt;&gt;""), HYPERLINK("#'" &amp; C1522 &amp; "'!" &amp; J1522, J1522), "")</f>
        <v>0</v>
      </c>
    </row>
    <row r="1523" spans="2:2">
      <c r="B1523" s="21">
        <f>IF(AND(C1523&lt;&gt;"", J1523&lt;&gt;""), HYPERLINK("#'" &amp; C1523 &amp; "'!" &amp; J1523, J1523), "")</f>
        <v>0</v>
      </c>
    </row>
    <row r="1524" spans="2:2">
      <c r="B1524" s="21">
        <f>IF(AND(C1524&lt;&gt;"", J1524&lt;&gt;""), HYPERLINK("#'" &amp; C1524 &amp; "'!" &amp; J1524, J1524), "")</f>
        <v>0</v>
      </c>
    </row>
    <row r="1525" spans="2:2">
      <c r="B1525" s="21">
        <f>IF(AND(C1525&lt;&gt;"", J1525&lt;&gt;""), HYPERLINK("#'" &amp; C1525 &amp; "'!" &amp; J1525, J1525), "")</f>
        <v>0</v>
      </c>
    </row>
    <row r="1526" spans="2:2">
      <c r="B1526" s="21">
        <f>IF(AND(C1526&lt;&gt;"", J1526&lt;&gt;""), HYPERLINK("#'" &amp; C1526 &amp; "'!" &amp; J1526, J1526), "")</f>
        <v>0</v>
      </c>
    </row>
    <row r="1527" spans="2:2">
      <c r="B1527" s="21">
        <f>IF(AND(C1527&lt;&gt;"", J1527&lt;&gt;""), HYPERLINK("#'" &amp; C1527 &amp; "'!" &amp; J1527, J1527), "")</f>
        <v>0</v>
      </c>
    </row>
    <row r="1528" spans="2:2">
      <c r="B1528" s="21">
        <f>IF(AND(C1528&lt;&gt;"", J1528&lt;&gt;""), HYPERLINK("#'" &amp; C1528 &amp; "'!" &amp; J1528, J1528), "")</f>
        <v>0</v>
      </c>
    </row>
    <row r="1529" spans="2:2">
      <c r="B1529" s="21">
        <f>IF(AND(C1529&lt;&gt;"", J1529&lt;&gt;""), HYPERLINK("#'" &amp; C1529 &amp; "'!" &amp; J1529, J1529), "")</f>
        <v>0</v>
      </c>
    </row>
    <row r="1530" spans="2:2">
      <c r="B1530" s="21">
        <f>IF(AND(C1530&lt;&gt;"", J1530&lt;&gt;""), HYPERLINK("#'" &amp; C1530 &amp; "'!" &amp; J1530, J1530), "")</f>
        <v>0</v>
      </c>
    </row>
    <row r="1531" spans="2:2">
      <c r="B1531" s="21">
        <f>IF(AND(C1531&lt;&gt;"", J1531&lt;&gt;""), HYPERLINK("#'" &amp; C1531 &amp; "'!" &amp; J1531, J1531), "")</f>
        <v>0</v>
      </c>
    </row>
    <row r="1532" spans="2:2">
      <c r="B1532" s="21">
        <f>IF(AND(C1532&lt;&gt;"", J1532&lt;&gt;""), HYPERLINK("#'" &amp; C1532 &amp; "'!" &amp; J1532, J1532), "")</f>
        <v>0</v>
      </c>
    </row>
    <row r="1533" spans="2:2">
      <c r="B1533" s="21">
        <f>IF(AND(C1533&lt;&gt;"", J1533&lt;&gt;""), HYPERLINK("#'" &amp; C1533 &amp; "'!" &amp; J1533, J1533), "")</f>
        <v>0</v>
      </c>
    </row>
    <row r="1534" spans="2:2">
      <c r="B1534" s="21">
        <f>IF(AND(C1534&lt;&gt;"", J1534&lt;&gt;""), HYPERLINK("#'" &amp; C1534 &amp; "'!" &amp; J1534, J1534), "")</f>
        <v>0</v>
      </c>
    </row>
    <row r="1535" spans="2:2">
      <c r="B1535" s="21">
        <f>IF(AND(C1535&lt;&gt;"", J1535&lt;&gt;""), HYPERLINK("#'" &amp; C1535 &amp; "'!" &amp; J1535, J1535), "")</f>
        <v>0</v>
      </c>
    </row>
    <row r="1536" spans="2:2">
      <c r="B1536" s="21">
        <f>IF(AND(C1536&lt;&gt;"", J1536&lt;&gt;""), HYPERLINK("#'" &amp; C1536 &amp; "'!" &amp; J1536, J1536), "")</f>
        <v>0</v>
      </c>
    </row>
    <row r="1537" spans="2:2">
      <c r="B1537" s="21">
        <f>IF(AND(C1537&lt;&gt;"", J1537&lt;&gt;""), HYPERLINK("#'" &amp; C1537 &amp; "'!" &amp; J1537, J1537), "")</f>
        <v>0</v>
      </c>
    </row>
    <row r="1538" spans="2:2">
      <c r="B1538" s="21">
        <f>IF(AND(C1538&lt;&gt;"", J1538&lt;&gt;""), HYPERLINK("#'" &amp; C1538 &amp; "'!" &amp; J1538, J1538), "")</f>
        <v>0</v>
      </c>
    </row>
    <row r="1539" spans="2:2">
      <c r="B1539" s="21">
        <f>IF(AND(C1539&lt;&gt;"", J1539&lt;&gt;""), HYPERLINK("#'" &amp; C1539 &amp; "'!" &amp; J1539, J1539), "")</f>
        <v>0</v>
      </c>
    </row>
    <row r="1540" spans="2:2">
      <c r="B1540" s="21">
        <f>IF(AND(C1540&lt;&gt;"", J1540&lt;&gt;""), HYPERLINK("#'" &amp; C1540 &amp; "'!" &amp; J1540, J1540), "")</f>
        <v>0</v>
      </c>
    </row>
    <row r="1541" spans="2:2">
      <c r="B1541" s="21">
        <f>IF(AND(C1541&lt;&gt;"", J1541&lt;&gt;""), HYPERLINK("#'" &amp; C1541 &amp; "'!" &amp; J1541, J1541), "")</f>
        <v>0</v>
      </c>
    </row>
    <row r="1542" spans="2:2">
      <c r="B1542" s="21">
        <f>IF(AND(C1542&lt;&gt;"", J1542&lt;&gt;""), HYPERLINK("#'" &amp; C1542 &amp; "'!" &amp; J1542, J1542), "")</f>
        <v>0</v>
      </c>
    </row>
    <row r="1543" spans="2:2">
      <c r="B1543" s="21">
        <f>IF(AND(C1543&lt;&gt;"", J1543&lt;&gt;""), HYPERLINK("#'" &amp; C1543 &amp; "'!" &amp; J1543, J1543), "")</f>
        <v>0</v>
      </c>
    </row>
    <row r="1544" spans="2:2">
      <c r="B1544" s="21">
        <f>IF(AND(C1544&lt;&gt;"", J1544&lt;&gt;""), HYPERLINK("#'" &amp; C1544 &amp; "'!" &amp; J1544, J1544), "")</f>
        <v>0</v>
      </c>
    </row>
    <row r="1545" spans="2:2">
      <c r="B1545" s="21">
        <f>IF(AND(C1545&lt;&gt;"", J1545&lt;&gt;""), HYPERLINK("#'" &amp; C1545 &amp; "'!" &amp; J1545, J1545), "")</f>
        <v>0</v>
      </c>
    </row>
    <row r="1546" spans="2:2">
      <c r="B1546" s="21">
        <f>IF(AND(C1546&lt;&gt;"", J1546&lt;&gt;""), HYPERLINK("#'" &amp; C1546 &amp; "'!" &amp; J1546, J1546), "")</f>
        <v>0</v>
      </c>
    </row>
    <row r="1547" spans="2:2">
      <c r="B1547" s="21">
        <f>IF(AND(C1547&lt;&gt;"", J1547&lt;&gt;""), HYPERLINK("#'" &amp; C1547 &amp; "'!" &amp; J1547, J1547), "")</f>
        <v>0</v>
      </c>
    </row>
    <row r="1548" spans="2:2">
      <c r="B1548" s="21">
        <f>IF(AND(C1548&lt;&gt;"", J1548&lt;&gt;""), HYPERLINK("#'" &amp; C1548 &amp; "'!" &amp; J1548, J1548), "")</f>
        <v>0</v>
      </c>
    </row>
    <row r="1549" spans="2:2">
      <c r="B1549" s="21">
        <f>IF(AND(C1549&lt;&gt;"", J1549&lt;&gt;""), HYPERLINK("#'" &amp; C1549 &amp; "'!" &amp; J1549, J1549), "")</f>
        <v>0</v>
      </c>
    </row>
    <row r="1550" spans="2:2">
      <c r="B1550" s="21">
        <f>IF(AND(C1550&lt;&gt;"", J1550&lt;&gt;""), HYPERLINK("#'" &amp; C1550 &amp; "'!" &amp; J1550, J1550), "")</f>
        <v>0</v>
      </c>
    </row>
    <row r="1551" spans="2:2">
      <c r="B1551" s="21">
        <f>IF(AND(C1551&lt;&gt;"", J1551&lt;&gt;""), HYPERLINK("#'" &amp; C1551 &amp; "'!" &amp; J1551, J1551), "")</f>
        <v>0</v>
      </c>
    </row>
    <row r="1552" spans="2:2">
      <c r="B1552" s="21">
        <f>IF(AND(C1552&lt;&gt;"", J1552&lt;&gt;""), HYPERLINK("#'" &amp; C1552 &amp; "'!" &amp; J1552, J1552), "")</f>
        <v>0</v>
      </c>
    </row>
    <row r="1553" spans="2:2">
      <c r="B1553" s="21">
        <f>IF(AND(C1553&lt;&gt;"", J1553&lt;&gt;""), HYPERLINK("#'" &amp; C1553 &amp; "'!" &amp; J1553, J1553), "")</f>
        <v>0</v>
      </c>
    </row>
    <row r="1554" spans="2:2">
      <c r="B1554" s="21">
        <f>IF(AND(C1554&lt;&gt;"", J1554&lt;&gt;""), HYPERLINK("#'" &amp; C1554 &amp; "'!" &amp; J1554, J1554), "")</f>
        <v>0</v>
      </c>
    </row>
    <row r="1555" spans="2:2">
      <c r="B1555" s="21">
        <f>IF(AND(C1555&lt;&gt;"", J1555&lt;&gt;""), HYPERLINK("#'" &amp; C1555 &amp; "'!" &amp; J1555, J1555), "")</f>
        <v>0</v>
      </c>
    </row>
    <row r="1556" spans="2:2">
      <c r="B1556" s="21">
        <f>IF(AND(C1556&lt;&gt;"", J1556&lt;&gt;""), HYPERLINK("#'" &amp; C1556 &amp; "'!" &amp; J1556, J1556), "")</f>
        <v>0</v>
      </c>
    </row>
    <row r="1557" spans="2:2">
      <c r="B1557" s="21">
        <f>IF(AND(C1557&lt;&gt;"", J1557&lt;&gt;""), HYPERLINK("#'" &amp; C1557 &amp; "'!" &amp; J1557, J1557), "")</f>
        <v>0</v>
      </c>
    </row>
    <row r="1558" spans="2:2">
      <c r="B1558" s="21">
        <f>IF(AND(C1558&lt;&gt;"", J1558&lt;&gt;""), HYPERLINK("#'" &amp; C1558 &amp; "'!" &amp; J1558, J1558), "")</f>
        <v>0</v>
      </c>
    </row>
    <row r="1559" spans="2:2">
      <c r="B1559" s="21">
        <f>IF(AND(C1559&lt;&gt;"", J1559&lt;&gt;""), HYPERLINK("#'" &amp; C1559 &amp; "'!" &amp; J1559, J1559), "")</f>
        <v>0</v>
      </c>
    </row>
    <row r="1560" spans="2:2">
      <c r="B1560" s="21">
        <f>IF(AND(C1560&lt;&gt;"", J1560&lt;&gt;""), HYPERLINK("#'" &amp; C1560 &amp; "'!" &amp; J1560, J1560), "")</f>
        <v>0</v>
      </c>
    </row>
    <row r="1561" spans="2:2">
      <c r="B1561" s="21">
        <f>IF(AND(C1561&lt;&gt;"", J1561&lt;&gt;""), HYPERLINK("#'" &amp; C1561 &amp; "'!" &amp; J1561, J1561), "")</f>
        <v>0</v>
      </c>
    </row>
    <row r="1562" spans="2:2">
      <c r="B1562" s="21">
        <f>IF(AND(C1562&lt;&gt;"", J1562&lt;&gt;""), HYPERLINK("#'" &amp; C1562 &amp; "'!" &amp; J1562, J1562), "")</f>
        <v>0</v>
      </c>
    </row>
    <row r="1563" spans="2:2">
      <c r="B1563" s="21">
        <f>IF(AND(C1563&lt;&gt;"", J1563&lt;&gt;""), HYPERLINK("#'" &amp; C1563 &amp; "'!" &amp; J1563, J1563), "")</f>
        <v>0</v>
      </c>
    </row>
    <row r="1564" spans="2:2">
      <c r="B1564" s="21">
        <f>IF(AND(C1564&lt;&gt;"", J1564&lt;&gt;""), HYPERLINK("#'" &amp; C1564 &amp; "'!" &amp; J1564, J1564), "")</f>
        <v>0</v>
      </c>
    </row>
    <row r="1565" spans="2:2">
      <c r="B1565" s="21">
        <f>IF(AND(C1565&lt;&gt;"", J1565&lt;&gt;""), HYPERLINK("#'" &amp; C1565 &amp; "'!" &amp; J1565, J1565), "")</f>
        <v>0</v>
      </c>
    </row>
    <row r="1566" spans="2:2">
      <c r="B1566" s="21">
        <f>IF(AND(C1566&lt;&gt;"", J1566&lt;&gt;""), HYPERLINK("#'" &amp; C1566 &amp; "'!" &amp; J1566, J1566), "")</f>
        <v>0</v>
      </c>
    </row>
    <row r="1567" spans="2:2">
      <c r="B1567" s="21">
        <f>IF(AND(C1567&lt;&gt;"", J1567&lt;&gt;""), HYPERLINK("#'" &amp; C1567 &amp; "'!" &amp; J1567, J1567), "")</f>
        <v>0</v>
      </c>
    </row>
    <row r="1568" spans="2:2">
      <c r="B1568" s="21">
        <f>IF(AND(C1568&lt;&gt;"", J1568&lt;&gt;""), HYPERLINK("#'" &amp; C1568 &amp; "'!" &amp; J1568, J1568), "")</f>
        <v>0</v>
      </c>
    </row>
    <row r="1569" spans="2:2">
      <c r="B1569" s="21">
        <f>IF(AND(C1569&lt;&gt;"", J1569&lt;&gt;""), HYPERLINK("#'" &amp; C1569 &amp; "'!" &amp; J1569, J1569), "")</f>
        <v>0</v>
      </c>
    </row>
    <row r="1570" spans="2:2">
      <c r="B1570" s="21">
        <f>IF(AND(C1570&lt;&gt;"", J1570&lt;&gt;""), HYPERLINK("#'" &amp; C1570 &amp; "'!" &amp; J1570, J1570), "")</f>
        <v>0</v>
      </c>
    </row>
    <row r="1571" spans="2:2">
      <c r="B1571" s="21">
        <f>IF(AND(C1571&lt;&gt;"", J1571&lt;&gt;""), HYPERLINK("#'" &amp; C1571 &amp; "'!" &amp; J1571, J1571), "")</f>
        <v>0</v>
      </c>
    </row>
    <row r="1572" spans="2:2">
      <c r="B1572" s="21">
        <f>IF(AND(C1572&lt;&gt;"", J1572&lt;&gt;""), HYPERLINK("#'" &amp; C1572 &amp; "'!" &amp; J1572, J1572), "")</f>
        <v>0</v>
      </c>
    </row>
    <row r="1573" spans="2:2">
      <c r="B1573" s="21">
        <f>IF(AND(C1573&lt;&gt;"", J1573&lt;&gt;""), HYPERLINK("#'" &amp; C1573 &amp; "'!" &amp; J1573, J1573), "")</f>
        <v>0</v>
      </c>
    </row>
    <row r="1574" spans="2:2">
      <c r="B1574" s="21">
        <f>IF(AND(C1574&lt;&gt;"", J1574&lt;&gt;""), HYPERLINK("#'" &amp; C1574 &amp; "'!" &amp; J1574, J1574), "")</f>
        <v>0</v>
      </c>
    </row>
    <row r="1575" spans="2:2">
      <c r="B1575" s="21">
        <f>IF(AND(C1575&lt;&gt;"", J1575&lt;&gt;""), HYPERLINK("#'" &amp; C1575 &amp; "'!" &amp; J1575, J1575), "")</f>
        <v>0</v>
      </c>
    </row>
    <row r="1576" spans="2:2">
      <c r="B1576" s="21">
        <f>IF(AND(C1576&lt;&gt;"", J1576&lt;&gt;""), HYPERLINK("#'" &amp; C1576 &amp; "'!" &amp; J1576, J1576), "")</f>
        <v>0</v>
      </c>
    </row>
    <row r="1577" spans="2:2">
      <c r="B1577" s="21">
        <f>IF(AND(C1577&lt;&gt;"", J1577&lt;&gt;""), HYPERLINK("#'" &amp; C1577 &amp; "'!" &amp; J1577, J1577), "")</f>
        <v>0</v>
      </c>
    </row>
    <row r="1578" spans="2:2">
      <c r="B1578" s="21">
        <f>IF(AND(C1578&lt;&gt;"", J1578&lt;&gt;""), HYPERLINK("#'" &amp; C1578 &amp; "'!" &amp; J1578, J1578), "")</f>
        <v>0</v>
      </c>
    </row>
    <row r="1579" spans="2:2">
      <c r="B1579" s="21">
        <f>IF(AND(C1579&lt;&gt;"", J1579&lt;&gt;""), HYPERLINK("#'" &amp; C1579 &amp; "'!" &amp; J1579, J1579), "")</f>
        <v>0</v>
      </c>
    </row>
    <row r="1580" spans="2:2">
      <c r="B1580" s="21">
        <f>IF(AND(C1580&lt;&gt;"", J1580&lt;&gt;""), HYPERLINK("#'" &amp; C1580 &amp; "'!" &amp; J1580, J1580), "")</f>
        <v>0</v>
      </c>
    </row>
    <row r="1581" spans="2:2">
      <c r="B1581" s="21">
        <f>IF(AND(C1581&lt;&gt;"", J1581&lt;&gt;""), HYPERLINK("#'" &amp; C1581 &amp; "'!" &amp; J1581, J1581), "")</f>
        <v>0</v>
      </c>
    </row>
    <row r="1582" spans="2:2">
      <c r="B1582" s="21">
        <f>IF(AND(C1582&lt;&gt;"", J1582&lt;&gt;""), HYPERLINK("#'" &amp; C1582 &amp; "'!" &amp; J1582, J1582), "")</f>
        <v>0</v>
      </c>
    </row>
    <row r="1583" spans="2:2">
      <c r="B1583" s="21">
        <f>IF(AND(C1583&lt;&gt;"", J1583&lt;&gt;""), HYPERLINK("#'" &amp; C1583 &amp; "'!" &amp; J1583, J1583), "")</f>
        <v>0</v>
      </c>
    </row>
    <row r="1584" spans="2:2">
      <c r="B1584" s="21">
        <f>IF(AND(C1584&lt;&gt;"", J1584&lt;&gt;""), HYPERLINK("#'" &amp; C1584 &amp; "'!" &amp; J1584, J1584), "")</f>
        <v>0</v>
      </c>
    </row>
    <row r="1585" spans="2:2">
      <c r="B1585" s="21">
        <f>IF(AND(C1585&lt;&gt;"", J1585&lt;&gt;""), HYPERLINK("#'" &amp; C1585 &amp; "'!" &amp; J1585, J1585), "")</f>
        <v>0</v>
      </c>
    </row>
    <row r="1586" spans="2:2">
      <c r="B1586" s="21">
        <f>IF(AND(C1586&lt;&gt;"", J1586&lt;&gt;""), HYPERLINK("#'" &amp; C1586 &amp; "'!" &amp; J1586, J1586), "")</f>
        <v>0</v>
      </c>
    </row>
    <row r="1587" spans="2:2">
      <c r="B1587" s="21">
        <f>IF(AND(C1587&lt;&gt;"", J1587&lt;&gt;""), HYPERLINK("#'" &amp; C1587 &amp; "'!" &amp; J1587, J1587), "")</f>
        <v>0</v>
      </c>
    </row>
    <row r="1588" spans="2:2">
      <c r="B1588" s="21">
        <f>IF(AND(C1588&lt;&gt;"", J1588&lt;&gt;""), HYPERLINK("#'" &amp; C1588 &amp; "'!" &amp; J1588, J1588), "")</f>
        <v>0</v>
      </c>
    </row>
    <row r="1589" spans="2:2">
      <c r="B1589" s="21">
        <f>IF(AND(C1589&lt;&gt;"", J1589&lt;&gt;""), HYPERLINK("#'" &amp; C1589 &amp; "'!" &amp; J1589, J1589), "")</f>
        <v>0</v>
      </c>
    </row>
    <row r="1590" spans="2:2">
      <c r="B1590" s="21">
        <f>IF(AND(C1590&lt;&gt;"", J1590&lt;&gt;""), HYPERLINK("#'" &amp; C1590 &amp; "'!" &amp; J1590, J1590), "")</f>
        <v>0</v>
      </c>
    </row>
    <row r="1591" spans="2:2">
      <c r="B1591" s="21">
        <f>IF(AND(C1591&lt;&gt;"", J1591&lt;&gt;""), HYPERLINK("#'" &amp; C1591 &amp; "'!" &amp; J1591, J1591), "")</f>
        <v>0</v>
      </c>
    </row>
    <row r="1592" spans="2:2">
      <c r="B1592" s="21">
        <f>IF(AND(C1592&lt;&gt;"", J1592&lt;&gt;""), HYPERLINK("#'" &amp; C1592 &amp; "'!" &amp; J1592, J1592), "")</f>
        <v>0</v>
      </c>
    </row>
    <row r="1593" spans="2:2">
      <c r="B1593" s="21">
        <f>IF(AND(C1593&lt;&gt;"", J1593&lt;&gt;""), HYPERLINK("#'" &amp; C1593 &amp; "'!" &amp; J1593, J1593), "")</f>
        <v>0</v>
      </c>
    </row>
    <row r="1594" spans="2:2">
      <c r="B1594" s="21">
        <f>IF(AND(C1594&lt;&gt;"", J1594&lt;&gt;""), HYPERLINK("#'" &amp; C1594 &amp; "'!" &amp; J1594, J1594), "")</f>
        <v>0</v>
      </c>
    </row>
    <row r="1595" spans="2:2">
      <c r="B1595" s="21">
        <f>IF(AND(C1595&lt;&gt;"", J1595&lt;&gt;""), HYPERLINK("#'" &amp; C1595 &amp; "'!" &amp; J1595, J1595), "")</f>
        <v>0</v>
      </c>
    </row>
    <row r="1596" spans="2:2">
      <c r="B1596" s="21">
        <f>IF(AND(C1596&lt;&gt;"", J1596&lt;&gt;""), HYPERLINK("#'" &amp; C1596 &amp; "'!" &amp; J1596, J1596), "")</f>
        <v>0</v>
      </c>
    </row>
    <row r="1597" spans="2:2">
      <c r="B1597" s="21">
        <f>IF(AND(C1597&lt;&gt;"", J1597&lt;&gt;""), HYPERLINK("#'" &amp; C1597 &amp; "'!" &amp; J1597, J1597), "")</f>
        <v>0</v>
      </c>
    </row>
    <row r="1598" spans="2:2">
      <c r="B1598" s="21">
        <f>IF(AND(C1598&lt;&gt;"", J1598&lt;&gt;""), HYPERLINK("#'" &amp; C1598 &amp; "'!" &amp; J1598, J1598), "")</f>
        <v>0</v>
      </c>
    </row>
    <row r="1599" spans="2:2">
      <c r="B1599" s="21">
        <f>IF(AND(C1599&lt;&gt;"", J1599&lt;&gt;""), HYPERLINK("#'" &amp; C1599 &amp; "'!" &amp; J1599, J1599), "")</f>
        <v>0</v>
      </c>
    </row>
    <row r="1600" spans="2:2">
      <c r="B1600" s="21">
        <f>IF(AND(C1600&lt;&gt;"", J1600&lt;&gt;""), HYPERLINK("#'" &amp; C1600 &amp; "'!" &amp; J1600, J1600), "")</f>
        <v>0</v>
      </c>
    </row>
    <row r="1601" spans="2:2">
      <c r="B1601" s="21">
        <f>IF(AND(C1601&lt;&gt;"", J1601&lt;&gt;""), HYPERLINK("#'" &amp; C1601 &amp; "'!" &amp; J1601, J1601), "")</f>
        <v>0</v>
      </c>
    </row>
    <row r="1602" spans="2:2">
      <c r="B1602" s="21">
        <f>IF(AND(C1602&lt;&gt;"", J1602&lt;&gt;""), HYPERLINK("#'" &amp; C1602 &amp; "'!" &amp; J1602, J1602), "")</f>
        <v>0</v>
      </c>
    </row>
    <row r="1603" spans="2:2">
      <c r="B1603" s="21">
        <f>IF(AND(C1603&lt;&gt;"", J1603&lt;&gt;""), HYPERLINK("#'" &amp; C1603 &amp; "'!" &amp; J1603, J1603), "")</f>
        <v>0</v>
      </c>
    </row>
    <row r="1604" spans="2:2">
      <c r="B1604" s="21">
        <f>IF(AND(C1604&lt;&gt;"", J1604&lt;&gt;""), HYPERLINK("#'" &amp; C1604 &amp; "'!" &amp; J1604, J1604), "")</f>
        <v>0</v>
      </c>
    </row>
    <row r="1605" spans="2:2">
      <c r="B1605" s="21">
        <f>IF(AND(C1605&lt;&gt;"", J1605&lt;&gt;""), HYPERLINK("#'" &amp; C1605 &amp; "'!" &amp; J1605, J1605), "")</f>
        <v>0</v>
      </c>
    </row>
    <row r="1606" spans="2:2">
      <c r="B1606" s="21">
        <f>IF(AND(C1606&lt;&gt;"", J1606&lt;&gt;""), HYPERLINK("#'" &amp; C1606 &amp; "'!" &amp; J1606, J1606), "")</f>
        <v>0</v>
      </c>
    </row>
    <row r="1607" spans="2:2">
      <c r="B1607" s="21">
        <f>IF(AND(C1607&lt;&gt;"", J1607&lt;&gt;""), HYPERLINK("#'" &amp; C1607 &amp; "'!" &amp; J1607, J1607), "")</f>
        <v>0</v>
      </c>
    </row>
    <row r="1608" spans="2:2">
      <c r="B1608" s="21">
        <f>IF(AND(C1608&lt;&gt;"", J1608&lt;&gt;""), HYPERLINK("#'" &amp; C1608 &amp; "'!" &amp; J1608, J1608), "")</f>
        <v>0</v>
      </c>
    </row>
    <row r="1609" spans="2:2">
      <c r="B1609" s="21">
        <f>IF(AND(C1609&lt;&gt;"", J1609&lt;&gt;""), HYPERLINK("#'" &amp; C1609 &amp; "'!" &amp; J1609, J1609), "")</f>
        <v>0</v>
      </c>
    </row>
    <row r="1610" spans="2:2">
      <c r="B1610" s="21">
        <f>IF(AND(C1610&lt;&gt;"", J1610&lt;&gt;""), HYPERLINK("#'" &amp; C1610 &amp; "'!" &amp; J1610, J1610), "")</f>
        <v>0</v>
      </c>
    </row>
    <row r="1611" spans="2:2">
      <c r="B1611" s="21">
        <f>IF(AND(C1611&lt;&gt;"", J1611&lt;&gt;""), HYPERLINK("#'" &amp; C1611 &amp; "'!" &amp; J1611, J1611), "")</f>
        <v>0</v>
      </c>
    </row>
    <row r="1612" spans="2:2">
      <c r="B1612" s="21">
        <f>IF(AND(C1612&lt;&gt;"", J1612&lt;&gt;""), HYPERLINK("#'" &amp; C1612 &amp; "'!" &amp; J1612, J1612), "")</f>
        <v>0</v>
      </c>
    </row>
    <row r="1613" spans="2:2">
      <c r="B1613" s="21">
        <f>IF(AND(C1613&lt;&gt;"", J1613&lt;&gt;""), HYPERLINK("#'" &amp; C1613 &amp; "'!" &amp; J1613, J1613), "")</f>
        <v>0</v>
      </c>
    </row>
    <row r="1614" spans="2:2">
      <c r="B1614" s="21">
        <f>IF(AND(C1614&lt;&gt;"", J1614&lt;&gt;""), HYPERLINK("#'" &amp; C1614 &amp; "'!" &amp; J1614, J1614), "")</f>
        <v>0</v>
      </c>
    </row>
    <row r="1615" spans="2:2">
      <c r="B1615" s="21">
        <f>IF(AND(C1615&lt;&gt;"", J1615&lt;&gt;""), HYPERLINK("#'" &amp; C1615 &amp; "'!" &amp; J1615, J1615), "")</f>
        <v>0</v>
      </c>
    </row>
    <row r="1616" spans="2:2">
      <c r="B1616" s="21">
        <f>IF(AND(C1616&lt;&gt;"", J1616&lt;&gt;""), HYPERLINK("#'" &amp; C1616 &amp; "'!" &amp; J1616, J1616), "")</f>
        <v>0</v>
      </c>
    </row>
    <row r="1617" spans="2:2">
      <c r="B1617" s="21">
        <f>IF(AND(C1617&lt;&gt;"", J1617&lt;&gt;""), HYPERLINK("#'" &amp; C1617 &amp; "'!" &amp; J1617, J1617), "")</f>
        <v>0</v>
      </c>
    </row>
    <row r="1618" spans="2:2">
      <c r="B1618" s="21">
        <f>IF(AND(C1618&lt;&gt;"", J1618&lt;&gt;""), HYPERLINK("#'" &amp; C1618 &amp; "'!" &amp; J1618, J1618), "")</f>
        <v>0</v>
      </c>
    </row>
    <row r="1619" spans="2:2">
      <c r="B1619" s="21">
        <f>IF(AND(C1619&lt;&gt;"", J1619&lt;&gt;""), HYPERLINK("#'" &amp; C1619 &amp; "'!" &amp; J1619, J1619), "")</f>
        <v>0</v>
      </c>
    </row>
    <row r="1620" spans="2:2">
      <c r="B1620" s="21">
        <f>IF(AND(C1620&lt;&gt;"", J1620&lt;&gt;""), HYPERLINK("#'" &amp; C1620 &amp; "'!" &amp; J1620, J1620), "")</f>
        <v>0</v>
      </c>
    </row>
    <row r="1621" spans="2:2">
      <c r="B1621" s="21">
        <f>IF(AND(C1621&lt;&gt;"", J1621&lt;&gt;""), HYPERLINK("#'" &amp; C1621 &amp; "'!" &amp; J1621, J1621), "")</f>
        <v>0</v>
      </c>
    </row>
    <row r="1622" spans="2:2">
      <c r="B1622" s="21">
        <f>IF(AND(C1622&lt;&gt;"", J1622&lt;&gt;""), HYPERLINK("#'" &amp; C1622 &amp; "'!" &amp; J1622, J1622), "")</f>
        <v>0</v>
      </c>
    </row>
    <row r="1623" spans="2:2">
      <c r="B1623" s="21">
        <f>IF(AND(C1623&lt;&gt;"", J1623&lt;&gt;""), HYPERLINK("#'" &amp; C1623 &amp; "'!" &amp; J1623, J1623), "")</f>
        <v>0</v>
      </c>
    </row>
    <row r="1624" spans="2:2">
      <c r="B1624" s="21">
        <f>IF(AND(C1624&lt;&gt;"", J1624&lt;&gt;""), HYPERLINK("#'" &amp; C1624 &amp; "'!" &amp; J1624, J1624), "")</f>
        <v>0</v>
      </c>
    </row>
    <row r="1625" spans="2:2">
      <c r="B1625" s="21">
        <f>IF(AND(C1625&lt;&gt;"", J1625&lt;&gt;""), HYPERLINK("#'" &amp; C1625 &amp; "'!" &amp; J1625, J1625), "")</f>
        <v>0</v>
      </c>
    </row>
    <row r="1626" spans="2:2">
      <c r="B1626" s="21">
        <f>IF(AND(C1626&lt;&gt;"", J1626&lt;&gt;""), HYPERLINK("#'" &amp; C1626 &amp; "'!" &amp; J1626, J1626), "")</f>
        <v>0</v>
      </c>
    </row>
    <row r="1627" spans="2:2">
      <c r="B1627" s="21">
        <f>IF(AND(C1627&lt;&gt;"", J1627&lt;&gt;""), HYPERLINK("#'" &amp; C1627 &amp; "'!" &amp; J1627, J1627), "")</f>
        <v>0</v>
      </c>
    </row>
    <row r="1628" spans="2:2">
      <c r="B1628" s="21">
        <f>IF(AND(C1628&lt;&gt;"", J1628&lt;&gt;""), HYPERLINK("#'" &amp; C1628 &amp; "'!" &amp; J1628, J1628), "")</f>
        <v>0</v>
      </c>
    </row>
    <row r="1629" spans="2:2">
      <c r="B1629" s="21">
        <f>IF(AND(C1629&lt;&gt;"", J1629&lt;&gt;""), HYPERLINK("#'" &amp; C1629 &amp; "'!" &amp; J1629, J1629), "")</f>
        <v>0</v>
      </c>
    </row>
    <row r="1630" spans="2:2">
      <c r="B1630" s="21">
        <f>IF(AND(C1630&lt;&gt;"", J1630&lt;&gt;""), HYPERLINK("#'" &amp; C1630 &amp; "'!" &amp; J1630, J1630), "")</f>
        <v>0</v>
      </c>
    </row>
    <row r="1631" spans="2:2">
      <c r="B1631" s="21">
        <f>IF(AND(C1631&lt;&gt;"", J1631&lt;&gt;""), HYPERLINK("#'" &amp; C1631 &amp; "'!" &amp; J1631, J1631), "")</f>
        <v>0</v>
      </c>
    </row>
    <row r="1632" spans="2:2">
      <c r="B1632" s="21">
        <f>IF(AND(C1632&lt;&gt;"", J1632&lt;&gt;""), HYPERLINK("#'" &amp; C1632 &amp; "'!" &amp; J1632, J1632), "")</f>
        <v>0</v>
      </c>
    </row>
    <row r="1633" spans="2:2">
      <c r="B1633" s="21">
        <f>IF(AND(C1633&lt;&gt;"", J1633&lt;&gt;""), HYPERLINK("#'" &amp; C1633 &amp; "'!" &amp; J1633, J1633), "")</f>
        <v>0</v>
      </c>
    </row>
    <row r="1634" spans="2:2">
      <c r="B1634" s="21">
        <f>IF(AND(C1634&lt;&gt;"", J1634&lt;&gt;""), HYPERLINK("#'" &amp; C1634 &amp; "'!" &amp; J1634, J1634), "")</f>
        <v>0</v>
      </c>
    </row>
    <row r="1635" spans="2:2">
      <c r="B1635" s="21">
        <f>IF(AND(C1635&lt;&gt;"", J1635&lt;&gt;""), HYPERLINK("#'" &amp; C1635 &amp; "'!" &amp; J1635, J1635), "")</f>
        <v>0</v>
      </c>
    </row>
    <row r="1636" spans="2:2">
      <c r="B1636" s="21">
        <f>IF(AND(C1636&lt;&gt;"", J1636&lt;&gt;""), HYPERLINK("#'" &amp; C1636 &amp; "'!" &amp; J1636, J1636), "")</f>
        <v>0</v>
      </c>
    </row>
    <row r="1637" spans="2:2">
      <c r="B1637" s="21">
        <f>IF(AND(C1637&lt;&gt;"", J1637&lt;&gt;""), HYPERLINK("#'" &amp; C1637 &amp; "'!" &amp; J1637, J1637), "")</f>
        <v>0</v>
      </c>
    </row>
    <row r="1638" spans="2:2">
      <c r="B1638" s="21">
        <f>IF(AND(C1638&lt;&gt;"", J1638&lt;&gt;""), HYPERLINK("#'" &amp; C1638 &amp; "'!" &amp; J1638, J1638), "")</f>
        <v>0</v>
      </c>
    </row>
    <row r="1639" spans="2:2">
      <c r="B1639" s="21">
        <f>IF(AND(C1639&lt;&gt;"", J1639&lt;&gt;""), HYPERLINK("#'" &amp; C1639 &amp; "'!" &amp; J1639, J1639), "")</f>
        <v>0</v>
      </c>
    </row>
    <row r="1640" spans="2:2">
      <c r="B1640" s="21">
        <f>IF(AND(C1640&lt;&gt;"", J1640&lt;&gt;""), HYPERLINK("#'" &amp; C1640 &amp; "'!" &amp; J1640, J1640), "")</f>
        <v>0</v>
      </c>
    </row>
    <row r="1641" spans="2:2">
      <c r="B1641" s="21">
        <f>IF(AND(C1641&lt;&gt;"", J1641&lt;&gt;""), HYPERLINK("#'" &amp; C1641 &amp; "'!" &amp; J1641, J1641), "")</f>
        <v>0</v>
      </c>
    </row>
    <row r="1642" spans="2:2">
      <c r="B1642" s="21">
        <f>IF(AND(C1642&lt;&gt;"", J1642&lt;&gt;""), HYPERLINK("#'" &amp; C1642 &amp; "'!" &amp; J1642, J1642), "")</f>
        <v>0</v>
      </c>
    </row>
    <row r="1643" spans="2:2">
      <c r="B1643" s="21">
        <f>IF(AND(C1643&lt;&gt;"", J1643&lt;&gt;""), HYPERLINK("#'" &amp; C1643 &amp; "'!" &amp; J1643, J1643), "")</f>
        <v>0</v>
      </c>
    </row>
    <row r="1644" spans="2:2">
      <c r="B1644" s="21">
        <f>IF(AND(C1644&lt;&gt;"", J1644&lt;&gt;""), HYPERLINK("#'" &amp; C1644 &amp; "'!" &amp; J1644, J1644), "")</f>
        <v>0</v>
      </c>
    </row>
    <row r="1645" spans="2:2">
      <c r="B1645" s="21">
        <f>IF(AND(C1645&lt;&gt;"", J1645&lt;&gt;""), HYPERLINK("#'" &amp; C1645 &amp; "'!" &amp; J1645, J1645), "")</f>
        <v>0</v>
      </c>
    </row>
    <row r="1646" spans="2:2">
      <c r="B1646" s="21">
        <f>IF(AND(C1646&lt;&gt;"", J1646&lt;&gt;""), HYPERLINK("#'" &amp; C1646 &amp; "'!" &amp; J1646, J1646), "")</f>
        <v>0</v>
      </c>
    </row>
    <row r="1647" spans="2:2">
      <c r="B1647" s="21">
        <f>IF(AND(C1647&lt;&gt;"", J1647&lt;&gt;""), HYPERLINK("#'" &amp; C1647 &amp; "'!" &amp; J1647, J1647), "")</f>
        <v>0</v>
      </c>
    </row>
    <row r="1648" spans="2:2">
      <c r="B1648" s="21">
        <f>IF(AND(C1648&lt;&gt;"", J1648&lt;&gt;""), HYPERLINK("#'" &amp; C1648 &amp; "'!" &amp; J1648, J1648), "")</f>
        <v>0</v>
      </c>
    </row>
    <row r="1649" spans="2:2">
      <c r="B1649" s="21">
        <f>IF(AND(C1649&lt;&gt;"", J1649&lt;&gt;""), HYPERLINK("#'" &amp; C1649 &amp; "'!" &amp; J1649, J1649), "")</f>
        <v>0</v>
      </c>
    </row>
    <row r="1650" spans="2:2">
      <c r="B1650" s="21">
        <f>IF(AND(C1650&lt;&gt;"", J1650&lt;&gt;""), HYPERLINK("#'" &amp; C1650 &amp; "'!" &amp; J1650, J1650), "")</f>
        <v>0</v>
      </c>
    </row>
    <row r="1651" spans="2:2">
      <c r="B1651" s="21">
        <f>IF(AND(C1651&lt;&gt;"", J1651&lt;&gt;""), HYPERLINK("#'" &amp; C1651 &amp; "'!" &amp; J1651, J1651), "")</f>
        <v>0</v>
      </c>
    </row>
    <row r="1652" spans="2:2">
      <c r="B1652" s="21">
        <f>IF(AND(C1652&lt;&gt;"", J1652&lt;&gt;""), HYPERLINK("#'" &amp; C1652 &amp; "'!" &amp; J1652, J1652), "")</f>
        <v>0</v>
      </c>
    </row>
    <row r="1653" spans="2:2">
      <c r="B1653" s="21">
        <f>IF(AND(C1653&lt;&gt;"", J1653&lt;&gt;""), HYPERLINK("#'" &amp; C1653 &amp; "'!" &amp; J1653, J1653), "")</f>
        <v>0</v>
      </c>
    </row>
    <row r="1654" spans="2:2">
      <c r="B1654" s="21">
        <f>IF(AND(C1654&lt;&gt;"", J1654&lt;&gt;""), HYPERLINK("#'" &amp; C1654 &amp; "'!" &amp; J1654, J1654), "")</f>
        <v>0</v>
      </c>
    </row>
    <row r="1655" spans="2:2">
      <c r="B1655" s="21">
        <f>IF(AND(C1655&lt;&gt;"", J1655&lt;&gt;""), HYPERLINK("#'" &amp; C1655 &amp; "'!" &amp; J1655, J1655), "")</f>
        <v>0</v>
      </c>
    </row>
    <row r="1656" spans="2:2">
      <c r="B1656" s="21">
        <f>IF(AND(C1656&lt;&gt;"", J1656&lt;&gt;""), HYPERLINK("#'" &amp; C1656 &amp; "'!" &amp; J1656, J1656), "")</f>
        <v>0</v>
      </c>
    </row>
    <row r="1657" spans="2:2">
      <c r="B1657" s="21">
        <f>IF(AND(C1657&lt;&gt;"", J1657&lt;&gt;""), HYPERLINK("#'" &amp; C1657 &amp; "'!" &amp; J1657, J1657), "")</f>
        <v>0</v>
      </c>
    </row>
    <row r="1658" spans="2:2">
      <c r="B1658" s="21">
        <f>IF(AND(C1658&lt;&gt;"", J1658&lt;&gt;""), HYPERLINK("#'" &amp; C1658 &amp; "'!" &amp; J1658, J1658), "")</f>
        <v>0</v>
      </c>
    </row>
    <row r="1659" spans="2:2">
      <c r="B1659" s="21">
        <f>IF(AND(C1659&lt;&gt;"", J1659&lt;&gt;""), HYPERLINK("#'" &amp; C1659 &amp; "'!" &amp; J1659, J1659), "")</f>
        <v>0</v>
      </c>
    </row>
    <row r="1660" spans="2:2">
      <c r="B1660" s="21">
        <f>IF(AND(C1660&lt;&gt;"", J1660&lt;&gt;""), HYPERLINK("#'" &amp; C1660 &amp; "'!" &amp; J1660, J1660), "")</f>
        <v>0</v>
      </c>
    </row>
    <row r="1661" spans="2:2">
      <c r="B1661" s="21">
        <f>IF(AND(C1661&lt;&gt;"", J1661&lt;&gt;""), HYPERLINK("#'" &amp; C1661 &amp; "'!" &amp; J1661, J1661), "")</f>
        <v>0</v>
      </c>
    </row>
    <row r="1662" spans="2:2">
      <c r="B1662" s="21">
        <f>IF(AND(C1662&lt;&gt;"", J1662&lt;&gt;""), HYPERLINK("#'" &amp; C1662 &amp; "'!" &amp; J1662, J1662), "")</f>
        <v>0</v>
      </c>
    </row>
    <row r="1663" spans="2:2">
      <c r="B1663" s="21">
        <f>IF(AND(C1663&lt;&gt;"", J1663&lt;&gt;""), HYPERLINK("#'" &amp; C1663 &amp; "'!" &amp; J1663, J1663), "")</f>
        <v>0</v>
      </c>
    </row>
    <row r="1664" spans="2:2">
      <c r="B1664" s="21">
        <f>IF(AND(C1664&lt;&gt;"", J1664&lt;&gt;""), HYPERLINK("#'" &amp; C1664 &amp; "'!" &amp; J1664, J1664), "")</f>
        <v>0</v>
      </c>
    </row>
    <row r="1665" spans="2:2">
      <c r="B1665" s="21">
        <f>IF(AND(C1665&lt;&gt;"", J1665&lt;&gt;""), HYPERLINK("#'" &amp; C1665 &amp; "'!" &amp; J1665, J1665), "")</f>
        <v>0</v>
      </c>
    </row>
    <row r="1666" spans="2:2">
      <c r="B1666" s="21">
        <f>IF(AND(C1666&lt;&gt;"", J1666&lt;&gt;""), HYPERLINK("#'" &amp; C1666 &amp; "'!" &amp; J1666, J1666), "")</f>
        <v>0</v>
      </c>
    </row>
    <row r="1667" spans="2:2">
      <c r="B1667" s="21">
        <f>IF(AND(C1667&lt;&gt;"", J1667&lt;&gt;""), HYPERLINK("#'" &amp; C1667 &amp; "'!" &amp; J1667, J1667), "")</f>
        <v>0</v>
      </c>
    </row>
    <row r="1668" spans="2:2">
      <c r="B1668" s="21">
        <f>IF(AND(C1668&lt;&gt;"", J1668&lt;&gt;""), HYPERLINK("#'" &amp; C1668 &amp; "'!" &amp; J1668, J1668), "")</f>
        <v>0</v>
      </c>
    </row>
    <row r="1669" spans="2:2">
      <c r="B1669" s="21">
        <f>IF(AND(C1669&lt;&gt;"", J1669&lt;&gt;""), HYPERLINK("#'" &amp; C1669 &amp; "'!" &amp; J1669, J1669), "")</f>
        <v>0</v>
      </c>
    </row>
    <row r="1670" spans="2:2">
      <c r="B1670" s="21">
        <f>IF(AND(C1670&lt;&gt;"", J1670&lt;&gt;""), HYPERLINK("#'" &amp; C1670 &amp; "'!" &amp; J1670, J1670), "")</f>
        <v>0</v>
      </c>
    </row>
    <row r="1671" spans="2:2">
      <c r="B1671" s="21">
        <f>IF(AND(C1671&lt;&gt;"", J1671&lt;&gt;""), HYPERLINK("#'" &amp; C1671 &amp; "'!" &amp; J1671, J1671), "")</f>
        <v>0</v>
      </c>
    </row>
    <row r="1672" spans="2:2">
      <c r="B1672" s="21">
        <f>IF(AND(C1672&lt;&gt;"", J1672&lt;&gt;""), HYPERLINK("#'" &amp; C1672 &amp; "'!" &amp; J1672, J1672), "")</f>
        <v>0</v>
      </c>
    </row>
    <row r="1673" spans="2:2">
      <c r="B1673" s="21">
        <f>IF(AND(C1673&lt;&gt;"", J1673&lt;&gt;""), HYPERLINK("#'" &amp; C1673 &amp; "'!" &amp; J1673, J1673), "")</f>
        <v>0</v>
      </c>
    </row>
    <row r="1674" spans="2:2">
      <c r="B1674" s="21">
        <f>IF(AND(C1674&lt;&gt;"", J1674&lt;&gt;""), HYPERLINK("#'" &amp; C1674 &amp; "'!" &amp; J1674, J1674), "")</f>
        <v>0</v>
      </c>
    </row>
    <row r="1675" spans="2:2">
      <c r="B1675" s="21">
        <f>IF(AND(C1675&lt;&gt;"", J1675&lt;&gt;""), HYPERLINK("#'" &amp; C1675 &amp; "'!" &amp; J1675, J1675), "")</f>
        <v>0</v>
      </c>
    </row>
    <row r="1676" spans="2:2">
      <c r="B1676" s="21">
        <f>IF(AND(C1676&lt;&gt;"", J1676&lt;&gt;""), HYPERLINK("#'" &amp; C1676 &amp; "'!" &amp; J1676, J1676), "")</f>
        <v>0</v>
      </c>
    </row>
    <row r="1677" spans="2:2">
      <c r="B1677" s="21">
        <f>IF(AND(C1677&lt;&gt;"", J1677&lt;&gt;""), HYPERLINK("#'" &amp; C1677 &amp; "'!" &amp; J1677, J1677), "")</f>
        <v>0</v>
      </c>
    </row>
    <row r="1678" spans="2:2">
      <c r="B1678" s="21">
        <f>IF(AND(C1678&lt;&gt;"", J1678&lt;&gt;""), HYPERLINK("#'" &amp; C1678 &amp; "'!" &amp; J1678, J1678), "")</f>
        <v>0</v>
      </c>
    </row>
    <row r="1679" spans="2:2">
      <c r="B1679" s="21">
        <f>IF(AND(C1679&lt;&gt;"", J1679&lt;&gt;""), HYPERLINK("#'" &amp; C1679 &amp; "'!" &amp; J1679, J1679), "")</f>
        <v>0</v>
      </c>
    </row>
    <row r="1680" spans="2:2">
      <c r="B1680" s="21">
        <f>IF(AND(C1680&lt;&gt;"", J1680&lt;&gt;""), HYPERLINK("#'" &amp; C1680 &amp; "'!" &amp; J1680, J1680), "")</f>
        <v>0</v>
      </c>
    </row>
    <row r="1681" spans="2:2">
      <c r="B1681" s="21">
        <f>IF(AND(C1681&lt;&gt;"", J1681&lt;&gt;""), HYPERLINK("#'" &amp; C1681 &amp; "'!" &amp; J1681, J1681), "")</f>
        <v>0</v>
      </c>
    </row>
    <row r="1682" spans="2:2">
      <c r="B1682" s="21">
        <f>IF(AND(C1682&lt;&gt;"", J1682&lt;&gt;""), HYPERLINK("#'" &amp; C1682 &amp; "'!" &amp; J1682, J1682), "")</f>
        <v>0</v>
      </c>
    </row>
    <row r="1683" spans="2:2">
      <c r="B1683" s="21">
        <f>IF(AND(C1683&lt;&gt;"", J1683&lt;&gt;""), HYPERLINK("#'" &amp; C1683 &amp; "'!" &amp; J1683, J1683), "")</f>
        <v>0</v>
      </c>
    </row>
    <row r="1684" spans="2:2">
      <c r="B1684" s="21">
        <f>IF(AND(C1684&lt;&gt;"", J1684&lt;&gt;""), HYPERLINK("#'" &amp; C1684 &amp; "'!" &amp; J1684, J1684), "")</f>
        <v>0</v>
      </c>
    </row>
    <row r="1685" spans="2:2">
      <c r="B1685" s="21">
        <f>IF(AND(C1685&lt;&gt;"", J1685&lt;&gt;""), HYPERLINK("#'" &amp; C1685 &amp; "'!" &amp; J1685, J1685), "")</f>
        <v>0</v>
      </c>
    </row>
    <row r="1686" spans="2:2">
      <c r="B1686" s="21">
        <f>IF(AND(C1686&lt;&gt;"", J1686&lt;&gt;""), HYPERLINK("#'" &amp; C1686 &amp; "'!" &amp; J1686, J1686), "")</f>
        <v>0</v>
      </c>
    </row>
    <row r="1687" spans="2:2">
      <c r="B1687" s="21">
        <f>IF(AND(C1687&lt;&gt;"", J1687&lt;&gt;""), HYPERLINK("#'" &amp; C1687 &amp; "'!" &amp; J1687, J1687), "")</f>
        <v>0</v>
      </c>
    </row>
    <row r="1688" spans="2:2">
      <c r="B1688" s="21">
        <f>IF(AND(C1688&lt;&gt;"", J1688&lt;&gt;""), HYPERLINK("#'" &amp; C1688 &amp; "'!" &amp; J1688, J1688), "")</f>
        <v>0</v>
      </c>
    </row>
    <row r="1689" spans="2:2">
      <c r="B1689" s="21">
        <f>IF(AND(C1689&lt;&gt;"", J1689&lt;&gt;""), HYPERLINK("#'" &amp; C1689 &amp; "'!" &amp; J1689, J1689), "")</f>
        <v>0</v>
      </c>
    </row>
    <row r="1690" spans="2:2">
      <c r="B1690" s="21">
        <f>IF(AND(C1690&lt;&gt;"", J1690&lt;&gt;""), HYPERLINK("#'" &amp; C1690 &amp; "'!" &amp; J1690, J1690), "")</f>
        <v>0</v>
      </c>
    </row>
    <row r="1691" spans="2:2">
      <c r="B1691" s="21">
        <f>IF(AND(C1691&lt;&gt;"", J1691&lt;&gt;""), HYPERLINK("#'" &amp; C1691 &amp; "'!" &amp; J1691, J1691), "")</f>
        <v>0</v>
      </c>
    </row>
    <row r="1692" spans="2:2">
      <c r="B1692" s="21">
        <f>IF(AND(C1692&lt;&gt;"", J1692&lt;&gt;""), HYPERLINK("#'" &amp; C1692 &amp; "'!" &amp; J1692, J1692), "")</f>
        <v>0</v>
      </c>
    </row>
    <row r="1693" spans="2:2">
      <c r="B1693" s="21">
        <f>IF(AND(C1693&lt;&gt;"", J1693&lt;&gt;""), HYPERLINK("#'" &amp; C1693 &amp; "'!" &amp; J1693, J1693), "")</f>
        <v>0</v>
      </c>
    </row>
    <row r="1694" spans="2:2">
      <c r="B1694" s="21">
        <f>IF(AND(C1694&lt;&gt;"", J1694&lt;&gt;""), HYPERLINK("#'" &amp; C1694 &amp; "'!" &amp; J1694, J1694), "")</f>
        <v>0</v>
      </c>
    </row>
    <row r="1695" spans="2:2">
      <c r="B1695" s="21">
        <f>IF(AND(C1695&lt;&gt;"", J1695&lt;&gt;""), HYPERLINK("#'" &amp; C1695 &amp; "'!" &amp; J1695, J1695), "")</f>
        <v>0</v>
      </c>
    </row>
    <row r="1696" spans="2:2">
      <c r="B1696" s="21">
        <f>IF(AND(C1696&lt;&gt;"", J1696&lt;&gt;""), HYPERLINK("#'" &amp; C1696 &amp; "'!" &amp; J1696, J1696), "")</f>
        <v>0</v>
      </c>
    </row>
    <row r="1697" spans="2:2">
      <c r="B1697" s="21">
        <f>IF(AND(C1697&lt;&gt;"", J1697&lt;&gt;""), HYPERLINK("#'" &amp; C1697 &amp; "'!" &amp; J1697, J1697), "")</f>
        <v>0</v>
      </c>
    </row>
    <row r="1698" spans="2:2">
      <c r="B1698" s="21">
        <f>IF(AND(C1698&lt;&gt;"", J1698&lt;&gt;""), HYPERLINK("#'" &amp; C1698 &amp; "'!" &amp; J1698, J1698), "")</f>
        <v>0</v>
      </c>
    </row>
    <row r="1699" spans="2:2">
      <c r="B1699" s="21">
        <f>IF(AND(C1699&lt;&gt;"", J1699&lt;&gt;""), HYPERLINK("#'" &amp; C1699 &amp; "'!" &amp; J1699, J1699), "")</f>
        <v>0</v>
      </c>
    </row>
    <row r="1700" spans="2:2">
      <c r="B1700" s="21">
        <f>IF(AND(C1700&lt;&gt;"", J1700&lt;&gt;""), HYPERLINK("#'" &amp; C1700 &amp; "'!" &amp; J1700, J1700), "")</f>
        <v>0</v>
      </c>
    </row>
    <row r="1701" spans="2:2">
      <c r="B1701" s="21">
        <f>IF(AND(C1701&lt;&gt;"", J1701&lt;&gt;""), HYPERLINK("#'" &amp; C1701 &amp; "'!" &amp; J1701, J1701), "")</f>
        <v>0</v>
      </c>
    </row>
    <row r="1702" spans="2:2">
      <c r="B1702" s="21">
        <f>IF(AND(C1702&lt;&gt;"", J1702&lt;&gt;""), HYPERLINK("#'" &amp; C1702 &amp; "'!" &amp; J1702, J1702), "")</f>
        <v>0</v>
      </c>
    </row>
    <row r="1703" spans="2:2">
      <c r="B1703" s="21">
        <f>IF(AND(C1703&lt;&gt;"", J1703&lt;&gt;""), HYPERLINK("#'" &amp; C1703 &amp; "'!" &amp; J1703, J1703), "")</f>
        <v>0</v>
      </c>
    </row>
    <row r="1704" spans="2:2">
      <c r="B1704" s="21">
        <f>IF(AND(C1704&lt;&gt;"", J1704&lt;&gt;""), HYPERLINK("#'" &amp; C1704 &amp; "'!" &amp; J1704, J1704), "")</f>
        <v>0</v>
      </c>
    </row>
    <row r="1705" spans="2:2">
      <c r="B1705" s="21">
        <f>IF(AND(C1705&lt;&gt;"", J1705&lt;&gt;""), HYPERLINK("#'" &amp; C1705 &amp; "'!" &amp; J1705, J1705), "")</f>
        <v>0</v>
      </c>
    </row>
    <row r="1706" spans="2:2">
      <c r="B1706" s="21">
        <f>IF(AND(C1706&lt;&gt;"", J1706&lt;&gt;""), HYPERLINK("#'" &amp; C1706 &amp; "'!" &amp; J1706, J1706), "")</f>
        <v>0</v>
      </c>
    </row>
    <row r="1707" spans="2:2">
      <c r="B1707" s="21">
        <f>IF(AND(C1707&lt;&gt;"", J1707&lt;&gt;""), HYPERLINK("#'" &amp; C1707 &amp; "'!" &amp; J1707, J1707), "")</f>
        <v>0</v>
      </c>
    </row>
    <row r="1708" spans="2:2">
      <c r="B1708" s="21">
        <f>IF(AND(C1708&lt;&gt;"", J1708&lt;&gt;""), HYPERLINK("#'" &amp; C1708 &amp; "'!" &amp; J1708, J1708), "")</f>
        <v>0</v>
      </c>
    </row>
    <row r="1709" spans="2:2">
      <c r="B1709" s="21">
        <f>IF(AND(C1709&lt;&gt;"", J1709&lt;&gt;""), HYPERLINK("#'" &amp; C1709 &amp; "'!" &amp; J1709, J1709), "")</f>
        <v>0</v>
      </c>
    </row>
    <row r="1710" spans="2:2">
      <c r="B1710" s="21">
        <f>IF(AND(C1710&lt;&gt;"", J1710&lt;&gt;""), HYPERLINK("#'" &amp; C1710 &amp; "'!" &amp; J1710, J1710), "")</f>
        <v>0</v>
      </c>
    </row>
    <row r="1711" spans="2:2">
      <c r="B1711" s="21">
        <f>IF(AND(C1711&lt;&gt;"", J1711&lt;&gt;""), HYPERLINK("#'" &amp; C1711 &amp; "'!" &amp; J1711, J1711), "")</f>
        <v>0</v>
      </c>
    </row>
    <row r="1712" spans="2:2">
      <c r="B1712" s="21">
        <f>IF(AND(C1712&lt;&gt;"", J1712&lt;&gt;""), HYPERLINK("#'" &amp; C1712 &amp; "'!" &amp; J1712, J1712), "")</f>
        <v>0</v>
      </c>
    </row>
    <row r="1713" spans="2:2">
      <c r="B1713" s="21">
        <f>IF(AND(C1713&lt;&gt;"", J1713&lt;&gt;""), HYPERLINK("#'" &amp; C1713 &amp; "'!" &amp; J1713, J1713), "")</f>
        <v>0</v>
      </c>
    </row>
    <row r="1714" spans="2:2">
      <c r="B1714" s="21">
        <f>IF(AND(C1714&lt;&gt;"", J1714&lt;&gt;""), HYPERLINK("#'" &amp; C1714 &amp; "'!" &amp; J1714, J1714), "")</f>
        <v>0</v>
      </c>
    </row>
    <row r="1715" spans="2:2">
      <c r="B1715" s="21">
        <f>IF(AND(C1715&lt;&gt;"", J1715&lt;&gt;""), HYPERLINK("#'" &amp; C1715 &amp; "'!" &amp; J1715, J1715), "")</f>
        <v>0</v>
      </c>
    </row>
    <row r="1716" spans="2:2">
      <c r="B1716" s="21">
        <f>IF(AND(C1716&lt;&gt;"", J1716&lt;&gt;""), HYPERLINK("#'" &amp; C1716 &amp; "'!" &amp; J1716, J1716), "")</f>
        <v>0</v>
      </c>
    </row>
    <row r="1717" spans="2:2">
      <c r="B1717" s="21">
        <f>IF(AND(C1717&lt;&gt;"", J1717&lt;&gt;""), HYPERLINK("#'" &amp; C1717 &amp; "'!" &amp; J1717, J1717), "")</f>
        <v>0</v>
      </c>
    </row>
    <row r="1718" spans="2:2">
      <c r="B1718" s="21">
        <f>IF(AND(C1718&lt;&gt;"", J1718&lt;&gt;""), HYPERLINK("#'" &amp; C1718 &amp; "'!" &amp; J1718, J1718), "")</f>
        <v>0</v>
      </c>
    </row>
    <row r="1719" spans="2:2">
      <c r="B1719" s="21">
        <f>IF(AND(C1719&lt;&gt;"", J1719&lt;&gt;""), HYPERLINK("#'" &amp; C1719 &amp; "'!" &amp; J1719, J1719), "")</f>
        <v>0</v>
      </c>
    </row>
    <row r="1720" spans="2:2">
      <c r="B1720" s="21">
        <f>IF(AND(C1720&lt;&gt;"", J1720&lt;&gt;""), HYPERLINK("#'" &amp; C1720 &amp; "'!" &amp; J1720, J1720), "")</f>
        <v>0</v>
      </c>
    </row>
    <row r="1721" spans="2:2">
      <c r="B1721" s="21">
        <f>IF(AND(C1721&lt;&gt;"", J1721&lt;&gt;""), HYPERLINK("#'" &amp; C1721 &amp; "'!" &amp; J1721, J1721), "")</f>
        <v>0</v>
      </c>
    </row>
    <row r="1722" spans="2:2">
      <c r="B1722" s="21">
        <f>IF(AND(C1722&lt;&gt;"", J1722&lt;&gt;""), HYPERLINK("#'" &amp; C1722 &amp; "'!" &amp; J1722, J1722), "")</f>
        <v>0</v>
      </c>
    </row>
    <row r="1723" spans="2:2">
      <c r="B1723" s="21">
        <f>IF(AND(C1723&lt;&gt;"", J1723&lt;&gt;""), HYPERLINK("#'" &amp; C1723 &amp; "'!" &amp; J1723, J1723), "")</f>
        <v>0</v>
      </c>
    </row>
    <row r="1724" spans="2:2">
      <c r="B1724" s="21">
        <f>IF(AND(C1724&lt;&gt;"", J1724&lt;&gt;""), HYPERLINK("#'" &amp; C1724 &amp; "'!" &amp; J1724, J1724), "")</f>
        <v>0</v>
      </c>
    </row>
    <row r="1725" spans="2:2">
      <c r="B1725" s="21">
        <f>IF(AND(C1725&lt;&gt;"", J1725&lt;&gt;""), HYPERLINK("#'" &amp; C1725 &amp; "'!" &amp; J1725, J1725), "")</f>
        <v>0</v>
      </c>
    </row>
    <row r="1726" spans="2:2">
      <c r="B1726" s="21">
        <f>IF(AND(C1726&lt;&gt;"", J1726&lt;&gt;""), HYPERLINK("#'" &amp; C1726 &amp; "'!" &amp; J1726, J1726), "")</f>
        <v>0</v>
      </c>
    </row>
    <row r="1727" spans="2:2">
      <c r="B1727" s="21">
        <f>IF(AND(C1727&lt;&gt;"", J1727&lt;&gt;""), HYPERLINK("#'" &amp; C1727 &amp; "'!" &amp; J1727, J1727), "")</f>
        <v>0</v>
      </c>
    </row>
    <row r="1728" spans="2:2">
      <c r="B1728" s="21">
        <f>IF(AND(C1728&lt;&gt;"", J1728&lt;&gt;""), HYPERLINK("#'" &amp; C1728 &amp; "'!" &amp; J1728, J1728), "")</f>
        <v>0</v>
      </c>
    </row>
    <row r="1729" spans="2:2">
      <c r="B1729" s="21">
        <f>IF(AND(C1729&lt;&gt;"", J1729&lt;&gt;""), HYPERLINK("#'" &amp; C1729 &amp; "'!" &amp; J1729, J1729), "")</f>
        <v>0</v>
      </c>
    </row>
    <row r="1730" spans="2:2">
      <c r="B1730" s="21">
        <f>IF(AND(C1730&lt;&gt;"", J1730&lt;&gt;""), HYPERLINK("#'" &amp; C1730 &amp; "'!" &amp; J1730, J1730), "")</f>
        <v>0</v>
      </c>
    </row>
    <row r="1731" spans="2:2">
      <c r="B1731" s="21">
        <f>IF(AND(C1731&lt;&gt;"", J1731&lt;&gt;""), HYPERLINK("#'" &amp; C1731 &amp; "'!" &amp; J1731, J1731), "")</f>
        <v>0</v>
      </c>
    </row>
    <row r="1732" spans="2:2">
      <c r="B1732" s="21">
        <f>IF(AND(C1732&lt;&gt;"", J1732&lt;&gt;""), HYPERLINK("#'" &amp; C1732 &amp; "'!" &amp; J1732, J1732), "")</f>
        <v>0</v>
      </c>
    </row>
    <row r="1733" spans="2:2">
      <c r="B1733" s="21">
        <f>IF(AND(C1733&lt;&gt;"", J1733&lt;&gt;""), HYPERLINK("#'" &amp; C1733 &amp; "'!" &amp; J1733, J1733), "")</f>
        <v>0</v>
      </c>
    </row>
    <row r="1734" spans="2:2">
      <c r="B1734" s="21">
        <f>IF(AND(C1734&lt;&gt;"", J1734&lt;&gt;""), HYPERLINK("#'" &amp; C1734 &amp; "'!" &amp; J1734, J1734), "")</f>
        <v>0</v>
      </c>
    </row>
    <row r="1735" spans="2:2">
      <c r="B1735" s="21">
        <f>IF(AND(C1735&lt;&gt;"", J1735&lt;&gt;""), HYPERLINK("#'" &amp; C1735 &amp; "'!" &amp; J1735, J1735), "")</f>
        <v>0</v>
      </c>
    </row>
    <row r="1736" spans="2:2">
      <c r="B1736" s="21">
        <f>IF(AND(C1736&lt;&gt;"", J1736&lt;&gt;""), HYPERLINK("#'" &amp; C1736 &amp; "'!" &amp; J1736, J1736), "")</f>
        <v>0</v>
      </c>
    </row>
    <row r="1737" spans="2:2">
      <c r="B1737" s="21">
        <f>IF(AND(C1737&lt;&gt;"", J1737&lt;&gt;""), HYPERLINK("#'" &amp; C1737 &amp; "'!" &amp; J1737, J1737), "")</f>
        <v>0</v>
      </c>
    </row>
    <row r="1738" spans="2:2">
      <c r="B1738" s="21">
        <f>IF(AND(C1738&lt;&gt;"", J1738&lt;&gt;""), HYPERLINK("#'" &amp; C1738 &amp; "'!" &amp; J1738, J1738), "")</f>
        <v>0</v>
      </c>
    </row>
    <row r="1739" spans="2:2">
      <c r="B1739" s="21">
        <f>IF(AND(C1739&lt;&gt;"", J1739&lt;&gt;""), HYPERLINK("#'" &amp; C1739 &amp; "'!" &amp; J1739, J1739), "")</f>
        <v>0</v>
      </c>
    </row>
    <row r="1740" spans="2:2">
      <c r="B1740" s="21">
        <f>IF(AND(C1740&lt;&gt;"", J1740&lt;&gt;""), HYPERLINK("#'" &amp; C1740 &amp; "'!" &amp; J1740, J1740), "")</f>
        <v>0</v>
      </c>
    </row>
    <row r="1741" spans="2:2">
      <c r="B1741" s="21">
        <f>IF(AND(C1741&lt;&gt;"", J1741&lt;&gt;""), HYPERLINK("#'" &amp; C1741 &amp; "'!" &amp; J1741, J1741), "")</f>
        <v>0</v>
      </c>
    </row>
    <row r="1742" spans="2:2">
      <c r="B1742" s="21">
        <f>IF(AND(C1742&lt;&gt;"", J1742&lt;&gt;""), HYPERLINK("#'" &amp; C1742 &amp; "'!" &amp; J1742, J1742), "")</f>
        <v>0</v>
      </c>
    </row>
    <row r="1743" spans="2:2">
      <c r="B1743" s="21">
        <f>IF(AND(C1743&lt;&gt;"", J1743&lt;&gt;""), HYPERLINK("#'" &amp; C1743 &amp; "'!" &amp; J1743, J1743), "")</f>
        <v>0</v>
      </c>
    </row>
    <row r="1744" spans="2:2">
      <c r="B1744" s="21">
        <f>IF(AND(C1744&lt;&gt;"", J1744&lt;&gt;""), HYPERLINK("#'" &amp; C1744 &amp; "'!" &amp; J1744, J1744), "")</f>
        <v>0</v>
      </c>
    </row>
    <row r="1745" spans="2:2">
      <c r="B1745" s="21">
        <f>IF(AND(C1745&lt;&gt;"", J1745&lt;&gt;""), HYPERLINK("#'" &amp; C1745 &amp; "'!" &amp; J1745, J1745), "")</f>
        <v>0</v>
      </c>
    </row>
    <row r="1746" spans="2:2">
      <c r="B1746" s="21">
        <f>IF(AND(C1746&lt;&gt;"", J1746&lt;&gt;""), HYPERLINK("#'" &amp; C1746 &amp; "'!" &amp; J1746, J1746), "")</f>
        <v>0</v>
      </c>
    </row>
    <row r="1747" spans="2:2">
      <c r="B1747" s="21">
        <f>IF(AND(C1747&lt;&gt;"", J1747&lt;&gt;""), HYPERLINK("#'" &amp; C1747 &amp; "'!" &amp; J1747, J1747), "")</f>
        <v>0</v>
      </c>
    </row>
    <row r="1748" spans="2:2">
      <c r="B1748" s="21">
        <f>IF(AND(C1748&lt;&gt;"", J1748&lt;&gt;""), HYPERLINK("#'" &amp; C1748 &amp; "'!" &amp; J1748, J1748), "")</f>
        <v>0</v>
      </c>
    </row>
    <row r="1749" spans="2:2">
      <c r="B1749" s="21">
        <f>IF(AND(C1749&lt;&gt;"", J1749&lt;&gt;""), HYPERLINK("#'" &amp; C1749 &amp; "'!" &amp; J1749, J1749), "")</f>
        <v>0</v>
      </c>
    </row>
    <row r="1750" spans="2:2">
      <c r="B1750" s="21">
        <f>IF(AND(C1750&lt;&gt;"", J1750&lt;&gt;""), HYPERLINK("#'" &amp; C1750 &amp; "'!" &amp; J1750, J1750), "")</f>
        <v>0</v>
      </c>
    </row>
    <row r="1751" spans="2:2">
      <c r="B1751" s="21">
        <f>IF(AND(C1751&lt;&gt;"", J1751&lt;&gt;""), HYPERLINK("#'" &amp; C1751 &amp; "'!" &amp; J1751, J1751), "")</f>
        <v>0</v>
      </c>
    </row>
    <row r="1752" spans="2:2">
      <c r="B1752" s="21">
        <f>IF(AND(C1752&lt;&gt;"", J1752&lt;&gt;""), HYPERLINK("#'" &amp; C1752 &amp; "'!" &amp; J1752, J1752), "")</f>
        <v>0</v>
      </c>
    </row>
    <row r="1753" spans="2:2">
      <c r="B1753" s="21">
        <f>IF(AND(C1753&lt;&gt;"", J1753&lt;&gt;""), HYPERLINK("#'" &amp; C1753 &amp; "'!" &amp; J1753, J1753), "")</f>
        <v>0</v>
      </c>
    </row>
    <row r="1754" spans="2:2">
      <c r="B1754" s="21">
        <f>IF(AND(C1754&lt;&gt;"", J1754&lt;&gt;""), HYPERLINK("#'" &amp; C1754 &amp; "'!" &amp; J1754, J1754), "")</f>
        <v>0</v>
      </c>
    </row>
    <row r="1755" spans="2:2">
      <c r="B1755" s="21">
        <f>IF(AND(C1755&lt;&gt;"", J1755&lt;&gt;""), HYPERLINK("#'" &amp; C1755 &amp; "'!" &amp; J1755, J1755), "")</f>
        <v>0</v>
      </c>
    </row>
    <row r="1756" spans="2:2">
      <c r="B1756" s="21">
        <f>IF(AND(C1756&lt;&gt;"", J1756&lt;&gt;""), HYPERLINK("#'" &amp; C1756 &amp; "'!" &amp; J1756, J1756), "")</f>
        <v>0</v>
      </c>
    </row>
    <row r="1757" spans="2:2">
      <c r="B1757" s="21">
        <f>IF(AND(C1757&lt;&gt;"", J1757&lt;&gt;""), HYPERLINK("#'" &amp; C1757 &amp; "'!" &amp; J1757, J1757), "")</f>
        <v>0</v>
      </c>
    </row>
    <row r="1758" spans="2:2">
      <c r="B1758" s="21">
        <f>IF(AND(C1758&lt;&gt;"", J1758&lt;&gt;""), HYPERLINK("#'" &amp; C1758 &amp; "'!" &amp; J1758, J1758), "")</f>
        <v>0</v>
      </c>
    </row>
    <row r="1759" spans="2:2">
      <c r="B1759" s="21">
        <f>IF(AND(C1759&lt;&gt;"", J1759&lt;&gt;""), HYPERLINK("#'" &amp; C1759 &amp; "'!" &amp; J1759, J1759), "")</f>
        <v>0</v>
      </c>
    </row>
    <row r="1760" spans="2:2">
      <c r="B1760" s="21">
        <f>IF(AND(C1760&lt;&gt;"", J1760&lt;&gt;""), HYPERLINK("#'" &amp; C1760 &amp; "'!" &amp; J1760, J1760), "")</f>
        <v>0</v>
      </c>
    </row>
    <row r="1761" spans="2:2">
      <c r="B1761" s="21">
        <f>IF(AND(C1761&lt;&gt;"", J1761&lt;&gt;""), HYPERLINK("#'" &amp; C1761 &amp; "'!" &amp; J1761, J1761), "")</f>
        <v>0</v>
      </c>
    </row>
    <row r="1762" spans="2:2">
      <c r="B1762" s="21">
        <f>IF(AND(C1762&lt;&gt;"", J1762&lt;&gt;""), HYPERLINK("#'" &amp; C1762 &amp; "'!" &amp; J1762, J1762), "")</f>
        <v>0</v>
      </c>
    </row>
    <row r="1763" spans="2:2">
      <c r="B1763" s="21">
        <f>IF(AND(C1763&lt;&gt;"", J1763&lt;&gt;""), HYPERLINK("#'" &amp; C1763 &amp; "'!" &amp; J1763, J1763), "")</f>
        <v>0</v>
      </c>
    </row>
    <row r="1764" spans="2:2">
      <c r="B1764" s="21">
        <f>IF(AND(C1764&lt;&gt;"", J1764&lt;&gt;""), HYPERLINK("#'" &amp; C1764 &amp; "'!" &amp; J1764, J1764), "")</f>
        <v>0</v>
      </c>
    </row>
    <row r="1765" spans="2:2">
      <c r="B1765" s="21">
        <f>IF(AND(C1765&lt;&gt;"", J1765&lt;&gt;""), HYPERLINK("#'" &amp; C1765 &amp; "'!" &amp; J1765, J1765), "")</f>
        <v>0</v>
      </c>
    </row>
    <row r="1766" spans="2:2">
      <c r="B1766" s="21">
        <f>IF(AND(C1766&lt;&gt;"", J1766&lt;&gt;""), HYPERLINK("#'" &amp; C1766 &amp; "'!" &amp; J1766, J1766), "")</f>
        <v>0</v>
      </c>
    </row>
    <row r="1767" spans="2:2">
      <c r="B1767" s="21">
        <f>IF(AND(C1767&lt;&gt;"", J1767&lt;&gt;""), HYPERLINK("#'" &amp; C1767 &amp; "'!" &amp; J1767, J1767), "")</f>
        <v>0</v>
      </c>
    </row>
    <row r="1768" spans="2:2">
      <c r="B1768" s="21">
        <f>IF(AND(C1768&lt;&gt;"", J1768&lt;&gt;""), HYPERLINK("#'" &amp; C1768 &amp; "'!" &amp; J1768, J1768), "")</f>
        <v>0</v>
      </c>
    </row>
    <row r="1769" spans="2:2">
      <c r="B1769" s="21">
        <f>IF(AND(C1769&lt;&gt;"", J1769&lt;&gt;""), HYPERLINK("#'" &amp; C1769 &amp; "'!" &amp; J1769, J1769), "")</f>
        <v>0</v>
      </c>
    </row>
    <row r="1770" spans="2:2">
      <c r="B1770" s="21">
        <f>IF(AND(C1770&lt;&gt;"", J1770&lt;&gt;""), HYPERLINK("#'" &amp; C1770 &amp; "'!" &amp; J1770, J1770), "")</f>
        <v>0</v>
      </c>
    </row>
    <row r="1771" spans="2:2">
      <c r="B1771" s="21">
        <f>IF(AND(C1771&lt;&gt;"", J1771&lt;&gt;""), HYPERLINK("#'" &amp; C1771 &amp; "'!" &amp; J1771, J1771), "")</f>
        <v>0</v>
      </c>
    </row>
    <row r="1772" spans="2:2">
      <c r="B1772" s="21">
        <f>IF(AND(C1772&lt;&gt;"", J1772&lt;&gt;""), HYPERLINK("#'" &amp; C1772 &amp; "'!" &amp; J1772, J1772), "")</f>
        <v>0</v>
      </c>
    </row>
    <row r="1773" spans="2:2">
      <c r="B1773" s="21">
        <f>IF(AND(C1773&lt;&gt;"", J1773&lt;&gt;""), HYPERLINK("#'" &amp; C1773 &amp; "'!" &amp; J1773, J1773), "")</f>
        <v>0</v>
      </c>
    </row>
    <row r="1774" spans="2:2">
      <c r="B1774" s="21">
        <f>IF(AND(C1774&lt;&gt;"", J1774&lt;&gt;""), HYPERLINK("#'" &amp; C1774 &amp; "'!" &amp; J1774, J1774), "")</f>
        <v>0</v>
      </c>
    </row>
    <row r="1775" spans="2:2">
      <c r="B1775" s="21">
        <f>IF(AND(C1775&lt;&gt;"", J1775&lt;&gt;""), HYPERLINK("#'" &amp; C1775 &amp; "'!" &amp; J1775, J1775), "")</f>
        <v>0</v>
      </c>
    </row>
    <row r="1776" spans="2:2">
      <c r="B1776" s="21">
        <f>IF(AND(C1776&lt;&gt;"", J1776&lt;&gt;""), HYPERLINK("#'" &amp; C1776 &amp; "'!" &amp; J1776, J1776), "")</f>
        <v>0</v>
      </c>
    </row>
    <row r="1777" spans="2:2">
      <c r="B1777" s="21">
        <f>IF(AND(C1777&lt;&gt;"", J1777&lt;&gt;""), HYPERLINK("#'" &amp; C1777 &amp; "'!" &amp; J1777, J1777), "")</f>
        <v>0</v>
      </c>
    </row>
    <row r="1778" spans="2:2">
      <c r="B1778" s="21">
        <f>IF(AND(C1778&lt;&gt;"", J1778&lt;&gt;""), HYPERLINK("#'" &amp; C1778 &amp; "'!" &amp; J1778, J1778), "")</f>
        <v>0</v>
      </c>
    </row>
    <row r="1779" spans="2:2">
      <c r="B1779" s="21">
        <f>IF(AND(C1779&lt;&gt;"", J1779&lt;&gt;""), HYPERLINK("#'" &amp; C1779 &amp; "'!" &amp; J1779, J1779), "")</f>
        <v>0</v>
      </c>
    </row>
    <row r="1780" spans="2:2">
      <c r="B1780" s="21">
        <f>IF(AND(C1780&lt;&gt;"", J1780&lt;&gt;""), HYPERLINK("#'" &amp; C1780 &amp; "'!" &amp; J1780, J1780), "")</f>
        <v>0</v>
      </c>
    </row>
    <row r="1781" spans="2:2">
      <c r="B1781" s="21">
        <f>IF(AND(C1781&lt;&gt;"", J1781&lt;&gt;""), HYPERLINK("#'" &amp; C1781 &amp; "'!" &amp; J1781, J1781), "")</f>
        <v>0</v>
      </c>
    </row>
    <row r="1782" spans="2:2">
      <c r="B1782" s="21">
        <f>IF(AND(C1782&lt;&gt;"", J1782&lt;&gt;""), HYPERLINK("#'" &amp; C1782 &amp; "'!" &amp; J1782, J1782), "")</f>
        <v>0</v>
      </c>
    </row>
    <row r="1783" spans="2:2">
      <c r="B1783" s="21">
        <f>IF(AND(C1783&lt;&gt;"", J1783&lt;&gt;""), HYPERLINK("#'" &amp; C1783 &amp; "'!" &amp; J1783, J1783), "")</f>
        <v>0</v>
      </c>
    </row>
    <row r="1784" spans="2:2">
      <c r="B1784" s="21">
        <f>IF(AND(C1784&lt;&gt;"", J1784&lt;&gt;""), HYPERLINK("#'" &amp; C1784 &amp; "'!" &amp; J1784, J1784), "")</f>
        <v>0</v>
      </c>
    </row>
    <row r="1785" spans="2:2">
      <c r="B1785" s="21">
        <f>IF(AND(C1785&lt;&gt;"", J1785&lt;&gt;""), HYPERLINK("#'" &amp; C1785 &amp; "'!" &amp; J1785, J1785), "")</f>
        <v>0</v>
      </c>
    </row>
    <row r="1786" spans="2:2">
      <c r="B1786" s="21">
        <f>IF(AND(C1786&lt;&gt;"", J1786&lt;&gt;""), HYPERLINK("#'" &amp; C1786 &amp; "'!" &amp; J1786, J1786), "")</f>
        <v>0</v>
      </c>
    </row>
    <row r="1787" spans="2:2">
      <c r="B1787" s="21">
        <f>IF(AND(C1787&lt;&gt;"", J1787&lt;&gt;""), HYPERLINK("#'" &amp; C1787 &amp; "'!" &amp; J1787, J1787), "")</f>
        <v>0</v>
      </c>
    </row>
    <row r="1788" spans="2:2">
      <c r="B1788" s="21">
        <f>IF(AND(C1788&lt;&gt;"", J1788&lt;&gt;""), HYPERLINK("#'" &amp; C1788 &amp; "'!" &amp; J1788, J1788), "")</f>
        <v>0</v>
      </c>
    </row>
    <row r="1789" spans="2:2">
      <c r="B1789" s="21">
        <f>IF(AND(C1789&lt;&gt;"", J1789&lt;&gt;""), HYPERLINK("#'" &amp; C1789 &amp; "'!" &amp; J1789, J1789), "")</f>
        <v>0</v>
      </c>
    </row>
    <row r="1790" spans="2:2">
      <c r="B1790" s="21">
        <f>IF(AND(C1790&lt;&gt;"", J1790&lt;&gt;""), HYPERLINK("#'" &amp; C1790 &amp; "'!" &amp; J1790, J1790), "")</f>
        <v>0</v>
      </c>
    </row>
    <row r="1791" spans="2:2">
      <c r="B1791" s="21">
        <f>IF(AND(C1791&lt;&gt;"", J1791&lt;&gt;""), HYPERLINK("#'" &amp; C1791 &amp; "'!" &amp; J1791, J1791), "")</f>
        <v>0</v>
      </c>
    </row>
    <row r="1792" spans="2:2">
      <c r="B1792" s="21">
        <f>IF(AND(C1792&lt;&gt;"", J1792&lt;&gt;""), HYPERLINK("#'" &amp; C1792 &amp; "'!" &amp; J1792, J1792), "")</f>
        <v>0</v>
      </c>
    </row>
    <row r="1793" spans="2:2">
      <c r="B1793" s="21">
        <f>IF(AND(C1793&lt;&gt;"", J1793&lt;&gt;""), HYPERLINK("#'" &amp; C1793 &amp; "'!" &amp; J1793, J1793), "")</f>
        <v>0</v>
      </c>
    </row>
    <row r="1794" spans="2:2">
      <c r="B1794" s="21">
        <f>IF(AND(C1794&lt;&gt;"", J1794&lt;&gt;""), HYPERLINK("#'" &amp; C1794 &amp; "'!" &amp; J1794, J1794), "")</f>
        <v>0</v>
      </c>
    </row>
    <row r="1795" spans="2:2">
      <c r="B1795" s="21">
        <f>IF(AND(C1795&lt;&gt;"", J1795&lt;&gt;""), HYPERLINK("#'" &amp; C1795 &amp; "'!" &amp; J1795, J1795), "")</f>
        <v>0</v>
      </c>
    </row>
    <row r="1796" spans="2:2">
      <c r="B1796" s="21">
        <f>IF(AND(C1796&lt;&gt;"", J1796&lt;&gt;""), HYPERLINK("#'" &amp; C1796 &amp; "'!" &amp; J1796, J1796), "")</f>
        <v>0</v>
      </c>
    </row>
    <row r="1797" spans="2:2">
      <c r="B1797" s="21">
        <f>IF(AND(C1797&lt;&gt;"", J1797&lt;&gt;""), HYPERLINK("#'" &amp; C1797 &amp; "'!" &amp; J1797, J1797), "")</f>
        <v>0</v>
      </c>
    </row>
    <row r="1798" spans="2:2">
      <c r="B1798" s="21">
        <f>IF(AND(C1798&lt;&gt;"", J1798&lt;&gt;""), HYPERLINK("#'" &amp; C1798 &amp; "'!" &amp; J1798, J1798), "")</f>
        <v>0</v>
      </c>
    </row>
    <row r="1799" spans="2:2">
      <c r="B1799" s="21">
        <f>IF(AND(C1799&lt;&gt;"", J1799&lt;&gt;""), HYPERLINK("#'" &amp; C1799 &amp; "'!" &amp; J1799, J1799), "")</f>
        <v>0</v>
      </c>
    </row>
    <row r="1800" spans="2:2">
      <c r="B1800" s="21">
        <f>IF(AND(C1800&lt;&gt;"", J1800&lt;&gt;""), HYPERLINK("#'" &amp; C1800 &amp; "'!" &amp; J1800, J1800), "")</f>
        <v>0</v>
      </c>
    </row>
    <row r="1801" spans="2:2">
      <c r="B1801" s="21">
        <f>IF(AND(C1801&lt;&gt;"", J1801&lt;&gt;""), HYPERLINK("#'" &amp; C1801 &amp; "'!" &amp; J1801, J1801), "")</f>
        <v>0</v>
      </c>
    </row>
    <row r="1802" spans="2:2">
      <c r="B1802" s="21">
        <f>IF(AND(C1802&lt;&gt;"", J1802&lt;&gt;""), HYPERLINK("#'" &amp; C1802 &amp; "'!" &amp; J1802, J1802), "")</f>
        <v>0</v>
      </c>
    </row>
    <row r="1803" spans="2:2">
      <c r="B1803" s="21">
        <f>IF(AND(C1803&lt;&gt;"", J1803&lt;&gt;""), HYPERLINK("#'" &amp; C1803 &amp; "'!" &amp; J1803, J1803), "")</f>
        <v>0</v>
      </c>
    </row>
    <row r="1804" spans="2:2">
      <c r="B1804" s="21">
        <f>IF(AND(C1804&lt;&gt;"", J1804&lt;&gt;""), HYPERLINK("#'" &amp; C1804 &amp; "'!" &amp; J1804, J1804), "")</f>
        <v>0</v>
      </c>
    </row>
    <row r="1805" spans="2:2">
      <c r="B1805" s="21">
        <f>IF(AND(C1805&lt;&gt;"", J1805&lt;&gt;""), HYPERLINK("#'" &amp; C1805 &amp; "'!" &amp; J1805, J1805), "")</f>
        <v>0</v>
      </c>
    </row>
    <row r="1806" spans="2:2">
      <c r="B1806" s="21">
        <f>IF(AND(C1806&lt;&gt;"", J1806&lt;&gt;""), HYPERLINK("#'" &amp; C1806 &amp; "'!" &amp; J1806, J1806), "")</f>
        <v>0</v>
      </c>
    </row>
    <row r="1807" spans="2:2">
      <c r="B1807" s="21">
        <f>IF(AND(C1807&lt;&gt;"", J1807&lt;&gt;""), HYPERLINK("#'" &amp; C1807 &amp; "'!" &amp; J1807, J1807), "")</f>
        <v>0</v>
      </c>
    </row>
    <row r="1808" spans="2:2">
      <c r="B1808" s="21">
        <f>IF(AND(C1808&lt;&gt;"", J1808&lt;&gt;""), HYPERLINK("#'" &amp; C1808 &amp; "'!" &amp; J1808, J1808), "")</f>
        <v>0</v>
      </c>
    </row>
    <row r="1809" spans="2:2">
      <c r="B1809" s="21">
        <f>IF(AND(C1809&lt;&gt;"", J1809&lt;&gt;""), HYPERLINK("#'" &amp; C1809 &amp; "'!" &amp; J1809, J1809), "")</f>
        <v>0</v>
      </c>
    </row>
    <row r="1810" spans="2:2">
      <c r="B1810" s="21">
        <f>IF(AND(C1810&lt;&gt;"", J1810&lt;&gt;""), HYPERLINK("#'" &amp; C1810 &amp; "'!" &amp; J1810, J1810), "")</f>
        <v>0</v>
      </c>
    </row>
    <row r="1811" spans="2:2">
      <c r="B1811" s="21">
        <f>IF(AND(C1811&lt;&gt;"", J1811&lt;&gt;""), HYPERLINK("#'" &amp; C1811 &amp; "'!" &amp; J1811, J1811), "")</f>
        <v>0</v>
      </c>
    </row>
    <row r="1812" spans="2:2">
      <c r="B1812" s="21">
        <f>IF(AND(C1812&lt;&gt;"", J1812&lt;&gt;""), HYPERLINK("#'" &amp; C1812 &amp; "'!" &amp; J1812, J1812), "")</f>
        <v>0</v>
      </c>
    </row>
    <row r="1813" spans="2:2">
      <c r="B1813" s="21">
        <f>IF(AND(C1813&lt;&gt;"", J1813&lt;&gt;""), HYPERLINK("#'" &amp; C1813 &amp; "'!" &amp; J1813, J1813), "")</f>
        <v>0</v>
      </c>
    </row>
    <row r="1814" spans="2:2">
      <c r="B1814" s="21">
        <f>IF(AND(C1814&lt;&gt;"", J1814&lt;&gt;""), HYPERLINK("#'" &amp; C1814 &amp; "'!" &amp; J1814, J1814), "")</f>
        <v>0</v>
      </c>
    </row>
    <row r="1815" spans="2:2">
      <c r="B1815" s="21">
        <f>IF(AND(C1815&lt;&gt;"", J1815&lt;&gt;""), HYPERLINK("#'" &amp; C1815 &amp; "'!" &amp; J1815, J1815), "")</f>
        <v>0</v>
      </c>
    </row>
    <row r="1816" spans="2:2">
      <c r="B1816" s="21">
        <f>IF(AND(C1816&lt;&gt;"", J1816&lt;&gt;""), HYPERLINK("#'" &amp; C1816 &amp; "'!" &amp; J1816, J1816), "")</f>
        <v>0</v>
      </c>
    </row>
    <row r="1817" spans="2:2">
      <c r="B1817" s="21">
        <f>IF(AND(C1817&lt;&gt;"", J1817&lt;&gt;""), HYPERLINK("#'" &amp; C1817 &amp; "'!" &amp; J1817, J1817), "")</f>
        <v>0</v>
      </c>
    </row>
    <row r="1818" spans="2:2">
      <c r="B1818" s="21">
        <f>IF(AND(C1818&lt;&gt;"", J1818&lt;&gt;""), HYPERLINK("#'" &amp; C1818 &amp; "'!" &amp; J1818, J1818), "")</f>
        <v>0</v>
      </c>
    </row>
    <row r="1819" spans="2:2">
      <c r="B1819" s="21">
        <f>IF(AND(C1819&lt;&gt;"", J1819&lt;&gt;""), HYPERLINK("#'" &amp; C1819 &amp; "'!" &amp; J1819, J1819), "")</f>
        <v>0</v>
      </c>
    </row>
    <row r="1820" spans="2:2">
      <c r="B1820" s="21">
        <f>IF(AND(C1820&lt;&gt;"", J1820&lt;&gt;""), HYPERLINK("#'" &amp; C1820 &amp; "'!" &amp; J1820, J1820), "")</f>
        <v>0</v>
      </c>
    </row>
    <row r="1821" spans="2:2">
      <c r="B1821" s="21">
        <f>IF(AND(C1821&lt;&gt;"", J1821&lt;&gt;""), HYPERLINK("#'" &amp; C1821 &amp; "'!" &amp; J1821, J1821), "")</f>
        <v>0</v>
      </c>
    </row>
    <row r="1822" spans="2:2">
      <c r="B1822" s="21">
        <f>IF(AND(C1822&lt;&gt;"", J1822&lt;&gt;""), HYPERLINK("#'" &amp; C1822 &amp; "'!" &amp; J1822, J1822), "")</f>
        <v>0</v>
      </c>
    </row>
    <row r="1823" spans="2:2">
      <c r="B1823" s="21">
        <f>IF(AND(C1823&lt;&gt;"", J1823&lt;&gt;""), HYPERLINK("#'" &amp; C1823 &amp; "'!" &amp; J1823, J1823), "")</f>
        <v>0</v>
      </c>
    </row>
    <row r="1824" spans="2:2">
      <c r="B1824" s="21">
        <f>IF(AND(C1824&lt;&gt;"", J1824&lt;&gt;""), HYPERLINK("#'" &amp; C1824 &amp; "'!" &amp; J1824, J1824), "")</f>
        <v>0</v>
      </c>
    </row>
    <row r="1825" spans="2:2">
      <c r="B1825" s="21">
        <f>IF(AND(C1825&lt;&gt;"", J1825&lt;&gt;""), HYPERLINK("#'" &amp; C1825 &amp; "'!" &amp; J1825, J1825), "")</f>
        <v>0</v>
      </c>
    </row>
    <row r="1826" spans="2:2">
      <c r="B1826" s="21">
        <f>IF(AND(C1826&lt;&gt;"", J1826&lt;&gt;""), HYPERLINK("#'" &amp; C1826 &amp; "'!" &amp; J1826, J1826), "")</f>
        <v>0</v>
      </c>
    </row>
    <row r="1827" spans="2:2">
      <c r="B1827" s="21">
        <f>IF(AND(C1827&lt;&gt;"", J1827&lt;&gt;""), HYPERLINK("#'" &amp; C1827 &amp; "'!" &amp; J1827, J1827), "")</f>
        <v>0</v>
      </c>
    </row>
    <row r="1828" spans="2:2">
      <c r="B1828" s="21">
        <f>IF(AND(C1828&lt;&gt;"", J1828&lt;&gt;""), HYPERLINK("#'" &amp; C1828 &amp; "'!" &amp; J1828, J1828), "")</f>
        <v>0</v>
      </c>
    </row>
    <row r="1829" spans="2:2">
      <c r="B1829" s="21">
        <f>IF(AND(C1829&lt;&gt;"", J1829&lt;&gt;""), HYPERLINK("#'" &amp; C1829 &amp; "'!" &amp; J1829, J1829), "")</f>
        <v>0</v>
      </c>
    </row>
    <row r="1830" spans="2:2">
      <c r="B1830" s="21">
        <f>IF(AND(C1830&lt;&gt;"", J1830&lt;&gt;""), HYPERLINK("#'" &amp; C1830 &amp; "'!" &amp; J1830, J1830), "")</f>
        <v>0</v>
      </c>
    </row>
    <row r="1831" spans="2:2">
      <c r="B1831" s="21">
        <f>IF(AND(C1831&lt;&gt;"", J1831&lt;&gt;""), HYPERLINK("#'" &amp; C1831 &amp; "'!" &amp; J1831, J1831), "")</f>
        <v>0</v>
      </c>
    </row>
    <row r="1832" spans="2:2">
      <c r="B1832" s="21">
        <f>IF(AND(C1832&lt;&gt;"", J1832&lt;&gt;""), HYPERLINK("#'" &amp; C1832 &amp; "'!" &amp; J1832, J1832), "")</f>
        <v>0</v>
      </c>
    </row>
    <row r="1833" spans="2:2">
      <c r="B1833" s="21">
        <f>IF(AND(C1833&lt;&gt;"", J1833&lt;&gt;""), HYPERLINK("#'" &amp; C1833 &amp; "'!" &amp; J1833, J1833), "")</f>
        <v>0</v>
      </c>
    </row>
    <row r="1834" spans="2:2">
      <c r="B1834" s="21">
        <f>IF(AND(C1834&lt;&gt;"", J1834&lt;&gt;""), HYPERLINK("#'" &amp; C1834 &amp; "'!" &amp; J1834, J1834), "")</f>
        <v>0</v>
      </c>
    </row>
    <row r="1835" spans="2:2">
      <c r="B1835" s="21">
        <f>IF(AND(C1835&lt;&gt;"", J1835&lt;&gt;""), HYPERLINK("#'" &amp; C1835 &amp; "'!" &amp; J1835, J1835), "")</f>
        <v>0</v>
      </c>
    </row>
    <row r="1836" spans="2:2">
      <c r="B1836" s="21">
        <f>IF(AND(C1836&lt;&gt;"", J1836&lt;&gt;""), HYPERLINK("#'" &amp; C1836 &amp; "'!" &amp; J1836, J1836), "")</f>
        <v>0</v>
      </c>
    </row>
    <row r="1837" spans="2:2">
      <c r="B1837" s="21">
        <f>IF(AND(C1837&lt;&gt;"", J1837&lt;&gt;""), HYPERLINK("#'" &amp; C1837 &amp; "'!" &amp; J1837, J1837), "")</f>
        <v>0</v>
      </c>
    </row>
    <row r="1838" spans="2:2">
      <c r="B1838" s="21">
        <f>IF(AND(C1838&lt;&gt;"", J1838&lt;&gt;""), HYPERLINK("#'" &amp; C1838 &amp; "'!" &amp; J1838, J1838), "")</f>
        <v>0</v>
      </c>
    </row>
    <row r="1839" spans="2:2">
      <c r="B1839" s="21">
        <f>IF(AND(C1839&lt;&gt;"", J1839&lt;&gt;""), HYPERLINK("#'" &amp; C1839 &amp; "'!" &amp; J1839, J1839), "")</f>
        <v>0</v>
      </c>
    </row>
    <row r="1840" spans="2:2">
      <c r="B1840" s="21">
        <f>IF(AND(C1840&lt;&gt;"", J1840&lt;&gt;""), HYPERLINK("#'" &amp; C1840 &amp; "'!" &amp; J1840, J1840), "")</f>
        <v>0</v>
      </c>
    </row>
    <row r="1841" spans="2:2">
      <c r="B1841" s="21">
        <f>IF(AND(C1841&lt;&gt;"", J1841&lt;&gt;""), HYPERLINK("#'" &amp; C1841 &amp; "'!" &amp; J1841, J1841), "")</f>
        <v>0</v>
      </c>
    </row>
    <row r="1842" spans="2:2">
      <c r="B1842" s="21">
        <f>IF(AND(C1842&lt;&gt;"", J1842&lt;&gt;""), HYPERLINK("#'" &amp; C1842 &amp; "'!" &amp; J1842, J1842), "")</f>
        <v>0</v>
      </c>
    </row>
    <row r="1843" spans="2:2">
      <c r="B1843" s="21">
        <f>IF(AND(C1843&lt;&gt;"", J1843&lt;&gt;""), HYPERLINK("#'" &amp; C1843 &amp; "'!" &amp; J1843, J1843), "")</f>
        <v>0</v>
      </c>
    </row>
    <row r="1844" spans="2:2">
      <c r="B1844" s="21">
        <f>IF(AND(C1844&lt;&gt;"", J1844&lt;&gt;""), HYPERLINK("#'" &amp; C1844 &amp; "'!" &amp; J1844, J1844), "")</f>
        <v>0</v>
      </c>
    </row>
    <row r="1845" spans="2:2">
      <c r="B1845" s="21">
        <f>IF(AND(C1845&lt;&gt;"", J1845&lt;&gt;""), HYPERLINK("#'" &amp; C1845 &amp; "'!" &amp; J1845, J1845), "")</f>
        <v>0</v>
      </c>
    </row>
    <row r="1846" spans="2:2">
      <c r="B1846" s="21">
        <f>IF(AND(C1846&lt;&gt;"", J1846&lt;&gt;""), HYPERLINK("#'" &amp; C1846 &amp; "'!" &amp; J1846, J1846), "")</f>
        <v>0</v>
      </c>
    </row>
    <row r="1847" spans="2:2">
      <c r="B1847" s="21">
        <f>IF(AND(C1847&lt;&gt;"", J1847&lt;&gt;""), HYPERLINK("#'" &amp; C1847 &amp; "'!" &amp; J1847, J1847), "")</f>
        <v>0</v>
      </c>
    </row>
    <row r="1848" spans="2:2">
      <c r="B1848" s="21">
        <f>IF(AND(C1848&lt;&gt;"", J1848&lt;&gt;""), HYPERLINK("#'" &amp; C1848 &amp; "'!" &amp; J1848, J1848), "")</f>
        <v>0</v>
      </c>
    </row>
    <row r="1849" spans="2:2">
      <c r="B1849" s="21">
        <f>IF(AND(C1849&lt;&gt;"", J1849&lt;&gt;""), HYPERLINK("#'" &amp; C1849 &amp; "'!" &amp; J1849, J1849), "")</f>
        <v>0</v>
      </c>
    </row>
    <row r="1850" spans="2:2">
      <c r="B1850" s="21">
        <f>IF(AND(C1850&lt;&gt;"", J1850&lt;&gt;""), HYPERLINK("#'" &amp; C1850 &amp; "'!" &amp; J1850, J1850), "")</f>
        <v>0</v>
      </c>
    </row>
    <row r="1851" spans="2:2">
      <c r="B1851" s="21">
        <f>IF(AND(C1851&lt;&gt;"", J1851&lt;&gt;""), HYPERLINK("#'" &amp; C1851 &amp; "'!" &amp; J1851, J1851), "")</f>
        <v>0</v>
      </c>
    </row>
    <row r="1852" spans="2:2">
      <c r="B1852" s="21">
        <f>IF(AND(C1852&lt;&gt;"", J1852&lt;&gt;""), HYPERLINK("#'" &amp; C1852 &amp; "'!" &amp; J1852, J1852), "")</f>
        <v>0</v>
      </c>
    </row>
    <row r="1853" spans="2:2">
      <c r="B1853" s="21">
        <f>IF(AND(C1853&lt;&gt;"", J1853&lt;&gt;""), HYPERLINK("#'" &amp; C1853 &amp; "'!" &amp; J1853, J1853), "")</f>
        <v>0</v>
      </c>
    </row>
    <row r="1854" spans="2:2">
      <c r="B1854" s="21">
        <f>IF(AND(C1854&lt;&gt;"", J1854&lt;&gt;""), HYPERLINK("#'" &amp; C1854 &amp; "'!" &amp; J1854, J1854), "")</f>
        <v>0</v>
      </c>
    </row>
    <row r="1855" spans="2:2">
      <c r="B1855" s="21">
        <f>IF(AND(C1855&lt;&gt;"", J1855&lt;&gt;""), HYPERLINK("#'" &amp; C1855 &amp; "'!" &amp; J1855, J1855), "")</f>
        <v>0</v>
      </c>
    </row>
    <row r="1856" spans="2:2">
      <c r="B1856" s="21">
        <f>IF(AND(C1856&lt;&gt;"", J1856&lt;&gt;""), HYPERLINK("#'" &amp; C1856 &amp; "'!" &amp; J1856, J1856), "")</f>
        <v>0</v>
      </c>
    </row>
    <row r="1857" spans="2:2">
      <c r="B1857" s="21">
        <f>IF(AND(C1857&lt;&gt;"", J1857&lt;&gt;""), HYPERLINK("#'" &amp; C1857 &amp; "'!" &amp; J1857, J1857), "")</f>
        <v>0</v>
      </c>
    </row>
    <row r="1858" spans="2:2">
      <c r="B1858" s="21">
        <f>IF(AND(C1858&lt;&gt;"", J1858&lt;&gt;""), HYPERLINK("#'" &amp; C1858 &amp; "'!" &amp; J1858, J1858), "")</f>
        <v>0</v>
      </c>
    </row>
    <row r="1859" spans="2:2">
      <c r="B1859" s="21">
        <f>IF(AND(C1859&lt;&gt;"", J1859&lt;&gt;""), HYPERLINK("#'" &amp; C1859 &amp; "'!" &amp; J1859, J1859), "")</f>
        <v>0</v>
      </c>
    </row>
    <row r="1860" spans="2:2">
      <c r="B1860" s="21">
        <f>IF(AND(C1860&lt;&gt;"", J1860&lt;&gt;""), HYPERLINK("#'" &amp; C1860 &amp; "'!" &amp; J1860, J1860), "")</f>
        <v>0</v>
      </c>
    </row>
    <row r="1861" spans="2:2">
      <c r="B1861" s="21">
        <f>IF(AND(C1861&lt;&gt;"", J1861&lt;&gt;""), HYPERLINK("#'" &amp; C1861 &amp; "'!" &amp; J1861, J1861), "")</f>
        <v>0</v>
      </c>
    </row>
    <row r="1862" spans="2:2">
      <c r="B1862" s="21">
        <f>IF(AND(C1862&lt;&gt;"", J1862&lt;&gt;""), HYPERLINK("#'" &amp; C1862 &amp; "'!" &amp; J1862, J1862), "")</f>
        <v>0</v>
      </c>
    </row>
    <row r="1863" spans="2:2">
      <c r="B1863" s="21">
        <f>IF(AND(C1863&lt;&gt;"", J1863&lt;&gt;""), HYPERLINK("#'" &amp; C1863 &amp; "'!" &amp; J1863, J1863), "")</f>
        <v>0</v>
      </c>
    </row>
    <row r="1864" spans="2:2">
      <c r="B1864" s="21">
        <f>IF(AND(C1864&lt;&gt;"", J1864&lt;&gt;""), HYPERLINK("#'" &amp; C1864 &amp; "'!" &amp; J1864, J1864), "")</f>
        <v>0</v>
      </c>
    </row>
    <row r="1865" spans="2:2">
      <c r="B1865" s="21">
        <f>IF(AND(C1865&lt;&gt;"", J1865&lt;&gt;""), HYPERLINK("#'" &amp; C1865 &amp; "'!" &amp; J1865, J1865), "")</f>
        <v>0</v>
      </c>
    </row>
    <row r="1866" spans="2:2">
      <c r="B1866" s="21">
        <f>IF(AND(C1866&lt;&gt;"", J1866&lt;&gt;""), HYPERLINK("#'" &amp; C1866 &amp; "'!" &amp; J1866, J1866), "")</f>
        <v>0</v>
      </c>
    </row>
    <row r="1867" spans="2:2">
      <c r="B1867" s="21">
        <f>IF(AND(C1867&lt;&gt;"", J1867&lt;&gt;""), HYPERLINK("#'" &amp; C1867 &amp; "'!" &amp; J1867, J1867), "")</f>
        <v>0</v>
      </c>
    </row>
    <row r="1868" spans="2:2">
      <c r="B1868" s="21">
        <f>IF(AND(C1868&lt;&gt;"", J1868&lt;&gt;""), HYPERLINK("#'" &amp; C1868 &amp; "'!" &amp; J1868, J1868), "")</f>
        <v>0</v>
      </c>
    </row>
    <row r="1869" spans="2:2">
      <c r="B1869" s="21">
        <f>IF(AND(C1869&lt;&gt;"", J1869&lt;&gt;""), HYPERLINK("#'" &amp; C1869 &amp; "'!" &amp; J1869, J1869), "")</f>
        <v>0</v>
      </c>
    </row>
    <row r="1870" spans="2:2">
      <c r="B1870" s="21">
        <f>IF(AND(C1870&lt;&gt;"", J1870&lt;&gt;""), HYPERLINK("#'" &amp; C1870 &amp; "'!" &amp; J1870, J1870), "")</f>
        <v>0</v>
      </c>
    </row>
    <row r="1871" spans="2:2">
      <c r="B1871" s="21">
        <f>IF(AND(C1871&lt;&gt;"", J1871&lt;&gt;""), HYPERLINK("#'" &amp; C1871 &amp; "'!" &amp; J1871, J1871), "")</f>
        <v>0</v>
      </c>
    </row>
    <row r="1872" spans="2:2">
      <c r="B1872" s="21">
        <f>IF(AND(C1872&lt;&gt;"", J1872&lt;&gt;""), HYPERLINK("#'" &amp; C1872 &amp; "'!" &amp; J1872, J1872), "")</f>
        <v>0</v>
      </c>
    </row>
    <row r="1873" spans="2:2">
      <c r="B1873" s="21">
        <f>IF(AND(C1873&lt;&gt;"", J1873&lt;&gt;""), HYPERLINK("#'" &amp; C1873 &amp; "'!" &amp; J1873, J1873), "")</f>
        <v>0</v>
      </c>
    </row>
    <row r="1874" spans="2:2">
      <c r="B1874" s="21">
        <f>IF(AND(C1874&lt;&gt;"", J1874&lt;&gt;""), HYPERLINK("#'" &amp; C1874 &amp; "'!" &amp; J1874, J1874), "")</f>
        <v>0</v>
      </c>
    </row>
    <row r="1875" spans="2:2">
      <c r="B1875" s="21">
        <f>IF(AND(C1875&lt;&gt;"", J1875&lt;&gt;""), HYPERLINK("#'" &amp; C1875 &amp; "'!" &amp; J1875, J1875), "")</f>
        <v>0</v>
      </c>
    </row>
    <row r="1876" spans="2:2">
      <c r="B1876" s="21">
        <f>IF(AND(C1876&lt;&gt;"", J1876&lt;&gt;""), HYPERLINK("#'" &amp; C1876 &amp; "'!" &amp; J1876, J1876), "")</f>
        <v>0</v>
      </c>
    </row>
    <row r="1877" spans="2:2">
      <c r="B1877" s="21">
        <f>IF(AND(C1877&lt;&gt;"", J1877&lt;&gt;""), HYPERLINK("#'" &amp; C1877 &amp; "'!" &amp; J1877, J1877), "")</f>
        <v>0</v>
      </c>
    </row>
    <row r="1878" spans="2:2">
      <c r="B1878" s="21">
        <f>IF(AND(C1878&lt;&gt;"", J1878&lt;&gt;""), HYPERLINK("#'" &amp; C1878 &amp; "'!" &amp; J1878, J1878), "")</f>
        <v>0</v>
      </c>
    </row>
    <row r="1879" spans="2:2">
      <c r="B1879" s="21">
        <f>IF(AND(C1879&lt;&gt;"", J1879&lt;&gt;""), HYPERLINK("#'" &amp; C1879 &amp; "'!" &amp; J1879, J1879), "")</f>
        <v>0</v>
      </c>
    </row>
    <row r="1880" spans="2:2">
      <c r="B1880" s="21">
        <f>IF(AND(C1880&lt;&gt;"", J1880&lt;&gt;""), HYPERLINK("#'" &amp; C1880 &amp; "'!" &amp; J1880, J1880), "")</f>
        <v>0</v>
      </c>
    </row>
    <row r="1881" spans="2:2">
      <c r="B1881" s="21">
        <f>IF(AND(C1881&lt;&gt;"", J1881&lt;&gt;""), HYPERLINK("#'" &amp; C1881 &amp; "'!" &amp; J1881, J1881), "")</f>
        <v>0</v>
      </c>
    </row>
    <row r="1882" spans="2:2">
      <c r="B1882" s="21">
        <f>IF(AND(C1882&lt;&gt;"", J1882&lt;&gt;""), HYPERLINK("#'" &amp; C1882 &amp; "'!" &amp; J1882, J1882), "")</f>
        <v>0</v>
      </c>
    </row>
    <row r="1883" spans="2:2">
      <c r="B1883" s="21">
        <f>IF(AND(C1883&lt;&gt;"", J1883&lt;&gt;""), HYPERLINK("#'" &amp; C1883 &amp; "'!" &amp; J1883, J1883), "")</f>
        <v>0</v>
      </c>
    </row>
    <row r="1884" spans="2:2">
      <c r="B1884" s="21">
        <f>IF(AND(C1884&lt;&gt;"", J1884&lt;&gt;""), HYPERLINK("#'" &amp; C1884 &amp; "'!" &amp; J1884, J1884), "")</f>
        <v>0</v>
      </c>
    </row>
    <row r="1885" spans="2:2">
      <c r="B1885" s="21">
        <f>IF(AND(C1885&lt;&gt;"", J1885&lt;&gt;""), HYPERLINK("#'" &amp; C1885 &amp; "'!" &amp; J1885, J1885), "")</f>
        <v>0</v>
      </c>
    </row>
    <row r="1886" spans="2:2">
      <c r="B1886" s="21">
        <f>IF(AND(C1886&lt;&gt;"", J1886&lt;&gt;""), HYPERLINK("#'" &amp; C1886 &amp; "'!" &amp; J1886, J1886), "")</f>
        <v>0</v>
      </c>
    </row>
    <row r="1887" spans="2:2">
      <c r="B1887" s="21">
        <f>IF(AND(C1887&lt;&gt;"", J1887&lt;&gt;""), HYPERLINK("#'" &amp; C1887 &amp; "'!" &amp; J1887, J1887), "")</f>
        <v>0</v>
      </c>
    </row>
    <row r="1888" spans="2:2">
      <c r="B1888" s="21">
        <f>IF(AND(C1888&lt;&gt;"", J1888&lt;&gt;""), HYPERLINK("#'" &amp; C1888 &amp; "'!" &amp; J1888, J1888), "")</f>
        <v>0</v>
      </c>
    </row>
    <row r="1889" spans="2:2">
      <c r="B1889" s="21">
        <f>IF(AND(C1889&lt;&gt;"", J1889&lt;&gt;""), HYPERLINK("#'" &amp; C1889 &amp; "'!" &amp; J1889, J1889), "")</f>
        <v>0</v>
      </c>
    </row>
    <row r="1890" spans="2:2">
      <c r="B1890" s="21">
        <f>IF(AND(C1890&lt;&gt;"", J1890&lt;&gt;""), HYPERLINK("#'" &amp; C1890 &amp; "'!" &amp; J1890, J1890), "")</f>
        <v>0</v>
      </c>
    </row>
    <row r="1891" spans="2:2">
      <c r="B1891" s="21">
        <f>IF(AND(C1891&lt;&gt;"", J1891&lt;&gt;""), HYPERLINK("#'" &amp; C1891 &amp; "'!" &amp; J1891, J1891), "")</f>
        <v>0</v>
      </c>
    </row>
    <row r="1892" spans="2:2">
      <c r="B1892" s="21">
        <f>IF(AND(C1892&lt;&gt;"", J1892&lt;&gt;""), HYPERLINK("#'" &amp; C1892 &amp; "'!" &amp; J1892, J1892), "")</f>
        <v>0</v>
      </c>
    </row>
    <row r="1893" spans="2:2">
      <c r="B1893" s="21">
        <f>IF(AND(C1893&lt;&gt;"", J1893&lt;&gt;""), HYPERLINK("#'" &amp; C1893 &amp; "'!" &amp; J1893, J1893), "")</f>
        <v>0</v>
      </c>
    </row>
    <row r="1894" spans="2:2">
      <c r="B1894" s="21">
        <f>IF(AND(C1894&lt;&gt;"", J1894&lt;&gt;""), HYPERLINK("#'" &amp; C1894 &amp; "'!" &amp; J1894, J1894), "")</f>
        <v>0</v>
      </c>
    </row>
    <row r="1895" spans="2:2">
      <c r="B1895" s="21">
        <f>IF(AND(C1895&lt;&gt;"", J1895&lt;&gt;""), HYPERLINK("#'" &amp; C1895 &amp; "'!" &amp; J1895, J1895), "")</f>
        <v>0</v>
      </c>
    </row>
    <row r="1896" spans="2:2">
      <c r="B1896" s="21">
        <f>IF(AND(C1896&lt;&gt;"", J1896&lt;&gt;""), HYPERLINK("#'" &amp; C1896 &amp; "'!" &amp; J1896, J1896), "")</f>
        <v>0</v>
      </c>
    </row>
    <row r="1897" spans="2:2">
      <c r="B1897" s="21">
        <f>IF(AND(C1897&lt;&gt;"", J1897&lt;&gt;""), HYPERLINK("#'" &amp; C1897 &amp; "'!" &amp; J1897, J1897), "")</f>
        <v>0</v>
      </c>
    </row>
    <row r="1898" spans="2:2">
      <c r="B1898" s="21">
        <f>IF(AND(C1898&lt;&gt;"", J1898&lt;&gt;""), HYPERLINK("#'" &amp; C1898 &amp; "'!" &amp; J1898, J1898), "")</f>
        <v>0</v>
      </c>
    </row>
    <row r="1899" spans="2:2">
      <c r="B1899" s="21">
        <f>IF(AND(C1899&lt;&gt;"", J1899&lt;&gt;""), HYPERLINK("#'" &amp; C1899 &amp; "'!" &amp; J1899, J1899), "")</f>
        <v>0</v>
      </c>
    </row>
    <row r="1900" spans="2:2">
      <c r="B1900" s="21">
        <f>IF(AND(C1900&lt;&gt;"", J1900&lt;&gt;""), HYPERLINK("#'" &amp; C1900 &amp; "'!" &amp; J1900, J1900), "")</f>
        <v>0</v>
      </c>
    </row>
    <row r="1901" spans="2:2">
      <c r="B1901" s="21">
        <f>IF(AND(C1901&lt;&gt;"", J1901&lt;&gt;""), HYPERLINK("#'" &amp; C1901 &amp; "'!" &amp; J1901, J1901), "")</f>
        <v>0</v>
      </c>
    </row>
    <row r="1902" spans="2:2">
      <c r="B1902" s="21">
        <f>IF(AND(C1902&lt;&gt;"", J1902&lt;&gt;""), HYPERLINK("#'" &amp; C1902 &amp; "'!" &amp; J1902, J1902), "")</f>
        <v>0</v>
      </c>
    </row>
    <row r="1903" spans="2:2">
      <c r="B1903" s="21">
        <f>IF(AND(C1903&lt;&gt;"", J1903&lt;&gt;""), HYPERLINK("#'" &amp; C1903 &amp; "'!" &amp; J1903, J1903), "")</f>
        <v>0</v>
      </c>
    </row>
    <row r="1904" spans="2:2">
      <c r="B1904" s="21">
        <f>IF(AND(C1904&lt;&gt;"", J1904&lt;&gt;""), HYPERLINK("#'" &amp; C1904 &amp; "'!" &amp; J1904, J1904), "")</f>
        <v>0</v>
      </c>
    </row>
    <row r="1905" spans="2:2">
      <c r="B1905" s="21">
        <f>IF(AND(C1905&lt;&gt;"", J1905&lt;&gt;""), HYPERLINK("#'" &amp; C1905 &amp; "'!" &amp; J1905, J1905), "")</f>
        <v>0</v>
      </c>
    </row>
    <row r="1906" spans="2:2">
      <c r="B1906" s="21">
        <f>IF(AND(C1906&lt;&gt;"", J1906&lt;&gt;""), HYPERLINK("#'" &amp; C1906 &amp; "'!" &amp; J1906, J1906), "")</f>
        <v>0</v>
      </c>
    </row>
    <row r="1907" spans="2:2">
      <c r="B1907" s="21">
        <f>IF(AND(C1907&lt;&gt;"", J1907&lt;&gt;""), HYPERLINK("#'" &amp; C1907 &amp; "'!" &amp; J1907, J1907), "")</f>
        <v>0</v>
      </c>
    </row>
    <row r="1908" spans="2:2">
      <c r="B1908" s="21">
        <f>IF(AND(C1908&lt;&gt;"", J1908&lt;&gt;""), HYPERLINK("#'" &amp; C1908 &amp; "'!" &amp; J1908, J1908), "")</f>
        <v>0</v>
      </c>
    </row>
    <row r="1909" spans="2:2">
      <c r="B1909" s="21">
        <f>IF(AND(C1909&lt;&gt;"", J1909&lt;&gt;""), HYPERLINK("#'" &amp; C1909 &amp; "'!" &amp; J1909, J1909), "")</f>
        <v>0</v>
      </c>
    </row>
    <row r="1910" spans="2:2">
      <c r="B1910" s="21">
        <f>IF(AND(C1910&lt;&gt;"", J1910&lt;&gt;""), HYPERLINK("#'" &amp; C1910 &amp; "'!" &amp; J1910, J1910), "")</f>
        <v>0</v>
      </c>
    </row>
    <row r="1911" spans="2:2">
      <c r="B1911" s="21">
        <f>IF(AND(C1911&lt;&gt;"", J1911&lt;&gt;""), HYPERLINK("#'" &amp; C1911 &amp; "'!" &amp; J1911, J1911), "")</f>
        <v>0</v>
      </c>
    </row>
    <row r="1912" spans="2:2">
      <c r="B1912" s="21">
        <f>IF(AND(C1912&lt;&gt;"", J1912&lt;&gt;""), HYPERLINK("#'" &amp; C1912 &amp; "'!" &amp; J1912, J1912), "")</f>
        <v>0</v>
      </c>
    </row>
    <row r="1913" spans="2:2">
      <c r="B1913" s="21">
        <f>IF(AND(C1913&lt;&gt;"", J1913&lt;&gt;""), HYPERLINK("#'" &amp; C1913 &amp; "'!" &amp; J1913, J1913), "")</f>
        <v>0</v>
      </c>
    </row>
    <row r="1914" spans="2:2">
      <c r="B1914" s="21">
        <f>IF(AND(C1914&lt;&gt;"", J1914&lt;&gt;""), HYPERLINK("#'" &amp; C1914 &amp; "'!" &amp; J1914, J1914), "")</f>
        <v>0</v>
      </c>
    </row>
    <row r="1915" spans="2:2">
      <c r="B1915" s="21">
        <f>IF(AND(C1915&lt;&gt;"", J1915&lt;&gt;""), HYPERLINK("#'" &amp; C1915 &amp; "'!" &amp; J1915, J1915), "")</f>
        <v>0</v>
      </c>
    </row>
    <row r="1916" spans="2:2">
      <c r="B1916" s="21">
        <f>IF(AND(C1916&lt;&gt;"", J1916&lt;&gt;""), HYPERLINK("#'" &amp; C1916 &amp; "'!" &amp; J1916, J1916), "")</f>
        <v>0</v>
      </c>
    </row>
    <row r="1917" spans="2:2">
      <c r="B1917" s="21">
        <f>IF(AND(C1917&lt;&gt;"", J1917&lt;&gt;""), HYPERLINK("#'" &amp; C1917 &amp; "'!" &amp; J1917, J1917), "")</f>
        <v>0</v>
      </c>
    </row>
    <row r="1918" spans="2:2">
      <c r="B1918" s="21">
        <f>IF(AND(C1918&lt;&gt;"", J1918&lt;&gt;""), HYPERLINK("#'" &amp; C1918 &amp; "'!" &amp; J1918, J1918), "")</f>
        <v>0</v>
      </c>
    </row>
    <row r="1919" spans="2:2">
      <c r="B1919" s="21">
        <f>IF(AND(C1919&lt;&gt;"", J1919&lt;&gt;""), HYPERLINK("#'" &amp; C1919 &amp; "'!" &amp; J1919, J1919), "")</f>
        <v>0</v>
      </c>
    </row>
    <row r="1920" spans="2:2">
      <c r="B1920" s="21">
        <f>IF(AND(C1920&lt;&gt;"", J1920&lt;&gt;""), HYPERLINK("#'" &amp; C1920 &amp; "'!" &amp; J1920, J1920), "")</f>
        <v>0</v>
      </c>
    </row>
    <row r="1921" spans="2:2">
      <c r="B1921" s="21">
        <f>IF(AND(C1921&lt;&gt;"", J1921&lt;&gt;""), HYPERLINK("#'" &amp; C1921 &amp; "'!" &amp; J1921, J1921), "")</f>
        <v>0</v>
      </c>
    </row>
    <row r="1922" spans="2:2">
      <c r="B1922" s="21">
        <f>IF(AND(C1922&lt;&gt;"", J1922&lt;&gt;""), HYPERLINK("#'" &amp; C1922 &amp; "'!" &amp; J1922, J1922), "")</f>
        <v>0</v>
      </c>
    </row>
    <row r="1923" spans="2:2">
      <c r="B1923" s="21">
        <f>IF(AND(C1923&lt;&gt;"", J1923&lt;&gt;""), HYPERLINK("#'" &amp; C1923 &amp; "'!" &amp; J1923, J1923), "")</f>
        <v>0</v>
      </c>
    </row>
    <row r="1924" spans="2:2">
      <c r="B1924" s="21">
        <f>IF(AND(C1924&lt;&gt;"", J1924&lt;&gt;""), HYPERLINK("#'" &amp; C1924 &amp; "'!" &amp; J1924, J1924), "")</f>
        <v>0</v>
      </c>
    </row>
    <row r="1925" spans="2:2">
      <c r="B1925" s="21">
        <f>IF(AND(C1925&lt;&gt;"", J1925&lt;&gt;""), HYPERLINK("#'" &amp; C1925 &amp; "'!" &amp; J1925, J1925), "")</f>
        <v>0</v>
      </c>
    </row>
    <row r="1926" spans="2:2">
      <c r="B1926" s="21">
        <f>IF(AND(C1926&lt;&gt;"", J1926&lt;&gt;""), HYPERLINK("#'" &amp; C1926 &amp; "'!" &amp; J1926, J1926), "")</f>
        <v>0</v>
      </c>
    </row>
    <row r="1927" spans="2:2">
      <c r="B1927" s="21">
        <f>IF(AND(C1927&lt;&gt;"", J1927&lt;&gt;""), HYPERLINK("#'" &amp; C1927 &amp; "'!" &amp; J1927, J1927), "")</f>
        <v>0</v>
      </c>
    </row>
    <row r="1928" spans="2:2">
      <c r="B1928" s="21">
        <f>IF(AND(C1928&lt;&gt;"", J1928&lt;&gt;""), HYPERLINK("#'" &amp; C1928 &amp; "'!" &amp; J1928, J1928), "")</f>
        <v>0</v>
      </c>
    </row>
    <row r="1929" spans="2:2">
      <c r="B1929" s="21">
        <f>IF(AND(C1929&lt;&gt;"", J1929&lt;&gt;""), HYPERLINK("#'" &amp; C1929 &amp; "'!" &amp; J1929, J1929), "")</f>
        <v>0</v>
      </c>
    </row>
    <row r="1930" spans="2:2">
      <c r="B1930" s="21">
        <f>IF(AND(C1930&lt;&gt;"", J1930&lt;&gt;""), HYPERLINK("#'" &amp; C1930 &amp; "'!" &amp; J1930, J1930), "")</f>
        <v>0</v>
      </c>
    </row>
    <row r="1931" spans="2:2">
      <c r="B1931" s="21">
        <f>IF(AND(C1931&lt;&gt;"", J1931&lt;&gt;""), HYPERLINK("#'" &amp; C1931 &amp; "'!" &amp; J1931, J1931), "")</f>
        <v>0</v>
      </c>
    </row>
    <row r="1932" spans="2:2">
      <c r="B1932" s="21">
        <f>IF(AND(C1932&lt;&gt;"", J1932&lt;&gt;""), HYPERLINK("#'" &amp; C1932 &amp; "'!" &amp; J1932, J1932), "")</f>
        <v>0</v>
      </c>
    </row>
    <row r="1933" spans="2:2">
      <c r="B1933" s="21">
        <f>IF(AND(C1933&lt;&gt;"", J1933&lt;&gt;""), HYPERLINK("#'" &amp; C1933 &amp; "'!" &amp; J1933, J1933), "")</f>
        <v>0</v>
      </c>
    </row>
    <row r="1934" spans="2:2">
      <c r="B1934" s="21">
        <f>IF(AND(C1934&lt;&gt;"", J1934&lt;&gt;""), HYPERLINK("#'" &amp; C1934 &amp; "'!" &amp; J1934, J1934), "")</f>
        <v>0</v>
      </c>
    </row>
    <row r="1935" spans="2:2">
      <c r="B1935" s="21">
        <f>IF(AND(C1935&lt;&gt;"", J1935&lt;&gt;""), HYPERLINK("#'" &amp; C1935 &amp; "'!" &amp; J1935, J1935), "")</f>
        <v>0</v>
      </c>
    </row>
    <row r="1936" spans="2:2">
      <c r="B1936" s="21">
        <f>IF(AND(C1936&lt;&gt;"", J1936&lt;&gt;""), HYPERLINK("#'" &amp; C1936 &amp; "'!" &amp; J1936, J1936), "")</f>
        <v>0</v>
      </c>
    </row>
    <row r="1937" spans="2:2">
      <c r="B1937" s="21">
        <f>IF(AND(C1937&lt;&gt;"", J1937&lt;&gt;""), HYPERLINK("#'" &amp; C1937 &amp; "'!" &amp; J1937, J1937), "")</f>
        <v>0</v>
      </c>
    </row>
    <row r="1938" spans="2:2">
      <c r="B1938" s="21">
        <f>IF(AND(C1938&lt;&gt;"", J1938&lt;&gt;""), HYPERLINK("#'" &amp; C1938 &amp; "'!" &amp; J1938, J1938), "")</f>
        <v>0</v>
      </c>
    </row>
    <row r="1939" spans="2:2">
      <c r="B1939" s="21">
        <f>IF(AND(C1939&lt;&gt;"", J1939&lt;&gt;""), HYPERLINK("#'" &amp; C1939 &amp; "'!" &amp; J1939, J1939), "")</f>
        <v>0</v>
      </c>
    </row>
    <row r="1940" spans="2:2">
      <c r="B1940" s="21">
        <f>IF(AND(C1940&lt;&gt;"", J1940&lt;&gt;""), HYPERLINK("#'" &amp; C1940 &amp; "'!" &amp; J1940, J1940), "")</f>
        <v>0</v>
      </c>
    </row>
    <row r="1941" spans="2:2">
      <c r="B1941" s="21">
        <f>IF(AND(C1941&lt;&gt;"", J1941&lt;&gt;""), HYPERLINK("#'" &amp; C1941 &amp; "'!" &amp; J1941, J1941), "")</f>
        <v>0</v>
      </c>
    </row>
    <row r="1942" spans="2:2">
      <c r="B1942" s="21">
        <f>IF(AND(C1942&lt;&gt;"", J1942&lt;&gt;""), HYPERLINK("#'" &amp; C1942 &amp; "'!" &amp; J1942, J1942), "")</f>
        <v>0</v>
      </c>
    </row>
    <row r="1943" spans="2:2">
      <c r="B1943" s="21">
        <f>IF(AND(C1943&lt;&gt;"", J1943&lt;&gt;""), HYPERLINK("#'" &amp; C1943 &amp; "'!" &amp; J1943, J1943), "")</f>
        <v>0</v>
      </c>
    </row>
    <row r="1944" spans="2:2">
      <c r="B1944" s="21">
        <f>IF(AND(C1944&lt;&gt;"", J1944&lt;&gt;""), HYPERLINK("#'" &amp; C1944 &amp; "'!" &amp; J1944, J1944), "")</f>
        <v>0</v>
      </c>
    </row>
    <row r="1945" spans="2:2">
      <c r="B1945" s="21">
        <f>IF(AND(C1945&lt;&gt;"", J1945&lt;&gt;""), HYPERLINK("#'" &amp; C1945 &amp; "'!" &amp; J1945, J1945), "")</f>
        <v>0</v>
      </c>
    </row>
    <row r="1946" spans="2:2">
      <c r="B1946" s="21">
        <f>IF(AND(C1946&lt;&gt;"", J1946&lt;&gt;""), HYPERLINK("#'" &amp; C1946 &amp; "'!" &amp; J1946, J1946), "")</f>
        <v>0</v>
      </c>
    </row>
    <row r="1947" spans="2:2">
      <c r="B1947" s="21">
        <f>IF(AND(C1947&lt;&gt;"", J1947&lt;&gt;""), HYPERLINK("#'" &amp; C1947 &amp; "'!" &amp; J1947, J1947), "")</f>
        <v>0</v>
      </c>
    </row>
    <row r="1948" spans="2:2">
      <c r="B1948" s="21">
        <f>IF(AND(C1948&lt;&gt;"", J1948&lt;&gt;""), HYPERLINK("#'" &amp; C1948 &amp; "'!" &amp; J1948, J1948), "")</f>
        <v>0</v>
      </c>
    </row>
    <row r="1949" spans="2:2">
      <c r="B1949" s="21">
        <f>IF(AND(C1949&lt;&gt;"", J1949&lt;&gt;""), HYPERLINK("#'" &amp; C1949 &amp; "'!" &amp; J1949, J1949), "")</f>
        <v>0</v>
      </c>
    </row>
    <row r="1950" spans="2:2">
      <c r="B1950" s="21">
        <f>IF(AND(C1950&lt;&gt;"", J1950&lt;&gt;""), HYPERLINK("#'" &amp; C1950 &amp; "'!" &amp; J1950, J1950), "")</f>
        <v>0</v>
      </c>
    </row>
    <row r="1951" spans="2:2">
      <c r="B1951" s="21">
        <f>IF(AND(C1951&lt;&gt;"", J1951&lt;&gt;""), HYPERLINK("#'" &amp; C1951 &amp; "'!" &amp; J1951, J1951), "")</f>
        <v>0</v>
      </c>
    </row>
    <row r="1952" spans="2:2">
      <c r="B1952" s="21">
        <f>IF(AND(C1952&lt;&gt;"", J1952&lt;&gt;""), HYPERLINK("#'" &amp; C1952 &amp; "'!" &amp; J1952, J1952), "")</f>
        <v>0</v>
      </c>
    </row>
    <row r="1953" spans="2:2">
      <c r="B1953" s="21">
        <f>IF(AND(C1953&lt;&gt;"", J1953&lt;&gt;""), HYPERLINK("#'" &amp; C1953 &amp; "'!" &amp; J1953, J1953), "")</f>
        <v>0</v>
      </c>
    </row>
    <row r="1954" spans="2:2">
      <c r="B1954" s="21">
        <f>IF(AND(C1954&lt;&gt;"", J1954&lt;&gt;""), HYPERLINK("#'" &amp; C1954 &amp; "'!" &amp; J1954, J1954), "")</f>
        <v>0</v>
      </c>
    </row>
    <row r="1955" spans="2:2">
      <c r="B1955" s="21">
        <f>IF(AND(C1955&lt;&gt;"", J1955&lt;&gt;""), HYPERLINK("#'" &amp; C1955 &amp; "'!" &amp; J1955, J1955), "")</f>
        <v>0</v>
      </c>
    </row>
    <row r="1956" spans="2:2">
      <c r="B1956" s="21">
        <f>IF(AND(C1956&lt;&gt;"", J1956&lt;&gt;""), HYPERLINK("#'" &amp; C1956 &amp; "'!" &amp; J1956, J1956), "")</f>
        <v>0</v>
      </c>
    </row>
    <row r="1957" spans="2:2">
      <c r="B1957" s="21">
        <f>IF(AND(C1957&lt;&gt;"", J1957&lt;&gt;""), HYPERLINK("#'" &amp; C1957 &amp; "'!" &amp; J1957, J1957), "")</f>
        <v>0</v>
      </c>
    </row>
    <row r="1958" spans="2:2">
      <c r="B1958" s="21">
        <f>IF(AND(C1958&lt;&gt;"", J1958&lt;&gt;""), HYPERLINK("#'" &amp; C1958 &amp; "'!" &amp; J1958, J1958), "")</f>
        <v>0</v>
      </c>
    </row>
    <row r="1959" spans="2:2">
      <c r="B1959" s="21">
        <f>IF(AND(C1959&lt;&gt;"", J1959&lt;&gt;""), HYPERLINK("#'" &amp; C1959 &amp; "'!" &amp; J1959, J1959), "")</f>
        <v>0</v>
      </c>
    </row>
    <row r="1960" spans="2:2">
      <c r="B1960" s="21">
        <f>IF(AND(C1960&lt;&gt;"", J1960&lt;&gt;""), HYPERLINK("#'" &amp; C1960 &amp; "'!" &amp; J1960, J1960), "")</f>
        <v>0</v>
      </c>
    </row>
    <row r="1961" spans="2:2">
      <c r="B1961" s="21">
        <f>IF(AND(C1961&lt;&gt;"", J1961&lt;&gt;""), HYPERLINK("#'" &amp; C1961 &amp; "'!" &amp; J1961, J1961), "")</f>
        <v>0</v>
      </c>
    </row>
    <row r="1962" spans="2:2">
      <c r="B1962" s="21">
        <f>IF(AND(C1962&lt;&gt;"", J1962&lt;&gt;""), HYPERLINK("#'" &amp; C1962 &amp; "'!" &amp; J1962, J1962), "")</f>
        <v>0</v>
      </c>
    </row>
    <row r="1963" spans="2:2">
      <c r="B1963" s="21">
        <f>IF(AND(C1963&lt;&gt;"", J1963&lt;&gt;""), HYPERLINK("#'" &amp; C1963 &amp; "'!" &amp; J1963, J1963), "")</f>
        <v>0</v>
      </c>
    </row>
    <row r="1964" spans="2:2">
      <c r="B1964" s="21">
        <f>IF(AND(C1964&lt;&gt;"", J1964&lt;&gt;""), HYPERLINK("#'" &amp; C1964 &amp; "'!" &amp; J1964, J1964), "")</f>
        <v>0</v>
      </c>
    </row>
    <row r="1965" spans="2:2">
      <c r="B1965" s="21">
        <f>IF(AND(C1965&lt;&gt;"", J1965&lt;&gt;""), HYPERLINK("#'" &amp; C1965 &amp; "'!" &amp; J1965, J1965), "")</f>
        <v>0</v>
      </c>
    </row>
    <row r="1966" spans="2:2">
      <c r="B1966" s="21">
        <f>IF(AND(C1966&lt;&gt;"", J1966&lt;&gt;""), HYPERLINK("#'" &amp; C1966 &amp; "'!" &amp; J1966, J1966), "")</f>
        <v>0</v>
      </c>
    </row>
    <row r="1967" spans="2:2">
      <c r="B1967" s="21">
        <f>IF(AND(C1967&lt;&gt;"", J1967&lt;&gt;""), HYPERLINK("#'" &amp; C1967 &amp; "'!" &amp; J1967, J1967), "")</f>
        <v>0</v>
      </c>
    </row>
    <row r="1968" spans="2:2">
      <c r="B1968" s="21">
        <f>IF(AND(C1968&lt;&gt;"", J1968&lt;&gt;""), HYPERLINK("#'" &amp; C1968 &amp; "'!" &amp; J1968, J1968), "")</f>
        <v>0</v>
      </c>
    </row>
    <row r="1969" spans="2:2">
      <c r="B1969" s="21">
        <f>IF(AND(C1969&lt;&gt;"", J1969&lt;&gt;""), HYPERLINK("#'" &amp; C1969 &amp; "'!" &amp; J1969, J1969), "")</f>
        <v>0</v>
      </c>
    </row>
    <row r="1970" spans="2:2">
      <c r="B1970" s="21">
        <f>IF(AND(C1970&lt;&gt;"", J1970&lt;&gt;""), HYPERLINK("#'" &amp; C1970 &amp; "'!" &amp; J1970, J1970), "")</f>
        <v>0</v>
      </c>
    </row>
    <row r="1971" spans="2:2">
      <c r="B1971" s="21">
        <f>IF(AND(C1971&lt;&gt;"", J1971&lt;&gt;""), HYPERLINK("#'" &amp; C1971 &amp; "'!" &amp; J1971, J1971), "")</f>
        <v>0</v>
      </c>
    </row>
    <row r="1972" spans="2:2">
      <c r="B1972" s="21">
        <f>IF(AND(C1972&lt;&gt;"", J1972&lt;&gt;""), HYPERLINK("#'" &amp; C1972 &amp; "'!" &amp; J1972, J1972), "")</f>
        <v>0</v>
      </c>
    </row>
    <row r="1973" spans="2:2">
      <c r="B1973" s="21">
        <f>IF(AND(C1973&lt;&gt;"", J1973&lt;&gt;""), HYPERLINK("#'" &amp; C1973 &amp; "'!" &amp; J1973, J1973), "")</f>
        <v>0</v>
      </c>
    </row>
    <row r="1974" spans="2:2">
      <c r="B1974" s="21">
        <f>IF(AND(C1974&lt;&gt;"", J1974&lt;&gt;""), HYPERLINK("#'" &amp; C1974 &amp; "'!" &amp; J1974, J1974), "")</f>
        <v>0</v>
      </c>
    </row>
    <row r="1975" spans="2:2">
      <c r="B1975" s="21">
        <f>IF(AND(C1975&lt;&gt;"", J1975&lt;&gt;""), HYPERLINK("#'" &amp; C1975 &amp; "'!" &amp; J1975, J1975), "")</f>
        <v>0</v>
      </c>
    </row>
    <row r="1976" spans="2:2">
      <c r="B1976" s="21">
        <f>IF(AND(C1976&lt;&gt;"", J1976&lt;&gt;""), HYPERLINK("#'" &amp; C1976 &amp; "'!" &amp; J1976, J1976), "")</f>
        <v>0</v>
      </c>
    </row>
    <row r="1977" spans="2:2">
      <c r="B1977" s="21">
        <f>IF(AND(C1977&lt;&gt;"", J1977&lt;&gt;""), HYPERLINK("#'" &amp; C1977 &amp; "'!" &amp; J1977, J1977), "")</f>
        <v>0</v>
      </c>
    </row>
    <row r="1978" spans="2:2">
      <c r="B1978" s="21">
        <f>IF(AND(C1978&lt;&gt;"", J1978&lt;&gt;""), HYPERLINK("#'" &amp; C1978 &amp; "'!" &amp; J1978, J1978), "")</f>
        <v>0</v>
      </c>
    </row>
    <row r="1979" spans="2:2">
      <c r="B1979" s="21">
        <f>IF(AND(C1979&lt;&gt;"", J1979&lt;&gt;""), HYPERLINK("#'" &amp; C1979 &amp; "'!" &amp; J1979, J1979), "")</f>
        <v>0</v>
      </c>
    </row>
    <row r="1980" spans="2:2">
      <c r="B1980" s="21">
        <f>IF(AND(C1980&lt;&gt;"", J1980&lt;&gt;""), HYPERLINK("#'" &amp; C1980 &amp; "'!" &amp; J1980, J1980), "")</f>
        <v>0</v>
      </c>
    </row>
    <row r="1981" spans="2:2">
      <c r="B1981" s="21">
        <f>IF(AND(C1981&lt;&gt;"", J1981&lt;&gt;""), HYPERLINK("#'" &amp; C1981 &amp; "'!" &amp; J1981, J1981), "")</f>
        <v>0</v>
      </c>
    </row>
    <row r="1982" spans="2:2">
      <c r="B1982" s="21">
        <f>IF(AND(C1982&lt;&gt;"", J1982&lt;&gt;""), HYPERLINK("#'" &amp; C1982 &amp; "'!" &amp; J1982, J1982), "")</f>
        <v>0</v>
      </c>
    </row>
    <row r="1983" spans="2:2">
      <c r="B1983" s="21">
        <f>IF(AND(C1983&lt;&gt;"", J1983&lt;&gt;""), HYPERLINK("#'" &amp; C1983 &amp; "'!" &amp; J1983, J1983), "")</f>
        <v>0</v>
      </c>
    </row>
    <row r="1984" spans="2:2">
      <c r="B1984" s="21">
        <f>IF(AND(C1984&lt;&gt;"", J1984&lt;&gt;""), HYPERLINK("#'" &amp; C1984 &amp; "'!" &amp; J1984, J1984), "")</f>
        <v>0</v>
      </c>
    </row>
    <row r="1985" spans="2:2">
      <c r="B1985" s="21">
        <f>IF(AND(C1985&lt;&gt;"", J1985&lt;&gt;""), HYPERLINK("#'" &amp; C1985 &amp; "'!" &amp; J1985, J1985), "")</f>
        <v>0</v>
      </c>
    </row>
    <row r="1986" spans="2:2">
      <c r="B1986" s="21">
        <f>IF(AND(C1986&lt;&gt;"", J1986&lt;&gt;""), HYPERLINK("#'" &amp; C1986 &amp; "'!" &amp; J1986, J1986), "")</f>
        <v>0</v>
      </c>
    </row>
    <row r="1987" spans="2:2">
      <c r="B1987" s="21">
        <f>IF(AND(C1987&lt;&gt;"", J1987&lt;&gt;""), HYPERLINK("#'" &amp; C1987 &amp; "'!" &amp; J1987, J1987), "")</f>
        <v>0</v>
      </c>
    </row>
    <row r="1988" spans="2:2">
      <c r="B1988" s="21">
        <f>IF(AND(C1988&lt;&gt;"", J1988&lt;&gt;""), HYPERLINK("#'" &amp; C1988 &amp; "'!" &amp; J1988, J1988), "")</f>
        <v>0</v>
      </c>
    </row>
    <row r="1989" spans="2:2">
      <c r="B1989" s="21">
        <f>IF(AND(C1989&lt;&gt;"", J1989&lt;&gt;""), HYPERLINK("#'" &amp; C1989 &amp; "'!" &amp; J1989, J1989), "")</f>
        <v>0</v>
      </c>
    </row>
    <row r="1990" spans="2:2">
      <c r="B1990" s="21">
        <f>IF(AND(C1990&lt;&gt;"", J1990&lt;&gt;""), HYPERLINK("#'" &amp; C1990 &amp; "'!" &amp; J1990, J1990), "")</f>
        <v>0</v>
      </c>
    </row>
    <row r="1991" spans="2:2">
      <c r="B1991" s="21">
        <f>IF(AND(C1991&lt;&gt;"", J1991&lt;&gt;""), HYPERLINK("#'" &amp; C1991 &amp; "'!" &amp; J1991, J1991), "")</f>
        <v>0</v>
      </c>
    </row>
    <row r="1992" spans="2:2">
      <c r="B1992" s="21">
        <f>IF(AND(C1992&lt;&gt;"", J1992&lt;&gt;""), HYPERLINK("#'" &amp; C1992 &amp; "'!" &amp; J1992, J1992), "")</f>
        <v>0</v>
      </c>
    </row>
    <row r="1993" spans="2:2">
      <c r="B1993" s="21">
        <f>IF(AND(C1993&lt;&gt;"", J1993&lt;&gt;""), HYPERLINK("#'" &amp; C1993 &amp; "'!" &amp; J1993, J1993), "")</f>
        <v>0</v>
      </c>
    </row>
    <row r="1994" spans="2:2">
      <c r="B1994" s="21">
        <f>IF(AND(C1994&lt;&gt;"", J1994&lt;&gt;""), HYPERLINK("#'" &amp; C1994 &amp; "'!" &amp; J1994, J1994), "")</f>
        <v>0</v>
      </c>
    </row>
    <row r="1995" spans="2:2">
      <c r="B1995" s="21">
        <f>IF(AND(C1995&lt;&gt;"", J1995&lt;&gt;""), HYPERLINK("#'" &amp; C1995 &amp; "'!" &amp; J1995, J1995), "")</f>
        <v>0</v>
      </c>
    </row>
    <row r="1996" spans="2:2">
      <c r="B1996" s="21">
        <f>IF(AND(C1996&lt;&gt;"", J1996&lt;&gt;""), HYPERLINK("#'" &amp; C1996 &amp; "'!" &amp; J1996, J1996), "")</f>
        <v>0</v>
      </c>
    </row>
    <row r="1997" spans="2:2">
      <c r="B1997" s="21">
        <f>IF(AND(C1997&lt;&gt;"", J1997&lt;&gt;""), HYPERLINK("#'" &amp; C1997 &amp; "'!" &amp; J1997, J1997), "")</f>
        <v>0</v>
      </c>
    </row>
    <row r="1998" spans="2:2">
      <c r="B1998" s="21">
        <f>IF(AND(C1998&lt;&gt;"", J1998&lt;&gt;""), HYPERLINK("#'" &amp; C1998 &amp; "'!" &amp; J1998, J1998), "")</f>
        <v>0</v>
      </c>
    </row>
    <row r="1999" spans="2:2">
      <c r="B1999" s="21">
        <f>IF(AND(C1999&lt;&gt;"", J1999&lt;&gt;""), HYPERLINK("#'" &amp; C1999 &amp; "'!" &amp; J1999, J1999), "")</f>
        <v>0</v>
      </c>
    </row>
    <row r="2000" spans="2:2">
      <c r="B2000" s="21">
        <f>IF(AND(C2000&lt;&gt;"", J2000&lt;&gt;""), HYPERLINK("#'" &amp; C2000 &amp; "'!" &amp; J2000, J2000), "")</f>
        <v>0</v>
      </c>
    </row>
    <row r="2001" spans="2:2">
      <c r="B2001" s="21">
        <f>IF(AND(C2001&lt;&gt;"", J2001&lt;&gt;""), HYPERLINK("#'" &amp; C2001 &amp; "'!" &amp; J2001, J2001), "")</f>
        <v>0</v>
      </c>
    </row>
    <row r="2002" spans="2:2">
      <c r="B2002" s="21">
        <f>IF(AND(C2002&lt;&gt;"", J2002&lt;&gt;""), HYPERLINK("#'" &amp; C2002 &amp; "'!" &amp; J2002, J2002), "")</f>
        <v>0</v>
      </c>
    </row>
    <row r="2003" spans="2:2">
      <c r="B2003" s="21">
        <f>IF(AND(C2003&lt;&gt;"", J2003&lt;&gt;""), HYPERLINK("#'" &amp; C2003 &amp; "'!" &amp; J2003, J2003), "")</f>
        <v>0</v>
      </c>
    </row>
    <row r="2004" spans="2:2">
      <c r="B2004" s="21">
        <f>IF(AND(C2004&lt;&gt;"", J2004&lt;&gt;""), HYPERLINK("#'" &amp; C2004 &amp; "'!" &amp; J2004, J2004), "")</f>
        <v>0</v>
      </c>
    </row>
    <row r="2005" spans="2:2">
      <c r="B2005" s="21">
        <f>IF(AND(C2005&lt;&gt;"", J2005&lt;&gt;""), HYPERLINK("#'" &amp; C2005 &amp; "'!" &amp; J2005, J2005), "")</f>
        <v>0</v>
      </c>
    </row>
    <row r="2006" spans="2:2">
      <c r="B2006" s="21">
        <f>IF(AND(C2006&lt;&gt;"", J2006&lt;&gt;""), HYPERLINK("#'" &amp; C2006 &amp; "'!" &amp; J2006, J2006), "")</f>
        <v>0</v>
      </c>
    </row>
    <row r="2007" spans="2:2">
      <c r="B2007" s="21">
        <f>IF(AND(C2007&lt;&gt;"", J2007&lt;&gt;""), HYPERLINK("#'" &amp; C2007 &amp; "'!" &amp; J2007, J2007), "")</f>
        <v>0</v>
      </c>
    </row>
    <row r="2008" spans="2:2">
      <c r="B2008" s="21">
        <f>IF(AND(C2008&lt;&gt;"", J2008&lt;&gt;""), HYPERLINK("#'" &amp; C2008 &amp; "'!" &amp; J2008, J2008), "")</f>
        <v>0</v>
      </c>
    </row>
    <row r="2009" spans="2:2">
      <c r="B2009" s="21">
        <f>IF(AND(C2009&lt;&gt;"", J2009&lt;&gt;""), HYPERLINK("#'" &amp; C2009 &amp; "'!" &amp; J2009, J2009), "")</f>
        <v>0</v>
      </c>
    </row>
    <row r="2010" spans="2:2">
      <c r="B2010" s="21">
        <f>IF(AND(C2010&lt;&gt;"", J2010&lt;&gt;""), HYPERLINK("#'" &amp; C2010 &amp; "'!" &amp; J2010, J2010), "")</f>
        <v>0</v>
      </c>
    </row>
    <row r="2011" spans="2:2">
      <c r="B2011" s="21">
        <f>IF(AND(C2011&lt;&gt;"", J2011&lt;&gt;""), HYPERLINK("#'" &amp; C2011 &amp; "'!" &amp; J2011, J2011), "")</f>
        <v>0</v>
      </c>
    </row>
    <row r="2012" spans="2:2">
      <c r="B2012" s="21">
        <f>IF(AND(C2012&lt;&gt;"", J2012&lt;&gt;""), HYPERLINK("#'" &amp; C2012 &amp; "'!" &amp; J2012, J2012), "")</f>
        <v>0</v>
      </c>
    </row>
    <row r="2013" spans="2:2">
      <c r="B2013" s="21">
        <f>IF(AND(C2013&lt;&gt;"", J2013&lt;&gt;""), HYPERLINK("#'" &amp; C2013 &amp; "'!" &amp; J2013, J2013), "")</f>
        <v>0</v>
      </c>
    </row>
    <row r="2014" spans="2:2">
      <c r="B2014" s="21">
        <f>IF(AND(C2014&lt;&gt;"", J2014&lt;&gt;""), HYPERLINK("#'" &amp; C2014 &amp; "'!" &amp; J2014, J2014), "")</f>
        <v>0</v>
      </c>
    </row>
    <row r="2015" spans="2:2">
      <c r="B2015" s="21">
        <f>IF(AND(C2015&lt;&gt;"", J2015&lt;&gt;""), HYPERLINK("#'" &amp; C2015 &amp; "'!" &amp; J2015, J2015), "")</f>
        <v>0</v>
      </c>
    </row>
    <row r="2016" spans="2:2">
      <c r="B2016" s="21">
        <f>IF(AND(C2016&lt;&gt;"", J2016&lt;&gt;""), HYPERLINK("#'" &amp; C2016 &amp; "'!" &amp; J2016, J2016), "")</f>
        <v>0</v>
      </c>
    </row>
    <row r="2017" spans="2:2">
      <c r="B2017" s="21">
        <f>IF(AND(C2017&lt;&gt;"", J2017&lt;&gt;""), HYPERLINK("#'" &amp; C2017 &amp; "'!" &amp; J2017, J2017), "")</f>
        <v>0</v>
      </c>
    </row>
    <row r="2018" spans="2:2">
      <c r="B2018" s="21">
        <f>IF(AND(C2018&lt;&gt;"", J2018&lt;&gt;""), HYPERLINK("#'" &amp; C2018 &amp; "'!" &amp; J2018, J2018), "")</f>
        <v>0</v>
      </c>
    </row>
    <row r="2019" spans="2:2">
      <c r="B2019" s="21">
        <f>IF(AND(C2019&lt;&gt;"", J2019&lt;&gt;""), HYPERLINK("#'" &amp; C2019 &amp; "'!" &amp; J2019, J2019), "")</f>
        <v>0</v>
      </c>
    </row>
    <row r="2020" spans="2:2">
      <c r="B2020" s="21">
        <f>IF(AND(C2020&lt;&gt;"", J2020&lt;&gt;""), HYPERLINK("#'" &amp; C2020 &amp; "'!" &amp; J2020, J2020), "")</f>
        <v>0</v>
      </c>
    </row>
    <row r="2021" spans="2:2">
      <c r="B2021" s="21">
        <f>IF(AND(C2021&lt;&gt;"", J2021&lt;&gt;""), HYPERLINK("#'" &amp; C2021 &amp; "'!" &amp; J2021, J2021), "")</f>
        <v>0</v>
      </c>
    </row>
    <row r="2022" spans="2:2">
      <c r="B2022" s="21">
        <f>IF(AND(C2022&lt;&gt;"", J2022&lt;&gt;""), HYPERLINK("#'" &amp; C2022 &amp; "'!" &amp; J2022, J2022), "")</f>
        <v>0</v>
      </c>
    </row>
    <row r="2023" spans="2:2">
      <c r="B2023" s="21">
        <f>IF(AND(C2023&lt;&gt;"", J2023&lt;&gt;""), HYPERLINK("#'" &amp; C2023 &amp; "'!" &amp; J2023, J2023), "")</f>
        <v>0</v>
      </c>
    </row>
    <row r="2024" spans="2:2">
      <c r="B2024" s="21">
        <f>IF(AND(C2024&lt;&gt;"", J2024&lt;&gt;""), HYPERLINK("#'" &amp; C2024 &amp; "'!" &amp; J2024, J2024), "")</f>
        <v>0</v>
      </c>
    </row>
    <row r="2025" spans="2:2">
      <c r="B2025" s="21">
        <f>IF(AND(C2025&lt;&gt;"", J2025&lt;&gt;""), HYPERLINK("#'" &amp; C2025 &amp; "'!" &amp; J2025, J2025), "")</f>
        <v>0</v>
      </c>
    </row>
    <row r="2026" spans="2:2">
      <c r="B2026" s="21">
        <f>IF(AND(C2026&lt;&gt;"", J2026&lt;&gt;""), HYPERLINK("#'" &amp; C2026 &amp; "'!" &amp; J2026, J2026), "")</f>
        <v>0</v>
      </c>
    </row>
    <row r="2027" spans="2:2">
      <c r="B2027" s="21">
        <f>IF(AND(C2027&lt;&gt;"", J2027&lt;&gt;""), HYPERLINK("#'" &amp; C2027 &amp; "'!" &amp; J2027, J2027), "")</f>
        <v>0</v>
      </c>
    </row>
    <row r="2028" spans="2:2">
      <c r="B2028" s="21">
        <f>IF(AND(C2028&lt;&gt;"", J2028&lt;&gt;""), HYPERLINK("#'" &amp; C2028 &amp; "'!" &amp; J2028, J2028), "")</f>
        <v>0</v>
      </c>
    </row>
    <row r="2029" spans="2:2">
      <c r="B2029" s="21">
        <f>IF(AND(C2029&lt;&gt;"", J2029&lt;&gt;""), HYPERLINK("#'" &amp; C2029 &amp; "'!" &amp; J2029, J2029), "")</f>
        <v>0</v>
      </c>
    </row>
    <row r="2030" spans="2:2">
      <c r="B2030" s="21">
        <f>IF(AND(C2030&lt;&gt;"", J2030&lt;&gt;""), HYPERLINK("#'" &amp; C2030 &amp; "'!" &amp; J2030, J2030), "")</f>
        <v>0</v>
      </c>
    </row>
    <row r="2031" spans="2:2">
      <c r="B2031" s="21">
        <f>IF(AND(C2031&lt;&gt;"", J2031&lt;&gt;""), HYPERLINK("#'" &amp; C2031 &amp; "'!" &amp; J2031, J2031), "")</f>
        <v>0</v>
      </c>
    </row>
    <row r="2032" spans="2:2">
      <c r="B2032" s="21">
        <f>IF(AND(C2032&lt;&gt;"", J2032&lt;&gt;""), HYPERLINK("#'" &amp; C2032 &amp; "'!" &amp; J2032, J2032), "")</f>
        <v>0</v>
      </c>
    </row>
    <row r="2033" spans="2:2">
      <c r="B2033" s="21">
        <f>IF(AND(C2033&lt;&gt;"", J2033&lt;&gt;""), HYPERLINK("#'" &amp; C2033 &amp; "'!" &amp; J2033, J2033), "")</f>
        <v>0</v>
      </c>
    </row>
    <row r="2034" spans="2:2">
      <c r="B2034" s="21">
        <f>IF(AND(C2034&lt;&gt;"", J2034&lt;&gt;""), HYPERLINK("#'" &amp; C2034 &amp; "'!" &amp; J2034, J2034), "")</f>
        <v>0</v>
      </c>
    </row>
    <row r="2035" spans="2:2">
      <c r="B2035" s="21">
        <f>IF(AND(C2035&lt;&gt;"", J2035&lt;&gt;""), HYPERLINK("#'" &amp; C2035 &amp; "'!" &amp; J2035, J2035), "")</f>
        <v>0</v>
      </c>
    </row>
    <row r="2036" spans="2:2">
      <c r="B2036" s="21">
        <f>IF(AND(C2036&lt;&gt;"", J2036&lt;&gt;""), HYPERLINK("#'" &amp; C2036 &amp; "'!" &amp; J2036, J2036), "")</f>
        <v>0</v>
      </c>
    </row>
    <row r="2037" spans="2:2">
      <c r="B2037" s="21">
        <f>IF(AND(C2037&lt;&gt;"", J2037&lt;&gt;""), HYPERLINK("#'" &amp; C2037 &amp; "'!" &amp; J2037, J2037), "")</f>
        <v>0</v>
      </c>
    </row>
    <row r="2038" spans="2:2">
      <c r="B2038" s="21">
        <f>IF(AND(C2038&lt;&gt;"", J2038&lt;&gt;""), HYPERLINK("#'" &amp; C2038 &amp; "'!" &amp; J2038, J2038), "")</f>
        <v>0</v>
      </c>
    </row>
    <row r="2039" spans="2:2">
      <c r="B2039" s="21">
        <f>IF(AND(C2039&lt;&gt;"", J2039&lt;&gt;""), HYPERLINK("#'" &amp; C2039 &amp; "'!" &amp; J2039, J2039), "")</f>
        <v>0</v>
      </c>
    </row>
    <row r="2040" spans="2:2">
      <c r="B2040" s="21">
        <f>IF(AND(C2040&lt;&gt;"", J2040&lt;&gt;""), HYPERLINK("#'" &amp; C2040 &amp; "'!" &amp; J2040, J2040), "")</f>
        <v>0</v>
      </c>
    </row>
    <row r="2041" spans="2:2">
      <c r="B2041" s="21">
        <f>IF(AND(C2041&lt;&gt;"", J2041&lt;&gt;""), HYPERLINK("#'" &amp; C2041 &amp; "'!" &amp; J2041, J2041), "")</f>
        <v>0</v>
      </c>
    </row>
    <row r="2042" spans="2:2">
      <c r="B2042" s="21">
        <f>IF(AND(C2042&lt;&gt;"", J2042&lt;&gt;""), HYPERLINK("#'" &amp; C2042 &amp; "'!" &amp; J2042, J2042), "")</f>
        <v>0</v>
      </c>
    </row>
    <row r="2043" spans="2:2">
      <c r="B2043" s="21">
        <f>IF(AND(C2043&lt;&gt;"", J2043&lt;&gt;""), HYPERLINK("#'" &amp; C2043 &amp; "'!" &amp; J2043, J2043), "")</f>
        <v>0</v>
      </c>
    </row>
    <row r="2044" spans="2:2">
      <c r="B2044" s="21">
        <f>IF(AND(C2044&lt;&gt;"", J2044&lt;&gt;""), HYPERLINK("#'" &amp; C2044 &amp; "'!" &amp; J2044, J2044), "")</f>
        <v>0</v>
      </c>
    </row>
    <row r="2045" spans="2:2">
      <c r="B2045" s="21">
        <f>IF(AND(C2045&lt;&gt;"", J2045&lt;&gt;""), HYPERLINK("#'" &amp; C2045 &amp; "'!" &amp; J2045, J2045), "")</f>
        <v>0</v>
      </c>
    </row>
    <row r="2046" spans="2:2">
      <c r="B2046" s="21">
        <f>IF(AND(C2046&lt;&gt;"", J2046&lt;&gt;""), HYPERLINK("#'" &amp; C2046 &amp; "'!" &amp; J2046, J2046), "")</f>
        <v>0</v>
      </c>
    </row>
    <row r="2047" spans="2:2">
      <c r="B2047" s="21">
        <f>IF(AND(C2047&lt;&gt;"", J2047&lt;&gt;""), HYPERLINK("#'" &amp; C2047 &amp; "'!" &amp; J2047, J2047), "")</f>
        <v>0</v>
      </c>
    </row>
    <row r="2048" spans="2:2">
      <c r="B2048" s="21">
        <f>IF(AND(C2048&lt;&gt;"", J2048&lt;&gt;""), HYPERLINK("#'" &amp; C2048 &amp; "'!" &amp; J2048, J2048), "")</f>
        <v>0</v>
      </c>
    </row>
    <row r="2049" spans="2:2">
      <c r="B2049" s="21">
        <f>IF(AND(C2049&lt;&gt;"", J2049&lt;&gt;""), HYPERLINK("#'" &amp; C2049 &amp; "'!" &amp; J2049, J2049), "")</f>
        <v>0</v>
      </c>
    </row>
    <row r="2050" spans="2:2">
      <c r="B2050" s="21">
        <f>IF(AND(C2050&lt;&gt;"", J2050&lt;&gt;""), HYPERLINK("#'" &amp; C2050 &amp; "'!" &amp; J2050, J2050), "")</f>
        <v>0</v>
      </c>
    </row>
    <row r="2051" spans="2:2">
      <c r="B2051" s="21">
        <f>IF(AND(C2051&lt;&gt;"", J2051&lt;&gt;""), HYPERLINK("#'" &amp; C2051 &amp; "'!" &amp; J2051, J2051), "")</f>
        <v>0</v>
      </c>
    </row>
    <row r="2052" spans="2:2">
      <c r="B2052" s="21">
        <f>IF(AND(C2052&lt;&gt;"", J2052&lt;&gt;""), HYPERLINK("#'" &amp; C2052 &amp; "'!" &amp; J2052, J2052), "")</f>
        <v>0</v>
      </c>
    </row>
    <row r="2053" spans="2:2">
      <c r="B2053" s="21">
        <f>IF(AND(C2053&lt;&gt;"", J2053&lt;&gt;""), HYPERLINK("#'" &amp; C2053 &amp; "'!" &amp; J2053, J2053), "")</f>
        <v>0</v>
      </c>
    </row>
    <row r="2054" spans="2:2">
      <c r="B2054" s="21">
        <f>IF(AND(C2054&lt;&gt;"", J2054&lt;&gt;""), HYPERLINK("#'" &amp; C2054 &amp; "'!" &amp; J2054, J2054), "")</f>
        <v>0</v>
      </c>
    </row>
    <row r="2055" spans="2:2">
      <c r="B2055" s="21">
        <f>IF(AND(C2055&lt;&gt;"", J2055&lt;&gt;""), HYPERLINK("#'" &amp; C2055 &amp; "'!" &amp; J2055, J2055), "")</f>
        <v>0</v>
      </c>
    </row>
    <row r="2056" spans="2:2">
      <c r="B2056" s="21">
        <f>IF(AND(C2056&lt;&gt;"", J2056&lt;&gt;""), HYPERLINK("#'" &amp; C2056 &amp; "'!" &amp; J2056, J2056), "")</f>
        <v>0</v>
      </c>
    </row>
    <row r="2057" spans="2:2">
      <c r="B2057" s="21">
        <f>IF(AND(C2057&lt;&gt;"", J2057&lt;&gt;""), HYPERLINK("#'" &amp; C2057 &amp; "'!" &amp; J2057, J2057), "")</f>
        <v>0</v>
      </c>
    </row>
    <row r="2058" spans="2:2">
      <c r="B2058" s="21">
        <f>IF(AND(C2058&lt;&gt;"", J2058&lt;&gt;""), HYPERLINK("#'" &amp; C2058 &amp; "'!" &amp; J2058, J2058), "")</f>
        <v>0</v>
      </c>
    </row>
    <row r="2059" spans="2:2">
      <c r="B2059" s="21">
        <f>IF(AND(C2059&lt;&gt;"", J2059&lt;&gt;""), HYPERLINK("#'" &amp; C2059 &amp; "'!" &amp; J2059, J2059), "")</f>
        <v>0</v>
      </c>
    </row>
    <row r="2060" spans="2:2">
      <c r="B2060" s="21">
        <f>IF(AND(C2060&lt;&gt;"", J2060&lt;&gt;""), HYPERLINK("#'" &amp; C2060 &amp; "'!" &amp; J2060, J2060), "")</f>
        <v>0</v>
      </c>
    </row>
    <row r="2061" spans="2:2">
      <c r="B2061" s="21">
        <f>IF(AND(C2061&lt;&gt;"", J2061&lt;&gt;""), HYPERLINK("#'" &amp; C2061 &amp; "'!" &amp; J2061, J2061), "")</f>
        <v>0</v>
      </c>
    </row>
    <row r="2062" spans="2:2">
      <c r="B2062" s="21">
        <f>IF(AND(C2062&lt;&gt;"", J2062&lt;&gt;""), HYPERLINK("#'" &amp; C2062 &amp; "'!" &amp; J2062, J2062), "")</f>
        <v>0</v>
      </c>
    </row>
    <row r="2063" spans="2:2">
      <c r="B2063" s="21">
        <f>IF(AND(C2063&lt;&gt;"", J2063&lt;&gt;""), HYPERLINK("#'" &amp; C2063 &amp; "'!" &amp; J2063, J2063), "")</f>
        <v>0</v>
      </c>
    </row>
    <row r="2064" spans="2:2">
      <c r="B2064" s="21">
        <f>IF(AND(C2064&lt;&gt;"", J2064&lt;&gt;""), HYPERLINK("#'" &amp; C2064 &amp; "'!" &amp; J2064, J2064), "")</f>
        <v>0</v>
      </c>
    </row>
    <row r="2065" spans="2:2">
      <c r="B2065" s="21">
        <f>IF(AND(C2065&lt;&gt;"", J2065&lt;&gt;""), HYPERLINK("#'" &amp; C2065 &amp; "'!" &amp; J2065, J2065), "")</f>
        <v>0</v>
      </c>
    </row>
    <row r="2066" spans="2:2">
      <c r="B2066" s="21">
        <f>IF(AND(C2066&lt;&gt;"", J2066&lt;&gt;""), HYPERLINK("#'" &amp; C2066 &amp; "'!" &amp; J2066, J2066), "")</f>
        <v>0</v>
      </c>
    </row>
    <row r="2067" spans="2:2">
      <c r="B2067" s="21">
        <f>IF(AND(C2067&lt;&gt;"", J2067&lt;&gt;""), HYPERLINK("#'" &amp; C2067 &amp; "'!" &amp; J2067, J2067), "")</f>
        <v>0</v>
      </c>
    </row>
    <row r="2068" spans="2:2">
      <c r="B2068" s="21">
        <f>IF(AND(C2068&lt;&gt;"", J2068&lt;&gt;""), HYPERLINK("#'" &amp; C2068 &amp; "'!" &amp; J2068, J2068), "")</f>
        <v>0</v>
      </c>
    </row>
    <row r="2069" spans="2:2">
      <c r="B2069" s="21">
        <f>IF(AND(C2069&lt;&gt;"", J2069&lt;&gt;""), HYPERLINK("#'" &amp; C2069 &amp; "'!" &amp; J2069, J2069), "")</f>
        <v>0</v>
      </c>
    </row>
    <row r="2070" spans="2:2">
      <c r="B2070" s="21">
        <f>IF(AND(C2070&lt;&gt;"", J2070&lt;&gt;""), HYPERLINK("#'" &amp; C2070 &amp; "'!" &amp; J2070, J2070), "")</f>
        <v>0</v>
      </c>
    </row>
    <row r="2071" spans="2:2">
      <c r="B2071" s="21">
        <f>IF(AND(C2071&lt;&gt;"", J2071&lt;&gt;""), HYPERLINK("#'" &amp; C2071 &amp; "'!" &amp; J2071, J2071), "")</f>
        <v>0</v>
      </c>
    </row>
    <row r="2072" spans="2:2">
      <c r="B2072" s="21">
        <f>IF(AND(C2072&lt;&gt;"", J2072&lt;&gt;""), HYPERLINK("#'" &amp; C2072 &amp; "'!" &amp; J2072, J2072), "")</f>
        <v>0</v>
      </c>
    </row>
    <row r="2073" spans="2:2">
      <c r="B2073" s="21">
        <f>IF(AND(C2073&lt;&gt;"", J2073&lt;&gt;""), HYPERLINK("#'" &amp; C2073 &amp; "'!" &amp; J2073, J2073), "")</f>
        <v>0</v>
      </c>
    </row>
    <row r="2074" spans="2:2">
      <c r="B2074" s="21">
        <f>IF(AND(C2074&lt;&gt;"", J2074&lt;&gt;""), HYPERLINK("#'" &amp; C2074 &amp; "'!" &amp; J2074, J2074), "")</f>
        <v>0</v>
      </c>
    </row>
    <row r="2075" spans="2:2">
      <c r="B2075" s="21">
        <f>IF(AND(C2075&lt;&gt;"", J2075&lt;&gt;""), HYPERLINK("#'" &amp; C2075 &amp; "'!" &amp; J2075, J2075), "")</f>
        <v>0</v>
      </c>
    </row>
    <row r="2076" spans="2:2">
      <c r="B2076" s="21">
        <f>IF(AND(C2076&lt;&gt;"", J2076&lt;&gt;""), HYPERLINK("#'" &amp; C2076 &amp; "'!" &amp; J2076, J2076), "")</f>
        <v>0</v>
      </c>
    </row>
    <row r="2077" spans="2:2">
      <c r="B2077" s="21">
        <f>IF(AND(C2077&lt;&gt;"", J2077&lt;&gt;""), HYPERLINK("#'" &amp; C2077 &amp; "'!" &amp; J2077, J2077), "")</f>
        <v>0</v>
      </c>
    </row>
    <row r="2078" spans="2:2">
      <c r="B2078" s="21">
        <f>IF(AND(C2078&lt;&gt;"", J2078&lt;&gt;""), HYPERLINK("#'" &amp; C2078 &amp; "'!" &amp; J2078, J2078), "")</f>
        <v>0</v>
      </c>
    </row>
    <row r="2079" spans="2:2">
      <c r="B2079" s="21">
        <f>IF(AND(C2079&lt;&gt;"", J2079&lt;&gt;""), HYPERLINK("#'" &amp; C2079 &amp; "'!" &amp; J2079, J2079), "")</f>
        <v>0</v>
      </c>
    </row>
    <row r="2080" spans="2:2">
      <c r="B2080" s="21">
        <f>IF(AND(C2080&lt;&gt;"", J2080&lt;&gt;""), HYPERLINK("#'" &amp; C2080 &amp; "'!" &amp; J2080, J2080), "")</f>
        <v>0</v>
      </c>
    </row>
    <row r="2081" spans="2:2">
      <c r="B2081" s="21">
        <f>IF(AND(C2081&lt;&gt;"", J2081&lt;&gt;""), HYPERLINK("#'" &amp; C2081 &amp; "'!" &amp; J2081, J2081), "")</f>
        <v>0</v>
      </c>
    </row>
    <row r="2082" spans="2:2">
      <c r="B2082" s="21">
        <f>IF(AND(C2082&lt;&gt;"", J2082&lt;&gt;""), HYPERLINK("#'" &amp; C2082 &amp; "'!" &amp; J2082, J2082), "")</f>
        <v>0</v>
      </c>
    </row>
    <row r="2083" spans="2:2">
      <c r="B2083" s="21">
        <f>IF(AND(C2083&lt;&gt;"", J2083&lt;&gt;""), HYPERLINK("#'" &amp; C2083 &amp; "'!" &amp; J2083, J2083), "")</f>
        <v>0</v>
      </c>
    </row>
    <row r="2084" spans="2:2">
      <c r="B2084" s="21">
        <f>IF(AND(C2084&lt;&gt;"", J2084&lt;&gt;""), HYPERLINK("#'" &amp; C2084 &amp; "'!" &amp; J2084, J2084), "")</f>
        <v>0</v>
      </c>
    </row>
    <row r="2085" spans="2:2">
      <c r="B2085" s="21">
        <f>IF(AND(C2085&lt;&gt;"", J2085&lt;&gt;""), HYPERLINK("#'" &amp; C2085 &amp; "'!" &amp; J2085, J2085), "")</f>
        <v>0</v>
      </c>
    </row>
    <row r="2086" spans="2:2">
      <c r="B2086" s="21">
        <f>IF(AND(C2086&lt;&gt;"", J2086&lt;&gt;""), HYPERLINK("#'" &amp; C2086 &amp; "'!" &amp; J2086, J2086), "")</f>
        <v>0</v>
      </c>
    </row>
    <row r="2087" spans="2:2">
      <c r="B2087" s="21">
        <f>IF(AND(C2087&lt;&gt;"", J2087&lt;&gt;""), HYPERLINK("#'" &amp; C2087 &amp; "'!" &amp; J2087, J2087), "")</f>
        <v>0</v>
      </c>
    </row>
    <row r="2088" spans="2:2">
      <c r="B2088" s="21">
        <f>IF(AND(C2088&lt;&gt;"", J2088&lt;&gt;""), HYPERLINK("#'" &amp; C2088 &amp; "'!" &amp; J2088, J2088), "")</f>
        <v>0</v>
      </c>
    </row>
    <row r="2089" spans="2:2">
      <c r="B2089" s="21">
        <f>IF(AND(C2089&lt;&gt;"", J2089&lt;&gt;""), HYPERLINK("#'" &amp; C2089 &amp; "'!" &amp; J2089, J2089), "")</f>
        <v>0</v>
      </c>
    </row>
    <row r="2090" spans="2:2">
      <c r="B2090" s="21">
        <f>IF(AND(C2090&lt;&gt;"", J2090&lt;&gt;""), HYPERLINK("#'" &amp; C2090 &amp; "'!" &amp; J2090, J2090), "")</f>
        <v>0</v>
      </c>
    </row>
    <row r="2091" spans="2:2">
      <c r="B2091" s="21">
        <f>IF(AND(C2091&lt;&gt;"", J2091&lt;&gt;""), HYPERLINK("#'" &amp; C2091 &amp; "'!" &amp; J2091, J2091), "")</f>
        <v>0</v>
      </c>
    </row>
    <row r="2092" spans="2:2">
      <c r="B2092" s="21">
        <f>IF(AND(C2092&lt;&gt;"", J2092&lt;&gt;""), HYPERLINK("#'" &amp; C2092 &amp; "'!" &amp; J2092, J2092), "")</f>
        <v>0</v>
      </c>
    </row>
    <row r="2093" spans="2:2">
      <c r="B2093" s="21">
        <f>IF(AND(C2093&lt;&gt;"", J2093&lt;&gt;""), HYPERLINK("#'" &amp; C2093 &amp; "'!" &amp; J2093, J2093), "")</f>
        <v>0</v>
      </c>
    </row>
    <row r="2094" spans="2:2">
      <c r="B2094" s="21">
        <f>IF(AND(C2094&lt;&gt;"", J2094&lt;&gt;""), HYPERLINK("#'" &amp; C2094 &amp; "'!" &amp; J2094, J2094), "")</f>
        <v>0</v>
      </c>
    </row>
    <row r="2095" spans="2:2">
      <c r="B2095" s="21">
        <f>IF(AND(C2095&lt;&gt;"", J2095&lt;&gt;""), HYPERLINK("#'" &amp; C2095 &amp; "'!" &amp; J2095, J2095), "")</f>
        <v>0</v>
      </c>
    </row>
    <row r="2096" spans="2:2">
      <c r="B2096" s="21">
        <f>IF(AND(C2096&lt;&gt;"", J2096&lt;&gt;""), HYPERLINK("#'" &amp; C2096 &amp; "'!" &amp; J2096, J2096), "")</f>
        <v>0</v>
      </c>
    </row>
    <row r="2097" spans="2:2">
      <c r="B2097" s="21">
        <f>IF(AND(C2097&lt;&gt;"", J2097&lt;&gt;""), HYPERLINK("#'" &amp; C2097 &amp; "'!" &amp; J2097, J2097), "")</f>
        <v>0</v>
      </c>
    </row>
    <row r="2098" spans="2:2">
      <c r="B2098" s="21">
        <f>IF(AND(C2098&lt;&gt;"", J2098&lt;&gt;""), HYPERLINK("#'" &amp; C2098 &amp; "'!" &amp; J2098, J2098), "")</f>
        <v>0</v>
      </c>
    </row>
    <row r="2099" spans="2:2">
      <c r="B2099" s="21">
        <f>IF(AND(C2099&lt;&gt;"", J2099&lt;&gt;""), HYPERLINK("#'" &amp; C2099 &amp; "'!" &amp; J2099, J2099), "")</f>
        <v>0</v>
      </c>
    </row>
    <row r="2100" spans="2:2">
      <c r="B2100" s="21">
        <f>IF(AND(C2100&lt;&gt;"", J2100&lt;&gt;""), HYPERLINK("#'" &amp; C2100 &amp; "'!" &amp; J2100, J2100), "")</f>
        <v>0</v>
      </c>
    </row>
    <row r="2101" spans="2:2">
      <c r="B2101" s="21">
        <f>IF(AND(C2101&lt;&gt;"", J2101&lt;&gt;""), HYPERLINK("#'" &amp; C2101 &amp; "'!" &amp; J2101, J2101), "")</f>
        <v>0</v>
      </c>
    </row>
    <row r="2102" spans="2:2">
      <c r="B2102" s="21">
        <f>IF(AND(C2102&lt;&gt;"", J2102&lt;&gt;""), HYPERLINK("#'" &amp; C2102 &amp; "'!" &amp; J2102, J2102), "")</f>
        <v>0</v>
      </c>
    </row>
    <row r="2103" spans="2:2">
      <c r="B2103" s="21">
        <f>IF(AND(C2103&lt;&gt;"", J2103&lt;&gt;""), HYPERLINK("#'" &amp; C2103 &amp; "'!" &amp; J2103, J2103), "")</f>
        <v>0</v>
      </c>
    </row>
    <row r="2104" spans="2:2">
      <c r="B2104" s="21">
        <f>IF(AND(C2104&lt;&gt;"", J2104&lt;&gt;""), HYPERLINK("#'" &amp; C2104 &amp; "'!" &amp; J2104, J2104), "")</f>
        <v>0</v>
      </c>
    </row>
    <row r="2105" spans="2:2">
      <c r="B2105" s="21">
        <f>IF(AND(C2105&lt;&gt;"", J2105&lt;&gt;""), HYPERLINK("#'" &amp; C2105 &amp; "'!" &amp; J2105, J2105), "")</f>
        <v>0</v>
      </c>
    </row>
    <row r="2106" spans="2:2">
      <c r="B2106" s="21">
        <f>IF(AND(C2106&lt;&gt;"", J2106&lt;&gt;""), HYPERLINK("#'" &amp; C2106 &amp; "'!" &amp; J2106, J2106), "")</f>
        <v>0</v>
      </c>
    </row>
    <row r="2107" spans="2:2">
      <c r="B2107" s="21">
        <f>IF(AND(C2107&lt;&gt;"", J2107&lt;&gt;""), HYPERLINK("#'" &amp; C2107 &amp; "'!" &amp; J2107, J2107), "")</f>
        <v>0</v>
      </c>
    </row>
    <row r="2108" spans="2:2">
      <c r="B2108" s="21">
        <f>IF(AND(C2108&lt;&gt;"", J2108&lt;&gt;""), HYPERLINK("#'" &amp; C2108 &amp; "'!" &amp; J2108, J2108), "")</f>
        <v>0</v>
      </c>
    </row>
    <row r="2109" spans="2:2">
      <c r="B2109" s="21">
        <f>IF(AND(C2109&lt;&gt;"", J2109&lt;&gt;""), HYPERLINK("#'" &amp; C2109 &amp; "'!" &amp; J2109, J2109), "")</f>
        <v>0</v>
      </c>
    </row>
    <row r="2110" spans="2:2">
      <c r="B2110" s="21">
        <f>IF(AND(C2110&lt;&gt;"", J2110&lt;&gt;""), HYPERLINK("#'" &amp; C2110 &amp; "'!" &amp; J2110, J2110), "")</f>
        <v>0</v>
      </c>
    </row>
    <row r="2111" spans="2:2">
      <c r="B2111" s="21">
        <f>IF(AND(C2111&lt;&gt;"", J2111&lt;&gt;""), HYPERLINK("#'" &amp; C2111 &amp; "'!" &amp; J2111, J2111), "")</f>
        <v>0</v>
      </c>
    </row>
    <row r="2112" spans="2:2">
      <c r="B2112" s="21">
        <f>IF(AND(C2112&lt;&gt;"", J2112&lt;&gt;""), HYPERLINK("#'" &amp; C2112 &amp; "'!" &amp; J2112, J2112), "")</f>
        <v>0</v>
      </c>
    </row>
    <row r="2113" spans="2:2">
      <c r="B2113" s="21">
        <f>IF(AND(C2113&lt;&gt;"", J2113&lt;&gt;""), HYPERLINK("#'" &amp; C2113 &amp; "'!" &amp; J2113, J2113), "")</f>
        <v>0</v>
      </c>
    </row>
    <row r="2114" spans="2:2">
      <c r="B2114" s="21">
        <f>IF(AND(C2114&lt;&gt;"", J2114&lt;&gt;""), HYPERLINK("#'" &amp; C2114 &amp; "'!" &amp; J2114, J2114), "")</f>
        <v>0</v>
      </c>
    </row>
    <row r="2115" spans="2:2">
      <c r="B2115" s="21">
        <f>IF(AND(C2115&lt;&gt;"", J2115&lt;&gt;""), HYPERLINK("#'" &amp; C2115 &amp; "'!" &amp; J2115, J2115), "")</f>
        <v>0</v>
      </c>
    </row>
    <row r="2116" spans="2:2">
      <c r="B2116" s="21">
        <f>IF(AND(C2116&lt;&gt;"", J2116&lt;&gt;""), HYPERLINK("#'" &amp; C2116 &amp; "'!" &amp; J2116, J2116), "")</f>
        <v>0</v>
      </c>
    </row>
    <row r="2117" spans="2:2">
      <c r="B2117" s="21">
        <f>IF(AND(C2117&lt;&gt;"", J2117&lt;&gt;""), HYPERLINK("#'" &amp; C2117 &amp; "'!" &amp; J2117, J2117), "")</f>
        <v>0</v>
      </c>
    </row>
    <row r="2118" spans="2:2">
      <c r="B2118" s="21">
        <f>IF(AND(C2118&lt;&gt;"", J2118&lt;&gt;""), HYPERLINK("#'" &amp; C2118 &amp; "'!" &amp; J2118, J2118), "")</f>
        <v>0</v>
      </c>
    </row>
    <row r="2119" spans="2:2">
      <c r="B2119" s="21">
        <f>IF(AND(C2119&lt;&gt;"", J2119&lt;&gt;""), HYPERLINK("#'" &amp; C2119 &amp; "'!" &amp; J2119, J2119), "")</f>
        <v>0</v>
      </c>
    </row>
    <row r="2120" spans="2:2">
      <c r="B2120" s="21">
        <f>IF(AND(C2120&lt;&gt;"", J2120&lt;&gt;""), HYPERLINK("#'" &amp; C2120 &amp; "'!" &amp; J2120, J2120), "")</f>
        <v>0</v>
      </c>
    </row>
    <row r="2121" spans="2:2">
      <c r="B2121" s="21">
        <f>IF(AND(C2121&lt;&gt;"", J2121&lt;&gt;""), HYPERLINK("#'" &amp; C2121 &amp; "'!" &amp; J2121, J2121), "")</f>
        <v>0</v>
      </c>
    </row>
    <row r="2122" spans="2:2">
      <c r="B2122" s="21">
        <f>IF(AND(C2122&lt;&gt;"", J2122&lt;&gt;""), HYPERLINK("#'" &amp; C2122 &amp; "'!" &amp; J2122, J2122), "")</f>
        <v>0</v>
      </c>
    </row>
    <row r="2123" spans="2:2">
      <c r="B2123" s="21">
        <f>IF(AND(C2123&lt;&gt;"", J2123&lt;&gt;""), HYPERLINK("#'" &amp; C2123 &amp; "'!" &amp; J2123, J2123), "")</f>
        <v>0</v>
      </c>
    </row>
    <row r="2124" spans="2:2">
      <c r="B2124" s="21">
        <f>IF(AND(C2124&lt;&gt;"", J2124&lt;&gt;""), HYPERLINK("#'" &amp; C2124 &amp; "'!" &amp; J2124, J2124), "")</f>
        <v>0</v>
      </c>
    </row>
    <row r="2125" spans="2:2">
      <c r="B2125" s="21">
        <f>IF(AND(C2125&lt;&gt;"", J2125&lt;&gt;""), HYPERLINK("#'" &amp; C2125 &amp; "'!" &amp; J2125, J2125), "")</f>
        <v>0</v>
      </c>
    </row>
    <row r="2126" spans="2:2">
      <c r="B2126" s="21">
        <f>IF(AND(C2126&lt;&gt;"", J2126&lt;&gt;""), HYPERLINK("#'" &amp; C2126 &amp; "'!" &amp; J2126, J2126), "")</f>
        <v>0</v>
      </c>
    </row>
    <row r="2127" spans="2:2">
      <c r="B2127" s="21">
        <f>IF(AND(C2127&lt;&gt;"", J2127&lt;&gt;""), HYPERLINK("#'" &amp; C2127 &amp; "'!" &amp; J2127, J2127), "")</f>
        <v>0</v>
      </c>
    </row>
    <row r="2128" spans="2:2">
      <c r="B2128" s="21">
        <f>IF(AND(C2128&lt;&gt;"", J2128&lt;&gt;""), HYPERLINK("#'" &amp; C2128 &amp; "'!" &amp; J2128, J2128), "")</f>
        <v>0</v>
      </c>
    </row>
    <row r="2129" spans="2:2">
      <c r="B2129" s="21">
        <f>IF(AND(C2129&lt;&gt;"", J2129&lt;&gt;""), HYPERLINK("#'" &amp; C2129 &amp; "'!" &amp; J2129, J2129), "")</f>
        <v>0</v>
      </c>
    </row>
    <row r="2130" spans="2:2">
      <c r="B2130" s="21">
        <f>IF(AND(C2130&lt;&gt;"", J2130&lt;&gt;""), HYPERLINK("#'" &amp; C2130 &amp; "'!" &amp; J2130, J2130), "")</f>
        <v>0</v>
      </c>
    </row>
    <row r="2131" spans="2:2">
      <c r="B2131" s="21">
        <f>IF(AND(C2131&lt;&gt;"", J2131&lt;&gt;""), HYPERLINK("#'" &amp; C2131 &amp; "'!" &amp; J2131, J2131), "")</f>
        <v>0</v>
      </c>
    </row>
    <row r="2132" spans="2:2">
      <c r="B2132" s="21">
        <f>IF(AND(C2132&lt;&gt;"", J2132&lt;&gt;""), HYPERLINK("#'" &amp; C2132 &amp; "'!" &amp; J2132, J2132), "")</f>
        <v>0</v>
      </c>
    </row>
    <row r="2133" spans="2:2">
      <c r="B2133" s="21">
        <f>IF(AND(C2133&lt;&gt;"", J2133&lt;&gt;""), HYPERLINK("#'" &amp; C2133 &amp; "'!" &amp; J2133, J2133), "")</f>
        <v>0</v>
      </c>
    </row>
    <row r="2134" spans="2:2">
      <c r="B2134" s="21">
        <f>IF(AND(C2134&lt;&gt;"", J2134&lt;&gt;""), HYPERLINK("#'" &amp; C2134 &amp; "'!" &amp; J2134, J2134), "")</f>
        <v>0</v>
      </c>
    </row>
    <row r="2135" spans="2:2">
      <c r="B2135" s="21">
        <f>IF(AND(C2135&lt;&gt;"", J2135&lt;&gt;""), HYPERLINK("#'" &amp; C2135 &amp; "'!" &amp; J2135, J2135), "")</f>
        <v>0</v>
      </c>
    </row>
    <row r="2136" spans="2:2">
      <c r="B2136" s="21">
        <f>IF(AND(C2136&lt;&gt;"", J2136&lt;&gt;""), HYPERLINK("#'" &amp; C2136 &amp; "'!" &amp; J2136, J2136), "")</f>
        <v>0</v>
      </c>
    </row>
    <row r="2137" spans="2:2">
      <c r="B2137" s="21">
        <f>IF(AND(C2137&lt;&gt;"", J2137&lt;&gt;""), HYPERLINK("#'" &amp; C2137 &amp; "'!" &amp; J2137, J2137), "")</f>
        <v>0</v>
      </c>
    </row>
    <row r="2138" spans="2:2">
      <c r="B2138" s="21">
        <f>IF(AND(C2138&lt;&gt;"", J2138&lt;&gt;""), HYPERLINK("#'" &amp; C2138 &amp; "'!" &amp; J2138, J2138), "")</f>
        <v>0</v>
      </c>
    </row>
    <row r="2139" spans="2:2">
      <c r="B2139" s="21">
        <f>IF(AND(C2139&lt;&gt;"", J2139&lt;&gt;""), HYPERLINK("#'" &amp; C2139 &amp; "'!" &amp; J2139, J2139), "")</f>
        <v>0</v>
      </c>
    </row>
    <row r="2140" spans="2:2">
      <c r="B2140" s="21">
        <f>IF(AND(C2140&lt;&gt;"", J2140&lt;&gt;""), HYPERLINK("#'" &amp; C2140 &amp; "'!" &amp; J2140, J2140), "")</f>
        <v>0</v>
      </c>
    </row>
    <row r="2141" spans="2:2">
      <c r="B2141" s="21">
        <f>IF(AND(C2141&lt;&gt;"", J2141&lt;&gt;""), HYPERLINK("#'" &amp; C2141 &amp; "'!" &amp; J2141, J2141), "")</f>
        <v>0</v>
      </c>
    </row>
    <row r="2142" spans="2:2">
      <c r="B2142" s="21">
        <f>IF(AND(C2142&lt;&gt;"", J2142&lt;&gt;""), HYPERLINK("#'" &amp; C2142 &amp; "'!" &amp; J2142, J2142), "")</f>
        <v>0</v>
      </c>
    </row>
    <row r="2143" spans="2:2">
      <c r="B2143" s="21">
        <f>IF(AND(C2143&lt;&gt;"", J2143&lt;&gt;""), HYPERLINK("#'" &amp; C2143 &amp; "'!" &amp; J2143, J2143), "")</f>
        <v>0</v>
      </c>
    </row>
    <row r="2144" spans="2:2">
      <c r="B2144" s="21">
        <f>IF(AND(C2144&lt;&gt;"", J2144&lt;&gt;""), HYPERLINK("#'" &amp; C2144 &amp; "'!" &amp; J2144, J2144), "")</f>
        <v>0</v>
      </c>
    </row>
    <row r="2145" spans="2:2">
      <c r="B2145" s="21">
        <f>IF(AND(C2145&lt;&gt;"", J2145&lt;&gt;""), HYPERLINK("#'" &amp; C2145 &amp; "'!" &amp; J2145, J2145), "")</f>
        <v>0</v>
      </c>
    </row>
    <row r="2146" spans="2:2">
      <c r="B2146" s="21">
        <f>IF(AND(C2146&lt;&gt;"", J2146&lt;&gt;""), HYPERLINK("#'" &amp; C2146 &amp; "'!" &amp; J2146, J2146), "")</f>
        <v>0</v>
      </c>
    </row>
    <row r="2147" spans="2:2">
      <c r="B2147" s="21">
        <f>IF(AND(C2147&lt;&gt;"", J2147&lt;&gt;""), HYPERLINK("#'" &amp; C2147 &amp; "'!" &amp; J2147, J2147), "")</f>
        <v>0</v>
      </c>
    </row>
    <row r="2148" spans="2:2">
      <c r="B2148" s="21">
        <f>IF(AND(C2148&lt;&gt;"", J2148&lt;&gt;""), HYPERLINK("#'" &amp; C2148 &amp; "'!" &amp; J2148, J2148), "")</f>
        <v>0</v>
      </c>
    </row>
    <row r="2149" spans="2:2">
      <c r="B2149" s="21">
        <f>IF(AND(C2149&lt;&gt;"", J2149&lt;&gt;""), HYPERLINK("#'" &amp; C2149 &amp; "'!" &amp; J2149, J2149), "")</f>
        <v>0</v>
      </c>
    </row>
    <row r="2150" spans="2:2">
      <c r="B2150" s="21">
        <f>IF(AND(C2150&lt;&gt;"", J2150&lt;&gt;""), HYPERLINK("#'" &amp; C2150 &amp; "'!" &amp; J2150, J2150), "")</f>
        <v>0</v>
      </c>
    </row>
    <row r="2151" spans="2:2">
      <c r="B2151" s="21">
        <f>IF(AND(C2151&lt;&gt;"", J2151&lt;&gt;""), HYPERLINK("#'" &amp; C2151 &amp; "'!" &amp; J2151, J2151), "")</f>
        <v>0</v>
      </c>
    </row>
    <row r="2152" spans="2:2">
      <c r="B2152" s="21">
        <f>IF(AND(C2152&lt;&gt;"", J2152&lt;&gt;""), HYPERLINK("#'" &amp; C2152 &amp; "'!" &amp; J2152, J2152), "")</f>
        <v>0</v>
      </c>
    </row>
    <row r="2153" spans="2:2">
      <c r="B2153" s="21">
        <f>IF(AND(C2153&lt;&gt;"", J2153&lt;&gt;""), HYPERLINK("#'" &amp; C2153 &amp; "'!" &amp; J2153, J2153), "")</f>
        <v>0</v>
      </c>
    </row>
    <row r="2154" spans="2:2">
      <c r="B2154" s="21">
        <f>IF(AND(C2154&lt;&gt;"", J2154&lt;&gt;""), HYPERLINK("#'" &amp; C2154 &amp; "'!" &amp; J2154, J2154), "")</f>
        <v>0</v>
      </c>
    </row>
    <row r="2155" spans="2:2">
      <c r="B2155" s="21">
        <f>IF(AND(C2155&lt;&gt;"", J2155&lt;&gt;""), HYPERLINK("#'" &amp; C2155 &amp; "'!" &amp; J2155, J2155), "")</f>
        <v>0</v>
      </c>
    </row>
    <row r="2156" spans="2:2">
      <c r="B2156" s="21">
        <f>IF(AND(C2156&lt;&gt;"", J2156&lt;&gt;""), HYPERLINK("#'" &amp; C2156 &amp; "'!" &amp; J2156, J2156), "")</f>
        <v>0</v>
      </c>
    </row>
    <row r="2157" spans="2:2">
      <c r="B2157" s="21">
        <f>IF(AND(C2157&lt;&gt;"", J2157&lt;&gt;""), HYPERLINK("#'" &amp; C2157 &amp; "'!" &amp; J2157, J2157), "")</f>
        <v>0</v>
      </c>
    </row>
    <row r="2158" spans="2:2">
      <c r="B2158" s="21">
        <f>IF(AND(C2158&lt;&gt;"", J2158&lt;&gt;""), HYPERLINK("#'" &amp; C2158 &amp; "'!" &amp; J2158, J2158), "")</f>
        <v>0</v>
      </c>
    </row>
    <row r="2159" spans="2:2">
      <c r="B2159" s="21">
        <f>IF(AND(C2159&lt;&gt;"", J2159&lt;&gt;""), HYPERLINK("#'" &amp; C2159 &amp; "'!" &amp; J2159, J2159), "")</f>
        <v>0</v>
      </c>
    </row>
    <row r="2160" spans="2:2">
      <c r="B2160" s="21">
        <f>IF(AND(C2160&lt;&gt;"", J2160&lt;&gt;""), HYPERLINK("#'" &amp; C2160 &amp; "'!" &amp; J2160, J2160), "")</f>
        <v>0</v>
      </c>
    </row>
    <row r="2161" spans="2:2">
      <c r="B2161" s="21">
        <f>IF(AND(C2161&lt;&gt;"", J2161&lt;&gt;""), HYPERLINK("#'" &amp; C2161 &amp; "'!" &amp; J2161, J2161), "")</f>
        <v>0</v>
      </c>
    </row>
    <row r="2162" spans="2:2">
      <c r="B2162" s="21">
        <f>IF(AND(C2162&lt;&gt;"", J2162&lt;&gt;""), HYPERLINK("#'" &amp; C2162 &amp; "'!" &amp; J2162, J2162), "")</f>
        <v>0</v>
      </c>
    </row>
    <row r="2163" spans="2:2">
      <c r="B2163" s="21">
        <f>IF(AND(C2163&lt;&gt;"", J2163&lt;&gt;""), HYPERLINK("#'" &amp; C2163 &amp; "'!" &amp; J2163, J2163), "")</f>
        <v>0</v>
      </c>
    </row>
    <row r="2164" spans="2:2">
      <c r="B2164" s="21">
        <f>IF(AND(C2164&lt;&gt;"", J2164&lt;&gt;""), HYPERLINK("#'" &amp; C2164 &amp; "'!" &amp; J2164, J2164), "")</f>
        <v>0</v>
      </c>
    </row>
    <row r="2165" spans="2:2">
      <c r="B2165" s="21">
        <f>IF(AND(C2165&lt;&gt;"", J2165&lt;&gt;""), HYPERLINK("#'" &amp; C2165 &amp; "'!" &amp; J2165, J2165), "")</f>
        <v>0</v>
      </c>
    </row>
    <row r="2166" spans="2:2">
      <c r="B2166" s="21">
        <f>IF(AND(C2166&lt;&gt;"", J2166&lt;&gt;""), HYPERLINK("#'" &amp; C2166 &amp; "'!" &amp; J2166, J2166), "")</f>
        <v>0</v>
      </c>
    </row>
    <row r="2167" spans="2:2">
      <c r="B2167" s="21">
        <f>IF(AND(C2167&lt;&gt;"", J2167&lt;&gt;""), HYPERLINK("#'" &amp; C2167 &amp; "'!" &amp; J2167, J2167), "")</f>
        <v>0</v>
      </c>
    </row>
    <row r="2168" spans="2:2">
      <c r="B2168" s="21">
        <f>IF(AND(C2168&lt;&gt;"", J2168&lt;&gt;""), HYPERLINK("#'" &amp; C2168 &amp; "'!" &amp; J2168, J2168), "")</f>
        <v>0</v>
      </c>
    </row>
    <row r="2169" spans="2:2">
      <c r="B2169" s="21">
        <f>IF(AND(C2169&lt;&gt;"", J2169&lt;&gt;""), HYPERLINK("#'" &amp; C2169 &amp; "'!" &amp; J2169, J2169), "")</f>
        <v>0</v>
      </c>
    </row>
    <row r="2170" spans="2:2">
      <c r="B2170" s="21">
        <f>IF(AND(C2170&lt;&gt;"", J2170&lt;&gt;""), HYPERLINK("#'" &amp; C2170 &amp; "'!" &amp; J2170, J2170), "")</f>
        <v>0</v>
      </c>
    </row>
    <row r="2171" spans="2:2">
      <c r="B2171" s="21">
        <f>IF(AND(C2171&lt;&gt;"", J2171&lt;&gt;""), HYPERLINK("#'" &amp; C2171 &amp; "'!" &amp; J2171, J2171), "")</f>
        <v>0</v>
      </c>
    </row>
    <row r="2172" spans="2:2">
      <c r="B2172" s="21">
        <f>IF(AND(C2172&lt;&gt;"", J2172&lt;&gt;""), HYPERLINK("#'" &amp; C2172 &amp; "'!" &amp; J2172, J2172), "")</f>
        <v>0</v>
      </c>
    </row>
    <row r="2173" spans="2:2">
      <c r="B2173" s="21">
        <f>IF(AND(C2173&lt;&gt;"", J2173&lt;&gt;""), HYPERLINK("#'" &amp; C2173 &amp; "'!" &amp; J2173, J2173), "")</f>
        <v>0</v>
      </c>
    </row>
    <row r="2174" spans="2:2">
      <c r="B2174" s="21">
        <f>IF(AND(C2174&lt;&gt;"", J2174&lt;&gt;""), HYPERLINK("#'" &amp; C2174 &amp; "'!" &amp; J2174, J2174), "")</f>
        <v>0</v>
      </c>
    </row>
    <row r="2175" spans="2:2">
      <c r="B2175" s="21">
        <f>IF(AND(C2175&lt;&gt;"", J2175&lt;&gt;""), HYPERLINK("#'" &amp; C2175 &amp; "'!" &amp; J2175, J2175), "")</f>
        <v>0</v>
      </c>
    </row>
    <row r="2176" spans="2:2">
      <c r="B2176" s="21">
        <f>IF(AND(C2176&lt;&gt;"", J2176&lt;&gt;""), HYPERLINK("#'" &amp; C2176 &amp; "'!" &amp; J2176, J2176), "")</f>
        <v>0</v>
      </c>
    </row>
    <row r="2177" spans="2:2">
      <c r="B2177" s="21">
        <f>IF(AND(C2177&lt;&gt;"", J2177&lt;&gt;""), HYPERLINK("#'" &amp; C2177 &amp; "'!" &amp; J2177, J2177), "")</f>
        <v>0</v>
      </c>
    </row>
    <row r="2178" spans="2:2">
      <c r="B2178" s="21">
        <f>IF(AND(C2178&lt;&gt;"", J2178&lt;&gt;""), HYPERLINK("#'" &amp; C2178 &amp; "'!" &amp; J2178, J2178), "")</f>
        <v>0</v>
      </c>
    </row>
    <row r="2179" spans="2:2">
      <c r="B2179" s="21">
        <f>IF(AND(C2179&lt;&gt;"", J2179&lt;&gt;""), HYPERLINK("#'" &amp; C2179 &amp; "'!" &amp; J2179, J2179), "")</f>
        <v>0</v>
      </c>
    </row>
    <row r="2180" spans="2:2">
      <c r="B2180" s="21">
        <f>IF(AND(C2180&lt;&gt;"", J2180&lt;&gt;""), HYPERLINK("#'" &amp; C2180 &amp; "'!" &amp; J2180, J2180), "")</f>
        <v>0</v>
      </c>
    </row>
    <row r="2181" spans="2:2">
      <c r="B2181" s="21">
        <f>IF(AND(C2181&lt;&gt;"", J2181&lt;&gt;""), HYPERLINK("#'" &amp; C2181 &amp; "'!" &amp; J2181, J2181), "")</f>
        <v>0</v>
      </c>
    </row>
    <row r="2182" spans="2:2">
      <c r="B2182" s="21">
        <f>IF(AND(C2182&lt;&gt;"", J2182&lt;&gt;""), HYPERLINK("#'" &amp; C2182 &amp; "'!" &amp; J2182, J2182), "")</f>
        <v>0</v>
      </c>
    </row>
    <row r="2183" spans="2:2">
      <c r="B2183" s="21">
        <f>IF(AND(C2183&lt;&gt;"", J2183&lt;&gt;""), HYPERLINK("#'" &amp; C2183 &amp; "'!" &amp; J2183, J2183), "")</f>
        <v>0</v>
      </c>
    </row>
    <row r="2184" spans="2:2">
      <c r="B2184" s="21">
        <f>IF(AND(C2184&lt;&gt;"", J2184&lt;&gt;""), HYPERLINK("#'" &amp; C2184 &amp; "'!" &amp; J2184, J2184), "")</f>
        <v>0</v>
      </c>
    </row>
    <row r="2185" spans="2:2">
      <c r="B2185" s="21">
        <f>IF(AND(C2185&lt;&gt;"", J2185&lt;&gt;""), HYPERLINK("#'" &amp; C2185 &amp; "'!" &amp; J2185, J2185), "")</f>
        <v>0</v>
      </c>
    </row>
    <row r="2186" spans="2:2">
      <c r="B2186" s="21">
        <f>IF(AND(C2186&lt;&gt;"", J2186&lt;&gt;""), HYPERLINK("#'" &amp; C2186 &amp; "'!" &amp; J2186, J2186), "")</f>
        <v>0</v>
      </c>
    </row>
    <row r="2187" spans="2:2">
      <c r="B2187" s="21">
        <f>IF(AND(C2187&lt;&gt;"", J2187&lt;&gt;""), HYPERLINK("#'" &amp; C2187 &amp; "'!" &amp; J2187, J2187), "")</f>
        <v>0</v>
      </c>
    </row>
    <row r="2188" spans="2:2">
      <c r="B2188" s="21">
        <f>IF(AND(C2188&lt;&gt;"", J2188&lt;&gt;""), HYPERLINK("#'" &amp; C2188 &amp; "'!" &amp; J2188, J2188), "")</f>
        <v>0</v>
      </c>
    </row>
    <row r="2189" spans="2:2">
      <c r="B2189" s="21">
        <f>IF(AND(C2189&lt;&gt;"", J2189&lt;&gt;""), HYPERLINK("#'" &amp; C2189 &amp; "'!" &amp; J2189, J2189), "")</f>
        <v>0</v>
      </c>
    </row>
    <row r="2190" spans="2:2">
      <c r="B2190" s="21">
        <f>IF(AND(C2190&lt;&gt;"", J2190&lt;&gt;""), HYPERLINK("#'" &amp; C2190 &amp; "'!" &amp; J2190, J2190), "")</f>
        <v>0</v>
      </c>
    </row>
    <row r="2191" spans="2:2">
      <c r="B2191" s="21">
        <f>IF(AND(C2191&lt;&gt;"", J2191&lt;&gt;""), HYPERLINK("#'" &amp; C2191 &amp; "'!" &amp; J2191, J2191), "")</f>
        <v>0</v>
      </c>
    </row>
    <row r="2192" spans="2:2">
      <c r="B2192" s="21">
        <f>IF(AND(C2192&lt;&gt;"", J2192&lt;&gt;""), HYPERLINK("#'" &amp; C2192 &amp; "'!" &amp; J2192, J2192), "")</f>
        <v>0</v>
      </c>
    </row>
    <row r="2193" spans="2:2">
      <c r="B2193" s="21">
        <f>IF(AND(C2193&lt;&gt;"", J2193&lt;&gt;""), HYPERLINK("#'" &amp; C2193 &amp; "'!" &amp; J2193, J2193), "")</f>
        <v>0</v>
      </c>
    </row>
    <row r="2194" spans="2:2">
      <c r="B2194" s="21">
        <f>IF(AND(C2194&lt;&gt;"", J2194&lt;&gt;""), HYPERLINK("#'" &amp; C2194 &amp; "'!" &amp; J2194, J2194), "")</f>
        <v>0</v>
      </c>
    </row>
    <row r="2195" spans="2:2">
      <c r="B2195" s="21">
        <f>IF(AND(C2195&lt;&gt;"", J2195&lt;&gt;""), HYPERLINK("#'" &amp; C2195 &amp; "'!" &amp; J2195, J2195), "")</f>
        <v>0</v>
      </c>
    </row>
    <row r="2196" spans="2:2">
      <c r="B2196" s="21">
        <f>IF(AND(C2196&lt;&gt;"", J2196&lt;&gt;""), HYPERLINK("#'" &amp; C2196 &amp; "'!" &amp; J2196, J2196), "")</f>
        <v>0</v>
      </c>
    </row>
    <row r="2197" spans="2:2">
      <c r="B2197" s="21">
        <f>IF(AND(C2197&lt;&gt;"", J2197&lt;&gt;""), HYPERLINK("#'" &amp; C2197 &amp; "'!" &amp; J2197, J2197), "")</f>
        <v>0</v>
      </c>
    </row>
    <row r="2198" spans="2:2">
      <c r="B2198" s="21">
        <f>IF(AND(C2198&lt;&gt;"", J2198&lt;&gt;""), HYPERLINK("#'" &amp; C2198 &amp; "'!" &amp; J2198, J2198), "")</f>
        <v>0</v>
      </c>
    </row>
    <row r="2199" spans="2:2">
      <c r="B2199" s="21">
        <f>IF(AND(C2199&lt;&gt;"", J2199&lt;&gt;""), HYPERLINK("#'" &amp; C2199 &amp; "'!" &amp; J2199, J2199), "")</f>
        <v>0</v>
      </c>
    </row>
    <row r="2200" spans="2:2">
      <c r="B2200" s="21">
        <f>IF(AND(C2200&lt;&gt;"", J2200&lt;&gt;""), HYPERLINK("#'" &amp; C2200 &amp; "'!" &amp; J2200, J2200), "")</f>
        <v>0</v>
      </c>
    </row>
    <row r="2201" spans="2:2">
      <c r="B2201" s="21">
        <f>IF(AND(C2201&lt;&gt;"", J2201&lt;&gt;""), HYPERLINK("#'" &amp; C2201 &amp; "'!" &amp; J2201, J2201), "")</f>
        <v>0</v>
      </c>
    </row>
    <row r="2202" spans="2:2">
      <c r="B2202" s="21">
        <f>IF(AND(C2202&lt;&gt;"", J2202&lt;&gt;""), HYPERLINK("#'" &amp; C2202 &amp; "'!" &amp; J2202, J2202), "")</f>
        <v>0</v>
      </c>
    </row>
    <row r="2203" spans="2:2">
      <c r="B2203" s="21">
        <f>IF(AND(C2203&lt;&gt;"", J2203&lt;&gt;""), HYPERLINK("#'" &amp; C2203 &amp; "'!" &amp; J2203, J2203), "")</f>
        <v>0</v>
      </c>
    </row>
    <row r="2204" spans="2:2">
      <c r="B2204" s="21">
        <f>IF(AND(C2204&lt;&gt;"", J2204&lt;&gt;""), HYPERLINK("#'" &amp; C2204 &amp; "'!" &amp; J2204, J2204), "")</f>
        <v>0</v>
      </c>
    </row>
    <row r="2205" spans="2:2">
      <c r="B2205" s="21">
        <f>IF(AND(C2205&lt;&gt;"", J2205&lt;&gt;""), HYPERLINK("#'" &amp; C2205 &amp; "'!" &amp; J2205, J2205), "")</f>
        <v>0</v>
      </c>
    </row>
    <row r="2206" spans="2:2">
      <c r="B2206" s="21">
        <f>IF(AND(C2206&lt;&gt;"", J2206&lt;&gt;""), HYPERLINK("#'" &amp; C2206 &amp; "'!" &amp; J2206, J2206), "")</f>
        <v>0</v>
      </c>
    </row>
    <row r="2207" spans="2:2">
      <c r="B2207" s="21">
        <f>IF(AND(C2207&lt;&gt;"", J2207&lt;&gt;""), HYPERLINK("#'" &amp; C2207 &amp; "'!" &amp; J2207, J2207), "")</f>
        <v>0</v>
      </c>
    </row>
    <row r="2208" spans="2:2">
      <c r="B2208" s="21">
        <f>IF(AND(C2208&lt;&gt;"", J2208&lt;&gt;""), HYPERLINK("#'" &amp; C2208 &amp; "'!" &amp; J2208, J2208), "")</f>
        <v>0</v>
      </c>
    </row>
    <row r="2209" spans="2:2">
      <c r="B2209" s="21">
        <f>IF(AND(C2209&lt;&gt;"", J2209&lt;&gt;""), HYPERLINK("#'" &amp; C2209 &amp; "'!" &amp; J2209, J2209), "")</f>
        <v>0</v>
      </c>
    </row>
    <row r="2210" spans="2:2">
      <c r="B2210" s="21">
        <f>IF(AND(C2210&lt;&gt;"", J2210&lt;&gt;""), HYPERLINK("#'" &amp; C2210 &amp; "'!" &amp; J2210, J2210), "")</f>
        <v>0</v>
      </c>
    </row>
    <row r="2211" spans="2:2">
      <c r="B2211" s="21">
        <f>IF(AND(C2211&lt;&gt;"", J2211&lt;&gt;""), HYPERLINK("#'" &amp; C2211 &amp; "'!" &amp; J2211, J2211), "")</f>
        <v>0</v>
      </c>
    </row>
    <row r="2212" spans="2:2">
      <c r="B2212" s="21">
        <f>IF(AND(C2212&lt;&gt;"", J2212&lt;&gt;""), HYPERLINK("#'" &amp; C2212 &amp; "'!" &amp; J2212, J2212), "")</f>
        <v>0</v>
      </c>
    </row>
    <row r="2213" spans="2:2">
      <c r="B2213" s="21">
        <f>IF(AND(C2213&lt;&gt;"", J2213&lt;&gt;""), HYPERLINK("#'" &amp; C2213 &amp; "'!" &amp; J2213, J2213), "")</f>
        <v>0</v>
      </c>
    </row>
    <row r="2214" spans="2:2">
      <c r="B2214" s="21">
        <f>IF(AND(C2214&lt;&gt;"", J2214&lt;&gt;""), HYPERLINK("#'" &amp; C2214 &amp; "'!" &amp; J2214, J2214), "")</f>
        <v>0</v>
      </c>
    </row>
    <row r="2215" spans="2:2">
      <c r="B2215" s="21">
        <f>IF(AND(C2215&lt;&gt;"", J2215&lt;&gt;""), HYPERLINK("#'" &amp; C2215 &amp; "'!" &amp; J2215, J2215), "")</f>
        <v>0</v>
      </c>
    </row>
    <row r="2216" spans="2:2">
      <c r="B2216" s="21">
        <f>IF(AND(C2216&lt;&gt;"", J2216&lt;&gt;""), HYPERLINK("#'" &amp; C2216 &amp; "'!" &amp; J2216, J2216), "")</f>
        <v>0</v>
      </c>
    </row>
    <row r="2217" spans="2:2">
      <c r="B2217" s="21">
        <f>IF(AND(C2217&lt;&gt;"", J2217&lt;&gt;""), HYPERLINK("#'" &amp; C2217 &amp; "'!" &amp; J2217, J2217), "")</f>
        <v>0</v>
      </c>
    </row>
    <row r="2218" spans="2:2">
      <c r="B2218" s="21">
        <f>IF(AND(C2218&lt;&gt;"", J2218&lt;&gt;""), HYPERLINK("#'" &amp; C2218 &amp; "'!" &amp; J2218, J2218), "")</f>
        <v>0</v>
      </c>
    </row>
    <row r="2219" spans="2:2">
      <c r="B2219" s="21">
        <f>IF(AND(C2219&lt;&gt;"", J2219&lt;&gt;""), HYPERLINK("#'" &amp; C2219 &amp; "'!" &amp; J2219, J2219), "")</f>
        <v>0</v>
      </c>
    </row>
    <row r="2220" spans="2:2">
      <c r="B2220" s="21">
        <f>IF(AND(C2220&lt;&gt;"", J2220&lt;&gt;""), HYPERLINK("#'" &amp; C2220 &amp; "'!" &amp; J2220, J2220), "")</f>
        <v>0</v>
      </c>
    </row>
    <row r="2221" spans="2:2">
      <c r="B2221" s="21">
        <f>IF(AND(C2221&lt;&gt;"", J2221&lt;&gt;""), HYPERLINK("#'" &amp; C2221 &amp; "'!" &amp; J2221, J2221), "")</f>
        <v>0</v>
      </c>
    </row>
    <row r="2222" spans="2:2">
      <c r="B2222" s="21">
        <f>IF(AND(C2222&lt;&gt;"", J2222&lt;&gt;""), HYPERLINK("#'" &amp; C2222 &amp; "'!" &amp; J2222, J2222), "")</f>
        <v>0</v>
      </c>
    </row>
    <row r="2223" spans="2:2">
      <c r="B2223" s="21">
        <f>IF(AND(C2223&lt;&gt;"", J2223&lt;&gt;""), HYPERLINK("#'" &amp; C2223 &amp; "'!" &amp; J2223, J2223), "")</f>
        <v>0</v>
      </c>
    </row>
    <row r="2224" spans="2:2">
      <c r="B2224" s="21">
        <f>IF(AND(C2224&lt;&gt;"", J2224&lt;&gt;""), HYPERLINK("#'" &amp; C2224 &amp; "'!" &amp; J2224, J2224), "")</f>
        <v>0</v>
      </c>
    </row>
    <row r="2225" spans="2:2">
      <c r="B2225" s="21">
        <f>IF(AND(C2225&lt;&gt;"", J2225&lt;&gt;""), HYPERLINK("#'" &amp; C2225 &amp; "'!" &amp; J2225, J2225), "")</f>
        <v>0</v>
      </c>
    </row>
    <row r="2226" spans="2:2">
      <c r="B2226" s="21">
        <f>IF(AND(C2226&lt;&gt;"", J2226&lt;&gt;""), HYPERLINK("#'" &amp; C2226 &amp; "'!" &amp; J2226, J2226), "")</f>
        <v>0</v>
      </c>
    </row>
    <row r="2227" spans="2:2">
      <c r="B2227" s="21">
        <f>IF(AND(C2227&lt;&gt;"", J2227&lt;&gt;""), HYPERLINK("#'" &amp; C2227 &amp; "'!" &amp; J2227, J2227), "")</f>
        <v>0</v>
      </c>
    </row>
    <row r="2228" spans="2:2">
      <c r="B2228" s="21">
        <f>IF(AND(C2228&lt;&gt;"", J2228&lt;&gt;""), HYPERLINK("#'" &amp; C2228 &amp; "'!" &amp; J2228, J2228), "")</f>
        <v>0</v>
      </c>
    </row>
    <row r="2229" spans="2:2">
      <c r="B2229" s="21">
        <f>IF(AND(C2229&lt;&gt;"", J2229&lt;&gt;""), HYPERLINK("#'" &amp; C2229 &amp; "'!" &amp; J2229, J2229), "")</f>
        <v>0</v>
      </c>
    </row>
    <row r="2230" spans="2:2">
      <c r="B2230" s="21">
        <f>IF(AND(C2230&lt;&gt;"", J2230&lt;&gt;""), HYPERLINK("#'" &amp; C2230 &amp; "'!" &amp; J2230, J2230), "")</f>
        <v>0</v>
      </c>
    </row>
    <row r="2231" spans="2:2">
      <c r="B2231" s="21">
        <f>IF(AND(C2231&lt;&gt;"", J2231&lt;&gt;""), HYPERLINK("#'" &amp; C2231 &amp; "'!" &amp; J2231, J2231), "")</f>
        <v>0</v>
      </c>
    </row>
    <row r="2232" spans="2:2">
      <c r="B2232" s="21">
        <f>IF(AND(C2232&lt;&gt;"", J2232&lt;&gt;""), HYPERLINK("#'" &amp; C2232 &amp; "'!" &amp; J2232, J2232), "")</f>
        <v>0</v>
      </c>
    </row>
    <row r="2233" spans="2:2">
      <c r="B2233" s="21">
        <f>IF(AND(C2233&lt;&gt;"", J2233&lt;&gt;""), HYPERLINK("#'" &amp; C2233 &amp; "'!" &amp; J2233, J2233), "")</f>
        <v>0</v>
      </c>
    </row>
    <row r="2234" spans="2:2">
      <c r="B2234" s="21">
        <f>IF(AND(C2234&lt;&gt;"", J2234&lt;&gt;""), HYPERLINK("#'" &amp; C2234 &amp; "'!" &amp; J2234, J2234), "")</f>
        <v>0</v>
      </c>
    </row>
    <row r="2235" spans="2:2">
      <c r="B2235" s="21">
        <f>IF(AND(C2235&lt;&gt;"", J2235&lt;&gt;""), HYPERLINK("#'" &amp; C2235 &amp; "'!" &amp; J2235, J2235), "")</f>
        <v>0</v>
      </c>
    </row>
    <row r="2236" spans="2:2">
      <c r="B2236" s="21">
        <f>IF(AND(C2236&lt;&gt;"", J2236&lt;&gt;""), HYPERLINK("#'" &amp; C2236 &amp; "'!" &amp; J2236, J2236), "")</f>
        <v>0</v>
      </c>
    </row>
    <row r="2237" spans="2:2">
      <c r="B2237" s="21">
        <f>IF(AND(C2237&lt;&gt;"", J2237&lt;&gt;""), HYPERLINK("#'" &amp; C2237 &amp; "'!" &amp; J2237, J2237), "")</f>
        <v>0</v>
      </c>
    </row>
    <row r="2238" spans="2:2">
      <c r="B2238" s="21">
        <f>IF(AND(C2238&lt;&gt;"", J2238&lt;&gt;""), HYPERLINK("#'" &amp; C2238 &amp; "'!" &amp; J2238, J2238), "")</f>
        <v>0</v>
      </c>
    </row>
    <row r="2239" spans="2:2">
      <c r="B2239" s="21">
        <f>IF(AND(C2239&lt;&gt;"", J2239&lt;&gt;""), HYPERLINK("#'" &amp; C2239 &amp; "'!" &amp; J2239, J2239), "")</f>
        <v>0</v>
      </c>
    </row>
    <row r="2240" spans="2:2">
      <c r="B2240" s="21">
        <f>IF(AND(C2240&lt;&gt;"", J2240&lt;&gt;""), HYPERLINK("#'" &amp; C2240 &amp; "'!" &amp; J2240, J2240), "")</f>
        <v>0</v>
      </c>
    </row>
    <row r="2241" spans="2:2">
      <c r="B2241" s="21">
        <f>IF(AND(C2241&lt;&gt;"", J2241&lt;&gt;""), HYPERLINK("#'" &amp; C2241 &amp; "'!" &amp; J2241, J2241), "")</f>
        <v>0</v>
      </c>
    </row>
    <row r="2242" spans="2:2">
      <c r="B2242" s="21">
        <f>IF(AND(C2242&lt;&gt;"", J2242&lt;&gt;""), HYPERLINK("#'" &amp; C2242 &amp; "'!" &amp; J2242, J2242), "")</f>
        <v>0</v>
      </c>
    </row>
    <row r="2243" spans="2:2">
      <c r="B2243" s="21">
        <f>IF(AND(C2243&lt;&gt;"", J2243&lt;&gt;""), HYPERLINK("#'" &amp; C2243 &amp; "'!" &amp; J2243, J2243), "")</f>
        <v>0</v>
      </c>
    </row>
    <row r="2244" spans="2:2">
      <c r="B2244" s="21">
        <f>IF(AND(C2244&lt;&gt;"", J2244&lt;&gt;""), HYPERLINK("#'" &amp; C2244 &amp; "'!" &amp; J2244, J2244), "")</f>
        <v>0</v>
      </c>
    </row>
    <row r="2245" spans="2:2">
      <c r="B2245" s="21">
        <f>IF(AND(C2245&lt;&gt;"", J2245&lt;&gt;""), HYPERLINK("#'" &amp; C2245 &amp; "'!" &amp; J2245, J2245), "")</f>
        <v>0</v>
      </c>
    </row>
    <row r="2246" spans="2:2">
      <c r="B2246" s="21">
        <f>IF(AND(C2246&lt;&gt;"", J2246&lt;&gt;""), HYPERLINK("#'" &amp; C2246 &amp; "'!" &amp; J2246, J2246), "")</f>
        <v>0</v>
      </c>
    </row>
    <row r="2247" spans="2:2">
      <c r="B2247" s="21">
        <f>IF(AND(C2247&lt;&gt;"", J2247&lt;&gt;""), HYPERLINK("#'" &amp; C2247 &amp; "'!" &amp; J2247, J2247), "")</f>
        <v>0</v>
      </c>
    </row>
    <row r="2248" spans="2:2">
      <c r="B2248" s="21">
        <f>IF(AND(C2248&lt;&gt;"", J2248&lt;&gt;""), HYPERLINK("#'" &amp; C2248 &amp; "'!" &amp; J2248, J2248), "")</f>
        <v>0</v>
      </c>
    </row>
    <row r="2249" spans="2:2">
      <c r="B2249" s="21">
        <f>IF(AND(C2249&lt;&gt;"", J2249&lt;&gt;""), HYPERLINK("#'" &amp; C2249 &amp; "'!" &amp; J2249, J2249), "")</f>
        <v>0</v>
      </c>
    </row>
    <row r="2250" spans="2:2">
      <c r="B2250" s="21">
        <f>IF(AND(C2250&lt;&gt;"", J2250&lt;&gt;""), HYPERLINK("#'" &amp; C2250 &amp; "'!" &amp; J2250, J2250), "")</f>
        <v>0</v>
      </c>
    </row>
    <row r="2251" spans="2:2">
      <c r="B2251" s="21">
        <f>IF(AND(C2251&lt;&gt;"", J2251&lt;&gt;""), HYPERLINK("#'" &amp; C2251 &amp; "'!" &amp; J2251, J2251), "")</f>
        <v>0</v>
      </c>
    </row>
    <row r="2252" spans="2:2">
      <c r="B2252" s="21">
        <f>IF(AND(C2252&lt;&gt;"", J2252&lt;&gt;""), HYPERLINK("#'" &amp; C2252 &amp; "'!" &amp; J2252, J2252), "")</f>
        <v>0</v>
      </c>
    </row>
    <row r="2253" spans="2:2">
      <c r="B2253" s="21">
        <f>IF(AND(C2253&lt;&gt;"", J2253&lt;&gt;""), HYPERLINK("#'" &amp; C2253 &amp; "'!" &amp; J2253, J2253), "")</f>
        <v>0</v>
      </c>
    </row>
    <row r="2254" spans="2:2">
      <c r="B2254" s="21">
        <f>IF(AND(C2254&lt;&gt;"", J2254&lt;&gt;""), HYPERLINK("#'" &amp; C2254 &amp; "'!" &amp; J2254, J2254), "")</f>
        <v>0</v>
      </c>
    </row>
    <row r="2255" spans="2:2">
      <c r="B2255" s="21">
        <f>IF(AND(C2255&lt;&gt;"", J2255&lt;&gt;""), HYPERLINK("#'" &amp; C2255 &amp; "'!" &amp; J2255, J2255), "")</f>
        <v>0</v>
      </c>
    </row>
    <row r="2256" spans="2:2">
      <c r="B2256" s="21">
        <f>IF(AND(C2256&lt;&gt;"", J2256&lt;&gt;""), HYPERLINK("#'" &amp; C2256 &amp; "'!" &amp; J2256, J2256), "")</f>
        <v>0</v>
      </c>
    </row>
    <row r="2257" spans="2:2">
      <c r="B2257" s="21">
        <f>IF(AND(C2257&lt;&gt;"", J2257&lt;&gt;""), HYPERLINK("#'" &amp; C2257 &amp; "'!" &amp; J2257, J2257), "")</f>
        <v>0</v>
      </c>
    </row>
    <row r="2258" spans="2:2">
      <c r="B2258" s="21">
        <f>IF(AND(C2258&lt;&gt;"", J2258&lt;&gt;""), HYPERLINK("#'" &amp; C2258 &amp; "'!" &amp; J2258, J2258), "")</f>
        <v>0</v>
      </c>
    </row>
    <row r="2259" spans="2:2">
      <c r="B2259" s="21">
        <f>IF(AND(C2259&lt;&gt;"", J2259&lt;&gt;""), HYPERLINK("#'" &amp; C2259 &amp; "'!" &amp; J2259, J2259), "")</f>
        <v>0</v>
      </c>
    </row>
    <row r="2260" spans="2:2">
      <c r="B2260" s="21">
        <f>IF(AND(C2260&lt;&gt;"", J2260&lt;&gt;""), HYPERLINK("#'" &amp; C2260 &amp; "'!" &amp; J2260, J2260), "")</f>
        <v>0</v>
      </c>
    </row>
    <row r="2261" spans="2:2">
      <c r="B2261" s="21">
        <f>IF(AND(C2261&lt;&gt;"", J2261&lt;&gt;""), HYPERLINK("#'" &amp; C2261 &amp; "'!" &amp; J2261, J2261), "")</f>
        <v>0</v>
      </c>
    </row>
    <row r="2262" spans="2:2">
      <c r="B2262" s="21">
        <f>IF(AND(C2262&lt;&gt;"", J2262&lt;&gt;""), HYPERLINK("#'" &amp; C2262 &amp; "'!" &amp; J2262, J2262), "")</f>
        <v>0</v>
      </c>
    </row>
    <row r="2263" spans="2:2">
      <c r="B2263" s="21">
        <f>IF(AND(C2263&lt;&gt;"", J2263&lt;&gt;""), HYPERLINK("#'" &amp; C2263 &amp; "'!" &amp; J2263, J2263), "")</f>
        <v>0</v>
      </c>
    </row>
    <row r="2264" spans="2:2">
      <c r="B2264" s="21">
        <f>IF(AND(C2264&lt;&gt;"", J2264&lt;&gt;""), HYPERLINK("#'" &amp; C2264 &amp; "'!" &amp; J2264, J2264), "")</f>
        <v>0</v>
      </c>
    </row>
    <row r="2265" spans="2:2">
      <c r="B2265" s="21">
        <f>IF(AND(C2265&lt;&gt;"", J2265&lt;&gt;""), HYPERLINK("#'" &amp; C2265 &amp; "'!" &amp; J2265, J2265), "")</f>
        <v>0</v>
      </c>
    </row>
    <row r="2266" spans="2:2">
      <c r="B2266" s="21">
        <f>IF(AND(C2266&lt;&gt;"", J2266&lt;&gt;""), HYPERLINK("#'" &amp; C2266 &amp; "'!" &amp; J2266, J2266), "")</f>
        <v>0</v>
      </c>
    </row>
    <row r="2267" spans="2:2">
      <c r="B2267" s="21">
        <f>IF(AND(C2267&lt;&gt;"", J2267&lt;&gt;""), HYPERLINK("#'" &amp; C2267 &amp; "'!" &amp; J2267, J2267), "")</f>
        <v>0</v>
      </c>
    </row>
    <row r="2268" spans="2:2">
      <c r="B2268" s="21">
        <f>IF(AND(C2268&lt;&gt;"", J2268&lt;&gt;""), HYPERLINK("#'" &amp; C2268 &amp; "'!" &amp; J2268, J2268), "")</f>
        <v>0</v>
      </c>
    </row>
    <row r="2269" spans="2:2">
      <c r="B2269" s="21">
        <f>IF(AND(C2269&lt;&gt;"", J2269&lt;&gt;""), HYPERLINK("#'" &amp; C2269 &amp; "'!" &amp; J2269, J2269), "")</f>
        <v>0</v>
      </c>
    </row>
    <row r="2270" spans="2:2">
      <c r="B2270" s="21">
        <f>IF(AND(C2270&lt;&gt;"", J2270&lt;&gt;""), HYPERLINK("#'" &amp; C2270 &amp; "'!" &amp; J2270, J2270), "")</f>
        <v>0</v>
      </c>
    </row>
    <row r="2271" spans="2:2">
      <c r="B2271" s="21">
        <f>IF(AND(C2271&lt;&gt;"", J2271&lt;&gt;""), HYPERLINK("#'" &amp; C2271 &amp; "'!" &amp; J2271, J2271), "")</f>
        <v>0</v>
      </c>
    </row>
    <row r="2272" spans="2:2">
      <c r="B2272" s="21">
        <f>IF(AND(C2272&lt;&gt;"", J2272&lt;&gt;""), HYPERLINK("#'" &amp; C2272 &amp; "'!" &amp; J2272, J2272), "")</f>
        <v>0</v>
      </c>
    </row>
    <row r="2273" spans="2:2">
      <c r="B2273" s="21">
        <f>IF(AND(C2273&lt;&gt;"", J2273&lt;&gt;""), HYPERLINK("#'" &amp; C2273 &amp; "'!" &amp; J2273, J2273), "")</f>
        <v>0</v>
      </c>
    </row>
    <row r="2274" spans="2:2">
      <c r="B2274" s="21">
        <f>IF(AND(C2274&lt;&gt;"", J2274&lt;&gt;""), HYPERLINK("#'" &amp; C2274 &amp; "'!" &amp; J2274, J2274), "")</f>
        <v>0</v>
      </c>
    </row>
    <row r="2275" spans="2:2">
      <c r="B2275" s="21">
        <f>IF(AND(C2275&lt;&gt;"", J2275&lt;&gt;""), HYPERLINK("#'" &amp; C2275 &amp; "'!" &amp; J2275, J2275), "")</f>
        <v>0</v>
      </c>
    </row>
    <row r="2276" spans="2:2">
      <c r="B2276" s="21">
        <f>IF(AND(C2276&lt;&gt;"", J2276&lt;&gt;""), HYPERLINK("#'" &amp; C2276 &amp; "'!" &amp; J2276, J2276), "")</f>
        <v>0</v>
      </c>
    </row>
    <row r="2277" spans="2:2">
      <c r="B2277" s="21">
        <f>IF(AND(C2277&lt;&gt;"", J2277&lt;&gt;""), HYPERLINK("#'" &amp; C2277 &amp; "'!" &amp; J2277, J2277), "")</f>
        <v>0</v>
      </c>
    </row>
    <row r="2278" spans="2:2">
      <c r="B2278" s="21">
        <f>IF(AND(C2278&lt;&gt;"", J2278&lt;&gt;""), HYPERLINK("#'" &amp; C2278 &amp; "'!" &amp; J2278, J2278), "")</f>
        <v>0</v>
      </c>
    </row>
    <row r="2279" spans="2:2">
      <c r="B2279" s="21">
        <f>IF(AND(C2279&lt;&gt;"", J2279&lt;&gt;""), HYPERLINK("#'" &amp; C2279 &amp; "'!" &amp; J2279, J2279), "")</f>
        <v>0</v>
      </c>
    </row>
    <row r="2280" spans="2:2">
      <c r="B2280" s="21">
        <f>IF(AND(C2280&lt;&gt;"", J2280&lt;&gt;""), HYPERLINK("#'" &amp; C2280 &amp; "'!" &amp; J2280, J2280), "")</f>
        <v>0</v>
      </c>
    </row>
    <row r="2281" spans="2:2">
      <c r="B2281" s="21">
        <f>IF(AND(C2281&lt;&gt;"", J2281&lt;&gt;""), HYPERLINK("#'" &amp; C2281 &amp; "'!" &amp; J2281, J2281), "")</f>
        <v>0</v>
      </c>
    </row>
    <row r="2282" spans="2:2">
      <c r="B2282" s="21">
        <f>IF(AND(C2282&lt;&gt;"", J2282&lt;&gt;""), HYPERLINK("#'" &amp; C2282 &amp; "'!" &amp; J2282, J2282), "")</f>
        <v>0</v>
      </c>
    </row>
    <row r="2283" spans="2:2">
      <c r="B2283" s="21">
        <f>IF(AND(C2283&lt;&gt;"", J2283&lt;&gt;""), HYPERLINK("#'" &amp; C2283 &amp; "'!" &amp; J2283, J2283), "")</f>
        <v>0</v>
      </c>
    </row>
    <row r="2284" spans="2:2">
      <c r="B2284" s="21">
        <f>IF(AND(C2284&lt;&gt;"", J2284&lt;&gt;""), HYPERLINK("#'" &amp; C2284 &amp; "'!" &amp; J2284, J2284), "")</f>
        <v>0</v>
      </c>
    </row>
    <row r="2285" spans="2:2">
      <c r="B2285" s="21">
        <f>IF(AND(C2285&lt;&gt;"", J2285&lt;&gt;""), HYPERLINK("#'" &amp; C2285 &amp; "'!" &amp; J2285, J2285), "")</f>
        <v>0</v>
      </c>
    </row>
    <row r="2286" spans="2:2">
      <c r="B2286" s="21">
        <f>IF(AND(C2286&lt;&gt;"", J2286&lt;&gt;""), HYPERLINK("#'" &amp; C2286 &amp; "'!" &amp; J2286, J2286), "")</f>
        <v>0</v>
      </c>
    </row>
    <row r="2287" spans="2:2">
      <c r="B2287" s="21">
        <f>IF(AND(C2287&lt;&gt;"", J2287&lt;&gt;""), HYPERLINK("#'" &amp; C2287 &amp; "'!" &amp; J2287, J2287), "")</f>
        <v>0</v>
      </c>
    </row>
    <row r="2288" spans="2:2">
      <c r="B2288" s="21">
        <f>IF(AND(C2288&lt;&gt;"", J2288&lt;&gt;""), HYPERLINK("#'" &amp; C2288 &amp; "'!" &amp; J2288, J2288), "")</f>
        <v>0</v>
      </c>
    </row>
    <row r="2289" spans="2:2">
      <c r="B2289" s="21">
        <f>IF(AND(C2289&lt;&gt;"", J2289&lt;&gt;""), HYPERLINK("#'" &amp; C2289 &amp; "'!" &amp; J2289, J2289), "")</f>
        <v>0</v>
      </c>
    </row>
    <row r="2290" spans="2:2">
      <c r="B2290" s="21">
        <f>IF(AND(C2290&lt;&gt;"", J2290&lt;&gt;""), HYPERLINK("#'" &amp; C2290 &amp; "'!" &amp; J2290, J2290), "")</f>
        <v>0</v>
      </c>
    </row>
    <row r="2291" spans="2:2">
      <c r="B2291" s="21">
        <f>IF(AND(C2291&lt;&gt;"", J2291&lt;&gt;""), HYPERLINK("#'" &amp; C2291 &amp; "'!" &amp; J2291, J2291), "")</f>
        <v>0</v>
      </c>
    </row>
    <row r="2292" spans="2:2">
      <c r="B2292" s="21">
        <f>IF(AND(C2292&lt;&gt;"", J2292&lt;&gt;""), HYPERLINK("#'" &amp; C2292 &amp; "'!" &amp; J2292, J2292), "")</f>
        <v>0</v>
      </c>
    </row>
    <row r="2293" spans="2:2">
      <c r="B2293" s="21">
        <f>IF(AND(C2293&lt;&gt;"", J2293&lt;&gt;""), HYPERLINK("#'" &amp; C2293 &amp; "'!" &amp; J2293, J2293), "")</f>
        <v>0</v>
      </c>
    </row>
    <row r="2294" spans="2:2">
      <c r="B2294" s="21">
        <f>IF(AND(C2294&lt;&gt;"", J2294&lt;&gt;""), HYPERLINK("#'" &amp; C2294 &amp; "'!" &amp; J2294, J2294), "")</f>
        <v>0</v>
      </c>
    </row>
    <row r="2295" spans="2:2">
      <c r="B2295" s="21">
        <f>IF(AND(C2295&lt;&gt;"", J2295&lt;&gt;""), HYPERLINK("#'" &amp; C2295 &amp; "'!" &amp; J2295, J2295), "")</f>
        <v>0</v>
      </c>
    </row>
    <row r="2296" spans="2:2">
      <c r="B2296" s="21">
        <f>IF(AND(C2296&lt;&gt;"", J2296&lt;&gt;""), HYPERLINK("#'" &amp; C2296 &amp; "'!" &amp; J2296, J2296), "")</f>
        <v>0</v>
      </c>
    </row>
    <row r="2297" spans="2:2">
      <c r="B2297" s="21">
        <f>IF(AND(C2297&lt;&gt;"", J2297&lt;&gt;""), HYPERLINK("#'" &amp; C2297 &amp; "'!" &amp; J2297, J2297), "")</f>
        <v>0</v>
      </c>
    </row>
    <row r="2298" spans="2:2">
      <c r="B2298" s="21">
        <f>IF(AND(C2298&lt;&gt;"", J2298&lt;&gt;""), HYPERLINK("#'" &amp; C2298 &amp; "'!" &amp; J2298, J2298), "")</f>
        <v>0</v>
      </c>
    </row>
    <row r="2299" spans="2:2">
      <c r="B2299" s="21">
        <f>IF(AND(C2299&lt;&gt;"", J2299&lt;&gt;""), HYPERLINK("#'" &amp; C2299 &amp; "'!" &amp; J2299, J2299), "")</f>
        <v>0</v>
      </c>
    </row>
    <row r="2300" spans="2:2">
      <c r="B2300" s="21">
        <f>IF(AND(C2300&lt;&gt;"", J2300&lt;&gt;""), HYPERLINK("#'" &amp; C2300 &amp; "'!" &amp; J2300, J2300), "")</f>
        <v>0</v>
      </c>
    </row>
    <row r="2301" spans="2:2">
      <c r="B2301" s="21">
        <f>IF(AND(C2301&lt;&gt;"", J2301&lt;&gt;""), HYPERLINK("#'" &amp; C2301 &amp; "'!" &amp; J2301, J2301), "")</f>
        <v>0</v>
      </c>
    </row>
    <row r="2302" spans="2:2">
      <c r="B2302" s="21">
        <f>IF(AND(C2302&lt;&gt;"", J2302&lt;&gt;""), HYPERLINK("#'" &amp; C2302 &amp; "'!" &amp; J2302, J2302), "")</f>
        <v>0</v>
      </c>
    </row>
    <row r="2303" spans="2:2">
      <c r="B2303" s="21">
        <f>IF(AND(C2303&lt;&gt;"", J2303&lt;&gt;""), HYPERLINK("#'" &amp; C2303 &amp; "'!" &amp; J2303, J2303), "")</f>
        <v>0</v>
      </c>
    </row>
    <row r="2304" spans="2:2">
      <c r="B2304" s="21">
        <f>IF(AND(C2304&lt;&gt;"", J2304&lt;&gt;""), HYPERLINK("#'" &amp; C2304 &amp; "'!" &amp; J2304, J2304), "")</f>
        <v>0</v>
      </c>
    </row>
    <row r="2305" spans="2:2">
      <c r="B2305" s="21">
        <f>IF(AND(C2305&lt;&gt;"", J2305&lt;&gt;""), HYPERLINK("#'" &amp; C2305 &amp; "'!" &amp; J2305, J2305), "")</f>
        <v>0</v>
      </c>
    </row>
    <row r="2306" spans="2:2">
      <c r="B2306" s="21">
        <f>IF(AND(C2306&lt;&gt;"", J2306&lt;&gt;""), HYPERLINK("#'" &amp; C2306 &amp; "'!" &amp; J2306, J2306), "")</f>
        <v>0</v>
      </c>
    </row>
    <row r="2307" spans="2:2">
      <c r="B2307" s="21">
        <f>IF(AND(C2307&lt;&gt;"", J2307&lt;&gt;""), HYPERLINK("#'" &amp; C2307 &amp; "'!" &amp; J2307, J2307), "")</f>
        <v>0</v>
      </c>
    </row>
    <row r="2308" spans="2:2">
      <c r="B2308" s="21">
        <f>IF(AND(C2308&lt;&gt;"", J2308&lt;&gt;""), HYPERLINK("#'" &amp; C2308 &amp; "'!" &amp; J2308, J2308), "")</f>
        <v>0</v>
      </c>
    </row>
    <row r="2309" spans="2:2">
      <c r="B2309" s="21">
        <f>IF(AND(C2309&lt;&gt;"", J2309&lt;&gt;""), HYPERLINK("#'" &amp; C2309 &amp; "'!" &amp; J2309, J2309), "")</f>
        <v>0</v>
      </c>
    </row>
    <row r="2310" spans="2:2">
      <c r="B2310" s="21">
        <f>IF(AND(C2310&lt;&gt;"", J2310&lt;&gt;""), HYPERLINK("#'" &amp; C2310 &amp; "'!" &amp; J2310, J2310), "")</f>
        <v>0</v>
      </c>
    </row>
    <row r="2311" spans="2:2">
      <c r="B2311" s="21">
        <f>IF(AND(C2311&lt;&gt;"", J2311&lt;&gt;""), HYPERLINK("#'" &amp; C2311 &amp; "'!" &amp; J2311, J2311), "")</f>
        <v>0</v>
      </c>
    </row>
    <row r="2312" spans="2:2">
      <c r="B2312" s="21">
        <f>IF(AND(C2312&lt;&gt;"", J2312&lt;&gt;""), HYPERLINK("#'" &amp; C2312 &amp; "'!" &amp; J2312, J2312), "")</f>
        <v>0</v>
      </c>
    </row>
    <row r="2313" spans="2:2">
      <c r="B2313" s="21">
        <f>IF(AND(C2313&lt;&gt;"", J2313&lt;&gt;""), HYPERLINK("#'" &amp; C2313 &amp; "'!" &amp; J2313, J2313), "")</f>
        <v>0</v>
      </c>
    </row>
    <row r="2314" spans="2:2">
      <c r="B2314" s="21">
        <f>IF(AND(C2314&lt;&gt;"", J2314&lt;&gt;""), HYPERLINK("#'" &amp; C2314 &amp; "'!" &amp; J2314, J2314), "")</f>
        <v>0</v>
      </c>
    </row>
    <row r="2315" spans="2:2">
      <c r="B2315" s="21">
        <f>IF(AND(C2315&lt;&gt;"", J2315&lt;&gt;""), HYPERLINK("#'" &amp; C2315 &amp; "'!" &amp; J2315, J2315), "")</f>
        <v>0</v>
      </c>
    </row>
    <row r="2316" spans="2:2">
      <c r="B2316" s="21">
        <f>IF(AND(C2316&lt;&gt;"", J2316&lt;&gt;""), HYPERLINK("#'" &amp; C2316 &amp; "'!" &amp; J2316, J2316), "")</f>
        <v>0</v>
      </c>
    </row>
    <row r="2317" spans="2:2">
      <c r="B2317" s="21">
        <f>IF(AND(C2317&lt;&gt;"", J2317&lt;&gt;""), HYPERLINK("#'" &amp; C2317 &amp; "'!" &amp; J2317, J2317), "")</f>
        <v>0</v>
      </c>
    </row>
    <row r="2318" spans="2:2">
      <c r="B2318" s="21">
        <f>IF(AND(C2318&lt;&gt;"", J2318&lt;&gt;""), HYPERLINK("#'" &amp; C2318 &amp; "'!" &amp; J2318, J2318), "")</f>
        <v>0</v>
      </c>
    </row>
    <row r="2319" spans="2:2">
      <c r="B2319" s="21">
        <f>IF(AND(C2319&lt;&gt;"", J2319&lt;&gt;""), HYPERLINK("#'" &amp; C2319 &amp; "'!" &amp; J2319, J2319), "")</f>
        <v>0</v>
      </c>
    </row>
    <row r="2320" spans="2:2">
      <c r="B2320" s="21">
        <f>IF(AND(C2320&lt;&gt;"", J2320&lt;&gt;""), HYPERLINK("#'" &amp; C2320 &amp; "'!" &amp; J2320, J2320), "")</f>
        <v>0</v>
      </c>
    </row>
    <row r="2321" spans="2:2">
      <c r="B2321" s="21">
        <f>IF(AND(C2321&lt;&gt;"", J2321&lt;&gt;""), HYPERLINK("#'" &amp; C2321 &amp; "'!" &amp; J2321, J2321), "")</f>
        <v>0</v>
      </c>
    </row>
    <row r="2322" spans="2:2">
      <c r="B2322" s="21">
        <f>IF(AND(C2322&lt;&gt;"", J2322&lt;&gt;""), HYPERLINK("#'" &amp; C2322 &amp; "'!" &amp; J2322, J2322), "")</f>
        <v>0</v>
      </c>
    </row>
    <row r="2323" spans="2:2">
      <c r="B2323" s="21">
        <f>IF(AND(C2323&lt;&gt;"", J2323&lt;&gt;""), HYPERLINK("#'" &amp; C2323 &amp; "'!" &amp; J2323, J2323), "")</f>
        <v>0</v>
      </c>
    </row>
    <row r="2324" spans="2:2">
      <c r="B2324" s="21">
        <f>IF(AND(C2324&lt;&gt;"", J2324&lt;&gt;""), HYPERLINK("#'" &amp; C2324 &amp; "'!" &amp; J2324, J2324), "")</f>
        <v>0</v>
      </c>
    </row>
    <row r="2325" spans="2:2">
      <c r="B2325" s="21">
        <f>IF(AND(C2325&lt;&gt;"", J2325&lt;&gt;""), HYPERLINK("#'" &amp; C2325 &amp; "'!" &amp; J2325, J2325), "")</f>
        <v>0</v>
      </c>
    </row>
    <row r="2326" spans="2:2">
      <c r="B2326" s="21">
        <f>IF(AND(C2326&lt;&gt;"", J2326&lt;&gt;""), HYPERLINK("#'" &amp; C2326 &amp; "'!" &amp; J2326, J2326), "")</f>
        <v>0</v>
      </c>
    </row>
    <row r="2327" spans="2:2">
      <c r="B2327" s="21">
        <f>IF(AND(C2327&lt;&gt;"", J2327&lt;&gt;""), HYPERLINK("#'" &amp; C2327 &amp; "'!" &amp; J2327, J2327), "")</f>
        <v>0</v>
      </c>
    </row>
    <row r="2328" spans="2:2">
      <c r="B2328" s="21">
        <f>IF(AND(C2328&lt;&gt;"", J2328&lt;&gt;""), HYPERLINK("#'" &amp; C2328 &amp; "'!" &amp; J2328, J2328), "")</f>
        <v>0</v>
      </c>
    </row>
    <row r="2329" spans="2:2">
      <c r="B2329" s="21">
        <f>IF(AND(C2329&lt;&gt;"", J2329&lt;&gt;""), HYPERLINK("#'" &amp; C2329 &amp; "'!" &amp; J2329, J2329), "")</f>
        <v>0</v>
      </c>
    </row>
    <row r="2330" spans="2:2">
      <c r="B2330" s="21">
        <f>IF(AND(C2330&lt;&gt;"", J2330&lt;&gt;""), HYPERLINK("#'" &amp; C2330 &amp; "'!" &amp; J2330, J2330), "")</f>
        <v>0</v>
      </c>
    </row>
    <row r="2331" spans="2:2">
      <c r="B2331" s="21">
        <f>IF(AND(C2331&lt;&gt;"", J2331&lt;&gt;""), HYPERLINK("#'" &amp; C2331 &amp; "'!" &amp; J2331, J2331), "")</f>
        <v>0</v>
      </c>
    </row>
    <row r="2332" spans="2:2">
      <c r="B2332" s="21">
        <f>IF(AND(C2332&lt;&gt;"", J2332&lt;&gt;""), HYPERLINK("#'" &amp; C2332 &amp; "'!" &amp; J2332, J2332), "")</f>
        <v>0</v>
      </c>
    </row>
    <row r="2333" spans="2:2">
      <c r="B2333" s="21">
        <f>IF(AND(C2333&lt;&gt;"", J2333&lt;&gt;""), HYPERLINK("#'" &amp; C2333 &amp; "'!" &amp; J2333, J2333), "")</f>
        <v>0</v>
      </c>
    </row>
    <row r="2334" spans="2:2">
      <c r="B2334" s="21">
        <f>IF(AND(C2334&lt;&gt;"", J2334&lt;&gt;""), HYPERLINK("#'" &amp; C2334 &amp; "'!" &amp; J2334, J2334), "")</f>
        <v>0</v>
      </c>
    </row>
    <row r="2335" spans="2:2">
      <c r="B2335" s="21">
        <f>IF(AND(C2335&lt;&gt;"", J2335&lt;&gt;""), HYPERLINK("#'" &amp; C2335 &amp; "'!" &amp; J2335, J2335), "")</f>
        <v>0</v>
      </c>
    </row>
    <row r="2336" spans="2:2">
      <c r="B2336" s="21">
        <f>IF(AND(C2336&lt;&gt;"", J2336&lt;&gt;""), HYPERLINK("#'" &amp; C2336 &amp; "'!" &amp; J2336, J2336), "")</f>
        <v>0</v>
      </c>
    </row>
    <row r="2337" spans="2:2">
      <c r="B2337" s="21">
        <f>IF(AND(C2337&lt;&gt;"", J2337&lt;&gt;""), HYPERLINK("#'" &amp; C2337 &amp; "'!" &amp; J2337, J2337), "")</f>
        <v>0</v>
      </c>
    </row>
    <row r="2338" spans="2:2">
      <c r="B2338" s="21">
        <f>IF(AND(C2338&lt;&gt;"", J2338&lt;&gt;""), HYPERLINK("#'" &amp; C2338 &amp; "'!" &amp; J2338, J2338), "")</f>
        <v>0</v>
      </c>
    </row>
    <row r="2339" spans="2:2">
      <c r="B2339" s="21">
        <f>IF(AND(C2339&lt;&gt;"", J2339&lt;&gt;""), HYPERLINK("#'" &amp; C2339 &amp; "'!" &amp; J2339, J2339), "")</f>
        <v>0</v>
      </c>
    </row>
    <row r="2340" spans="2:2">
      <c r="B2340" s="21">
        <f>IF(AND(C2340&lt;&gt;"", J2340&lt;&gt;""), HYPERLINK("#'" &amp; C2340 &amp; "'!" &amp; J2340, J2340), "")</f>
        <v>0</v>
      </c>
    </row>
    <row r="2341" spans="2:2">
      <c r="B2341" s="21">
        <f>IF(AND(C2341&lt;&gt;"", J2341&lt;&gt;""), HYPERLINK("#'" &amp; C2341 &amp; "'!" &amp; J2341, J2341), "")</f>
        <v>0</v>
      </c>
    </row>
    <row r="2342" spans="2:2">
      <c r="B2342" s="21">
        <f>IF(AND(C2342&lt;&gt;"", J2342&lt;&gt;""), HYPERLINK("#'" &amp; C2342 &amp; "'!" &amp; J2342, J2342), "")</f>
        <v>0</v>
      </c>
    </row>
    <row r="2343" spans="2:2">
      <c r="B2343" s="21">
        <f>IF(AND(C2343&lt;&gt;"", J2343&lt;&gt;""), HYPERLINK("#'" &amp; C2343 &amp; "'!" &amp; J2343, J2343), "")</f>
        <v>0</v>
      </c>
    </row>
    <row r="2344" spans="2:2">
      <c r="B2344" s="21">
        <f>IF(AND(C2344&lt;&gt;"", J2344&lt;&gt;""), HYPERLINK("#'" &amp; C2344 &amp; "'!" &amp; J2344, J2344), "")</f>
        <v>0</v>
      </c>
    </row>
    <row r="2345" spans="2:2">
      <c r="B2345" s="21">
        <f>IF(AND(C2345&lt;&gt;"", J2345&lt;&gt;""), HYPERLINK("#'" &amp; C2345 &amp; "'!" &amp; J2345, J2345), "")</f>
        <v>0</v>
      </c>
    </row>
    <row r="2346" spans="2:2">
      <c r="B2346" s="21">
        <f>IF(AND(C2346&lt;&gt;"", J2346&lt;&gt;""), HYPERLINK("#'" &amp; C2346 &amp; "'!" &amp; J2346, J2346), "")</f>
        <v>0</v>
      </c>
    </row>
    <row r="2347" spans="2:2">
      <c r="B2347" s="21">
        <f>IF(AND(C2347&lt;&gt;"", J2347&lt;&gt;""), HYPERLINK("#'" &amp; C2347 &amp; "'!" &amp; J2347, J2347), "")</f>
        <v>0</v>
      </c>
    </row>
    <row r="2348" spans="2:2">
      <c r="B2348" s="21">
        <f>IF(AND(C2348&lt;&gt;"", J2348&lt;&gt;""), HYPERLINK("#'" &amp; C2348 &amp; "'!" &amp; J2348, J2348), "")</f>
        <v>0</v>
      </c>
    </row>
    <row r="2349" spans="2:2">
      <c r="B2349" s="21">
        <f>IF(AND(C2349&lt;&gt;"", J2349&lt;&gt;""), HYPERLINK("#'" &amp; C2349 &amp; "'!" &amp; J2349, J2349), "")</f>
        <v>0</v>
      </c>
    </row>
    <row r="2350" spans="2:2">
      <c r="B2350" s="21">
        <f>IF(AND(C2350&lt;&gt;"", J2350&lt;&gt;""), HYPERLINK("#'" &amp; C2350 &amp; "'!" &amp; J2350, J2350), "")</f>
        <v>0</v>
      </c>
    </row>
    <row r="2351" spans="2:2">
      <c r="B2351" s="21">
        <f>IF(AND(C2351&lt;&gt;"", J2351&lt;&gt;""), HYPERLINK("#'" &amp; C2351 &amp; "'!" &amp; J2351, J2351), "")</f>
        <v>0</v>
      </c>
    </row>
    <row r="2352" spans="2:2">
      <c r="B2352" s="21">
        <f>IF(AND(C2352&lt;&gt;"", J2352&lt;&gt;""), HYPERLINK("#'" &amp; C2352 &amp; "'!" &amp; J2352, J2352), "")</f>
        <v>0</v>
      </c>
    </row>
    <row r="2353" spans="2:2">
      <c r="B2353" s="21">
        <f>IF(AND(C2353&lt;&gt;"", J2353&lt;&gt;""), HYPERLINK("#'" &amp; C2353 &amp; "'!" &amp; J2353, J2353), "")</f>
        <v>0</v>
      </c>
    </row>
    <row r="2354" spans="2:2">
      <c r="B2354" s="21">
        <f>IF(AND(C2354&lt;&gt;"", J2354&lt;&gt;""), HYPERLINK("#'" &amp; C2354 &amp; "'!" &amp; J2354, J2354), "")</f>
        <v>0</v>
      </c>
    </row>
    <row r="2355" spans="2:2">
      <c r="B2355" s="21">
        <f>IF(AND(C2355&lt;&gt;"", J2355&lt;&gt;""), HYPERLINK("#'" &amp; C2355 &amp; "'!" &amp; J2355, J2355), "")</f>
        <v>0</v>
      </c>
    </row>
    <row r="2356" spans="2:2">
      <c r="B2356" s="21">
        <f>IF(AND(C2356&lt;&gt;"", J2356&lt;&gt;""), HYPERLINK("#'" &amp; C2356 &amp; "'!" &amp; J2356, J2356), "")</f>
        <v>0</v>
      </c>
    </row>
    <row r="2357" spans="2:2">
      <c r="B2357" s="21">
        <f>IF(AND(C2357&lt;&gt;"", J2357&lt;&gt;""), HYPERLINK("#'" &amp; C2357 &amp; "'!" &amp; J2357, J2357), "")</f>
        <v>0</v>
      </c>
    </row>
    <row r="2358" spans="2:2">
      <c r="B2358" s="21">
        <f>IF(AND(C2358&lt;&gt;"", J2358&lt;&gt;""), HYPERLINK("#'" &amp; C2358 &amp; "'!" &amp; J2358, J2358), "")</f>
        <v>0</v>
      </c>
    </row>
    <row r="2359" spans="2:2">
      <c r="B2359" s="21">
        <f>IF(AND(C2359&lt;&gt;"", J2359&lt;&gt;""), HYPERLINK("#'" &amp; C2359 &amp; "'!" &amp; J2359, J2359), "")</f>
        <v>0</v>
      </c>
    </row>
    <row r="2360" spans="2:2">
      <c r="B2360" s="21">
        <f>IF(AND(C2360&lt;&gt;"", J2360&lt;&gt;""), HYPERLINK("#'" &amp; C2360 &amp; "'!" &amp; J2360, J2360), "")</f>
        <v>0</v>
      </c>
    </row>
    <row r="2361" spans="2:2">
      <c r="B2361" s="21">
        <f>IF(AND(C2361&lt;&gt;"", J2361&lt;&gt;""), HYPERLINK("#'" &amp; C2361 &amp; "'!" &amp; J2361, J2361), "")</f>
        <v>0</v>
      </c>
    </row>
    <row r="2362" spans="2:2">
      <c r="B2362" s="21">
        <f>IF(AND(C2362&lt;&gt;"", J2362&lt;&gt;""), HYPERLINK("#'" &amp; C2362 &amp; "'!" &amp; J2362, J2362), "")</f>
        <v>0</v>
      </c>
    </row>
    <row r="2363" spans="2:2">
      <c r="B2363" s="21">
        <f>IF(AND(C2363&lt;&gt;"", J2363&lt;&gt;""), HYPERLINK("#'" &amp; C2363 &amp; "'!" &amp; J2363, J2363), "")</f>
        <v>0</v>
      </c>
    </row>
    <row r="2364" spans="2:2">
      <c r="B2364" s="21">
        <f>IF(AND(C2364&lt;&gt;"", J2364&lt;&gt;""), HYPERLINK("#'" &amp; C2364 &amp; "'!" &amp; J2364, J2364), "")</f>
        <v>0</v>
      </c>
    </row>
    <row r="2365" spans="2:2">
      <c r="B2365" s="21">
        <f>IF(AND(C2365&lt;&gt;"", J2365&lt;&gt;""), HYPERLINK("#'" &amp; C2365 &amp; "'!" &amp; J2365, J2365), "")</f>
        <v>0</v>
      </c>
    </row>
    <row r="2366" spans="2:2">
      <c r="B2366" s="21">
        <f>IF(AND(C2366&lt;&gt;"", J2366&lt;&gt;""), HYPERLINK("#'" &amp; C2366 &amp; "'!" &amp; J2366, J2366), "")</f>
        <v>0</v>
      </c>
    </row>
    <row r="2367" spans="2:2">
      <c r="B2367" s="21">
        <f>IF(AND(C2367&lt;&gt;"", J2367&lt;&gt;""), HYPERLINK("#'" &amp; C2367 &amp; "'!" &amp; J2367, J2367), "")</f>
        <v>0</v>
      </c>
    </row>
    <row r="2368" spans="2:2">
      <c r="B2368" s="21">
        <f>IF(AND(C2368&lt;&gt;"", J2368&lt;&gt;""), HYPERLINK("#'" &amp; C2368 &amp; "'!" &amp; J2368, J2368), "")</f>
        <v>0</v>
      </c>
    </row>
    <row r="2369" spans="2:2">
      <c r="B2369" s="21">
        <f>IF(AND(C2369&lt;&gt;"", J2369&lt;&gt;""), HYPERLINK("#'" &amp; C2369 &amp; "'!" &amp; J2369, J2369), "")</f>
        <v>0</v>
      </c>
    </row>
    <row r="2370" spans="2:2">
      <c r="B2370" s="21">
        <f>IF(AND(C2370&lt;&gt;"", J2370&lt;&gt;""), HYPERLINK("#'" &amp; C2370 &amp; "'!" &amp; J2370, J2370), "")</f>
        <v>0</v>
      </c>
    </row>
    <row r="2371" spans="2:2">
      <c r="B2371" s="21">
        <f>IF(AND(C2371&lt;&gt;"", J2371&lt;&gt;""), HYPERLINK("#'" &amp; C2371 &amp; "'!" &amp; J2371, J2371), "")</f>
        <v>0</v>
      </c>
    </row>
    <row r="2372" spans="2:2">
      <c r="B2372" s="21">
        <f>IF(AND(C2372&lt;&gt;"", J2372&lt;&gt;""), HYPERLINK("#'" &amp; C2372 &amp; "'!" &amp; J2372, J2372), "")</f>
        <v>0</v>
      </c>
    </row>
    <row r="2373" spans="2:2">
      <c r="B2373" s="21">
        <f>IF(AND(C2373&lt;&gt;"", J2373&lt;&gt;""), HYPERLINK("#'" &amp; C2373 &amp; "'!" &amp; J2373, J2373), "")</f>
        <v>0</v>
      </c>
    </row>
    <row r="2374" spans="2:2">
      <c r="B2374" s="21">
        <f>IF(AND(C2374&lt;&gt;"", J2374&lt;&gt;""), HYPERLINK("#'" &amp; C2374 &amp; "'!" &amp; J2374, J2374), "")</f>
        <v>0</v>
      </c>
    </row>
    <row r="2375" spans="2:2">
      <c r="B2375" s="21">
        <f>IF(AND(C2375&lt;&gt;"", J2375&lt;&gt;""), HYPERLINK("#'" &amp; C2375 &amp; "'!" &amp; J2375, J2375), "")</f>
        <v>0</v>
      </c>
    </row>
    <row r="2376" spans="2:2">
      <c r="B2376" s="21">
        <f>IF(AND(C2376&lt;&gt;"", J2376&lt;&gt;""), HYPERLINK("#'" &amp; C2376 &amp; "'!" &amp; J2376, J2376), "")</f>
        <v>0</v>
      </c>
    </row>
    <row r="2377" spans="2:2">
      <c r="B2377" s="21">
        <f>IF(AND(C2377&lt;&gt;"", J2377&lt;&gt;""), HYPERLINK("#'" &amp; C2377 &amp; "'!" &amp; J2377, J2377), "")</f>
        <v>0</v>
      </c>
    </row>
    <row r="2378" spans="2:2">
      <c r="B2378" s="21">
        <f>IF(AND(C2378&lt;&gt;"", J2378&lt;&gt;""), HYPERLINK("#'" &amp; C2378 &amp; "'!" &amp; J2378, J2378), "")</f>
        <v>0</v>
      </c>
    </row>
    <row r="2379" spans="2:2">
      <c r="B2379" s="21">
        <f>IF(AND(C2379&lt;&gt;"", J2379&lt;&gt;""), HYPERLINK("#'" &amp; C2379 &amp; "'!" &amp; J2379, J2379), "")</f>
        <v>0</v>
      </c>
    </row>
    <row r="2380" spans="2:2">
      <c r="B2380" s="21">
        <f>IF(AND(C2380&lt;&gt;"", J2380&lt;&gt;""), HYPERLINK("#'" &amp; C2380 &amp; "'!" &amp; J2380, J2380), "")</f>
        <v>0</v>
      </c>
    </row>
    <row r="2381" spans="2:2">
      <c r="B2381" s="21">
        <f>IF(AND(C2381&lt;&gt;"", J2381&lt;&gt;""), HYPERLINK("#'" &amp; C2381 &amp; "'!" &amp; J2381, J2381), "")</f>
        <v>0</v>
      </c>
    </row>
    <row r="2382" spans="2:2">
      <c r="B2382" s="21">
        <f>IF(AND(C2382&lt;&gt;"", J2382&lt;&gt;""), HYPERLINK("#'" &amp; C2382 &amp; "'!" &amp; J2382, J2382), "")</f>
        <v>0</v>
      </c>
    </row>
    <row r="2383" spans="2:2">
      <c r="B2383" s="21">
        <f>IF(AND(C2383&lt;&gt;"", J2383&lt;&gt;""), HYPERLINK("#'" &amp; C2383 &amp; "'!" &amp; J2383, J2383), "")</f>
        <v>0</v>
      </c>
    </row>
    <row r="2384" spans="2:2">
      <c r="B2384" s="21">
        <f>IF(AND(C2384&lt;&gt;"", J2384&lt;&gt;""), HYPERLINK("#'" &amp; C2384 &amp; "'!" &amp; J2384, J2384), "")</f>
        <v>0</v>
      </c>
    </row>
    <row r="2385" spans="2:2">
      <c r="B2385" s="21">
        <f>IF(AND(C2385&lt;&gt;"", J2385&lt;&gt;""), HYPERLINK("#'" &amp; C2385 &amp; "'!" &amp; J2385, J2385), "")</f>
        <v>0</v>
      </c>
    </row>
    <row r="2386" spans="2:2">
      <c r="B2386" s="21">
        <f>IF(AND(C2386&lt;&gt;"", J2386&lt;&gt;""), HYPERLINK("#'" &amp; C2386 &amp; "'!" &amp; J2386, J2386), "")</f>
        <v>0</v>
      </c>
    </row>
    <row r="2387" spans="2:2">
      <c r="B2387" s="21">
        <f>IF(AND(C2387&lt;&gt;"", J2387&lt;&gt;""), HYPERLINK("#'" &amp; C2387 &amp; "'!" &amp; J2387, J2387), "")</f>
        <v>0</v>
      </c>
    </row>
    <row r="2388" spans="2:2">
      <c r="B2388" s="21">
        <f>IF(AND(C2388&lt;&gt;"", J2388&lt;&gt;""), HYPERLINK("#'" &amp; C2388 &amp; "'!" &amp; J2388, J2388), "")</f>
        <v>0</v>
      </c>
    </row>
    <row r="2389" spans="2:2">
      <c r="B2389" s="21">
        <f>IF(AND(C2389&lt;&gt;"", J2389&lt;&gt;""), HYPERLINK("#'" &amp; C2389 &amp; "'!" &amp; J2389, J2389), "")</f>
        <v>0</v>
      </c>
    </row>
    <row r="2390" spans="2:2">
      <c r="B2390" s="21">
        <f>IF(AND(C2390&lt;&gt;"", J2390&lt;&gt;""), HYPERLINK("#'" &amp; C2390 &amp; "'!" &amp; J2390, J2390), "")</f>
        <v>0</v>
      </c>
    </row>
    <row r="2391" spans="2:2">
      <c r="B2391" s="21">
        <f>IF(AND(C2391&lt;&gt;"", J2391&lt;&gt;""), HYPERLINK("#'" &amp; C2391 &amp; "'!" &amp; J2391, J2391), "")</f>
        <v>0</v>
      </c>
    </row>
    <row r="2392" spans="2:2">
      <c r="B2392" s="21">
        <f>IF(AND(C2392&lt;&gt;"", J2392&lt;&gt;""), HYPERLINK("#'" &amp; C2392 &amp; "'!" &amp; J2392, J2392), "")</f>
        <v>0</v>
      </c>
    </row>
    <row r="2393" spans="2:2">
      <c r="B2393" s="21">
        <f>IF(AND(C2393&lt;&gt;"", J2393&lt;&gt;""), HYPERLINK("#'" &amp; C2393 &amp; "'!" &amp; J2393, J2393), "")</f>
        <v>0</v>
      </c>
    </row>
    <row r="2394" spans="2:2">
      <c r="B2394" s="21">
        <f>IF(AND(C2394&lt;&gt;"", J2394&lt;&gt;""), HYPERLINK("#'" &amp; C2394 &amp; "'!" &amp; J2394, J2394), "")</f>
        <v>0</v>
      </c>
    </row>
    <row r="2395" spans="2:2">
      <c r="B2395" s="21">
        <f>IF(AND(C2395&lt;&gt;"", J2395&lt;&gt;""), HYPERLINK("#'" &amp; C2395 &amp; "'!" &amp; J2395, J2395), "")</f>
        <v>0</v>
      </c>
    </row>
    <row r="2396" spans="2:2">
      <c r="B2396" s="21">
        <f>IF(AND(C2396&lt;&gt;"", J2396&lt;&gt;""), HYPERLINK("#'" &amp; C2396 &amp; "'!" &amp; J2396, J2396), "")</f>
        <v>0</v>
      </c>
    </row>
    <row r="2397" spans="2:2">
      <c r="B2397" s="21">
        <f>IF(AND(C2397&lt;&gt;"", J2397&lt;&gt;""), HYPERLINK("#'" &amp; C2397 &amp; "'!" &amp; J2397, J2397), "")</f>
        <v>0</v>
      </c>
    </row>
    <row r="2398" spans="2:2">
      <c r="B2398" s="21">
        <f>IF(AND(C2398&lt;&gt;"", J2398&lt;&gt;""), HYPERLINK("#'" &amp; C2398 &amp; "'!" &amp; J2398, J2398), "")</f>
        <v>0</v>
      </c>
    </row>
    <row r="2399" spans="2:2">
      <c r="B2399" s="21">
        <f>IF(AND(C2399&lt;&gt;"", J2399&lt;&gt;""), HYPERLINK("#'" &amp; C2399 &amp; "'!" &amp; J2399, J2399), "")</f>
        <v>0</v>
      </c>
    </row>
    <row r="2400" spans="2:2">
      <c r="B2400" s="21">
        <f>IF(AND(C2400&lt;&gt;"", J2400&lt;&gt;""), HYPERLINK("#'" &amp; C2400 &amp; "'!" &amp; J2400, J2400), "")</f>
        <v>0</v>
      </c>
    </row>
    <row r="2401" spans="2:2">
      <c r="B2401" s="21">
        <f>IF(AND(C2401&lt;&gt;"", J2401&lt;&gt;""), HYPERLINK("#'" &amp; C2401 &amp; "'!" &amp; J2401, J2401), "")</f>
        <v>0</v>
      </c>
    </row>
    <row r="2402" spans="2:2">
      <c r="B2402" s="21">
        <f>IF(AND(C2402&lt;&gt;"", J2402&lt;&gt;""), HYPERLINK("#'" &amp; C2402 &amp; "'!" &amp; J2402, J2402), "")</f>
        <v>0</v>
      </c>
    </row>
    <row r="2403" spans="2:2">
      <c r="B2403" s="21">
        <f>IF(AND(C2403&lt;&gt;"", J2403&lt;&gt;""), HYPERLINK("#'" &amp; C2403 &amp; "'!" &amp; J2403, J2403), "")</f>
        <v>0</v>
      </c>
    </row>
    <row r="2404" spans="2:2">
      <c r="B2404" s="21">
        <f>IF(AND(C2404&lt;&gt;"", J2404&lt;&gt;""), HYPERLINK("#'" &amp; C2404 &amp; "'!" &amp; J2404, J2404), "")</f>
        <v>0</v>
      </c>
    </row>
    <row r="2405" spans="2:2">
      <c r="B2405" s="21">
        <f>IF(AND(C2405&lt;&gt;"", J2405&lt;&gt;""), HYPERLINK("#'" &amp; C2405 &amp; "'!" &amp; J2405, J2405), "")</f>
        <v>0</v>
      </c>
    </row>
    <row r="2406" spans="2:2">
      <c r="B2406" s="21">
        <f>IF(AND(C2406&lt;&gt;"", J2406&lt;&gt;""), HYPERLINK("#'" &amp; C2406 &amp; "'!" &amp; J2406, J2406), "")</f>
        <v>0</v>
      </c>
    </row>
    <row r="2407" spans="2:2">
      <c r="B2407" s="21">
        <f>IF(AND(C2407&lt;&gt;"", J2407&lt;&gt;""), HYPERLINK("#'" &amp; C2407 &amp; "'!" &amp; J2407, J2407), "")</f>
        <v>0</v>
      </c>
    </row>
    <row r="2408" spans="2:2">
      <c r="B2408" s="21">
        <f>IF(AND(C2408&lt;&gt;"", J2408&lt;&gt;""), HYPERLINK("#'" &amp; C2408 &amp; "'!" &amp; J2408, J2408), "")</f>
        <v>0</v>
      </c>
    </row>
    <row r="2409" spans="2:2">
      <c r="B2409" s="21">
        <f>IF(AND(C2409&lt;&gt;"", J2409&lt;&gt;""), HYPERLINK("#'" &amp; C2409 &amp; "'!" &amp; J2409, J2409), "")</f>
        <v>0</v>
      </c>
    </row>
    <row r="2410" spans="2:2">
      <c r="B2410" s="21">
        <f>IF(AND(C2410&lt;&gt;"", J2410&lt;&gt;""), HYPERLINK("#'" &amp; C2410 &amp; "'!" &amp; J2410, J2410), "")</f>
        <v>0</v>
      </c>
    </row>
    <row r="2411" spans="2:2">
      <c r="B2411" s="21">
        <f>IF(AND(C2411&lt;&gt;"", J2411&lt;&gt;""), HYPERLINK("#'" &amp; C2411 &amp; "'!" &amp; J2411, J2411), "")</f>
        <v>0</v>
      </c>
    </row>
    <row r="2412" spans="2:2">
      <c r="B2412" s="21">
        <f>IF(AND(C2412&lt;&gt;"", J2412&lt;&gt;""), HYPERLINK("#'" &amp; C2412 &amp; "'!" &amp; J2412, J2412), "")</f>
        <v>0</v>
      </c>
    </row>
    <row r="2413" spans="2:2">
      <c r="B2413" s="21">
        <f>IF(AND(C2413&lt;&gt;"", J2413&lt;&gt;""), HYPERLINK("#'" &amp; C2413 &amp; "'!" &amp; J2413, J2413), "")</f>
        <v>0</v>
      </c>
    </row>
    <row r="2414" spans="2:2">
      <c r="B2414" s="21">
        <f>IF(AND(C2414&lt;&gt;"", J2414&lt;&gt;""), HYPERLINK("#'" &amp; C2414 &amp; "'!" &amp; J2414, J2414), "")</f>
        <v>0</v>
      </c>
    </row>
    <row r="2415" spans="2:2">
      <c r="B2415" s="21">
        <f>IF(AND(C2415&lt;&gt;"", J2415&lt;&gt;""), HYPERLINK("#'" &amp; C2415 &amp; "'!" &amp; J2415, J2415), "")</f>
        <v>0</v>
      </c>
    </row>
    <row r="2416" spans="2:2">
      <c r="B2416" s="21">
        <f>IF(AND(C2416&lt;&gt;"", J2416&lt;&gt;""), HYPERLINK("#'" &amp; C2416 &amp; "'!" &amp; J2416, J2416), "")</f>
        <v>0</v>
      </c>
    </row>
    <row r="2417" spans="2:2">
      <c r="B2417" s="21">
        <f>IF(AND(C2417&lt;&gt;"", J2417&lt;&gt;""), HYPERLINK("#'" &amp; C2417 &amp; "'!" &amp; J2417, J2417), "")</f>
        <v>0</v>
      </c>
    </row>
    <row r="2418" spans="2:2">
      <c r="B2418" s="21">
        <f>IF(AND(C2418&lt;&gt;"", J2418&lt;&gt;""), HYPERLINK("#'" &amp; C2418 &amp; "'!" &amp; J2418, J2418), "")</f>
        <v>0</v>
      </c>
    </row>
    <row r="2419" spans="2:2">
      <c r="B2419" s="21">
        <f>IF(AND(C2419&lt;&gt;"", J2419&lt;&gt;""), HYPERLINK("#'" &amp; C2419 &amp; "'!" &amp; J2419, J2419), "")</f>
        <v>0</v>
      </c>
    </row>
    <row r="2420" spans="2:2">
      <c r="B2420" s="21">
        <f>IF(AND(C2420&lt;&gt;"", J2420&lt;&gt;""), HYPERLINK("#'" &amp; C2420 &amp; "'!" &amp; J2420, J2420), "")</f>
        <v>0</v>
      </c>
    </row>
    <row r="2421" spans="2:2">
      <c r="B2421" s="21">
        <f>IF(AND(C2421&lt;&gt;"", J2421&lt;&gt;""), HYPERLINK("#'" &amp; C2421 &amp; "'!" &amp; J2421, J2421), "")</f>
        <v>0</v>
      </c>
    </row>
    <row r="2422" spans="2:2">
      <c r="B2422" s="21">
        <f>IF(AND(C2422&lt;&gt;"", J2422&lt;&gt;""), HYPERLINK("#'" &amp; C2422 &amp; "'!" &amp; J2422, J2422), "")</f>
        <v>0</v>
      </c>
    </row>
    <row r="2423" spans="2:2">
      <c r="B2423" s="21">
        <f>IF(AND(C2423&lt;&gt;"", J2423&lt;&gt;""), HYPERLINK("#'" &amp; C2423 &amp; "'!" &amp; J2423, J2423), "")</f>
        <v>0</v>
      </c>
    </row>
    <row r="2424" spans="2:2">
      <c r="B2424" s="21">
        <f>IF(AND(C2424&lt;&gt;"", J2424&lt;&gt;""), HYPERLINK("#'" &amp; C2424 &amp; "'!" &amp; J2424, J2424), "")</f>
        <v>0</v>
      </c>
    </row>
    <row r="2425" spans="2:2">
      <c r="B2425" s="21">
        <f>IF(AND(C2425&lt;&gt;"", J2425&lt;&gt;""), HYPERLINK("#'" &amp; C2425 &amp; "'!" &amp; J2425, J2425), "")</f>
        <v>0</v>
      </c>
    </row>
    <row r="2426" spans="2:2">
      <c r="B2426" s="21">
        <f>IF(AND(C2426&lt;&gt;"", J2426&lt;&gt;""), HYPERLINK("#'" &amp; C2426 &amp; "'!" &amp; J2426, J2426), "")</f>
        <v>0</v>
      </c>
    </row>
    <row r="2427" spans="2:2">
      <c r="B2427" s="21">
        <f>IF(AND(C2427&lt;&gt;"", J2427&lt;&gt;""), HYPERLINK("#'" &amp; C2427 &amp; "'!" &amp; J2427, J2427), "")</f>
        <v>0</v>
      </c>
    </row>
    <row r="2428" spans="2:2">
      <c r="B2428" s="21">
        <f>IF(AND(C2428&lt;&gt;"", J2428&lt;&gt;""), HYPERLINK("#'" &amp; C2428 &amp; "'!" &amp; J2428, J2428), "")</f>
        <v>0</v>
      </c>
    </row>
    <row r="2429" spans="2:2">
      <c r="B2429" s="21">
        <f>IF(AND(C2429&lt;&gt;"", J2429&lt;&gt;""), HYPERLINK("#'" &amp; C2429 &amp; "'!" &amp; J2429, J2429), "")</f>
        <v>0</v>
      </c>
    </row>
    <row r="2430" spans="2:2">
      <c r="B2430" s="21">
        <f>IF(AND(C2430&lt;&gt;"", J2430&lt;&gt;""), HYPERLINK("#'" &amp; C2430 &amp; "'!" &amp; J2430, J2430), "")</f>
        <v>0</v>
      </c>
    </row>
    <row r="2431" spans="2:2">
      <c r="B2431" s="21">
        <f>IF(AND(C2431&lt;&gt;"", J2431&lt;&gt;""), HYPERLINK("#'" &amp; C2431 &amp; "'!" &amp; J2431, J2431), "")</f>
        <v>0</v>
      </c>
    </row>
    <row r="2432" spans="2:2">
      <c r="B2432" s="21">
        <f>IF(AND(C2432&lt;&gt;"", J2432&lt;&gt;""), HYPERLINK("#'" &amp; C2432 &amp; "'!" &amp; J2432, J2432), "")</f>
        <v>0</v>
      </c>
    </row>
    <row r="2433" spans="2:2">
      <c r="B2433" s="21">
        <f>IF(AND(C2433&lt;&gt;"", J2433&lt;&gt;""), HYPERLINK("#'" &amp; C2433 &amp; "'!" &amp; J2433, J2433), "")</f>
        <v>0</v>
      </c>
    </row>
    <row r="2434" spans="2:2">
      <c r="B2434" s="21">
        <f>IF(AND(C2434&lt;&gt;"", J2434&lt;&gt;""), HYPERLINK("#'" &amp; C2434 &amp; "'!" &amp; J2434, J2434), "")</f>
        <v>0</v>
      </c>
    </row>
    <row r="2435" spans="2:2">
      <c r="B2435" s="21">
        <f>IF(AND(C2435&lt;&gt;"", J2435&lt;&gt;""), HYPERLINK("#'" &amp; C2435 &amp; "'!" &amp; J2435, J2435), "")</f>
        <v>0</v>
      </c>
    </row>
    <row r="2436" spans="2:2">
      <c r="B2436" s="21">
        <f>IF(AND(C2436&lt;&gt;"", J2436&lt;&gt;""), HYPERLINK("#'" &amp; C2436 &amp; "'!" &amp; J2436, J2436), "")</f>
        <v>0</v>
      </c>
    </row>
    <row r="2437" spans="2:2">
      <c r="B2437" s="21">
        <f>IF(AND(C2437&lt;&gt;"", J2437&lt;&gt;""), HYPERLINK("#'" &amp; C2437 &amp; "'!" &amp; J2437, J2437), "")</f>
        <v>0</v>
      </c>
    </row>
    <row r="2438" spans="2:2">
      <c r="B2438" s="21">
        <f>IF(AND(C2438&lt;&gt;"", J2438&lt;&gt;""), HYPERLINK("#'" &amp; C2438 &amp; "'!" &amp; J2438, J2438), "")</f>
        <v>0</v>
      </c>
    </row>
    <row r="2439" spans="2:2">
      <c r="B2439" s="21">
        <f>IF(AND(C2439&lt;&gt;"", J2439&lt;&gt;""), HYPERLINK("#'" &amp; C2439 &amp; "'!" &amp; J2439, J2439), "")</f>
        <v>0</v>
      </c>
    </row>
    <row r="2440" spans="2:2">
      <c r="B2440" s="21">
        <f>IF(AND(C2440&lt;&gt;"", J2440&lt;&gt;""), HYPERLINK("#'" &amp; C2440 &amp; "'!" &amp; J2440, J2440), "")</f>
        <v>0</v>
      </c>
    </row>
    <row r="2441" spans="2:2">
      <c r="B2441" s="21">
        <f>IF(AND(C2441&lt;&gt;"", J2441&lt;&gt;""), HYPERLINK("#'" &amp; C2441 &amp; "'!" &amp; J2441, J2441), "")</f>
        <v>0</v>
      </c>
    </row>
    <row r="2442" spans="2:2">
      <c r="B2442" s="21">
        <f>IF(AND(C2442&lt;&gt;"", J2442&lt;&gt;""), HYPERLINK("#'" &amp; C2442 &amp; "'!" &amp; J2442, J2442), "")</f>
        <v>0</v>
      </c>
    </row>
    <row r="2443" spans="2:2">
      <c r="B2443" s="21">
        <f>IF(AND(C2443&lt;&gt;"", J2443&lt;&gt;""), HYPERLINK("#'" &amp; C2443 &amp; "'!" &amp; J2443, J2443), "")</f>
        <v>0</v>
      </c>
    </row>
    <row r="2444" spans="2:2">
      <c r="B2444" s="21">
        <f>IF(AND(C2444&lt;&gt;"", J2444&lt;&gt;""), HYPERLINK("#'" &amp; C2444 &amp; "'!" &amp; J2444, J2444), "")</f>
        <v>0</v>
      </c>
    </row>
    <row r="2445" spans="2:2">
      <c r="B2445" s="21">
        <f>IF(AND(C2445&lt;&gt;"", J2445&lt;&gt;""), HYPERLINK("#'" &amp; C2445 &amp; "'!" &amp; J2445, J2445), "")</f>
        <v>0</v>
      </c>
    </row>
    <row r="2446" spans="2:2">
      <c r="B2446" s="21">
        <f>IF(AND(C2446&lt;&gt;"", J2446&lt;&gt;""), HYPERLINK("#'" &amp; C2446 &amp; "'!" &amp; J2446, J2446), "")</f>
        <v>0</v>
      </c>
    </row>
    <row r="2447" spans="2:2">
      <c r="B2447" s="21">
        <f>IF(AND(C2447&lt;&gt;"", J2447&lt;&gt;""), HYPERLINK("#'" &amp; C2447 &amp; "'!" &amp; J2447, J2447), "")</f>
        <v>0</v>
      </c>
    </row>
    <row r="2448" spans="2:2">
      <c r="B2448" s="21">
        <f>IF(AND(C2448&lt;&gt;"", J2448&lt;&gt;""), HYPERLINK("#'" &amp; C2448 &amp; "'!" &amp; J2448, J2448), "")</f>
        <v>0</v>
      </c>
    </row>
    <row r="2449" spans="2:2">
      <c r="B2449" s="21">
        <f>IF(AND(C2449&lt;&gt;"", J2449&lt;&gt;""), HYPERLINK("#'" &amp; C2449 &amp; "'!" &amp; J2449, J2449), "")</f>
        <v>0</v>
      </c>
    </row>
    <row r="2450" spans="2:2">
      <c r="B2450" s="21">
        <f>IF(AND(C2450&lt;&gt;"", J2450&lt;&gt;""), HYPERLINK("#'" &amp; C2450 &amp; "'!" &amp; J2450, J2450), "")</f>
        <v>0</v>
      </c>
    </row>
    <row r="2451" spans="2:2">
      <c r="B2451" s="21">
        <f>IF(AND(C2451&lt;&gt;"", J2451&lt;&gt;""), HYPERLINK("#'" &amp; C2451 &amp; "'!" &amp; J2451, J2451), "")</f>
        <v>0</v>
      </c>
    </row>
    <row r="2452" spans="2:2">
      <c r="B2452" s="21">
        <f>IF(AND(C2452&lt;&gt;"", J2452&lt;&gt;""), HYPERLINK("#'" &amp; C2452 &amp; "'!" &amp; J2452, J2452), "")</f>
        <v>0</v>
      </c>
    </row>
    <row r="2453" spans="2:2">
      <c r="B2453" s="21">
        <f>IF(AND(C2453&lt;&gt;"", J2453&lt;&gt;""), HYPERLINK("#'" &amp; C2453 &amp; "'!" &amp; J2453, J2453), "")</f>
        <v>0</v>
      </c>
    </row>
    <row r="2454" spans="2:2">
      <c r="B2454" s="21">
        <f>IF(AND(C2454&lt;&gt;"", J2454&lt;&gt;""), HYPERLINK("#'" &amp; C2454 &amp; "'!" &amp; J2454, J2454), "")</f>
        <v>0</v>
      </c>
    </row>
    <row r="2455" spans="2:2">
      <c r="B2455" s="21">
        <f>IF(AND(C2455&lt;&gt;"", J2455&lt;&gt;""), HYPERLINK("#'" &amp; C2455 &amp; "'!" &amp; J2455, J2455), "")</f>
        <v>0</v>
      </c>
    </row>
    <row r="2456" spans="2:2">
      <c r="B2456" s="21">
        <f>IF(AND(C2456&lt;&gt;"", J2456&lt;&gt;""), HYPERLINK("#'" &amp; C2456 &amp; "'!" &amp; J2456, J2456), "")</f>
        <v>0</v>
      </c>
    </row>
    <row r="2457" spans="2:2">
      <c r="B2457" s="21">
        <f>IF(AND(C2457&lt;&gt;"", J2457&lt;&gt;""), HYPERLINK("#'" &amp; C2457 &amp; "'!" &amp; J2457, J2457), "")</f>
        <v>0</v>
      </c>
    </row>
    <row r="2458" spans="2:2">
      <c r="B2458" s="21">
        <f>IF(AND(C2458&lt;&gt;"", J2458&lt;&gt;""), HYPERLINK("#'" &amp; C2458 &amp; "'!" &amp; J2458, J2458), "")</f>
        <v>0</v>
      </c>
    </row>
    <row r="2459" spans="2:2">
      <c r="B2459" s="21">
        <f>IF(AND(C2459&lt;&gt;"", J2459&lt;&gt;""), HYPERLINK("#'" &amp; C2459 &amp; "'!" &amp; J2459, J2459), "")</f>
        <v>0</v>
      </c>
    </row>
    <row r="2460" spans="2:2">
      <c r="B2460" s="21">
        <f>IF(AND(C2460&lt;&gt;"", J2460&lt;&gt;""), HYPERLINK("#'" &amp; C2460 &amp; "'!" &amp; J2460, J2460), "")</f>
        <v>0</v>
      </c>
    </row>
    <row r="2461" spans="2:2">
      <c r="B2461" s="21">
        <f>IF(AND(C2461&lt;&gt;"", J2461&lt;&gt;""), HYPERLINK("#'" &amp; C2461 &amp; "'!" &amp; J2461, J2461), "")</f>
        <v>0</v>
      </c>
    </row>
    <row r="2462" spans="2:2">
      <c r="B2462" s="21">
        <f>IF(AND(C2462&lt;&gt;"", J2462&lt;&gt;""), HYPERLINK("#'" &amp; C2462 &amp; "'!" &amp; J2462, J2462), "")</f>
        <v>0</v>
      </c>
    </row>
    <row r="2463" spans="2:2">
      <c r="B2463" s="21">
        <f>IF(AND(C2463&lt;&gt;"", J2463&lt;&gt;""), HYPERLINK("#'" &amp; C2463 &amp; "'!" &amp; J2463, J2463), "")</f>
        <v>0</v>
      </c>
    </row>
    <row r="2464" spans="2:2">
      <c r="B2464" s="21">
        <f>IF(AND(C2464&lt;&gt;"", J2464&lt;&gt;""), HYPERLINK("#'" &amp; C2464 &amp; "'!" &amp; J2464, J2464), "")</f>
        <v>0</v>
      </c>
    </row>
    <row r="2465" spans="2:2">
      <c r="B2465" s="21">
        <f>IF(AND(C2465&lt;&gt;"", J2465&lt;&gt;""), HYPERLINK("#'" &amp; C2465 &amp; "'!" &amp; J2465, J2465), "")</f>
        <v>0</v>
      </c>
    </row>
    <row r="2466" spans="2:2">
      <c r="B2466" s="21">
        <f>IF(AND(C2466&lt;&gt;"", J2466&lt;&gt;""), HYPERLINK("#'" &amp; C2466 &amp; "'!" &amp; J2466, J2466), "")</f>
        <v>0</v>
      </c>
    </row>
    <row r="2467" spans="2:2">
      <c r="B2467" s="21">
        <f>IF(AND(C2467&lt;&gt;"", J2467&lt;&gt;""), HYPERLINK("#'" &amp; C2467 &amp; "'!" &amp; J2467, J2467), "")</f>
        <v>0</v>
      </c>
    </row>
    <row r="2468" spans="2:2">
      <c r="B2468" s="21">
        <f>IF(AND(C2468&lt;&gt;"", J2468&lt;&gt;""), HYPERLINK("#'" &amp; C2468 &amp; "'!" &amp; J2468, J2468), "")</f>
        <v>0</v>
      </c>
    </row>
    <row r="2469" spans="2:2">
      <c r="B2469" s="21">
        <f>IF(AND(C2469&lt;&gt;"", J2469&lt;&gt;""), HYPERLINK("#'" &amp; C2469 &amp; "'!" &amp; J2469, J2469), "")</f>
        <v>0</v>
      </c>
    </row>
    <row r="2470" spans="2:2">
      <c r="B2470" s="21">
        <f>IF(AND(C2470&lt;&gt;"", J2470&lt;&gt;""), HYPERLINK("#'" &amp; C2470 &amp; "'!" &amp; J2470, J2470), "")</f>
        <v>0</v>
      </c>
    </row>
    <row r="2471" spans="2:2">
      <c r="B2471" s="21">
        <f>IF(AND(C2471&lt;&gt;"", J2471&lt;&gt;""), HYPERLINK("#'" &amp; C2471 &amp; "'!" &amp; J2471, J2471), "")</f>
        <v>0</v>
      </c>
    </row>
    <row r="2472" spans="2:2">
      <c r="B2472" s="21">
        <f>IF(AND(C2472&lt;&gt;"", J2472&lt;&gt;""), HYPERLINK("#'" &amp; C2472 &amp; "'!" &amp; J2472, J2472), "")</f>
        <v>0</v>
      </c>
    </row>
    <row r="2473" spans="2:2">
      <c r="B2473" s="21">
        <f>IF(AND(C2473&lt;&gt;"", J2473&lt;&gt;""), HYPERLINK("#'" &amp; C2473 &amp; "'!" &amp; J2473, J2473), "")</f>
        <v>0</v>
      </c>
    </row>
    <row r="2474" spans="2:2">
      <c r="B2474" s="21">
        <f>IF(AND(C2474&lt;&gt;"", J2474&lt;&gt;""), HYPERLINK("#'" &amp; C2474 &amp; "'!" &amp; J2474, J2474), "")</f>
        <v>0</v>
      </c>
    </row>
    <row r="2475" spans="2:2">
      <c r="B2475" s="21">
        <f>IF(AND(C2475&lt;&gt;"", J2475&lt;&gt;""), HYPERLINK("#'" &amp; C2475 &amp; "'!" &amp; J2475, J2475), "")</f>
        <v>0</v>
      </c>
    </row>
    <row r="2476" spans="2:2">
      <c r="B2476" s="21">
        <f>IF(AND(C2476&lt;&gt;"", J2476&lt;&gt;""), HYPERLINK("#'" &amp; C2476 &amp; "'!" &amp; J2476, J2476), "")</f>
        <v>0</v>
      </c>
    </row>
    <row r="2477" spans="2:2">
      <c r="B2477" s="21">
        <f>IF(AND(C2477&lt;&gt;"", J2477&lt;&gt;""), HYPERLINK("#'" &amp; C2477 &amp; "'!" &amp; J2477, J2477), "")</f>
        <v>0</v>
      </c>
    </row>
    <row r="2478" spans="2:2">
      <c r="B2478" s="21">
        <f>IF(AND(C2478&lt;&gt;"", J2478&lt;&gt;""), HYPERLINK("#'" &amp; C2478 &amp; "'!" &amp; J2478, J2478), "")</f>
        <v>0</v>
      </c>
    </row>
    <row r="2479" spans="2:2">
      <c r="B2479" s="21">
        <f>IF(AND(C2479&lt;&gt;"", J2479&lt;&gt;""), HYPERLINK("#'" &amp; C2479 &amp; "'!" &amp; J2479, J2479), "")</f>
        <v>0</v>
      </c>
    </row>
    <row r="2480" spans="2:2">
      <c r="B2480" s="21">
        <f>IF(AND(C2480&lt;&gt;"", J2480&lt;&gt;""), HYPERLINK("#'" &amp; C2480 &amp; "'!" &amp; J2480, J2480), "")</f>
        <v>0</v>
      </c>
    </row>
    <row r="2481" spans="2:2">
      <c r="B2481" s="21">
        <f>IF(AND(C2481&lt;&gt;"", J2481&lt;&gt;""), HYPERLINK("#'" &amp; C2481 &amp; "'!" &amp; J2481, J2481), "")</f>
        <v>0</v>
      </c>
    </row>
    <row r="2482" spans="2:2">
      <c r="B2482" s="21">
        <f>IF(AND(C2482&lt;&gt;"", J2482&lt;&gt;""), HYPERLINK("#'" &amp; C2482 &amp; "'!" &amp; J2482, J2482), "")</f>
        <v>0</v>
      </c>
    </row>
    <row r="2483" spans="2:2">
      <c r="B2483" s="21">
        <f>IF(AND(C2483&lt;&gt;"", J2483&lt;&gt;""), HYPERLINK("#'" &amp; C2483 &amp; "'!" &amp; J2483, J2483), "")</f>
        <v>0</v>
      </c>
    </row>
    <row r="2484" spans="2:2">
      <c r="B2484" s="21">
        <f>IF(AND(C2484&lt;&gt;"", J2484&lt;&gt;""), HYPERLINK("#'" &amp; C2484 &amp; "'!" &amp; J2484, J2484), "")</f>
        <v>0</v>
      </c>
    </row>
    <row r="2485" spans="2:2">
      <c r="B2485" s="21">
        <f>IF(AND(C2485&lt;&gt;"", J2485&lt;&gt;""), HYPERLINK("#'" &amp; C2485 &amp; "'!" &amp; J2485, J2485), "")</f>
        <v>0</v>
      </c>
    </row>
    <row r="2486" spans="2:2">
      <c r="B2486" s="21">
        <f>IF(AND(C2486&lt;&gt;"", J2486&lt;&gt;""), HYPERLINK("#'" &amp; C2486 &amp; "'!" &amp; J2486, J2486), "")</f>
        <v>0</v>
      </c>
    </row>
    <row r="2487" spans="2:2">
      <c r="B2487" s="21">
        <f>IF(AND(C2487&lt;&gt;"", J2487&lt;&gt;""), HYPERLINK("#'" &amp; C2487 &amp; "'!" &amp; J2487, J2487), "")</f>
        <v>0</v>
      </c>
    </row>
    <row r="2488" spans="2:2">
      <c r="B2488" s="21">
        <f>IF(AND(C2488&lt;&gt;"", J2488&lt;&gt;""), HYPERLINK("#'" &amp; C2488 &amp; "'!" &amp; J2488, J2488), "")</f>
        <v>0</v>
      </c>
    </row>
    <row r="2489" spans="2:2">
      <c r="B2489" s="21">
        <f>IF(AND(C2489&lt;&gt;"", J2489&lt;&gt;""), HYPERLINK("#'" &amp; C2489 &amp; "'!" &amp; J2489, J2489), "")</f>
        <v>0</v>
      </c>
    </row>
    <row r="2490" spans="2:2">
      <c r="B2490" s="21">
        <f>IF(AND(C2490&lt;&gt;"", J2490&lt;&gt;""), HYPERLINK("#'" &amp; C2490 &amp; "'!" &amp; J2490, J2490), "")</f>
        <v>0</v>
      </c>
    </row>
    <row r="2491" spans="2:2">
      <c r="B2491" s="21">
        <f>IF(AND(C2491&lt;&gt;"", J2491&lt;&gt;""), HYPERLINK("#'" &amp; C2491 &amp; "'!" &amp; J2491, J2491), "")</f>
        <v>0</v>
      </c>
    </row>
    <row r="2492" spans="2:2">
      <c r="B2492" s="21">
        <f>IF(AND(C2492&lt;&gt;"", J2492&lt;&gt;""), HYPERLINK("#'" &amp; C2492 &amp; "'!" &amp; J2492, J2492), "")</f>
        <v>0</v>
      </c>
    </row>
    <row r="2493" spans="2:2">
      <c r="B2493" s="21">
        <f>IF(AND(C2493&lt;&gt;"", J2493&lt;&gt;""), HYPERLINK("#'" &amp; C2493 &amp; "'!" &amp; J2493, J2493), "")</f>
        <v>0</v>
      </c>
    </row>
    <row r="2494" spans="2:2">
      <c r="B2494" s="21">
        <f>IF(AND(C2494&lt;&gt;"", J2494&lt;&gt;""), HYPERLINK("#'" &amp; C2494 &amp; "'!" &amp; J2494, J2494), "")</f>
        <v>0</v>
      </c>
    </row>
    <row r="2495" spans="2:2">
      <c r="B2495" s="21">
        <f>IF(AND(C2495&lt;&gt;"", J2495&lt;&gt;""), HYPERLINK("#'" &amp; C2495 &amp; "'!" &amp; J2495, J2495), "")</f>
        <v>0</v>
      </c>
    </row>
    <row r="2496" spans="2:2">
      <c r="B2496" s="21">
        <f>IF(AND(C2496&lt;&gt;"", J2496&lt;&gt;""), HYPERLINK("#'" &amp; C2496 &amp; "'!" &amp; J2496, J2496), "")</f>
        <v>0</v>
      </c>
    </row>
    <row r="2497" spans="2:2">
      <c r="B2497" s="21">
        <f>IF(AND(C2497&lt;&gt;"", J2497&lt;&gt;""), HYPERLINK("#'" &amp; C2497 &amp; "'!" &amp; J2497, J2497), "")</f>
        <v>0</v>
      </c>
    </row>
    <row r="2498" spans="2:2">
      <c r="B2498" s="21">
        <f>IF(AND(C2498&lt;&gt;"", J2498&lt;&gt;""), HYPERLINK("#'" &amp; C2498 &amp; "'!" &amp; J2498, J2498), "")</f>
        <v>0</v>
      </c>
    </row>
    <row r="2499" spans="2:2">
      <c r="B2499" s="21">
        <f>IF(AND(C2499&lt;&gt;"", J2499&lt;&gt;""), HYPERLINK("#'" &amp; C2499 &amp; "'!" &amp; J2499, J2499), "")</f>
        <v>0</v>
      </c>
    </row>
    <row r="2500" spans="2:2">
      <c r="B2500" s="21">
        <f>IF(AND(C2500&lt;&gt;"", J2500&lt;&gt;""), HYPERLINK("#'" &amp; C2500 &amp; "'!" &amp; J2500, J2500), "")</f>
        <v>0</v>
      </c>
    </row>
    <row r="2501" spans="2:2">
      <c r="B2501" s="21">
        <f>IF(AND(C2501&lt;&gt;"", J2501&lt;&gt;""), HYPERLINK("#'" &amp; C2501 &amp; "'!" &amp; J2501, J2501), "")</f>
        <v>0</v>
      </c>
    </row>
    <row r="2502" spans="2:2">
      <c r="B2502" s="21">
        <f>IF(AND(C2502&lt;&gt;"", J2502&lt;&gt;""), HYPERLINK("#'" &amp; C2502 &amp; "'!" &amp; J2502, J2502), "")</f>
        <v>0</v>
      </c>
    </row>
    <row r="2503" spans="2:2">
      <c r="B2503" s="21">
        <f>IF(AND(C2503&lt;&gt;"", J2503&lt;&gt;""), HYPERLINK("#'" &amp; C2503 &amp; "'!" &amp; J2503, J2503), "")</f>
        <v>0</v>
      </c>
    </row>
    <row r="2504" spans="2:2">
      <c r="B2504" s="21">
        <f>IF(AND(C2504&lt;&gt;"", J2504&lt;&gt;""), HYPERLINK("#'" &amp; C2504 &amp; "'!" &amp; J2504, J2504), "")</f>
        <v>0</v>
      </c>
    </row>
    <row r="2505" spans="2:2">
      <c r="B2505" s="21">
        <f>IF(AND(C2505&lt;&gt;"", J2505&lt;&gt;""), HYPERLINK("#'" &amp; C2505 &amp; "'!" &amp; J2505, J2505), "")</f>
        <v>0</v>
      </c>
    </row>
    <row r="2506" spans="2:2">
      <c r="B2506" s="21">
        <f>IF(AND(C2506&lt;&gt;"", J2506&lt;&gt;""), HYPERLINK("#'" &amp; C2506 &amp; "'!" &amp; J2506, J2506), "")</f>
        <v>0</v>
      </c>
    </row>
    <row r="2507" spans="2:2">
      <c r="B2507" s="21">
        <f>IF(AND(C2507&lt;&gt;"", J2507&lt;&gt;""), HYPERLINK("#'" &amp; C2507 &amp; "'!" &amp; J2507, J2507), "")</f>
        <v>0</v>
      </c>
    </row>
    <row r="2508" spans="2:2">
      <c r="B2508" s="21">
        <f>IF(AND(C2508&lt;&gt;"", J2508&lt;&gt;""), HYPERLINK("#'" &amp; C2508 &amp; "'!" &amp; J2508, J2508), "")</f>
        <v>0</v>
      </c>
    </row>
    <row r="2509" spans="2:2">
      <c r="B2509" s="21">
        <f>IF(AND(C2509&lt;&gt;"", J2509&lt;&gt;""), HYPERLINK("#'" &amp; C2509 &amp; "'!" &amp; J2509, J2509), "")</f>
        <v>0</v>
      </c>
    </row>
    <row r="2510" spans="2:2">
      <c r="B2510" s="21">
        <f>IF(AND(C2510&lt;&gt;"", J2510&lt;&gt;""), HYPERLINK("#'" &amp; C2510 &amp; "'!" &amp; J2510, J2510), "")</f>
        <v>0</v>
      </c>
    </row>
    <row r="2511" spans="2:2">
      <c r="B2511" s="21">
        <f>IF(AND(C2511&lt;&gt;"", J2511&lt;&gt;""), HYPERLINK("#'" &amp; C2511 &amp; "'!" &amp; J2511, J2511), "")</f>
        <v>0</v>
      </c>
    </row>
    <row r="2512" spans="2:2">
      <c r="B2512" s="21">
        <f>IF(AND(C2512&lt;&gt;"", J2512&lt;&gt;""), HYPERLINK("#'" &amp; C2512 &amp; "'!" &amp; J2512, J2512), "")</f>
        <v>0</v>
      </c>
    </row>
    <row r="2513" spans="2:2">
      <c r="B2513" s="21">
        <f>IF(AND(C2513&lt;&gt;"", J2513&lt;&gt;""), HYPERLINK("#'" &amp; C2513 &amp; "'!" &amp; J2513, J2513), "")</f>
        <v>0</v>
      </c>
    </row>
    <row r="2514" spans="2:2">
      <c r="B2514" s="21">
        <f>IF(AND(C2514&lt;&gt;"", J2514&lt;&gt;""), HYPERLINK("#'" &amp; C2514 &amp; "'!" &amp; J2514, J2514), "")</f>
        <v>0</v>
      </c>
    </row>
    <row r="2515" spans="2:2">
      <c r="B2515" s="21">
        <f>IF(AND(C2515&lt;&gt;"", J2515&lt;&gt;""), HYPERLINK("#'" &amp; C2515 &amp; "'!" &amp; J2515, J2515), "")</f>
        <v>0</v>
      </c>
    </row>
    <row r="2516" spans="2:2">
      <c r="B2516" s="21">
        <f>IF(AND(C2516&lt;&gt;"", J2516&lt;&gt;""), HYPERLINK("#'" &amp; C2516 &amp; "'!" &amp; J2516, J2516), "")</f>
        <v>0</v>
      </c>
    </row>
    <row r="2517" spans="2:2">
      <c r="B2517" s="21">
        <f>IF(AND(C2517&lt;&gt;"", J2517&lt;&gt;""), HYPERLINK("#'" &amp; C2517 &amp; "'!" &amp; J2517, J2517), "")</f>
        <v>0</v>
      </c>
    </row>
    <row r="2518" spans="2:2">
      <c r="B2518" s="21">
        <f>IF(AND(C2518&lt;&gt;"", J2518&lt;&gt;""), HYPERLINK("#'" &amp; C2518 &amp; "'!" &amp; J2518, J2518), "")</f>
        <v>0</v>
      </c>
    </row>
    <row r="2519" spans="2:2">
      <c r="B2519" s="21">
        <f>IF(AND(C2519&lt;&gt;"", J2519&lt;&gt;""), HYPERLINK("#'" &amp; C2519 &amp; "'!" &amp; J2519, J2519), "")</f>
        <v>0</v>
      </c>
    </row>
    <row r="2520" spans="2:2">
      <c r="B2520" s="21">
        <f>IF(AND(C2520&lt;&gt;"", J2520&lt;&gt;""), HYPERLINK("#'" &amp; C2520 &amp; "'!" &amp; J2520, J2520), "")</f>
        <v>0</v>
      </c>
    </row>
    <row r="2521" spans="2:2">
      <c r="B2521" s="21">
        <f>IF(AND(C2521&lt;&gt;"", J2521&lt;&gt;""), HYPERLINK("#'" &amp; C2521 &amp; "'!" &amp; J2521, J2521), "")</f>
        <v>0</v>
      </c>
    </row>
    <row r="2522" spans="2:2">
      <c r="B2522" s="21">
        <f>IF(AND(C2522&lt;&gt;"", J2522&lt;&gt;""), HYPERLINK("#'" &amp; C2522 &amp; "'!" &amp; J2522, J2522), "")</f>
        <v>0</v>
      </c>
    </row>
    <row r="2523" spans="2:2">
      <c r="B2523" s="21">
        <f>IF(AND(C2523&lt;&gt;"", J2523&lt;&gt;""), HYPERLINK("#'" &amp; C2523 &amp; "'!" &amp; J2523, J2523), "")</f>
        <v>0</v>
      </c>
    </row>
    <row r="2524" spans="2:2">
      <c r="B2524" s="21">
        <f>IF(AND(C2524&lt;&gt;"", J2524&lt;&gt;""), HYPERLINK("#'" &amp; C2524 &amp; "'!" &amp; J2524, J2524), "")</f>
        <v>0</v>
      </c>
    </row>
    <row r="2525" spans="2:2">
      <c r="B2525" s="21">
        <f>IF(AND(C2525&lt;&gt;"", J2525&lt;&gt;""), HYPERLINK("#'" &amp; C2525 &amp; "'!" &amp; J2525, J2525), "")</f>
        <v>0</v>
      </c>
    </row>
    <row r="2526" spans="2:2">
      <c r="B2526" s="21">
        <f>IF(AND(C2526&lt;&gt;"", J2526&lt;&gt;""), HYPERLINK("#'" &amp; C2526 &amp; "'!" &amp; J2526, J2526), "")</f>
        <v>0</v>
      </c>
    </row>
    <row r="2527" spans="2:2">
      <c r="B2527" s="21">
        <f>IF(AND(C2527&lt;&gt;"", J2527&lt;&gt;""), HYPERLINK("#'" &amp; C2527 &amp; "'!" &amp; J2527, J2527), "")</f>
        <v>0</v>
      </c>
    </row>
    <row r="2528" spans="2:2">
      <c r="B2528" s="21">
        <f>IF(AND(C2528&lt;&gt;"", J2528&lt;&gt;""), HYPERLINK("#'" &amp; C2528 &amp; "'!" &amp; J2528, J2528), "")</f>
        <v>0</v>
      </c>
    </row>
    <row r="2529" spans="2:2">
      <c r="B2529" s="21">
        <f>IF(AND(C2529&lt;&gt;"", J2529&lt;&gt;""), HYPERLINK("#'" &amp; C2529 &amp; "'!" &amp; J2529, J2529), "")</f>
        <v>0</v>
      </c>
    </row>
    <row r="2530" spans="2:2">
      <c r="B2530" s="21">
        <f>IF(AND(C2530&lt;&gt;"", J2530&lt;&gt;""), HYPERLINK("#'" &amp; C2530 &amp; "'!" &amp; J2530, J2530), "")</f>
        <v>0</v>
      </c>
    </row>
    <row r="2531" spans="2:2">
      <c r="B2531" s="21">
        <f>IF(AND(C2531&lt;&gt;"", J2531&lt;&gt;""), HYPERLINK("#'" &amp; C2531 &amp; "'!" &amp; J2531, J2531), "")</f>
        <v>0</v>
      </c>
    </row>
    <row r="2532" spans="2:2">
      <c r="B2532" s="21">
        <f>IF(AND(C2532&lt;&gt;"", J2532&lt;&gt;""), HYPERLINK("#'" &amp; C2532 &amp; "'!" &amp; J2532, J2532), "")</f>
        <v>0</v>
      </c>
    </row>
    <row r="2533" spans="2:2">
      <c r="B2533" s="21">
        <f>IF(AND(C2533&lt;&gt;"", J2533&lt;&gt;""), HYPERLINK("#'" &amp; C2533 &amp; "'!" &amp; J2533, J2533), "")</f>
        <v>0</v>
      </c>
    </row>
    <row r="2534" spans="2:2">
      <c r="B2534" s="21">
        <f>IF(AND(C2534&lt;&gt;"", J2534&lt;&gt;""), HYPERLINK("#'" &amp; C2534 &amp; "'!" &amp; J2534, J2534), "")</f>
        <v>0</v>
      </c>
    </row>
    <row r="2535" spans="2:2">
      <c r="B2535" s="21">
        <f>IF(AND(C2535&lt;&gt;"", J2535&lt;&gt;""), HYPERLINK("#'" &amp; C2535 &amp; "'!" &amp; J2535, J2535), "")</f>
        <v>0</v>
      </c>
    </row>
    <row r="2536" spans="2:2">
      <c r="B2536" s="21">
        <f>IF(AND(C2536&lt;&gt;"", J2536&lt;&gt;""), HYPERLINK("#'" &amp; C2536 &amp; "'!" &amp; J2536, J2536), "")</f>
        <v>0</v>
      </c>
    </row>
    <row r="2537" spans="2:2">
      <c r="B2537" s="21">
        <f>IF(AND(C2537&lt;&gt;"", J2537&lt;&gt;""), HYPERLINK("#'" &amp; C2537 &amp; "'!" &amp; J2537, J2537), "")</f>
        <v>0</v>
      </c>
    </row>
    <row r="2538" spans="2:2">
      <c r="B2538" s="21">
        <f>IF(AND(C2538&lt;&gt;"", J2538&lt;&gt;""), HYPERLINK("#'" &amp; C2538 &amp; "'!" &amp; J2538, J2538), "")</f>
        <v>0</v>
      </c>
    </row>
    <row r="2539" spans="2:2">
      <c r="B2539" s="21">
        <f>IF(AND(C2539&lt;&gt;"", J2539&lt;&gt;""), HYPERLINK("#'" &amp; C2539 &amp; "'!" &amp; J2539, J2539), "")</f>
        <v>0</v>
      </c>
    </row>
    <row r="2540" spans="2:2">
      <c r="B2540" s="21">
        <f>IF(AND(C2540&lt;&gt;"", J2540&lt;&gt;""), HYPERLINK("#'" &amp; C2540 &amp; "'!" &amp; J2540, J2540), "")</f>
        <v>0</v>
      </c>
    </row>
    <row r="2541" spans="2:2">
      <c r="B2541" s="21">
        <f>IF(AND(C2541&lt;&gt;"", J2541&lt;&gt;""), HYPERLINK("#'" &amp; C2541 &amp; "'!" &amp; J2541, J2541), "")</f>
        <v>0</v>
      </c>
    </row>
    <row r="2542" spans="2:2">
      <c r="B2542" s="21">
        <f>IF(AND(C2542&lt;&gt;"", J2542&lt;&gt;""), HYPERLINK("#'" &amp; C2542 &amp; "'!" &amp; J2542, J2542), "")</f>
        <v>0</v>
      </c>
    </row>
    <row r="2543" spans="2:2">
      <c r="B2543" s="21">
        <f>IF(AND(C2543&lt;&gt;"", J2543&lt;&gt;""), HYPERLINK("#'" &amp; C2543 &amp; "'!" &amp; J2543, J2543), "")</f>
        <v>0</v>
      </c>
    </row>
    <row r="2544" spans="2:2">
      <c r="B2544" s="21">
        <f>IF(AND(C2544&lt;&gt;"", J2544&lt;&gt;""), HYPERLINK("#'" &amp; C2544 &amp; "'!" &amp; J2544, J2544), "")</f>
        <v>0</v>
      </c>
    </row>
    <row r="2545" spans="2:2">
      <c r="B2545" s="21">
        <f>IF(AND(C2545&lt;&gt;"", J2545&lt;&gt;""), HYPERLINK("#'" &amp; C2545 &amp; "'!" &amp; J2545, J2545), "")</f>
        <v>0</v>
      </c>
    </row>
    <row r="2546" spans="2:2">
      <c r="B2546" s="21">
        <f>IF(AND(C2546&lt;&gt;"", J2546&lt;&gt;""), HYPERLINK("#'" &amp; C2546 &amp; "'!" &amp; J2546, J2546), "")</f>
        <v>0</v>
      </c>
    </row>
    <row r="2547" spans="2:2">
      <c r="B2547" s="21">
        <f>IF(AND(C2547&lt;&gt;"", J2547&lt;&gt;""), HYPERLINK("#'" &amp; C2547 &amp; "'!" &amp; J2547, J2547), "")</f>
        <v>0</v>
      </c>
    </row>
    <row r="2548" spans="2:2">
      <c r="B2548" s="21">
        <f>IF(AND(C2548&lt;&gt;"", J2548&lt;&gt;""), HYPERLINK("#'" &amp; C2548 &amp; "'!" &amp; J2548, J2548), "")</f>
        <v>0</v>
      </c>
    </row>
    <row r="2549" spans="2:2">
      <c r="B2549" s="21">
        <f>IF(AND(C2549&lt;&gt;"", J2549&lt;&gt;""), HYPERLINK("#'" &amp; C2549 &amp; "'!" &amp; J2549, J2549), "")</f>
        <v>0</v>
      </c>
    </row>
    <row r="2550" spans="2:2">
      <c r="B2550" s="21">
        <f>IF(AND(C2550&lt;&gt;"", J2550&lt;&gt;""), HYPERLINK("#'" &amp; C2550 &amp; "'!" &amp; J2550, J2550), "")</f>
        <v>0</v>
      </c>
    </row>
    <row r="2551" spans="2:2">
      <c r="B2551" s="21">
        <f>IF(AND(C2551&lt;&gt;"", J2551&lt;&gt;""), HYPERLINK("#'" &amp; C2551 &amp; "'!" &amp; J2551, J2551), "")</f>
        <v>0</v>
      </c>
    </row>
    <row r="2552" spans="2:2">
      <c r="B2552" s="21">
        <f>IF(AND(C2552&lt;&gt;"", J2552&lt;&gt;""), HYPERLINK("#'" &amp; C2552 &amp; "'!" &amp; J2552, J2552), "")</f>
        <v>0</v>
      </c>
    </row>
    <row r="2553" spans="2:2">
      <c r="B2553" s="21">
        <f>IF(AND(C2553&lt;&gt;"", J2553&lt;&gt;""), HYPERLINK("#'" &amp; C2553 &amp; "'!" &amp; J2553, J2553), "")</f>
        <v>0</v>
      </c>
    </row>
    <row r="2554" spans="2:2">
      <c r="B2554" s="21">
        <f>IF(AND(C2554&lt;&gt;"", J2554&lt;&gt;""), HYPERLINK("#'" &amp; C2554 &amp; "'!" &amp; J2554, J2554), "")</f>
        <v>0</v>
      </c>
    </row>
    <row r="2555" spans="2:2">
      <c r="B2555" s="21">
        <f>IF(AND(C2555&lt;&gt;"", J2555&lt;&gt;""), HYPERLINK("#'" &amp; C2555 &amp; "'!" &amp; J2555, J2555), "")</f>
        <v>0</v>
      </c>
    </row>
    <row r="2556" spans="2:2">
      <c r="B2556" s="21">
        <f>IF(AND(C2556&lt;&gt;"", J2556&lt;&gt;""), HYPERLINK("#'" &amp; C2556 &amp; "'!" &amp; J2556, J2556), "")</f>
        <v>0</v>
      </c>
    </row>
    <row r="2557" spans="2:2">
      <c r="B2557" s="21">
        <f>IF(AND(C2557&lt;&gt;"", J2557&lt;&gt;""), HYPERLINK("#'" &amp; C2557 &amp; "'!" &amp; J2557, J2557), "")</f>
        <v>0</v>
      </c>
    </row>
    <row r="2558" spans="2:2">
      <c r="B2558" s="21">
        <f>IF(AND(C2558&lt;&gt;"", J2558&lt;&gt;""), HYPERLINK("#'" &amp; C2558 &amp; "'!" &amp; J2558, J2558), "")</f>
        <v>0</v>
      </c>
    </row>
    <row r="2559" spans="2:2">
      <c r="B2559" s="21">
        <f>IF(AND(C2559&lt;&gt;"", J2559&lt;&gt;""), HYPERLINK("#'" &amp; C2559 &amp; "'!" &amp; J2559, J2559), "")</f>
        <v>0</v>
      </c>
    </row>
    <row r="2560" spans="2:2">
      <c r="B2560" s="21">
        <f>IF(AND(C2560&lt;&gt;"", J2560&lt;&gt;""), HYPERLINK("#'" &amp; C2560 &amp; "'!" &amp; J2560, J2560), "")</f>
        <v>0</v>
      </c>
    </row>
    <row r="2561" spans="2:2">
      <c r="B2561" s="21">
        <f>IF(AND(C2561&lt;&gt;"", J2561&lt;&gt;""), HYPERLINK("#'" &amp; C2561 &amp; "'!" &amp; J2561, J2561), "")</f>
        <v>0</v>
      </c>
    </row>
    <row r="2562" spans="2:2">
      <c r="B2562" s="21">
        <f>IF(AND(C2562&lt;&gt;"", J2562&lt;&gt;""), HYPERLINK("#'" &amp; C2562 &amp; "'!" &amp; J2562, J2562), "")</f>
        <v>0</v>
      </c>
    </row>
    <row r="2563" spans="2:2">
      <c r="B2563" s="21">
        <f>IF(AND(C2563&lt;&gt;"", J2563&lt;&gt;""), HYPERLINK("#'" &amp; C2563 &amp; "'!" &amp; J2563, J2563), "")</f>
        <v>0</v>
      </c>
    </row>
    <row r="2564" spans="2:2">
      <c r="B2564" s="21">
        <f>IF(AND(C2564&lt;&gt;"", J2564&lt;&gt;""), HYPERLINK("#'" &amp; C2564 &amp; "'!" &amp; J2564, J2564), "")</f>
        <v>0</v>
      </c>
    </row>
    <row r="2565" spans="2:2">
      <c r="B2565" s="21">
        <f>IF(AND(C2565&lt;&gt;"", J2565&lt;&gt;""), HYPERLINK("#'" &amp; C2565 &amp; "'!" &amp; J2565, J2565), "")</f>
        <v>0</v>
      </c>
    </row>
    <row r="2566" spans="2:2">
      <c r="B2566" s="21">
        <f>IF(AND(C2566&lt;&gt;"", J2566&lt;&gt;""), HYPERLINK("#'" &amp; C2566 &amp; "'!" &amp; J2566, J2566), "")</f>
        <v>0</v>
      </c>
    </row>
    <row r="2567" spans="2:2">
      <c r="B2567" s="21">
        <f>IF(AND(C2567&lt;&gt;"", J2567&lt;&gt;""), HYPERLINK("#'" &amp; C2567 &amp; "'!" &amp; J2567, J2567), "")</f>
        <v>0</v>
      </c>
    </row>
    <row r="2568" spans="2:2">
      <c r="B2568" s="21">
        <f>IF(AND(C2568&lt;&gt;"", J2568&lt;&gt;""), HYPERLINK("#'" &amp; C2568 &amp; "'!" &amp; J2568, J2568), "")</f>
        <v>0</v>
      </c>
    </row>
    <row r="2569" spans="2:2">
      <c r="B2569" s="21">
        <f>IF(AND(C2569&lt;&gt;"", J2569&lt;&gt;""), HYPERLINK("#'" &amp; C2569 &amp; "'!" &amp; J2569, J2569), "")</f>
        <v>0</v>
      </c>
    </row>
    <row r="2570" spans="2:2">
      <c r="B2570" s="21">
        <f>IF(AND(C2570&lt;&gt;"", J2570&lt;&gt;""), HYPERLINK("#'" &amp; C2570 &amp; "'!" &amp; J2570, J2570), "")</f>
        <v>0</v>
      </c>
    </row>
    <row r="2571" spans="2:2">
      <c r="B2571" s="21">
        <f>IF(AND(C2571&lt;&gt;"", J2571&lt;&gt;""), HYPERLINK("#'" &amp; C2571 &amp; "'!" &amp; J2571, J2571), "")</f>
        <v>0</v>
      </c>
    </row>
    <row r="2572" spans="2:2">
      <c r="B2572" s="21">
        <f>IF(AND(C2572&lt;&gt;"", J2572&lt;&gt;""), HYPERLINK("#'" &amp; C2572 &amp; "'!" &amp; J2572, J2572), "")</f>
        <v>0</v>
      </c>
    </row>
    <row r="2573" spans="2:2">
      <c r="B2573" s="21">
        <f>IF(AND(C2573&lt;&gt;"", J2573&lt;&gt;""), HYPERLINK("#'" &amp; C2573 &amp; "'!" &amp; J2573, J2573), "")</f>
        <v>0</v>
      </c>
    </row>
    <row r="2574" spans="2:2">
      <c r="B2574" s="21">
        <f>IF(AND(C2574&lt;&gt;"", J2574&lt;&gt;""), HYPERLINK("#'" &amp; C2574 &amp; "'!" &amp; J2574, J2574), "")</f>
        <v>0</v>
      </c>
    </row>
    <row r="2575" spans="2:2">
      <c r="B2575" s="21">
        <f>IF(AND(C2575&lt;&gt;"", J2575&lt;&gt;""), HYPERLINK("#'" &amp; C2575 &amp; "'!" &amp; J2575, J2575), "")</f>
        <v>0</v>
      </c>
    </row>
    <row r="2576" spans="2:2">
      <c r="B2576" s="21">
        <f>IF(AND(C2576&lt;&gt;"", J2576&lt;&gt;""), HYPERLINK("#'" &amp; C2576 &amp; "'!" &amp; J2576, J2576), "")</f>
        <v>0</v>
      </c>
    </row>
    <row r="2577" spans="2:2">
      <c r="B2577" s="21">
        <f>IF(AND(C2577&lt;&gt;"", J2577&lt;&gt;""), HYPERLINK("#'" &amp; C2577 &amp; "'!" &amp; J2577, J2577), "")</f>
        <v>0</v>
      </c>
    </row>
    <row r="2578" spans="2:2">
      <c r="B2578" s="21">
        <f>IF(AND(C2578&lt;&gt;"", J2578&lt;&gt;""), HYPERLINK("#'" &amp; C2578 &amp; "'!" &amp; J2578, J2578), "")</f>
        <v>0</v>
      </c>
    </row>
    <row r="2579" spans="2:2">
      <c r="B2579" s="21">
        <f>IF(AND(C2579&lt;&gt;"", J2579&lt;&gt;""), HYPERLINK("#'" &amp; C2579 &amp; "'!" &amp; J2579, J2579), "")</f>
        <v>0</v>
      </c>
    </row>
    <row r="2580" spans="2:2">
      <c r="B2580" s="21">
        <f>IF(AND(C2580&lt;&gt;"", J2580&lt;&gt;""), HYPERLINK("#'" &amp; C2580 &amp; "'!" &amp; J2580, J2580), "")</f>
        <v>0</v>
      </c>
    </row>
    <row r="2581" spans="2:2">
      <c r="B2581" s="21">
        <f>IF(AND(C2581&lt;&gt;"", J2581&lt;&gt;""), HYPERLINK("#'" &amp; C2581 &amp; "'!" &amp; J2581, J2581), "")</f>
        <v>0</v>
      </c>
    </row>
    <row r="2582" spans="2:2">
      <c r="B2582" s="21">
        <f>IF(AND(C2582&lt;&gt;"", J2582&lt;&gt;""), HYPERLINK("#'" &amp; C2582 &amp; "'!" &amp; J2582, J2582), "")</f>
        <v>0</v>
      </c>
    </row>
    <row r="2583" spans="2:2">
      <c r="B2583" s="21">
        <f>IF(AND(C2583&lt;&gt;"", J2583&lt;&gt;""), HYPERLINK("#'" &amp; C2583 &amp; "'!" &amp; J2583, J2583), "")</f>
        <v>0</v>
      </c>
    </row>
    <row r="2584" spans="2:2">
      <c r="B2584" s="21">
        <f>IF(AND(C2584&lt;&gt;"", J2584&lt;&gt;""), HYPERLINK("#'" &amp; C2584 &amp; "'!" &amp; J2584, J2584), "")</f>
        <v>0</v>
      </c>
    </row>
    <row r="2585" spans="2:2">
      <c r="B2585" s="21">
        <f>IF(AND(C2585&lt;&gt;"", J2585&lt;&gt;""), HYPERLINK("#'" &amp; C2585 &amp; "'!" &amp; J2585, J2585), "")</f>
        <v>0</v>
      </c>
    </row>
    <row r="2586" spans="2:2">
      <c r="B2586" s="21">
        <f>IF(AND(C2586&lt;&gt;"", J2586&lt;&gt;""), HYPERLINK("#'" &amp; C2586 &amp; "'!" &amp; J2586, J2586), "")</f>
        <v>0</v>
      </c>
    </row>
    <row r="2587" spans="2:2">
      <c r="B2587" s="21">
        <f>IF(AND(C2587&lt;&gt;"", J2587&lt;&gt;""), HYPERLINK("#'" &amp; C2587 &amp; "'!" &amp; J2587, J2587), "")</f>
        <v>0</v>
      </c>
    </row>
    <row r="2588" spans="2:2">
      <c r="B2588" s="21">
        <f>IF(AND(C2588&lt;&gt;"", J2588&lt;&gt;""), HYPERLINK("#'" &amp; C2588 &amp; "'!" &amp; J2588, J2588), "")</f>
        <v>0</v>
      </c>
    </row>
    <row r="2589" spans="2:2">
      <c r="B2589" s="21">
        <f>IF(AND(C2589&lt;&gt;"", J2589&lt;&gt;""), HYPERLINK("#'" &amp; C2589 &amp; "'!" &amp; J2589, J2589), "")</f>
        <v>0</v>
      </c>
    </row>
    <row r="2590" spans="2:2">
      <c r="B2590" s="21">
        <f>IF(AND(C2590&lt;&gt;"", J2590&lt;&gt;""), HYPERLINK("#'" &amp; C2590 &amp; "'!" &amp; J2590, J2590), "")</f>
        <v>0</v>
      </c>
    </row>
    <row r="2591" spans="2:2">
      <c r="B2591" s="21">
        <f>IF(AND(C2591&lt;&gt;"", J2591&lt;&gt;""), HYPERLINK("#'" &amp; C2591 &amp; "'!" &amp; J2591, J2591), "")</f>
        <v>0</v>
      </c>
    </row>
    <row r="2592" spans="2:2">
      <c r="B2592" s="21">
        <f>IF(AND(C2592&lt;&gt;"", J2592&lt;&gt;""), HYPERLINK("#'" &amp; C2592 &amp; "'!" &amp; J2592, J2592), "")</f>
        <v>0</v>
      </c>
    </row>
    <row r="2593" spans="2:2">
      <c r="B2593" s="21">
        <f>IF(AND(C2593&lt;&gt;"", J2593&lt;&gt;""), HYPERLINK("#'" &amp; C2593 &amp; "'!" &amp; J2593, J2593), "")</f>
        <v>0</v>
      </c>
    </row>
    <row r="2594" spans="2:2">
      <c r="B2594" s="21">
        <f>IF(AND(C2594&lt;&gt;"", J2594&lt;&gt;""), HYPERLINK("#'" &amp; C2594 &amp; "'!" &amp; J2594, J2594), "")</f>
        <v>0</v>
      </c>
    </row>
    <row r="2595" spans="2:2">
      <c r="B2595" s="21">
        <f>IF(AND(C2595&lt;&gt;"", J2595&lt;&gt;""), HYPERLINK("#'" &amp; C2595 &amp; "'!" &amp; J2595, J2595), "")</f>
        <v>0</v>
      </c>
    </row>
    <row r="2596" spans="2:2">
      <c r="B2596" s="21">
        <f>IF(AND(C2596&lt;&gt;"", J2596&lt;&gt;""), HYPERLINK("#'" &amp; C2596 &amp; "'!" &amp; J2596, J2596), "")</f>
        <v>0</v>
      </c>
    </row>
    <row r="2597" spans="2:2">
      <c r="B2597" s="21">
        <f>IF(AND(C2597&lt;&gt;"", J2597&lt;&gt;""), HYPERLINK("#'" &amp; C2597 &amp; "'!" &amp; J2597, J2597), "")</f>
        <v>0</v>
      </c>
    </row>
    <row r="2598" spans="2:2">
      <c r="B2598" s="21">
        <f>IF(AND(C2598&lt;&gt;"", J2598&lt;&gt;""), HYPERLINK("#'" &amp; C2598 &amp; "'!" &amp; J2598, J2598), "")</f>
        <v>0</v>
      </c>
    </row>
    <row r="2599" spans="2:2">
      <c r="B2599" s="21">
        <f>IF(AND(C2599&lt;&gt;"", J2599&lt;&gt;""), HYPERLINK("#'" &amp; C2599 &amp; "'!" &amp; J2599, J2599), "")</f>
        <v>0</v>
      </c>
    </row>
    <row r="2600" spans="2:2">
      <c r="B2600" s="21">
        <f>IF(AND(C2600&lt;&gt;"", J2600&lt;&gt;""), HYPERLINK("#'" &amp; C2600 &amp; "'!" &amp; J2600, J2600), "")</f>
        <v>0</v>
      </c>
    </row>
    <row r="2601" spans="2:2">
      <c r="B2601" s="21">
        <f>IF(AND(C2601&lt;&gt;"", J2601&lt;&gt;""), HYPERLINK("#'" &amp; C2601 &amp; "'!" &amp; J2601, J2601), "")</f>
        <v>0</v>
      </c>
    </row>
    <row r="2602" spans="2:2">
      <c r="B2602" s="21">
        <f>IF(AND(C2602&lt;&gt;"", J2602&lt;&gt;""), HYPERLINK("#'" &amp; C2602 &amp; "'!" &amp; J2602, J2602), "")</f>
        <v>0</v>
      </c>
    </row>
    <row r="2603" spans="2:2">
      <c r="B2603" s="21">
        <f>IF(AND(C2603&lt;&gt;"", J2603&lt;&gt;""), HYPERLINK("#'" &amp; C2603 &amp; "'!" &amp; J2603, J2603), "")</f>
        <v>0</v>
      </c>
    </row>
    <row r="2604" spans="2:2">
      <c r="B2604" s="21">
        <f>IF(AND(C2604&lt;&gt;"", J2604&lt;&gt;""), HYPERLINK("#'" &amp; C2604 &amp; "'!" &amp; J2604, J2604), "")</f>
        <v>0</v>
      </c>
    </row>
    <row r="2605" spans="2:2">
      <c r="B2605" s="21">
        <f>IF(AND(C2605&lt;&gt;"", J2605&lt;&gt;""), HYPERLINK("#'" &amp; C2605 &amp; "'!" &amp; J2605, J2605), "")</f>
        <v>0</v>
      </c>
    </row>
    <row r="2606" spans="2:2">
      <c r="B2606" s="21">
        <f>IF(AND(C2606&lt;&gt;"", J2606&lt;&gt;""), HYPERLINK("#'" &amp; C2606 &amp; "'!" &amp; J2606, J2606), "")</f>
        <v>0</v>
      </c>
    </row>
    <row r="2607" spans="2:2">
      <c r="B2607" s="21">
        <f>IF(AND(C2607&lt;&gt;"", J2607&lt;&gt;""), HYPERLINK("#'" &amp; C2607 &amp; "'!" &amp; J2607, J2607), "")</f>
        <v>0</v>
      </c>
    </row>
    <row r="2608" spans="2:2">
      <c r="B2608" s="21">
        <f>IF(AND(C2608&lt;&gt;"", J2608&lt;&gt;""), HYPERLINK("#'" &amp; C2608 &amp; "'!" &amp; J2608, J2608), "")</f>
        <v>0</v>
      </c>
    </row>
    <row r="2609" spans="2:2">
      <c r="B2609" s="21">
        <f>IF(AND(C2609&lt;&gt;"", J2609&lt;&gt;""), HYPERLINK("#'" &amp; C2609 &amp; "'!" &amp; J2609, J2609), "")</f>
        <v>0</v>
      </c>
    </row>
    <row r="2610" spans="2:2">
      <c r="B2610" s="21">
        <f>IF(AND(C2610&lt;&gt;"", J2610&lt;&gt;""), HYPERLINK("#'" &amp; C2610 &amp; "'!" &amp; J2610, J2610), "")</f>
        <v>0</v>
      </c>
    </row>
    <row r="2611" spans="2:2">
      <c r="B2611" s="21">
        <f>IF(AND(C2611&lt;&gt;"", J2611&lt;&gt;""), HYPERLINK("#'" &amp; C2611 &amp; "'!" &amp; J2611, J2611), "")</f>
        <v>0</v>
      </c>
    </row>
    <row r="2612" spans="2:2">
      <c r="B2612" s="21">
        <f>IF(AND(C2612&lt;&gt;"", J2612&lt;&gt;""), HYPERLINK("#'" &amp; C2612 &amp; "'!" &amp; J2612, J2612), "")</f>
        <v>0</v>
      </c>
    </row>
    <row r="2613" spans="2:2">
      <c r="B2613" s="21">
        <f>IF(AND(C2613&lt;&gt;"", J2613&lt;&gt;""), HYPERLINK("#'" &amp; C2613 &amp; "'!" &amp; J2613, J2613), "")</f>
        <v>0</v>
      </c>
    </row>
    <row r="2614" spans="2:2">
      <c r="B2614" s="21">
        <f>IF(AND(C2614&lt;&gt;"", J2614&lt;&gt;""), HYPERLINK("#'" &amp; C2614 &amp; "'!" &amp; J2614, J2614), "")</f>
        <v>0</v>
      </c>
    </row>
    <row r="2615" spans="2:2">
      <c r="B2615" s="21">
        <f>IF(AND(C2615&lt;&gt;"", J2615&lt;&gt;""), HYPERLINK("#'" &amp; C2615 &amp; "'!" &amp; J2615, J2615), "")</f>
        <v>0</v>
      </c>
    </row>
    <row r="2616" spans="2:2">
      <c r="B2616" s="21">
        <f>IF(AND(C2616&lt;&gt;"", J2616&lt;&gt;""), HYPERLINK("#'" &amp; C2616 &amp; "'!" &amp; J2616, J2616), "")</f>
        <v>0</v>
      </c>
    </row>
    <row r="2617" spans="2:2">
      <c r="B2617" s="21">
        <f>IF(AND(C2617&lt;&gt;"", J2617&lt;&gt;""), HYPERLINK("#'" &amp; C2617 &amp; "'!" &amp; J2617, J2617), "")</f>
        <v>0</v>
      </c>
    </row>
    <row r="2618" spans="2:2">
      <c r="B2618" s="21">
        <f>IF(AND(C2618&lt;&gt;"", J2618&lt;&gt;""), HYPERLINK("#'" &amp; C2618 &amp; "'!" &amp; J2618, J2618), "")</f>
        <v>0</v>
      </c>
    </row>
    <row r="2619" spans="2:2">
      <c r="B2619" s="21">
        <f>IF(AND(C2619&lt;&gt;"", J2619&lt;&gt;""), HYPERLINK("#'" &amp; C2619 &amp; "'!" &amp; J2619, J2619), "")</f>
        <v>0</v>
      </c>
    </row>
    <row r="2620" spans="2:2">
      <c r="B2620" s="21">
        <f>IF(AND(C2620&lt;&gt;"", J2620&lt;&gt;""), HYPERLINK("#'" &amp; C2620 &amp; "'!" &amp; J2620, J2620), "")</f>
        <v>0</v>
      </c>
    </row>
    <row r="2621" spans="2:2">
      <c r="B2621" s="21">
        <f>IF(AND(C2621&lt;&gt;"", J2621&lt;&gt;""), HYPERLINK("#'" &amp; C2621 &amp; "'!" &amp; J2621, J2621), "")</f>
        <v>0</v>
      </c>
    </row>
    <row r="2622" spans="2:2">
      <c r="B2622" s="21">
        <f>IF(AND(C2622&lt;&gt;"", J2622&lt;&gt;""), HYPERLINK("#'" &amp; C2622 &amp; "'!" &amp; J2622, J2622), "")</f>
        <v>0</v>
      </c>
    </row>
    <row r="2623" spans="2:2">
      <c r="B2623" s="21">
        <f>IF(AND(C2623&lt;&gt;"", J2623&lt;&gt;""), HYPERLINK("#'" &amp; C2623 &amp; "'!" &amp; J2623, J2623), "")</f>
        <v>0</v>
      </c>
    </row>
    <row r="2624" spans="2:2">
      <c r="B2624" s="21">
        <f>IF(AND(C2624&lt;&gt;"", J2624&lt;&gt;""), HYPERLINK("#'" &amp; C2624 &amp; "'!" &amp; J2624, J2624), "")</f>
        <v>0</v>
      </c>
    </row>
    <row r="2625" spans="2:2">
      <c r="B2625" s="21">
        <f>IF(AND(C2625&lt;&gt;"", J2625&lt;&gt;""), HYPERLINK("#'" &amp; C2625 &amp; "'!" &amp; J2625, J2625), "")</f>
        <v>0</v>
      </c>
    </row>
    <row r="2626" spans="2:2">
      <c r="B2626" s="21">
        <f>IF(AND(C2626&lt;&gt;"", J2626&lt;&gt;""), HYPERLINK("#'" &amp; C2626 &amp; "'!" &amp; J2626, J2626), "")</f>
        <v>0</v>
      </c>
    </row>
    <row r="2627" spans="2:2">
      <c r="B2627" s="21">
        <f>IF(AND(C2627&lt;&gt;"", J2627&lt;&gt;""), HYPERLINK("#'" &amp; C2627 &amp; "'!" &amp; J2627, J2627), "")</f>
        <v>0</v>
      </c>
    </row>
    <row r="2628" spans="2:2">
      <c r="B2628" s="21">
        <f>IF(AND(C2628&lt;&gt;"", J2628&lt;&gt;""), HYPERLINK("#'" &amp; C2628 &amp; "'!" &amp; J2628, J2628), "")</f>
        <v>0</v>
      </c>
    </row>
    <row r="2629" spans="2:2">
      <c r="B2629" s="21">
        <f>IF(AND(C2629&lt;&gt;"", J2629&lt;&gt;""), HYPERLINK("#'" &amp; C2629 &amp; "'!" &amp; J2629, J2629), "")</f>
        <v>0</v>
      </c>
    </row>
    <row r="2630" spans="2:2">
      <c r="B2630" s="21">
        <f>IF(AND(C2630&lt;&gt;"", J2630&lt;&gt;""), HYPERLINK("#'" &amp; C2630 &amp; "'!" &amp; J2630, J2630), "")</f>
        <v>0</v>
      </c>
    </row>
    <row r="2631" spans="2:2">
      <c r="B2631" s="21">
        <f>IF(AND(C2631&lt;&gt;"", J2631&lt;&gt;""), HYPERLINK("#'" &amp; C2631 &amp; "'!" &amp; J2631, J2631), "")</f>
        <v>0</v>
      </c>
    </row>
    <row r="2632" spans="2:2">
      <c r="B2632" s="21">
        <f>IF(AND(C2632&lt;&gt;"", J2632&lt;&gt;""), HYPERLINK("#'" &amp; C2632 &amp; "'!" &amp; J2632, J2632), "")</f>
        <v>0</v>
      </c>
    </row>
    <row r="2633" spans="2:2">
      <c r="B2633" s="21">
        <f>IF(AND(C2633&lt;&gt;"", J2633&lt;&gt;""), HYPERLINK("#'" &amp; C2633 &amp; "'!" &amp; J2633, J2633), "")</f>
        <v>0</v>
      </c>
    </row>
    <row r="2634" spans="2:2">
      <c r="B2634" s="21">
        <f>IF(AND(C2634&lt;&gt;"", J2634&lt;&gt;""), HYPERLINK("#'" &amp; C2634 &amp; "'!" &amp; J2634, J2634), "")</f>
        <v>0</v>
      </c>
    </row>
    <row r="2635" spans="2:2">
      <c r="B2635" s="21">
        <f>IF(AND(C2635&lt;&gt;"", J2635&lt;&gt;""), HYPERLINK("#'" &amp; C2635 &amp; "'!" &amp; J2635, J2635), "")</f>
        <v>0</v>
      </c>
    </row>
    <row r="2636" spans="2:2">
      <c r="B2636" s="21">
        <f>IF(AND(C2636&lt;&gt;"", J2636&lt;&gt;""), HYPERLINK("#'" &amp; C2636 &amp; "'!" &amp; J2636, J2636), "")</f>
        <v>0</v>
      </c>
    </row>
    <row r="2637" spans="2:2">
      <c r="B2637" s="21">
        <f>IF(AND(C2637&lt;&gt;"", J2637&lt;&gt;""), HYPERLINK("#'" &amp; C2637 &amp; "'!" &amp; J2637, J2637), "")</f>
        <v>0</v>
      </c>
    </row>
    <row r="2638" spans="2:2">
      <c r="B2638" s="21">
        <f>IF(AND(C2638&lt;&gt;"", J2638&lt;&gt;""), HYPERLINK("#'" &amp; C2638 &amp; "'!" &amp; J2638, J2638), "")</f>
        <v>0</v>
      </c>
    </row>
    <row r="2639" spans="2:2">
      <c r="B2639" s="21">
        <f>IF(AND(C2639&lt;&gt;"", J2639&lt;&gt;""), HYPERLINK("#'" &amp; C2639 &amp; "'!" &amp; J2639, J2639), "")</f>
        <v>0</v>
      </c>
    </row>
    <row r="2640" spans="2:2">
      <c r="B2640" s="21">
        <f>IF(AND(C2640&lt;&gt;"", J2640&lt;&gt;""), HYPERLINK("#'" &amp; C2640 &amp; "'!" &amp; J2640, J2640), "")</f>
        <v>0</v>
      </c>
    </row>
    <row r="2641" spans="2:2">
      <c r="B2641" s="21">
        <f>IF(AND(C2641&lt;&gt;"", J2641&lt;&gt;""), HYPERLINK("#'" &amp; C2641 &amp; "'!" &amp; J2641, J2641), "")</f>
        <v>0</v>
      </c>
    </row>
    <row r="2642" spans="2:2">
      <c r="B2642" s="21">
        <f>IF(AND(C2642&lt;&gt;"", J2642&lt;&gt;""), HYPERLINK("#'" &amp; C2642 &amp; "'!" &amp; J2642, J2642), "")</f>
        <v>0</v>
      </c>
    </row>
    <row r="2643" spans="2:2">
      <c r="B2643" s="21">
        <f>IF(AND(C2643&lt;&gt;"", J2643&lt;&gt;""), HYPERLINK("#'" &amp; C2643 &amp; "'!" &amp; J2643, J2643), "")</f>
        <v>0</v>
      </c>
    </row>
    <row r="2644" spans="2:2">
      <c r="B2644" s="21">
        <f>IF(AND(C2644&lt;&gt;"", J2644&lt;&gt;""), HYPERLINK("#'" &amp; C2644 &amp; "'!" &amp; J2644, J2644), "")</f>
        <v>0</v>
      </c>
    </row>
    <row r="2645" spans="2:2">
      <c r="B2645" s="21">
        <f>IF(AND(C2645&lt;&gt;"", J2645&lt;&gt;""), HYPERLINK("#'" &amp; C2645 &amp; "'!" &amp; J2645, J2645), "")</f>
        <v>0</v>
      </c>
    </row>
    <row r="2646" spans="2:2">
      <c r="B2646" s="21">
        <f>IF(AND(C2646&lt;&gt;"", J2646&lt;&gt;""), HYPERLINK("#'" &amp; C2646 &amp; "'!" &amp; J2646, J2646), "")</f>
        <v>0</v>
      </c>
    </row>
    <row r="2647" spans="2:2">
      <c r="B2647" s="21">
        <f>IF(AND(C2647&lt;&gt;"", J2647&lt;&gt;""), HYPERLINK("#'" &amp; C2647 &amp; "'!" &amp; J2647, J2647), "")</f>
        <v>0</v>
      </c>
    </row>
    <row r="2648" spans="2:2">
      <c r="B2648" s="21">
        <f>IF(AND(C2648&lt;&gt;"", J2648&lt;&gt;""), HYPERLINK("#'" &amp; C2648 &amp; "'!" &amp; J2648, J2648), "")</f>
        <v>0</v>
      </c>
    </row>
    <row r="2649" spans="2:2">
      <c r="B2649" s="21">
        <f>IF(AND(C2649&lt;&gt;"", J2649&lt;&gt;""), HYPERLINK("#'" &amp; C2649 &amp; "'!" &amp; J2649, J2649), "")</f>
        <v>0</v>
      </c>
    </row>
    <row r="2650" spans="2:2">
      <c r="B2650" s="21">
        <f>IF(AND(C2650&lt;&gt;"", J2650&lt;&gt;""), HYPERLINK("#'" &amp; C2650 &amp; "'!" &amp; J2650, J2650), "")</f>
        <v>0</v>
      </c>
    </row>
    <row r="2651" spans="2:2">
      <c r="B2651" s="21">
        <f>IF(AND(C2651&lt;&gt;"", J2651&lt;&gt;""), HYPERLINK("#'" &amp; C2651 &amp; "'!" &amp; J2651, J2651), "")</f>
        <v>0</v>
      </c>
    </row>
    <row r="2652" spans="2:2">
      <c r="B2652" s="21">
        <f>IF(AND(C2652&lt;&gt;"", J2652&lt;&gt;""), HYPERLINK("#'" &amp; C2652 &amp; "'!" &amp; J2652, J2652), "")</f>
        <v>0</v>
      </c>
    </row>
    <row r="2653" spans="2:2">
      <c r="B2653" s="21">
        <f>IF(AND(C2653&lt;&gt;"", J2653&lt;&gt;""), HYPERLINK("#'" &amp; C2653 &amp; "'!" &amp; J2653, J2653), "")</f>
        <v>0</v>
      </c>
    </row>
    <row r="2654" spans="2:2">
      <c r="B2654" s="21">
        <f>IF(AND(C2654&lt;&gt;"", J2654&lt;&gt;""), HYPERLINK("#'" &amp; C2654 &amp; "'!" &amp; J2654, J2654), "")</f>
        <v>0</v>
      </c>
    </row>
    <row r="2655" spans="2:2">
      <c r="B2655" s="21">
        <f>IF(AND(C2655&lt;&gt;"", J2655&lt;&gt;""), HYPERLINK("#'" &amp; C2655 &amp; "'!" &amp; J2655, J2655), "")</f>
        <v>0</v>
      </c>
    </row>
    <row r="2656" spans="2:2">
      <c r="B2656" s="21">
        <f>IF(AND(C2656&lt;&gt;"", J2656&lt;&gt;""), HYPERLINK("#'" &amp; C2656 &amp; "'!" &amp; J2656, J2656), "")</f>
        <v>0</v>
      </c>
    </row>
    <row r="2657" spans="2:2">
      <c r="B2657" s="21">
        <f>IF(AND(C2657&lt;&gt;"", J2657&lt;&gt;""), HYPERLINK("#'" &amp; C2657 &amp; "'!" &amp; J2657, J2657), "")</f>
        <v>0</v>
      </c>
    </row>
    <row r="2658" spans="2:2">
      <c r="B2658" s="21">
        <f>IF(AND(C2658&lt;&gt;"", J2658&lt;&gt;""), HYPERLINK("#'" &amp; C2658 &amp; "'!" &amp; J2658, J2658), "")</f>
        <v>0</v>
      </c>
    </row>
    <row r="2659" spans="2:2">
      <c r="B2659" s="21">
        <f>IF(AND(C2659&lt;&gt;"", J2659&lt;&gt;""), HYPERLINK("#'" &amp; C2659 &amp; "'!" &amp; J2659, J2659), "")</f>
        <v>0</v>
      </c>
    </row>
    <row r="2660" spans="2:2">
      <c r="B2660" s="21">
        <f>IF(AND(C2660&lt;&gt;"", J2660&lt;&gt;""), HYPERLINK("#'" &amp; C2660 &amp; "'!" &amp; J2660, J2660), "")</f>
        <v>0</v>
      </c>
    </row>
    <row r="2661" spans="2:2">
      <c r="B2661" s="21">
        <f>IF(AND(C2661&lt;&gt;"", J2661&lt;&gt;""), HYPERLINK("#'" &amp; C2661 &amp; "'!" &amp; J2661, J2661), "")</f>
        <v>0</v>
      </c>
    </row>
    <row r="2662" spans="2:2">
      <c r="B2662" s="21">
        <f>IF(AND(C2662&lt;&gt;"", J2662&lt;&gt;""), HYPERLINK("#'" &amp; C2662 &amp; "'!" &amp; J2662, J2662), "")</f>
        <v>0</v>
      </c>
    </row>
    <row r="2663" spans="2:2">
      <c r="B2663" s="21">
        <f>IF(AND(C2663&lt;&gt;"", J2663&lt;&gt;""), HYPERLINK("#'" &amp; C2663 &amp; "'!" &amp; J2663, J2663), "")</f>
        <v>0</v>
      </c>
    </row>
    <row r="2664" spans="2:2">
      <c r="B2664" s="21">
        <f>IF(AND(C2664&lt;&gt;"", J2664&lt;&gt;""), HYPERLINK("#'" &amp; C2664 &amp; "'!" &amp; J2664, J2664), "")</f>
        <v>0</v>
      </c>
    </row>
    <row r="2665" spans="2:2">
      <c r="B2665" s="21">
        <f>IF(AND(C2665&lt;&gt;"", J2665&lt;&gt;""), HYPERLINK("#'" &amp; C2665 &amp; "'!" &amp; J2665, J2665), "")</f>
        <v>0</v>
      </c>
    </row>
    <row r="2666" spans="2:2">
      <c r="B2666" s="21">
        <f>IF(AND(C2666&lt;&gt;"", J2666&lt;&gt;""), HYPERLINK("#'" &amp; C2666 &amp; "'!" &amp; J2666, J2666), "")</f>
        <v>0</v>
      </c>
    </row>
    <row r="2667" spans="2:2">
      <c r="B2667" s="21">
        <f>IF(AND(C2667&lt;&gt;"", J2667&lt;&gt;""), HYPERLINK("#'" &amp; C2667 &amp; "'!" &amp; J2667, J2667), "")</f>
        <v>0</v>
      </c>
    </row>
    <row r="2668" spans="2:2">
      <c r="B2668" s="21">
        <f>IF(AND(C2668&lt;&gt;"", J2668&lt;&gt;""), HYPERLINK("#'" &amp; C2668 &amp; "'!" &amp; J2668, J2668), "")</f>
        <v>0</v>
      </c>
    </row>
    <row r="2669" spans="2:2">
      <c r="B2669" s="21">
        <f>IF(AND(C2669&lt;&gt;"", J2669&lt;&gt;""), HYPERLINK("#'" &amp; C2669 &amp; "'!" &amp; J2669, J2669), "")</f>
        <v>0</v>
      </c>
    </row>
    <row r="2670" spans="2:2">
      <c r="B2670" s="21">
        <f>IF(AND(C2670&lt;&gt;"", J2670&lt;&gt;""), HYPERLINK("#'" &amp; C2670 &amp; "'!" &amp; J2670, J2670), "")</f>
        <v>0</v>
      </c>
    </row>
    <row r="2671" spans="2:2">
      <c r="B2671" s="21">
        <f>IF(AND(C2671&lt;&gt;"", J2671&lt;&gt;""), HYPERLINK("#'" &amp; C2671 &amp; "'!" &amp; J2671, J2671), "")</f>
        <v>0</v>
      </c>
    </row>
    <row r="2672" spans="2:2">
      <c r="B2672" s="21">
        <f>IF(AND(C2672&lt;&gt;"", J2672&lt;&gt;""), HYPERLINK("#'" &amp; C2672 &amp; "'!" &amp; J2672, J2672), "")</f>
        <v>0</v>
      </c>
    </row>
    <row r="2673" spans="2:2">
      <c r="B2673" s="21">
        <f>IF(AND(C2673&lt;&gt;"", J2673&lt;&gt;""), HYPERLINK("#'" &amp; C2673 &amp; "'!" &amp; J2673, J2673), "")</f>
        <v>0</v>
      </c>
    </row>
    <row r="2674" spans="2:2">
      <c r="B2674" s="21">
        <f>IF(AND(C2674&lt;&gt;"", J2674&lt;&gt;""), HYPERLINK("#'" &amp; C2674 &amp; "'!" &amp; J2674, J2674), "")</f>
        <v>0</v>
      </c>
    </row>
    <row r="2675" spans="2:2">
      <c r="B2675" s="21">
        <f>IF(AND(C2675&lt;&gt;"", J2675&lt;&gt;""), HYPERLINK("#'" &amp; C2675 &amp; "'!" &amp; J2675, J2675), "")</f>
        <v>0</v>
      </c>
    </row>
    <row r="2676" spans="2:2">
      <c r="B2676" s="21">
        <f>IF(AND(C2676&lt;&gt;"", J2676&lt;&gt;""), HYPERLINK("#'" &amp; C2676 &amp; "'!" &amp; J2676, J2676), "")</f>
        <v>0</v>
      </c>
    </row>
    <row r="2677" spans="2:2">
      <c r="B2677" s="21">
        <f>IF(AND(C2677&lt;&gt;"", J2677&lt;&gt;""), HYPERLINK("#'" &amp; C2677 &amp; "'!" &amp; J2677, J2677), "")</f>
        <v>0</v>
      </c>
    </row>
    <row r="2678" spans="2:2">
      <c r="B2678" s="21">
        <f>IF(AND(C2678&lt;&gt;"", J2678&lt;&gt;""), HYPERLINK("#'" &amp; C2678 &amp; "'!" &amp; J2678, J2678), "")</f>
        <v>0</v>
      </c>
    </row>
    <row r="2679" spans="2:2">
      <c r="B2679" s="21">
        <f>IF(AND(C2679&lt;&gt;"", J2679&lt;&gt;""), HYPERLINK("#'" &amp; C2679 &amp; "'!" &amp; J2679, J2679), "")</f>
        <v>0</v>
      </c>
    </row>
    <row r="2680" spans="2:2">
      <c r="B2680" s="21">
        <f>IF(AND(C2680&lt;&gt;"", J2680&lt;&gt;""), HYPERLINK("#'" &amp; C2680 &amp; "'!" &amp; J2680, J2680), "")</f>
        <v>0</v>
      </c>
    </row>
    <row r="2681" spans="2:2">
      <c r="B2681" s="21">
        <f>IF(AND(C2681&lt;&gt;"", J2681&lt;&gt;""), HYPERLINK("#'" &amp; C2681 &amp; "'!" &amp; J2681, J2681), "")</f>
        <v>0</v>
      </c>
    </row>
    <row r="2682" spans="2:2">
      <c r="B2682" s="21">
        <f>IF(AND(C2682&lt;&gt;"", J2682&lt;&gt;""), HYPERLINK("#'" &amp; C2682 &amp; "'!" &amp; J2682, J2682), "")</f>
        <v>0</v>
      </c>
    </row>
    <row r="2683" spans="2:2">
      <c r="B2683" s="21">
        <f>IF(AND(C2683&lt;&gt;"", J2683&lt;&gt;""), HYPERLINK("#'" &amp; C2683 &amp; "'!" &amp; J2683, J2683), "")</f>
        <v>0</v>
      </c>
    </row>
    <row r="2684" spans="2:2">
      <c r="B2684" s="21">
        <f>IF(AND(C2684&lt;&gt;"", J2684&lt;&gt;""), HYPERLINK("#'" &amp; C2684 &amp; "'!" &amp; J2684, J2684), "")</f>
        <v>0</v>
      </c>
    </row>
    <row r="2685" spans="2:2">
      <c r="B2685" s="21">
        <f>IF(AND(C2685&lt;&gt;"", J2685&lt;&gt;""), HYPERLINK("#'" &amp; C2685 &amp; "'!" &amp; J2685, J2685), "")</f>
        <v>0</v>
      </c>
    </row>
    <row r="2686" spans="2:2">
      <c r="B2686" s="21">
        <f>IF(AND(C2686&lt;&gt;"", J2686&lt;&gt;""), HYPERLINK("#'" &amp; C2686 &amp; "'!" &amp; J2686, J2686), "")</f>
        <v>0</v>
      </c>
    </row>
    <row r="2687" spans="2:2">
      <c r="B2687" s="21">
        <f>IF(AND(C2687&lt;&gt;"", J2687&lt;&gt;""), HYPERLINK("#'" &amp; C2687 &amp; "'!" &amp; J2687, J2687), "")</f>
        <v>0</v>
      </c>
    </row>
    <row r="2688" spans="2:2">
      <c r="B2688" s="21">
        <f>IF(AND(C2688&lt;&gt;"", J2688&lt;&gt;""), HYPERLINK("#'" &amp; C2688 &amp; "'!" &amp; J2688, J2688), "")</f>
        <v>0</v>
      </c>
    </row>
    <row r="2689" spans="2:2">
      <c r="B2689" s="21">
        <f>IF(AND(C2689&lt;&gt;"", J2689&lt;&gt;""), HYPERLINK("#'" &amp; C2689 &amp; "'!" &amp; J2689, J2689), "")</f>
        <v>0</v>
      </c>
    </row>
    <row r="2690" spans="2:2">
      <c r="B2690" s="21">
        <f>IF(AND(C2690&lt;&gt;"", J2690&lt;&gt;""), HYPERLINK("#'" &amp; C2690 &amp; "'!" &amp; J2690, J2690), "")</f>
        <v>0</v>
      </c>
    </row>
    <row r="2691" spans="2:2">
      <c r="B2691" s="21">
        <f>IF(AND(C2691&lt;&gt;"", J2691&lt;&gt;""), HYPERLINK("#'" &amp; C2691 &amp; "'!" &amp; J2691, J2691), "")</f>
        <v>0</v>
      </c>
    </row>
    <row r="2692" spans="2:2">
      <c r="B2692" s="21">
        <f>IF(AND(C2692&lt;&gt;"", J2692&lt;&gt;""), HYPERLINK("#'" &amp; C2692 &amp; "'!" &amp; J2692, J2692), "")</f>
        <v>0</v>
      </c>
    </row>
    <row r="2693" spans="2:2">
      <c r="B2693" s="21">
        <f>IF(AND(C2693&lt;&gt;"", J2693&lt;&gt;""), HYPERLINK("#'" &amp; C2693 &amp; "'!" &amp; J2693, J2693), "")</f>
        <v>0</v>
      </c>
    </row>
    <row r="2694" spans="2:2">
      <c r="B2694" s="21">
        <f>IF(AND(C2694&lt;&gt;"", J2694&lt;&gt;""), HYPERLINK("#'" &amp; C2694 &amp; "'!" &amp; J2694, J2694), "")</f>
        <v>0</v>
      </c>
    </row>
    <row r="2695" spans="2:2">
      <c r="B2695" s="21">
        <f>IF(AND(C2695&lt;&gt;"", J2695&lt;&gt;""), HYPERLINK("#'" &amp; C2695 &amp; "'!" &amp; J2695, J2695), "")</f>
        <v>0</v>
      </c>
    </row>
    <row r="2696" spans="2:2">
      <c r="B2696" s="21">
        <f>IF(AND(C2696&lt;&gt;"", J2696&lt;&gt;""), HYPERLINK("#'" &amp; C2696 &amp; "'!" &amp; J2696, J2696), "")</f>
        <v>0</v>
      </c>
    </row>
    <row r="2697" spans="2:2">
      <c r="B2697" s="21">
        <f>IF(AND(C2697&lt;&gt;"", J2697&lt;&gt;""), HYPERLINK("#'" &amp; C2697 &amp; "'!" &amp; J2697, J2697), "")</f>
        <v>0</v>
      </c>
    </row>
    <row r="2698" spans="2:2">
      <c r="B2698" s="21">
        <f>IF(AND(C2698&lt;&gt;"", J2698&lt;&gt;""), HYPERLINK("#'" &amp; C2698 &amp; "'!" &amp; J2698, J2698), "")</f>
        <v>0</v>
      </c>
    </row>
    <row r="2699" spans="2:2">
      <c r="B2699" s="21">
        <f>IF(AND(C2699&lt;&gt;"", J2699&lt;&gt;""), HYPERLINK("#'" &amp; C2699 &amp; "'!" &amp; J2699, J2699), "")</f>
        <v>0</v>
      </c>
    </row>
    <row r="2700" spans="2:2">
      <c r="B2700" s="21">
        <f>IF(AND(C2700&lt;&gt;"", J2700&lt;&gt;""), HYPERLINK("#'" &amp; C2700 &amp; "'!" &amp; J2700, J2700), "")</f>
        <v>0</v>
      </c>
    </row>
    <row r="2701" spans="2:2">
      <c r="B2701" s="21">
        <f>IF(AND(C2701&lt;&gt;"", J2701&lt;&gt;""), HYPERLINK("#'" &amp; C2701 &amp; "'!" &amp; J2701, J2701), "")</f>
        <v>0</v>
      </c>
    </row>
    <row r="2702" spans="2:2">
      <c r="B2702" s="21">
        <f>IF(AND(C2702&lt;&gt;"", J2702&lt;&gt;""), HYPERLINK("#'" &amp; C2702 &amp; "'!" &amp; J2702, J2702), "")</f>
        <v>0</v>
      </c>
    </row>
    <row r="2703" spans="2:2">
      <c r="B2703" s="21">
        <f>IF(AND(C2703&lt;&gt;"", J2703&lt;&gt;""), HYPERLINK("#'" &amp; C2703 &amp; "'!" &amp; J2703, J2703), "")</f>
        <v>0</v>
      </c>
    </row>
    <row r="2704" spans="2:2">
      <c r="B2704" s="21">
        <f>IF(AND(C2704&lt;&gt;"", J2704&lt;&gt;""), HYPERLINK("#'" &amp; C2704 &amp; "'!" &amp; J2704, J2704), "")</f>
        <v>0</v>
      </c>
    </row>
    <row r="2705" spans="2:2">
      <c r="B2705" s="21">
        <f>IF(AND(C2705&lt;&gt;"", J2705&lt;&gt;""), HYPERLINK("#'" &amp; C2705 &amp; "'!" &amp; J2705, J2705), "")</f>
        <v>0</v>
      </c>
    </row>
    <row r="2706" spans="2:2">
      <c r="B2706" s="21">
        <f>IF(AND(C2706&lt;&gt;"", J2706&lt;&gt;""), HYPERLINK("#'" &amp; C2706 &amp; "'!" &amp; J2706, J2706), "")</f>
        <v>0</v>
      </c>
    </row>
    <row r="2707" spans="2:2">
      <c r="B2707" s="21">
        <f>IF(AND(C2707&lt;&gt;"", J2707&lt;&gt;""), HYPERLINK("#'" &amp; C2707 &amp; "'!" &amp; J2707, J2707), "")</f>
        <v>0</v>
      </c>
    </row>
    <row r="2708" spans="2:2">
      <c r="B2708" s="21">
        <f>IF(AND(C2708&lt;&gt;"", J2708&lt;&gt;""), HYPERLINK("#'" &amp; C2708 &amp; "'!" &amp; J2708, J2708), "")</f>
        <v>0</v>
      </c>
    </row>
    <row r="2709" spans="2:2">
      <c r="B2709" s="21">
        <f>IF(AND(C2709&lt;&gt;"", J2709&lt;&gt;""), HYPERLINK("#'" &amp; C2709 &amp; "'!" &amp; J2709, J2709), "")</f>
        <v>0</v>
      </c>
    </row>
    <row r="2710" spans="2:2">
      <c r="B2710" s="21">
        <f>IF(AND(C2710&lt;&gt;"", J2710&lt;&gt;""), HYPERLINK("#'" &amp; C2710 &amp; "'!" &amp; J2710, J2710), "")</f>
        <v>0</v>
      </c>
    </row>
    <row r="2711" spans="2:2">
      <c r="B2711" s="21">
        <f>IF(AND(C2711&lt;&gt;"", J2711&lt;&gt;""), HYPERLINK("#'" &amp; C2711 &amp; "'!" &amp; J2711, J2711), "")</f>
        <v>0</v>
      </c>
    </row>
    <row r="2712" spans="2:2">
      <c r="B2712" s="21">
        <f>IF(AND(C2712&lt;&gt;"", J2712&lt;&gt;""), HYPERLINK("#'" &amp; C2712 &amp; "'!" &amp; J2712, J2712), "")</f>
        <v>0</v>
      </c>
    </row>
    <row r="2713" spans="2:2">
      <c r="B2713" s="21">
        <f>IF(AND(C2713&lt;&gt;"", J2713&lt;&gt;""), HYPERLINK("#'" &amp; C2713 &amp; "'!" &amp; J2713, J2713), "")</f>
        <v>0</v>
      </c>
    </row>
    <row r="2714" spans="2:2">
      <c r="B2714" s="21">
        <f>IF(AND(C2714&lt;&gt;"", J2714&lt;&gt;""), HYPERLINK("#'" &amp; C2714 &amp; "'!" &amp; J2714, J2714), "")</f>
        <v>0</v>
      </c>
    </row>
    <row r="2715" spans="2:2">
      <c r="B2715" s="21">
        <f>IF(AND(C2715&lt;&gt;"", J2715&lt;&gt;""), HYPERLINK("#'" &amp; C2715 &amp; "'!" &amp; J2715, J2715), "")</f>
        <v>0</v>
      </c>
    </row>
    <row r="2716" spans="2:2">
      <c r="B2716" s="21">
        <f>IF(AND(C2716&lt;&gt;"", J2716&lt;&gt;""), HYPERLINK("#'" &amp; C2716 &amp; "'!" &amp; J2716, J2716), "")</f>
        <v>0</v>
      </c>
    </row>
    <row r="2717" spans="2:2">
      <c r="B2717" s="21">
        <f>IF(AND(C2717&lt;&gt;"", J2717&lt;&gt;""), HYPERLINK("#'" &amp; C2717 &amp; "'!" &amp; J2717, J2717), "")</f>
        <v>0</v>
      </c>
    </row>
    <row r="2718" spans="2:2">
      <c r="B2718" s="21">
        <f>IF(AND(C2718&lt;&gt;"", J2718&lt;&gt;""), HYPERLINK("#'" &amp; C2718 &amp; "'!" &amp; J2718, J2718), "")</f>
        <v>0</v>
      </c>
    </row>
    <row r="2719" spans="2:2">
      <c r="B2719" s="21">
        <f>IF(AND(C2719&lt;&gt;"", J2719&lt;&gt;""), HYPERLINK("#'" &amp; C2719 &amp; "'!" &amp; J2719, J2719), "")</f>
        <v>0</v>
      </c>
    </row>
    <row r="2720" spans="2:2">
      <c r="B2720" s="21">
        <f>IF(AND(C2720&lt;&gt;"", J2720&lt;&gt;""), HYPERLINK("#'" &amp; C2720 &amp; "'!" &amp; J2720, J2720), "")</f>
        <v>0</v>
      </c>
    </row>
    <row r="2721" spans="2:2">
      <c r="B2721" s="21">
        <f>IF(AND(C2721&lt;&gt;"", J2721&lt;&gt;""), HYPERLINK("#'" &amp; C2721 &amp; "'!" &amp; J2721, J2721), "")</f>
        <v>0</v>
      </c>
    </row>
    <row r="2722" spans="2:2">
      <c r="B2722" s="21">
        <f>IF(AND(C2722&lt;&gt;"", J2722&lt;&gt;""), HYPERLINK("#'" &amp; C2722 &amp; "'!" &amp; J2722, J2722), "")</f>
        <v>0</v>
      </c>
    </row>
    <row r="2723" spans="2:2">
      <c r="B2723" s="21">
        <f>IF(AND(C2723&lt;&gt;"", J2723&lt;&gt;""), HYPERLINK("#'" &amp; C2723 &amp; "'!" &amp; J2723, J2723), "")</f>
        <v>0</v>
      </c>
    </row>
    <row r="2724" spans="2:2">
      <c r="B2724" s="21">
        <f>IF(AND(C2724&lt;&gt;"", J2724&lt;&gt;""), HYPERLINK("#'" &amp; C2724 &amp; "'!" &amp; J2724, J2724), "")</f>
        <v>0</v>
      </c>
    </row>
    <row r="2725" spans="2:2">
      <c r="B2725" s="21">
        <f>IF(AND(C2725&lt;&gt;"", J2725&lt;&gt;""), HYPERLINK("#'" &amp; C2725 &amp; "'!" &amp; J2725, J2725), "")</f>
        <v>0</v>
      </c>
    </row>
    <row r="2726" spans="2:2">
      <c r="B2726" s="21">
        <f>IF(AND(C2726&lt;&gt;"", J2726&lt;&gt;""), HYPERLINK("#'" &amp; C2726 &amp; "'!" &amp; J2726, J2726), "")</f>
        <v>0</v>
      </c>
    </row>
    <row r="2727" spans="2:2">
      <c r="B2727" s="21">
        <f>IF(AND(C2727&lt;&gt;"", J2727&lt;&gt;""), HYPERLINK("#'" &amp; C2727 &amp; "'!" &amp; J2727, J2727), "")</f>
        <v>0</v>
      </c>
    </row>
    <row r="2728" spans="2:2">
      <c r="B2728" s="21">
        <f>IF(AND(C2728&lt;&gt;"", J2728&lt;&gt;""), HYPERLINK("#'" &amp; C2728 &amp; "'!" &amp; J2728, J2728), "")</f>
        <v>0</v>
      </c>
    </row>
    <row r="2729" spans="2:2">
      <c r="B2729" s="21">
        <f>IF(AND(C2729&lt;&gt;"", J2729&lt;&gt;""), HYPERLINK("#'" &amp; C2729 &amp; "'!" &amp; J2729, J2729), "")</f>
        <v>0</v>
      </c>
    </row>
    <row r="2730" spans="2:2">
      <c r="B2730" s="21">
        <f>IF(AND(C2730&lt;&gt;"", J2730&lt;&gt;""), HYPERLINK("#'" &amp; C2730 &amp; "'!" &amp; J2730, J2730), "")</f>
        <v>0</v>
      </c>
    </row>
    <row r="2731" spans="2:2">
      <c r="B2731" s="21">
        <f>IF(AND(C2731&lt;&gt;"", J2731&lt;&gt;""), HYPERLINK("#'" &amp; C2731 &amp; "'!" &amp; J2731, J2731), "")</f>
        <v>0</v>
      </c>
    </row>
    <row r="2732" spans="2:2">
      <c r="B2732" s="21">
        <f>IF(AND(C2732&lt;&gt;"", J2732&lt;&gt;""), HYPERLINK("#'" &amp; C2732 &amp; "'!" &amp; J2732, J2732), "")</f>
        <v>0</v>
      </c>
    </row>
    <row r="2733" spans="2:2">
      <c r="B2733" s="21">
        <f>IF(AND(C2733&lt;&gt;"", J2733&lt;&gt;""), HYPERLINK("#'" &amp; C2733 &amp; "'!" &amp; J2733, J2733), "")</f>
        <v>0</v>
      </c>
    </row>
    <row r="2734" spans="2:2">
      <c r="B2734" s="21">
        <f>IF(AND(C2734&lt;&gt;"", J2734&lt;&gt;""), HYPERLINK("#'" &amp; C2734 &amp; "'!" &amp; J2734, J2734), "")</f>
        <v>0</v>
      </c>
    </row>
    <row r="2735" spans="2:2">
      <c r="B2735" s="21">
        <f>IF(AND(C2735&lt;&gt;"", J2735&lt;&gt;""), HYPERLINK("#'" &amp; C2735 &amp; "'!" &amp; J2735, J2735), "")</f>
        <v>0</v>
      </c>
    </row>
    <row r="2736" spans="2:2">
      <c r="B2736" s="21">
        <f>IF(AND(C2736&lt;&gt;"", J2736&lt;&gt;""), HYPERLINK("#'" &amp; C2736 &amp; "'!" &amp; J2736, J2736), "")</f>
        <v>0</v>
      </c>
    </row>
    <row r="2737" spans="2:2">
      <c r="B2737" s="21">
        <f>IF(AND(C2737&lt;&gt;"", J2737&lt;&gt;""), HYPERLINK("#'" &amp; C2737 &amp; "'!" &amp; J2737, J2737), "")</f>
        <v>0</v>
      </c>
    </row>
    <row r="2738" spans="2:2">
      <c r="B2738" s="21">
        <f>IF(AND(C2738&lt;&gt;"", J2738&lt;&gt;""), HYPERLINK("#'" &amp; C2738 &amp; "'!" &amp; J2738, J2738), "")</f>
        <v>0</v>
      </c>
    </row>
    <row r="2739" spans="2:2">
      <c r="B2739" s="21">
        <f>IF(AND(C2739&lt;&gt;"", J2739&lt;&gt;""), HYPERLINK("#'" &amp; C2739 &amp; "'!" &amp; J2739, J2739), "")</f>
        <v>0</v>
      </c>
    </row>
    <row r="2740" spans="2:2">
      <c r="B2740" s="21">
        <f>IF(AND(C2740&lt;&gt;"", J2740&lt;&gt;""), HYPERLINK("#'" &amp; C2740 &amp; "'!" &amp; J2740, J2740), "")</f>
        <v>0</v>
      </c>
    </row>
    <row r="2741" spans="2:2">
      <c r="B2741" s="21">
        <f>IF(AND(C2741&lt;&gt;"", J2741&lt;&gt;""), HYPERLINK("#'" &amp; C2741 &amp; "'!" &amp; J2741, J2741), "")</f>
        <v>0</v>
      </c>
    </row>
    <row r="2742" spans="2:2">
      <c r="B2742" s="21">
        <f>IF(AND(C2742&lt;&gt;"", J2742&lt;&gt;""), HYPERLINK("#'" &amp; C2742 &amp; "'!" &amp; J2742, J2742), "")</f>
        <v>0</v>
      </c>
    </row>
    <row r="2743" spans="2:2">
      <c r="B2743" s="21">
        <f>IF(AND(C2743&lt;&gt;"", J2743&lt;&gt;""), HYPERLINK("#'" &amp; C2743 &amp; "'!" &amp; J2743, J2743), "")</f>
        <v>0</v>
      </c>
    </row>
    <row r="2744" spans="2:2">
      <c r="B2744" s="21">
        <f>IF(AND(C2744&lt;&gt;"", J2744&lt;&gt;""), HYPERLINK("#'" &amp; C2744 &amp; "'!" &amp; J2744, J2744), "")</f>
        <v>0</v>
      </c>
    </row>
    <row r="2745" spans="2:2">
      <c r="B2745" s="21">
        <f>IF(AND(C2745&lt;&gt;"", J2745&lt;&gt;""), HYPERLINK("#'" &amp; C2745 &amp; "'!" &amp; J2745, J2745), "")</f>
        <v>0</v>
      </c>
    </row>
    <row r="2746" spans="2:2">
      <c r="B2746" s="21">
        <f>IF(AND(C2746&lt;&gt;"", J2746&lt;&gt;""), HYPERLINK("#'" &amp; C2746 &amp; "'!" &amp; J2746, J2746), "")</f>
        <v>0</v>
      </c>
    </row>
    <row r="2747" spans="2:2">
      <c r="B2747" s="21">
        <f>IF(AND(C2747&lt;&gt;"", J2747&lt;&gt;""), HYPERLINK("#'" &amp; C2747 &amp; "'!" &amp; J2747, J2747), "")</f>
        <v>0</v>
      </c>
    </row>
    <row r="2748" spans="2:2">
      <c r="B2748" s="21">
        <f>IF(AND(C2748&lt;&gt;"", J2748&lt;&gt;""), HYPERLINK("#'" &amp; C2748 &amp; "'!" &amp; J2748, J2748), "")</f>
        <v>0</v>
      </c>
    </row>
    <row r="2749" spans="2:2">
      <c r="B2749" s="21">
        <f>IF(AND(C2749&lt;&gt;"", J2749&lt;&gt;""), HYPERLINK("#'" &amp; C2749 &amp; "'!" &amp; J2749, J2749), "")</f>
        <v>0</v>
      </c>
    </row>
    <row r="2750" spans="2:2">
      <c r="B2750" s="21">
        <f>IF(AND(C2750&lt;&gt;"", J2750&lt;&gt;""), HYPERLINK("#'" &amp; C2750 &amp; "'!" &amp; J2750, J2750), "")</f>
        <v>0</v>
      </c>
    </row>
    <row r="2751" spans="2:2">
      <c r="B2751" s="21">
        <f>IF(AND(C2751&lt;&gt;"", J2751&lt;&gt;""), HYPERLINK("#'" &amp; C2751 &amp; "'!" &amp; J2751, J2751), "")</f>
        <v>0</v>
      </c>
    </row>
    <row r="2752" spans="2:2">
      <c r="B2752" s="21">
        <f>IF(AND(C2752&lt;&gt;"", J2752&lt;&gt;""), HYPERLINK("#'" &amp; C2752 &amp; "'!" &amp; J2752, J2752), "")</f>
        <v>0</v>
      </c>
    </row>
    <row r="2753" spans="2:2">
      <c r="B2753" s="21">
        <f>IF(AND(C2753&lt;&gt;"", J2753&lt;&gt;""), HYPERLINK("#'" &amp; C2753 &amp; "'!" &amp; J2753, J2753), "")</f>
        <v>0</v>
      </c>
    </row>
    <row r="2754" spans="2:2">
      <c r="B2754" s="21">
        <f>IF(AND(C2754&lt;&gt;"", J2754&lt;&gt;""), HYPERLINK("#'" &amp; C2754 &amp; "'!" &amp; J2754, J2754), "")</f>
        <v>0</v>
      </c>
    </row>
    <row r="2755" spans="2:2">
      <c r="B2755" s="21">
        <f>IF(AND(C2755&lt;&gt;"", J2755&lt;&gt;""), HYPERLINK("#'" &amp; C2755 &amp; "'!" &amp; J2755, J2755), "")</f>
        <v>0</v>
      </c>
    </row>
    <row r="2756" spans="2:2">
      <c r="B2756" s="21">
        <f>IF(AND(C2756&lt;&gt;"", J2756&lt;&gt;""), HYPERLINK("#'" &amp; C2756 &amp; "'!" &amp; J2756, J2756), "")</f>
        <v>0</v>
      </c>
    </row>
    <row r="2757" spans="2:2">
      <c r="B2757" s="21">
        <f>IF(AND(C2757&lt;&gt;"", J2757&lt;&gt;""), HYPERLINK("#'" &amp; C2757 &amp; "'!" &amp; J2757, J2757), "")</f>
        <v>0</v>
      </c>
    </row>
    <row r="2758" spans="2:2">
      <c r="B2758" s="21">
        <f>IF(AND(C2758&lt;&gt;"", J2758&lt;&gt;""), HYPERLINK("#'" &amp; C2758 &amp; "'!" &amp; J2758, J2758), "")</f>
        <v>0</v>
      </c>
    </row>
    <row r="2759" spans="2:2">
      <c r="B2759" s="21">
        <f>IF(AND(C2759&lt;&gt;"", J2759&lt;&gt;""), HYPERLINK("#'" &amp; C2759 &amp; "'!" &amp; J2759, J2759), "")</f>
        <v>0</v>
      </c>
    </row>
    <row r="2760" spans="2:2">
      <c r="B2760" s="21">
        <f>IF(AND(C2760&lt;&gt;"", J2760&lt;&gt;""), HYPERLINK("#'" &amp; C2760 &amp; "'!" &amp; J2760, J2760), "")</f>
        <v>0</v>
      </c>
    </row>
    <row r="2761" spans="2:2">
      <c r="B2761" s="21">
        <f>IF(AND(C2761&lt;&gt;"", J2761&lt;&gt;""), HYPERLINK("#'" &amp; C2761 &amp; "'!" &amp; J2761, J2761), "")</f>
        <v>0</v>
      </c>
    </row>
    <row r="2762" spans="2:2">
      <c r="B2762" s="21">
        <f>IF(AND(C2762&lt;&gt;"", J2762&lt;&gt;""), HYPERLINK("#'" &amp; C2762 &amp; "'!" &amp; J2762, J2762), "")</f>
        <v>0</v>
      </c>
    </row>
    <row r="2763" spans="2:2">
      <c r="B2763" s="21">
        <f>IF(AND(C2763&lt;&gt;"", J2763&lt;&gt;""), HYPERLINK("#'" &amp; C2763 &amp; "'!" &amp; J2763, J2763), "")</f>
        <v>0</v>
      </c>
    </row>
    <row r="2764" spans="2:2">
      <c r="B2764" s="21">
        <f>IF(AND(C2764&lt;&gt;"", J2764&lt;&gt;""), HYPERLINK("#'" &amp; C2764 &amp; "'!" &amp; J2764, J2764), "")</f>
        <v>0</v>
      </c>
    </row>
    <row r="2765" spans="2:2">
      <c r="B2765" s="21">
        <f>IF(AND(C2765&lt;&gt;"", J2765&lt;&gt;""), HYPERLINK("#'" &amp; C2765 &amp; "'!" &amp; J2765, J2765), "")</f>
        <v>0</v>
      </c>
    </row>
    <row r="2766" spans="2:2">
      <c r="B2766" s="21">
        <f>IF(AND(C2766&lt;&gt;"", J2766&lt;&gt;""), HYPERLINK("#'" &amp; C2766 &amp; "'!" &amp; J2766, J2766), "")</f>
        <v>0</v>
      </c>
    </row>
    <row r="2767" spans="2:2">
      <c r="B2767" s="21">
        <f>IF(AND(C2767&lt;&gt;"", J2767&lt;&gt;""), HYPERLINK("#'" &amp; C2767 &amp; "'!" &amp; J2767, J2767), "")</f>
        <v>0</v>
      </c>
    </row>
    <row r="2768" spans="2:2">
      <c r="B2768" s="21">
        <f>IF(AND(C2768&lt;&gt;"", J2768&lt;&gt;""), HYPERLINK("#'" &amp; C2768 &amp; "'!" &amp; J2768, J2768), "")</f>
        <v>0</v>
      </c>
    </row>
    <row r="2769" spans="2:2">
      <c r="B2769" s="21">
        <f>IF(AND(C2769&lt;&gt;"", J2769&lt;&gt;""), HYPERLINK("#'" &amp; C2769 &amp; "'!" &amp; J2769, J2769), "")</f>
        <v>0</v>
      </c>
    </row>
    <row r="2770" spans="2:2">
      <c r="B2770" s="21">
        <f>IF(AND(C2770&lt;&gt;"", J2770&lt;&gt;""), HYPERLINK("#'" &amp; C2770 &amp; "'!" &amp; J2770, J2770), "")</f>
        <v>0</v>
      </c>
    </row>
    <row r="2771" spans="2:2">
      <c r="B2771" s="21">
        <f>IF(AND(C2771&lt;&gt;"", J2771&lt;&gt;""), HYPERLINK("#'" &amp; C2771 &amp; "'!" &amp; J2771, J2771), "")</f>
        <v>0</v>
      </c>
    </row>
    <row r="2772" spans="2:2">
      <c r="B2772" s="21">
        <f>IF(AND(C2772&lt;&gt;"", J2772&lt;&gt;""), HYPERLINK("#'" &amp; C2772 &amp; "'!" &amp; J2772, J2772), "")</f>
        <v>0</v>
      </c>
    </row>
    <row r="2773" spans="2:2">
      <c r="B2773" s="21">
        <f>IF(AND(C2773&lt;&gt;"", J2773&lt;&gt;""), HYPERLINK("#'" &amp; C2773 &amp; "'!" &amp; J2773, J2773), "")</f>
        <v>0</v>
      </c>
    </row>
    <row r="2774" spans="2:2">
      <c r="B2774" s="21">
        <f>IF(AND(C2774&lt;&gt;"", J2774&lt;&gt;""), HYPERLINK("#'" &amp; C2774 &amp; "'!" &amp; J2774, J2774), "")</f>
        <v>0</v>
      </c>
    </row>
    <row r="2775" spans="2:2">
      <c r="B2775" s="21">
        <f>IF(AND(C2775&lt;&gt;"", J2775&lt;&gt;""), HYPERLINK("#'" &amp; C2775 &amp; "'!" &amp; J2775, J2775), "")</f>
        <v>0</v>
      </c>
    </row>
    <row r="2776" spans="2:2">
      <c r="B2776" s="21">
        <f>IF(AND(C2776&lt;&gt;"", J2776&lt;&gt;""), HYPERLINK("#'" &amp; C2776 &amp; "'!" &amp; J2776, J2776), "")</f>
        <v>0</v>
      </c>
    </row>
    <row r="2777" spans="2:2">
      <c r="B2777" s="21">
        <f>IF(AND(C2777&lt;&gt;"", J2777&lt;&gt;""), HYPERLINK("#'" &amp; C2777 &amp; "'!" &amp; J2777, J2777), "")</f>
        <v>0</v>
      </c>
    </row>
    <row r="2778" spans="2:2">
      <c r="B2778" s="21">
        <f>IF(AND(C2778&lt;&gt;"", J2778&lt;&gt;""), HYPERLINK("#'" &amp; C2778 &amp; "'!" &amp; J2778, J2778), "")</f>
        <v>0</v>
      </c>
    </row>
    <row r="2779" spans="2:2">
      <c r="B2779" s="21">
        <f>IF(AND(C2779&lt;&gt;"", J2779&lt;&gt;""), HYPERLINK("#'" &amp; C2779 &amp; "'!" &amp; J2779, J2779), "")</f>
        <v>0</v>
      </c>
    </row>
    <row r="2780" spans="2:2">
      <c r="B2780" s="21">
        <f>IF(AND(C2780&lt;&gt;"", J2780&lt;&gt;""), HYPERLINK("#'" &amp; C2780 &amp; "'!" &amp; J2780, J2780), "")</f>
        <v>0</v>
      </c>
    </row>
    <row r="2781" spans="2:2">
      <c r="B2781" s="21">
        <f>IF(AND(C2781&lt;&gt;"", J2781&lt;&gt;""), HYPERLINK("#'" &amp; C2781 &amp; "'!" &amp; J2781, J2781), "")</f>
        <v>0</v>
      </c>
    </row>
    <row r="2782" spans="2:2">
      <c r="B2782" s="21">
        <f>IF(AND(C2782&lt;&gt;"", J2782&lt;&gt;""), HYPERLINK("#'" &amp; C2782 &amp; "'!" &amp; J2782, J2782), "")</f>
        <v>0</v>
      </c>
    </row>
    <row r="2783" spans="2:2">
      <c r="B2783" s="21">
        <f>IF(AND(C2783&lt;&gt;"", J2783&lt;&gt;""), HYPERLINK("#'" &amp; C2783 &amp; "'!" &amp; J2783, J2783), "")</f>
        <v>0</v>
      </c>
    </row>
    <row r="2784" spans="2:2">
      <c r="B2784" s="21">
        <f>IF(AND(C2784&lt;&gt;"", J2784&lt;&gt;""), HYPERLINK("#'" &amp; C2784 &amp; "'!" &amp; J2784, J2784), "")</f>
        <v>0</v>
      </c>
    </row>
    <row r="2785" spans="2:2">
      <c r="B2785" s="21">
        <f>IF(AND(C2785&lt;&gt;"", J2785&lt;&gt;""), HYPERLINK("#'" &amp; C2785 &amp; "'!" &amp; J2785, J2785), "")</f>
        <v>0</v>
      </c>
    </row>
    <row r="2786" spans="2:2">
      <c r="B2786" s="21">
        <f>IF(AND(C2786&lt;&gt;"", J2786&lt;&gt;""), HYPERLINK("#'" &amp; C2786 &amp; "'!" &amp; J2786, J2786), "")</f>
        <v>0</v>
      </c>
    </row>
    <row r="2787" spans="2:2">
      <c r="B2787" s="21">
        <f>IF(AND(C2787&lt;&gt;"", J2787&lt;&gt;""), HYPERLINK("#'" &amp; C2787 &amp; "'!" &amp; J2787, J2787), "")</f>
        <v>0</v>
      </c>
    </row>
    <row r="2788" spans="2:2">
      <c r="B2788" s="21">
        <f>IF(AND(C2788&lt;&gt;"", J2788&lt;&gt;""), HYPERLINK("#'" &amp; C2788 &amp; "'!" &amp; J2788, J2788), "")</f>
        <v>0</v>
      </c>
    </row>
    <row r="2789" spans="2:2">
      <c r="B2789" s="21">
        <f>IF(AND(C2789&lt;&gt;"", J2789&lt;&gt;""), HYPERLINK("#'" &amp; C2789 &amp; "'!" &amp; J2789, J2789), "")</f>
        <v>0</v>
      </c>
    </row>
    <row r="2790" spans="2:2">
      <c r="B2790" s="21">
        <f>IF(AND(C2790&lt;&gt;"", J2790&lt;&gt;""), HYPERLINK("#'" &amp; C2790 &amp; "'!" &amp; J2790, J2790), "")</f>
        <v>0</v>
      </c>
    </row>
    <row r="2791" spans="2:2">
      <c r="B2791" s="21">
        <f>IF(AND(C2791&lt;&gt;"", J2791&lt;&gt;""), HYPERLINK("#'" &amp; C2791 &amp; "'!" &amp; J2791, J2791), "")</f>
        <v>0</v>
      </c>
    </row>
    <row r="2792" spans="2:2">
      <c r="B2792" s="21">
        <f>IF(AND(C2792&lt;&gt;"", J2792&lt;&gt;""), HYPERLINK("#'" &amp; C2792 &amp; "'!" &amp; J2792, J2792), "")</f>
        <v>0</v>
      </c>
    </row>
    <row r="2793" spans="2:2">
      <c r="B2793" s="21">
        <f>IF(AND(C2793&lt;&gt;"", J2793&lt;&gt;""), HYPERLINK("#'" &amp; C2793 &amp; "'!" &amp; J2793, J2793), "")</f>
        <v>0</v>
      </c>
    </row>
    <row r="2794" spans="2:2">
      <c r="B2794" s="21">
        <f>IF(AND(C2794&lt;&gt;"", J2794&lt;&gt;""), HYPERLINK("#'" &amp; C2794 &amp; "'!" &amp; J2794, J2794), "")</f>
        <v>0</v>
      </c>
    </row>
    <row r="2795" spans="2:2">
      <c r="B2795" s="21">
        <f>IF(AND(C2795&lt;&gt;"", J2795&lt;&gt;""), HYPERLINK("#'" &amp; C2795 &amp; "'!" &amp; J2795, J2795), "")</f>
        <v>0</v>
      </c>
    </row>
    <row r="2796" spans="2:2">
      <c r="B2796" s="21">
        <f>IF(AND(C2796&lt;&gt;"", J2796&lt;&gt;""), HYPERLINK("#'" &amp; C2796 &amp; "'!" &amp; J2796, J2796), "")</f>
        <v>0</v>
      </c>
    </row>
    <row r="2797" spans="2:2">
      <c r="B2797" s="21">
        <f>IF(AND(C2797&lt;&gt;"", J2797&lt;&gt;""), HYPERLINK("#'" &amp; C2797 &amp; "'!" &amp; J2797, J2797), "")</f>
        <v>0</v>
      </c>
    </row>
    <row r="2798" spans="2:2">
      <c r="B2798" s="21">
        <f>IF(AND(C2798&lt;&gt;"", J2798&lt;&gt;""), HYPERLINK("#'" &amp; C2798 &amp; "'!" &amp; J2798, J2798), "")</f>
        <v>0</v>
      </c>
    </row>
    <row r="2799" spans="2:2">
      <c r="B2799" s="21">
        <f>IF(AND(C2799&lt;&gt;"", J2799&lt;&gt;""), HYPERLINK("#'" &amp; C2799 &amp; "'!" &amp; J2799, J2799), "")</f>
        <v>0</v>
      </c>
    </row>
    <row r="2800" spans="2:2">
      <c r="B2800" s="21">
        <f>IF(AND(C2800&lt;&gt;"", J2800&lt;&gt;""), HYPERLINK("#'" &amp; C2800 &amp; "'!" &amp; J2800, J2800), "")</f>
        <v>0</v>
      </c>
    </row>
    <row r="2801" spans="2:2">
      <c r="B2801" s="21">
        <f>IF(AND(C2801&lt;&gt;"", J2801&lt;&gt;""), HYPERLINK("#'" &amp; C2801 &amp; "'!" &amp; J2801, J2801), "")</f>
        <v>0</v>
      </c>
    </row>
    <row r="2802" spans="2:2">
      <c r="B2802" s="21">
        <f>IF(AND(C2802&lt;&gt;"", J2802&lt;&gt;""), HYPERLINK("#'" &amp; C2802 &amp; "'!" &amp; J2802, J2802), "")</f>
        <v>0</v>
      </c>
    </row>
    <row r="2803" spans="2:2">
      <c r="B2803" s="21">
        <f>IF(AND(C2803&lt;&gt;"", J2803&lt;&gt;""), HYPERLINK("#'" &amp; C2803 &amp; "'!" &amp; J2803, J2803), "")</f>
        <v>0</v>
      </c>
    </row>
    <row r="2804" spans="2:2">
      <c r="B2804" s="21">
        <f>IF(AND(C2804&lt;&gt;"", J2804&lt;&gt;""), HYPERLINK("#'" &amp; C2804 &amp; "'!" &amp; J2804, J2804), "")</f>
        <v>0</v>
      </c>
    </row>
    <row r="2805" spans="2:2">
      <c r="B2805" s="21">
        <f>IF(AND(C2805&lt;&gt;"", J2805&lt;&gt;""), HYPERLINK("#'" &amp; C2805 &amp; "'!" &amp; J2805, J2805), "")</f>
        <v>0</v>
      </c>
    </row>
    <row r="2806" spans="2:2">
      <c r="B2806" s="21">
        <f>IF(AND(C2806&lt;&gt;"", J2806&lt;&gt;""), HYPERLINK("#'" &amp; C2806 &amp; "'!" &amp; J2806, J2806), "")</f>
        <v>0</v>
      </c>
    </row>
    <row r="2807" spans="2:2">
      <c r="B2807" s="21">
        <f>IF(AND(C2807&lt;&gt;"", J2807&lt;&gt;""), HYPERLINK("#'" &amp; C2807 &amp; "'!" &amp; J2807, J2807), "")</f>
        <v>0</v>
      </c>
    </row>
    <row r="2808" spans="2:2">
      <c r="B2808" s="21">
        <f>IF(AND(C2808&lt;&gt;"", J2808&lt;&gt;""), HYPERLINK("#'" &amp; C2808 &amp; "'!" &amp; J2808, J2808), "")</f>
        <v>0</v>
      </c>
    </row>
    <row r="2809" spans="2:2">
      <c r="B2809" s="21">
        <f>IF(AND(C2809&lt;&gt;"", J2809&lt;&gt;""), HYPERLINK("#'" &amp; C2809 &amp; "'!" &amp; J2809, J2809), "")</f>
        <v>0</v>
      </c>
    </row>
    <row r="2810" spans="2:2">
      <c r="B2810" s="21">
        <f>IF(AND(C2810&lt;&gt;"", J2810&lt;&gt;""), HYPERLINK("#'" &amp; C2810 &amp; "'!" &amp; J2810, J2810), "")</f>
        <v>0</v>
      </c>
    </row>
    <row r="2811" spans="2:2">
      <c r="B2811" s="21">
        <f>IF(AND(C2811&lt;&gt;"", J2811&lt;&gt;""), HYPERLINK("#'" &amp; C2811 &amp; "'!" &amp; J2811, J2811), "")</f>
        <v>0</v>
      </c>
    </row>
    <row r="2812" spans="2:2">
      <c r="B2812" s="21">
        <f>IF(AND(C2812&lt;&gt;"", J2812&lt;&gt;""), HYPERLINK("#'" &amp; C2812 &amp; "'!" &amp; J2812, J2812), "")</f>
        <v>0</v>
      </c>
    </row>
    <row r="2813" spans="2:2">
      <c r="B2813" s="21">
        <f>IF(AND(C2813&lt;&gt;"", J2813&lt;&gt;""), HYPERLINK("#'" &amp; C2813 &amp; "'!" &amp; J2813, J2813), "")</f>
        <v>0</v>
      </c>
    </row>
    <row r="2814" spans="2:2">
      <c r="B2814" s="21">
        <f>IF(AND(C2814&lt;&gt;"", J2814&lt;&gt;""), HYPERLINK("#'" &amp; C2814 &amp; "'!" &amp; J2814, J2814), "")</f>
        <v>0</v>
      </c>
    </row>
    <row r="2815" spans="2:2">
      <c r="B2815" s="21">
        <f>IF(AND(C2815&lt;&gt;"", J2815&lt;&gt;""), HYPERLINK("#'" &amp; C2815 &amp; "'!" &amp; J2815, J2815), "")</f>
        <v>0</v>
      </c>
    </row>
    <row r="2816" spans="2:2">
      <c r="B2816" s="21">
        <f>IF(AND(C2816&lt;&gt;"", J2816&lt;&gt;""), HYPERLINK("#'" &amp; C2816 &amp; "'!" &amp; J2816, J2816), "")</f>
        <v>0</v>
      </c>
    </row>
    <row r="2817" spans="2:2">
      <c r="B2817" s="21">
        <f>IF(AND(C2817&lt;&gt;"", J2817&lt;&gt;""), HYPERLINK("#'" &amp; C2817 &amp; "'!" &amp; J2817, J2817), "")</f>
        <v>0</v>
      </c>
    </row>
    <row r="2818" spans="2:2">
      <c r="B2818" s="21">
        <f>IF(AND(C2818&lt;&gt;"", J2818&lt;&gt;""), HYPERLINK("#'" &amp; C2818 &amp; "'!" &amp; J2818, J2818), "")</f>
        <v>0</v>
      </c>
    </row>
    <row r="2819" spans="2:2">
      <c r="B2819" s="21">
        <f>IF(AND(C2819&lt;&gt;"", J2819&lt;&gt;""), HYPERLINK("#'" &amp; C2819 &amp; "'!" &amp; J2819, J2819), "")</f>
        <v>0</v>
      </c>
    </row>
    <row r="2820" spans="2:2">
      <c r="B2820" s="21">
        <f>IF(AND(C2820&lt;&gt;"", J2820&lt;&gt;""), HYPERLINK("#'" &amp; C2820 &amp; "'!" &amp; J2820, J2820), "")</f>
        <v>0</v>
      </c>
    </row>
    <row r="2821" spans="2:2">
      <c r="B2821" s="21">
        <f>IF(AND(C2821&lt;&gt;"", J2821&lt;&gt;""), HYPERLINK("#'" &amp; C2821 &amp; "'!" &amp; J2821, J2821), "")</f>
        <v>0</v>
      </c>
    </row>
    <row r="2822" spans="2:2">
      <c r="B2822" s="21">
        <f>IF(AND(C2822&lt;&gt;"", J2822&lt;&gt;""), HYPERLINK("#'" &amp; C2822 &amp; "'!" &amp; J2822, J2822), "")</f>
        <v>0</v>
      </c>
    </row>
    <row r="2823" spans="2:2">
      <c r="B2823" s="21">
        <f>IF(AND(C2823&lt;&gt;"", J2823&lt;&gt;""), HYPERLINK("#'" &amp; C2823 &amp; "'!" &amp; J2823, J2823), "")</f>
        <v>0</v>
      </c>
    </row>
    <row r="2824" spans="2:2">
      <c r="B2824" s="21">
        <f>IF(AND(C2824&lt;&gt;"", J2824&lt;&gt;""), HYPERLINK("#'" &amp; C2824 &amp; "'!" &amp; J2824, J2824), "")</f>
        <v>0</v>
      </c>
    </row>
    <row r="2825" spans="2:2">
      <c r="B2825" s="21">
        <f>IF(AND(C2825&lt;&gt;"", J2825&lt;&gt;""), HYPERLINK("#'" &amp; C2825 &amp; "'!" &amp; J2825, J2825), "")</f>
        <v>0</v>
      </c>
    </row>
    <row r="2826" spans="2:2">
      <c r="B2826" s="21">
        <f>IF(AND(C2826&lt;&gt;"", J2826&lt;&gt;""), HYPERLINK("#'" &amp; C2826 &amp; "'!" &amp; J2826, J2826), "")</f>
        <v>0</v>
      </c>
    </row>
    <row r="2827" spans="2:2">
      <c r="B2827" s="21">
        <f>IF(AND(C2827&lt;&gt;"", J2827&lt;&gt;""), HYPERLINK("#'" &amp; C2827 &amp; "'!" &amp; J2827, J2827), "")</f>
        <v>0</v>
      </c>
    </row>
    <row r="2828" spans="2:2">
      <c r="B2828" s="21">
        <f>IF(AND(C2828&lt;&gt;"", J2828&lt;&gt;""), HYPERLINK("#'" &amp; C2828 &amp; "'!" &amp; J2828, J2828), "")</f>
        <v>0</v>
      </c>
    </row>
    <row r="2829" spans="2:2">
      <c r="B2829" s="21">
        <f>IF(AND(C2829&lt;&gt;"", J2829&lt;&gt;""), HYPERLINK("#'" &amp; C2829 &amp; "'!" &amp; J2829, J2829), "")</f>
        <v>0</v>
      </c>
    </row>
    <row r="2830" spans="2:2">
      <c r="B2830" s="21">
        <f>IF(AND(C2830&lt;&gt;"", J2830&lt;&gt;""), HYPERLINK("#'" &amp; C2830 &amp; "'!" &amp; J2830, J2830), "")</f>
        <v>0</v>
      </c>
    </row>
    <row r="2831" spans="2:2">
      <c r="B2831" s="21">
        <f>IF(AND(C2831&lt;&gt;"", J2831&lt;&gt;""), HYPERLINK("#'" &amp; C2831 &amp; "'!" &amp; J2831, J2831), "")</f>
        <v>0</v>
      </c>
    </row>
    <row r="2832" spans="2:2">
      <c r="B2832" s="21">
        <f>IF(AND(C2832&lt;&gt;"", J2832&lt;&gt;""), HYPERLINK("#'" &amp; C2832 &amp; "'!" &amp; J2832, J2832), "")</f>
        <v>0</v>
      </c>
    </row>
    <row r="2833" spans="2:2">
      <c r="B2833" s="21">
        <f>IF(AND(C2833&lt;&gt;"", J2833&lt;&gt;""), HYPERLINK("#'" &amp; C2833 &amp; "'!" &amp; J2833, J2833), "")</f>
        <v>0</v>
      </c>
    </row>
    <row r="2834" spans="2:2">
      <c r="B2834" s="21">
        <f>IF(AND(C2834&lt;&gt;"", J2834&lt;&gt;""), HYPERLINK("#'" &amp; C2834 &amp; "'!" &amp; J2834, J2834), "")</f>
        <v>0</v>
      </c>
    </row>
    <row r="2835" spans="2:2">
      <c r="B2835" s="21">
        <f>IF(AND(C2835&lt;&gt;"", J2835&lt;&gt;""), HYPERLINK("#'" &amp; C2835 &amp; "'!" &amp; J2835, J2835), "")</f>
        <v>0</v>
      </c>
    </row>
    <row r="2836" spans="2:2">
      <c r="B2836" s="21">
        <f>IF(AND(C2836&lt;&gt;"", J2836&lt;&gt;""), HYPERLINK("#'" &amp; C2836 &amp; "'!" &amp; J2836, J2836), "")</f>
        <v>0</v>
      </c>
    </row>
    <row r="2837" spans="2:2">
      <c r="B2837" s="21">
        <f>IF(AND(C2837&lt;&gt;"", J2837&lt;&gt;""), HYPERLINK("#'" &amp; C2837 &amp; "'!" &amp; J2837, J2837), "")</f>
        <v>0</v>
      </c>
    </row>
    <row r="2838" spans="2:2">
      <c r="B2838" s="21">
        <f>IF(AND(C2838&lt;&gt;"", J2838&lt;&gt;""), HYPERLINK("#'" &amp; C2838 &amp; "'!" &amp; J2838, J2838), "")</f>
        <v>0</v>
      </c>
    </row>
    <row r="2839" spans="2:2">
      <c r="B2839" s="21">
        <f>IF(AND(C2839&lt;&gt;"", J2839&lt;&gt;""), HYPERLINK("#'" &amp; C2839 &amp; "'!" &amp; J2839, J2839), "")</f>
        <v>0</v>
      </c>
    </row>
    <row r="2840" spans="2:2">
      <c r="B2840" s="21">
        <f>IF(AND(C2840&lt;&gt;"", J2840&lt;&gt;""), HYPERLINK("#'" &amp; C2840 &amp; "'!" &amp; J2840, J2840), "")</f>
        <v>0</v>
      </c>
    </row>
    <row r="2841" spans="2:2">
      <c r="B2841" s="21">
        <f>IF(AND(C2841&lt;&gt;"", J2841&lt;&gt;""), HYPERLINK("#'" &amp; C2841 &amp; "'!" &amp; J2841, J2841), "")</f>
        <v>0</v>
      </c>
    </row>
    <row r="2842" spans="2:2">
      <c r="B2842" s="21">
        <f>IF(AND(C2842&lt;&gt;"", J2842&lt;&gt;""), HYPERLINK("#'" &amp; C2842 &amp; "'!" &amp; J2842, J2842), "")</f>
        <v>0</v>
      </c>
    </row>
    <row r="2843" spans="2:2">
      <c r="B2843" s="21">
        <f>IF(AND(C2843&lt;&gt;"", J2843&lt;&gt;""), HYPERLINK("#'" &amp; C2843 &amp; "'!" &amp; J2843, J2843), "")</f>
        <v>0</v>
      </c>
    </row>
    <row r="2844" spans="2:2">
      <c r="B2844" s="21">
        <f>IF(AND(C2844&lt;&gt;"", J2844&lt;&gt;""), HYPERLINK("#'" &amp; C2844 &amp; "'!" &amp; J2844, J2844), "")</f>
        <v>0</v>
      </c>
    </row>
    <row r="2845" spans="2:2">
      <c r="B2845" s="21">
        <f>IF(AND(C2845&lt;&gt;"", J2845&lt;&gt;""), HYPERLINK("#'" &amp; C2845 &amp; "'!" &amp; J2845, J2845), "")</f>
        <v>0</v>
      </c>
    </row>
    <row r="2846" spans="2:2">
      <c r="B2846" s="21">
        <f>IF(AND(C2846&lt;&gt;"", J2846&lt;&gt;""), HYPERLINK("#'" &amp; C2846 &amp; "'!" &amp; J2846, J2846), "")</f>
        <v>0</v>
      </c>
    </row>
    <row r="2847" spans="2:2">
      <c r="B2847" s="21">
        <f>IF(AND(C2847&lt;&gt;"", J2847&lt;&gt;""), HYPERLINK("#'" &amp; C2847 &amp; "'!" &amp; J2847, J2847), "")</f>
        <v>0</v>
      </c>
    </row>
    <row r="2848" spans="2:2">
      <c r="B2848" s="21">
        <f>IF(AND(C2848&lt;&gt;"", J2848&lt;&gt;""), HYPERLINK("#'" &amp; C2848 &amp; "'!" &amp; J2848, J2848), "")</f>
        <v>0</v>
      </c>
    </row>
    <row r="2849" spans="2:2">
      <c r="B2849" s="21">
        <f>IF(AND(C2849&lt;&gt;"", J2849&lt;&gt;""), HYPERLINK("#'" &amp; C2849 &amp; "'!" &amp; J2849, J2849), "")</f>
        <v>0</v>
      </c>
    </row>
    <row r="2850" spans="2:2">
      <c r="B2850" s="21">
        <f>IF(AND(C2850&lt;&gt;"", J2850&lt;&gt;""), HYPERLINK("#'" &amp; C2850 &amp; "'!" &amp; J2850, J2850), "")</f>
        <v>0</v>
      </c>
    </row>
    <row r="2851" spans="2:2">
      <c r="B2851" s="21">
        <f>IF(AND(C2851&lt;&gt;"", J2851&lt;&gt;""), HYPERLINK("#'" &amp; C2851 &amp; "'!" &amp; J2851, J2851), "")</f>
        <v>0</v>
      </c>
    </row>
    <row r="2852" spans="2:2">
      <c r="B2852" s="21">
        <f>IF(AND(C2852&lt;&gt;"", J2852&lt;&gt;""), HYPERLINK("#'" &amp; C2852 &amp; "'!" &amp; J2852, J2852), "")</f>
        <v>0</v>
      </c>
    </row>
    <row r="2853" spans="2:2">
      <c r="B2853" s="21">
        <f>IF(AND(C2853&lt;&gt;"", J2853&lt;&gt;""), HYPERLINK("#'" &amp; C2853 &amp; "'!" &amp; J2853, J2853), "")</f>
        <v>0</v>
      </c>
    </row>
    <row r="2854" spans="2:2">
      <c r="B2854" s="21">
        <f>IF(AND(C2854&lt;&gt;"", J2854&lt;&gt;""), HYPERLINK("#'" &amp; C2854 &amp; "'!" &amp; J2854, J2854), "")</f>
        <v>0</v>
      </c>
    </row>
    <row r="2855" spans="2:2">
      <c r="B2855" s="21">
        <f>IF(AND(C2855&lt;&gt;"", J2855&lt;&gt;""), HYPERLINK("#'" &amp; C2855 &amp; "'!" &amp; J2855, J2855), "")</f>
        <v>0</v>
      </c>
    </row>
    <row r="2856" spans="2:2">
      <c r="B2856" s="21">
        <f>IF(AND(C2856&lt;&gt;"", J2856&lt;&gt;""), HYPERLINK("#'" &amp; C2856 &amp; "'!" &amp; J2856, J2856), "")</f>
        <v>0</v>
      </c>
    </row>
    <row r="2857" spans="2:2">
      <c r="B2857" s="21">
        <f>IF(AND(C2857&lt;&gt;"", J2857&lt;&gt;""), HYPERLINK("#'" &amp; C2857 &amp; "'!" &amp; J2857, J2857), "")</f>
        <v>0</v>
      </c>
    </row>
    <row r="2858" spans="2:2">
      <c r="B2858" s="21">
        <f>IF(AND(C2858&lt;&gt;"", J2858&lt;&gt;""), HYPERLINK("#'" &amp; C2858 &amp; "'!" &amp; J2858, J2858), "")</f>
        <v>0</v>
      </c>
    </row>
    <row r="2859" spans="2:2">
      <c r="B2859" s="21">
        <f>IF(AND(C2859&lt;&gt;"", J2859&lt;&gt;""), HYPERLINK("#'" &amp; C2859 &amp; "'!" &amp; J2859, J2859), "")</f>
        <v>0</v>
      </c>
    </row>
    <row r="2860" spans="2:2">
      <c r="B2860" s="21">
        <f>IF(AND(C2860&lt;&gt;"", J2860&lt;&gt;""), HYPERLINK("#'" &amp; C2860 &amp; "'!" &amp; J2860, J2860), "")</f>
        <v>0</v>
      </c>
    </row>
    <row r="2861" spans="2:2">
      <c r="B2861" s="21">
        <f>IF(AND(C2861&lt;&gt;"", J2861&lt;&gt;""), HYPERLINK("#'" &amp; C2861 &amp; "'!" &amp; J2861, J2861), "")</f>
        <v>0</v>
      </c>
    </row>
    <row r="2862" spans="2:2">
      <c r="B2862" s="21">
        <f>IF(AND(C2862&lt;&gt;"", J2862&lt;&gt;""), HYPERLINK("#'" &amp; C2862 &amp; "'!" &amp; J2862, J2862), "")</f>
        <v>0</v>
      </c>
    </row>
    <row r="2863" spans="2:2">
      <c r="B2863" s="21">
        <f>IF(AND(C2863&lt;&gt;"", J2863&lt;&gt;""), HYPERLINK("#'" &amp; C2863 &amp; "'!" &amp; J2863, J2863), "")</f>
        <v>0</v>
      </c>
    </row>
    <row r="2864" spans="2:2">
      <c r="B2864" s="21">
        <f>IF(AND(C2864&lt;&gt;"", J2864&lt;&gt;""), HYPERLINK("#'" &amp; C2864 &amp; "'!" &amp; J2864, J2864), "")</f>
        <v>0</v>
      </c>
    </row>
    <row r="2865" spans="2:2">
      <c r="B2865" s="21">
        <f>IF(AND(C2865&lt;&gt;"", J2865&lt;&gt;""), HYPERLINK("#'" &amp; C2865 &amp; "'!" &amp; J2865, J2865), "")</f>
        <v>0</v>
      </c>
    </row>
    <row r="2866" spans="2:2">
      <c r="B2866" s="21">
        <f>IF(AND(C2866&lt;&gt;"", J2866&lt;&gt;""), HYPERLINK("#'" &amp; C2866 &amp; "'!" &amp; J2866, J2866), "")</f>
        <v>0</v>
      </c>
    </row>
    <row r="2867" spans="2:2">
      <c r="B2867" s="21">
        <f>IF(AND(C2867&lt;&gt;"", J2867&lt;&gt;""), HYPERLINK("#'" &amp; C2867 &amp; "'!" &amp; J2867, J2867), "")</f>
        <v>0</v>
      </c>
    </row>
    <row r="2868" spans="2:2">
      <c r="B2868" s="21">
        <f>IF(AND(C2868&lt;&gt;"", J2868&lt;&gt;""), HYPERLINK("#'" &amp; C2868 &amp; "'!" &amp; J2868, J2868), "")</f>
        <v>0</v>
      </c>
    </row>
    <row r="2869" spans="2:2">
      <c r="B2869" s="21">
        <f>IF(AND(C2869&lt;&gt;"", J2869&lt;&gt;""), HYPERLINK("#'" &amp; C2869 &amp; "'!" &amp; J2869, J2869), "")</f>
        <v>0</v>
      </c>
    </row>
    <row r="2870" spans="2:2">
      <c r="B2870" s="21">
        <f>IF(AND(C2870&lt;&gt;"", J2870&lt;&gt;""), HYPERLINK("#'" &amp; C2870 &amp; "'!" &amp; J2870, J2870), "")</f>
        <v>0</v>
      </c>
    </row>
    <row r="2871" spans="2:2">
      <c r="B2871" s="21">
        <f>IF(AND(C2871&lt;&gt;"", J2871&lt;&gt;""), HYPERLINK("#'" &amp; C2871 &amp; "'!" &amp; J2871, J2871), "")</f>
        <v>0</v>
      </c>
    </row>
    <row r="2872" spans="2:2">
      <c r="B2872" s="21">
        <f>IF(AND(C2872&lt;&gt;"", J2872&lt;&gt;""), HYPERLINK("#'" &amp; C2872 &amp; "'!" &amp; J2872, J2872), "")</f>
        <v>0</v>
      </c>
    </row>
    <row r="2873" spans="2:2">
      <c r="B2873" s="21">
        <f>IF(AND(C2873&lt;&gt;"", J2873&lt;&gt;""), HYPERLINK("#'" &amp; C2873 &amp; "'!" &amp; J2873, J2873), "")</f>
        <v>0</v>
      </c>
    </row>
    <row r="2874" spans="2:2">
      <c r="B2874" s="21">
        <f>IF(AND(C2874&lt;&gt;"", J2874&lt;&gt;""), HYPERLINK("#'" &amp; C2874 &amp; "'!" &amp; J2874, J2874), "")</f>
        <v>0</v>
      </c>
    </row>
    <row r="2875" spans="2:2">
      <c r="B2875" s="21">
        <f>IF(AND(C2875&lt;&gt;"", J2875&lt;&gt;""), HYPERLINK("#'" &amp; C2875 &amp; "'!" &amp; J2875, J2875), "")</f>
        <v>0</v>
      </c>
    </row>
    <row r="2876" spans="2:2">
      <c r="B2876" s="21">
        <f>IF(AND(C2876&lt;&gt;"", J2876&lt;&gt;""), HYPERLINK("#'" &amp; C2876 &amp; "'!" &amp; J2876, J2876), "")</f>
        <v>0</v>
      </c>
    </row>
    <row r="2877" spans="2:2">
      <c r="B2877" s="21">
        <f>IF(AND(C2877&lt;&gt;"", J2877&lt;&gt;""), HYPERLINK("#'" &amp; C2877 &amp; "'!" &amp; J2877, J2877), "")</f>
        <v>0</v>
      </c>
    </row>
    <row r="2878" spans="2:2">
      <c r="B2878" s="21">
        <f>IF(AND(C2878&lt;&gt;"", J2878&lt;&gt;""), HYPERLINK("#'" &amp; C2878 &amp; "'!" &amp; J2878, J2878), "")</f>
        <v>0</v>
      </c>
    </row>
    <row r="2879" spans="2:2">
      <c r="B2879" s="21">
        <f>IF(AND(C2879&lt;&gt;"", J2879&lt;&gt;""), HYPERLINK("#'" &amp; C2879 &amp; "'!" &amp; J2879, J2879), "")</f>
        <v>0</v>
      </c>
    </row>
    <row r="2880" spans="2:2">
      <c r="B2880" s="21">
        <f>IF(AND(C2880&lt;&gt;"", J2880&lt;&gt;""), HYPERLINK("#'" &amp; C2880 &amp; "'!" &amp; J2880, J2880), "")</f>
        <v>0</v>
      </c>
    </row>
    <row r="2881" spans="2:2">
      <c r="B2881" s="21">
        <f>IF(AND(C2881&lt;&gt;"", J2881&lt;&gt;""), HYPERLINK("#'" &amp; C2881 &amp; "'!" &amp; J2881, J2881), "")</f>
        <v>0</v>
      </c>
    </row>
    <row r="2882" spans="2:2">
      <c r="B2882" s="21">
        <f>IF(AND(C2882&lt;&gt;"", J2882&lt;&gt;""), HYPERLINK("#'" &amp; C2882 &amp; "'!" &amp; J2882, J2882), "")</f>
        <v>0</v>
      </c>
    </row>
    <row r="2883" spans="2:2">
      <c r="B2883" s="21">
        <f>IF(AND(C2883&lt;&gt;"", J2883&lt;&gt;""), HYPERLINK("#'" &amp; C2883 &amp; "'!" &amp; J2883, J2883), "")</f>
        <v>0</v>
      </c>
    </row>
    <row r="2884" spans="2:2">
      <c r="B2884" s="21">
        <f>IF(AND(C2884&lt;&gt;"", J2884&lt;&gt;""), HYPERLINK("#'" &amp; C2884 &amp; "'!" &amp; J2884, J2884), "")</f>
        <v>0</v>
      </c>
    </row>
    <row r="2885" spans="2:2">
      <c r="B2885" s="21">
        <f>IF(AND(C2885&lt;&gt;"", J2885&lt;&gt;""), HYPERLINK("#'" &amp; C2885 &amp; "'!" &amp; J2885, J2885), "")</f>
        <v>0</v>
      </c>
    </row>
    <row r="2886" spans="2:2">
      <c r="B2886" s="21">
        <f>IF(AND(C2886&lt;&gt;"", J2886&lt;&gt;""), HYPERLINK("#'" &amp; C2886 &amp; "'!" &amp; J2886, J2886), "")</f>
        <v>0</v>
      </c>
    </row>
    <row r="2887" spans="2:2">
      <c r="B2887" s="21">
        <f>IF(AND(C2887&lt;&gt;"", J2887&lt;&gt;""), HYPERLINK("#'" &amp; C2887 &amp; "'!" &amp; J2887, J2887), "")</f>
        <v>0</v>
      </c>
    </row>
    <row r="2888" spans="2:2">
      <c r="B2888" s="21">
        <f>IF(AND(C2888&lt;&gt;"", J2888&lt;&gt;""), HYPERLINK("#'" &amp; C2888 &amp; "'!" &amp; J2888, J2888), "")</f>
        <v>0</v>
      </c>
    </row>
    <row r="2889" spans="2:2">
      <c r="B2889" s="21">
        <f>IF(AND(C2889&lt;&gt;"", J2889&lt;&gt;""), HYPERLINK("#'" &amp; C2889 &amp; "'!" &amp; J2889, J2889), "")</f>
        <v>0</v>
      </c>
    </row>
    <row r="2890" spans="2:2">
      <c r="B2890" s="21">
        <f>IF(AND(C2890&lt;&gt;"", J2890&lt;&gt;""), HYPERLINK("#'" &amp; C2890 &amp; "'!" &amp; J2890, J2890), "")</f>
        <v>0</v>
      </c>
    </row>
    <row r="2891" spans="2:2">
      <c r="B2891" s="21">
        <f>IF(AND(C2891&lt;&gt;"", J2891&lt;&gt;""), HYPERLINK("#'" &amp; C2891 &amp; "'!" &amp; J2891, J2891), "")</f>
        <v>0</v>
      </c>
    </row>
    <row r="2892" spans="2:2">
      <c r="B2892" s="21">
        <f>IF(AND(C2892&lt;&gt;"", J2892&lt;&gt;""), HYPERLINK("#'" &amp; C2892 &amp; "'!" &amp; J2892, J2892), "")</f>
        <v>0</v>
      </c>
    </row>
    <row r="2893" spans="2:2">
      <c r="B2893" s="21">
        <f>IF(AND(C2893&lt;&gt;"", J2893&lt;&gt;""), HYPERLINK("#'" &amp; C2893 &amp; "'!" &amp; J2893, J2893), "")</f>
        <v>0</v>
      </c>
    </row>
    <row r="2894" spans="2:2">
      <c r="B2894" s="21">
        <f>IF(AND(C2894&lt;&gt;"", J2894&lt;&gt;""), HYPERLINK("#'" &amp; C2894 &amp; "'!" &amp; J2894, J2894), "")</f>
        <v>0</v>
      </c>
    </row>
    <row r="2895" spans="2:2">
      <c r="B2895" s="21">
        <f>IF(AND(C2895&lt;&gt;"", J2895&lt;&gt;""), HYPERLINK("#'" &amp; C2895 &amp; "'!" &amp; J2895, J2895), "")</f>
        <v>0</v>
      </c>
    </row>
    <row r="2896" spans="2:2">
      <c r="B2896" s="21">
        <f>IF(AND(C2896&lt;&gt;"", J2896&lt;&gt;""), HYPERLINK("#'" &amp; C2896 &amp; "'!" &amp; J2896, J2896), "")</f>
        <v>0</v>
      </c>
    </row>
    <row r="2897" spans="2:2">
      <c r="B2897" s="21">
        <f>IF(AND(C2897&lt;&gt;"", J2897&lt;&gt;""), HYPERLINK("#'" &amp; C2897 &amp; "'!" &amp; J2897, J2897), "")</f>
        <v>0</v>
      </c>
    </row>
    <row r="2898" spans="2:2">
      <c r="B2898" s="21">
        <f>IF(AND(C2898&lt;&gt;"", J2898&lt;&gt;""), HYPERLINK("#'" &amp; C2898 &amp; "'!" &amp; J2898, J2898), "")</f>
        <v>0</v>
      </c>
    </row>
    <row r="2899" spans="2:2">
      <c r="B2899" s="21">
        <f>IF(AND(C2899&lt;&gt;"", J2899&lt;&gt;""), HYPERLINK("#'" &amp; C2899 &amp; "'!" &amp; J2899, J2899), "")</f>
        <v>0</v>
      </c>
    </row>
    <row r="2900" spans="2:2">
      <c r="B2900" s="21">
        <f>IF(AND(C2900&lt;&gt;"", J2900&lt;&gt;""), HYPERLINK("#'" &amp; C2900 &amp; "'!" &amp; J2900, J2900), "")</f>
        <v>0</v>
      </c>
    </row>
    <row r="2901" spans="2:2">
      <c r="B2901" s="21">
        <f>IF(AND(C2901&lt;&gt;"", J2901&lt;&gt;""), HYPERLINK("#'" &amp; C2901 &amp; "'!" &amp; J2901, J2901), "")</f>
        <v>0</v>
      </c>
    </row>
    <row r="2902" spans="2:2">
      <c r="B2902" s="21">
        <f>IF(AND(C2902&lt;&gt;"", J2902&lt;&gt;""), HYPERLINK("#'" &amp; C2902 &amp; "'!" &amp; J2902, J2902), "")</f>
        <v>0</v>
      </c>
    </row>
    <row r="2903" spans="2:2">
      <c r="B2903" s="21">
        <f>IF(AND(C2903&lt;&gt;"", J2903&lt;&gt;""), HYPERLINK("#'" &amp; C2903 &amp; "'!" &amp; J2903, J2903), "")</f>
        <v>0</v>
      </c>
    </row>
    <row r="2904" spans="2:2">
      <c r="B2904" s="21">
        <f>IF(AND(C2904&lt;&gt;"", J2904&lt;&gt;""), HYPERLINK("#'" &amp; C2904 &amp; "'!" &amp; J2904, J2904), "")</f>
        <v>0</v>
      </c>
    </row>
    <row r="2905" spans="2:2">
      <c r="B2905" s="21">
        <f>IF(AND(C2905&lt;&gt;"", J2905&lt;&gt;""), HYPERLINK("#'" &amp; C2905 &amp; "'!" &amp; J2905, J2905), "")</f>
        <v>0</v>
      </c>
    </row>
    <row r="2906" spans="2:2">
      <c r="B2906" s="21">
        <f>IF(AND(C2906&lt;&gt;"", J2906&lt;&gt;""), HYPERLINK("#'" &amp; C2906 &amp; "'!" &amp; J2906, J2906), "")</f>
        <v>0</v>
      </c>
    </row>
    <row r="2907" spans="2:2">
      <c r="B2907" s="21">
        <f>IF(AND(C2907&lt;&gt;"", J2907&lt;&gt;""), HYPERLINK("#'" &amp; C2907 &amp; "'!" &amp; J2907, J2907), "")</f>
        <v>0</v>
      </c>
    </row>
    <row r="2908" spans="2:2">
      <c r="B2908" s="21">
        <f>IF(AND(C2908&lt;&gt;"", J2908&lt;&gt;""), HYPERLINK("#'" &amp; C2908 &amp; "'!" &amp; J2908, J2908), "")</f>
        <v>0</v>
      </c>
    </row>
    <row r="2909" spans="2:2">
      <c r="B2909" s="21">
        <f>IF(AND(C2909&lt;&gt;"", J2909&lt;&gt;""), HYPERLINK("#'" &amp; C2909 &amp; "'!" &amp; J2909, J2909), "")</f>
        <v>0</v>
      </c>
    </row>
    <row r="2910" spans="2:2">
      <c r="B2910" s="21">
        <f>IF(AND(C2910&lt;&gt;"", J2910&lt;&gt;""), HYPERLINK("#'" &amp; C2910 &amp; "'!" &amp; J2910, J2910), "")</f>
        <v>0</v>
      </c>
    </row>
    <row r="2911" spans="2:2">
      <c r="B2911" s="21">
        <f>IF(AND(C2911&lt;&gt;"", J2911&lt;&gt;""), HYPERLINK("#'" &amp; C2911 &amp; "'!" &amp; J2911, J2911), "")</f>
        <v>0</v>
      </c>
    </row>
    <row r="2912" spans="2:2">
      <c r="B2912" s="21">
        <f>IF(AND(C2912&lt;&gt;"", J2912&lt;&gt;""), HYPERLINK("#'" &amp; C2912 &amp; "'!" &amp; J2912, J2912), "")</f>
        <v>0</v>
      </c>
    </row>
    <row r="2913" spans="2:2">
      <c r="B2913" s="21">
        <f>IF(AND(C2913&lt;&gt;"", J2913&lt;&gt;""), HYPERLINK("#'" &amp; C2913 &amp; "'!" &amp; J2913, J2913), "")</f>
        <v>0</v>
      </c>
    </row>
    <row r="2914" spans="2:2">
      <c r="B2914" s="21">
        <f>IF(AND(C2914&lt;&gt;"", J2914&lt;&gt;""), HYPERLINK("#'" &amp; C2914 &amp; "'!" &amp; J2914, J2914), "")</f>
        <v>0</v>
      </c>
    </row>
    <row r="2915" spans="2:2">
      <c r="B2915" s="21">
        <f>IF(AND(C2915&lt;&gt;"", J2915&lt;&gt;""), HYPERLINK("#'" &amp; C2915 &amp; "'!" &amp; J2915, J2915), "")</f>
        <v>0</v>
      </c>
    </row>
    <row r="2916" spans="2:2">
      <c r="B2916" s="21">
        <f>IF(AND(C2916&lt;&gt;"", J2916&lt;&gt;""), HYPERLINK("#'" &amp; C2916 &amp; "'!" &amp; J2916, J2916), "")</f>
        <v>0</v>
      </c>
    </row>
    <row r="2917" spans="2:2">
      <c r="B2917" s="21">
        <f>IF(AND(C2917&lt;&gt;"", J2917&lt;&gt;""), HYPERLINK("#'" &amp; C2917 &amp; "'!" &amp; J2917, J2917), "")</f>
        <v>0</v>
      </c>
    </row>
    <row r="2918" spans="2:2">
      <c r="B2918" s="21">
        <f>IF(AND(C2918&lt;&gt;"", J2918&lt;&gt;""), HYPERLINK("#'" &amp; C2918 &amp; "'!" &amp; J2918, J2918), "")</f>
        <v>0</v>
      </c>
    </row>
    <row r="2919" spans="2:2">
      <c r="B2919" s="21">
        <f>IF(AND(C2919&lt;&gt;"", J2919&lt;&gt;""), HYPERLINK("#'" &amp; C2919 &amp; "'!" &amp; J2919, J2919), "")</f>
        <v>0</v>
      </c>
    </row>
    <row r="2920" spans="2:2">
      <c r="B2920" s="21">
        <f>IF(AND(C2920&lt;&gt;"", J2920&lt;&gt;""), HYPERLINK("#'" &amp; C2920 &amp; "'!" &amp; J2920, J2920), "")</f>
        <v>0</v>
      </c>
    </row>
    <row r="2921" spans="2:2">
      <c r="B2921" s="21">
        <f>IF(AND(C2921&lt;&gt;"", J2921&lt;&gt;""), HYPERLINK("#'" &amp; C2921 &amp; "'!" &amp; J2921, J2921), "")</f>
        <v>0</v>
      </c>
    </row>
    <row r="2922" spans="2:2">
      <c r="B2922" s="21">
        <f>IF(AND(C2922&lt;&gt;"", J2922&lt;&gt;""), HYPERLINK("#'" &amp; C2922 &amp; "'!" &amp; J2922, J2922), "")</f>
        <v>0</v>
      </c>
    </row>
    <row r="2923" spans="2:2">
      <c r="B2923" s="21">
        <f>IF(AND(C2923&lt;&gt;"", J2923&lt;&gt;""), HYPERLINK("#'" &amp; C2923 &amp; "'!" &amp; J2923, J2923), "")</f>
        <v>0</v>
      </c>
    </row>
    <row r="2924" spans="2:2">
      <c r="B2924" s="21">
        <f>IF(AND(C2924&lt;&gt;"", J2924&lt;&gt;""), HYPERLINK("#'" &amp; C2924 &amp; "'!" &amp; J2924, J2924), "")</f>
        <v>0</v>
      </c>
    </row>
    <row r="2925" spans="2:2">
      <c r="B2925" s="21">
        <f>IF(AND(C2925&lt;&gt;"", J2925&lt;&gt;""), HYPERLINK("#'" &amp; C2925 &amp; "'!" &amp; J2925, J2925), "")</f>
        <v>0</v>
      </c>
    </row>
    <row r="2926" spans="2:2">
      <c r="B2926" s="21">
        <f>IF(AND(C2926&lt;&gt;"", J2926&lt;&gt;""), HYPERLINK("#'" &amp; C2926 &amp; "'!" &amp; J2926, J2926), "")</f>
        <v>0</v>
      </c>
    </row>
    <row r="2927" spans="2:2">
      <c r="B2927" s="21">
        <f>IF(AND(C2927&lt;&gt;"", J2927&lt;&gt;""), HYPERLINK("#'" &amp; C2927 &amp; "'!" &amp; J2927, J2927), "")</f>
        <v>0</v>
      </c>
    </row>
    <row r="2928" spans="2:2">
      <c r="B2928" s="21">
        <f>IF(AND(C2928&lt;&gt;"", J2928&lt;&gt;""), HYPERLINK("#'" &amp; C2928 &amp; "'!" &amp; J2928, J2928), "")</f>
        <v>0</v>
      </c>
    </row>
    <row r="2929" spans="2:2">
      <c r="B2929" s="21">
        <f>IF(AND(C2929&lt;&gt;"", J2929&lt;&gt;""), HYPERLINK("#'" &amp; C2929 &amp; "'!" &amp; J2929, J2929), "")</f>
        <v>0</v>
      </c>
    </row>
    <row r="2930" spans="2:2">
      <c r="B2930" s="21">
        <f>IF(AND(C2930&lt;&gt;"", J2930&lt;&gt;""), HYPERLINK("#'" &amp; C2930 &amp; "'!" &amp; J2930, J2930), "")</f>
        <v>0</v>
      </c>
    </row>
    <row r="2931" spans="2:2">
      <c r="B2931" s="21">
        <f>IF(AND(C2931&lt;&gt;"", J2931&lt;&gt;""), HYPERLINK("#'" &amp; C2931 &amp; "'!" &amp; J2931, J2931), "")</f>
        <v>0</v>
      </c>
    </row>
    <row r="2932" spans="2:2">
      <c r="B2932" s="21">
        <f>IF(AND(C2932&lt;&gt;"", J2932&lt;&gt;""), HYPERLINK("#'" &amp; C2932 &amp; "'!" &amp; J2932, J2932), "")</f>
        <v>0</v>
      </c>
    </row>
    <row r="2933" spans="2:2">
      <c r="B2933" s="21">
        <f>IF(AND(C2933&lt;&gt;"", J2933&lt;&gt;""), HYPERLINK("#'" &amp; C2933 &amp; "'!" &amp; J2933, J2933), "")</f>
        <v>0</v>
      </c>
    </row>
    <row r="2934" spans="2:2">
      <c r="B2934" s="21">
        <f>IF(AND(C2934&lt;&gt;"", J2934&lt;&gt;""), HYPERLINK("#'" &amp; C2934 &amp; "'!" &amp; J2934, J2934), "")</f>
        <v>0</v>
      </c>
    </row>
    <row r="2935" spans="2:2">
      <c r="B2935" s="21">
        <f>IF(AND(C2935&lt;&gt;"", J2935&lt;&gt;""), HYPERLINK("#'" &amp; C2935 &amp; "'!" &amp; J2935, J2935), "")</f>
        <v>0</v>
      </c>
    </row>
    <row r="2936" spans="2:2">
      <c r="B2936" s="21">
        <f>IF(AND(C2936&lt;&gt;"", J2936&lt;&gt;""), HYPERLINK("#'" &amp; C2936 &amp; "'!" &amp; J2936, J2936), "")</f>
        <v>0</v>
      </c>
    </row>
    <row r="2937" spans="2:2">
      <c r="B2937" s="21">
        <f>IF(AND(C2937&lt;&gt;"", J2937&lt;&gt;""), HYPERLINK("#'" &amp; C2937 &amp; "'!" &amp; J2937, J2937), "")</f>
        <v>0</v>
      </c>
    </row>
    <row r="2938" spans="2:2">
      <c r="B2938" s="21">
        <f>IF(AND(C2938&lt;&gt;"", J2938&lt;&gt;""), HYPERLINK("#'" &amp; C2938 &amp; "'!" &amp; J2938, J2938), "")</f>
        <v>0</v>
      </c>
    </row>
    <row r="2939" spans="2:2">
      <c r="B2939" s="21">
        <f>IF(AND(C2939&lt;&gt;"", J2939&lt;&gt;""), HYPERLINK("#'" &amp; C2939 &amp; "'!" &amp; J2939, J2939), "")</f>
        <v>0</v>
      </c>
    </row>
    <row r="2940" spans="2:2">
      <c r="B2940" s="21">
        <f>IF(AND(C2940&lt;&gt;"", J2940&lt;&gt;""), HYPERLINK("#'" &amp; C2940 &amp; "'!" &amp; J2940, J2940), "")</f>
        <v>0</v>
      </c>
    </row>
    <row r="2941" spans="2:2">
      <c r="B2941" s="21">
        <f>IF(AND(C2941&lt;&gt;"", J2941&lt;&gt;""), HYPERLINK("#'" &amp; C2941 &amp; "'!" &amp; J2941, J2941), "")</f>
        <v>0</v>
      </c>
    </row>
    <row r="2942" spans="2:2">
      <c r="B2942" s="21">
        <f>IF(AND(C2942&lt;&gt;"", J2942&lt;&gt;""), HYPERLINK("#'" &amp; C2942 &amp; "'!" &amp; J2942, J2942), "")</f>
        <v>0</v>
      </c>
    </row>
    <row r="2943" spans="2:2">
      <c r="B2943" s="21">
        <f>IF(AND(C2943&lt;&gt;"", J2943&lt;&gt;""), HYPERLINK("#'" &amp; C2943 &amp; "'!" &amp; J2943, J2943), "")</f>
        <v>0</v>
      </c>
    </row>
    <row r="2944" spans="2:2">
      <c r="B2944" s="21">
        <f>IF(AND(C2944&lt;&gt;"", J2944&lt;&gt;""), HYPERLINK("#'" &amp; C2944 &amp; "'!" &amp; J2944, J2944), "")</f>
        <v>0</v>
      </c>
    </row>
    <row r="2945" spans="2:2">
      <c r="B2945" s="21">
        <f>IF(AND(C2945&lt;&gt;"", J2945&lt;&gt;""), HYPERLINK("#'" &amp; C2945 &amp; "'!" &amp; J2945, J2945), "")</f>
        <v>0</v>
      </c>
    </row>
    <row r="2946" spans="2:2">
      <c r="B2946" s="21">
        <f>IF(AND(C2946&lt;&gt;"", J2946&lt;&gt;""), HYPERLINK("#'" &amp; C2946 &amp; "'!" &amp; J2946, J2946), "")</f>
        <v>0</v>
      </c>
    </row>
    <row r="2947" spans="2:2">
      <c r="B2947" s="21">
        <f>IF(AND(C2947&lt;&gt;"", J2947&lt;&gt;""), HYPERLINK("#'" &amp; C2947 &amp; "'!" &amp; J2947, J2947), "")</f>
        <v>0</v>
      </c>
    </row>
    <row r="2948" spans="2:2">
      <c r="B2948" s="21">
        <f>IF(AND(C2948&lt;&gt;"", J2948&lt;&gt;""), HYPERLINK("#'" &amp; C2948 &amp; "'!" &amp; J2948, J2948), "")</f>
        <v>0</v>
      </c>
    </row>
    <row r="2949" spans="2:2">
      <c r="B2949" s="21">
        <f>IF(AND(C2949&lt;&gt;"", J2949&lt;&gt;""), HYPERLINK("#'" &amp; C2949 &amp; "'!" &amp; J2949, J2949), "")</f>
        <v>0</v>
      </c>
    </row>
    <row r="2950" spans="2:2">
      <c r="B2950" s="21">
        <f>IF(AND(C2950&lt;&gt;"", J2950&lt;&gt;""), HYPERLINK("#'" &amp; C2950 &amp; "'!" &amp; J2950, J2950), "")</f>
        <v>0</v>
      </c>
    </row>
    <row r="2951" spans="2:2">
      <c r="B2951" s="21">
        <f>IF(AND(C2951&lt;&gt;"", J2951&lt;&gt;""), HYPERLINK("#'" &amp; C2951 &amp; "'!" &amp; J2951, J2951), "")</f>
        <v>0</v>
      </c>
    </row>
    <row r="2952" spans="2:2">
      <c r="B2952" s="21">
        <f>IF(AND(C2952&lt;&gt;"", J2952&lt;&gt;""), HYPERLINK("#'" &amp; C2952 &amp; "'!" &amp; J2952, J2952), "")</f>
        <v>0</v>
      </c>
    </row>
    <row r="2953" spans="2:2">
      <c r="B2953" s="21">
        <f>IF(AND(C2953&lt;&gt;"", J2953&lt;&gt;""), HYPERLINK("#'" &amp; C2953 &amp; "'!" &amp; J2953, J2953), "")</f>
        <v>0</v>
      </c>
    </row>
    <row r="2954" spans="2:2">
      <c r="B2954" s="21">
        <f>IF(AND(C2954&lt;&gt;"", J2954&lt;&gt;""), HYPERLINK("#'" &amp; C2954 &amp; "'!" &amp; J2954, J2954), "")</f>
        <v>0</v>
      </c>
    </row>
    <row r="2955" spans="2:2">
      <c r="B2955" s="21">
        <f>IF(AND(C2955&lt;&gt;"", J2955&lt;&gt;""), HYPERLINK("#'" &amp; C2955 &amp; "'!" &amp; J2955, J2955), "")</f>
        <v>0</v>
      </c>
    </row>
    <row r="2956" spans="2:2">
      <c r="B2956" s="21">
        <f>IF(AND(C2956&lt;&gt;"", J2956&lt;&gt;""), HYPERLINK("#'" &amp; C2956 &amp; "'!" &amp; J2956, J2956), "")</f>
        <v>0</v>
      </c>
    </row>
    <row r="2957" spans="2:2">
      <c r="B2957" s="21">
        <f>IF(AND(C2957&lt;&gt;"", J2957&lt;&gt;""), HYPERLINK("#'" &amp; C2957 &amp; "'!" &amp; J2957, J2957), "")</f>
        <v>0</v>
      </c>
    </row>
    <row r="2958" spans="2:2">
      <c r="B2958" s="21">
        <f>IF(AND(C2958&lt;&gt;"", J2958&lt;&gt;""), HYPERLINK("#'" &amp; C2958 &amp; "'!" &amp; J2958, J2958), "")</f>
        <v>0</v>
      </c>
    </row>
    <row r="2959" spans="2:2">
      <c r="B2959" s="21">
        <f>IF(AND(C2959&lt;&gt;"", J2959&lt;&gt;""), HYPERLINK("#'" &amp; C2959 &amp; "'!" &amp; J2959, J2959), "")</f>
        <v>0</v>
      </c>
    </row>
    <row r="2960" spans="2:2">
      <c r="B2960" s="21">
        <f>IF(AND(C2960&lt;&gt;"", J2960&lt;&gt;""), HYPERLINK("#'" &amp; C2960 &amp; "'!" &amp; J2960, J2960), "")</f>
        <v>0</v>
      </c>
    </row>
    <row r="2961" spans="2:2">
      <c r="B2961" s="21">
        <f>IF(AND(C2961&lt;&gt;"", J2961&lt;&gt;""), HYPERLINK("#'" &amp; C2961 &amp; "'!" &amp; J2961, J2961), "")</f>
        <v>0</v>
      </c>
    </row>
    <row r="2962" spans="2:2">
      <c r="B2962" s="21">
        <f>IF(AND(C2962&lt;&gt;"", J2962&lt;&gt;""), HYPERLINK("#'" &amp; C2962 &amp; "'!" &amp; J2962, J2962), "")</f>
        <v>0</v>
      </c>
    </row>
    <row r="2963" spans="2:2">
      <c r="B2963" s="21">
        <f>IF(AND(C2963&lt;&gt;"", J2963&lt;&gt;""), HYPERLINK("#'" &amp; C2963 &amp; "'!" &amp; J2963, J2963), "")</f>
        <v>0</v>
      </c>
    </row>
    <row r="2964" spans="2:2">
      <c r="B2964" s="21">
        <f>IF(AND(C2964&lt;&gt;"", J2964&lt;&gt;""), HYPERLINK("#'" &amp; C2964 &amp; "'!" &amp; J2964, J2964), "")</f>
        <v>0</v>
      </c>
    </row>
    <row r="2965" spans="2:2">
      <c r="B2965" s="21">
        <f>IF(AND(C2965&lt;&gt;"", J2965&lt;&gt;""), HYPERLINK("#'" &amp; C2965 &amp; "'!" &amp; J2965, J2965), "")</f>
        <v>0</v>
      </c>
    </row>
    <row r="2966" spans="2:2">
      <c r="B2966" s="21">
        <f>IF(AND(C2966&lt;&gt;"", J2966&lt;&gt;""), HYPERLINK("#'" &amp; C2966 &amp; "'!" &amp; J2966, J2966), "")</f>
        <v>0</v>
      </c>
    </row>
    <row r="2967" spans="2:2">
      <c r="B2967" s="21">
        <f>IF(AND(C2967&lt;&gt;"", J2967&lt;&gt;""), HYPERLINK("#'" &amp; C2967 &amp; "'!" &amp; J2967, J2967), "")</f>
        <v>0</v>
      </c>
    </row>
    <row r="2968" spans="2:2">
      <c r="B2968" s="21">
        <f>IF(AND(C2968&lt;&gt;"", J2968&lt;&gt;""), HYPERLINK("#'" &amp; C2968 &amp; "'!" &amp; J2968, J2968), "")</f>
        <v>0</v>
      </c>
    </row>
    <row r="2969" spans="2:2">
      <c r="B2969" s="21">
        <f>IF(AND(C2969&lt;&gt;"", J2969&lt;&gt;""), HYPERLINK("#'" &amp; C2969 &amp; "'!" &amp; J2969, J2969), "")</f>
        <v>0</v>
      </c>
    </row>
    <row r="2970" spans="2:2">
      <c r="B2970" s="21">
        <f>IF(AND(C2970&lt;&gt;"", J2970&lt;&gt;""), HYPERLINK("#'" &amp; C2970 &amp; "'!" &amp; J2970, J2970), "")</f>
        <v>0</v>
      </c>
    </row>
    <row r="2971" spans="2:2">
      <c r="B2971" s="21">
        <f>IF(AND(C2971&lt;&gt;"", J2971&lt;&gt;""), HYPERLINK("#'" &amp; C2971 &amp; "'!" &amp; J2971, J2971), "")</f>
        <v>0</v>
      </c>
    </row>
    <row r="2972" spans="2:2">
      <c r="B2972" s="21">
        <f>IF(AND(C2972&lt;&gt;"", J2972&lt;&gt;""), HYPERLINK("#'" &amp; C2972 &amp; "'!" &amp; J2972, J2972), "")</f>
        <v>0</v>
      </c>
    </row>
    <row r="2973" spans="2:2">
      <c r="B2973" s="21">
        <f>IF(AND(C2973&lt;&gt;"", J2973&lt;&gt;""), HYPERLINK("#'" &amp; C2973 &amp; "'!" &amp; J2973, J2973), "")</f>
        <v>0</v>
      </c>
    </row>
    <row r="2974" spans="2:2">
      <c r="B2974" s="21">
        <f>IF(AND(C2974&lt;&gt;"", J2974&lt;&gt;""), HYPERLINK("#'" &amp; C2974 &amp; "'!" &amp; J2974, J2974), "")</f>
        <v>0</v>
      </c>
    </row>
    <row r="2975" spans="2:2">
      <c r="B2975" s="21">
        <f>IF(AND(C2975&lt;&gt;"", J2975&lt;&gt;""), HYPERLINK("#'" &amp; C2975 &amp; "'!" &amp; J2975, J2975), "")</f>
        <v>0</v>
      </c>
    </row>
    <row r="2976" spans="2:2">
      <c r="B2976" s="21">
        <f>IF(AND(C2976&lt;&gt;"", J2976&lt;&gt;""), HYPERLINK("#'" &amp; C2976 &amp; "'!" &amp; J2976, J2976), "")</f>
        <v>0</v>
      </c>
    </row>
    <row r="2977" spans="2:2">
      <c r="B2977" s="21">
        <f>IF(AND(C2977&lt;&gt;"", J2977&lt;&gt;""), HYPERLINK("#'" &amp; C2977 &amp; "'!" &amp; J2977, J2977), "")</f>
        <v>0</v>
      </c>
    </row>
    <row r="2978" spans="2:2">
      <c r="B2978" s="21">
        <f>IF(AND(C2978&lt;&gt;"", J2978&lt;&gt;""), HYPERLINK("#'" &amp; C2978 &amp; "'!" &amp; J2978, J2978), "")</f>
        <v>0</v>
      </c>
    </row>
    <row r="2979" spans="2:2">
      <c r="B2979" s="21">
        <f>IF(AND(C2979&lt;&gt;"", J2979&lt;&gt;""), HYPERLINK("#'" &amp; C2979 &amp; "'!" &amp; J2979, J2979), "")</f>
        <v>0</v>
      </c>
    </row>
    <row r="2980" spans="2:2">
      <c r="B2980" s="21">
        <f>IF(AND(C2980&lt;&gt;"", J2980&lt;&gt;""), HYPERLINK("#'" &amp; C2980 &amp; "'!" &amp; J2980, J2980), "")</f>
        <v>0</v>
      </c>
    </row>
    <row r="2981" spans="2:2">
      <c r="B2981" s="21">
        <f>IF(AND(C2981&lt;&gt;"", J2981&lt;&gt;""), HYPERLINK("#'" &amp; C2981 &amp; "'!" &amp; J2981, J2981), "")</f>
        <v>0</v>
      </c>
    </row>
    <row r="2982" spans="2:2">
      <c r="B2982" s="21">
        <f>IF(AND(C2982&lt;&gt;"", J2982&lt;&gt;""), HYPERLINK("#'" &amp; C2982 &amp; "'!" &amp; J2982, J2982), "")</f>
        <v>0</v>
      </c>
    </row>
    <row r="2983" spans="2:2">
      <c r="B2983" s="21">
        <f>IF(AND(C2983&lt;&gt;"", J2983&lt;&gt;""), HYPERLINK("#'" &amp; C2983 &amp; "'!" &amp; J2983, J2983), "")</f>
        <v>0</v>
      </c>
    </row>
    <row r="2984" spans="2:2">
      <c r="B2984" s="21">
        <f>IF(AND(C2984&lt;&gt;"", J2984&lt;&gt;""), HYPERLINK("#'" &amp; C2984 &amp; "'!" &amp; J2984, J2984), "")</f>
        <v>0</v>
      </c>
    </row>
    <row r="2985" spans="2:2">
      <c r="B2985" s="21">
        <f>IF(AND(C2985&lt;&gt;"", J2985&lt;&gt;""), HYPERLINK("#'" &amp; C2985 &amp; "'!" &amp; J2985, J2985), "")</f>
        <v>0</v>
      </c>
    </row>
    <row r="2986" spans="2:2">
      <c r="B2986" s="21">
        <f>IF(AND(C2986&lt;&gt;"", J2986&lt;&gt;""), HYPERLINK("#'" &amp; C2986 &amp; "'!" &amp; J2986, J2986), "")</f>
        <v>0</v>
      </c>
    </row>
    <row r="2987" spans="2:2">
      <c r="B2987" s="21">
        <f>IF(AND(C2987&lt;&gt;"", J2987&lt;&gt;""), HYPERLINK("#'" &amp; C2987 &amp; "'!" &amp; J2987, J2987), "")</f>
        <v>0</v>
      </c>
    </row>
    <row r="2988" spans="2:2">
      <c r="B2988" s="21">
        <f>IF(AND(C2988&lt;&gt;"", J2988&lt;&gt;""), HYPERLINK("#'" &amp; C2988 &amp; "'!" &amp; J2988, J2988), "")</f>
        <v>0</v>
      </c>
    </row>
    <row r="2989" spans="2:2">
      <c r="B2989" s="21">
        <f>IF(AND(C2989&lt;&gt;"", J2989&lt;&gt;""), HYPERLINK("#'" &amp; C2989 &amp; "'!" &amp; J2989, J2989), "")</f>
        <v>0</v>
      </c>
    </row>
    <row r="2990" spans="2:2">
      <c r="B2990" s="21">
        <f>IF(AND(C2990&lt;&gt;"", J2990&lt;&gt;""), HYPERLINK("#'" &amp; C2990 &amp; "'!" &amp; J2990, J2990), "")</f>
        <v>0</v>
      </c>
    </row>
    <row r="2991" spans="2:2">
      <c r="B2991" s="21">
        <f>IF(AND(C2991&lt;&gt;"", J2991&lt;&gt;""), HYPERLINK("#'" &amp; C2991 &amp; "'!" &amp; J2991, J2991), "")</f>
        <v>0</v>
      </c>
    </row>
    <row r="2992" spans="2:2">
      <c r="B2992" s="21">
        <f>IF(AND(C2992&lt;&gt;"", J2992&lt;&gt;""), HYPERLINK("#'" &amp; C2992 &amp; "'!" &amp; J2992, J2992), "")</f>
        <v>0</v>
      </c>
    </row>
    <row r="2993" spans="2:2">
      <c r="B2993" s="21">
        <f>IF(AND(C2993&lt;&gt;"", J2993&lt;&gt;""), HYPERLINK("#'" &amp; C2993 &amp; "'!" &amp; J2993, J2993), "")</f>
        <v>0</v>
      </c>
    </row>
    <row r="2994" spans="2:2">
      <c r="B2994" s="21">
        <f>IF(AND(C2994&lt;&gt;"", J2994&lt;&gt;""), HYPERLINK("#'" &amp; C2994 &amp; "'!" &amp; J2994, J2994), "")</f>
        <v>0</v>
      </c>
    </row>
    <row r="2995" spans="2:2">
      <c r="B2995" s="21">
        <f>IF(AND(C2995&lt;&gt;"", J2995&lt;&gt;""), HYPERLINK("#'" &amp; C2995 &amp; "'!" &amp; J2995, J2995), "")</f>
        <v>0</v>
      </c>
    </row>
    <row r="2996" spans="2:2">
      <c r="B2996" s="21">
        <f>IF(AND(C2996&lt;&gt;"", J2996&lt;&gt;""), HYPERLINK("#'" &amp; C2996 &amp; "'!" &amp; J2996, J2996), "")</f>
        <v>0</v>
      </c>
    </row>
    <row r="2997" spans="2:2">
      <c r="B2997" s="21">
        <f>IF(AND(C2997&lt;&gt;"", J2997&lt;&gt;""), HYPERLINK("#'" &amp; C2997 &amp; "'!" &amp; J2997, J2997), "")</f>
        <v>0</v>
      </c>
    </row>
    <row r="2998" spans="2:2">
      <c r="B2998" s="21">
        <f>IF(AND(C2998&lt;&gt;"", J2998&lt;&gt;""), HYPERLINK("#'" &amp; C2998 &amp; "'!" &amp; J2998, J2998), "")</f>
        <v>0</v>
      </c>
    </row>
    <row r="2999" spans="2:2">
      <c r="B2999" s="21">
        <f>IF(AND(C2999&lt;&gt;"", J2999&lt;&gt;""), HYPERLINK("#'" &amp; C2999 &amp; "'!" &amp; J2999, J2999), "")</f>
        <v>0</v>
      </c>
    </row>
    <row r="3000" spans="2:2">
      <c r="B3000" s="21">
        <f>IF(AND(C3000&lt;&gt;"", J3000&lt;&gt;""), HYPERLINK("#'" &amp; C3000 &amp; "'!" &amp; J3000, J3000), "")</f>
        <v>0</v>
      </c>
    </row>
    <row r="3001" spans="2:2">
      <c r="B3001" s="21">
        <f>IF(AND(C3001&lt;&gt;"", J3001&lt;&gt;""), HYPERLINK("#'" &amp; C3001 &amp; "'!" &amp; J3001, J3001), "")</f>
        <v>0</v>
      </c>
    </row>
    <row r="3002" spans="2:2">
      <c r="B3002" s="21">
        <f>IF(AND(C3002&lt;&gt;"", J3002&lt;&gt;""), HYPERLINK("#'" &amp; C3002 &amp; "'!" &amp; J3002, J3002), "")</f>
        <v>0</v>
      </c>
    </row>
    <row r="3003" spans="2:2">
      <c r="B3003" s="21">
        <f>IF(AND(C3003&lt;&gt;"", J3003&lt;&gt;""), HYPERLINK("#'" &amp; C3003 &amp; "'!" &amp; J3003, J3003), "")</f>
        <v>0</v>
      </c>
    </row>
    <row r="3004" spans="2:2">
      <c r="B3004" s="21">
        <f>IF(AND(C3004&lt;&gt;"", J3004&lt;&gt;""), HYPERLINK("#'" &amp; C3004 &amp; "'!" &amp; J3004, J3004), "")</f>
        <v>0</v>
      </c>
    </row>
    <row r="3005" spans="2:2">
      <c r="B3005" s="21">
        <f>IF(AND(C3005&lt;&gt;"", J3005&lt;&gt;""), HYPERLINK("#'" &amp; C3005 &amp; "'!" &amp; J3005, J3005), "")</f>
        <v>0</v>
      </c>
    </row>
    <row r="3006" spans="2:2">
      <c r="B3006" s="21">
        <f>IF(AND(C3006&lt;&gt;"", J3006&lt;&gt;""), HYPERLINK("#'" &amp; C3006 &amp; "'!" &amp; J3006, J3006), "")</f>
        <v>0</v>
      </c>
    </row>
    <row r="3007" spans="2:2">
      <c r="B3007" s="21">
        <f>IF(AND(C3007&lt;&gt;"", J3007&lt;&gt;""), HYPERLINK("#'" &amp; C3007 &amp; "'!" &amp; J3007, J3007), "")</f>
        <v>0</v>
      </c>
    </row>
    <row r="3008" spans="2:2">
      <c r="B3008" s="21">
        <f>IF(AND(C3008&lt;&gt;"", J3008&lt;&gt;""), HYPERLINK("#'" &amp; C3008 &amp; "'!" &amp; J3008, J3008), "")</f>
        <v>0</v>
      </c>
    </row>
    <row r="3009" spans="2:2">
      <c r="B3009" s="21">
        <f>IF(AND(C3009&lt;&gt;"", J3009&lt;&gt;""), HYPERLINK("#'" &amp; C3009 &amp; "'!" &amp; J3009, J3009), "")</f>
        <v>0</v>
      </c>
    </row>
    <row r="3010" spans="2:2">
      <c r="B3010" s="21">
        <f>IF(AND(C3010&lt;&gt;"", J3010&lt;&gt;""), HYPERLINK("#'" &amp; C3010 &amp; "'!" &amp; J3010, J3010), "")</f>
        <v>0</v>
      </c>
    </row>
    <row r="3011" spans="2:2">
      <c r="B3011" s="21">
        <f>IF(AND(C3011&lt;&gt;"", J3011&lt;&gt;""), HYPERLINK("#'" &amp; C3011 &amp; "'!" &amp; J3011, J3011), "")</f>
        <v>0</v>
      </c>
    </row>
    <row r="3012" spans="2:2">
      <c r="B3012" s="21">
        <f>IF(AND(C3012&lt;&gt;"", J3012&lt;&gt;""), HYPERLINK("#'" &amp; C3012 &amp; "'!" &amp; J3012, J3012), "")</f>
        <v>0</v>
      </c>
    </row>
    <row r="3013" spans="2:2">
      <c r="B3013" s="21">
        <f>IF(AND(C3013&lt;&gt;"", J3013&lt;&gt;""), HYPERLINK("#'" &amp; C3013 &amp; "'!" &amp; J3013, J3013), "")</f>
        <v>0</v>
      </c>
    </row>
    <row r="3014" spans="2:2">
      <c r="B3014" s="21">
        <f>IF(AND(C3014&lt;&gt;"", J3014&lt;&gt;""), HYPERLINK("#'" &amp; C3014 &amp; "'!" &amp; J3014, J3014), "")</f>
        <v>0</v>
      </c>
    </row>
    <row r="3015" spans="2:2">
      <c r="B3015" s="21">
        <f>IF(AND(C3015&lt;&gt;"", J3015&lt;&gt;""), HYPERLINK("#'" &amp; C3015 &amp; "'!" &amp; J3015, J3015), "")</f>
        <v>0</v>
      </c>
    </row>
    <row r="3016" spans="2:2">
      <c r="B3016" s="21">
        <f>IF(AND(C3016&lt;&gt;"", J3016&lt;&gt;""), HYPERLINK("#'" &amp; C3016 &amp; "'!" &amp; J3016, J3016), "")</f>
        <v>0</v>
      </c>
    </row>
    <row r="3017" spans="2:2">
      <c r="B3017" s="21">
        <f>IF(AND(C3017&lt;&gt;"", J3017&lt;&gt;""), HYPERLINK("#'" &amp; C3017 &amp; "'!" &amp; J3017, J3017), "")</f>
        <v>0</v>
      </c>
    </row>
    <row r="3018" spans="2:2">
      <c r="B3018" s="21">
        <f>IF(AND(C3018&lt;&gt;"", J3018&lt;&gt;""), HYPERLINK("#'" &amp; C3018 &amp; "'!" &amp; J3018, J3018), "")</f>
        <v>0</v>
      </c>
    </row>
    <row r="3019" spans="2:2">
      <c r="B3019" s="21">
        <f>IF(AND(C3019&lt;&gt;"", J3019&lt;&gt;""), HYPERLINK("#'" &amp; C3019 &amp; "'!" &amp; J3019, J3019), "")</f>
        <v>0</v>
      </c>
    </row>
    <row r="3020" spans="2:2">
      <c r="B3020" s="21">
        <f>IF(AND(C3020&lt;&gt;"", J3020&lt;&gt;""), HYPERLINK("#'" &amp; C3020 &amp; "'!" &amp; J3020, J3020), "")</f>
        <v>0</v>
      </c>
    </row>
    <row r="3021" spans="2:2">
      <c r="B3021" s="21">
        <f>IF(AND(C3021&lt;&gt;"", J3021&lt;&gt;""), HYPERLINK("#'" &amp; C3021 &amp; "'!" &amp; J3021, J3021), "")</f>
        <v>0</v>
      </c>
    </row>
    <row r="3022" spans="2:2">
      <c r="B3022" s="21">
        <f>IF(AND(C3022&lt;&gt;"", J3022&lt;&gt;""), HYPERLINK("#'" &amp; C3022 &amp; "'!" &amp; J3022, J3022), "")</f>
        <v>0</v>
      </c>
    </row>
    <row r="3023" spans="2:2">
      <c r="B3023" s="21">
        <f>IF(AND(C3023&lt;&gt;"", J3023&lt;&gt;""), HYPERLINK("#'" &amp; C3023 &amp; "'!" &amp; J3023, J3023), "")</f>
        <v>0</v>
      </c>
    </row>
    <row r="3024" spans="2:2">
      <c r="B3024" s="21">
        <f>IF(AND(C3024&lt;&gt;"", J3024&lt;&gt;""), HYPERLINK("#'" &amp; C3024 &amp; "'!" &amp; J3024, J3024), "")</f>
        <v>0</v>
      </c>
    </row>
    <row r="3025" spans="2:2">
      <c r="B3025" s="21">
        <f>IF(AND(C3025&lt;&gt;"", J3025&lt;&gt;""), HYPERLINK("#'" &amp; C3025 &amp; "'!" &amp; J3025, J3025), "")</f>
        <v>0</v>
      </c>
    </row>
    <row r="3026" spans="2:2">
      <c r="B3026" s="21">
        <f>IF(AND(C3026&lt;&gt;"", J3026&lt;&gt;""), HYPERLINK("#'" &amp; C3026 &amp; "'!" &amp; J3026, J3026), "")</f>
        <v>0</v>
      </c>
    </row>
    <row r="3027" spans="2:2">
      <c r="B3027" s="21">
        <f>IF(AND(C3027&lt;&gt;"", J3027&lt;&gt;""), HYPERLINK("#'" &amp; C3027 &amp; "'!" &amp; J3027, J3027), "")</f>
        <v>0</v>
      </c>
    </row>
    <row r="3028" spans="2:2">
      <c r="B3028" s="21">
        <f>IF(AND(C3028&lt;&gt;"", J3028&lt;&gt;""), HYPERLINK("#'" &amp; C3028 &amp; "'!" &amp; J3028, J3028), "")</f>
        <v>0</v>
      </c>
    </row>
    <row r="3029" spans="2:2">
      <c r="B3029" s="21">
        <f>IF(AND(C3029&lt;&gt;"", J3029&lt;&gt;""), HYPERLINK("#'" &amp; C3029 &amp; "'!" &amp; J3029, J3029), "")</f>
        <v>0</v>
      </c>
    </row>
    <row r="3030" spans="2:2">
      <c r="B3030" s="21">
        <f>IF(AND(C3030&lt;&gt;"", J3030&lt;&gt;""), HYPERLINK("#'" &amp; C3030 &amp; "'!" &amp; J3030, J3030), "")</f>
        <v>0</v>
      </c>
    </row>
    <row r="3031" spans="2:2">
      <c r="B3031" s="21">
        <f>IF(AND(C3031&lt;&gt;"", J3031&lt;&gt;""), HYPERLINK("#'" &amp; C3031 &amp; "'!" &amp; J3031, J3031), "")</f>
        <v>0</v>
      </c>
    </row>
    <row r="3032" spans="2:2">
      <c r="B3032" s="21">
        <f>IF(AND(C3032&lt;&gt;"", J3032&lt;&gt;""), HYPERLINK("#'" &amp; C3032 &amp; "'!" &amp; J3032, J3032), "")</f>
        <v>0</v>
      </c>
    </row>
    <row r="3033" spans="2:2">
      <c r="B3033" s="21">
        <f>IF(AND(C3033&lt;&gt;"", J3033&lt;&gt;""), HYPERLINK("#'" &amp; C3033 &amp; "'!" &amp; J3033, J3033), "")</f>
        <v>0</v>
      </c>
    </row>
    <row r="3034" spans="2:2">
      <c r="B3034" s="21">
        <f>IF(AND(C3034&lt;&gt;"", J3034&lt;&gt;""), HYPERLINK("#'" &amp; C3034 &amp; "'!" &amp; J3034, J3034), "")</f>
        <v>0</v>
      </c>
    </row>
    <row r="3035" spans="2:2">
      <c r="B3035" s="21">
        <f>IF(AND(C3035&lt;&gt;"", J3035&lt;&gt;""), HYPERLINK("#'" &amp; C3035 &amp; "'!" &amp; J3035, J3035), "")</f>
        <v>0</v>
      </c>
    </row>
    <row r="3036" spans="2:2">
      <c r="B3036" s="21">
        <f>IF(AND(C3036&lt;&gt;"", J3036&lt;&gt;""), HYPERLINK("#'" &amp; C3036 &amp; "'!" &amp; J3036, J3036), "")</f>
        <v>0</v>
      </c>
    </row>
    <row r="3037" spans="2:2">
      <c r="B3037" s="21">
        <f>IF(AND(C3037&lt;&gt;"", J3037&lt;&gt;""), HYPERLINK("#'" &amp; C3037 &amp; "'!" &amp; J3037, J3037), "")</f>
        <v>0</v>
      </c>
    </row>
    <row r="3038" spans="2:2">
      <c r="B3038" s="21">
        <f>IF(AND(C3038&lt;&gt;"", J3038&lt;&gt;""), HYPERLINK("#'" &amp; C3038 &amp; "'!" &amp; J3038, J3038), "")</f>
        <v>0</v>
      </c>
    </row>
    <row r="3039" spans="2:2">
      <c r="B3039" s="21">
        <f>IF(AND(C3039&lt;&gt;"", J3039&lt;&gt;""), HYPERLINK("#'" &amp; C3039 &amp; "'!" &amp; J3039, J3039), "")</f>
        <v>0</v>
      </c>
    </row>
    <row r="3040" spans="2:2">
      <c r="B3040" s="21">
        <f>IF(AND(C3040&lt;&gt;"", J3040&lt;&gt;""), HYPERLINK("#'" &amp; C3040 &amp; "'!" &amp; J3040, J3040), "")</f>
        <v>0</v>
      </c>
    </row>
    <row r="3041" spans="2:2">
      <c r="B3041" s="21">
        <f>IF(AND(C3041&lt;&gt;"", J3041&lt;&gt;""), HYPERLINK("#'" &amp; C3041 &amp; "'!" &amp; J3041, J3041), "")</f>
        <v>0</v>
      </c>
    </row>
    <row r="3042" spans="2:2">
      <c r="B3042" s="21">
        <f>IF(AND(C3042&lt;&gt;"", J3042&lt;&gt;""), HYPERLINK("#'" &amp; C3042 &amp; "'!" &amp; J3042, J3042), "")</f>
        <v>0</v>
      </c>
    </row>
    <row r="3043" spans="2:2">
      <c r="B3043" s="21">
        <f>IF(AND(C3043&lt;&gt;"", J3043&lt;&gt;""), HYPERLINK("#'" &amp; C3043 &amp; "'!" &amp; J3043, J3043), "")</f>
        <v>0</v>
      </c>
    </row>
    <row r="3044" spans="2:2">
      <c r="B3044" s="21">
        <f>IF(AND(C3044&lt;&gt;"", J3044&lt;&gt;""), HYPERLINK("#'" &amp; C3044 &amp; "'!" &amp; J3044, J3044), "")</f>
        <v>0</v>
      </c>
    </row>
    <row r="3045" spans="2:2">
      <c r="B3045" s="21">
        <f>IF(AND(C3045&lt;&gt;"", J3045&lt;&gt;""), HYPERLINK("#'" &amp; C3045 &amp; "'!" &amp; J3045, J3045), "")</f>
        <v>0</v>
      </c>
    </row>
    <row r="3046" spans="2:2">
      <c r="B3046" s="21">
        <f>IF(AND(C3046&lt;&gt;"", J3046&lt;&gt;""), HYPERLINK("#'" &amp; C3046 &amp; "'!" &amp; J3046, J3046), "")</f>
        <v>0</v>
      </c>
    </row>
    <row r="3047" spans="2:2">
      <c r="B3047" s="21">
        <f>IF(AND(C3047&lt;&gt;"", J3047&lt;&gt;""), HYPERLINK("#'" &amp; C3047 &amp; "'!" &amp; J3047, J3047), "")</f>
        <v>0</v>
      </c>
    </row>
    <row r="3048" spans="2:2">
      <c r="B3048" s="21">
        <f>IF(AND(C3048&lt;&gt;"", J3048&lt;&gt;""), HYPERLINK("#'" &amp; C3048 &amp; "'!" &amp; J3048, J3048), "")</f>
        <v>0</v>
      </c>
    </row>
    <row r="3049" spans="2:2">
      <c r="B3049" s="21">
        <f>IF(AND(C3049&lt;&gt;"", J3049&lt;&gt;""), HYPERLINK("#'" &amp; C3049 &amp; "'!" &amp; J3049, J3049), "")</f>
        <v>0</v>
      </c>
    </row>
    <row r="3050" spans="2:2">
      <c r="B3050" s="21">
        <f>IF(AND(C3050&lt;&gt;"", J3050&lt;&gt;""), HYPERLINK("#'" &amp; C3050 &amp; "'!" &amp; J3050, J3050), "")</f>
        <v>0</v>
      </c>
    </row>
    <row r="3051" spans="2:2">
      <c r="B3051" s="21">
        <f>IF(AND(C3051&lt;&gt;"", J3051&lt;&gt;""), HYPERLINK("#'" &amp; C3051 &amp; "'!" &amp; J3051, J3051), "")</f>
        <v>0</v>
      </c>
    </row>
    <row r="3052" spans="2:2">
      <c r="B3052" s="21">
        <f>IF(AND(C3052&lt;&gt;"", J3052&lt;&gt;""), HYPERLINK("#'" &amp; C3052 &amp; "'!" &amp; J3052, J3052), "")</f>
        <v>0</v>
      </c>
    </row>
    <row r="3053" spans="2:2">
      <c r="B3053" s="21">
        <f>IF(AND(C3053&lt;&gt;"", J3053&lt;&gt;""), HYPERLINK("#'" &amp; C3053 &amp; "'!" &amp; J3053, J3053), "")</f>
        <v>0</v>
      </c>
    </row>
    <row r="3054" spans="2:2">
      <c r="B3054" s="21">
        <f>IF(AND(C3054&lt;&gt;"", J3054&lt;&gt;""), HYPERLINK("#'" &amp; C3054 &amp; "'!" &amp; J3054, J3054), "")</f>
        <v>0</v>
      </c>
    </row>
    <row r="3055" spans="2:2">
      <c r="B3055" s="21">
        <f>IF(AND(C3055&lt;&gt;"", J3055&lt;&gt;""), HYPERLINK("#'" &amp; C3055 &amp; "'!" &amp; J3055, J3055), "")</f>
        <v>0</v>
      </c>
    </row>
    <row r="3056" spans="2:2">
      <c r="B3056" s="21">
        <f>IF(AND(C3056&lt;&gt;"", J3056&lt;&gt;""), HYPERLINK("#'" &amp; C3056 &amp; "'!" &amp; J3056, J3056), "")</f>
        <v>0</v>
      </c>
    </row>
    <row r="3057" spans="2:2">
      <c r="B3057" s="21">
        <f>IF(AND(C3057&lt;&gt;"", J3057&lt;&gt;""), HYPERLINK("#'" &amp; C3057 &amp; "'!" &amp; J3057, J3057), "")</f>
        <v>0</v>
      </c>
    </row>
    <row r="3058" spans="2:2">
      <c r="B3058" s="21">
        <f>IF(AND(C3058&lt;&gt;"", J3058&lt;&gt;""), HYPERLINK("#'" &amp; C3058 &amp; "'!" &amp; J3058, J3058), "")</f>
        <v>0</v>
      </c>
    </row>
    <row r="3059" spans="2:2">
      <c r="B3059" s="21">
        <f>IF(AND(C3059&lt;&gt;"", J3059&lt;&gt;""), HYPERLINK("#'" &amp; C3059 &amp; "'!" &amp; J3059, J3059), "")</f>
        <v>0</v>
      </c>
    </row>
    <row r="3060" spans="2:2">
      <c r="B3060" s="21">
        <f>IF(AND(C3060&lt;&gt;"", J3060&lt;&gt;""), HYPERLINK("#'" &amp; C3060 &amp; "'!" &amp; J3060, J3060), "")</f>
        <v>0</v>
      </c>
    </row>
    <row r="3061" spans="2:2">
      <c r="B3061" s="21">
        <f>IF(AND(C3061&lt;&gt;"", J3061&lt;&gt;""), HYPERLINK("#'" &amp; C3061 &amp; "'!" &amp; J3061, J3061), "")</f>
        <v>0</v>
      </c>
    </row>
    <row r="3062" spans="2:2">
      <c r="B3062" s="21">
        <f>IF(AND(C3062&lt;&gt;"", J3062&lt;&gt;""), HYPERLINK("#'" &amp; C3062 &amp; "'!" &amp; J3062, J3062), "")</f>
        <v>0</v>
      </c>
    </row>
    <row r="3063" spans="2:2">
      <c r="B3063" s="21">
        <f>IF(AND(C3063&lt;&gt;"", J3063&lt;&gt;""), HYPERLINK("#'" &amp; C3063 &amp; "'!" &amp; J3063, J3063), "")</f>
        <v>0</v>
      </c>
    </row>
    <row r="3064" spans="2:2">
      <c r="B3064" s="21">
        <f>IF(AND(C3064&lt;&gt;"", J3064&lt;&gt;""), HYPERLINK("#'" &amp; C3064 &amp; "'!" &amp; J3064, J3064), "")</f>
        <v>0</v>
      </c>
    </row>
    <row r="3065" spans="2:2">
      <c r="B3065" s="21">
        <f>IF(AND(C3065&lt;&gt;"", J3065&lt;&gt;""), HYPERLINK("#'" &amp; C3065 &amp; "'!" &amp; J3065, J3065), "")</f>
        <v>0</v>
      </c>
    </row>
    <row r="3066" spans="2:2">
      <c r="B3066" s="21">
        <f>IF(AND(C3066&lt;&gt;"", J3066&lt;&gt;""), HYPERLINK("#'" &amp; C3066 &amp; "'!" &amp; J3066, J3066), "")</f>
        <v>0</v>
      </c>
    </row>
    <row r="3067" spans="2:2">
      <c r="B3067" s="21">
        <f>IF(AND(C3067&lt;&gt;"", J3067&lt;&gt;""), HYPERLINK("#'" &amp; C3067 &amp; "'!" &amp; J3067, J3067), "")</f>
        <v>0</v>
      </c>
    </row>
    <row r="3068" spans="2:2">
      <c r="B3068" s="21">
        <f>IF(AND(C3068&lt;&gt;"", J3068&lt;&gt;""), HYPERLINK("#'" &amp; C3068 &amp; "'!" &amp; J3068, J3068), "")</f>
        <v>0</v>
      </c>
    </row>
    <row r="3069" spans="2:2">
      <c r="B3069" s="21">
        <f>IF(AND(C3069&lt;&gt;"", J3069&lt;&gt;""), HYPERLINK("#'" &amp; C3069 &amp; "'!" &amp; J3069, J3069), "")</f>
        <v>0</v>
      </c>
    </row>
    <row r="3070" spans="2:2">
      <c r="B3070" s="21">
        <f>IF(AND(C3070&lt;&gt;"", J3070&lt;&gt;""), HYPERLINK("#'" &amp; C3070 &amp; "'!" &amp; J3070, J3070), "")</f>
        <v>0</v>
      </c>
    </row>
    <row r="3071" spans="2:2">
      <c r="B3071" s="21">
        <f>IF(AND(C3071&lt;&gt;"", J3071&lt;&gt;""), HYPERLINK("#'" &amp; C3071 &amp; "'!" &amp; J3071, J3071), "")</f>
        <v>0</v>
      </c>
    </row>
    <row r="3072" spans="2:2">
      <c r="B3072" s="21">
        <f>IF(AND(C3072&lt;&gt;"", J3072&lt;&gt;""), HYPERLINK("#'" &amp; C3072 &amp; "'!" &amp; J3072, J3072), "")</f>
        <v>0</v>
      </c>
    </row>
    <row r="3073" spans="2:2">
      <c r="B3073" s="21">
        <f>IF(AND(C3073&lt;&gt;"", J3073&lt;&gt;""), HYPERLINK("#'" &amp; C3073 &amp; "'!" &amp; J3073, J3073), "")</f>
        <v>0</v>
      </c>
    </row>
    <row r="3074" spans="2:2">
      <c r="B3074" s="21">
        <f>IF(AND(C3074&lt;&gt;"", J3074&lt;&gt;""), HYPERLINK("#'" &amp; C3074 &amp; "'!" &amp; J3074, J3074), "")</f>
        <v>0</v>
      </c>
    </row>
    <row r="3075" spans="2:2">
      <c r="B3075" s="21">
        <f>IF(AND(C3075&lt;&gt;"", J3075&lt;&gt;""), HYPERLINK("#'" &amp; C3075 &amp; "'!" &amp; J3075, J3075), "")</f>
        <v>0</v>
      </c>
    </row>
    <row r="3076" spans="2:2">
      <c r="B3076" s="21">
        <f>IF(AND(C3076&lt;&gt;"", J3076&lt;&gt;""), HYPERLINK("#'" &amp; C3076 &amp; "'!" &amp; J3076, J3076), "")</f>
        <v>0</v>
      </c>
    </row>
    <row r="3077" spans="2:2">
      <c r="B3077" s="21">
        <f>IF(AND(C3077&lt;&gt;"", J3077&lt;&gt;""), HYPERLINK("#'" &amp; C3077 &amp; "'!" &amp; J3077, J3077), "")</f>
        <v>0</v>
      </c>
    </row>
    <row r="3078" spans="2:2">
      <c r="B3078" s="21">
        <f>IF(AND(C3078&lt;&gt;"", J3078&lt;&gt;""), HYPERLINK("#'" &amp; C3078 &amp; "'!" &amp; J3078, J3078), "")</f>
        <v>0</v>
      </c>
    </row>
    <row r="3079" spans="2:2">
      <c r="B3079" s="21">
        <f>IF(AND(C3079&lt;&gt;"", J3079&lt;&gt;""), HYPERLINK("#'" &amp; C3079 &amp; "'!" &amp; J3079, J3079), "")</f>
        <v>0</v>
      </c>
    </row>
    <row r="3080" spans="2:2">
      <c r="B3080" s="21">
        <f>IF(AND(C3080&lt;&gt;"", J3080&lt;&gt;""), HYPERLINK("#'" &amp; C3080 &amp; "'!" &amp; J3080, J3080), "")</f>
        <v>0</v>
      </c>
    </row>
    <row r="3081" spans="2:2">
      <c r="B3081" s="21">
        <f>IF(AND(C3081&lt;&gt;"", J3081&lt;&gt;""), HYPERLINK("#'" &amp; C3081 &amp; "'!" &amp; J3081, J3081), "")</f>
        <v>0</v>
      </c>
    </row>
    <row r="3082" spans="2:2">
      <c r="B3082" s="21">
        <f>IF(AND(C3082&lt;&gt;"", J3082&lt;&gt;""), HYPERLINK("#'" &amp; C3082 &amp; "'!" &amp; J3082, J3082), "")</f>
        <v>0</v>
      </c>
    </row>
    <row r="3083" spans="2:2">
      <c r="B3083" s="21">
        <f>IF(AND(C3083&lt;&gt;"", J3083&lt;&gt;""), HYPERLINK("#'" &amp; C3083 &amp; "'!" &amp; J3083, J3083), "")</f>
        <v>0</v>
      </c>
    </row>
    <row r="3084" spans="2:2">
      <c r="B3084" s="21">
        <f>IF(AND(C3084&lt;&gt;"", J3084&lt;&gt;""), HYPERLINK("#'" &amp; C3084 &amp; "'!" &amp; J3084, J3084), "")</f>
        <v>0</v>
      </c>
    </row>
    <row r="3085" spans="2:2">
      <c r="B3085" s="21">
        <f>IF(AND(C3085&lt;&gt;"", J3085&lt;&gt;""), HYPERLINK("#'" &amp; C3085 &amp; "'!" &amp; J3085, J3085), "")</f>
        <v>0</v>
      </c>
    </row>
    <row r="3086" spans="2:2">
      <c r="B3086" s="21">
        <f>IF(AND(C3086&lt;&gt;"", J3086&lt;&gt;""), HYPERLINK("#'" &amp; C3086 &amp; "'!" &amp; J3086, J3086), "")</f>
        <v>0</v>
      </c>
    </row>
    <row r="3087" spans="2:2">
      <c r="B3087" s="21">
        <f>IF(AND(C3087&lt;&gt;"", J3087&lt;&gt;""), HYPERLINK("#'" &amp; C3087 &amp; "'!" &amp; J3087, J3087), "")</f>
        <v>0</v>
      </c>
    </row>
    <row r="3088" spans="2:2">
      <c r="B3088" s="21">
        <f>IF(AND(C3088&lt;&gt;"", J3088&lt;&gt;""), HYPERLINK("#'" &amp; C3088 &amp; "'!" &amp; J3088, J3088), "")</f>
        <v>0</v>
      </c>
    </row>
    <row r="3089" spans="2:2">
      <c r="B3089" s="21">
        <f>IF(AND(C3089&lt;&gt;"", J3089&lt;&gt;""), HYPERLINK("#'" &amp; C3089 &amp; "'!" &amp; J3089, J3089), "")</f>
        <v>0</v>
      </c>
    </row>
    <row r="3090" spans="2:2">
      <c r="B3090" s="21">
        <f>IF(AND(C3090&lt;&gt;"", J3090&lt;&gt;""), HYPERLINK("#'" &amp; C3090 &amp; "'!" &amp; J3090, J3090), "")</f>
        <v>0</v>
      </c>
    </row>
    <row r="3091" spans="2:2">
      <c r="B3091" s="21">
        <f>IF(AND(C3091&lt;&gt;"", J3091&lt;&gt;""), HYPERLINK("#'" &amp; C3091 &amp; "'!" &amp; J3091, J3091), "")</f>
        <v>0</v>
      </c>
    </row>
    <row r="3092" spans="2:2">
      <c r="B3092" s="21">
        <f>IF(AND(C3092&lt;&gt;"", J3092&lt;&gt;""), HYPERLINK("#'" &amp; C3092 &amp; "'!" &amp; J3092, J3092), "")</f>
        <v>0</v>
      </c>
    </row>
    <row r="3093" spans="2:2">
      <c r="B3093" s="21">
        <f>IF(AND(C3093&lt;&gt;"", J3093&lt;&gt;""), HYPERLINK("#'" &amp; C3093 &amp; "'!" &amp; J3093, J3093), "")</f>
        <v>0</v>
      </c>
    </row>
    <row r="3094" spans="2:2">
      <c r="B3094" s="21">
        <f>IF(AND(C3094&lt;&gt;"", J3094&lt;&gt;""), HYPERLINK("#'" &amp; C3094 &amp; "'!" &amp; J3094, J3094), "")</f>
        <v>0</v>
      </c>
    </row>
    <row r="3095" spans="2:2">
      <c r="B3095" s="21">
        <f>IF(AND(C3095&lt;&gt;"", J3095&lt;&gt;""), HYPERLINK("#'" &amp; C3095 &amp; "'!" &amp; J3095, J3095), "")</f>
        <v>0</v>
      </c>
    </row>
    <row r="3096" spans="2:2">
      <c r="B3096" s="21">
        <f>IF(AND(C3096&lt;&gt;"", J3096&lt;&gt;""), HYPERLINK("#'" &amp; C3096 &amp; "'!" &amp; J3096, J3096), "")</f>
        <v>0</v>
      </c>
    </row>
    <row r="3097" spans="2:2">
      <c r="B3097" s="21">
        <f>IF(AND(C3097&lt;&gt;"", J3097&lt;&gt;""), HYPERLINK("#'" &amp; C3097 &amp; "'!" &amp; J3097, J3097), "")</f>
        <v>0</v>
      </c>
    </row>
    <row r="3098" spans="2:2">
      <c r="B3098" s="21">
        <f>IF(AND(C3098&lt;&gt;"", J3098&lt;&gt;""), HYPERLINK("#'" &amp; C3098 &amp; "'!" &amp; J3098, J3098), "")</f>
        <v>0</v>
      </c>
    </row>
    <row r="3099" spans="2:2">
      <c r="B3099" s="21">
        <f>IF(AND(C3099&lt;&gt;"", J3099&lt;&gt;""), HYPERLINK("#'" &amp; C3099 &amp; "'!" &amp; J3099, J3099), "")</f>
        <v>0</v>
      </c>
    </row>
    <row r="3100" spans="2:2">
      <c r="B3100" s="21">
        <f>IF(AND(C3100&lt;&gt;"", J3100&lt;&gt;""), HYPERLINK("#'" &amp; C3100 &amp; "'!" &amp; J3100, J3100), "")</f>
        <v>0</v>
      </c>
    </row>
    <row r="3101" spans="2:2">
      <c r="B3101" s="21">
        <f>IF(AND(C3101&lt;&gt;"", J3101&lt;&gt;""), HYPERLINK("#'" &amp; C3101 &amp; "'!" &amp; J3101, J3101), "")</f>
        <v>0</v>
      </c>
    </row>
    <row r="3102" spans="2:2">
      <c r="B3102" s="21">
        <f>IF(AND(C3102&lt;&gt;"", J3102&lt;&gt;""), HYPERLINK("#'" &amp; C3102 &amp; "'!" &amp; J3102, J3102), "")</f>
        <v>0</v>
      </c>
    </row>
    <row r="3103" spans="2:2">
      <c r="B3103" s="21">
        <f>IF(AND(C3103&lt;&gt;"", J3103&lt;&gt;""), HYPERLINK("#'" &amp; C3103 &amp; "'!" &amp; J3103, J3103), "")</f>
        <v>0</v>
      </c>
    </row>
    <row r="3104" spans="2:2">
      <c r="B3104" s="21">
        <f>IF(AND(C3104&lt;&gt;"", J3104&lt;&gt;""), HYPERLINK("#'" &amp; C3104 &amp; "'!" &amp; J3104, J3104), "")</f>
        <v>0</v>
      </c>
    </row>
    <row r="3105" spans="2:2">
      <c r="B3105" s="21">
        <f>IF(AND(C3105&lt;&gt;"", J3105&lt;&gt;""), HYPERLINK("#'" &amp; C3105 &amp; "'!" &amp; J3105, J3105), "")</f>
        <v>0</v>
      </c>
    </row>
    <row r="3106" spans="2:2">
      <c r="B3106" s="21">
        <f>IF(AND(C3106&lt;&gt;"", J3106&lt;&gt;""), HYPERLINK("#'" &amp; C3106 &amp; "'!" &amp; J3106, J3106), "")</f>
        <v>0</v>
      </c>
    </row>
    <row r="3107" spans="2:2">
      <c r="B3107" s="21">
        <f>IF(AND(C3107&lt;&gt;"", J3107&lt;&gt;""), HYPERLINK("#'" &amp; C3107 &amp; "'!" &amp; J3107, J3107), "")</f>
        <v>0</v>
      </c>
    </row>
    <row r="3108" spans="2:2">
      <c r="B3108" s="21">
        <f>IF(AND(C3108&lt;&gt;"", J3108&lt;&gt;""), HYPERLINK("#'" &amp; C3108 &amp; "'!" &amp; J3108, J3108), "")</f>
        <v>0</v>
      </c>
    </row>
    <row r="3109" spans="2:2">
      <c r="B3109" s="21">
        <f>IF(AND(C3109&lt;&gt;"", J3109&lt;&gt;""), HYPERLINK("#'" &amp; C3109 &amp; "'!" &amp; J3109, J3109), "")</f>
        <v>0</v>
      </c>
    </row>
    <row r="3110" spans="2:2">
      <c r="B3110" s="21">
        <f>IF(AND(C3110&lt;&gt;"", J3110&lt;&gt;""), HYPERLINK("#'" &amp; C3110 &amp; "'!" &amp; J3110, J3110), "")</f>
        <v>0</v>
      </c>
    </row>
    <row r="3111" spans="2:2">
      <c r="B3111" s="21">
        <f>IF(AND(C3111&lt;&gt;"", J3111&lt;&gt;""), HYPERLINK("#'" &amp; C3111 &amp; "'!" &amp; J3111, J3111), "")</f>
        <v>0</v>
      </c>
    </row>
    <row r="3112" spans="2:2">
      <c r="B3112" s="21">
        <f>IF(AND(C3112&lt;&gt;"", J3112&lt;&gt;""), HYPERLINK("#'" &amp; C3112 &amp; "'!" &amp; J3112, J3112), "")</f>
        <v>0</v>
      </c>
    </row>
    <row r="3113" spans="2:2">
      <c r="B3113" s="21">
        <f>IF(AND(C3113&lt;&gt;"", J3113&lt;&gt;""), HYPERLINK("#'" &amp; C3113 &amp; "'!" &amp; J3113, J3113), "")</f>
        <v>0</v>
      </c>
    </row>
    <row r="3114" spans="2:2">
      <c r="B3114" s="21">
        <f>IF(AND(C3114&lt;&gt;"", J3114&lt;&gt;""), HYPERLINK("#'" &amp; C3114 &amp; "'!" &amp; J3114, J3114), "")</f>
        <v>0</v>
      </c>
    </row>
    <row r="3115" spans="2:2">
      <c r="B3115" s="21">
        <f>IF(AND(C3115&lt;&gt;"", J3115&lt;&gt;""), HYPERLINK("#'" &amp; C3115 &amp; "'!" &amp; J3115, J3115), "")</f>
        <v>0</v>
      </c>
    </row>
    <row r="3116" spans="2:2">
      <c r="B3116" s="21">
        <f>IF(AND(C3116&lt;&gt;"", J3116&lt;&gt;""), HYPERLINK("#'" &amp; C3116 &amp; "'!" &amp; J3116, J3116), "")</f>
        <v>0</v>
      </c>
    </row>
    <row r="3117" spans="2:2">
      <c r="B3117" s="21">
        <f>IF(AND(C3117&lt;&gt;"", J3117&lt;&gt;""), HYPERLINK("#'" &amp; C3117 &amp; "'!" &amp; J3117, J3117), "")</f>
        <v>0</v>
      </c>
    </row>
    <row r="3118" spans="2:2">
      <c r="B3118" s="21">
        <f>IF(AND(C3118&lt;&gt;"", J3118&lt;&gt;""), HYPERLINK("#'" &amp; C3118 &amp; "'!" &amp; J3118, J3118), "")</f>
        <v>0</v>
      </c>
    </row>
    <row r="3119" spans="2:2">
      <c r="B3119" s="21">
        <f>IF(AND(C3119&lt;&gt;"", J3119&lt;&gt;""), HYPERLINK("#'" &amp; C3119 &amp; "'!" &amp; J3119, J3119), "")</f>
        <v>0</v>
      </c>
    </row>
    <row r="3120" spans="2:2">
      <c r="B3120" s="21">
        <f>IF(AND(C3120&lt;&gt;"", J3120&lt;&gt;""), HYPERLINK("#'" &amp; C3120 &amp; "'!" &amp; J3120, J3120), "")</f>
        <v>0</v>
      </c>
    </row>
    <row r="3121" spans="2:2">
      <c r="B3121" s="21">
        <f>IF(AND(C3121&lt;&gt;"", J3121&lt;&gt;""), HYPERLINK("#'" &amp; C3121 &amp; "'!" &amp; J3121, J3121), "")</f>
        <v>0</v>
      </c>
    </row>
    <row r="3122" spans="2:2">
      <c r="B3122" s="21">
        <f>IF(AND(C3122&lt;&gt;"", J3122&lt;&gt;""), HYPERLINK("#'" &amp; C3122 &amp; "'!" &amp; J3122, J3122), "")</f>
        <v>0</v>
      </c>
    </row>
    <row r="3123" spans="2:2">
      <c r="B3123" s="21">
        <f>IF(AND(C3123&lt;&gt;"", J3123&lt;&gt;""), HYPERLINK("#'" &amp; C3123 &amp; "'!" &amp; J3123, J3123), "")</f>
        <v>0</v>
      </c>
    </row>
    <row r="3124" spans="2:2">
      <c r="B3124" s="21">
        <f>IF(AND(C3124&lt;&gt;"", J3124&lt;&gt;""), HYPERLINK("#'" &amp; C3124 &amp; "'!" &amp; J3124, J3124), "")</f>
        <v>0</v>
      </c>
    </row>
    <row r="3125" spans="2:2">
      <c r="B3125" s="21">
        <f>IF(AND(C3125&lt;&gt;"", J3125&lt;&gt;""), HYPERLINK("#'" &amp; C3125 &amp; "'!" &amp; J3125, J3125), "")</f>
        <v>0</v>
      </c>
    </row>
    <row r="3126" spans="2:2">
      <c r="B3126" s="21">
        <f>IF(AND(C3126&lt;&gt;"", J3126&lt;&gt;""), HYPERLINK("#'" &amp; C3126 &amp; "'!" &amp; J3126, J3126), "")</f>
        <v>0</v>
      </c>
    </row>
    <row r="3127" spans="2:2">
      <c r="B3127" s="21">
        <f>IF(AND(C3127&lt;&gt;"", J3127&lt;&gt;""), HYPERLINK("#'" &amp; C3127 &amp; "'!" &amp; J3127, J3127), "")</f>
        <v>0</v>
      </c>
    </row>
    <row r="3128" spans="2:2">
      <c r="B3128" s="21">
        <f>IF(AND(C3128&lt;&gt;"", J3128&lt;&gt;""), HYPERLINK("#'" &amp; C3128 &amp; "'!" &amp; J3128, J3128), "")</f>
        <v>0</v>
      </c>
    </row>
    <row r="3129" spans="2:2">
      <c r="B3129" s="21">
        <f>IF(AND(C3129&lt;&gt;"", J3129&lt;&gt;""), HYPERLINK("#'" &amp; C3129 &amp; "'!" &amp; J3129, J3129), "")</f>
        <v>0</v>
      </c>
    </row>
    <row r="3130" spans="2:2">
      <c r="B3130" s="21">
        <f>IF(AND(C3130&lt;&gt;"", J3130&lt;&gt;""), HYPERLINK("#'" &amp; C3130 &amp; "'!" &amp; J3130, J3130), "")</f>
        <v>0</v>
      </c>
    </row>
    <row r="3131" spans="2:2">
      <c r="B3131" s="21">
        <f>IF(AND(C3131&lt;&gt;"", J3131&lt;&gt;""), HYPERLINK("#'" &amp; C3131 &amp; "'!" &amp; J3131, J3131), "")</f>
        <v>0</v>
      </c>
    </row>
    <row r="3132" spans="2:2">
      <c r="B3132" s="21">
        <f>IF(AND(C3132&lt;&gt;"", J3132&lt;&gt;""), HYPERLINK("#'" &amp; C3132 &amp; "'!" &amp; J3132, J3132), "")</f>
        <v>0</v>
      </c>
    </row>
    <row r="3133" spans="2:2">
      <c r="B3133" s="21">
        <f>IF(AND(C3133&lt;&gt;"", J3133&lt;&gt;""), HYPERLINK("#'" &amp; C3133 &amp; "'!" &amp; J3133, J3133), "")</f>
        <v>0</v>
      </c>
    </row>
    <row r="3134" spans="2:2">
      <c r="B3134" s="21">
        <f>IF(AND(C3134&lt;&gt;"", J3134&lt;&gt;""), HYPERLINK("#'" &amp; C3134 &amp; "'!" &amp; J3134, J3134), "")</f>
        <v>0</v>
      </c>
    </row>
    <row r="3135" spans="2:2">
      <c r="B3135" s="21">
        <f>IF(AND(C3135&lt;&gt;"", J3135&lt;&gt;""), HYPERLINK("#'" &amp; C3135 &amp; "'!" &amp; J3135, J3135), "")</f>
        <v>0</v>
      </c>
    </row>
    <row r="3136" spans="2:2">
      <c r="B3136" s="21">
        <f>IF(AND(C3136&lt;&gt;"", J3136&lt;&gt;""), HYPERLINK("#'" &amp; C3136 &amp; "'!" &amp; J3136, J3136), "")</f>
        <v>0</v>
      </c>
    </row>
    <row r="3137" spans="2:2">
      <c r="B3137" s="21">
        <f>IF(AND(C3137&lt;&gt;"", J3137&lt;&gt;""), HYPERLINK("#'" &amp; C3137 &amp; "'!" &amp; J3137, J3137), "")</f>
        <v>0</v>
      </c>
    </row>
    <row r="3138" spans="2:2">
      <c r="B3138" s="21">
        <f>IF(AND(C3138&lt;&gt;"", J3138&lt;&gt;""), HYPERLINK("#'" &amp; C3138 &amp; "'!" &amp; J3138, J3138), "")</f>
        <v>0</v>
      </c>
    </row>
    <row r="3139" spans="2:2">
      <c r="B3139" s="21">
        <f>IF(AND(C3139&lt;&gt;"", J3139&lt;&gt;""), HYPERLINK("#'" &amp; C3139 &amp; "'!" &amp; J3139, J3139), "")</f>
        <v>0</v>
      </c>
    </row>
    <row r="3140" spans="2:2">
      <c r="B3140" s="21">
        <f>IF(AND(C3140&lt;&gt;"", J3140&lt;&gt;""), HYPERLINK("#'" &amp; C3140 &amp; "'!" &amp; J3140, J3140), "")</f>
        <v>0</v>
      </c>
    </row>
    <row r="3141" spans="2:2">
      <c r="B3141" s="21">
        <f>IF(AND(C3141&lt;&gt;"", J3141&lt;&gt;""), HYPERLINK("#'" &amp; C3141 &amp; "'!" &amp; J3141, J3141), "")</f>
        <v>0</v>
      </c>
    </row>
    <row r="3142" spans="2:2">
      <c r="B3142" s="21">
        <f>IF(AND(C3142&lt;&gt;"", J3142&lt;&gt;""), HYPERLINK("#'" &amp; C3142 &amp; "'!" &amp; J3142, J3142), "")</f>
        <v>0</v>
      </c>
    </row>
    <row r="3143" spans="2:2">
      <c r="B3143" s="21">
        <f>IF(AND(C3143&lt;&gt;"", J3143&lt;&gt;""), HYPERLINK("#'" &amp; C3143 &amp; "'!" &amp; J3143, J3143), "")</f>
        <v>0</v>
      </c>
    </row>
    <row r="3144" spans="2:2">
      <c r="B3144" s="21">
        <f>IF(AND(C3144&lt;&gt;"", J3144&lt;&gt;""), HYPERLINK("#'" &amp; C3144 &amp; "'!" &amp; J3144, J3144), "")</f>
        <v>0</v>
      </c>
    </row>
    <row r="3145" spans="2:2">
      <c r="B3145" s="21">
        <f>IF(AND(C3145&lt;&gt;"", J3145&lt;&gt;""), HYPERLINK("#'" &amp; C3145 &amp; "'!" &amp; J3145, J3145), "")</f>
        <v>0</v>
      </c>
    </row>
    <row r="3146" spans="2:2">
      <c r="B3146" s="21">
        <f>IF(AND(C3146&lt;&gt;"", J3146&lt;&gt;""), HYPERLINK("#'" &amp; C3146 &amp; "'!" &amp; J3146, J3146), "")</f>
        <v>0</v>
      </c>
    </row>
    <row r="3147" spans="2:2">
      <c r="B3147" s="21">
        <f>IF(AND(C3147&lt;&gt;"", J3147&lt;&gt;""), HYPERLINK("#'" &amp; C3147 &amp; "'!" &amp; J3147, J3147), "")</f>
        <v>0</v>
      </c>
    </row>
    <row r="3148" spans="2:2">
      <c r="B3148" s="21">
        <f>IF(AND(C3148&lt;&gt;"", J3148&lt;&gt;""), HYPERLINK("#'" &amp; C3148 &amp; "'!" &amp; J3148, J3148), "")</f>
        <v>0</v>
      </c>
    </row>
    <row r="3149" spans="2:2">
      <c r="B3149" s="21">
        <f>IF(AND(C3149&lt;&gt;"", J3149&lt;&gt;""), HYPERLINK("#'" &amp; C3149 &amp; "'!" &amp; J3149, J3149), "")</f>
        <v>0</v>
      </c>
    </row>
    <row r="3150" spans="2:2">
      <c r="B3150" s="21">
        <f>IF(AND(C3150&lt;&gt;"", J3150&lt;&gt;""), HYPERLINK("#'" &amp; C3150 &amp; "'!" &amp; J3150, J3150), "")</f>
        <v>0</v>
      </c>
    </row>
    <row r="3151" spans="2:2">
      <c r="B3151" s="21">
        <f>IF(AND(C3151&lt;&gt;"", J3151&lt;&gt;""), HYPERLINK("#'" &amp; C3151 &amp; "'!" &amp; J3151, J3151), "")</f>
        <v>0</v>
      </c>
    </row>
    <row r="3152" spans="2:2">
      <c r="B3152" s="21">
        <f>IF(AND(C3152&lt;&gt;"", J3152&lt;&gt;""), HYPERLINK("#'" &amp; C3152 &amp; "'!" &amp; J3152, J3152), "")</f>
        <v>0</v>
      </c>
    </row>
    <row r="3153" spans="2:2">
      <c r="B3153" s="21">
        <f>IF(AND(C3153&lt;&gt;"", J3153&lt;&gt;""), HYPERLINK("#'" &amp; C3153 &amp; "'!" &amp; J3153, J3153), "")</f>
        <v>0</v>
      </c>
    </row>
    <row r="3154" spans="2:2">
      <c r="B3154" s="21">
        <f>IF(AND(C3154&lt;&gt;"", J3154&lt;&gt;""), HYPERLINK("#'" &amp; C3154 &amp; "'!" &amp; J3154, J3154), "")</f>
        <v>0</v>
      </c>
    </row>
    <row r="3155" spans="2:2">
      <c r="B3155" s="21">
        <f>IF(AND(C3155&lt;&gt;"", J3155&lt;&gt;""), HYPERLINK("#'" &amp; C3155 &amp; "'!" &amp; J3155, J3155), "")</f>
        <v>0</v>
      </c>
    </row>
    <row r="3156" spans="2:2">
      <c r="B3156" s="21">
        <f>IF(AND(C3156&lt;&gt;"", J3156&lt;&gt;""), HYPERLINK("#'" &amp; C3156 &amp; "'!" &amp; J3156, J3156), "")</f>
        <v>0</v>
      </c>
    </row>
    <row r="3157" spans="2:2">
      <c r="B3157" s="21">
        <f>IF(AND(C3157&lt;&gt;"", J3157&lt;&gt;""), HYPERLINK("#'" &amp; C3157 &amp; "'!" &amp; J3157, J3157), "")</f>
        <v>0</v>
      </c>
    </row>
    <row r="3158" spans="2:2">
      <c r="B3158" s="21">
        <f>IF(AND(C3158&lt;&gt;"", J3158&lt;&gt;""), HYPERLINK("#'" &amp; C3158 &amp; "'!" &amp; J3158, J3158), "")</f>
        <v>0</v>
      </c>
    </row>
    <row r="3159" spans="2:2">
      <c r="B3159" s="21">
        <f>IF(AND(C3159&lt;&gt;"", J3159&lt;&gt;""), HYPERLINK("#'" &amp; C3159 &amp; "'!" &amp; J3159, J3159), "")</f>
        <v>0</v>
      </c>
    </row>
    <row r="3160" spans="2:2">
      <c r="B3160" s="21">
        <f>IF(AND(C3160&lt;&gt;"", J3160&lt;&gt;""), HYPERLINK("#'" &amp; C3160 &amp; "'!" &amp; J3160, J3160), "")</f>
        <v>0</v>
      </c>
    </row>
    <row r="3161" spans="2:2">
      <c r="B3161" s="21">
        <f>IF(AND(C3161&lt;&gt;"", J3161&lt;&gt;""), HYPERLINK("#'" &amp; C3161 &amp; "'!" &amp; J3161, J3161), "")</f>
        <v>0</v>
      </c>
    </row>
    <row r="3162" spans="2:2">
      <c r="B3162" s="21">
        <f>IF(AND(C3162&lt;&gt;"", J3162&lt;&gt;""), HYPERLINK("#'" &amp; C3162 &amp; "'!" &amp; J3162, J3162), "")</f>
        <v>0</v>
      </c>
    </row>
    <row r="3163" spans="2:2">
      <c r="B3163" s="21">
        <f>IF(AND(C3163&lt;&gt;"", J3163&lt;&gt;""), HYPERLINK("#'" &amp; C3163 &amp; "'!" &amp; J3163, J3163), "")</f>
        <v>0</v>
      </c>
    </row>
    <row r="3164" spans="2:2">
      <c r="B3164" s="21">
        <f>IF(AND(C3164&lt;&gt;"", J3164&lt;&gt;""), HYPERLINK("#'" &amp; C3164 &amp; "'!" &amp; J3164, J3164), "")</f>
        <v>0</v>
      </c>
    </row>
    <row r="3165" spans="2:2">
      <c r="B3165" s="21">
        <f>IF(AND(C3165&lt;&gt;"", J3165&lt;&gt;""), HYPERLINK("#'" &amp; C3165 &amp; "'!" &amp; J3165, J3165), "")</f>
        <v>0</v>
      </c>
    </row>
    <row r="3166" spans="2:2">
      <c r="B3166" s="21">
        <f>IF(AND(C3166&lt;&gt;"", J3166&lt;&gt;""), HYPERLINK("#'" &amp; C3166 &amp; "'!" &amp; J3166, J3166), "")</f>
        <v>0</v>
      </c>
    </row>
    <row r="3167" spans="2:2">
      <c r="B3167" s="21">
        <f>IF(AND(C3167&lt;&gt;"", J3167&lt;&gt;""), HYPERLINK("#'" &amp; C3167 &amp; "'!" &amp; J3167, J3167), "")</f>
        <v>0</v>
      </c>
    </row>
    <row r="3168" spans="2:2">
      <c r="B3168" s="21">
        <f>IF(AND(C3168&lt;&gt;"", J3168&lt;&gt;""), HYPERLINK("#'" &amp; C3168 &amp; "'!" &amp; J3168, J3168), "")</f>
        <v>0</v>
      </c>
    </row>
    <row r="3169" spans="2:2">
      <c r="B3169" s="21">
        <f>IF(AND(C3169&lt;&gt;"", J3169&lt;&gt;""), HYPERLINK("#'" &amp; C3169 &amp; "'!" &amp; J3169, J3169), "")</f>
        <v>0</v>
      </c>
    </row>
    <row r="3170" spans="2:2">
      <c r="B3170" s="21">
        <f>IF(AND(C3170&lt;&gt;"", J3170&lt;&gt;""), HYPERLINK("#'" &amp; C3170 &amp; "'!" &amp; J3170, J3170), "")</f>
        <v>0</v>
      </c>
    </row>
    <row r="3171" spans="2:2">
      <c r="B3171" s="21">
        <f>IF(AND(C3171&lt;&gt;"", J3171&lt;&gt;""), HYPERLINK("#'" &amp; C3171 &amp; "'!" &amp; J3171, J3171), "")</f>
        <v>0</v>
      </c>
    </row>
    <row r="3172" spans="2:2">
      <c r="B3172" s="21">
        <f>IF(AND(C3172&lt;&gt;"", J3172&lt;&gt;""), HYPERLINK("#'" &amp; C3172 &amp; "'!" &amp; J3172, J3172), "")</f>
        <v>0</v>
      </c>
    </row>
    <row r="3173" spans="2:2">
      <c r="B3173" s="21">
        <f>IF(AND(C3173&lt;&gt;"", J3173&lt;&gt;""), HYPERLINK("#'" &amp; C3173 &amp; "'!" &amp; J3173, J3173), "")</f>
        <v>0</v>
      </c>
    </row>
    <row r="3174" spans="2:2">
      <c r="B3174" s="21">
        <f>IF(AND(C3174&lt;&gt;"", J3174&lt;&gt;""), HYPERLINK("#'" &amp; C3174 &amp; "'!" &amp; J3174, J3174), "")</f>
        <v>0</v>
      </c>
    </row>
    <row r="3175" spans="2:2">
      <c r="B3175" s="21">
        <f>IF(AND(C3175&lt;&gt;"", J3175&lt;&gt;""), HYPERLINK("#'" &amp; C3175 &amp; "'!" &amp; J3175, J3175), "")</f>
        <v>0</v>
      </c>
    </row>
    <row r="3176" spans="2:2">
      <c r="B3176" s="21">
        <f>IF(AND(C3176&lt;&gt;"", J3176&lt;&gt;""), HYPERLINK("#'" &amp; C3176 &amp; "'!" &amp; J3176, J3176), "")</f>
        <v>0</v>
      </c>
    </row>
    <row r="3177" spans="2:2">
      <c r="B3177" s="21">
        <f>IF(AND(C3177&lt;&gt;"", J3177&lt;&gt;""), HYPERLINK("#'" &amp; C3177 &amp; "'!" &amp; J3177, J3177), "")</f>
        <v>0</v>
      </c>
    </row>
    <row r="3178" spans="2:2">
      <c r="B3178" s="21">
        <f>IF(AND(C3178&lt;&gt;"", J3178&lt;&gt;""), HYPERLINK("#'" &amp; C3178 &amp; "'!" &amp; J3178, J3178), "")</f>
        <v>0</v>
      </c>
    </row>
    <row r="3179" spans="2:2">
      <c r="B3179" s="21">
        <f>IF(AND(C3179&lt;&gt;"", J3179&lt;&gt;""), HYPERLINK("#'" &amp; C3179 &amp; "'!" &amp; J3179, J3179), "")</f>
        <v>0</v>
      </c>
    </row>
    <row r="3180" spans="2:2">
      <c r="B3180" s="21">
        <f>IF(AND(C3180&lt;&gt;"", J3180&lt;&gt;""), HYPERLINK("#'" &amp; C3180 &amp; "'!" &amp; J3180, J3180), "")</f>
        <v>0</v>
      </c>
    </row>
    <row r="3181" spans="2:2">
      <c r="B3181" s="21">
        <f>IF(AND(C3181&lt;&gt;"", J3181&lt;&gt;""), HYPERLINK("#'" &amp; C3181 &amp; "'!" &amp; J3181, J3181), "")</f>
        <v>0</v>
      </c>
    </row>
    <row r="3182" spans="2:2">
      <c r="B3182" s="21">
        <f>IF(AND(C3182&lt;&gt;"", J3182&lt;&gt;""), HYPERLINK("#'" &amp; C3182 &amp; "'!" &amp; J3182, J3182), "")</f>
        <v>0</v>
      </c>
    </row>
    <row r="3183" spans="2:2">
      <c r="B3183" s="21">
        <f>IF(AND(C3183&lt;&gt;"", J3183&lt;&gt;""), HYPERLINK("#'" &amp; C3183 &amp; "'!" &amp; J3183, J3183), "")</f>
        <v>0</v>
      </c>
    </row>
    <row r="3184" spans="2:2">
      <c r="B3184" s="21">
        <f>IF(AND(C3184&lt;&gt;"", J3184&lt;&gt;""), HYPERLINK("#'" &amp; C3184 &amp; "'!" &amp; J3184, J3184), "")</f>
        <v>0</v>
      </c>
    </row>
    <row r="3185" spans="2:2">
      <c r="B3185" s="21">
        <f>IF(AND(C3185&lt;&gt;"", J3185&lt;&gt;""), HYPERLINK("#'" &amp; C3185 &amp; "'!" &amp; J3185, J3185), "")</f>
        <v>0</v>
      </c>
    </row>
    <row r="3186" spans="2:2">
      <c r="B3186" s="21">
        <f>IF(AND(C3186&lt;&gt;"", J3186&lt;&gt;""), HYPERLINK("#'" &amp; C3186 &amp; "'!" &amp; J3186, J3186), "")</f>
        <v>0</v>
      </c>
    </row>
    <row r="3187" spans="2:2">
      <c r="B3187" s="21">
        <f>IF(AND(C3187&lt;&gt;"", J3187&lt;&gt;""), HYPERLINK("#'" &amp; C3187 &amp; "'!" &amp; J3187, J3187), "")</f>
        <v>0</v>
      </c>
    </row>
    <row r="3188" spans="2:2">
      <c r="B3188" s="21">
        <f>IF(AND(C3188&lt;&gt;"", J3188&lt;&gt;""), HYPERLINK("#'" &amp; C3188 &amp; "'!" &amp; J3188, J3188), "")</f>
        <v>0</v>
      </c>
    </row>
    <row r="3189" spans="2:2">
      <c r="B3189" s="21">
        <f>IF(AND(C3189&lt;&gt;"", J3189&lt;&gt;""), HYPERLINK("#'" &amp; C3189 &amp; "'!" &amp; J3189, J3189), "")</f>
        <v>0</v>
      </c>
    </row>
    <row r="3190" spans="2:2">
      <c r="B3190" s="21">
        <f>IF(AND(C3190&lt;&gt;"", J3190&lt;&gt;""), HYPERLINK("#'" &amp; C3190 &amp; "'!" &amp; J3190, J3190), "")</f>
        <v>0</v>
      </c>
    </row>
    <row r="3191" spans="2:2">
      <c r="B3191" s="21">
        <f>IF(AND(C3191&lt;&gt;"", J3191&lt;&gt;""), HYPERLINK("#'" &amp; C3191 &amp; "'!" &amp; J3191, J3191), "")</f>
        <v>0</v>
      </c>
    </row>
    <row r="3192" spans="2:2">
      <c r="B3192" s="21">
        <f>IF(AND(C3192&lt;&gt;"", J3192&lt;&gt;""), HYPERLINK("#'" &amp; C3192 &amp; "'!" &amp; J3192, J3192), "")</f>
        <v>0</v>
      </c>
    </row>
    <row r="3193" spans="2:2">
      <c r="B3193" s="21">
        <f>IF(AND(C3193&lt;&gt;"", J3193&lt;&gt;""), HYPERLINK("#'" &amp; C3193 &amp; "'!" &amp; J3193, J3193), "")</f>
        <v>0</v>
      </c>
    </row>
    <row r="3194" spans="2:2">
      <c r="B3194" s="21">
        <f>IF(AND(C3194&lt;&gt;"", J3194&lt;&gt;""), HYPERLINK("#'" &amp; C3194 &amp; "'!" &amp; J3194, J3194), "")</f>
        <v>0</v>
      </c>
    </row>
    <row r="3195" spans="2:2">
      <c r="B3195" s="21">
        <f>IF(AND(C3195&lt;&gt;"", J3195&lt;&gt;""), HYPERLINK("#'" &amp; C3195 &amp; "'!" &amp; J3195, J3195), "")</f>
        <v>0</v>
      </c>
    </row>
    <row r="3196" spans="2:2">
      <c r="B3196" s="21">
        <f>IF(AND(C3196&lt;&gt;"", J3196&lt;&gt;""), HYPERLINK("#'" &amp; C3196 &amp; "'!" &amp; J3196, J3196), "")</f>
        <v>0</v>
      </c>
    </row>
    <row r="3197" spans="2:2">
      <c r="B3197" s="21">
        <f>IF(AND(C3197&lt;&gt;"", J3197&lt;&gt;""), HYPERLINK("#'" &amp; C3197 &amp; "'!" &amp; J3197, J3197), "")</f>
        <v>0</v>
      </c>
    </row>
    <row r="3198" spans="2:2">
      <c r="B3198" s="21">
        <f>IF(AND(C3198&lt;&gt;"", J3198&lt;&gt;""), HYPERLINK("#'" &amp; C3198 &amp; "'!" &amp; J3198, J3198), "")</f>
        <v>0</v>
      </c>
    </row>
    <row r="3199" spans="2:2">
      <c r="B3199" s="21">
        <f>IF(AND(C3199&lt;&gt;"", J3199&lt;&gt;""), HYPERLINK("#'" &amp; C3199 &amp; "'!" &amp; J3199, J3199), "")</f>
        <v>0</v>
      </c>
    </row>
    <row r="3200" spans="2:2">
      <c r="B3200" s="21">
        <f>IF(AND(C3200&lt;&gt;"", J3200&lt;&gt;""), HYPERLINK("#'" &amp; C3200 &amp; "'!" &amp; J3200, J3200), "")</f>
        <v>0</v>
      </c>
    </row>
    <row r="3201" spans="2:2">
      <c r="B3201" s="21">
        <f>IF(AND(C3201&lt;&gt;"", J3201&lt;&gt;""), HYPERLINK("#'" &amp; C3201 &amp; "'!" &amp; J3201, J3201), "")</f>
        <v>0</v>
      </c>
    </row>
    <row r="3202" spans="2:2">
      <c r="B3202" s="21">
        <f>IF(AND(C3202&lt;&gt;"", J3202&lt;&gt;""), HYPERLINK("#'" &amp; C3202 &amp; "'!" &amp; J3202, J3202), "")</f>
        <v>0</v>
      </c>
    </row>
    <row r="3203" spans="2:2">
      <c r="B3203" s="21">
        <f>IF(AND(C3203&lt;&gt;"", J3203&lt;&gt;""), HYPERLINK("#'" &amp; C3203 &amp; "'!" &amp; J3203, J3203), "")</f>
        <v>0</v>
      </c>
    </row>
    <row r="3204" spans="2:2">
      <c r="B3204" s="21">
        <f>IF(AND(C3204&lt;&gt;"", J3204&lt;&gt;""), HYPERLINK("#'" &amp; C3204 &amp; "'!" &amp; J3204, J3204), "")</f>
        <v>0</v>
      </c>
    </row>
    <row r="3205" spans="2:2">
      <c r="B3205" s="21">
        <f>IF(AND(C3205&lt;&gt;"", J3205&lt;&gt;""), HYPERLINK("#'" &amp; C3205 &amp; "'!" &amp; J3205, J3205), "")</f>
        <v>0</v>
      </c>
    </row>
    <row r="3206" spans="2:2">
      <c r="B3206" s="21">
        <f>IF(AND(C3206&lt;&gt;"", J3206&lt;&gt;""), HYPERLINK("#'" &amp; C3206 &amp; "'!" &amp; J3206, J3206), "")</f>
        <v>0</v>
      </c>
    </row>
    <row r="3207" spans="2:2">
      <c r="B3207" s="21">
        <f>IF(AND(C3207&lt;&gt;"", J3207&lt;&gt;""), HYPERLINK("#'" &amp; C3207 &amp; "'!" &amp; J3207, J3207), "")</f>
        <v>0</v>
      </c>
    </row>
    <row r="3208" spans="2:2">
      <c r="B3208" s="21">
        <f>IF(AND(C3208&lt;&gt;"", J3208&lt;&gt;""), HYPERLINK("#'" &amp; C3208 &amp; "'!" &amp; J3208, J3208), "")</f>
        <v>0</v>
      </c>
    </row>
    <row r="3209" spans="2:2">
      <c r="B3209" s="21">
        <f>IF(AND(C3209&lt;&gt;"", J3209&lt;&gt;""), HYPERLINK("#'" &amp; C3209 &amp; "'!" &amp; J3209, J3209), "")</f>
        <v>0</v>
      </c>
    </row>
    <row r="3210" spans="2:2">
      <c r="B3210" s="21">
        <f>IF(AND(C3210&lt;&gt;"", J3210&lt;&gt;""), HYPERLINK("#'" &amp; C3210 &amp; "'!" &amp; J3210, J3210), "")</f>
        <v>0</v>
      </c>
    </row>
    <row r="3211" spans="2:2">
      <c r="B3211" s="21">
        <f>IF(AND(C3211&lt;&gt;"", J3211&lt;&gt;""), HYPERLINK("#'" &amp; C3211 &amp; "'!" &amp; J3211, J3211), "")</f>
        <v>0</v>
      </c>
    </row>
    <row r="3212" spans="2:2">
      <c r="B3212" s="21">
        <f>IF(AND(C3212&lt;&gt;"", J3212&lt;&gt;""), HYPERLINK("#'" &amp; C3212 &amp; "'!" &amp; J3212, J3212), "")</f>
        <v>0</v>
      </c>
    </row>
    <row r="3213" spans="2:2">
      <c r="B3213" s="21">
        <f>IF(AND(C3213&lt;&gt;"", J3213&lt;&gt;""), HYPERLINK("#'" &amp; C3213 &amp; "'!" &amp; J3213, J3213), "")</f>
        <v>0</v>
      </c>
    </row>
    <row r="3214" spans="2:2">
      <c r="B3214" s="21">
        <f>IF(AND(C3214&lt;&gt;"", J3214&lt;&gt;""), HYPERLINK("#'" &amp; C3214 &amp; "'!" &amp; J3214, J3214), "")</f>
        <v>0</v>
      </c>
    </row>
    <row r="3215" spans="2:2">
      <c r="B3215" s="21">
        <f>IF(AND(C3215&lt;&gt;"", J3215&lt;&gt;""), HYPERLINK("#'" &amp; C3215 &amp; "'!" &amp; J3215, J3215), "")</f>
        <v>0</v>
      </c>
    </row>
    <row r="3216" spans="2:2">
      <c r="B3216" s="21">
        <f>IF(AND(C3216&lt;&gt;"", J3216&lt;&gt;""), HYPERLINK("#'" &amp; C3216 &amp; "'!" &amp; J3216, J3216), "")</f>
        <v>0</v>
      </c>
    </row>
    <row r="3217" spans="2:2">
      <c r="B3217" s="21">
        <f>IF(AND(C3217&lt;&gt;"", J3217&lt;&gt;""), HYPERLINK("#'" &amp; C3217 &amp; "'!" &amp; J3217, J3217), "")</f>
        <v>0</v>
      </c>
    </row>
    <row r="3218" spans="2:2">
      <c r="B3218" s="21">
        <f>IF(AND(C3218&lt;&gt;"", J3218&lt;&gt;""), HYPERLINK("#'" &amp; C3218 &amp; "'!" &amp; J3218, J3218), "")</f>
        <v>0</v>
      </c>
    </row>
    <row r="3219" spans="2:2">
      <c r="B3219" s="21">
        <f>IF(AND(C3219&lt;&gt;"", J3219&lt;&gt;""), HYPERLINK("#'" &amp; C3219 &amp; "'!" &amp; J3219, J3219), "")</f>
        <v>0</v>
      </c>
    </row>
    <row r="3220" spans="2:2">
      <c r="B3220" s="21">
        <f>IF(AND(C3220&lt;&gt;"", J3220&lt;&gt;""), HYPERLINK("#'" &amp; C3220 &amp; "'!" &amp; J3220, J3220), "")</f>
        <v>0</v>
      </c>
    </row>
    <row r="3221" spans="2:2">
      <c r="B3221" s="21">
        <f>IF(AND(C3221&lt;&gt;"", J3221&lt;&gt;""), HYPERLINK("#'" &amp; C3221 &amp; "'!" &amp; J3221, J3221), "")</f>
        <v>0</v>
      </c>
    </row>
    <row r="3222" spans="2:2">
      <c r="B3222" s="21">
        <f>IF(AND(C3222&lt;&gt;"", J3222&lt;&gt;""), HYPERLINK("#'" &amp; C3222 &amp; "'!" &amp; J3222, J3222), "")</f>
        <v>0</v>
      </c>
    </row>
    <row r="3223" spans="2:2">
      <c r="B3223" s="21">
        <f>IF(AND(C3223&lt;&gt;"", J3223&lt;&gt;""), HYPERLINK("#'" &amp; C3223 &amp; "'!" &amp; J3223, J3223), "")</f>
        <v>0</v>
      </c>
    </row>
    <row r="3224" spans="2:2">
      <c r="B3224" s="21">
        <f>IF(AND(C3224&lt;&gt;"", J3224&lt;&gt;""), HYPERLINK("#'" &amp; C3224 &amp; "'!" &amp; J3224, J3224), "")</f>
        <v>0</v>
      </c>
    </row>
    <row r="3225" spans="2:2">
      <c r="B3225" s="21">
        <f>IF(AND(C3225&lt;&gt;"", J3225&lt;&gt;""), HYPERLINK("#'" &amp; C3225 &amp; "'!" &amp; J3225, J3225), "")</f>
        <v>0</v>
      </c>
    </row>
    <row r="3226" spans="2:2">
      <c r="B3226" s="21">
        <f>IF(AND(C3226&lt;&gt;"", J3226&lt;&gt;""), HYPERLINK("#'" &amp; C3226 &amp; "'!" &amp; J3226, J3226), "")</f>
        <v>0</v>
      </c>
    </row>
    <row r="3227" spans="2:2">
      <c r="B3227" s="21">
        <f>IF(AND(C3227&lt;&gt;"", J3227&lt;&gt;""), HYPERLINK("#'" &amp; C3227 &amp; "'!" &amp; J3227, J3227), "")</f>
        <v>0</v>
      </c>
    </row>
    <row r="3228" spans="2:2">
      <c r="B3228" s="21">
        <f>IF(AND(C3228&lt;&gt;"", J3228&lt;&gt;""), HYPERLINK("#'" &amp; C3228 &amp; "'!" &amp; J3228, J3228), "")</f>
        <v>0</v>
      </c>
    </row>
    <row r="3229" spans="2:2">
      <c r="B3229" s="21">
        <f>IF(AND(C3229&lt;&gt;"", J3229&lt;&gt;""), HYPERLINK("#'" &amp; C3229 &amp; "'!" &amp; J3229, J3229), "")</f>
        <v>0</v>
      </c>
    </row>
    <row r="3230" spans="2:2">
      <c r="B3230" s="21">
        <f>IF(AND(C3230&lt;&gt;"", J3230&lt;&gt;""), HYPERLINK("#'" &amp; C3230 &amp; "'!" &amp; J3230, J3230), "")</f>
        <v>0</v>
      </c>
    </row>
    <row r="3231" spans="2:2">
      <c r="B3231" s="21">
        <f>IF(AND(C3231&lt;&gt;"", J3231&lt;&gt;""), HYPERLINK("#'" &amp; C3231 &amp; "'!" &amp; J3231, J3231), "")</f>
        <v>0</v>
      </c>
    </row>
    <row r="3232" spans="2:2">
      <c r="B3232" s="21">
        <f>IF(AND(C3232&lt;&gt;"", J3232&lt;&gt;""), HYPERLINK("#'" &amp; C3232 &amp; "'!" &amp; J3232, J3232), "")</f>
        <v>0</v>
      </c>
    </row>
    <row r="3233" spans="2:2">
      <c r="B3233" s="21">
        <f>IF(AND(C3233&lt;&gt;"", J3233&lt;&gt;""), HYPERLINK("#'" &amp; C3233 &amp; "'!" &amp; J3233, J3233), "")</f>
        <v>0</v>
      </c>
    </row>
    <row r="3234" spans="2:2">
      <c r="B3234" s="21">
        <f>IF(AND(C3234&lt;&gt;"", J3234&lt;&gt;""), HYPERLINK("#'" &amp; C3234 &amp; "'!" &amp; J3234, J3234), "")</f>
        <v>0</v>
      </c>
    </row>
    <row r="3235" spans="2:2">
      <c r="B3235" s="21">
        <f>IF(AND(C3235&lt;&gt;"", J3235&lt;&gt;""), HYPERLINK("#'" &amp; C3235 &amp; "'!" &amp; J3235, J3235), "")</f>
        <v>0</v>
      </c>
    </row>
    <row r="3236" spans="2:2">
      <c r="B3236" s="21">
        <f>IF(AND(C3236&lt;&gt;"", J3236&lt;&gt;""), HYPERLINK("#'" &amp; C3236 &amp; "'!" &amp; J3236, J3236), "")</f>
        <v>0</v>
      </c>
    </row>
    <row r="3237" spans="2:2">
      <c r="B3237" s="21">
        <f>IF(AND(C3237&lt;&gt;"", J3237&lt;&gt;""), HYPERLINK("#'" &amp; C3237 &amp; "'!" &amp; J3237, J3237), "")</f>
        <v>0</v>
      </c>
    </row>
    <row r="3238" spans="2:2">
      <c r="B3238" s="21">
        <f>IF(AND(C3238&lt;&gt;"", J3238&lt;&gt;""), HYPERLINK("#'" &amp; C3238 &amp; "'!" &amp; J3238, J3238), "")</f>
        <v>0</v>
      </c>
    </row>
    <row r="3239" spans="2:2">
      <c r="B3239" s="21">
        <f>IF(AND(C3239&lt;&gt;"", J3239&lt;&gt;""), HYPERLINK("#'" &amp; C3239 &amp; "'!" &amp; J3239, J3239), "")</f>
        <v>0</v>
      </c>
    </row>
    <row r="3240" spans="2:2">
      <c r="B3240" s="21">
        <f>IF(AND(C3240&lt;&gt;"", J3240&lt;&gt;""), HYPERLINK("#'" &amp; C3240 &amp; "'!" &amp; J3240, J3240), "")</f>
        <v>0</v>
      </c>
    </row>
    <row r="3241" spans="2:2">
      <c r="B3241" s="21">
        <f>IF(AND(C3241&lt;&gt;"", J3241&lt;&gt;""), HYPERLINK("#'" &amp; C3241 &amp; "'!" &amp; J3241, J3241), "")</f>
        <v>0</v>
      </c>
    </row>
    <row r="3242" spans="2:2">
      <c r="B3242" s="21">
        <f>IF(AND(C3242&lt;&gt;"", J3242&lt;&gt;""), HYPERLINK("#'" &amp; C3242 &amp; "'!" &amp; J3242, J3242), "")</f>
        <v>0</v>
      </c>
    </row>
    <row r="3243" spans="2:2">
      <c r="B3243" s="21">
        <f>IF(AND(C3243&lt;&gt;"", J3243&lt;&gt;""), HYPERLINK("#'" &amp; C3243 &amp; "'!" &amp; J3243, J3243), "")</f>
        <v>0</v>
      </c>
    </row>
    <row r="3244" spans="2:2">
      <c r="B3244" s="21">
        <f>IF(AND(C3244&lt;&gt;"", J3244&lt;&gt;""), HYPERLINK("#'" &amp; C3244 &amp; "'!" &amp; J3244, J3244), "")</f>
        <v>0</v>
      </c>
    </row>
    <row r="3245" spans="2:2">
      <c r="B3245" s="21">
        <f>IF(AND(C3245&lt;&gt;"", J3245&lt;&gt;""), HYPERLINK("#'" &amp; C3245 &amp; "'!" &amp; J3245, J3245), "")</f>
        <v>0</v>
      </c>
    </row>
    <row r="3246" spans="2:2">
      <c r="B3246" s="21">
        <f>IF(AND(C3246&lt;&gt;"", J3246&lt;&gt;""), HYPERLINK("#'" &amp; C3246 &amp; "'!" &amp; J3246, J3246), "")</f>
        <v>0</v>
      </c>
    </row>
    <row r="3247" spans="2:2">
      <c r="B3247" s="21">
        <f>IF(AND(C3247&lt;&gt;"", J3247&lt;&gt;""), HYPERLINK("#'" &amp; C3247 &amp; "'!" &amp; J3247, J3247), "")</f>
        <v>0</v>
      </c>
    </row>
    <row r="3248" spans="2:2">
      <c r="B3248" s="21">
        <f>IF(AND(C3248&lt;&gt;"", J3248&lt;&gt;""), HYPERLINK("#'" &amp; C3248 &amp; "'!" &amp; J3248, J3248), "")</f>
        <v>0</v>
      </c>
    </row>
    <row r="3249" spans="2:2">
      <c r="B3249" s="21">
        <f>IF(AND(C3249&lt;&gt;"", J3249&lt;&gt;""), HYPERLINK("#'" &amp; C3249 &amp; "'!" &amp; J3249, J3249), "")</f>
        <v>0</v>
      </c>
    </row>
    <row r="3250" spans="2:2">
      <c r="B3250" s="21">
        <f>IF(AND(C3250&lt;&gt;"", J3250&lt;&gt;""), HYPERLINK("#'" &amp; C3250 &amp; "'!" &amp; J3250, J3250), "")</f>
        <v>0</v>
      </c>
    </row>
    <row r="3251" spans="2:2">
      <c r="B3251" s="21">
        <f>IF(AND(C3251&lt;&gt;"", J3251&lt;&gt;""), HYPERLINK("#'" &amp; C3251 &amp; "'!" &amp; J3251, J3251), "")</f>
        <v>0</v>
      </c>
    </row>
    <row r="3252" spans="2:2">
      <c r="B3252" s="21">
        <f>IF(AND(C3252&lt;&gt;"", J3252&lt;&gt;""), HYPERLINK("#'" &amp; C3252 &amp; "'!" &amp; J3252, J3252), "")</f>
        <v>0</v>
      </c>
    </row>
    <row r="3253" spans="2:2">
      <c r="B3253" s="21">
        <f>IF(AND(C3253&lt;&gt;"", J3253&lt;&gt;""), HYPERLINK("#'" &amp; C3253 &amp; "'!" &amp; J3253, J3253), "")</f>
        <v>0</v>
      </c>
    </row>
    <row r="3254" spans="2:2">
      <c r="B3254" s="21">
        <f>IF(AND(C3254&lt;&gt;"", J3254&lt;&gt;""), HYPERLINK("#'" &amp; C3254 &amp; "'!" &amp; J3254, J3254), "")</f>
        <v>0</v>
      </c>
    </row>
    <row r="3255" spans="2:2">
      <c r="B3255" s="21">
        <f>IF(AND(C3255&lt;&gt;"", J3255&lt;&gt;""), HYPERLINK("#'" &amp; C3255 &amp; "'!" &amp; J3255, J3255), "")</f>
        <v>0</v>
      </c>
    </row>
    <row r="3256" spans="2:2">
      <c r="B3256" s="21">
        <f>IF(AND(C3256&lt;&gt;"", J3256&lt;&gt;""), HYPERLINK("#'" &amp; C3256 &amp; "'!" &amp; J3256, J3256), "")</f>
        <v>0</v>
      </c>
    </row>
    <row r="3257" spans="2:2">
      <c r="B3257" s="21">
        <f>IF(AND(C3257&lt;&gt;"", J3257&lt;&gt;""), HYPERLINK("#'" &amp; C3257 &amp; "'!" &amp; J3257, J3257), "")</f>
        <v>0</v>
      </c>
    </row>
    <row r="3258" spans="2:2">
      <c r="B3258" s="21">
        <f>IF(AND(C3258&lt;&gt;"", J3258&lt;&gt;""), HYPERLINK("#'" &amp; C3258 &amp; "'!" &amp; J3258, J3258), "")</f>
        <v>0</v>
      </c>
    </row>
    <row r="3259" spans="2:2">
      <c r="B3259" s="21">
        <f>IF(AND(C3259&lt;&gt;"", J3259&lt;&gt;""), HYPERLINK("#'" &amp; C3259 &amp; "'!" &amp; J3259, J3259), "")</f>
        <v>0</v>
      </c>
    </row>
    <row r="3260" spans="2:2">
      <c r="B3260" s="21">
        <f>IF(AND(C3260&lt;&gt;"", J3260&lt;&gt;""), HYPERLINK("#'" &amp; C3260 &amp; "'!" &amp; J3260, J3260), "")</f>
        <v>0</v>
      </c>
    </row>
    <row r="3261" spans="2:2">
      <c r="B3261" s="21">
        <f>IF(AND(C3261&lt;&gt;"", J3261&lt;&gt;""), HYPERLINK("#'" &amp; C3261 &amp; "'!" &amp; J3261, J3261), "")</f>
        <v>0</v>
      </c>
    </row>
    <row r="3262" spans="2:2">
      <c r="B3262" s="21">
        <f>IF(AND(C3262&lt;&gt;"", J3262&lt;&gt;""), HYPERLINK("#'" &amp; C3262 &amp; "'!" &amp; J3262, J3262), "")</f>
        <v>0</v>
      </c>
    </row>
    <row r="3263" spans="2:2">
      <c r="B3263" s="21">
        <f>IF(AND(C3263&lt;&gt;"", J3263&lt;&gt;""), HYPERLINK("#'" &amp; C3263 &amp; "'!" &amp; J3263, J3263), "")</f>
        <v>0</v>
      </c>
    </row>
    <row r="3264" spans="2:2">
      <c r="B3264" s="21">
        <f>IF(AND(C3264&lt;&gt;"", J3264&lt;&gt;""), HYPERLINK("#'" &amp; C3264 &amp; "'!" &amp; J3264, J3264), "")</f>
        <v>0</v>
      </c>
    </row>
    <row r="3265" spans="2:2">
      <c r="B3265" s="21">
        <f>IF(AND(C3265&lt;&gt;"", J3265&lt;&gt;""), HYPERLINK("#'" &amp; C3265 &amp; "'!" &amp; J3265, J3265), "")</f>
        <v>0</v>
      </c>
    </row>
    <row r="3266" spans="2:2">
      <c r="B3266" s="21">
        <f>IF(AND(C3266&lt;&gt;"", J3266&lt;&gt;""), HYPERLINK("#'" &amp; C3266 &amp; "'!" &amp; J3266, J3266), "")</f>
        <v>0</v>
      </c>
    </row>
    <row r="3267" spans="2:2">
      <c r="B3267" s="21">
        <f>IF(AND(C3267&lt;&gt;"", J3267&lt;&gt;""), HYPERLINK("#'" &amp; C3267 &amp; "'!" &amp; J3267, J3267), "")</f>
        <v>0</v>
      </c>
    </row>
    <row r="3268" spans="2:2">
      <c r="B3268" s="21">
        <f>IF(AND(C3268&lt;&gt;"", J3268&lt;&gt;""), HYPERLINK("#'" &amp; C3268 &amp; "'!" &amp; J3268, J3268), "")</f>
        <v>0</v>
      </c>
    </row>
    <row r="3269" spans="2:2">
      <c r="B3269" s="21">
        <f>IF(AND(C3269&lt;&gt;"", J3269&lt;&gt;""), HYPERLINK("#'" &amp; C3269 &amp; "'!" &amp; J3269, J3269), "")</f>
        <v>0</v>
      </c>
    </row>
    <row r="3270" spans="2:2">
      <c r="B3270" s="21">
        <f>IF(AND(C3270&lt;&gt;"", J3270&lt;&gt;""), HYPERLINK("#'" &amp; C3270 &amp; "'!" &amp; J3270, J3270), "")</f>
        <v>0</v>
      </c>
    </row>
    <row r="3271" spans="2:2">
      <c r="B3271" s="21">
        <f>IF(AND(C3271&lt;&gt;"", J3271&lt;&gt;""), HYPERLINK("#'" &amp; C3271 &amp; "'!" &amp; J3271, J3271), "")</f>
        <v>0</v>
      </c>
    </row>
    <row r="3272" spans="2:2">
      <c r="B3272" s="21">
        <f>IF(AND(C3272&lt;&gt;"", J3272&lt;&gt;""), HYPERLINK("#'" &amp; C3272 &amp; "'!" &amp; J3272, J3272), "")</f>
        <v>0</v>
      </c>
    </row>
    <row r="3273" spans="2:2">
      <c r="B3273" s="21">
        <f>IF(AND(C3273&lt;&gt;"", J3273&lt;&gt;""), HYPERLINK("#'" &amp; C3273 &amp; "'!" &amp; J3273, J3273), "")</f>
        <v>0</v>
      </c>
    </row>
    <row r="3274" spans="2:2">
      <c r="B3274" s="21">
        <f>IF(AND(C3274&lt;&gt;"", J3274&lt;&gt;""), HYPERLINK("#'" &amp; C3274 &amp; "'!" &amp; J3274, J3274), "")</f>
        <v>0</v>
      </c>
    </row>
    <row r="3275" spans="2:2">
      <c r="B3275" s="21">
        <f>IF(AND(C3275&lt;&gt;"", J3275&lt;&gt;""), HYPERLINK("#'" &amp; C3275 &amp; "'!" &amp; J3275, J3275), "")</f>
        <v>0</v>
      </c>
    </row>
    <row r="3276" spans="2:2">
      <c r="B3276" s="21">
        <f>IF(AND(C3276&lt;&gt;"", J3276&lt;&gt;""), HYPERLINK("#'" &amp; C3276 &amp; "'!" &amp; J3276, J3276), "")</f>
        <v>0</v>
      </c>
    </row>
    <row r="3277" spans="2:2">
      <c r="B3277" s="21">
        <f>IF(AND(C3277&lt;&gt;"", J3277&lt;&gt;""), HYPERLINK("#'" &amp; C3277 &amp; "'!" &amp; J3277, J3277), "")</f>
        <v>0</v>
      </c>
    </row>
    <row r="3278" spans="2:2">
      <c r="B3278" s="21">
        <f>IF(AND(C3278&lt;&gt;"", J3278&lt;&gt;""), HYPERLINK("#'" &amp; C3278 &amp; "'!" &amp; J3278, J3278), "")</f>
        <v>0</v>
      </c>
    </row>
    <row r="3279" spans="2:2">
      <c r="B3279" s="21">
        <f>IF(AND(C3279&lt;&gt;"", J3279&lt;&gt;""), HYPERLINK("#'" &amp; C3279 &amp; "'!" &amp; J3279, J3279), "")</f>
        <v>0</v>
      </c>
    </row>
    <row r="3280" spans="2:2">
      <c r="B3280" s="21">
        <f>IF(AND(C3280&lt;&gt;"", J3280&lt;&gt;""), HYPERLINK("#'" &amp; C3280 &amp; "'!" &amp; J3280, J3280), "")</f>
        <v>0</v>
      </c>
    </row>
    <row r="3281" spans="2:2">
      <c r="B3281" s="21">
        <f>IF(AND(C3281&lt;&gt;"", J3281&lt;&gt;""), HYPERLINK("#'" &amp; C3281 &amp; "'!" &amp; J3281, J3281), "")</f>
        <v>0</v>
      </c>
    </row>
    <row r="3282" spans="2:2">
      <c r="B3282" s="21">
        <f>IF(AND(C3282&lt;&gt;"", J3282&lt;&gt;""), HYPERLINK("#'" &amp; C3282 &amp; "'!" &amp; J3282, J3282), "")</f>
        <v>0</v>
      </c>
    </row>
    <row r="3283" spans="2:2">
      <c r="B3283" s="21">
        <f>IF(AND(C3283&lt;&gt;"", J3283&lt;&gt;""), HYPERLINK("#'" &amp; C3283 &amp; "'!" &amp; J3283, J3283), "")</f>
        <v>0</v>
      </c>
    </row>
    <row r="3284" spans="2:2">
      <c r="B3284" s="21">
        <f>IF(AND(C3284&lt;&gt;"", J3284&lt;&gt;""), HYPERLINK("#'" &amp; C3284 &amp; "'!" &amp; J3284, J3284), "")</f>
        <v>0</v>
      </c>
    </row>
    <row r="3285" spans="2:2">
      <c r="B3285" s="21">
        <f>IF(AND(C3285&lt;&gt;"", J3285&lt;&gt;""), HYPERLINK("#'" &amp; C3285 &amp; "'!" &amp; J3285, J3285), "")</f>
        <v>0</v>
      </c>
    </row>
    <row r="3286" spans="2:2">
      <c r="B3286" s="21">
        <f>IF(AND(C3286&lt;&gt;"", J3286&lt;&gt;""), HYPERLINK("#'" &amp; C3286 &amp; "'!" &amp; J3286, J3286), "")</f>
        <v>0</v>
      </c>
    </row>
    <row r="3287" spans="2:2">
      <c r="B3287" s="21">
        <f>IF(AND(C3287&lt;&gt;"", J3287&lt;&gt;""), HYPERLINK("#'" &amp; C3287 &amp; "'!" &amp; J3287, J3287), "")</f>
        <v>0</v>
      </c>
    </row>
    <row r="3288" spans="2:2">
      <c r="B3288" s="21">
        <f>IF(AND(C3288&lt;&gt;"", J3288&lt;&gt;""), HYPERLINK("#'" &amp; C3288 &amp; "'!" &amp; J3288, J3288), "")</f>
        <v>0</v>
      </c>
    </row>
    <row r="3289" spans="2:2">
      <c r="B3289" s="21">
        <f>IF(AND(C3289&lt;&gt;"", J3289&lt;&gt;""), HYPERLINK("#'" &amp; C3289 &amp; "'!" &amp; J3289, J3289), "")</f>
        <v>0</v>
      </c>
    </row>
    <row r="3290" spans="2:2">
      <c r="B3290" s="21">
        <f>IF(AND(C3290&lt;&gt;"", J3290&lt;&gt;""), HYPERLINK("#'" &amp; C3290 &amp; "'!" &amp; J3290, J3290), "")</f>
        <v>0</v>
      </c>
    </row>
    <row r="3291" spans="2:2">
      <c r="B3291" s="21">
        <f>IF(AND(C3291&lt;&gt;"", J3291&lt;&gt;""), HYPERLINK("#'" &amp; C3291 &amp; "'!" &amp; J3291, J3291), "")</f>
        <v>0</v>
      </c>
    </row>
    <row r="3292" spans="2:2">
      <c r="B3292" s="21">
        <f>IF(AND(C3292&lt;&gt;"", J3292&lt;&gt;""), HYPERLINK("#'" &amp; C3292 &amp; "'!" &amp; J3292, J3292), "")</f>
        <v>0</v>
      </c>
    </row>
    <row r="3293" spans="2:2">
      <c r="B3293" s="21">
        <f>IF(AND(C3293&lt;&gt;"", J3293&lt;&gt;""), HYPERLINK("#'" &amp; C3293 &amp; "'!" &amp; J3293, J3293), "")</f>
        <v>0</v>
      </c>
    </row>
    <row r="3294" spans="2:2">
      <c r="B3294" s="21">
        <f>IF(AND(C3294&lt;&gt;"", J3294&lt;&gt;""), HYPERLINK("#'" &amp; C3294 &amp; "'!" &amp; J3294, J3294), "")</f>
        <v>0</v>
      </c>
    </row>
    <row r="3295" spans="2:2">
      <c r="B3295" s="21">
        <f>IF(AND(C3295&lt;&gt;"", J3295&lt;&gt;""), HYPERLINK("#'" &amp; C3295 &amp; "'!" &amp; J3295, J3295), "")</f>
        <v>0</v>
      </c>
    </row>
    <row r="3296" spans="2:2">
      <c r="B3296" s="21">
        <f>IF(AND(C3296&lt;&gt;"", J3296&lt;&gt;""), HYPERLINK("#'" &amp; C3296 &amp; "'!" &amp; J3296, J3296), "")</f>
        <v>0</v>
      </c>
    </row>
    <row r="3297" spans="2:2">
      <c r="B3297" s="21">
        <f>IF(AND(C3297&lt;&gt;"", J3297&lt;&gt;""), HYPERLINK("#'" &amp; C3297 &amp; "'!" &amp; J3297, J3297), "")</f>
        <v>0</v>
      </c>
    </row>
    <row r="3298" spans="2:2">
      <c r="B3298" s="21">
        <f>IF(AND(C3298&lt;&gt;"", J3298&lt;&gt;""), HYPERLINK("#'" &amp; C3298 &amp; "'!" &amp; J3298, J3298), "")</f>
        <v>0</v>
      </c>
    </row>
    <row r="3299" spans="2:2">
      <c r="B3299" s="21">
        <f>IF(AND(C3299&lt;&gt;"", J3299&lt;&gt;""), HYPERLINK("#'" &amp; C3299 &amp; "'!" &amp; J3299, J3299), "")</f>
        <v>0</v>
      </c>
    </row>
    <row r="3300" spans="2:2">
      <c r="B3300" s="21">
        <f>IF(AND(C3300&lt;&gt;"", J3300&lt;&gt;""), HYPERLINK("#'" &amp; C3300 &amp; "'!" &amp; J3300, J3300), "")</f>
        <v>0</v>
      </c>
    </row>
    <row r="3301" spans="2:2">
      <c r="B3301" s="21">
        <f>IF(AND(C3301&lt;&gt;"", J3301&lt;&gt;""), HYPERLINK("#'" &amp; C3301 &amp; "'!" &amp; J3301, J3301), "")</f>
        <v>0</v>
      </c>
    </row>
    <row r="3302" spans="2:2">
      <c r="B3302" s="21">
        <f>IF(AND(C3302&lt;&gt;"", J3302&lt;&gt;""), HYPERLINK("#'" &amp; C3302 &amp; "'!" &amp; J3302, J3302), "")</f>
        <v>0</v>
      </c>
    </row>
    <row r="3303" spans="2:2">
      <c r="B3303" s="21">
        <f>IF(AND(C3303&lt;&gt;"", J3303&lt;&gt;""), HYPERLINK("#'" &amp; C3303 &amp; "'!" &amp; J3303, J3303), "")</f>
        <v>0</v>
      </c>
    </row>
    <row r="3304" spans="2:2">
      <c r="B3304" s="21">
        <f>IF(AND(C3304&lt;&gt;"", J3304&lt;&gt;""), HYPERLINK("#'" &amp; C3304 &amp; "'!" &amp; J3304, J3304), "")</f>
        <v>0</v>
      </c>
    </row>
    <row r="3305" spans="2:2">
      <c r="B3305" s="21">
        <f>IF(AND(C3305&lt;&gt;"", J3305&lt;&gt;""), HYPERLINK("#'" &amp; C3305 &amp; "'!" &amp; J3305, J3305), "")</f>
        <v>0</v>
      </c>
    </row>
    <row r="3306" spans="2:2">
      <c r="B3306" s="21">
        <f>IF(AND(C3306&lt;&gt;"", J3306&lt;&gt;""), HYPERLINK("#'" &amp; C3306 &amp; "'!" &amp; J3306, J3306), "")</f>
        <v>0</v>
      </c>
    </row>
    <row r="3307" spans="2:2">
      <c r="B3307" s="21">
        <f>IF(AND(C3307&lt;&gt;"", J3307&lt;&gt;""), HYPERLINK("#'" &amp; C3307 &amp; "'!" &amp; J3307, J3307), "")</f>
        <v>0</v>
      </c>
    </row>
    <row r="3308" spans="2:2">
      <c r="B3308" s="21">
        <f>IF(AND(C3308&lt;&gt;"", J3308&lt;&gt;""), HYPERLINK("#'" &amp; C3308 &amp; "'!" &amp; J3308, J3308), "")</f>
        <v>0</v>
      </c>
    </row>
    <row r="3309" spans="2:2">
      <c r="B3309" s="21">
        <f>IF(AND(C3309&lt;&gt;"", J3309&lt;&gt;""), HYPERLINK("#'" &amp; C3309 &amp; "'!" &amp; J3309, J3309), "")</f>
        <v>0</v>
      </c>
    </row>
    <row r="3310" spans="2:2">
      <c r="B3310" s="21">
        <f>IF(AND(C3310&lt;&gt;"", J3310&lt;&gt;""), HYPERLINK("#'" &amp; C3310 &amp; "'!" &amp; J3310, J3310), "")</f>
        <v>0</v>
      </c>
    </row>
    <row r="3311" spans="2:2">
      <c r="B3311" s="21">
        <f>IF(AND(C3311&lt;&gt;"", J3311&lt;&gt;""), HYPERLINK("#'" &amp; C3311 &amp; "'!" &amp; J3311, J3311), "")</f>
        <v>0</v>
      </c>
    </row>
    <row r="3312" spans="2:2">
      <c r="B3312" s="21">
        <f>IF(AND(C3312&lt;&gt;"", J3312&lt;&gt;""), HYPERLINK("#'" &amp; C3312 &amp; "'!" &amp; J3312, J3312), "")</f>
        <v>0</v>
      </c>
    </row>
    <row r="3313" spans="2:2">
      <c r="B3313" s="21">
        <f>IF(AND(C3313&lt;&gt;"", J3313&lt;&gt;""), HYPERLINK("#'" &amp; C3313 &amp; "'!" &amp; J3313, J3313), "")</f>
        <v>0</v>
      </c>
    </row>
    <row r="3314" spans="2:2">
      <c r="B3314" s="21">
        <f>IF(AND(C3314&lt;&gt;"", J3314&lt;&gt;""), HYPERLINK("#'" &amp; C3314 &amp; "'!" &amp; J3314, J3314), "")</f>
        <v>0</v>
      </c>
    </row>
    <row r="3315" spans="2:2">
      <c r="B3315" s="21">
        <f>IF(AND(C3315&lt;&gt;"", J3315&lt;&gt;""), HYPERLINK("#'" &amp; C3315 &amp; "'!" &amp; J3315, J3315), "")</f>
        <v>0</v>
      </c>
    </row>
    <row r="3316" spans="2:2">
      <c r="B3316" s="21">
        <f>IF(AND(C3316&lt;&gt;"", J3316&lt;&gt;""), HYPERLINK("#'" &amp; C3316 &amp; "'!" &amp; J3316, J3316), "")</f>
        <v>0</v>
      </c>
    </row>
    <row r="3317" spans="2:2">
      <c r="B3317" s="21">
        <f>IF(AND(C3317&lt;&gt;"", J3317&lt;&gt;""), HYPERLINK("#'" &amp; C3317 &amp; "'!" &amp; J3317, J3317), "")</f>
        <v>0</v>
      </c>
    </row>
    <row r="3318" spans="2:2">
      <c r="B3318" s="21">
        <f>IF(AND(C3318&lt;&gt;"", J3318&lt;&gt;""), HYPERLINK("#'" &amp; C3318 &amp; "'!" &amp; J3318, J3318), "")</f>
        <v>0</v>
      </c>
    </row>
    <row r="3319" spans="2:2">
      <c r="B3319" s="21">
        <f>IF(AND(C3319&lt;&gt;"", J3319&lt;&gt;""), HYPERLINK("#'" &amp; C3319 &amp; "'!" &amp; J3319, J3319), "")</f>
        <v>0</v>
      </c>
    </row>
    <row r="3320" spans="2:2">
      <c r="B3320" s="21">
        <f>IF(AND(C3320&lt;&gt;"", J3320&lt;&gt;""), HYPERLINK("#'" &amp; C3320 &amp; "'!" &amp; J3320, J3320), "")</f>
        <v>0</v>
      </c>
    </row>
    <row r="3321" spans="2:2">
      <c r="B3321" s="21">
        <f>IF(AND(C3321&lt;&gt;"", J3321&lt;&gt;""), HYPERLINK("#'" &amp; C3321 &amp; "'!" &amp; J3321, J3321), "")</f>
        <v>0</v>
      </c>
    </row>
    <row r="3322" spans="2:2">
      <c r="B3322" s="21">
        <f>IF(AND(C3322&lt;&gt;"", J3322&lt;&gt;""), HYPERLINK("#'" &amp; C3322 &amp; "'!" &amp; J3322, J3322), "")</f>
        <v>0</v>
      </c>
    </row>
    <row r="3323" spans="2:2">
      <c r="B3323" s="21">
        <f>IF(AND(C3323&lt;&gt;"", J3323&lt;&gt;""), HYPERLINK("#'" &amp; C3323 &amp; "'!" &amp; J3323, J3323), "")</f>
        <v>0</v>
      </c>
    </row>
    <row r="3324" spans="2:2">
      <c r="B3324" s="21">
        <f>IF(AND(C3324&lt;&gt;"", J3324&lt;&gt;""), HYPERLINK("#'" &amp; C3324 &amp; "'!" &amp; J3324, J3324), "")</f>
        <v>0</v>
      </c>
    </row>
    <row r="3325" spans="2:2">
      <c r="B3325" s="21">
        <f>IF(AND(C3325&lt;&gt;"", J3325&lt;&gt;""), HYPERLINK("#'" &amp; C3325 &amp; "'!" &amp; J3325, J3325), "")</f>
        <v>0</v>
      </c>
    </row>
    <row r="3326" spans="2:2">
      <c r="B3326" s="21">
        <f>IF(AND(C3326&lt;&gt;"", J3326&lt;&gt;""), HYPERLINK("#'" &amp; C3326 &amp; "'!" &amp; J3326, J3326), "")</f>
        <v>0</v>
      </c>
    </row>
    <row r="3327" spans="2:2">
      <c r="B3327" s="21">
        <f>IF(AND(C3327&lt;&gt;"", J3327&lt;&gt;""), HYPERLINK("#'" &amp; C3327 &amp; "'!" &amp; J3327, J3327), "")</f>
        <v>0</v>
      </c>
    </row>
    <row r="3328" spans="2:2">
      <c r="B3328" s="21">
        <f>IF(AND(C3328&lt;&gt;"", J3328&lt;&gt;""), HYPERLINK("#'" &amp; C3328 &amp; "'!" &amp; J3328, J3328), "")</f>
        <v>0</v>
      </c>
    </row>
    <row r="3329" spans="2:2">
      <c r="B3329" s="21">
        <f>IF(AND(C3329&lt;&gt;"", J3329&lt;&gt;""), HYPERLINK("#'" &amp; C3329 &amp; "'!" &amp; J3329, J3329), "")</f>
        <v>0</v>
      </c>
    </row>
    <row r="3330" spans="2:2">
      <c r="B3330" s="21">
        <f>IF(AND(C3330&lt;&gt;"", J3330&lt;&gt;""), HYPERLINK("#'" &amp; C3330 &amp; "'!" &amp; J3330, J3330), "")</f>
        <v>0</v>
      </c>
    </row>
    <row r="3331" spans="2:2">
      <c r="B3331" s="21">
        <f>IF(AND(C3331&lt;&gt;"", J3331&lt;&gt;""), HYPERLINK("#'" &amp; C3331 &amp; "'!" &amp; J3331, J3331), "")</f>
        <v>0</v>
      </c>
    </row>
    <row r="3332" spans="2:2">
      <c r="B3332" s="21">
        <f>IF(AND(C3332&lt;&gt;"", J3332&lt;&gt;""), HYPERLINK("#'" &amp; C3332 &amp; "'!" &amp; J3332, J3332), "")</f>
        <v>0</v>
      </c>
    </row>
    <row r="3333" spans="2:2">
      <c r="B3333" s="21">
        <f>IF(AND(C3333&lt;&gt;"", J3333&lt;&gt;""), HYPERLINK("#'" &amp; C3333 &amp; "'!" &amp; J3333, J3333), "")</f>
        <v>0</v>
      </c>
    </row>
    <row r="3334" spans="2:2">
      <c r="B3334" s="21">
        <f>IF(AND(C3334&lt;&gt;"", J3334&lt;&gt;""), HYPERLINK("#'" &amp; C3334 &amp; "'!" &amp; J3334, J3334), "")</f>
        <v>0</v>
      </c>
    </row>
    <row r="3335" spans="2:2">
      <c r="B3335" s="21">
        <f>IF(AND(C3335&lt;&gt;"", J3335&lt;&gt;""), HYPERLINK("#'" &amp; C3335 &amp; "'!" &amp; J3335, J3335), "")</f>
        <v>0</v>
      </c>
    </row>
    <row r="3336" spans="2:2">
      <c r="B3336" s="21">
        <f>IF(AND(C3336&lt;&gt;"", J3336&lt;&gt;""), HYPERLINK("#'" &amp; C3336 &amp; "'!" &amp; J3336, J3336), "")</f>
        <v>0</v>
      </c>
    </row>
    <row r="3337" spans="2:2">
      <c r="B3337" s="21">
        <f>IF(AND(C3337&lt;&gt;"", J3337&lt;&gt;""), HYPERLINK("#'" &amp; C3337 &amp; "'!" &amp; J3337, J3337), "")</f>
        <v>0</v>
      </c>
    </row>
    <row r="3338" spans="2:2">
      <c r="B3338" s="21">
        <f>IF(AND(C3338&lt;&gt;"", J3338&lt;&gt;""), HYPERLINK("#'" &amp; C3338 &amp; "'!" &amp; J3338, J3338), "")</f>
        <v>0</v>
      </c>
    </row>
    <row r="3339" spans="2:2">
      <c r="B3339" s="21">
        <f>IF(AND(C3339&lt;&gt;"", J3339&lt;&gt;""), HYPERLINK("#'" &amp; C3339 &amp; "'!" &amp; J3339, J3339), "")</f>
        <v>0</v>
      </c>
    </row>
    <row r="3340" spans="2:2">
      <c r="B3340" s="21">
        <f>IF(AND(C3340&lt;&gt;"", J3340&lt;&gt;""), HYPERLINK("#'" &amp; C3340 &amp; "'!" &amp; J3340, J3340), "")</f>
        <v>0</v>
      </c>
    </row>
    <row r="3341" spans="2:2">
      <c r="B3341" s="21">
        <f>IF(AND(C3341&lt;&gt;"", J3341&lt;&gt;""), HYPERLINK("#'" &amp; C3341 &amp; "'!" &amp; J3341, J3341), "")</f>
        <v>0</v>
      </c>
    </row>
    <row r="3342" spans="2:2">
      <c r="B3342" s="21">
        <f>IF(AND(C3342&lt;&gt;"", J3342&lt;&gt;""), HYPERLINK("#'" &amp; C3342 &amp; "'!" &amp; J3342, J3342), "")</f>
        <v>0</v>
      </c>
    </row>
    <row r="3343" spans="2:2">
      <c r="B3343" s="21">
        <f>IF(AND(C3343&lt;&gt;"", J3343&lt;&gt;""), HYPERLINK("#'" &amp; C3343 &amp; "'!" &amp; J3343, J3343), "")</f>
        <v>0</v>
      </c>
    </row>
    <row r="3344" spans="2:2">
      <c r="B3344" s="21">
        <f>IF(AND(C3344&lt;&gt;"", J3344&lt;&gt;""), HYPERLINK("#'" &amp; C3344 &amp; "'!" &amp; J3344, J3344), "")</f>
        <v>0</v>
      </c>
    </row>
    <row r="3345" spans="2:2">
      <c r="B3345" s="21">
        <f>IF(AND(C3345&lt;&gt;"", J3345&lt;&gt;""), HYPERLINK("#'" &amp; C3345 &amp; "'!" &amp; J3345, J3345), "")</f>
        <v>0</v>
      </c>
    </row>
    <row r="3346" spans="2:2">
      <c r="B3346" s="21">
        <f>IF(AND(C3346&lt;&gt;"", J3346&lt;&gt;""), HYPERLINK("#'" &amp; C3346 &amp; "'!" &amp; J3346, J3346), "")</f>
        <v>0</v>
      </c>
    </row>
    <row r="3347" spans="2:2">
      <c r="B3347" s="21">
        <f>IF(AND(C3347&lt;&gt;"", J3347&lt;&gt;""), HYPERLINK("#'" &amp; C3347 &amp; "'!" &amp; J3347, J3347), "")</f>
        <v>0</v>
      </c>
    </row>
    <row r="3348" spans="2:2">
      <c r="B3348" s="21">
        <f>IF(AND(C3348&lt;&gt;"", J3348&lt;&gt;""), HYPERLINK("#'" &amp; C3348 &amp; "'!" &amp; J3348, J3348), "")</f>
        <v>0</v>
      </c>
    </row>
    <row r="3349" spans="2:2">
      <c r="B3349" s="21">
        <f>IF(AND(C3349&lt;&gt;"", J3349&lt;&gt;""), HYPERLINK("#'" &amp; C3349 &amp; "'!" &amp; J3349, J3349), "")</f>
        <v>0</v>
      </c>
    </row>
    <row r="3350" spans="2:2">
      <c r="B3350" s="21">
        <f>IF(AND(C3350&lt;&gt;"", J3350&lt;&gt;""), HYPERLINK("#'" &amp; C3350 &amp; "'!" &amp; J3350, J3350), "")</f>
        <v>0</v>
      </c>
    </row>
    <row r="3351" spans="2:2">
      <c r="B3351" s="21">
        <f>IF(AND(C3351&lt;&gt;"", J3351&lt;&gt;""), HYPERLINK("#'" &amp; C3351 &amp; "'!" &amp; J3351, J3351), "")</f>
        <v>0</v>
      </c>
    </row>
    <row r="3352" spans="2:2">
      <c r="B3352" s="21">
        <f>IF(AND(C3352&lt;&gt;"", J3352&lt;&gt;""), HYPERLINK("#'" &amp; C3352 &amp; "'!" &amp; J3352, J3352), "")</f>
        <v>0</v>
      </c>
    </row>
    <row r="3353" spans="2:2">
      <c r="B3353" s="21">
        <f>IF(AND(C3353&lt;&gt;"", J3353&lt;&gt;""), HYPERLINK("#'" &amp; C3353 &amp; "'!" &amp; J3353, J3353), "")</f>
        <v>0</v>
      </c>
    </row>
    <row r="3354" spans="2:2">
      <c r="B3354" s="21">
        <f>IF(AND(C3354&lt;&gt;"", J3354&lt;&gt;""), HYPERLINK("#'" &amp; C3354 &amp; "'!" &amp; J3354, J3354), "")</f>
        <v>0</v>
      </c>
    </row>
    <row r="3355" spans="2:2">
      <c r="B3355" s="21">
        <f>IF(AND(C3355&lt;&gt;"", J3355&lt;&gt;""), HYPERLINK("#'" &amp; C3355 &amp; "'!" &amp; J3355, J3355), "")</f>
        <v>0</v>
      </c>
    </row>
    <row r="3356" spans="2:2">
      <c r="B3356" s="21">
        <f>IF(AND(C3356&lt;&gt;"", J3356&lt;&gt;""), HYPERLINK("#'" &amp; C3356 &amp; "'!" &amp; J3356, J3356), "")</f>
        <v>0</v>
      </c>
    </row>
    <row r="3357" spans="2:2">
      <c r="B3357" s="21">
        <f>IF(AND(C3357&lt;&gt;"", J3357&lt;&gt;""), HYPERLINK("#'" &amp; C3357 &amp; "'!" &amp; J3357, J3357), "")</f>
        <v>0</v>
      </c>
    </row>
    <row r="3358" spans="2:2">
      <c r="B3358" s="21">
        <f>IF(AND(C3358&lt;&gt;"", J3358&lt;&gt;""), HYPERLINK("#'" &amp; C3358 &amp; "'!" &amp; J3358, J3358), "")</f>
        <v>0</v>
      </c>
    </row>
    <row r="3359" spans="2:2">
      <c r="B3359" s="21">
        <f>IF(AND(C3359&lt;&gt;"", J3359&lt;&gt;""), HYPERLINK("#'" &amp; C3359 &amp; "'!" &amp; J3359, J3359), "")</f>
        <v>0</v>
      </c>
    </row>
    <row r="3360" spans="2:2">
      <c r="B3360" s="21">
        <f>IF(AND(C3360&lt;&gt;"", J3360&lt;&gt;""), HYPERLINK("#'" &amp; C3360 &amp; "'!" &amp; J3360, J3360), "")</f>
        <v>0</v>
      </c>
    </row>
    <row r="3361" spans="2:2">
      <c r="B3361" s="21">
        <f>IF(AND(C3361&lt;&gt;"", J3361&lt;&gt;""), HYPERLINK("#'" &amp; C3361 &amp; "'!" &amp; J3361, J3361), "")</f>
        <v>0</v>
      </c>
    </row>
    <row r="3362" spans="2:2">
      <c r="B3362" s="21">
        <f>IF(AND(C3362&lt;&gt;"", J3362&lt;&gt;""), HYPERLINK("#'" &amp; C3362 &amp; "'!" &amp; J3362, J3362), "")</f>
        <v>0</v>
      </c>
    </row>
    <row r="3363" spans="2:2">
      <c r="B3363" s="21">
        <f>IF(AND(C3363&lt;&gt;"", J3363&lt;&gt;""), HYPERLINK("#'" &amp; C3363 &amp; "'!" &amp; J3363, J3363), "")</f>
        <v>0</v>
      </c>
    </row>
    <row r="3364" spans="2:2">
      <c r="B3364" s="21">
        <f>IF(AND(C3364&lt;&gt;"", J3364&lt;&gt;""), HYPERLINK("#'" &amp; C3364 &amp; "'!" &amp; J3364, J3364), "")</f>
        <v>0</v>
      </c>
    </row>
    <row r="3365" spans="2:2">
      <c r="B3365" s="21">
        <f>IF(AND(C3365&lt;&gt;"", J3365&lt;&gt;""), HYPERLINK("#'" &amp; C3365 &amp; "'!" &amp; J3365, J3365), "")</f>
        <v>0</v>
      </c>
    </row>
    <row r="3366" spans="2:2">
      <c r="B3366" s="21">
        <f>IF(AND(C3366&lt;&gt;"", J3366&lt;&gt;""), HYPERLINK("#'" &amp; C3366 &amp; "'!" &amp; J3366, J3366), "")</f>
        <v>0</v>
      </c>
    </row>
    <row r="3367" spans="2:2">
      <c r="B3367" s="21">
        <f>IF(AND(C3367&lt;&gt;"", J3367&lt;&gt;""), HYPERLINK("#'" &amp; C3367 &amp; "'!" &amp; J3367, J3367), "")</f>
        <v>0</v>
      </c>
    </row>
    <row r="3368" spans="2:2">
      <c r="B3368" s="21">
        <f>IF(AND(C3368&lt;&gt;"", J3368&lt;&gt;""), HYPERLINK("#'" &amp; C3368 &amp; "'!" &amp; J3368, J3368), "")</f>
        <v>0</v>
      </c>
    </row>
    <row r="3369" spans="2:2">
      <c r="B3369" s="21">
        <f>IF(AND(C3369&lt;&gt;"", J3369&lt;&gt;""), HYPERLINK("#'" &amp; C3369 &amp; "'!" &amp; J3369, J3369), "")</f>
        <v>0</v>
      </c>
    </row>
    <row r="3370" spans="2:2">
      <c r="B3370" s="21">
        <f>IF(AND(C3370&lt;&gt;"", J3370&lt;&gt;""), HYPERLINK("#'" &amp; C3370 &amp; "'!" &amp; J3370, J3370), "")</f>
        <v>0</v>
      </c>
    </row>
    <row r="3371" spans="2:2">
      <c r="B3371" s="21">
        <f>IF(AND(C3371&lt;&gt;"", J3371&lt;&gt;""), HYPERLINK("#'" &amp; C3371 &amp; "'!" &amp; J3371, J3371), "")</f>
        <v>0</v>
      </c>
    </row>
    <row r="3372" spans="2:2">
      <c r="B3372" s="21">
        <f>IF(AND(C3372&lt;&gt;"", J3372&lt;&gt;""), HYPERLINK("#'" &amp; C3372 &amp; "'!" &amp; J3372, J3372), "")</f>
        <v>0</v>
      </c>
    </row>
    <row r="3373" spans="2:2">
      <c r="B3373" s="21">
        <f>IF(AND(C3373&lt;&gt;"", J3373&lt;&gt;""), HYPERLINK("#'" &amp; C3373 &amp; "'!" &amp; J3373, J3373), "")</f>
        <v>0</v>
      </c>
    </row>
    <row r="3374" spans="2:2">
      <c r="B3374" s="21">
        <f>IF(AND(C3374&lt;&gt;"", J3374&lt;&gt;""), HYPERLINK("#'" &amp; C3374 &amp; "'!" &amp; J3374, J3374), "")</f>
        <v>0</v>
      </c>
    </row>
    <row r="3375" spans="2:2">
      <c r="B3375" s="21">
        <f>IF(AND(C3375&lt;&gt;"", J3375&lt;&gt;""), HYPERLINK("#'" &amp; C3375 &amp; "'!" &amp; J3375, J3375), "")</f>
        <v>0</v>
      </c>
    </row>
    <row r="3376" spans="2:2">
      <c r="B3376" s="21">
        <f>IF(AND(C3376&lt;&gt;"", J3376&lt;&gt;""), HYPERLINK("#'" &amp; C3376 &amp; "'!" &amp; J3376, J3376), "")</f>
        <v>0</v>
      </c>
    </row>
    <row r="3377" spans="2:2">
      <c r="B3377" s="21">
        <f>IF(AND(C3377&lt;&gt;"", J3377&lt;&gt;""), HYPERLINK("#'" &amp; C3377 &amp; "'!" &amp; J3377, J3377), "")</f>
        <v>0</v>
      </c>
    </row>
    <row r="3378" spans="2:2">
      <c r="B3378" s="21">
        <f>IF(AND(C3378&lt;&gt;"", J3378&lt;&gt;""), HYPERLINK("#'" &amp; C3378 &amp; "'!" &amp; J3378, J3378), "")</f>
        <v>0</v>
      </c>
    </row>
    <row r="3379" spans="2:2">
      <c r="B3379" s="21">
        <f>IF(AND(C3379&lt;&gt;"", J3379&lt;&gt;""), HYPERLINK("#'" &amp; C3379 &amp; "'!" &amp; J3379, J3379), "")</f>
        <v>0</v>
      </c>
    </row>
    <row r="3380" spans="2:2">
      <c r="B3380" s="21">
        <f>IF(AND(C3380&lt;&gt;"", J3380&lt;&gt;""), HYPERLINK("#'" &amp; C3380 &amp; "'!" &amp; J3380, J3380), "")</f>
        <v>0</v>
      </c>
    </row>
    <row r="3381" spans="2:2">
      <c r="B3381" s="21">
        <f>IF(AND(C3381&lt;&gt;"", J3381&lt;&gt;""), HYPERLINK("#'" &amp; C3381 &amp; "'!" &amp; J3381, J3381), "")</f>
        <v>0</v>
      </c>
    </row>
    <row r="3382" spans="2:2">
      <c r="B3382" s="21">
        <f>IF(AND(C3382&lt;&gt;"", J3382&lt;&gt;""), HYPERLINK("#'" &amp; C3382 &amp; "'!" &amp; J3382, J3382), "")</f>
        <v>0</v>
      </c>
    </row>
    <row r="3383" spans="2:2">
      <c r="B3383" s="21">
        <f>IF(AND(C3383&lt;&gt;"", J3383&lt;&gt;""), HYPERLINK("#'" &amp; C3383 &amp; "'!" &amp; J3383, J3383), "")</f>
        <v>0</v>
      </c>
    </row>
    <row r="3384" spans="2:2">
      <c r="B3384" s="21">
        <f>IF(AND(C3384&lt;&gt;"", J3384&lt;&gt;""), HYPERLINK("#'" &amp; C3384 &amp; "'!" &amp; J3384, J3384), "")</f>
        <v>0</v>
      </c>
    </row>
    <row r="3385" spans="2:2">
      <c r="B3385" s="21">
        <f>IF(AND(C3385&lt;&gt;"", J3385&lt;&gt;""), HYPERLINK("#'" &amp; C3385 &amp; "'!" &amp; J3385, J3385), "")</f>
        <v>0</v>
      </c>
    </row>
    <row r="3386" spans="2:2">
      <c r="B3386" s="21">
        <f>IF(AND(C3386&lt;&gt;"", J3386&lt;&gt;""), HYPERLINK("#'" &amp; C3386 &amp; "'!" &amp; J3386, J3386), "")</f>
        <v>0</v>
      </c>
    </row>
    <row r="3387" spans="2:2">
      <c r="B3387" s="21">
        <f>IF(AND(C3387&lt;&gt;"", J3387&lt;&gt;""), HYPERLINK("#'" &amp; C3387 &amp; "'!" &amp; J3387, J3387), "")</f>
        <v>0</v>
      </c>
    </row>
    <row r="3388" spans="2:2">
      <c r="B3388" s="21">
        <f>IF(AND(C3388&lt;&gt;"", J3388&lt;&gt;""), HYPERLINK("#'" &amp; C3388 &amp; "'!" &amp; J3388, J3388), "")</f>
        <v>0</v>
      </c>
    </row>
    <row r="3389" spans="2:2">
      <c r="B3389" s="21">
        <f>IF(AND(C3389&lt;&gt;"", J3389&lt;&gt;""), HYPERLINK("#'" &amp; C3389 &amp; "'!" &amp; J3389, J3389), "")</f>
        <v>0</v>
      </c>
    </row>
    <row r="3390" spans="2:2">
      <c r="B3390" s="21">
        <f>IF(AND(C3390&lt;&gt;"", J3390&lt;&gt;""), HYPERLINK("#'" &amp; C3390 &amp; "'!" &amp; J3390, J3390), "")</f>
        <v>0</v>
      </c>
    </row>
    <row r="3391" spans="2:2">
      <c r="B3391" s="21">
        <f>IF(AND(C3391&lt;&gt;"", J3391&lt;&gt;""), HYPERLINK("#'" &amp; C3391 &amp; "'!" &amp; J3391, J3391), "")</f>
        <v>0</v>
      </c>
    </row>
    <row r="3392" spans="2:2">
      <c r="B3392" s="21">
        <f>IF(AND(C3392&lt;&gt;"", J3392&lt;&gt;""), HYPERLINK("#'" &amp; C3392 &amp; "'!" &amp; J3392, J3392), "")</f>
        <v>0</v>
      </c>
    </row>
    <row r="3393" spans="2:2">
      <c r="B3393" s="21">
        <f>IF(AND(C3393&lt;&gt;"", J3393&lt;&gt;""), HYPERLINK("#'" &amp; C3393 &amp; "'!" &amp; J3393, J3393), "")</f>
        <v>0</v>
      </c>
    </row>
    <row r="3394" spans="2:2">
      <c r="B3394" s="21">
        <f>IF(AND(C3394&lt;&gt;"", J3394&lt;&gt;""), HYPERLINK("#'" &amp; C3394 &amp; "'!" &amp; J3394, J3394), "")</f>
        <v>0</v>
      </c>
    </row>
    <row r="3395" spans="2:2">
      <c r="B3395" s="21">
        <f>IF(AND(C3395&lt;&gt;"", J3395&lt;&gt;""), HYPERLINK("#'" &amp; C3395 &amp; "'!" &amp; J3395, J3395), "")</f>
        <v>0</v>
      </c>
    </row>
    <row r="3396" spans="2:2">
      <c r="B3396" s="21">
        <f>IF(AND(C3396&lt;&gt;"", J3396&lt;&gt;""), HYPERLINK("#'" &amp; C3396 &amp; "'!" &amp; J3396, J3396), "")</f>
        <v>0</v>
      </c>
    </row>
    <row r="3397" spans="2:2">
      <c r="B3397" s="21">
        <f>IF(AND(C3397&lt;&gt;"", J3397&lt;&gt;""), HYPERLINK("#'" &amp; C3397 &amp; "'!" &amp; J3397, J3397), "")</f>
        <v>0</v>
      </c>
    </row>
    <row r="3398" spans="2:2">
      <c r="B3398" s="21">
        <f>IF(AND(C3398&lt;&gt;"", J3398&lt;&gt;""), HYPERLINK("#'" &amp; C3398 &amp; "'!" &amp; J3398, J3398), "")</f>
        <v>0</v>
      </c>
    </row>
    <row r="3399" spans="2:2">
      <c r="B3399" s="21">
        <f>IF(AND(C3399&lt;&gt;"", J3399&lt;&gt;""), HYPERLINK("#'" &amp; C3399 &amp; "'!" &amp; J3399, J3399), "")</f>
        <v>0</v>
      </c>
    </row>
    <row r="3400" spans="2:2">
      <c r="B3400" s="21">
        <f>IF(AND(C3400&lt;&gt;"", J3400&lt;&gt;""), HYPERLINK("#'" &amp; C3400 &amp; "'!" &amp; J3400, J3400), "")</f>
        <v>0</v>
      </c>
    </row>
    <row r="3401" spans="2:2">
      <c r="B3401" s="21">
        <f>IF(AND(C3401&lt;&gt;"", J3401&lt;&gt;""), HYPERLINK("#'" &amp; C3401 &amp; "'!" &amp; J3401, J3401), "")</f>
        <v>0</v>
      </c>
    </row>
    <row r="3402" spans="2:2">
      <c r="B3402" s="21">
        <f>IF(AND(C3402&lt;&gt;"", J3402&lt;&gt;""), HYPERLINK("#'" &amp; C3402 &amp; "'!" &amp; J3402, J3402), "")</f>
        <v>0</v>
      </c>
    </row>
    <row r="3403" spans="2:2">
      <c r="B3403" s="21">
        <f>IF(AND(C3403&lt;&gt;"", J3403&lt;&gt;""), HYPERLINK("#'" &amp; C3403 &amp; "'!" &amp; J3403, J3403), "")</f>
        <v>0</v>
      </c>
    </row>
    <row r="3404" spans="2:2">
      <c r="B3404" s="21">
        <f>IF(AND(C3404&lt;&gt;"", J3404&lt;&gt;""), HYPERLINK("#'" &amp; C3404 &amp; "'!" &amp; J3404, J3404), "")</f>
        <v>0</v>
      </c>
    </row>
    <row r="3405" spans="2:2">
      <c r="B3405" s="21">
        <f>IF(AND(C3405&lt;&gt;"", J3405&lt;&gt;""), HYPERLINK("#'" &amp; C3405 &amp; "'!" &amp; J3405, J3405), "")</f>
        <v>0</v>
      </c>
    </row>
    <row r="3406" spans="2:2">
      <c r="B3406" s="21">
        <f>IF(AND(C3406&lt;&gt;"", J3406&lt;&gt;""), HYPERLINK("#'" &amp; C3406 &amp; "'!" &amp; J3406, J3406), "")</f>
        <v>0</v>
      </c>
    </row>
    <row r="3407" spans="2:2">
      <c r="B3407" s="21">
        <f>IF(AND(C3407&lt;&gt;"", J3407&lt;&gt;""), HYPERLINK("#'" &amp; C3407 &amp; "'!" &amp; J3407, J3407), "")</f>
        <v>0</v>
      </c>
    </row>
    <row r="3408" spans="2:2">
      <c r="B3408" s="21">
        <f>IF(AND(C3408&lt;&gt;"", J3408&lt;&gt;""), HYPERLINK("#'" &amp; C3408 &amp; "'!" &amp; J3408, J3408), "")</f>
        <v>0</v>
      </c>
    </row>
    <row r="3409" spans="2:2">
      <c r="B3409" s="21">
        <f>IF(AND(C3409&lt;&gt;"", J3409&lt;&gt;""), HYPERLINK("#'" &amp; C3409 &amp; "'!" &amp; J3409, J3409), "")</f>
        <v>0</v>
      </c>
    </row>
    <row r="3410" spans="2:2">
      <c r="B3410" s="21">
        <f>IF(AND(C3410&lt;&gt;"", J3410&lt;&gt;""), HYPERLINK("#'" &amp; C3410 &amp; "'!" &amp; J3410, J3410), "")</f>
        <v>0</v>
      </c>
    </row>
    <row r="3411" spans="2:2">
      <c r="B3411" s="21">
        <f>IF(AND(C3411&lt;&gt;"", J3411&lt;&gt;""), HYPERLINK("#'" &amp; C3411 &amp; "'!" &amp; J3411, J3411), "")</f>
        <v>0</v>
      </c>
    </row>
    <row r="3412" spans="2:2">
      <c r="B3412" s="21">
        <f>IF(AND(C3412&lt;&gt;"", J3412&lt;&gt;""), HYPERLINK("#'" &amp; C3412 &amp; "'!" &amp; J3412, J3412), "")</f>
        <v>0</v>
      </c>
    </row>
    <row r="3413" spans="2:2">
      <c r="B3413" s="21">
        <f>IF(AND(C3413&lt;&gt;"", J3413&lt;&gt;""), HYPERLINK("#'" &amp; C3413 &amp; "'!" &amp; J3413, J3413), "")</f>
        <v>0</v>
      </c>
    </row>
    <row r="3414" spans="2:2">
      <c r="B3414" s="21">
        <f>IF(AND(C3414&lt;&gt;"", J3414&lt;&gt;""), HYPERLINK("#'" &amp; C3414 &amp; "'!" &amp; J3414, J3414), "")</f>
        <v>0</v>
      </c>
    </row>
    <row r="3415" spans="2:2">
      <c r="B3415" s="21">
        <f>IF(AND(C3415&lt;&gt;"", J3415&lt;&gt;""), HYPERLINK("#'" &amp; C3415 &amp; "'!" &amp; J3415, J3415), "")</f>
        <v>0</v>
      </c>
    </row>
    <row r="3416" spans="2:2">
      <c r="B3416" s="21">
        <f>IF(AND(C3416&lt;&gt;"", J3416&lt;&gt;""), HYPERLINK("#'" &amp; C3416 &amp; "'!" &amp; J3416, J3416), "")</f>
        <v>0</v>
      </c>
    </row>
    <row r="3417" spans="2:2">
      <c r="B3417" s="21">
        <f>IF(AND(C3417&lt;&gt;"", J3417&lt;&gt;""), HYPERLINK("#'" &amp; C3417 &amp; "'!" &amp; J3417, J3417), "")</f>
        <v>0</v>
      </c>
    </row>
    <row r="3418" spans="2:2">
      <c r="B3418" s="21">
        <f>IF(AND(C3418&lt;&gt;"", J3418&lt;&gt;""), HYPERLINK("#'" &amp; C3418 &amp; "'!" &amp; J3418, J3418), "")</f>
        <v>0</v>
      </c>
    </row>
    <row r="3419" spans="2:2">
      <c r="B3419" s="21">
        <f>IF(AND(C3419&lt;&gt;"", J3419&lt;&gt;""), HYPERLINK("#'" &amp; C3419 &amp; "'!" &amp; J3419, J3419), "")</f>
        <v>0</v>
      </c>
    </row>
    <row r="3420" spans="2:2">
      <c r="B3420" s="21">
        <f>IF(AND(C3420&lt;&gt;"", J3420&lt;&gt;""), HYPERLINK("#'" &amp; C3420 &amp; "'!" &amp; J3420, J3420), "")</f>
        <v>0</v>
      </c>
    </row>
    <row r="3421" spans="2:2">
      <c r="B3421" s="21">
        <f>IF(AND(C3421&lt;&gt;"", J3421&lt;&gt;""), HYPERLINK("#'" &amp; C3421 &amp; "'!" &amp; J3421, J3421), "")</f>
        <v>0</v>
      </c>
    </row>
    <row r="3422" spans="2:2">
      <c r="B3422" s="21">
        <f>IF(AND(C3422&lt;&gt;"", J3422&lt;&gt;""), HYPERLINK("#'" &amp; C3422 &amp; "'!" &amp; J3422, J3422), "")</f>
        <v>0</v>
      </c>
    </row>
    <row r="3423" spans="2:2">
      <c r="B3423" s="21">
        <f>IF(AND(C3423&lt;&gt;"", J3423&lt;&gt;""), HYPERLINK("#'" &amp; C3423 &amp; "'!" &amp; J3423, J3423), "")</f>
        <v>0</v>
      </c>
    </row>
    <row r="3424" spans="2:2">
      <c r="B3424" s="21">
        <f>IF(AND(C3424&lt;&gt;"", J3424&lt;&gt;""), HYPERLINK("#'" &amp; C3424 &amp; "'!" &amp; J3424, J3424), "")</f>
        <v>0</v>
      </c>
    </row>
    <row r="3425" spans="2:2">
      <c r="B3425" s="21">
        <f>IF(AND(C3425&lt;&gt;"", J3425&lt;&gt;""), HYPERLINK("#'" &amp; C3425 &amp; "'!" &amp; J3425, J3425), "")</f>
        <v>0</v>
      </c>
    </row>
    <row r="3426" spans="2:2">
      <c r="B3426" s="21">
        <f>IF(AND(C3426&lt;&gt;"", J3426&lt;&gt;""), HYPERLINK("#'" &amp; C3426 &amp; "'!" &amp; J3426, J3426), "")</f>
        <v>0</v>
      </c>
    </row>
    <row r="3427" spans="2:2">
      <c r="B3427" s="21">
        <f>IF(AND(C3427&lt;&gt;"", J3427&lt;&gt;""), HYPERLINK("#'" &amp; C3427 &amp; "'!" &amp; J3427, J3427), "")</f>
        <v>0</v>
      </c>
    </row>
    <row r="3428" spans="2:2">
      <c r="B3428" s="21">
        <f>IF(AND(C3428&lt;&gt;"", J3428&lt;&gt;""), HYPERLINK("#'" &amp; C3428 &amp; "'!" &amp; J3428, J3428), "")</f>
        <v>0</v>
      </c>
    </row>
    <row r="3429" spans="2:2">
      <c r="B3429" s="21">
        <f>IF(AND(C3429&lt;&gt;"", J3429&lt;&gt;""), HYPERLINK("#'" &amp; C3429 &amp; "'!" &amp; J3429, J3429), "")</f>
        <v>0</v>
      </c>
    </row>
    <row r="3430" spans="2:2">
      <c r="B3430" s="21">
        <f>IF(AND(C3430&lt;&gt;"", J3430&lt;&gt;""), HYPERLINK("#'" &amp; C3430 &amp; "'!" &amp; J3430, J3430), "")</f>
        <v>0</v>
      </c>
    </row>
    <row r="3431" spans="2:2">
      <c r="B3431" s="21">
        <f>IF(AND(C3431&lt;&gt;"", J3431&lt;&gt;""), HYPERLINK("#'" &amp; C3431 &amp; "'!" &amp; J3431, J3431), "")</f>
        <v>0</v>
      </c>
    </row>
    <row r="3432" spans="2:2">
      <c r="B3432" s="21">
        <f>IF(AND(C3432&lt;&gt;"", J3432&lt;&gt;""), HYPERLINK("#'" &amp; C3432 &amp; "'!" &amp; J3432, J3432), "")</f>
        <v>0</v>
      </c>
    </row>
    <row r="3433" spans="2:2">
      <c r="B3433" s="21">
        <f>IF(AND(C3433&lt;&gt;"", J3433&lt;&gt;""), HYPERLINK("#'" &amp; C3433 &amp; "'!" &amp; J3433, J3433), "")</f>
        <v>0</v>
      </c>
    </row>
    <row r="3434" spans="2:2">
      <c r="B3434" s="21">
        <f>IF(AND(C3434&lt;&gt;"", J3434&lt;&gt;""), HYPERLINK("#'" &amp; C3434 &amp; "'!" &amp; J3434, J3434), "")</f>
        <v>0</v>
      </c>
    </row>
    <row r="3435" spans="2:2">
      <c r="B3435" s="21">
        <f>IF(AND(C3435&lt;&gt;"", J3435&lt;&gt;""), HYPERLINK("#'" &amp; C3435 &amp; "'!" &amp; J3435, J3435), "")</f>
        <v>0</v>
      </c>
    </row>
    <row r="3436" spans="2:2">
      <c r="B3436" s="21">
        <f>IF(AND(C3436&lt;&gt;"", J3436&lt;&gt;""), HYPERLINK("#'" &amp; C3436 &amp; "'!" &amp; J3436, J3436), "")</f>
        <v>0</v>
      </c>
    </row>
    <row r="3437" spans="2:2">
      <c r="B3437" s="21">
        <f>IF(AND(C3437&lt;&gt;"", J3437&lt;&gt;""), HYPERLINK("#'" &amp; C3437 &amp; "'!" &amp; J3437, J3437), "")</f>
        <v>0</v>
      </c>
    </row>
    <row r="3438" spans="2:2">
      <c r="B3438" s="21">
        <f>IF(AND(C3438&lt;&gt;"", J3438&lt;&gt;""), HYPERLINK("#'" &amp; C3438 &amp; "'!" &amp; J3438, J3438), "")</f>
        <v>0</v>
      </c>
    </row>
    <row r="3439" spans="2:2">
      <c r="B3439" s="21">
        <f>IF(AND(C3439&lt;&gt;"", J3439&lt;&gt;""), HYPERLINK("#'" &amp; C3439 &amp; "'!" &amp; J3439, J3439), "")</f>
        <v>0</v>
      </c>
    </row>
    <row r="3440" spans="2:2">
      <c r="B3440" s="21">
        <f>IF(AND(C3440&lt;&gt;"", J3440&lt;&gt;""), HYPERLINK("#'" &amp; C3440 &amp; "'!" &amp; J3440, J3440), "")</f>
        <v>0</v>
      </c>
    </row>
    <row r="3441" spans="2:2">
      <c r="B3441" s="21">
        <f>IF(AND(C3441&lt;&gt;"", J3441&lt;&gt;""), HYPERLINK("#'" &amp; C3441 &amp; "'!" &amp; J3441, J3441), "")</f>
        <v>0</v>
      </c>
    </row>
    <row r="3442" spans="2:2">
      <c r="B3442" s="21">
        <f>IF(AND(C3442&lt;&gt;"", J3442&lt;&gt;""), HYPERLINK("#'" &amp; C3442 &amp; "'!" &amp; J3442, J3442), "")</f>
        <v>0</v>
      </c>
    </row>
    <row r="3443" spans="2:2">
      <c r="B3443" s="21">
        <f>IF(AND(C3443&lt;&gt;"", J3443&lt;&gt;""), HYPERLINK("#'" &amp; C3443 &amp; "'!" &amp; J3443, J3443), "")</f>
        <v>0</v>
      </c>
    </row>
    <row r="3444" spans="2:2">
      <c r="B3444" s="21">
        <f>IF(AND(C3444&lt;&gt;"", J3444&lt;&gt;""), HYPERLINK("#'" &amp; C3444 &amp; "'!" &amp; J3444, J3444), "")</f>
        <v>0</v>
      </c>
    </row>
    <row r="3445" spans="2:2">
      <c r="B3445" s="21">
        <f>IF(AND(C3445&lt;&gt;"", J3445&lt;&gt;""), HYPERLINK("#'" &amp; C3445 &amp; "'!" &amp; J3445, J3445), "")</f>
        <v>0</v>
      </c>
    </row>
    <row r="3446" spans="2:2">
      <c r="B3446" s="21">
        <f>IF(AND(C3446&lt;&gt;"", J3446&lt;&gt;""), HYPERLINK("#'" &amp; C3446 &amp; "'!" &amp; J3446, J3446), "")</f>
        <v>0</v>
      </c>
    </row>
    <row r="3447" spans="2:2">
      <c r="B3447" s="21">
        <f>IF(AND(C3447&lt;&gt;"", J3447&lt;&gt;""), HYPERLINK("#'" &amp; C3447 &amp; "'!" &amp; J3447, J3447), "")</f>
        <v>0</v>
      </c>
    </row>
    <row r="3448" spans="2:2">
      <c r="B3448" s="21">
        <f>IF(AND(C3448&lt;&gt;"", J3448&lt;&gt;""), HYPERLINK("#'" &amp; C3448 &amp; "'!" &amp; J3448, J3448), "")</f>
        <v>0</v>
      </c>
    </row>
    <row r="3449" spans="2:2">
      <c r="B3449" s="21">
        <f>IF(AND(C3449&lt;&gt;"", J3449&lt;&gt;""), HYPERLINK("#'" &amp; C3449 &amp; "'!" &amp; J3449, J3449), "")</f>
        <v>0</v>
      </c>
    </row>
    <row r="3450" spans="2:2">
      <c r="B3450" s="21">
        <f>IF(AND(C3450&lt;&gt;"", J3450&lt;&gt;""), HYPERLINK("#'" &amp; C3450 &amp; "'!" &amp; J3450, J3450), "")</f>
        <v>0</v>
      </c>
    </row>
    <row r="3451" spans="2:2">
      <c r="B3451" s="21">
        <f>IF(AND(C3451&lt;&gt;"", J3451&lt;&gt;""), HYPERLINK("#'" &amp; C3451 &amp; "'!" &amp; J3451, J3451), "")</f>
        <v>0</v>
      </c>
    </row>
    <row r="3452" spans="2:2">
      <c r="B3452" s="21">
        <f>IF(AND(C3452&lt;&gt;"", J3452&lt;&gt;""), HYPERLINK("#'" &amp; C3452 &amp; "'!" &amp; J3452, J3452), "")</f>
        <v>0</v>
      </c>
    </row>
    <row r="3453" spans="2:2">
      <c r="B3453" s="21">
        <f>IF(AND(C3453&lt;&gt;"", J3453&lt;&gt;""), HYPERLINK("#'" &amp; C3453 &amp; "'!" &amp; J3453, J3453), "")</f>
        <v>0</v>
      </c>
    </row>
    <row r="3454" spans="2:2">
      <c r="B3454" s="21">
        <f>IF(AND(C3454&lt;&gt;"", J3454&lt;&gt;""), HYPERLINK("#'" &amp; C3454 &amp; "'!" &amp; J3454, J3454), "")</f>
        <v>0</v>
      </c>
    </row>
    <row r="3455" spans="2:2">
      <c r="B3455" s="21">
        <f>IF(AND(C3455&lt;&gt;"", J3455&lt;&gt;""), HYPERLINK("#'" &amp; C3455 &amp; "'!" &amp; J3455, J3455), "")</f>
        <v>0</v>
      </c>
    </row>
    <row r="3456" spans="2:2">
      <c r="B3456" s="21">
        <f>IF(AND(C3456&lt;&gt;"", J3456&lt;&gt;""), HYPERLINK("#'" &amp; C3456 &amp; "'!" &amp; J3456, J3456), "")</f>
        <v>0</v>
      </c>
    </row>
    <row r="3457" spans="2:2">
      <c r="B3457" s="21">
        <f>IF(AND(C3457&lt;&gt;"", J3457&lt;&gt;""), HYPERLINK("#'" &amp; C3457 &amp; "'!" &amp; J3457, J3457), "")</f>
        <v>0</v>
      </c>
    </row>
    <row r="3458" spans="2:2">
      <c r="B3458" s="21">
        <f>IF(AND(C3458&lt;&gt;"", J3458&lt;&gt;""), HYPERLINK("#'" &amp; C3458 &amp; "'!" &amp; J3458, J3458), "")</f>
        <v>0</v>
      </c>
    </row>
    <row r="3459" spans="2:2">
      <c r="B3459" s="21">
        <f>IF(AND(C3459&lt;&gt;"", J3459&lt;&gt;""), HYPERLINK("#'" &amp; C3459 &amp; "'!" &amp; J3459, J3459), "")</f>
        <v>0</v>
      </c>
    </row>
    <row r="3460" spans="2:2">
      <c r="B3460" s="21">
        <f>IF(AND(C3460&lt;&gt;"", J3460&lt;&gt;""), HYPERLINK("#'" &amp; C3460 &amp; "'!" &amp; J3460, J3460), "")</f>
        <v>0</v>
      </c>
    </row>
    <row r="3461" spans="2:2">
      <c r="B3461" s="21">
        <f>IF(AND(C3461&lt;&gt;"", J3461&lt;&gt;""), HYPERLINK("#'" &amp; C3461 &amp; "'!" &amp; J3461, J3461), "")</f>
        <v>0</v>
      </c>
    </row>
    <row r="3462" spans="2:2">
      <c r="B3462" s="21">
        <f>IF(AND(C3462&lt;&gt;"", J3462&lt;&gt;""), HYPERLINK("#'" &amp; C3462 &amp; "'!" &amp; J3462, J3462), "")</f>
        <v>0</v>
      </c>
    </row>
    <row r="3463" spans="2:2">
      <c r="B3463" s="21">
        <f>IF(AND(C3463&lt;&gt;"", J3463&lt;&gt;""), HYPERLINK("#'" &amp; C3463 &amp; "'!" &amp; J3463, J3463), "")</f>
        <v>0</v>
      </c>
    </row>
    <row r="3464" spans="2:2">
      <c r="B3464" s="21">
        <f>IF(AND(C3464&lt;&gt;"", J3464&lt;&gt;""), HYPERLINK("#'" &amp; C3464 &amp; "'!" &amp; J3464, J3464), "")</f>
        <v>0</v>
      </c>
    </row>
    <row r="3465" spans="2:2">
      <c r="B3465" s="21">
        <f>IF(AND(C3465&lt;&gt;"", J3465&lt;&gt;""), HYPERLINK("#'" &amp; C3465 &amp; "'!" &amp; J3465, J3465), "")</f>
        <v>0</v>
      </c>
    </row>
    <row r="3466" spans="2:2">
      <c r="B3466" s="21">
        <f>IF(AND(C3466&lt;&gt;"", J3466&lt;&gt;""), HYPERLINK("#'" &amp; C3466 &amp; "'!" &amp; J3466, J3466), "")</f>
        <v>0</v>
      </c>
    </row>
    <row r="3467" spans="2:2">
      <c r="B3467" s="21">
        <f>IF(AND(C3467&lt;&gt;"", J3467&lt;&gt;""), HYPERLINK("#'" &amp; C3467 &amp; "'!" &amp; J3467, J3467), "")</f>
        <v>0</v>
      </c>
    </row>
    <row r="3468" spans="2:2">
      <c r="B3468" s="21">
        <f>IF(AND(C3468&lt;&gt;"", J3468&lt;&gt;""), HYPERLINK("#'" &amp; C3468 &amp; "'!" &amp; J3468, J3468), "")</f>
        <v>0</v>
      </c>
    </row>
    <row r="3469" spans="2:2">
      <c r="B3469" s="21">
        <f>IF(AND(C3469&lt;&gt;"", J3469&lt;&gt;""), HYPERLINK("#'" &amp; C3469 &amp; "'!" &amp; J3469, J3469), "")</f>
        <v>0</v>
      </c>
    </row>
    <row r="3470" spans="2:2">
      <c r="B3470" s="21">
        <f>IF(AND(C3470&lt;&gt;"", J3470&lt;&gt;""), HYPERLINK("#'" &amp; C3470 &amp; "'!" &amp; J3470, J3470), "")</f>
        <v>0</v>
      </c>
    </row>
    <row r="3471" spans="2:2">
      <c r="B3471" s="21">
        <f>IF(AND(C3471&lt;&gt;"", J3471&lt;&gt;""), HYPERLINK("#'" &amp; C3471 &amp; "'!" &amp; J3471, J3471), "")</f>
        <v>0</v>
      </c>
    </row>
    <row r="3472" spans="2:2">
      <c r="B3472" s="21">
        <f>IF(AND(C3472&lt;&gt;"", J3472&lt;&gt;""), HYPERLINK("#'" &amp; C3472 &amp; "'!" &amp; J3472, J3472), "")</f>
        <v>0</v>
      </c>
    </row>
    <row r="3473" spans="2:2">
      <c r="B3473" s="21">
        <f>IF(AND(C3473&lt;&gt;"", J3473&lt;&gt;""), HYPERLINK("#'" &amp; C3473 &amp; "'!" &amp; J3473, J3473), "")</f>
        <v>0</v>
      </c>
    </row>
    <row r="3474" spans="2:2">
      <c r="B3474" s="21">
        <f>IF(AND(C3474&lt;&gt;"", J3474&lt;&gt;""), HYPERLINK("#'" &amp; C3474 &amp; "'!" &amp; J3474, J3474), "")</f>
        <v>0</v>
      </c>
    </row>
    <row r="3475" spans="2:2">
      <c r="B3475" s="21">
        <f>IF(AND(C3475&lt;&gt;"", J3475&lt;&gt;""), HYPERLINK("#'" &amp; C3475 &amp; "'!" &amp; J3475, J3475), "")</f>
        <v>0</v>
      </c>
    </row>
    <row r="3476" spans="2:2">
      <c r="B3476" s="21">
        <f>IF(AND(C3476&lt;&gt;"", J3476&lt;&gt;""), HYPERLINK("#'" &amp; C3476 &amp; "'!" &amp; J3476, J3476), "")</f>
        <v>0</v>
      </c>
    </row>
    <row r="3477" spans="2:2">
      <c r="B3477" s="21">
        <f>IF(AND(C3477&lt;&gt;"", J3477&lt;&gt;""), HYPERLINK("#'" &amp; C3477 &amp; "'!" &amp; J3477, J3477), "")</f>
        <v>0</v>
      </c>
    </row>
    <row r="3478" spans="2:2">
      <c r="B3478" s="21">
        <f>IF(AND(C3478&lt;&gt;"", J3478&lt;&gt;""), HYPERLINK("#'" &amp; C3478 &amp; "'!" &amp; J3478, J3478), "")</f>
        <v>0</v>
      </c>
    </row>
    <row r="3479" spans="2:2">
      <c r="B3479" s="21">
        <f>IF(AND(C3479&lt;&gt;"", J3479&lt;&gt;""), HYPERLINK("#'" &amp; C3479 &amp; "'!" &amp; J3479, J3479), "")</f>
        <v>0</v>
      </c>
    </row>
    <row r="3480" spans="2:2">
      <c r="B3480" s="21">
        <f>IF(AND(C3480&lt;&gt;"", J3480&lt;&gt;""), HYPERLINK("#'" &amp; C3480 &amp; "'!" &amp; J3480, J3480), "")</f>
        <v>0</v>
      </c>
    </row>
    <row r="3481" spans="2:2">
      <c r="B3481" s="21">
        <f>IF(AND(C3481&lt;&gt;"", J3481&lt;&gt;""), HYPERLINK("#'" &amp; C3481 &amp; "'!" &amp; J3481, J3481), "")</f>
        <v>0</v>
      </c>
    </row>
    <row r="3482" spans="2:2">
      <c r="B3482" s="21">
        <f>IF(AND(C3482&lt;&gt;"", J3482&lt;&gt;""), HYPERLINK("#'" &amp; C3482 &amp; "'!" &amp; J3482, J3482), "")</f>
        <v>0</v>
      </c>
    </row>
    <row r="3483" spans="2:2">
      <c r="B3483" s="21">
        <f>IF(AND(C3483&lt;&gt;"", J3483&lt;&gt;""), HYPERLINK("#'" &amp; C3483 &amp; "'!" &amp; J3483, J3483), "")</f>
        <v>0</v>
      </c>
    </row>
    <row r="3484" spans="2:2">
      <c r="B3484" s="21">
        <f>IF(AND(C3484&lt;&gt;"", J3484&lt;&gt;""), HYPERLINK("#'" &amp; C3484 &amp; "'!" &amp; J3484, J3484), "")</f>
        <v>0</v>
      </c>
    </row>
    <row r="3485" spans="2:2">
      <c r="B3485" s="21">
        <f>IF(AND(C3485&lt;&gt;"", J3485&lt;&gt;""), HYPERLINK("#'" &amp; C3485 &amp; "'!" &amp; J3485, J3485), "")</f>
        <v>0</v>
      </c>
    </row>
    <row r="3486" spans="2:2">
      <c r="B3486" s="21">
        <f>IF(AND(C3486&lt;&gt;"", J3486&lt;&gt;""), HYPERLINK("#'" &amp; C3486 &amp; "'!" &amp; J3486, J3486), "")</f>
        <v>0</v>
      </c>
    </row>
    <row r="3487" spans="2:2">
      <c r="B3487" s="21">
        <f>IF(AND(C3487&lt;&gt;"", J3487&lt;&gt;""), HYPERLINK("#'" &amp; C3487 &amp; "'!" &amp; J3487, J3487), "")</f>
        <v>0</v>
      </c>
    </row>
    <row r="3488" spans="2:2">
      <c r="B3488" s="21">
        <f>IF(AND(C3488&lt;&gt;"", J3488&lt;&gt;""), HYPERLINK("#'" &amp; C3488 &amp; "'!" &amp; J3488, J3488), "")</f>
        <v>0</v>
      </c>
    </row>
    <row r="3489" spans="2:2">
      <c r="B3489" s="21">
        <f>IF(AND(C3489&lt;&gt;"", J3489&lt;&gt;""), HYPERLINK("#'" &amp; C3489 &amp; "'!" &amp; J3489, J3489), "")</f>
        <v>0</v>
      </c>
    </row>
    <row r="3490" spans="2:2">
      <c r="B3490" s="21">
        <f>IF(AND(C3490&lt;&gt;"", J3490&lt;&gt;""), HYPERLINK("#'" &amp; C3490 &amp; "'!" &amp; J3490, J3490), "")</f>
        <v>0</v>
      </c>
    </row>
    <row r="3491" spans="2:2">
      <c r="B3491" s="21">
        <f>IF(AND(C3491&lt;&gt;"", J3491&lt;&gt;""), HYPERLINK("#'" &amp; C3491 &amp; "'!" &amp; J3491, J3491), "")</f>
        <v>0</v>
      </c>
    </row>
    <row r="3492" spans="2:2">
      <c r="B3492" s="21">
        <f>IF(AND(C3492&lt;&gt;"", J3492&lt;&gt;""), HYPERLINK("#'" &amp; C3492 &amp; "'!" &amp; J3492, J3492), "")</f>
        <v>0</v>
      </c>
    </row>
    <row r="3493" spans="2:2">
      <c r="B3493" s="21">
        <f>IF(AND(C3493&lt;&gt;"", J3493&lt;&gt;""), HYPERLINK("#'" &amp; C3493 &amp; "'!" &amp; J3493, J3493), "")</f>
        <v>0</v>
      </c>
    </row>
    <row r="3494" spans="2:2">
      <c r="B3494" s="21">
        <f>IF(AND(C3494&lt;&gt;"", J3494&lt;&gt;""), HYPERLINK("#'" &amp; C3494 &amp; "'!" &amp; J3494, J3494), "")</f>
        <v>0</v>
      </c>
    </row>
    <row r="3495" spans="2:2">
      <c r="B3495" s="21">
        <f>IF(AND(C3495&lt;&gt;"", J3495&lt;&gt;""), HYPERLINK("#'" &amp; C3495 &amp; "'!" &amp; J3495, J3495), "")</f>
        <v>0</v>
      </c>
    </row>
    <row r="3496" spans="2:2">
      <c r="B3496" s="21">
        <f>IF(AND(C3496&lt;&gt;"", J3496&lt;&gt;""), HYPERLINK("#'" &amp; C3496 &amp; "'!" &amp; J3496, J3496), "")</f>
        <v>0</v>
      </c>
    </row>
    <row r="3497" spans="2:2">
      <c r="B3497" s="21">
        <f>IF(AND(C3497&lt;&gt;"", J3497&lt;&gt;""), HYPERLINK("#'" &amp; C3497 &amp; "'!" &amp; J3497, J3497), "")</f>
        <v>0</v>
      </c>
    </row>
    <row r="3498" spans="2:2">
      <c r="B3498" s="21">
        <f>IF(AND(C3498&lt;&gt;"", J3498&lt;&gt;""), HYPERLINK("#'" &amp; C3498 &amp; "'!" &amp; J3498, J3498), "")</f>
        <v>0</v>
      </c>
    </row>
    <row r="3499" spans="2:2">
      <c r="B3499" s="21">
        <f>IF(AND(C3499&lt;&gt;"", J3499&lt;&gt;""), HYPERLINK("#'" &amp; C3499 &amp; "'!" &amp; J3499, J3499), "")</f>
        <v>0</v>
      </c>
    </row>
    <row r="3500" spans="2:2">
      <c r="B3500" s="21">
        <f>IF(AND(C3500&lt;&gt;"", J3500&lt;&gt;""), HYPERLINK("#'" &amp; C3500 &amp; "'!" &amp; J3500, J3500), "")</f>
        <v>0</v>
      </c>
    </row>
    <row r="3501" spans="2:2">
      <c r="B3501" s="21">
        <f>IF(AND(C3501&lt;&gt;"", J3501&lt;&gt;""), HYPERLINK("#'" &amp; C3501 &amp; "'!" &amp; J3501, J3501), "")</f>
        <v>0</v>
      </c>
    </row>
    <row r="3502" spans="2:2">
      <c r="B3502" s="21">
        <f>IF(AND(C3502&lt;&gt;"", J3502&lt;&gt;""), HYPERLINK("#'" &amp; C3502 &amp; "'!" &amp; J3502, J3502), "")</f>
        <v>0</v>
      </c>
    </row>
    <row r="3503" spans="2:2">
      <c r="B3503" s="21">
        <f>IF(AND(C3503&lt;&gt;"", J3503&lt;&gt;""), HYPERLINK("#'" &amp; C3503 &amp; "'!" &amp; J3503, J3503), "")</f>
        <v>0</v>
      </c>
    </row>
    <row r="3504" spans="2:2">
      <c r="B3504" s="21">
        <f>IF(AND(C3504&lt;&gt;"", J3504&lt;&gt;""), HYPERLINK("#'" &amp; C3504 &amp; "'!" &amp; J3504, J3504), "")</f>
        <v>0</v>
      </c>
    </row>
    <row r="3505" spans="2:2">
      <c r="B3505" s="21">
        <f>IF(AND(C3505&lt;&gt;"", J3505&lt;&gt;""), HYPERLINK("#'" &amp; C3505 &amp; "'!" &amp; J3505, J3505), "")</f>
        <v>0</v>
      </c>
    </row>
    <row r="3506" spans="2:2">
      <c r="B3506" s="21">
        <f>IF(AND(C3506&lt;&gt;"", J3506&lt;&gt;""), HYPERLINK("#'" &amp; C3506 &amp; "'!" &amp; J3506, J3506), "")</f>
        <v>0</v>
      </c>
    </row>
    <row r="3507" spans="2:2">
      <c r="B3507" s="21">
        <f>IF(AND(C3507&lt;&gt;"", J3507&lt;&gt;""), HYPERLINK("#'" &amp; C3507 &amp; "'!" &amp; J3507, J3507), "")</f>
        <v>0</v>
      </c>
    </row>
    <row r="3508" spans="2:2">
      <c r="B3508" s="21">
        <f>IF(AND(C3508&lt;&gt;"", J3508&lt;&gt;""), HYPERLINK("#'" &amp; C3508 &amp; "'!" &amp; J3508, J3508), "")</f>
        <v>0</v>
      </c>
    </row>
    <row r="3509" spans="2:2">
      <c r="B3509" s="21">
        <f>IF(AND(C3509&lt;&gt;"", J3509&lt;&gt;""), HYPERLINK("#'" &amp; C3509 &amp; "'!" &amp; J3509, J3509), "")</f>
        <v>0</v>
      </c>
    </row>
    <row r="3510" spans="2:2">
      <c r="B3510" s="21">
        <f>IF(AND(C3510&lt;&gt;"", J3510&lt;&gt;""), HYPERLINK("#'" &amp; C3510 &amp; "'!" &amp; J3510, J3510), "")</f>
        <v>0</v>
      </c>
    </row>
    <row r="3511" spans="2:2">
      <c r="B3511" s="21">
        <f>IF(AND(C3511&lt;&gt;"", J3511&lt;&gt;""), HYPERLINK("#'" &amp; C3511 &amp; "'!" &amp; J3511, J3511), "")</f>
        <v>0</v>
      </c>
    </row>
    <row r="3512" spans="2:2">
      <c r="B3512" s="21">
        <f>IF(AND(C3512&lt;&gt;"", J3512&lt;&gt;""), HYPERLINK("#'" &amp; C3512 &amp; "'!" &amp; J3512, J3512), "")</f>
        <v>0</v>
      </c>
    </row>
    <row r="3513" spans="2:2">
      <c r="B3513" s="21">
        <f>IF(AND(C3513&lt;&gt;"", J3513&lt;&gt;""), HYPERLINK("#'" &amp; C3513 &amp; "'!" &amp; J3513, J3513), "")</f>
        <v>0</v>
      </c>
    </row>
    <row r="3514" spans="2:2">
      <c r="B3514" s="21">
        <f>IF(AND(C3514&lt;&gt;"", J3514&lt;&gt;""), HYPERLINK("#'" &amp; C3514 &amp; "'!" &amp; J3514, J3514), "")</f>
        <v>0</v>
      </c>
    </row>
    <row r="3515" spans="2:2">
      <c r="B3515" s="21">
        <f>IF(AND(C3515&lt;&gt;"", J3515&lt;&gt;""), HYPERLINK("#'" &amp; C3515 &amp; "'!" &amp; J3515, J3515), "")</f>
        <v>0</v>
      </c>
    </row>
    <row r="3516" spans="2:2">
      <c r="B3516" s="21">
        <f>IF(AND(C3516&lt;&gt;"", J3516&lt;&gt;""), HYPERLINK("#'" &amp; C3516 &amp; "'!" &amp; J3516, J3516), "")</f>
        <v>0</v>
      </c>
    </row>
    <row r="3517" spans="2:2">
      <c r="B3517" s="21">
        <f>IF(AND(C3517&lt;&gt;"", J3517&lt;&gt;""), HYPERLINK("#'" &amp; C3517 &amp; "'!" &amp; J3517, J3517), "")</f>
        <v>0</v>
      </c>
    </row>
    <row r="3518" spans="2:2">
      <c r="B3518" s="21">
        <f>IF(AND(C3518&lt;&gt;"", J3518&lt;&gt;""), HYPERLINK("#'" &amp; C3518 &amp; "'!" &amp; J3518, J3518), "")</f>
        <v>0</v>
      </c>
    </row>
    <row r="3519" spans="2:2">
      <c r="B3519" s="21">
        <f>IF(AND(C3519&lt;&gt;"", J3519&lt;&gt;""), HYPERLINK("#'" &amp; C3519 &amp; "'!" &amp; J3519, J3519), "")</f>
        <v>0</v>
      </c>
    </row>
    <row r="3520" spans="2:2">
      <c r="B3520" s="21">
        <f>IF(AND(C3520&lt;&gt;"", J3520&lt;&gt;""), HYPERLINK("#'" &amp; C3520 &amp; "'!" &amp; J3520, J3520), "")</f>
        <v>0</v>
      </c>
    </row>
    <row r="3521" spans="2:2">
      <c r="B3521" s="21">
        <f>IF(AND(C3521&lt;&gt;"", J3521&lt;&gt;""), HYPERLINK("#'" &amp; C3521 &amp; "'!" &amp; J3521, J3521), "")</f>
        <v>0</v>
      </c>
    </row>
    <row r="3522" spans="2:2">
      <c r="B3522" s="21">
        <f>IF(AND(C3522&lt;&gt;"", J3522&lt;&gt;""), HYPERLINK("#'" &amp; C3522 &amp; "'!" &amp; J3522, J3522), "")</f>
        <v>0</v>
      </c>
    </row>
    <row r="3523" spans="2:2">
      <c r="B3523" s="21">
        <f>IF(AND(C3523&lt;&gt;"", J3523&lt;&gt;""), HYPERLINK("#'" &amp; C3523 &amp; "'!" &amp; J3523, J3523), "")</f>
        <v>0</v>
      </c>
    </row>
    <row r="3524" spans="2:2">
      <c r="B3524" s="21">
        <f>IF(AND(C3524&lt;&gt;"", J3524&lt;&gt;""), HYPERLINK("#'" &amp; C3524 &amp; "'!" &amp; J3524, J3524), "")</f>
        <v>0</v>
      </c>
    </row>
    <row r="3525" spans="2:2">
      <c r="B3525" s="21">
        <f>IF(AND(C3525&lt;&gt;"", J3525&lt;&gt;""), HYPERLINK("#'" &amp; C3525 &amp; "'!" &amp; J3525, J3525), "")</f>
        <v>0</v>
      </c>
    </row>
    <row r="3526" spans="2:2">
      <c r="B3526" s="21">
        <f>IF(AND(C3526&lt;&gt;"", J3526&lt;&gt;""), HYPERLINK("#'" &amp; C3526 &amp; "'!" &amp; J3526, J3526), "")</f>
        <v>0</v>
      </c>
    </row>
    <row r="3527" spans="2:2">
      <c r="B3527" s="21">
        <f>IF(AND(C3527&lt;&gt;"", J3527&lt;&gt;""), HYPERLINK("#'" &amp; C3527 &amp; "'!" &amp; J3527, J3527), "")</f>
        <v>0</v>
      </c>
    </row>
    <row r="3528" spans="2:2">
      <c r="B3528" s="21">
        <f>IF(AND(C3528&lt;&gt;"", J3528&lt;&gt;""), HYPERLINK("#'" &amp; C3528 &amp; "'!" &amp; J3528, J3528), "")</f>
        <v>0</v>
      </c>
    </row>
    <row r="3529" spans="2:2">
      <c r="B3529" s="21">
        <f>IF(AND(C3529&lt;&gt;"", J3529&lt;&gt;""), HYPERLINK("#'" &amp; C3529 &amp; "'!" &amp; J3529, J3529), "")</f>
        <v>0</v>
      </c>
    </row>
    <row r="3530" spans="2:2">
      <c r="B3530" s="21">
        <f>IF(AND(C3530&lt;&gt;"", J3530&lt;&gt;""), HYPERLINK("#'" &amp; C3530 &amp; "'!" &amp; J3530, J3530), "")</f>
        <v>0</v>
      </c>
    </row>
    <row r="3531" spans="2:2">
      <c r="B3531" s="21">
        <f>IF(AND(C3531&lt;&gt;"", J3531&lt;&gt;""), HYPERLINK("#'" &amp; C3531 &amp; "'!" &amp; J3531, J3531), "")</f>
        <v>0</v>
      </c>
    </row>
    <row r="3532" spans="2:2">
      <c r="B3532" s="21">
        <f>IF(AND(C3532&lt;&gt;"", J3532&lt;&gt;""), HYPERLINK("#'" &amp; C3532 &amp; "'!" &amp; J3532, J3532), "")</f>
        <v>0</v>
      </c>
    </row>
    <row r="3533" spans="2:2">
      <c r="B3533" s="21">
        <f>IF(AND(C3533&lt;&gt;"", J3533&lt;&gt;""), HYPERLINK("#'" &amp; C3533 &amp; "'!" &amp; J3533, J3533), "")</f>
        <v>0</v>
      </c>
    </row>
    <row r="3534" spans="2:2">
      <c r="B3534" s="21">
        <f>IF(AND(C3534&lt;&gt;"", J3534&lt;&gt;""), HYPERLINK("#'" &amp; C3534 &amp; "'!" &amp; J3534, J3534), "")</f>
        <v>0</v>
      </c>
    </row>
    <row r="3535" spans="2:2">
      <c r="B3535" s="21">
        <f>IF(AND(C3535&lt;&gt;"", J3535&lt;&gt;""), HYPERLINK("#'" &amp; C3535 &amp; "'!" &amp; J3535, J3535), "")</f>
        <v>0</v>
      </c>
    </row>
    <row r="3536" spans="2:2">
      <c r="B3536" s="21">
        <f>IF(AND(C3536&lt;&gt;"", J3536&lt;&gt;""), HYPERLINK("#'" &amp; C3536 &amp; "'!" &amp; J3536, J3536), "")</f>
        <v>0</v>
      </c>
    </row>
    <row r="3537" spans="2:2">
      <c r="B3537" s="21">
        <f>IF(AND(C3537&lt;&gt;"", J3537&lt;&gt;""), HYPERLINK("#'" &amp; C3537 &amp; "'!" &amp; J3537, J3537), "")</f>
        <v>0</v>
      </c>
    </row>
    <row r="3538" spans="2:2">
      <c r="B3538" s="21">
        <f>IF(AND(C3538&lt;&gt;"", J3538&lt;&gt;""), HYPERLINK("#'" &amp; C3538 &amp; "'!" &amp; J3538, J3538), "")</f>
        <v>0</v>
      </c>
    </row>
    <row r="3539" spans="2:2">
      <c r="B3539" s="21">
        <f>IF(AND(C3539&lt;&gt;"", J3539&lt;&gt;""), HYPERLINK("#'" &amp; C3539 &amp; "'!" &amp; J3539, J3539), "")</f>
        <v>0</v>
      </c>
    </row>
    <row r="3540" spans="2:2">
      <c r="B3540" s="21">
        <f>IF(AND(C3540&lt;&gt;"", J3540&lt;&gt;""), HYPERLINK("#'" &amp; C3540 &amp; "'!" &amp; J3540, J3540), "")</f>
        <v>0</v>
      </c>
    </row>
    <row r="3541" spans="2:2">
      <c r="B3541" s="21">
        <f>IF(AND(C3541&lt;&gt;"", J3541&lt;&gt;""), HYPERLINK("#'" &amp; C3541 &amp; "'!" &amp; J3541, J3541), "")</f>
        <v>0</v>
      </c>
    </row>
    <row r="3542" spans="2:2">
      <c r="B3542" s="21">
        <f>IF(AND(C3542&lt;&gt;"", J3542&lt;&gt;""), HYPERLINK("#'" &amp; C3542 &amp; "'!" &amp; J3542, J3542), "")</f>
        <v>0</v>
      </c>
    </row>
    <row r="3543" spans="2:2">
      <c r="B3543" s="21">
        <f>IF(AND(C3543&lt;&gt;"", J3543&lt;&gt;""), HYPERLINK("#'" &amp; C3543 &amp; "'!" &amp; J3543, J3543), "")</f>
        <v>0</v>
      </c>
    </row>
    <row r="3544" spans="2:2">
      <c r="B3544" s="21">
        <f>IF(AND(C3544&lt;&gt;"", J3544&lt;&gt;""), HYPERLINK("#'" &amp; C3544 &amp; "'!" &amp; J3544, J3544), "")</f>
        <v>0</v>
      </c>
    </row>
    <row r="3545" spans="2:2">
      <c r="B3545" s="21">
        <f>IF(AND(C3545&lt;&gt;"", J3545&lt;&gt;""), HYPERLINK("#'" &amp; C3545 &amp; "'!" &amp; J3545, J3545), "")</f>
        <v>0</v>
      </c>
    </row>
    <row r="3546" spans="2:2">
      <c r="B3546" s="21">
        <f>IF(AND(C3546&lt;&gt;"", J3546&lt;&gt;""), HYPERLINK("#'" &amp; C3546 &amp; "'!" &amp; J3546, J3546), "")</f>
        <v>0</v>
      </c>
    </row>
    <row r="3547" spans="2:2">
      <c r="B3547" s="21">
        <f>IF(AND(C3547&lt;&gt;"", J3547&lt;&gt;""), HYPERLINK("#'" &amp; C3547 &amp; "'!" &amp; J3547, J3547), "")</f>
        <v>0</v>
      </c>
    </row>
    <row r="3548" spans="2:2">
      <c r="B3548" s="21">
        <f>IF(AND(C3548&lt;&gt;"", J3548&lt;&gt;""), HYPERLINK("#'" &amp; C3548 &amp; "'!" &amp; J3548, J3548), "")</f>
        <v>0</v>
      </c>
    </row>
    <row r="3549" spans="2:2">
      <c r="B3549" s="21">
        <f>IF(AND(C3549&lt;&gt;"", J3549&lt;&gt;""), HYPERLINK("#'" &amp; C3549 &amp; "'!" &amp; J3549, J3549), "")</f>
        <v>0</v>
      </c>
    </row>
    <row r="3550" spans="2:2">
      <c r="B3550" s="21">
        <f>IF(AND(C3550&lt;&gt;"", J3550&lt;&gt;""), HYPERLINK("#'" &amp; C3550 &amp; "'!" &amp; J3550, J3550), "")</f>
        <v>0</v>
      </c>
    </row>
    <row r="3551" spans="2:2">
      <c r="B3551" s="21">
        <f>IF(AND(C3551&lt;&gt;"", J3551&lt;&gt;""), HYPERLINK("#'" &amp; C3551 &amp; "'!" &amp; J3551, J3551), "")</f>
        <v>0</v>
      </c>
    </row>
    <row r="3552" spans="2:2">
      <c r="B3552" s="21">
        <f>IF(AND(C3552&lt;&gt;"", J3552&lt;&gt;""), HYPERLINK("#'" &amp; C3552 &amp; "'!" &amp; J3552, J3552), "")</f>
        <v>0</v>
      </c>
    </row>
    <row r="3553" spans="2:2">
      <c r="B3553" s="21">
        <f>IF(AND(C3553&lt;&gt;"", J3553&lt;&gt;""), HYPERLINK("#'" &amp; C3553 &amp; "'!" &amp; J3553, J3553), "")</f>
        <v>0</v>
      </c>
    </row>
    <row r="3554" spans="2:2">
      <c r="B3554" s="21">
        <f>IF(AND(C3554&lt;&gt;"", J3554&lt;&gt;""), HYPERLINK("#'" &amp; C3554 &amp; "'!" &amp; J3554, J3554), "")</f>
        <v>0</v>
      </c>
    </row>
    <row r="3555" spans="2:2">
      <c r="B3555" s="21">
        <f>IF(AND(C3555&lt;&gt;"", J3555&lt;&gt;""), HYPERLINK("#'" &amp; C3555 &amp; "'!" &amp; J3555, J3555), "")</f>
        <v>0</v>
      </c>
    </row>
    <row r="3556" spans="2:2">
      <c r="B3556" s="21">
        <f>IF(AND(C3556&lt;&gt;"", J3556&lt;&gt;""), HYPERLINK("#'" &amp; C3556 &amp; "'!" &amp; J3556, J3556), "")</f>
        <v>0</v>
      </c>
    </row>
    <row r="3557" spans="2:2">
      <c r="B3557" s="21">
        <f>IF(AND(C3557&lt;&gt;"", J3557&lt;&gt;""), HYPERLINK("#'" &amp; C3557 &amp; "'!" &amp; J3557, J3557), "")</f>
        <v>0</v>
      </c>
    </row>
    <row r="3558" spans="2:2">
      <c r="B3558" s="21">
        <f>IF(AND(C3558&lt;&gt;"", J3558&lt;&gt;""), HYPERLINK("#'" &amp; C3558 &amp; "'!" &amp; J3558, J3558), "")</f>
        <v>0</v>
      </c>
    </row>
    <row r="3559" spans="2:2">
      <c r="B3559" s="21">
        <f>IF(AND(C3559&lt;&gt;"", J3559&lt;&gt;""), HYPERLINK("#'" &amp; C3559 &amp; "'!" &amp; J3559, J3559), "")</f>
        <v>0</v>
      </c>
    </row>
    <row r="3560" spans="2:2">
      <c r="B3560" s="21">
        <f>IF(AND(C3560&lt;&gt;"", J3560&lt;&gt;""), HYPERLINK("#'" &amp; C3560 &amp; "'!" &amp; J3560, J3560), "")</f>
        <v>0</v>
      </c>
    </row>
    <row r="3561" spans="2:2">
      <c r="B3561" s="21">
        <f>IF(AND(C3561&lt;&gt;"", J3561&lt;&gt;""), HYPERLINK("#'" &amp; C3561 &amp; "'!" &amp; J3561, J3561), "")</f>
        <v>0</v>
      </c>
    </row>
    <row r="3562" spans="2:2">
      <c r="B3562" s="21">
        <f>IF(AND(C3562&lt;&gt;"", J3562&lt;&gt;""), HYPERLINK("#'" &amp; C3562 &amp; "'!" &amp; J3562, J3562), "")</f>
        <v>0</v>
      </c>
    </row>
    <row r="3563" spans="2:2">
      <c r="B3563" s="21">
        <f>IF(AND(C3563&lt;&gt;"", J3563&lt;&gt;""), HYPERLINK("#'" &amp; C3563 &amp; "'!" &amp; J3563, J3563), "")</f>
        <v>0</v>
      </c>
    </row>
    <row r="3564" spans="2:2">
      <c r="B3564" s="21">
        <f>IF(AND(C3564&lt;&gt;"", J3564&lt;&gt;""), HYPERLINK("#'" &amp; C3564 &amp; "'!" &amp; J3564, J3564), "")</f>
        <v>0</v>
      </c>
    </row>
    <row r="3565" spans="2:2">
      <c r="B3565" s="21">
        <f>IF(AND(C3565&lt;&gt;"", J3565&lt;&gt;""), HYPERLINK("#'" &amp; C3565 &amp; "'!" &amp; J3565, J3565), "")</f>
        <v>0</v>
      </c>
    </row>
    <row r="3566" spans="2:2">
      <c r="B3566" s="21">
        <f>IF(AND(C3566&lt;&gt;"", J3566&lt;&gt;""), HYPERLINK("#'" &amp; C3566 &amp; "'!" &amp; J3566, J3566), "")</f>
        <v>0</v>
      </c>
    </row>
    <row r="3567" spans="2:2">
      <c r="B3567" s="21">
        <f>IF(AND(C3567&lt;&gt;"", J3567&lt;&gt;""), HYPERLINK("#'" &amp; C3567 &amp; "'!" &amp; J3567, J3567), "")</f>
        <v>0</v>
      </c>
    </row>
    <row r="3568" spans="2:2">
      <c r="B3568" s="21">
        <f>IF(AND(C3568&lt;&gt;"", J3568&lt;&gt;""), HYPERLINK("#'" &amp; C3568 &amp; "'!" &amp; J3568, J3568), "")</f>
        <v>0</v>
      </c>
    </row>
    <row r="3569" spans="2:2">
      <c r="B3569" s="21">
        <f>IF(AND(C3569&lt;&gt;"", J3569&lt;&gt;""), HYPERLINK("#'" &amp; C3569 &amp; "'!" &amp; J3569, J3569), "")</f>
        <v>0</v>
      </c>
    </row>
    <row r="3570" spans="2:2">
      <c r="B3570" s="21">
        <f>IF(AND(C3570&lt;&gt;"", J3570&lt;&gt;""), HYPERLINK("#'" &amp; C3570 &amp; "'!" &amp; J3570, J3570), "")</f>
        <v>0</v>
      </c>
    </row>
    <row r="3571" spans="2:2">
      <c r="B3571" s="21">
        <f>IF(AND(C3571&lt;&gt;"", J3571&lt;&gt;""), HYPERLINK("#'" &amp; C3571 &amp; "'!" &amp; J3571, J3571), "")</f>
        <v>0</v>
      </c>
    </row>
    <row r="3572" spans="2:2">
      <c r="B3572" s="21">
        <f>IF(AND(C3572&lt;&gt;"", J3572&lt;&gt;""), HYPERLINK("#'" &amp; C3572 &amp; "'!" &amp; J3572, J3572), "")</f>
        <v>0</v>
      </c>
    </row>
    <row r="3573" spans="2:2">
      <c r="B3573" s="21">
        <f>IF(AND(C3573&lt;&gt;"", J3573&lt;&gt;""), HYPERLINK("#'" &amp; C3573 &amp; "'!" &amp; J3573, J3573), "")</f>
        <v>0</v>
      </c>
    </row>
    <row r="3574" spans="2:2">
      <c r="B3574" s="21">
        <f>IF(AND(C3574&lt;&gt;"", J3574&lt;&gt;""), HYPERLINK("#'" &amp; C3574 &amp; "'!" &amp; J3574, J3574), "")</f>
        <v>0</v>
      </c>
    </row>
    <row r="3575" spans="2:2">
      <c r="B3575" s="21">
        <f>IF(AND(C3575&lt;&gt;"", J3575&lt;&gt;""), HYPERLINK("#'" &amp; C3575 &amp; "'!" &amp; J3575, J3575), "")</f>
        <v>0</v>
      </c>
    </row>
    <row r="3576" spans="2:2">
      <c r="B3576" s="21">
        <f>IF(AND(C3576&lt;&gt;"", J3576&lt;&gt;""), HYPERLINK("#'" &amp; C3576 &amp; "'!" &amp; J3576, J3576), "")</f>
        <v>0</v>
      </c>
    </row>
    <row r="3577" spans="2:2">
      <c r="B3577" s="21">
        <f>IF(AND(C3577&lt;&gt;"", J3577&lt;&gt;""), HYPERLINK("#'" &amp; C3577 &amp; "'!" &amp; J3577, J3577), "")</f>
        <v>0</v>
      </c>
    </row>
    <row r="3578" spans="2:2">
      <c r="B3578" s="21">
        <f>IF(AND(C3578&lt;&gt;"", J3578&lt;&gt;""), HYPERLINK("#'" &amp; C3578 &amp; "'!" &amp; J3578, J3578), "")</f>
        <v>0</v>
      </c>
    </row>
    <row r="3579" spans="2:2">
      <c r="B3579" s="21">
        <f>IF(AND(C3579&lt;&gt;"", J3579&lt;&gt;""), HYPERLINK("#'" &amp; C3579 &amp; "'!" &amp; J3579, J3579), "")</f>
        <v>0</v>
      </c>
    </row>
    <row r="3580" spans="2:2">
      <c r="B3580" s="21">
        <f>IF(AND(C3580&lt;&gt;"", J3580&lt;&gt;""), HYPERLINK("#'" &amp; C3580 &amp; "'!" &amp; J3580, J3580), "")</f>
        <v>0</v>
      </c>
    </row>
    <row r="3581" spans="2:2">
      <c r="B3581" s="21">
        <f>IF(AND(C3581&lt;&gt;"", J3581&lt;&gt;""), HYPERLINK("#'" &amp; C3581 &amp; "'!" &amp; J3581, J3581), "")</f>
        <v>0</v>
      </c>
    </row>
    <row r="3582" spans="2:2">
      <c r="B3582" s="21">
        <f>IF(AND(C3582&lt;&gt;"", J3582&lt;&gt;""), HYPERLINK("#'" &amp; C3582 &amp; "'!" &amp; J3582, J3582), "")</f>
        <v>0</v>
      </c>
    </row>
    <row r="3583" spans="2:2">
      <c r="B3583" s="21">
        <f>IF(AND(C3583&lt;&gt;"", J3583&lt;&gt;""), HYPERLINK("#'" &amp; C3583 &amp; "'!" &amp; J3583, J3583), "")</f>
        <v>0</v>
      </c>
    </row>
    <row r="3584" spans="2:2">
      <c r="B3584" s="21">
        <f>IF(AND(C3584&lt;&gt;"", J3584&lt;&gt;""), HYPERLINK("#'" &amp; C3584 &amp; "'!" &amp; J3584, J3584), "")</f>
        <v>0</v>
      </c>
    </row>
    <row r="3585" spans="2:2">
      <c r="B3585" s="21">
        <f>IF(AND(C3585&lt;&gt;"", J3585&lt;&gt;""), HYPERLINK("#'" &amp; C3585 &amp; "'!" &amp; J3585, J3585), "")</f>
        <v>0</v>
      </c>
    </row>
    <row r="3586" spans="2:2">
      <c r="B3586" s="21">
        <f>IF(AND(C3586&lt;&gt;"", J3586&lt;&gt;""), HYPERLINK("#'" &amp; C3586 &amp; "'!" &amp; J3586, J3586), "")</f>
        <v>0</v>
      </c>
    </row>
    <row r="3587" spans="2:2">
      <c r="B3587" s="21">
        <f>IF(AND(C3587&lt;&gt;"", J3587&lt;&gt;""), HYPERLINK("#'" &amp; C3587 &amp; "'!" &amp; J3587, J3587), "")</f>
        <v>0</v>
      </c>
    </row>
    <row r="3588" spans="2:2">
      <c r="B3588" s="21">
        <f>IF(AND(C3588&lt;&gt;"", J3588&lt;&gt;""), HYPERLINK("#'" &amp; C3588 &amp; "'!" &amp; J3588, J3588), "")</f>
        <v>0</v>
      </c>
    </row>
    <row r="3589" spans="2:2">
      <c r="B3589" s="21">
        <f>IF(AND(C3589&lt;&gt;"", J3589&lt;&gt;""), HYPERLINK("#'" &amp; C3589 &amp; "'!" &amp; J3589, J3589), "")</f>
        <v>0</v>
      </c>
    </row>
    <row r="3590" spans="2:2">
      <c r="B3590" s="21">
        <f>IF(AND(C3590&lt;&gt;"", J3590&lt;&gt;""), HYPERLINK("#'" &amp; C3590 &amp; "'!" &amp; J3590, J3590), "")</f>
        <v>0</v>
      </c>
    </row>
    <row r="3591" spans="2:2">
      <c r="B3591" s="21">
        <f>IF(AND(C3591&lt;&gt;"", J3591&lt;&gt;""), HYPERLINK("#'" &amp; C3591 &amp; "'!" &amp; J3591, J3591), "")</f>
        <v>0</v>
      </c>
    </row>
    <row r="3592" spans="2:2">
      <c r="B3592" s="21">
        <f>IF(AND(C3592&lt;&gt;"", J3592&lt;&gt;""), HYPERLINK("#'" &amp; C3592 &amp; "'!" &amp; J3592, J3592), "")</f>
        <v>0</v>
      </c>
    </row>
    <row r="3593" spans="2:2">
      <c r="B3593" s="21">
        <f>IF(AND(C3593&lt;&gt;"", J3593&lt;&gt;""), HYPERLINK("#'" &amp; C3593 &amp; "'!" &amp; J3593, J3593), "")</f>
        <v>0</v>
      </c>
    </row>
    <row r="3594" spans="2:2">
      <c r="B3594" s="21">
        <f>IF(AND(C3594&lt;&gt;"", J3594&lt;&gt;""), HYPERLINK("#'" &amp; C3594 &amp; "'!" &amp; J3594, J3594), "")</f>
        <v>0</v>
      </c>
    </row>
    <row r="3595" spans="2:2">
      <c r="B3595" s="21">
        <f>IF(AND(C3595&lt;&gt;"", J3595&lt;&gt;""), HYPERLINK("#'" &amp; C3595 &amp; "'!" &amp; J3595, J3595), "")</f>
        <v>0</v>
      </c>
    </row>
    <row r="3596" spans="2:2">
      <c r="B3596" s="21">
        <f>IF(AND(C3596&lt;&gt;"", J3596&lt;&gt;""), HYPERLINK("#'" &amp; C3596 &amp; "'!" &amp; J3596, J3596), "")</f>
        <v>0</v>
      </c>
    </row>
    <row r="3597" spans="2:2">
      <c r="B3597" s="21">
        <f>IF(AND(C3597&lt;&gt;"", J3597&lt;&gt;""), HYPERLINK("#'" &amp; C3597 &amp; "'!" &amp; J3597, J3597), "")</f>
        <v>0</v>
      </c>
    </row>
    <row r="3598" spans="2:2">
      <c r="B3598" s="21">
        <f>IF(AND(C3598&lt;&gt;"", J3598&lt;&gt;""), HYPERLINK("#'" &amp; C3598 &amp; "'!" &amp; J3598, J3598), "")</f>
        <v>0</v>
      </c>
    </row>
    <row r="3599" spans="2:2">
      <c r="B3599" s="21">
        <f>IF(AND(C3599&lt;&gt;"", J3599&lt;&gt;""), HYPERLINK("#'" &amp; C3599 &amp; "'!" &amp; J3599, J3599), "")</f>
        <v>0</v>
      </c>
    </row>
    <row r="3600" spans="2:2">
      <c r="B3600" s="21">
        <f>IF(AND(C3600&lt;&gt;"", J3600&lt;&gt;""), HYPERLINK("#'" &amp; C3600 &amp; "'!" &amp; J3600, J3600), "")</f>
        <v>0</v>
      </c>
    </row>
    <row r="3601" spans="2:2">
      <c r="B3601" s="21">
        <f>IF(AND(C3601&lt;&gt;"", J3601&lt;&gt;""), HYPERLINK("#'" &amp; C3601 &amp; "'!" &amp; J3601, J3601), "")</f>
        <v>0</v>
      </c>
    </row>
    <row r="3602" spans="2:2">
      <c r="B3602" s="21">
        <f>IF(AND(C3602&lt;&gt;"", J3602&lt;&gt;""), HYPERLINK("#'" &amp; C3602 &amp; "'!" &amp; J3602, J3602), "")</f>
        <v>0</v>
      </c>
    </row>
    <row r="3603" spans="2:2">
      <c r="B3603" s="21">
        <f>IF(AND(C3603&lt;&gt;"", J3603&lt;&gt;""), HYPERLINK("#'" &amp; C3603 &amp; "'!" &amp; J3603, J3603), "")</f>
        <v>0</v>
      </c>
    </row>
    <row r="3604" spans="2:2">
      <c r="B3604" s="21">
        <f>IF(AND(C3604&lt;&gt;"", J3604&lt;&gt;""), HYPERLINK("#'" &amp; C3604 &amp; "'!" &amp; J3604, J3604), "")</f>
        <v>0</v>
      </c>
    </row>
    <row r="3605" spans="2:2">
      <c r="B3605" s="21">
        <f>IF(AND(C3605&lt;&gt;"", J3605&lt;&gt;""), HYPERLINK("#'" &amp; C3605 &amp; "'!" &amp; J3605, J3605), "")</f>
        <v>0</v>
      </c>
    </row>
    <row r="3606" spans="2:2">
      <c r="B3606" s="21">
        <f>IF(AND(C3606&lt;&gt;"", J3606&lt;&gt;""), HYPERLINK("#'" &amp; C3606 &amp; "'!" &amp; J3606, J3606), "")</f>
        <v>0</v>
      </c>
    </row>
    <row r="3607" spans="2:2">
      <c r="B3607" s="21">
        <f>IF(AND(C3607&lt;&gt;"", J3607&lt;&gt;""), HYPERLINK("#'" &amp; C3607 &amp; "'!" &amp; J3607, J3607), "")</f>
        <v>0</v>
      </c>
    </row>
    <row r="3608" spans="2:2">
      <c r="B3608" s="21">
        <f>IF(AND(C3608&lt;&gt;"", J3608&lt;&gt;""), HYPERLINK("#'" &amp; C3608 &amp; "'!" &amp; J3608, J3608), "")</f>
        <v>0</v>
      </c>
    </row>
    <row r="3609" spans="2:2">
      <c r="B3609" s="21">
        <f>IF(AND(C3609&lt;&gt;"", J3609&lt;&gt;""), HYPERLINK("#'" &amp; C3609 &amp; "'!" &amp; J3609, J3609), "")</f>
        <v>0</v>
      </c>
    </row>
    <row r="3610" spans="2:2">
      <c r="B3610" s="21">
        <f>IF(AND(C3610&lt;&gt;"", J3610&lt;&gt;""), HYPERLINK("#'" &amp; C3610 &amp; "'!" &amp; J3610, J3610), "")</f>
        <v>0</v>
      </c>
    </row>
    <row r="3611" spans="2:2">
      <c r="B3611" s="21">
        <f>IF(AND(C3611&lt;&gt;"", J3611&lt;&gt;""), HYPERLINK("#'" &amp; C3611 &amp; "'!" &amp; J3611, J3611), "")</f>
        <v>0</v>
      </c>
    </row>
    <row r="3612" spans="2:2">
      <c r="B3612" s="21">
        <f>IF(AND(C3612&lt;&gt;"", J3612&lt;&gt;""), HYPERLINK("#'" &amp; C3612 &amp; "'!" &amp; J3612, J3612), "")</f>
        <v>0</v>
      </c>
    </row>
    <row r="3613" spans="2:2">
      <c r="B3613" s="21">
        <f>IF(AND(C3613&lt;&gt;"", J3613&lt;&gt;""), HYPERLINK("#'" &amp; C3613 &amp; "'!" &amp; J3613, J3613), "")</f>
        <v>0</v>
      </c>
    </row>
    <row r="3614" spans="2:2">
      <c r="B3614" s="21">
        <f>IF(AND(C3614&lt;&gt;"", J3614&lt;&gt;""), HYPERLINK("#'" &amp; C3614 &amp; "'!" &amp; J3614, J3614), "")</f>
        <v>0</v>
      </c>
    </row>
    <row r="3615" spans="2:2">
      <c r="B3615" s="21">
        <f>IF(AND(C3615&lt;&gt;"", J3615&lt;&gt;""), HYPERLINK("#'" &amp; C3615 &amp; "'!" &amp; J3615, J3615), "")</f>
        <v>0</v>
      </c>
    </row>
    <row r="3616" spans="2:2">
      <c r="B3616" s="21">
        <f>IF(AND(C3616&lt;&gt;"", J3616&lt;&gt;""), HYPERLINK("#'" &amp; C3616 &amp; "'!" &amp; J3616, J3616), "")</f>
        <v>0</v>
      </c>
    </row>
    <row r="3617" spans="2:2">
      <c r="B3617" s="21">
        <f>IF(AND(C3617&lt;&gt;"", J3617&lt;&gt;""), HYPERLINK("#'" &amp; C3617 &amp; "'!" &amp; J3617, J3617), "")</f>
        <v>0</v>
      </c>
    </row>
    <row r="3618" spans="2:2">
      <c r="B3618" s="21">
        <f>IF(AND(C3618&lt;&gt;"", J3618&lt;&gt;""), HYPERLINK("#'" &amp; C3618 &amp; "'!" &amp; J3618, J3618), "")</f>
        <v>0</v>
      </c>
    </row>
    <row r="3619" spans="2:2">
      <c r="B3619" s="21">
        <f>IF(AND(C3619&lt;&gt;"", J3619&lt;&gt;""), HYPERLINK("#'" &amp; C3619 &amp; "'!" &amp; J3619, J3619), "")</f>
        <v>0</v>
      </c>
    </row>
    <row r="3620" spans="2:2">
      <c r="B3620" s="21">
        <f>IF(AND(C3620&lt;&gt;"", J3620&lt;&gt;""), HYPERLINK("#'" &amp; C3620 &amp; "'!" &amp; J3620, J3620), "")</f>
        <v>0</v>
      </c>
    </row>
    <row r="3621" spans="2:2">
      <c r="B3621" s="21">
        <f>IF(AND(C3621&lt;&gt;"", J3621&lt;&gt;""), HYPERLINK("#'" &amp; C3621 &amp; "'!" &amp; J3621, J3621), "")</f>
        <v>0</v>
      </c>
    </row>
    <row r="3622" spans="2:2">
      <c r="B3622" s="21">
        <f>IF(AND(C3622&lt;&gt;"", J3622&lt;&gt;""), HYPERLINK("#'" &amp; C3622 &amp; "'!" &amp; J3622, J3622), "")</f>
        <v>0</v>
      </c>
    </row>
    <row r="3623" spans="2:2">
      <c r="B3623" s="21">
        <f>IF(AND(C3623&lt;&gt;"", J3623&lt;&gt;""), HYPERLINK("#'" &amp; C3623 &amp; "'!" &amp; J3623, J3623), "")</f>
        <v>0</v>
      </c>
    </row>
    <row r="3624" spans="2:2">
      <c r="B3624" s="21">
        <f>IF(AND(C3624&lt;&gt;"", J3624&lt;&gt;""), HYPERLINK("#'" &amp; C3624 &amp; "'!" &amp; J3624, J3624), "")</f>
        <v>0</v>
      </c>
    </row>
    <row r="3625" spans="2:2">
      <c r="B3625" s="21">
        <f>IF(AND(C3625&lt;&gt;"", J3625&lt;&gt;""), HYPERLINK("#'" &amp; C3625 &amp; "'!" &amp; J3625, J3625), "")</f>
        <v>0</v>
      </c>
    </row>
    <row r="3626" spans="2:2">
      <c r="B3626" s="21">
        <f>IF(AND(C3626&lt;&gt;"", J3626&lt;&gt;""), HYPERLINK("#'" &amp; C3626 &amp; "'!" &amp; J3626, J3626), "")</f>
        <v>0</v>
      </c>
    </row>
    <row r="3627" spans="2:2">
      <c r="B3627" s="21">
        <f>IF(AND(C3627&lt;&gt;"", J3627&lt;&gt;""), HYPERLINK("#'" &amp; C3627 &amp; "'!" &amp; J3627, J3627), "")</f>
        <v>0</v>
      </c>
    </row>
    <row r="3628" spans="2:2">
      <c r="B3628" s="21">
        <f>IF(AND(C3628&lt;&gt;"", J3628&lt;&gt;""), HYPERLINK("#'" &amp; C3628 &amp; "'!" &amp; J3628, J3628), "")</f>
        <v>0</v>
      </c>
    </row>
    <row r="3629" spans="2:2">
      <c r="B3629" s="21">
        <f>IF(AND(C3629&lt;&gt;"", J3629&lt;&gt;""), HYPERLINK("#'" &amp; C3629 &amp; "'!" &amp; J3629, J3629), "")</f>
        <v>0</v>
      </c>
    </row>
    <row r="3630" spans="2:2">
      <c r="B3630" s="21">
        <f>IF(AND(C3630&lt;&gt;"", J3630&lt;&gt;""), HYPERLINK("#'" &amp; C3630 &amp; "'!" &amp; J3630, J3630), "")</f>
        <v>0</v>
      </c>
    </row>
    <row r="3631" spans="2:2">
      <c r="B3631" s="21">
        <f>IF(AND(C3631&lt;&gt;"", J3631&lt;&gt;""), HYPERLINK("#'" &amp; C3631 &amp; "'!" &amp; J3631, J3631), "")</f>
        <v>0</v>
      </c>
    </row>
    <row r="3632" spans="2:2">
      <c r="B3632" s="21">
        <f>IF(AND(C3632&lt;&gt;"", J3632&lt;&gt;""), HYPERLINK("#'" &amp; C3632 &amp; "'!" &amp; J3632, J3632), "")</f>
        <v>0</v>
      </c>
    </row>
    <row r="3633" spans="2:2">
      <c r="B3633" s="21">
        <f>IF(AND(C3633&lt;&gt;"", J3633&lt;&gt;""), HYPERLINK("#'" &amp; C3633 &amp; "'!" &amp; J3633, J3633), "")</f>
        <v>0</v>
      </c>
    </row>
    <row r="3634" spans="2:2">
      <c r="B3634" s="21">
        <f>IF(AND(C3634&lt;&gt;"", J3634&lt;&gt;""), HYPERLINK("#'" &amp; C3634 &amp; "'!" &amp; J3634, J3634), "")</f>
        <v>0</v>
      </c>
    </row>
    <row r="3635" spans="2:2">
      <c r="B3635" s="21">
        <f>IF(AND(C3635&lt;&gt;"", J3635&lt;&gt;""), HYPERLINK("#'" &amp; C3635 &amp; "'!" &amp; J3635, J3635), "")</f>
        <v>0</v>
      </c>
    </row>
    <row r="3636" spans="2:2">
      <c r="B3636" s="21">
        <f>IF(AND(C3636&lt;&gt;"", J3636&lt;&gt;""), HYPERLINK("#'" &amp; C3636 &amp; "'!" &amp; J3636, J3636), "")</f>
        <v>0</v>
      </c>
    </row>
    <row r="3637" spans="2:2">
      <c r="B3637" s="21">
        <f>IF(AND(C3637&lt;&gt;"", J3637&lt;&gt;""), HYPERLINK("#'" &amp; C3637 &amp; "'!" &amp; J3637, J3637), "")</f>
        <v>0</v>
      </c>
    </row>
    <row r="3638" spans="2:2">
      <c r="B3638" s="21">
        <f>IF(AND(C3638&lt;&gt;"", J3638&lt;&gt;""), HYPERLINK("#'" &amp; C3638 &amp; "'!" &amp; J3638, J3638), "")</f>
        <v>0</v>
      </c>
    </row>
    <row r="3639" spans="2:2">
      <c r="B3639" s="21">
        <f>IF(AND(C3639&lt;&gt;"", J3639&lt;&gt;""), HYPERLINK("#'" &amp; C3639 &amp; "'!" &amp; J3639, J3639), "")</f>
        <v>0</v>
      </c>
    </row>
    <row r="3640" spans="2:2">
      <c r="B3640" s="21">
        <f>IF(AND(C3640&lt;&gt;"", J3640&lt;&gt;""), HYPERLINK("#'" &amp; C3640 &amp; "'!" &amp; J3640, J3640), "")</f>
        <v>0</v>
      </c>
    </row>
    <row r="3641" spans="2:2">
      <c r="B3641" s="21">
        <f>IF(AND(C3641&lt;&gt;"", J3641&lt;&gt;""), HYPERLINK("#'" &amp; C3641 &amp; "'!" &amp; J3641, J3641), "")</f>
        <v>0</v>
      </c>
    </row>
    <row r="3642" spans="2:2">
      <c r="B3642" s="21">
        <f>IF(AND(C3642&lt;&gt;"", J3642&lt;&gt;""), HYPERLINK("#'" &amp; C3642 &amp; "'!" &amp; J3642, J3642), "")</f>
        <v>0</v>
      </c>
    </row>
    <row r="3643" spans="2:2">
      <c r="B3643" s="21">
        <f>IF(AND(C3643&lt;&gt;"", J3643&lt;&gt;""), HYPERLINK("#'" &amp; C3643 &amp; "'!" &amp; J3643, J3643), "")</f>
        <v>0</v>
      </c>
    </row>
    <row r="3644" spans="2:2">
      <c r="B3644" s="21">
        <f>IF(AND(C3644&lt;&gt;"", J3644&lt;&gt;""), HYPERLINK("#'" &amp; C3644 &amp; "'!" &amp; J3644, J3644), "")</f>
        <v>0</v>
      </c>
    </row>
    <row r="3645" spans="2:2">
      <c r="B3645" s="21">
        <f>IF(AND(C3645&lt;&gt;"", J3645&lt;&gt;""), HYPERLINK("#'" &amp; C3645 &amp; "'!" &amp; J3645, J3645), "")</f>
        <v>0</v>
      </c>
    </row>
    <row r="3646" spans="2:2">
      <c r="B3646" s="21">
        <f>IF(AND(C3646&lt;&gt;"", J3646&lt;&gt;""), HYPERLINK("#'" &amp; C3646 &amp; "'!" &amp; J3646, J3646), "")</f>
        <v>0</v>
      </c>
    </row>
    <row r="3647" spans="2:2">
      <c r="B3647" s="21">
        <f>IF(AND(C3647&lt;&gt;"", J3647&lt;&gt;""), HYPERLINK("#'" &amp; C3647 &amp; "'!" &amp; J3647, J3647), "")</f>
        <v>0</v>
      </c>
    </row>
    <row r="3648" spans="2:2">
      <c r="B3648" s="21">
        <f>IF(AND(C3648&lt;&gt;"", J3648&lt;&gt;""), HYPERLINK("#'" &amp; C3648 &amp; "'!" &amp; J3648, J3648), "")</f>
        <v>0</v>
      </c>
    </row>
    <row r="3649" spans="2:2">
      <c r="B3649" s="21">
        <f>IF(AND(C3649&lt;&gt;"", J3649&lt;&gt;""), HYPERLINK("#'" &amp; C3649 &amp; "'!" &amp; J3649, J3649), "")</f>
        <v>0</v>
      </c>
    </row>
    <row r="3650" spans="2:2">
      <c r="B3650" s="21">
        <f>IF(AND(C3650&lt;&gt;"", J3650&lt;&gt;""), HYPERLINK("#'" &amp; C3650 &amp; "'!" &amp; J3650, J3650), "")</f>
        <v>0</v>
      </c>
    </row>
    <row r="3651" spans="2:2">
      <c r="B3651" s="21">
        <f>IF(AND(C3651&lt;&gt;"", J3651&lt;&gt;""), HYPERLINK("#'" &amp; C3651 &amp; "'!" &amp; J3651, J3651), "")</f>
        <v>0</v>
      </c>
    </row>
    <row r="3652" spans="2:2">
      <c r="B3652" s="21">
        <f>IF(AND(C3652&lt;&gt;"", J3652&lt;&gt;""), HYPERLINK("#'" &amp; C3652 &amp; "'!" &amp; J3652, J3652), "")</f>
        <v>0</v>
      </c>
    </row>
    <row r="3653" spans="2:2">
      <c r="B3653" s="21">
        <f>IF(AND(C3653&lt;&gt;"", J3653&lt;&gt;""), HYPERLINK("#'" &amp; C3653 &amp; "'!" &amp; J3653, J3653), "")</f>
        <v>0</v>
      </c>
    </row>
    <row r="3654" spans="2:2">
      <c r="B3654" s="21">
        <f>IF(AND(C3654&lt;&gt;"", J3654&lt;&gt;""), HYPERLINK("#'" &amp; C3654 &amp; "'!" &amp; J3654, J3654), "")</f>
        <v>0</v>
      </c>
    </row>
    <row r="3655" spans="2:2">
      <c r="B3655" s="21">
        <f>IF(AND(C3655&lt;&gt;"", J3655&lt;&gt;""), HYPERLINK("#'" &amp; C3655 &amp; "'!" &amp; J3655, J3655), "")</f>
        <v>0</v>
      </c>
    </row>
    <row r="3656" spans="2:2">
      <c r="B3656" s="21">
        <f>IF(AND(C3656&lt;&gt;"", J3656&lt;&gt;""), HYPERLINK("#'" &amp; C3656 &amp; "'!" &amp; J3656, J3656), "")</f>
        <v>0</v>
      </c>
    </row>
    <row r="3657" spans="2:2">
      <c r="B3657" s="21">
        <f>IF(AND(C3657&lt;&gt;"", J3657&lt;&gt;""), HYPERLINK("#'" &amp; C3657 &amp; "'!" &amp; J3657, J3657), "")</f>
        <v>0</v>
      </c>
    </row>
    <row r="3658" spans="2:2">
      <c r="B3658" s="21">
        <f>IF(AND(C3658&lt;&gt;"", J3658&lt;&gt;""), HYPERLINK("#'" &amp; C3658 &amp; "'!" &amp; J3658, J3658), "")</f>
        <v>0</v>
      </c>
    </row>
    <row r="3659" spans="2:2">
      <c r="B3659" s="21">
        <f>IF(AND(C3659&lt;&gt;"", J3659&lt;&gt;""), HYPERLINK("#'" &amp; C3659 &amp; "'!" &amp; J3659, J3659), "")</f>
        <v>0</v>
      </c>
    </row>
    <row r="3660" spans="2:2">
      <c r="B3660" s="21">
        <f>IF(AND(C3660&lt;&gt;"", J3660&lt;&gt;""), HYPERLINK("#'" &amp; C3660 &amp; "'!" &amp; J3660, J3660), "")</f>
        <v>0</v>
      </c>
    </row>
    <row r="3661" spans="2:2">
      <c r="B3661" s="21">
        <f>IF(AND(C3661&lt;&gt;"", J3661&lt;&gt;""), HYPERLINK("#'" &amp; C3661 &amp; "'!" &amp; J3661, J3661), "")</f>
        <v>0</v>
      </c>
    </row>
    <row r="3662" spans="2:2">
      <c r="B3662" s="21">
        <f>IF(AND(C3662&lt;&gt;"", J3662&lt;&gt;""), HYPERLINK("#'" &amp; C3662 &amp; "'!" &amp; J3662, J3662), "")</f>
        <v>0</v>
      </c>
    </row>
    <row r="3663" spans="2:2">
      <c r="B3663" s="21">
        <f>IF(AND(C3663&lt;&gt;"", J3663&lt;&gt;""), HYPERLINK("#'" &amp; C3663 &amp; "'!" &amp; J3663, J3663), "")</f>
        <v>0</v>
      </c>
    </row>
    <row r="3664" spans="2:2">
      <c r="B3664" s="21">
        <f>IF(AND(C3664&lt;&gt;"", J3664&lt;&gt;""), HYPERLINK("#'" &amp; C3664 &amp; "'!" &amp; J3664, J3664), "")</f>
        <v>0</v>
      </c>
    </row>
    <row r="3665" spans="2:2">
      <c r="B3665" s="21">
        <f>IF(AND(C3665&lt;&gt;"", J3665&lt;&gt;""), HYPERLINK("#'" &amp; C3665 &amp; "'!" &amp; J3665, J3665), "")</f>
        <v>0</v>
      </c>
    </row>
    <row r="3666" spans="2:2">
      <c r="B3666" s="21">
        <f>IF(AND(C3666&lt;&gt;"", J3666&lt;&gt;""), HYPERLINK("#'" &amp; C3666 &amp; "'!" &amp; J3666, J3666), "")</f>
        <v>0</v>
      </c>
    </row>
    <row r="3667" spans="2:2">
      <c r="B3667" s="21">
        <f>IF(AND(C3667&lt;&gt;"", J3667&lt;&gt;""), HYPERLINK("#'" &amp; C3667 &amp; "'!" &amp; J3667, J3667), "")</f>
        <v>0</v>
      </c>
    </row>
    <row r="3668" spans="2:2">
      <c r="B3668" s="21">
        <f>IF(AND(C3668&lt;&gt;"", J3668&lt;&gt;""), HYPERLINK("#'" &amp; C3668 &amp; "'!" &amp; J3668, J3668), "")</f>
        <v>0</v>
      </c>
    </row>
    <row r="3669" spans="2:2">
      <c r="B3669" s="21">
        <f>IF(AND(C3669&lt;&gt;"", J3669&lt;&gt;""), HYPERLINK("#'" &amp; C3669 &amp; "'!" &amp; J3669, J3669), "")</f>
        <v>0</v>
      </c>
    </row>
    <row r="3670" spans="2:2">
      <c r="B3670" s="21">
        <f>IF(AND(C3670&lt;&gt;"", J3670&lt;&gt;""), HYPERLINK("#'" &amp; C3670 &amp; "'!" &amp; J3670, J3670), "")</f>
        <v>0</v>
      </c>
    </row>
    <row r="3671" spans="2:2">
      <c r="B3671" s="21">
        <f>IF(AND(C3671&lt;&gt;"", J3671&lt;&gt;""), HYPERLINK("#'" &amp; C3671 &amp; "'!" &amp; J3671, J3671), "")</f>
        <v>0</v>
      </c>
    </row>
    <row r="3672" spans="2:2">
      <c r="B3672" s="21">
        <f>IF(AND(C3672&lt;&gt;"", J3672&lt;&gt;""), HYPERLINK("#'" &amp; C3672 &amp; "'!" &amp; J3672, J3672), "")</f>
        <v>0</v>
      </c>
    </row>
    <row r="3673" spans="2:2">
      <c r="B3673" s="21">
        <f>IF(AND(C3673&lt;&gt;"", J3673&lt;&gt;""), HYPERLINK("#'" &amp; C3673 &amp; "'!" &amp; J3673, J3673), "")</f>
        <v>0</v>
      </c>
    </row>
    <row r="3674" spans="2:2">
      <c r="B3674" s="21">
        <f>IF(AND(C3674&lt;&gt;"", J3674&lt;&gt;""), HYPERLINK("#'" &amp; C3674 &amp; "'!" &amp; J3674, J3674), "")</f>
        <v>0</v>
      </c>
    </row>
    <row r="3675" spans="2:2">
      <c r="B3675" s="21">
        <f>IF(AND(C3675&lt;&gt;"", J3675&lt;&gt;""), HYPERLINK("#'" &amp; C3675 &amp; "'!" &amp; J3675, J3675), "")</f>
        <v>0</v>
      </c>
    </row>
    <row r="3676" spans="2:2">
      <c r="B3676" s="21">
        <f>IF(AND(C3676&lt;&gt;"", J3676&lt;&gt;""), HYPERLINK("#'" &amp; C3676 &amp; "'!" &amp; J3676, J3676), "")</f>
        <v>0</v>
      </c>
    </row>
    <row r="3677" spans="2:2">
      <c r="B3677" s="21">
        <f>IF(AND(C3677&lt;&gt;"", J3677&lt;&gt;""), HYPERLINK("#'" &amp; C3677 &amp; "'!" &amp; J3677, J3677), "")</f>
        <v>0</v>
      </c>
    </row>
    <row r="3678" spans="2:2">
      <c r="B3678" s="21">
        <f>IF(AND(C3678&lt;&gt;"", J3678&lt;&gt;""), HYPERLINK("#'" &amp; C3678 &amp; "'!" &amp; J3678, J3678), "")</f>
        <v>0</v>
      </c>
    </row>
    <row r="3679" spans="2:2">
      <c r="B3679" s="21">
        <f>IF(AND(C3679&lt;&gt;"", J3679&lt;&gt;""), HYPERLINK("#'" &amp; C3679 &amp; "'!" &amp; J3679, J3679), "")</f>
        <v>0</v>
      </c>
    </row>
    <row r="3680" spans="2:2">
      <c r="B3680" s="21">
        <f>IF(AND(C3680&lt;&gt;"", J3680&lt;&gt;""), HYPERLINK("#'" &amp; C3680 &amp; "'!" &amp; J3680, J3680), "")</f>
        <v>0</v>
      </c>
    </row>
    <row r="3681" spans="2:2">
      <c r="B3681" s="21">
        <f>IF(AND(C3681&lt;&gt;"", J3681&lt;&gt;""), HYPERLINK("#'" &amp; C3681 &amp; "'!" &amp; J3681, J3681), "")</f>
        <v>0</v>
      </c>
    </row>
    <row r="3682" spans="2:2">
      <c r="B3682" s="21">
        <f>IF(AND(C3682&lt;&gt;"", J3682&lt;&gt;""), HYPERLINK("#'" &amp; C3682 &amp; "'!" &amp; J3682, J3682), "")</f>
        <v>0</v>
      </c>
    </row>
    <row r="3683" spans="2:2">
      <c r="B3683" s="21">
        <f>IF(AND(C3683&lt;&gt;"", J3683&lt;&gt;""), HYPERLINK("#'" &amp; C3683 &amp; "'!" &amp; J3683, J3683), "")</f>
        <v>0</v>
      </c>
    </row>
    <row r="3684" spans="2:2">
      <c r="B3684" s="21">
        <f>IF(AND(C3684&lt;&gt;"", J3684&lt;&gt;""), HYPERLINK("#'" &amp; C3684 &amp; "'!" &amp; J3684, J3684), "")</f>
        <v>0</v>
      </c>
    </row>
    <row r="3685" spans="2:2">
      <c r="B3685" s="21">
        <f>IF(AND(C3685&lt;&gt;"", J3685&lt;&gt;""), HYPERLINK("#'" &amp; C3685 &amp; "'!" &amp; J3685, J3685), "")</f>
        <v>0</v>
      </c>
    </row>
    <row r="3686" spans="2:2">
      <c r="B3686" s="21">
        <f>IF(AND(C3686&lt;&gt;"", J3686&lt;&gt;""), HYPERLINK("#'" &amp; C3686 &amp; "'!" &amp; J3686, J3686), "")</f>
        <v>0</v>
      </c>
    </row>
    <row r="3687" spans="2:2">
      <c r="B3687" s="21">
        <f>IF(AND(C3687&lt;&gt;"", J3687&lt;&gt;""), HYPERLINK("#'" &amp; C3687 &amp; "'!" &amp; J3687, J3687), "")</f>
        <v>0</v>
      </c>
    </row>
    <row r="3688" spans="2:2">
      <c r="B3688" s="21">
        <f>IF(AND(C3688&lt;&gt;"", J3688&lt;&gt;""), HYPERLINK("#'" &amp; C3688 &amp; "'!" &amp; J3688, J3688), "")</f>
        <v>0</v>
      </c>
    </row>
    <row r="3689" spans="2:2">
      <c r="B3689" s="21">
        <f>IF(AND(C3689&lt;&gt;"", J3689&lt;&gt;""), HYPERLINK("#'" &amp; C3689 &amp; "'!" &amp; J3689, J3689), "")</f>
        <v>0</v>
      </c>
    </row>
    <row r="3690" spans="2:2">
      <c r="B3690" s="21">
        <f>IF(AND(C3690&lt;&gt;"", J3690&lt;&gt;""), HYPERLINK("#'" &amp; C3690 &amp; "'!" &amp; J3690, J3690), "")</f>
        <v>0</v>
      </c>
    </row>
    <row r="3691" spans="2:2">
      <c r="B3691" s="21">
        <f>IF(AND(C3691&lt;&gt;"", J3691&lt;&gt;""), HYPERLINK("#'" &amp; C3691 &amp; "'!" &amp; J3691, J3691), "")</f>
        <v>0</v>
      </c>
    </row>
    <row r="3692" spans="2:2">
      <c r="B3692" s="21">
        <f>IF(AND(C3692&lt;&gt;"", J3692&lt;&gt;""), HYPERLINK("#'" &amp; C3692 &amp; "'!" &amp; J3692, J3692), "")</f>
        <v>0</v>
      </c>
    </row>
    <row r="3693" spans="2:2">
      <c r="B3693" s="21">
        <f>IF(AND(C3693&lt;&gt;"", J3693&lt;&gt;""), HYPERLINK("#'" &amp; C3693 &amp; "'!" &amp; J3693, J3693), "")</f>
        <v>0</v>
      </c>
    </row>
    <row r="3694" spans="2:2">
      <c r="B3694" s="21">
        <f>IF(AND(C3694&lt;&gt;"", J3694&lt;&gt;""), HYPERLINK("#'" &amp; C3694 &amp; "'!" &amp; J3694, J3694), "")</f>
        <v>0</v>
      </c>
    </row>
    <row r="3695" spans="2:2">
      <c r="B3695" s="21">
        <f>IF(AND(C3695&lt;&gt;"", J3695&lt;&gt;""), HYPERLINK("#'" &amp; C3695 &amp; "'!" &amp; J3695, J3695), "")</f>
        <v>0</v>
      </c>
    </row>
    <row r="3696" spans="2:2">
      <c r="B3696" s="21">
        <f>IF(AND(C3696&lt;&gt;"", J3696&lt;&gt;""), HYPERLINK("#'" &amp; C3696 &amp; "'!" &amp; J3696, J3696), "")</f>
        <v>0</v>
      </c>
    </row>
    <row r="3697" spans="2:2">
      <c r="B3697" s="21">
        <f>IF(AND(C3697&lt;&gt;"", J3697&lt;&gt;""), HYPERLINK("#'" &amp; C3697 &amp; "'!" &amp; J3697, J3697), "")</f>
        <v>0</v>
      </c>
    </row>
    <row r="3698" spans="2:2">
      <c r="B3698" s="21">
        <f>IF(AND(C3698&lt;&gt;"", J3698&lt;&gt;""), HYPERLINK("#'" &amp; C3698 &amp; "'!" &amp; J3698, J3698), "")</f>
        <v>0</v>
      </c>
    </row>
    <row r="3699" spans="2:2">
      <c r="B3699" s="21">
        <f>IF(AND(C3699&lt;&gt;"", J3699&lt;&gt;""), HYPERLINK("#'" &amp; C3699 &amp; "'!" &amp; J3699, J3699), "")</f>
        <v>0</v>
      </c>
    </row>
    <row r="3700" spans="2:2">
      <c r="B3700" s="21">
        <f>IF(AND(C3700&lt;&gt;"", J3700&lt;&gt;""), HYPERLINK("#'" &amp; C3700 &amp; "'!" &amp; J3700, J3700), "")</f>
        <v>0</v>
      </c>
    </row>
    <row r="3701" spans="2:2">
      <c r="B3701" s="21">
        <f>IF(AND(C3701&lt;&gt;"", J3701&lt;&gt;""), HYPERLINK("#'" &amp; C3701 &amp; "'!" &amp; J3701, J3701), "")</f>
        <v>0</v>
      </c>
    </row>
    <row r="3702" spans="2:2">
      <c r="B3702" s="21">
        <f>IF(AND(C3702&lt;&gt;"", J3702&lt;&gt;""), HYPERLINK("#'" &amp; C3702 &amp; "'!" &amp; J3702, J3702), "")</f>
        <v>0</v>
      </c>
    </row>
    <row r="3703" spans="2:2">
      <c r="B3703" s="21">
        <f>IF(AND(C3703&lt;&gt;"", J3703&lt;&gt;""), HYPERLINK("#'" &amp; C3703 &amp; "'!" &amp; J3703, J3703), "")</f>
        <v>0</v>
      </c>
    </row>
    <row r="3704" spans="2:2">
      <c r="B3704" s="21">
        <f>IF(AND(C3704&lt;&gt;"", J3704&lt;&gt;""), HYPERLINK("#'" &amp; C3704 &amp; "'!" &amp; J3704, J3704), "")</f>
        <v>0</v>
      </c>
    </row>
    <row r="3705" spans="2:2">
      <c r="B3705" s="21">
        <f>IF(AND(C3705&lt;&gt;"", J3705&lt;&gt;""), HYPERLINK("#'" &amp; C3705 &amp; "'!" &amp; J3705, J3705), "")</f>
        <v>0</v>
      </c>
    </row>
    <row r="3706" spans="2:2">
      <c r="B3706" s="21">
        <f>IF(AND(C3706&lt;&gt;"", J3706&lt;&gt;""), HYPERLINK("#'" &amp; C3706 &amp; "'!" &amp; J3706, J3706), "")</f>
        <v>0</v>
      </c>
    </row>
    <row r="3707" spans="2:2">
      <c r="B3707" s="21">
        <f>IF(AND(C3707&lt;&gt;"", J3707&lt;&gt;""), HYPERLINK("#'" &amp; C3707 &amp; "'!" &amp; J3707, J3707), "")</f>
        <v>0</v>
      </c>
    </row>
    <row r="3708" spans="2:2">
      <c r="B3708" s="21">
        <f>IF(AND(C3708&lt;&gt;"", J3708&lt;&gt;""), HYPERLINK("#'" &amp; C3708 &amp; "'!" &amp; J3708, J3708), "")</f>
        <v>0</v>
      </c>
    </row>
    <row r="3709" spans="2:2">
      <c r="B3709" s="21">
        <f>IF(AND(C3709&lt;&gt;"", J3709&lt;&gt;""), HYPERLINK("#'" &amp; C3709 &amp; "'!" &amp; J3709, J3709), "")</f>
        <v>0</v>
      </c>
    </row>
    <row r="3710" spans="2:2">
      <c r="B3710" s="21">
        <f>IF(AND(C3710&lt;&gt;"", J3710&lt;&gt;""), HYPERLINK("#'" &amp; C3710 &amp; "'!" &amp; J3710, J3710), "")</f>
        <v>0</v>
      </c>
    </row>
    <row r="3711" spans="2:2">
      <c r="B3711" s="21">
        <f>IF(AND(C3711&lt;&gt;"", J3711&lt;&gt;""), HYPERLINK("#'" &amp; C3711 &amp; "'!" &amp; J3711, J3711), "")</f>
        <v>0</v>
      </c>
    </row>
    <row r="3712" spans="2:2">
      <c r="B3712" s="21">
        <f>IF(AND(C3712&lt;&gt;"", J3712&lt;&gt;""), HYPERLINK("#'" &amp; C3712 &amp; "'!" &amp; J3712, J3712), "")</f>
        <v>0</v>
      </c>
    </row>
    <row r="3713" spans="2:2">
      <c r="B3713" s="21">
        <f>IF(AND(C3713&lt;&gt;"", J3713&lt;&gt;""), HYPERLINK("#'" &amp; C3713 &amp; "'!" &amp; J3713, J3713), "")</f>
        <v>0</v>
      </c>
    </row>
    <row r="3714" spans="2:2">
      <c r="B3714" s="21">
        <f>IF(AND(C3714&lt;&gt;"", J3714&lt;&gt;""), HYPERLINK("#'" &amp; C3714 &amp; "'!" &amp; J3714, J3714), "")</f>
        <v>0</v>
      </c>
    </row>
    <row r="3715" spans="2:2">
      <c r="B3715" s="21">
        <f>IF(AND(C3715&lt;&gt;"", J3715&lt;&gt;""), HYPERLINK("#'" &amp; C3715 &amp; "'!" &amp; J3715, J3715), "")</f>
        <v>0</v>
      </c>
    </row>
    <row r="3716" spans="2:2">
      <c r="B3716" s="21">
        <f>IF(AND(C3716&lt;&gt;"", J3716&lt;&gt;""), HYPERLINK("#'" &amp; C3716 &amp; "'!" &amp; J3716, J3716), "")</f>
        <v>0</v>
      </c>
    </row>
    <row r="3717" spans="2:2">
      <c r="B3717" s="21">
        <f>IF(AND(C3717&lt;&gt;"", J3717&lt;&gt;""), HYPERLINK("#'" &amp; C3717 &amp; "'!" &amp; J3717, J3717), "")</f>
        <v>0</v>
      </c>
    </row>
    <row r="3718" spans="2:2">
      <c r="B3718" s="21">
        <f>IF(AND(C3718&lt;&gt;"", J3718&lt;&gt;""), HYPERLINK("#'" &amp; C3718 &amp; "'!" &amp; J3718, J3718), "")</f>
        <v>0</v>
      </c>
    </row>
    <row r="3719" spans="2:2">
      <c r="B3719" s="21">
        <f>IF(AND(C3719&lt;&gt;"", J3719&lt;&gt;""), HYPERLINK("#'" &amp; C3719 &amp; "'!" &amp; J3719, J3719), "")</f>
        <v>0</v>
      </c>
    </row>
    <row r="3720" spans="2:2">
      <c r="B3720" s="21">
        <f>IF(AND(C3720&lt;&gt;"", J3720&lt;&gt;""), HYPERLINK("#'" &amp; C3720 &amp; "'!" &amp; J3720, J3720), "")</f>
        <v>0</v>
      </c>
    </row>
    <row r="3721" spans="2:2">
      <c r="B3721" s="21">
        <f>IF(AND(C3721&lt;&gt;"", J3721&lt;&gt;""), HYPERLINK("#'" &amp; C3721 &amp; "'!" &amp; J3721, J3721), "")</f>
        <v>0</v>
      </c>
    </row>
    <row r="3722" spans="2:2">
      <c r="B3722" s="21">
        <f>IF(AND(C3722&lt;&gt;"", J3722&lt;&gt;""), HYPERLINK("#'" &amp; C3722 &amp; "'!" &amp; J3722, J3722), "")</f>
        <v>0</v>
      </c>
    </row>
    <row r="3723" spans="2:2">
      <c r="B3723" s="21">
        <f>IF(AND(C3723&lt;&gt;"", J3723&lt;&gt;""), HYPERLINK("#'" &amp; C3723 &amp; "'!" &amp; J3723, J3723), "")</f>
        <v>0</v>
      </c>
    </row>
    <row r="3724" spans="2:2">
      <c r="B3724" s="21">
        <f>IF(AND(C3724&lt;&gt;"", J3724&lt;&gt;""), HYPERLINK("#'" &amp; C3724 &amp; "'!" &amp; J3724, J3724), "")</f>
        <v>0</v>
      </c>
    </row>
    <row r="3725" spans="2:2">
      <c r="B3725" s="21">
        <f>IF(AND(C3725&lt;&gt;"", J3725&lt;&gt;""), HYPERLINK("#'" &amp; C3725 &amp; "'!" &amp; J3725, J3725), "")</f>
        <v>0</v>
      </c>
    </row>
    <row r="3726" spans="2:2">
      <c r="B3726" s="21">
        <f>IF(AND(C3726&lt;&gt;"", J3726&lt;&gt;""), HYPERLINK("#'" &amp; C3726 &amp; "'!" &amp; J3726, J3726), "")</f>
        <v>0</v>
      </c>
    </row>
    <row r="3727" spans="2:2">
      <c r="B3727" s="21">
        <f>IF(AND(C3727&lt;&gt;"", J3727&lt;&gt;""), HYPERLINK("#'" &amp; C3727 &amp; "'!" &amp; J3727, J3727), "")</f>
        <v>0</v>
      </c>
    </row>
    <row r="3728" spans="2:2">
      <c r="B3728" s="21">
        <f>IF(AND(C3728&lt;&gt;"", J3728&lt;&gt;""), HYPERLINK("#'" &amp; C3728 &amp; "'!" &amp; J3728, J3728), "")</f>
        <v>0</v>
      </c>
    </row>
    <row r="3729" spans="2:2">
      <c r="B3729" s="21">
        <f>IF(AND(C3729&lt;&gt;"", J3729&lt;&gt;""), HYPERLINK("#'" &amp; C3729 &amp; "'!" &amp; J3729, J3729), "")</f>
        <v>0</v>
      </c>
    </row>
    <row r="3730" spans="2:2">
      <c r="B3730" s="21">
        <f>IF(AND(C3730&lt;&gt;"", J3730&lt;&gt;""), HYPERLINK("#'" &amp; C3730 &amp; "'!" &amp; J3730, J3730), "")</f>
        <v>0</v>
      </c>
    </row>
    <row r="3731" spans="2:2">
      <c r="B3731" s="21">
        <f>IF(AND(C3731&lt;&gt;"", J3731&lt;&gt;""), HYPERLINK("#'" &amp; C3731 &amp; "'!" &amp; J3731, J3731), "")</f>
        <v>0</v>
      </c>
    </row>
    <row r="3732" spans="2:2">
      <c r="B3732" s="21">
        <f>IF(AND(C3732&lt;&gt;"", J3732&lt;&gt;""), HYPERLINK("#'" &amp; C3732 &amp; "'!" &amp; J3732, J3732), "")</f>
        <v>0</v>
      </c>
    </row>
    <row r="3733" spans="2:2">
      <c r="B3733" s="21">
        <f>IF(AND(C3733&lt;&gt;"", J3733&lt;&gt;""), HYPERLINK("#'" &amp; C3733 &amp; "'!" &amp; J3733, J3733), "")</f>
        <v>0</v>
      </c>
    </row>
    <row r="3734" spans="2:2">
      <c r="B3734" s="21">
        <f>IF(AND(C3734&lt;&gt;"", J3734&lt;&gt;""), HYPERLINK("#'" &amp; C3734 &amp; "'!" &amp; J3734, J3734), "")</f>
        <v>0</v>
      </c>
    </row>
    <row r="3735" spans="2:2">
      <c r="B3735" s="21">
        <f>IF(AND(C3735&lt;&gt;"", J3735&lt;&gt;""), HYPERLINK("#'" &amp; C3735 &amp; "'!" &amp; J3735, J3735), "")</f>
        <v>0</v>
      </c>
    </row>
    <row r="3736" spans="2:2">
      <c r="B3736" s="21">
        <f>IF(AND(C3736&lt;&gt;"", J3736&lt;&gt;""), HYPERLINK("#'" &amp; C3736 &amp; "'!" &amp; J3736, J3736), "")</f>
        <v>0</v>
      </c>
    </row>
    <row r="3737" spans="2:2">
      <c r="B3737" s="21">
        <f>IF(AND(C3737&lt;&gt;"", J3737&lt;&gt;""), HYPERLINK("#'" &amp; C3737 &amp; "'!" &amp; J3737, J3737), "")</f>
        <v>0</v>
      </c>
    </row>
    <row r="3738" spans="2:2">
      <c r="B3738" s="21">
        <f>IF(AND(C3738&lt;&gt;"", J3738&lt;&gt;""), HYPERLINK("#'" &amp; C3738 &amp; "'!" &amp; J3738, J3738), "")</f>
        <v>0</v>
      </c>
    </row>
    <row r="3739" spans="2:2">
      <c r="B3739" s="21">
        <f>IF(AND(C3739&lt;&gt;"", J3739&lt;&gt;""), HYPERLINK("#'" &amp; C3739 &amp; "'!" &amp; J3739, J3739), "")</f>
        <v>0</v>
      </c>
    </row>
    <row r="3740" spans="2:2">
      <c r="B3740" s="21">
        <f>IF(AND(C3740&lt;&gt;"", J3740&lt;&gt;""), HYPERLINK("#'" &amp; C3740 &amp; "'!" &amp; J3740, J3740), "")</f>
        <v>0</v>
      </c>
    </row>
    <row r="3741" spans="2:2">
      <c r="B3741" s="21">
        <f>IF(AND(C3741&lt;&gt;"", J3741&lt;&gt;""), HYPERLINK("#'" &amp; C3741 &amp; "'!" &amp; J3741, J3741), "")</f>
        <v>0</v>
      </c>
    </row>
    <row r="3742" spans="2:2">
      <c r="B3742" s="21">
        <f>IF(AND(C3742&lt;&gt;"", J3742&lt;&gt;""), HYPERLINK("#'" &amp; C3742 &amp; "'!" &amp; J3742, J3742), "")</f>
        <v>0</v>
      </c>
    </row>
    <row r="3743" spans="2:2">
      <c r="B3743" s="21">
        <f>IF(AND(C3743&lt;&gt;"", J3743&lt;&gt;""), HYPERLINK("#'" &amp; C3743 &amp; "'!" &amp; J3743, J3743), "")</f>
        <v>0</v>
      </c>
    </row>
    <row r="3744" spans="2:2">
      <c r="B3744" s="21">
        <f>IF(AND(C3744&lt;&gt;"", J3744&lt;&gt;""), HYPERLINK("#'" &amp; C3744 &amp; "'!" &amp; J3744, J3744), "")</f>
        <v>0</v>
      </c>
    </row>
    <row r="3745" spans="2:2">
      <c r="B3745" s="21">
        <f>IF(AND(C3745&lt;&gt;"", J3745&lt;&gt;""), HYPERLINK("#'" &amp; C3745 &amp; "'!" &amp; J3745, J3745), "")</f>
        <v>0</v>
      </c>
    </row>
    <row r="3746" spans="2:2">
      <c r="B3746" s="21">
        <f>IF(AND(C3746&lt;&gt;"", J3746&lt;&gt;""), HYPERLINK("#'" &amp; C3746 &amp; "'!" &amp; J3746, J3746), "")</f>
        <v>0</v>
      </c>
    </row>
    <row r="3747" spans="2:2">
      <c r="B3747" s="21">
        <f>IF(AND(C3747&lt;&gt;"", J3747&lt;&gt;""), HYPERLINK("#'" &amp; C3747 &amp; "'!" &amp; J3747, J3747), "")</f>
        <v>0</v>
      </c>
    </row>
    <row r="3748" spans="2:2">
      <c r="B3748" s="21">
        <f>IF(AND(C3748&lt;&gt;"", J3748&lt;&gt;""), HYPERLINK("#'" &amp; C3748 &amp; "'!" &amp; J3748, J3748), "")</f>
        <v>0</v>
      </c>
    </row>
    <row r="3749" spans="2:2">
      <c r="B3749" s="21">
        <f>IF(AND(C3749&lt;&gt;"", J3749&lt;&gt;""), HYPERLINK("#'" &amp; C3749 &amp; "'!" &amp; J3749, J3749), "")</f>
        <v>0</v>
      </c>
    </row>
    <row r="3750" spans="2:2">
      <c r="B3750" s="21">
        <f>IF(AND(C3750&lt;&gt;"", J3750&lt;&gt;""), HYPERLINK("#'" &amp; C3750 &amp; "'!" &amp; J3750, J3750), "")</f>
        <v>0</v>
      </c>
    </row>
    <row r="3751" spans="2:2">
      <c r="B3751" s="21">
        <f>IF(AND(C3751&lt;&gt;"", J3751&lt;&gt;""), HYPERLINK("#'" &amp; C3751 &amp; "'!" &amp; J3751, J3751), "")</f>
        <v>0</v>
      </c>
    </row>
    <row r="3752" spans="2:2">
      <c r="B3752" s="21">
        <f>IF(AND(C3752&lt;&gt;"", J3752&lt;&gt;""), HYPERLINK("#'" &amp; C3752 &amp; "'!" &amp; J3752, J3752), "")</f>
        <v>0</v>
      </c>
    </row>
    <row r="3753" spans="2:2">
      <c r="B3753" s="21">
        <f>IF(AND(C3753&lt;&gt;"", J3753&lt;&gt;""), HYPERLINK("#'" &amp; C3753 &amp; "'!" &amp; J3753, J3753), "")</f>
        <v>0</v>
      </c>
    </row>
    <row r="3754" spans="2:2">
      <c r="B3754" s="21">
        <f>IF(AND(C3754&lt;&gt;"", J3754&lt;&gt;""), HYPERLINK("#'" &amp; C3754 &amp; "'!" &amp; J3754, J3754), "")</f>
        <v>0</v>
      </c>
    </row>
    <row r="3755" spans="2:2">
      <c r="B3755" s="21">
        <f>IF(AND(C3755&lt;&gt;"", J3755&lt;&gt;""), HYPERLINK("#'" &amp; C3755 &amp; "'!" &amp; J3755, J3755), "")</f>
        <v>0</v>
      </c>
    </row>
    <row r="3756" spans="2:2">
      <c r="B3756" s="21">
        <f>IF(AND(C3756&lt;&gt;"", J3756&lt;&gt;""), HYPERLINK("#'" &amp; C3756 &amp; "'!" &amp; J3756, J3756), "")</f>
        <v>0</v>
      </c>
    </row>
    <row r="3757" spans="2:2">
      <c r="B3757" s="21">
        <f>IF(AND(C3757&lt;&gt;"", J3757&lt;&gt;""), HYPERLINK("#'" &amp; C3757 &amp; "'!" &amp; J3757, J3757), "")</f>
        <v>0</v>
      </c>
    </row>
    <row r="3758" spans="2:2">
      <c r="B3758" s="21">
        <f>IF(AND(C3758&lt;&gt;"", J3758&lt;&gt;""), HYPERLINK("#'" &amp; C3758 &amp; "'!" &amp; J3758, J3758), "")</f>
        <v>0</v>
      </c>
    </row>
    <row r="3759" spans="2:2">
      <c r="B3759" s="21">
        <f>IF(AND(C3759&lt;&gt;"", J3759&lt;&gt;""), HYPERLINK("#'" &amp; C3759 &amp; "'!" &amp; J3759, J3759), "")</f>
        <v>0</v>
      </c>
    </row>
    <row r="3760" spans="2:2">
      <c r="B3760" s="21">
        <f>IF(AND(C3760&lt;&gt;"", J3760&lt;&gt;""), HYPERLINK("#'" &amp; C3760 &amp; "'!" &amp; J3760, J3760), "")</f>
        <v>0</v>
      </c>
    </row>
    <row r="3761" spans="2:2">
      <c r="B3761" s="21">
        <f>IF(AND(C3761&lt;&gt;"", J3761&lt;&gt;""), HYPERLINK("#'" &amp; C3761 &amp; "'!" &amp; J3761, J3761), "")</f>
        <v>0</v>
      </c>
    </row>
    <row r="3762" spans="2:2">
      <c r="B3762" s="21">
        <f>IF(AND(C3762&lt;&gt;"", J3762&lt;&gt;""), HYPERLINK("#'" &amp; C3762 &amp; "'!" &amp; J3762, J3762), "")</f>
        <v>0</v>
      </c>
    </row>
    <row r="3763" spans="2:2">
      <c r="B3763" s="21">
        <f>IF(AND(C3763&lt;&gt;"", J3763&lt;&gt;""), HYPERLINK("#'" &amp; C3763 &amp; "'!" &amp; J3763, J3763), "")</f>
        <v>0</v>
      </c>
    </row>
    <row r="3764" spans="2:2">
      <c r="B3764" s="21">
        <f>IF(AND(C3764&lt;&gt;"", J3764&lt;&gt;""), HYPERLINK("#'" &amp; C3764 &amp; "'!" &amp; J3764, J3764), "")</f>
        <v>0</v>
      </c>
    </row>
    <row r="3765" spans="2:2">
      <c r="B3765" s="21">
        <f>IF(AND(C3765&lt;&gt;"", J3765&lt;&gt;""), HYPERLINK("#'" &amp; C3765 &amp; "'!" &amp; J3765, J3765), "")</f>
        <v>0</v>
      </c>
    </row>
    <row r="3766" spans="2:2">
      <c r="B3766" s="21">
        <f>IF(AND(C3766&lt;&gt;"", J3766&lt;&gt;""), HYPERLINK("#'" &amp; C3766 &amp; "'!" &amp; J3766, J3766), "")</f>
        <v>0</v>
      </c>
    </row>
    <row r="3767" spans="2:2">
      <c r="B3767" s="21">
        <f>IF(AND(C3767&lt;&gt;"", J3767&lt;&gt;""), HYPERLINK("#'" &amp; C3767 &amp; "'!" &amp; J3767, J3767), "")</f>
        <v>0</v>
      </c>
    </row>
    <row r="3768" spans="2:2">
      <c r="B3768" s="21">
        <f>IF(AND(C3768&lt;&gt;"", J3768&lt;&gt;""), HYPERLINK("#'" &amp; C3768 &amp; "'!" &amp; J3768, J3768), "")</f>
        <v>0</v>
      </c>
    </row>
    <row r="3769" spans="2:2">
      <c r="B3769" s="21">
        <f>IF(AND(C3769&lt;&gt;"", J3769&lt;&gt;""), HYPERLINK("#'" &amp; C3769 &amp; "'!" &amp; J3769, J3769), "")</f>
        <v>0</v>
      </c>
    </row>
    <row r="3770" spans="2:2">
      <c r="B3770" s="21">
        <f>IF(AND(C3770&lt;&gt;"", J3770&lt;&gt;""), HYPERLINK("#'" &amp; C3770 &amp; "'!" &amp; J3770, J3770), "")</f>
        <v>0</v>
      </c>
    </row>
    <row r="3771" spans="2:2">
      <c r="B3771" s="21">
        <f>IF(AND(C3771&lt;&gt;"", J3771&lt;&gt;""), HYPERLINK("#'" &amp; C3771 &amp; "'!" &amp; J3771, J3771), "")</f>
        <v>0</v>
      </c>
    </row>
    <row r="3772" spans="2:2">
      <c r="B3772" s="21">
        <f>IF(AND(C3772&lt;&gt;"", J3772&lt;&gt;""), HYPERLINK("#'" &amp; C3772 &amp; "'!" &amp; J3772, J3772), "")</f>
        <v>0</v>
      </c>
    </row>
    <row r="3773" spans="2:2">
      <c r="B3773" s="21">
        <f>IF(AND(C3773&lt;&gt;"", J3773&lt;&gt;""), HYPERLINK("#'" &amp; C3773 &amp; "'!" &amp; J3773, J3773), "")</f>
        <v>0</v>
      </c>
    </row>
    <row r="3774" spans="2:2">
      <c r="B3774" s="21">
        <f>IF(AND(C3774&lt;&gt;"", J3774&lt;&gt;""), HYPERLINK("#'" &amp; C3774 &amp; "'!" &amp; J3774, J3774), "")</f>
        <v>0</v>
      </c>
    </row>
    <row r="3775" spans="2:2">
      <c r="B3775" s="21">
        <f>IF(AND(C3775&lt;&gt;"", J3775&lt;&gt;""), HYPERLINK("#'" &amp; C3775 &amp; "'!" &amp; J3775, J3775), "")</f>
        <v>0</v>
      </c>
    </row>
    <row r="3776" spans="2:2">
      <c r="B3776" s="21">
        <f>IF(AND(C3776&lt;&gt;"", J3776&lt;&gt;""), HYPERLINK("#'" &amp; C3776 &amp; "'!" &amp; J3776, J3776), "")</f>
        <v>0</v>
      </c>
    </row>
    <row r="3777" spans="2:2">
      <c r="B3777" s="21">
        <f>IF(AND(C3777&lt;&gt;"", J3777&lt;&gt;""), HYPERLINK("#'" &amp; C3777 &amp; "'!" &amp; J3777, J3777), "")</f>
        <v>0</v>
      </c>
    </row>
    <row r="3778" spans="2:2">
      <c r="B3778" s="21">
        <f>IF(AND(C3778&lt;&gt;"", J3778&lt;&gt;""), HYPERLINK("#'" &amp; C3778 &amp; "'!" &amp; J3778, J3778), "")</f>
        <v>0</v>
      </c>
    </row>
    <row r="3779" spans="2:2">
      <c r="B3779" s="21">
        <f>IF(AND(C3779&lt;&gt;"", J3779&lt;&gt;""), HYPERLINK("#'" &amp; C3779 &amp; "'!" &amp; J3779, J3779), "")</f>
        <v>0</v>
      </c>
    </row>
    <row r="3780" spans="2:2">
      <c r="B3780" s="21">
        <f>IF(AND(C3780&lt;&gt;"", J3780&lt;&gt;""), HYPERLINK("#'" &amp; C3780 &amp; "'!" &amp; J3780, J3780), "")</f>
        <v>0</v>
      </c>
    </row>
    <row r="3781" spans="2:2">
      <c r="B3781" s="21">
        <f>IF(AND(C3781&lt;&gt;"", J3781&lt;&gt;""), HYPERLINK("#'" &amp; C3781 &amp; "'!" &amp; J3781, J3781), "")</f>
        <v>0</v>
      </c>
    </row>
    <row r="3782" spans="2:2">
      <c r="B3782" s="21">
        <f>IF(AND(C3782&lt;&gt;"", J3782&lt;&gt;""), HYPERLINK("#'" &amp; C3782 &amp; "'!" &amp; J3782, J3782), "")</f>
        <v>0</v>
      </c>
    </row>
    <row r="3783" spans="2:2">
      <c r="B3783" s="21">
        <f>IF(AND(C3783&lt;&gt;"", J3783&lt;&gt;""), HYPERLINK("#'" &amp; C3783 &amp; "'!" &amp; J3783, J3783), "")</f>
        <v>0</v>
      </c>
    </row>
    <row r="3784" spans="2:2">
      <c r="B3784" s="21">
        <f>IF(AND(C3784&lt;&gt;"", J3784&lt;&gt;""), HYPERLINK("#'" &amp; C3784 &amp; "'!" &amp; J3784, J3784), "")</f>
        <v>0</v>
      </c>
    </row>
    <row r="3785" spans="2:2">
      <c r="B3785" s="21">
        <f>IF(AND(C3785&lt;&gt;"", J3785&lt;&gt;""), HYPERLINK("#'" &amp; C3785 &amp; "'!" &amp; J3785, J3785), "")</f>
        <v>0</v>
      </c>
    </row>
    <row r="3786" spans="2:2">
      <c r="B3786" s="21">
        <f>IF(AND(C3786&lt;&gt;"", J3786&lt;&gt;""), HYPERLINK("#'" &amp; C3786 &amp; "'!" &amp; J3786, J3786), "")</f>
        <v>0</v>
      </c>
    </row>
    <row r="3787" spans="2:2">
      <c r="B3787" s="21">
        <f>IF(AND(C3787&lt;&gt;"", J3787&lt;&gt;""), HYPERLINK("#'" &amp; C3787 &amp; "'!" &amp; J3787, J3787), "")</f>
        <v>0</v>
      </c>
    </row>
    <row r="3788" spans="2:2">
      <c r="B3788" s="21">
        <f>IF(AND(C3788&lt;&gt;"", J3788&lt;&gt;""), HYPERLINK("#'" &amp; C3788 &amp; "'!" &amp; J3788, J3788), "")</f>
        <v>0</v>
      </c>
    </row>
    <row r="3789" spans="2:2">
      <c r="B3789" s="21">
        <f>IF(AND(C3789&lt;&gt;"", J3789&lt;&gt;""), HYPERLINK("#'" &amp; C3789 &amp; "'!" &amp; J3789, J3789), "")</f>
        <v>0</v>
      </c>
    </row>
    <row r="3790" spans="2:2">
      <c r="B3790" s="21">
        <f>IF(AND(C3790&lt;&gt;"", J3790&lt;&gt;""), HYPERLINK("#'" &amp; C3790 &amp; "'!" &amp; J3790, J3790), "")</f>
        <v>0</v>
      </c>
    </row>
    <row r="3791" spans="2:2">
      <c r="B3791" s="21">
        <f>IF(AND(C3791&lt;&gt;"", J3791&lt;&gt;""), HYPERLINK("#'" &amp; C3791 &amp; "'!" &amp; J3791, J3791), "")</f>
        <v>0</v>
      </c>
    </row>
    <row r="3792" spans="2:2">
      <c r="B3792" s="21">
        <f>IF(AND(C3792&lt;&gt;"", J3792&lt;&gt;""), HYPERLINK("#'" &amp; C3792 &amp; "'!" &amp; J3792, J3792), "")</f>
        <v>0</v>
      </c>
    </row>
    <row r="3793" spans="2:2">
      <c r="B3793" s="21">
        <f>IF(AND(C3793&lt;&gt;"", J3793&lt;&gt;""), HYPERLINK("#'" &amp; C3793 &amp; "'!" &amp; J3793, J3793), "")</f>
        <v>0</v>
      </c>
    </row>
    <row r="3794" spans="2:2">
      <c r="B3794" s="21">
        <f>IF(AND(C3794&lt;&gt;"", J3794&lt;&gt;""), HYPERLINK("#'" &amp; C3794 &amp; "'!" &amp; J3794, J3794), "")</f>
        <v>0</v>
      </c>
    </row>
    <row r="3795" spans="2:2">
      <c r="B3795" s="21">
        <f>IF(AND(C3795&lt;&gt;"", J3795&lt;&gt;""), HYPERLINK("#'" &amp; C3795 &amp; "'!" &amp; J3795, J3795), "")</f>
        <v>0</v>
      </c>
    </row>
    <row r="3796" spans="2:2">
      <c r="B3796" s="21">
        <f>IF(AND(C3796&lt;&gt;"", J3796&lt;&gt;""), HYPERLINK("#'" &amp; C3796 &amp; "'!" &amp; J3796, J3796), "")</f>
        <v>0</v>
      </c>
    </row>
    <row r="3797" spans="2:2">
      <c r="B3797" s="21">
        <f>IF(AND(C3797&lt;&gt;"", J3797&lt;&gt;""), HYPERLINK("#'" &amp; C3797 &amp; "'!" &amp; J3797, J3797), "")</f>
        <v>0</v>
      </c>
    </row>
    <row r="3798" spans="2:2">
      <c r="B3798" s="21">
        <f>IF(AND(C3798&lt;&gt;"", J3798&lt;&gt;""), HYPERLINK("#'" &amp; C3798 &amp; "'!" &amp; J3798, J3798), "")</f>
        <v>0</v>
      </c>
    </row>
    <row r="3799" spans="2:2">
      <c r="B3799" s="21">
        <f>IF(AND(C3799&lt;&gt;"", J3799&lt;&gt;""), HYPERLINK("#'" &amp; C3799 &amp; "'!" &amp; J3799, J3799), "")</f>
        <v>0</v>
      </c>
    </row>
    <row r="3800" spans="2:2">
      <c r="B3800" s="21">
        <f>IF(AND(C3800&lt;&gt;"", J3800&lt;&gt;""), HYPERLINK("#'" &amp; C3800 &amp; "'!" &amp; J3800, J3800), "")</f>
        <v>0</v>
      </c>
    </row>
    <row r="3801" spans="2:2">
      <c r="B3801" s="21">
        <f>IF(AND(C3801&lt;&gt;"", J3801&lt;&gt;""), HYPERLINK("#'" &amp; C3801 &amp; "'!" &amp; J3801, J3801), "")</f>
        <v>0</v>
      </c>
    </row>
    <row r="3802" spans="2:2">
      <c r="B3802" s="21">
        <f>IF(AND(C3802&lt;&gt;"", J3802&lt;&gt;""), HYPERLINK("#'" &amp; C3802 &amp; "'!" &amp; J3802, J3802), "")</f>
        <v>0</v>
      </c>
    </row>
    <row r="3803" spans="2:2">
      <c r="B3803" s="21">
        <f>IF(AND(C3803&lt;&gt;"", J3803&lt;&gt;""), HYPERLINK("#'" &amp; C3803 &amp; "'!" &amp; J3803, J3803), "")</f>
        <v>0</v>
      </c>
    </row>
    <row r="3804" spans="2:2">
      <c r="B3804" s="21">
        <f>IF(AND(C3804&lt;&gt;"", J3804&lt;&gt;""), HYPERLINK("#'" &amp; C3804 &amp; "'!" &amp; J3804, J3804), "")</f>
        <v>0</v>
      </c>
    </row>
    <row r="3805" spans="2:2">
      <c r="B3805" s="21">
        <f>IF(AND(C3805&lt;&gt;"", J3805&lt;&gt;""), HYPERLINK("#'" &amp; C3805 &amp; "'!" &amp; J3805, J3805), "")</f>
        <v>0</v>
      </c>
    </row>
    <row r="3806" spans="2:2">
      <c r="B3806" s="21">
        <f>IF(AND(C3806&lt;&gt;"", J3806&lt;&gt;""), HYPERLINK("#'" &amp; C3806 &amp; "'!" &amp; J3806, J3806), "")</f>
        <v>0</v>
      </c>
    </row>
    <row r="3807" spans="2:2">
      <c r="B3807" s="21">
        <f>IF(AND(C3807&lt;&gt;"", J3807&lt;&gt;""), HYPERLINK("#'" &amp; C3807 &amp; "'!" &amp; J3807, J3807), "")</f>
        <v>0</v>
      </c>
    </row>
    <row r="3808" spans="2:2">
      <c r="B3808" s="21">
        <f>IF(AND(C3808&lt;&gt;"", J3808&lt;&gt;""), HYPERLINK("#'" &amp; C3808 &amp; "'!" &amp; J3808, J3808), "")</f>
        <v>0</v>
      </c>
    </row>
    <row r="3809" spans="2:2">
      <c r="B3809" s="21">
        <f>IF(AND(C3809&lt;&gt;"", J3809&lt;&gt;""), HYPERLINK("#'" &amp; C3809 &amp; "'!" &amp; J3809, J3809), "")</f>
        <v>0</v>
      </c>
    </row>
    <row r="3810" spans="2:2">
      <c r="B3810" s="21">
        <f>IF(AND(C3810&lt;&gt;"", J3810&lt;&gt;""), HYPERLINK("#'" &amp; C3810 &amp; "'!" &amp; J3810, J3810), "")</f>
        <v>0</v>
      </c>
    </row>
    <row r="3811" spans="2:2">
      <c r="B3811" s="21">
        <f>IF(AND(C3811&lt;&gt;"", J3811&lt;&gt;""), HYPERLINK("#'" &amp; C3811 &amp; "'!" &amp; J3811, J3811), "")</f>
        <v>0</v>
      </c>
    </row>
    <row r="3812" spans="2:2">
      <c r="B3812" s="21">
        <f>IF(AND(C3812&lt;&gt;"", J3812&lt;&gt;""), HYPERLINK("#'" &amp; C3812 &amp; "'!" &amp; J3812, J3812), "")</f>
        <v>0</v>
      </c>
    </row>
    <row r="3813" spans="2:2">
      <c r="B3813" s="21">
        <f>IF(AND(C3813&lt;&gt;"", J3813&lt;&gt;""), HYPERLINK("#'" &amp; C3813 &amp; "'!" &amp; J3813, J3813), "")</f>
        <v>0</v>
      </c>
    </row>
    <row r="3814" spans="2:2">
      <c r="B3814" s="21">
        <f>IF(AND(C3814&lt;&gt;"", J3814&lt;&gt;""), HYPERLINK("#'" &amp; C3814 &amp; "'!" &amp; J3814, J3814), "")</f>
        <v>0</v>
      </c>
    </row>
    <row r="3815" spans="2:2">
      <c r="B3815" s="21">
        <f>IF(AND(C3815&lt;&gt;"", J3815&lt;&gt;""), HYPERLINK("#'" &amp; C3815 &amp; "'!" &amp; J3815, J3815), "")</f>
        <v>0</v>
      </c>
    </row>
    <row r="3816" spans="2:2">
      <c r="B3816" s="21">
        <f>IF(AND(C3816&lt;&gt;"", J3816&lt;&gt;""), HYPERLINK("#'" &amp; C3816 &amp; "'!" &amp; J3816, J3816), "")</f>
        <v>0</v>
      </c>
    </row>
    <row r="3817" spans="2:2">
      <c r="B3817" s="21">
        <f>IF(AND(C3817&lt;&gt;"", J3817&lt;&gt;""), HYPERLINK("#'" &amp; C3817 &amp; "'!" &amp; J3817, J3817), "")</f>
        <v>0</v>
      </c>
    </row>
    <row r="3818" spans="2:2">
      <c r="B3818" s="21">
        <f>IF(AND(C3818&lt;&gt;"", J3818&lt;&gt;""), HYPERLINK("#'" &amp; C3818 &amp; "'!" &amp; J3818, J3818), "")</f>
        <v>0</v>
      </c>
    </row>
    <row r="3819" spans="2:2">
      <c r="B3819" s="21">
        <f>IF(AND(C3819&lt;&gt;"", J3819&lt;&gt;""), HYPERLINK("#'" &amp; C3819 &amp; "'!" &amp; J3819, J3819), "")</f>
        <v>0</v>
      </c>
    </row>
    <row r="3820" spans="2:2">
      <c r="B3820" s="21">
        <f>IF(AND(C3820&lt;&gt;"", J3820&lt;&gt;""), HYPERLINK("#'" &amp; C3820 &amp; "'!" &amp; J3820, J3820), "")</f>
        <v>0</v>
      </c>
    </row>
    <row r="3821" spans="2:2">
      <c r="B3821" s="21">
        <f>IF(AND(C3821&lt;&gt;"", J3821&lt;&gt;""), HYPERLINK("#'" &amp; C3821 &amp; "'!" &amp; J3821, J3821), "")</f>
        <v>0</v>
      </c>
    </row>
    <row r="3822" spans="2:2">
      <c r="B3822" s="21">
        <f>IF(AND(C3822&lt;&gt;"", J3822&lt;&gt;""), HYPERLINK("#'" &amp; C3822 &amp; "'!" &amp; J3822, J3822), "")</f>
        <v>0</v>
      </c>
    </row>
    <row r="3823" spans="2:2">
      <c r="B3823" s="21">
        <f>IF(AND(C3823&lt;&gt;"", J3823&lt;&gt;""), HYPERLINK("#'" &amp; C3823 &amp; "'!" &amp; J3823, J3823), "")</f>
        <v>0</v>
      </c>
    </row>
    <row r="3824" spans="2:2">
      <c r="B3824" s="21">
        <f>IF(AND(C3824&lt;&gt;"", J3824&lt;&gt;""), HYPERLINK("#'" &amp; C3824 &amp; "'!" &amp; J3824, J3824), "")</f>
        <v>0</v>
      </c>
    </row>
    <row r="3825" spans="2:2">
      <c r="B3825" s="21">
        <f>IF(AND(C3825&lt;&gt;"", J3825&lt;&gt;""), HYPERLINK("#'" &amp; C3825 &amp; "'!" &amp; J3825, J3825), "")</f>
        <v>0</v>
      </c>
    </row>
    <row r="3826" spans="2:2">
      <c r="B3826" s="21">
        <f>IF(AND(C3826&lt;&gt;"", J3826&lt;&gt;""), HYPERLINK("#'" &amp; C3826 &amp; "'!" &amp; J3826, J3826), "")</f>
        <v>0</v>
      </c>
    </row>
    <row r="3827" spans="2:2">
      <c r="B3827" s="21">
        <f>IF(AND(C3827&lt;&gt;"", J3827&lt;&gt;""), HYPERLINK("#'" &amp; C3827 &amp; "'!" &amp; J3827, J3827), "")</f>
        <v>0</v>
      </c>
    </row>
    <row r="3828" spans="2:2">
      <c r="B3828" s="21">
        <f>IF(AND(C3828&lt;&gt;"", J3828&lt;&gt;""), HYPERLINK("#'" &amp; C3828 &amp; "'!" &amp; J3828, J3828), "")</f>
        <v>0</v>
      </c>
    </row>
    <row r="3829" spans="2:2">
      <c r="B3829" s="21">
        <f>IF(AND(C3829&lt;&gt;"", J3829&lt;&gt;""), HYPERLINK("#'" &amp; C3829 &amp; "'!" &amp; J3829, J3829), "")</f>
        <v>0</v>
      </c>
    </row>
    <row r="3830" spans="2:2">
      <c r="B3830" s="21">
        <f>IF(AND(C3830&lt;&gt;"", J3830&lt;&gt;""), HYPERLINK("#'" &amp; C3830 &amp; "'!" &amp; J3830, J3830), "")</f>
        <v>0</v>
      </c>
    </row>
    <row r="3831" spans="2:2">
      <c r="B3831" s="21">
        <f>IF(AND(C3831&lt;&gt;"", J3831&lt;&gt;""), HYPERLINK("#'" &amp; C3831 &amp; "'!" &amp; J3831, J3831), "")</f>
        <v>0</v>
      </c>
    </row>
    <row r="3832" spans="2:2">
      <c r="B3832" s="21">
        <f>IF(AND(C3832&lt;&gt;"", J3832&lt;&gt;""), HYPERLINK("#'" &amp; C3832 &amp; "'!" &amp; J3832, J3832), "")</f>
        <v>0</v>
      </c>
    </row>
    <row r="3833" spans="2:2">
      <c r="B3833" s="21">
        <f>IF(AND(C3833&lt;&gt;"", J3833&lt;&gt;""), HYPERLINK("#'" &amp; C3833 &amp; "'!" &amp; J3833, J3833), "")</f>
        <v>0</v>
      </c>
    </row>
    <row r="3834" spans="2:2">
      <c r="B3834" s="21">
        <f>IF(AND(C3834&lt;&gt;"", J3834&lt;&gt;""), HYPERLINK("#'" &amp; C3834 &amp; "'!" &amp; J3834, J3834), "")</f>
        <v>0</v>
      </c>
    </row>
    <row r="3835" spans="2:2">
      <c r="B3835" s="21">
        <f>IF(AND(C3835&lt;&gt;"", J3835&lt;&gt;""), HYPERLINK("#'" &amp; C3835 &amp; "'!" &amp; J3835, J3835), "")</f>
        <v>0</v>
      </c>
    </row>
    <row r="3836" spans="2:2">
      <c r="B3836" s="21">
        <f>IF(AND(C3836&lt;&gt;"", J3836&lt;&gt;""), HYPERLINK("#'" &amp; C3836 &amp; "'!" &amp; J3836, J3836), "")</f>
        <v>0</v>
      </c>
    </row>
    <row r="3837" spans="2:2">
      <c r="B3837" s="21">
        <f>IF(AND(C3837&lt;&gt;"", J3837&lt;&gt;""), HYPERLINK("#'" &amp; C3837 &amp; "'!" &amp; J3837, J3837), "")</f>
        <v>0</v>
      </c>
    </row>
    <row r="3838" spans="2:2">
      <c r="B3838" s="21">
        <f>IF(AND(C3838&lt;&gt;"", J3838&lt;&gt;""), HYPERLINK("#'" &amp; C3838 &amp; "'!" &amp; J3838, J3838), "")</f>
        <v>0</v>
      </c>
    </row>
    <row r="3839" spans="2:2">
      <c r="B3839" s="21">
        <f>IF(AND(C3839&lt;&gt;"", J3839&lt;&gt;""), HYPERLINK("#'" &amp; C3839 &amp; "'!" &amp; J3839, J3839), "")</f>
        <v>0</v>
      </c>
    </row>
    <row r="3840" spans="2:2">
      <c r="B3840" s="21">
        <f>IF(AND(C3840&lt;&gt;"", J3840&lt;&gt;""), HYPERLINK("#'" &amp; C3840 &amp; "'!" &amp; J3840, J3840), "")</f>
        <v>0</v>
      </c>
    </row>
    <row r="3841" spans="2:2">
      <c r="B3841" s="21">
        <f>IF(AND(C3841&lt;&gt;"", J3841&lt;&gt;""), HYPERLINK("#'" &amp; C3841 &amp; "'!" &amp; J3841, J3841), "")</f>
        <v>0</v>
      </c>
    </row>
    <row r="3842" spans="2:2">
      <c r="B3842" s="21">
        <f>IF(AND(C3842&lt;&gt;"", J3842&lt;&gt;""), HYPERLINK("#'" &amp; C3842 &amp; "'!" &amp; J3842, J3842), "")</f>
        <v>0</v>
      </c>
    </row>
    <row r="3843" spans="2:2">
      <c r="B3843" s="21">
        <f>IF(AND(C3843&lt;&gt;"", J3843&lt;&gt;""), HYPERLINK("#'" &amp; C3843 &amp; "'!" &amp; J3843, J3843), "")</f>
        <v>0</v>
      </c>
    </row>
    <row r="3844" spans="2:2">
      <c r="B3844" s="21">
        <f>IF(AND(C3844&lt;&gt;"", J3844&lt;&gt;""), HYPERLINK("#'" &amp; C3844 &amp; "'!" &amp; J3844, J3844), "")</f>
        <v>0</v>
      </c>
    </row>
    <row r="3845" spans="2:2">
      <c r="B3845" s="21">
        <f>IF(AND(C3845&lt;&gt;"", J3845&lt;&gt;""), HYPERLINK("#'" &amp; C3845 &amp; "'!" &amp; J3845, J3845), "")</f>
        <v>0</v>
      </c>
    </row>
    <row r="3846" spans="2:2">
      <c r="B3846" s="21">
        <f>IF(AND(C3846&lt;&gt;"", J3846&lt;&gt;""), HYPERLINK("#'" &amp; C3846 &amp; "'!" &amp; J3846, J3846), "")</f>
        <v>0</v>
      </c>
    </row>
    <row r="3847" spans="2:2">
      <c r="B3847" s="21">
        <f>IF(AND(C3847&lt;&gt;"", J3847&lt;&gt;""), HYPERLINK("#'" &amp; C3847 &amp; "'!" &amp; J3847, J3847), "")</f>
        <v>0</v>
      </c>
    </row>
    <row r="3848" spans="2:2">
      <c r="B3848" s="21">
        <f>IF(AND(C3848&lt;&gt;"", J3848&lt;&gt;""), HYPERLINK("#'" &amp; C3848 &amp; "'!" &amp; J3848, J3848), "")</f>
        <v>0</v>
      </c>
    </row>
    <row r="3849" spans="2:2">
      <c r="B3849" s="21">
        <f>IF(AND(C3849&lt;&gt;"", J3849&lt;&gt;""), HYPERLINK("#'" &amp; C3849 &amp; "'!" &amp; J3849, J3849), "")</f>
        <v>0</v>
      </c>
    </row>
    <row r="3850" spans="2:2">
      <c r="B3850" s="21">
        <f>IF(AND(C3850&lt;&gt;"", J3850&lt;&gt;""), HYPERLINK("#'" &amp; C3850 &amp; "'!" &amp; J3850, J3850), "")</f>
        <v>0</v>
      </c>
    </row>
    <row r="3851" spans="2:2">
      <c r="B3851" s="21">
        <f>IF(AND(C3851&lt;&gt;"", J3851&lt;&gt;""), HYPERLINK("#'" &amp; C3851 &amp; "'!" &amp; J3851, J3851), "")</f>
        <v>0</v>
      </c>
    </row>
    <row r="3852" spans="2:2">
      <c r="B3852" s="21">
        <f>IF(AND(C3852&lt;&gt;"", J3852&lt;&gt;""), HYPERLINK("#'" &amp; C3852 &amp; "'!" &amp; J3852, J3852), "")</f>
        <v>0</v>
      </c>
    </row>
    <row r="3853" spans="2:2">
      <c r="B3853" s="21">
        <f>IF(AND(C3853&lt;&gt;"", J3853&lt;&gt;""), HYPERLINK("#'" &amp; C3853 &amp; "'!" &amp; J3853, J3853), "")</f>
        <v>0</v>
      </c>
    </row>
    <row r="3854" spans="2:2">
      <c r="B3854" s="21">
        <f>IF(AND(C3854&lt;&gt;"", J3854&lt;&gt;""), HYPERLINK("#'" &amp; C3854 &amp; "'!" &amp; J3854, J3854), "")</f>
        <v>0</v>
      </c>
    </row>
    <row r="3855" spans="2:2">
      <c r="B3855" s="21">
        <f>IF(AND(C3855&lt;&gt;"", J3855&lt;&gt;""), HYPERLINK("#'" &amp; C3855 &amp; "'!" &amp; J3855, J3855), "")</f>
        <v>0</v>
      </c>
    </row>
    <row r="3856" spans="2:2">
      <c r="B3856" s="21">
        <f>IF(AND(C3856&lt;&gt;"", J3856&lt;&gt;""), HYPERLINK("#'" &amp; C3856 &amp; "'!" &amp; J3856, J3856), "")</f>
        <v>0</v>
      </c>
    </row>
    <row r="3857" spans="2:2">
      <c r="B3857" s="21">
        <f>IF(AND(C3857&lt;&gt;"", J3857&lt;&gt;""), HYPERLINK("#'" &amp; C3857 &amp; "'!" &amp; J3857, J3857), "")</f>
        <v>0</v>
      </c>
    </row>
    <row r="3858" spans="2:2">
      <c r="B3858" s="21">
        <f>IF(AND(C3858&lt;&gt;"", J3858&lt;&gt;""), HYPERLINK("#'" &amp; C3858 &amp; "'!" &amp; J3858, J3858), "")</f>
        <v>0</v>
      </c>
    </row>
    <row r="3859" spans="2:2">
      <c r="B3859" s="21">
        <f>IF(AND(C3859&lt;&gt;"", J3859&lt;&gt;""), HYPERLINK("#'" &amp; C3859 &amp; "'!" &amp; J3859, J3859), "")</f>
        <v>0</v>
      </c>
    </row>
    <row r="3860" spans="2:2">
      <c r="B3860" s="21">
        <f>IF(AND(C3860&lt;&gt;"", J3860&lt;&gt;""), HYPERLINK("#'" &amp; C3860 &amp; "'!" &amp; J3860, J3860), "")</f>
        <v>0</v>
      </c>
    </row>
    <row r="3861" spans="2:2">
      <c r="B3861" s="21">
        <f>IF(AND(C3861&lt;&gt;"", J3861&lt;&gt;""), HYPERLINK("#'" &amp; C3861 &amp; "'!" &amp; J3861, J3861), "")</f>
        <v>0</v>
      </c>
    </row>
    <row r="3862" spans="2:2">
      <c r="B3862" s="21">
        <f>IF(AND(C3862&lt;&gt;"", J3862&lt;&gt;""), HYPERLINK("#'" &amp; C3862 &amp; "'!" &amp; J3862, J3862), "")</f>
        <v>0</v>
      </c>
    </row>
    <row r="3863" spans="2:2">
      <c r="B3863" s="21">
        <f>IF(AND(C3863&lt;&gt;"", J3863&lt;&gt;""), HYPERLINK("#'" &amp; C3863 &amp; "'!" &amp; J3863, J3863), "")</f>
        <v>0</v>
      </c>
    </row>
    <row r="3864" spans="2:2">
      <c r="B3864" s="21">
        <f>IF(AND(C3864&lt;&gt;"", J3864&lt;&gt;""), HYPERLINK("#'" &amp; C3864 &amp; "'!" &amp; J3864, J3864), "")</f>
        <v>0</v>
      </c>
    </row>
    <row r="3865" spans="2:2">
      <c r="B3865" s="21">
        <f>IF(AND(C3865&lt;&gt;"", J3865&lt;&gt;""), HYPERLINK("#'" &amp; C3865 &amp; "'!" &amp; J3865, J3865), "")</f>
        <v>0</v>
      </c>
    </row>
    <row r="3866" spans="2:2">
      <c r="B3866" s="21">
        <f>IF(AND(C3866&lt;&gt;"", J3866&lt;&gt;""), HYPERLINK("#'" &amp; C3866 &amp; "'!" &amp; J3866, J3866), "")</f>
        <v>0</v>
      </c>
    </row>
    <row r="3867" spans="2:2">
      <c r="B3867" s="21">
        <f>IF(AND(C3867&lt;&gt;"", J3867&lt;&gt;""), HYPERLINK("#'" &amp; C3867 &amp; "'!" &amp; J3867, J3867), "")</f>
        <v>0</v>
      </c>
    </row>
    <row r="3868" spans="2:2">
      <c r="B3868" s="21">
        <f>IF(AND(C3868&lt;&gt;"", J3868&lt;&gt;""), HYPERLINK("#'" &amp; C3868 &amp; "'!" &amp; J3868, J3868), "")</f>
        <v>0</v>
      </c>
    </row>
    <row r="3869" spans="2:2">
      <c r="B3869" s="21">
        <f>IF(AND(C3869&lt;&gt;"", J3869&lt;&gt;""), HYPERLINK("#'" &amp; C3869 &amp; "'!" &amp; J3869, J3869), "")</f>
        <v>0</v>
      </c>
    </row>
    <row r="3870" spans="2:2">
      <c r="B3870" s="21">
        <f>IF(AND(C3870&lt;&gt;"", J3870&lt;&gt;""), HYPERLINK("#'" &amp; C3870 &amp; "'!" &amp; J3870, J3870), "")</f>
        <v>0</v>
      </c>
    </row>
    <row r="3871" spans="2:2">
      <c r="B3871" s="21">
        <f>IF(AND(C3871&lt;&gt;"", J3871&lt;&gt;""), HYPERLINK("#'" &amp; C3871 &amp; "'!" &amp; J3871, J3871), "")</f>
        <v>0</v>
      </c>
    </row>
    <row r="3872" spans="2:2">
      <c r="B3872" s="21">
        <f>IF(AND(C3872&lt;&gt;"", J3872&lt;&gt;""), HYPERLINK("#'" &amp; C3872 &amp; "'!" &amp; J3872, J3872), "")</f>
        <v>0</v>
      </c>
    </row>
    <row r="3873" spans="2:2">
      <c r="B3873" s="21">
        <f>IF(AND(C3873&lt;&gt;"", J3873&lt;&gt;""), HYPERLINK("#'" &amp; C3873 &amp; "'!" &amp; J3873, J3873), "")</f>
        <v>0</v>
      </c>
    </row>
    <row r="3874" spans="2:2">
      <c r="B3874" s="21">
        <f>IF(AND(C3874&lt;&gt;"", J3874&lt;&gt;""), HYPERLINK("#'" &amp; C3874 &amp; "'!" &amp; J3874, J3874), "")</f>
        <v>0</v>
      </c>
    </row>
    <row r="3875" spans="2:2">
      <c r="B3875" s="21">
        <f>IF(AND(C3875&lt;&gt;"", J3875&lt;&gt;""), HYPERLINK("#'" &amp; C3875 &amp; "'!" &amp; J3875, J3875), "")</f>
        <v>0</v>
      </c>
    </row>
    <row r="3876" spans="2:2">
      <c r="B3876" s="21">
        <f>IF(AND(C3876&lt;&gt;"", J3876&lt;&gt;""), HYPERLINK("#'" &amp; C3876 &amp; "'!" &amp; J3876, J3876), "")</f>
        <v>0</v>
      </c>
    </row>
    <row r="3877" spans="2:2">
      <c r="B3877" s="21">
        <f>IF(AND(C3877&lt;&gt;"", J3877&lt;&gt;""), HYPERLINK("#'" &amp; C3877 &amp; "'!" &amp; J3877, J3877), "")</f>
        <v>0</v>
      </c>
    </row>
    <row r="3878" spans="2:2">
      <c r="B3878" s="21">
        <f>IF(AND(C3878&lt;&gt;"", J3878&lt;&gt;""), HYPERLINK("#'" &amp; C3878 &amp; "'!" &amp; J3878, J3878), "")</f>
        <v>0</v>
      </c>
    </row>
    <row r="3879" spans="2:2">
      <c r="B3879" s="21">
        <f>IF(AND(C3879&lt;&gt;"", J3879&lt;&gt;""), HYPERLINK("#'" &amp; C3879 &amp; "'!" &amp; J3879, J3879), "")</f>
        <v>0</v>
      </c>
    </row>
    <row r="3880" spans="2:2">
      <c r="B3880" s="21">
        <f>IF(AND(C3880&lt;&gt;"", J3880&lt;&gt;""), HYPERLINK("#'" &amp; C3880 &amp; "'!" &amp; J3880, J3880), "")</f>
        <v>0</v>
      </c>
    </row>
    <row r="3881" spans="2:2">
      <c r="B3881" s="21">
        <f>IF(AND(C3881&lt;&gt;"", J3881&lt;&gt;""), HYPERLINK("#'" &amp; C3881 &amp; "'!" &amp; J3881, J3881), "")</f>
        <v>0</v>
      </c>
    </row>
    <row r="3882" spans="2:2">
      <c r="B3882" s="21">
        <f>IF(AND(C3882&lt;&gt;"", J3882&lt;&gt;""), HYPERLINK("#'" &amp; C3882 &amp; "'!" &amp; J3882, J3882), "")</f>
        <v>0</v>
      </c>
    </row>
    <row r="3883" spans="2:2">
      <c r="B3883" s="21">
        <f>IF(AND(C3883&lt;&gt;"", J3883&lt;&gt;""), HYPERLINK("#'" &amp; C3883 &amp; "'!" &amp; J3883, J3883), "")</f>
        <v>0</v>
      </c>
    </row>
    <row r="3884" spans="2:2">
      <c r="B3884" s="21">
        <f>IF(AND(C3884&lt;&gt;"", J3884&lt;&gt;""), HYPERLINK("#'" &amp; C3884 &amp; "'!" &amp; J3884, J3884), "")</f>
        <v>0</v>
      </c>
    </row>
    <row r="3885" spans="2:2">
      <c r="B3885" s="21">
        <f>IF(AND(C3885&lt;&gt;"", J3885&lt;&gt;""), HYPERLINK("#'" &amp; C3885 &amp; "'!" &amp; J3885, J3885), "")</f>
        <v>0</v>
      </c>
    </row>
    <row r="3886" spans="2:2">
      <c r="B3886" s="21">
        <f>IF(AND(C3886&lt;&gt;"", J3886&lt;&gt;""), HYPERLINK("#'" &amp; C3886 &amp; "'!" &amp; J3886, J3886), "")</f>
        <v>0</v>
      </c>
    </row>
    <row r="3887" spans="2:2">
      <c r="B3887" s="21">
        <f>IF(AND(C3887&lt;&gt;"", J3887&lt;&gt;""), HYPERLINK("#'" &amp; C3887 &amp; "'!" &amp; J3887, J3887), "")</f>
        <v>0</v>
      </c>
    </row>
    <row r="3888" spans="2:2">
      <c r="B3888" s="21">
        <f>IF(AND(C3888&lt;&gt;"", J3888&lt;&gt;""), HYPERLINK("#'" &amp; C3888 &amp; "'!" &amp; J3888, J3888), "")</f>
        <v>0</v>
      </c>
    </row>
    <row r="3889" spans="2:2">
      <c r="B3889" s="21">
        <f>IF(AND(C3889&lt;&gt;"", J3889&lt;&gt;""), HYPERLINK("#'" &amp; C3889 &amp; "'!" &amp; J3889, J3889), "")</f>
        <v>0</v>
      </c>
    </row>
    <row r="3890" spans="2:2">
      <c r="B3890" s="21">
        <f>IF(AND(C3890&lt;&gt;"", J3890&lt;&gt;""), HYPERLINK("#'" &amp; C3890 &amp; "'!" &amp; J3890, J3890), "")</f>
        <v>0</v>
      </c>
    </row>
    <row r="3891" spans="2:2">
      <c r="B3891" s="21">
        <f>IF(AND(C3891&lt;&gt;"", J3891&lt;&gt;""), HYPERLINK("#'" &amp; C3891 &amp; "'!" &amp; J3891, J3891), "")</f>
        <v>0</v>
      </c>
    </row>
    <row r="3892" spans="2:2">
      <c r="B3892" s="21">
        <f>IF(AND(C3892&lt;&gt;"", J3892&lt;&gt;""), HYPERLINK("#'" &amp; C3892 &amp; "'!" &amp; J3892, J3892), "")</f>
        <v>0</v>
      </c>
    </row>
    <row r="3893" spans="2:2">
      <c r="B3893" s="21">
        <f>IF(AND(C3893&lt;&gt;"", J3893&lt;&gt;""), HYPERLINK("#'" &amp; C3893 &amp; "'!" &amp; J3893, J3893), "")</f>
        <v>0</v>
      </c>
    </row>
    <row r="3894" spans="2:2">
      <c r="B3894" s="21">
        <f>IF(AND(C3894&lt;&gt;"", J3894&lt;&gt;""), HYPERLINK("#'" &amp; C3894 &amp; "'!" &amp; J3894, J3894), "")</f>
        <v>0</v>
      </c>
    </row>
    <row r="3895" spans="2:2">
      <c r="B3895" s="21">
        <f>IF(AND(C3895&lt;&gt;"", J3895&lt;&gt;""), HYPERLINK("#'" &amp; C3895 &amp; "'!" &amp; J3895, J3895), "")</f>
        <v>0</v>
      </c>
    </row>
    <row r="3896" spans="2:2">
      <c r="B3896" s="21">
        <f>IF(AND(C3896&lt;&gt;"", J3896&lt;&gt;""), HYPERLINK("#'" &amp; C3896 &amp; "'!" &amp; J3896, J3896), "")</f>
        <v>0</v>
      </c>
    </row>
    <row r="3897" spans="2:2">
      <c r="B3897" s="21">
        <f>IF(AND(C3897&lt;&gt;"", J3897&lt;&gt;""), HYPERLINK("#'" &amp; C3897 &amp; "'!" &amp; J3897, J3897), "")</f>
        <v>0</v>
      </c>
    </row>
    <row r="3898" spans="2:2">
      <c r="B3898" s="21">
        <f>IF(AND(C3898&lt;&gt;"", J3898&lt;&gt;""), HYPERLINK("#'" &amp; C3898 &amp; "'!" &amp; J3898, J3898), "")</f>
        <v>0</v>
      </c>
    </row>
    <row r="3899" spans="2:2">
      <c r="B3899" s="21">
        <f>IF(AND(C3899&lt;&gt;"", J3899&lt;&gt;""), HYPERLINK("#'" &amp; C3899 &amp; "'!" &amp; J3899, J3899), "")</f>
        <v>0</v>
      </c>
    </row>
    <row r="3900" spans="2:2">
      <c r="B3900" s="21">
        <f>IF(AND(C3900&lt;&gt;"", J3900&lt;&gt;""), HYPERLINK("#'" &amp; C3900 &amp; "'!" &amp; J3900, J3900), "")</f>
        <v>0</v>
      </c>
    </row>
    <row r="3901" spans="2:2">
      <c r="B3901" s="21">
        <f>IF(AND(C3901&lt;&gt;"", J3901&lt;&gt;""), HYPERLINK("#'" &amp; C3901 &amp; "'!" &amp; J3901, J3901), "")</f>
        <v>0</v>
      </c>
    </row>
    <row r="3902" spans="2:2">
      <c r="B3902" s="21">
        <f>IF(AND(C3902&lt;&gt;"", J3902&lt;&gt;""), HYPERLINK("#'" &amp; C3902 &amp; "'!" &amp; J3902, J3902), "")</f>
        <v>0</v>
      </c>
    </row>
    <row r="3903" spans="2:2">
      <c r="B3903" s="21">
        <f>IF(AND(C3903&lt;&gt;"", J3903&lt;&gt;""), HYPERLINK("#'" &amp; C3903 &amp; "'!" &amp; J3903, J3903), "")</f>
        <v>0</v>
      </c>
    </row>
    <row r="3904" spans="2:2">
      <c r="B3904" s="21">
        <f>IF(AND(C3904&lt;&gt;"", J3904&lt;&gt;""), HYPERLINK("#'" &amp; C3904 &amp; "'!" &amp; J3904, J3904), "")</f>
        <v>0</v>
      </c>
    </row>
    <row r="3905" spans="2:2">
      <c r="B3905" s="21">
        <f>IF(AND(C3905&lt;&gt;"", J3905&lt;&gt;""), HYPERLINK("#'" &amp; C3905 &amp; "'!" &amp; J3905, J3905), "")</f>
        <v>0</v>
      </c>
    </row>
    <row r="3906" spans="2:2">
      <c r="B3906" s="21">
        <f>IF(AND(C3906&lt;&gt;"", J3906&lt;&gt;""), HYPERLINK("#'" &amp; C3906 &amp; "'!" &amp; J3906, J3906), "")</f>
        <v>0</v>
      </c>
    </row>
    <row r="3907" spans="2:2">
      <c r="B3907" s="21">
        <f>IF(AND(C3907&lt;&gt;"", J3907&lt;&gt;""), HYPERLINK("#'" &amp; C3907 &amp; "'!" &amp; J3907, J3907), "")</f>
        <v>0</v>
      </c>
    </row>
    <row r="3908" spans="2:2">
      <c r="B3908" s="21">
        <f>IF(AND(C3908&lt;&gt;"", J3908&lt;&gt;""), HYPERLINK("#'" &amp; C3908 &amp; "'!" &amp; J3908, J3908), "")</f>
        <v>0</v>
      </c>
    </row>
    <row r="3909" spans="2:2">
      <c r="B3909" s="21">
        <f>IF(AND(C3909&lt;&gt;"", J3909&lt;&gt;""), HYPERLINK("#'" &amp; C3909 &amp; "'!" &amp; J3909, J3909), "")</f>
        <v>0</v>
      </c>
    </row>
    <row r="3910" spans="2:2">
      <c r="B3910" s="21">
        <f>IF(AND(C3910&lt;&gt;"", J3910&lt;&gt;""), HYPERLINK("#'" &amp; C3910 &amp; "'!" &amp; J3910, J3910), "")</f>
        <v>0</v>
      </c>
    </row>
    <row r="3911" spans="2:2">
      <c r="B3911" s="21">
        <f>IF(AND(C3911&lt;&gt;"", J3911&lt;&gt;""), HYPERLINK("#'" &amp; C3911 &amp; "'!" &amp; J3911, J3911), "")</f>
        <v>0</v>
      </c>
    </row>
    <row r="3912" spans="2:2">
      <c r="B3912" s="21">
        <f>IF(AND(C3912&lt;&gt;"", J3912&lt;&gt;""), HYPERLINK("#'" &amp; C3912 &amp; "'!" &amp; J3912, J3912), "")</f>
        <v>0</v>
      </c>
    </row>
    <row r="3913" spans="2:2">
      <c r="B3913" s="21">
        <f>IF(AND(C3913&lt;&gt;"", J3913&lt;&gt;""), HYPERLINK("#'" &amp; C3913 &amp; "'!" &amp; J3913, J3913), "")</f>
        <v>0</v>
      </c>
    </row>
    <row r="3914" spans="2:2">
      <c r="B3914" s="21">
        <f>IF(AND(C3914&lt;&gt;"", J3914&lt;&gt;""), HYPERLINK("#'" &amp; C3914 &amp; "'!" &amp; J3914, J3914), "")</f>
        <v>0</v>
      </c>
    </row>
    <row r="3915" spans="2:2">
      <c r="B3915" s="21">
        <f>IF(AND(C3915&lt;&gt;"", J3915&lt;&gt;""), HYPERLINK("#'" &amp; C3915 &amp; "'!" &amp; J3915, J3915), "")</f>
        <v>0</v>
      </c>
    </row>
    <row r="3916" spans="2:2">
      <c r="B3916" s="21">
        <f>IF(AND(C3916&lt;&gt;"", J3916&lt;&gt;""), HYPERLINK("#'" &amp; C3916 &amp; "'!" &amp; J3916, J3916), "")</f>
        <v>0</v>
      </c>
    </row>
    <row r="3917" spans="2:2">
      <c r="B3917" s="21">
        <f>IF(AND(C3917&lt;&gt;"", J3917&lt;&gt;""), HYPERLINK("#'" &amp; C3917 &amp; "'!" &amp; J3917, J3917), "")</f>
        <v>0</v>
      </c>
    </row>
    <row r="3918" spans="2:2">
      <c r="B3918" s="21">
        <f>IF(AND(C3918&lt;&gt;"", J3918&lt;&gt;""), HYPERLINK("#'" &amp; C3918 &amp; "'!" &amp; J3918, J3918), "")</f>
        <v>0</v>
      </c>
    </row>
    <row r="3919" spans="2:2">
      <c r="B3919" s="21">
        <f>IF(AND(C3919&lt;&gt;"", J3919&lt;&gt;""), HYPERLINK("#'" &amp; C3919 &amp; "'!" &amp; J3919, J3919), "")</f>
        <v>0</v>
      </c>
    </row>
    <row r="3920" spans="2:2">
      <c r="B3920" s="21">
        <f>IF(AND(C3920&lt;&gt;"", J3920&lt;&gt;""), HYPERLINK("#'" &amp; C3920 &amp; "'!" &amp; J3920, J3920), "")</f>
        <v>0</v>
      </c>
    </row>
    <row r="3921" spans="2:2">
      <c r="B3921" s="21">
        <f>IF(AND(C3921&lt;&gt;"", J3921&lt;&gt;""), HYPERLINK("#'" &amp; C3921 &amp; "'!" &amp; J3921, J3921), "")</f>
        <v>0</v>
      </c>
    </row>
    <row r="3922" spans="2:2">
      <c r="B3922" s="21">
        <f>IF(AND(C3922&lt;&gt;"", J3922&lt;&gt;""), HYPERLINK("#'" &amp; C3922 &amp; "'!" &amp; J3922, J3922), "")</f>
        <v>0</v>
      </c>
    </row>
    <row r="3923" spans="2:2">
      <c r="B3923" s="21">
        <f>IF(AND(C3923&lt;&gt;"", J3923&lt;&gt;""), HYPERLINK("#'" &amp; C3923 &amp; "'!" &amp; J3923, J3923), "")</f>
        <v>0</v>
      </c>
    </row>
    <row r="3924" spans="2:2">
      <c r="B3924" s="21">
        <f>IF(AND(C3924&lt;&gt;"", J3924&lt;&gt;""), HYPERLINK("#'" &amp; C3924 &amp; "'!" &amp; J3924, J3924), "")</f>
        <v>0</v>
      </c>
    </row>
    <row r="3925" spans="2:2">
      <c r="B3925" s="21">
        <f>IF(AND(C3925&lt;&gt;"", J3925&lt;&gt;""), HYPERLINK("#'" &amp; C3925 &amp; "'!" &amp; J3925, J3925), "")</f>
        <v>0</v>
      </c>
    </row>
    <row r="3926" spans="2:2">
      <c r="B3926" s="21">
        <f>IF(AND(C3926&lt;&gt;"", J3926&lt;&gt;""), HYPERLINK("#'" &amp; C3926 &amp; "'!" &amp; J3926, J3926), "")</f>
        <v>0</v>
      </c>
    </row>
    <row r="3927" spans="2:2">
      <c r="B3927" s="21">
        <f>IF(AND(C3927&lt;&gt;"", J3927&lt;&gt;""), HYPERLINK("#'" &amp; C3927 &amp; "'!" &amp; J3927, J3927), "")</f>
        <v>0</v>
      </c>
    </row>
    <row r="3928" spans="2:2">
      <c r="B3928" s="21">
        <f>IF(AND(C3928&lt;&gt;"", J3928&lt;&gt;""), HYPERLINK("#'" &amp; C3928 &amp; "'!" &amp; J3928, J3928), "")</f>
        <v>0</v>
      </c>
    </row>
    <row r="3929" spans="2:2">
      <c r="B3929" s="21">
        <f>IF(AND(C3929&lt;&gt;"", J3929&lt;&gt;""), HYPERLINK("#'" &amp; C3929 &amp; "'!" &amp; J3929, J3929), "")</f>
        <v>0</v>
      </c>
    </row>
    <row r="3930" spans="2:2">
      <c r="B3930" s="21">
        <f>IF(AND(C3930&lt;&gt;"", J3930&lt;&gt;""), HYPERLINK("#'" &amp; C3930 &amp; "'!" &amp; J3930, J3930), "")</f>
        <v>0</v>
      </c>
    </row>
    <row r="3931" spans="2:2">
      <c r="B3931" s="21">
        <f>IF(AND(C3931&lt;&gt;"", J3931&lt;&gt;""), HYPERLINK("#'" &amp; C3931 &amp; "'!" &amp; J3931, J3931), "")</f>
        <v>0</v>
      </c>
    </row>
    <row r="3932" spans="2:2">
      <c r="B3932" s="21">
        <f>IF(AND(C3932&lt;&gt;"", J3932&lt;&gt;""), HYPERLINK("#'" &amp; C3932 &amp; "'!" &amp; J3932, J3932), "")</f>
        <v>0</v>
      </c>
    </row>
    <row r="3933" spans="2:2">
      <c r="B3933" s="21">
        <f>IF(AND(C3933&lt;&gt;"", J3933&lt;&gt;""), HYPERLINK("#'" &amp; C3933 &amp; "'!" &amp; J3933, J3933), "")</f>
        <v>0</v>
      </c>
    </row>
    <row r="3934" spans="2:2">
      <c r="B3934" s="21">
        <f>IF(AND(C3934&lt;&gt;"", J3934&lt;&gt;""), HYPERLINK("#'" &amp; C3934 &amp; "'!" &amp; J3934, J3934), "")</f>
        <v>0</v>
      </c>
    </row>
    <row r="3935" spans="2:2">
      <c r="B3935" s="21">
        <f>IF(AND(C3935&lt;&gt;"", J3935&lt;&gt;""), HYPERLINK("#'" &amp; C3935 &amp; "'!" &amp; J3935, J3935), "")</f>
        <v>0</v>
      </c>
    </row>
    <row r="3936" spans="2:2">
      <c r="B3936" s="21">
        <f>IF(AND(C3936&lt;&gt;"", J3936&lt;&gt;""), HYPERLINK("#'" &amp; C3936 &amp; "'!" &amp; J3936, J3936), "")</f>
        <v>0</v>
      </c>
    </row>
    <row r="3937" spans="2:2">
      <c r="B3937" s="21">
        <f>IF(AND(C3937&lt;&gt;"", J3937&lt;&gt;""), HYPERLINK("#'" &amp; C3937 &amp; "'!" &amp; J3937, J3937), "")</f>
        <v>0</v>
      </c>
    </row>
    <row r="3938" spans="2:2">
      <c r="B3938" s="21">
        <f>IF(AND(C3938&lt;&gt;"", J3938&lt;&gt;""), HYPERLINK("#'" &amp; C3938 &amp; "'!" &amp; J3938, J3938), "")</f>
        <v>0</v>
      </c>
    </row>
    <row r="3939" spans="2:2">
      <c r="B3939" s="21">
        <f>IF(AND(C3939&lt;&gt;"", J3939&lt;&gt;""), HYPERLINK("#'" &amp; C3939 &amp; "'!" &amp; J3939, J3939), "")</f>
        <v>0</v>
      </c>
    </row>
    <row r="3940" spans="2:2">
      <c r="B3940" s="21">
        <f>IF(AND(C3940&lt;&gt;"", J3940&lt;&gt;""), HYPERLINK("#'" &amp; C3940 &amp; "'!" &amp; J3940, J3940), "")</f>
        <v>0</v>
      </c>
    </row>
    <row r="3941" spans="2:2">
      <c r="B3941" s="21">
        <f>IF(AND(C3941&lt;&gt;"", J3941&lt;&gt;""), HYPERLINK("#'" &amp; C3941 &amp; "'!" &amp; J3941, J3941), "")</f>
        <v>0</v>
      </c>
    </row>
    <row r="3942" spans="2:2">
      <c r="B3942" s="21">
        <f>IF(AND(C3942&lt;&gt;"", J3942&lt;&gt;""), HYPERLINK("#'" &amp; C3942 &amp; "'!" &amp; J3942, J3942), "")</f>
        <v>0</v>
      </c>
    </row>
    <row r="3943" spans="2:2">
      <c r="B3943" s="21">
        <f>IF(AND(C3943&lt;&gt;"", J3943&lt;&gt;""), HYPERLINK("#'" &amp; C3943 &amp; "'!" &amp; J3943, J3943), "")</f>
        <v>0</v>
      </c>
    </row>
    <row r="3944" spans="2:2">
      <c r="B3944" s="21">
        <f>IF(AND(C3944&lt;&gt;"", J3944&lt;&gt;""), HYPERLINK("#'" &amp; C3944 &amp; "'!" &amp; J3944, J3944), "")</f>
        <v>0</v>
      </c>
    </row>
    <row r="3945" spans="2:2">
      <c r="B3945" s="21">
        <f>IF(AND(C3945&lt;&gt;"", J3945&lt;&gt;""), HYPERLINK("#'" &amp; C3945 &amp; "'!" &amp; J3945, J3945), "")</f>
        <v>0</v>
      </c>
    </row>
    <row r="3946" spans="2:2">
      <c r="B3946" s="21">
        <f>IF(AND(C3946&lt;&gt;"", J3946&lt;&gt;""), HYPERLINK("#'" &amp; C3946 &amp; "'!" &amp; J3946, J3946), "")</f>
        <v>0</v>
      </c>
    </row>
    <row r="3947" spans="2:2">
      <c r="B3947" s="21">
        <f>IF(AND(C3947&lt;&gt;"", J3947&lt;&gt;""), HYPERLINK("#'" &amp; C3947 &amp; "'!" &amp; J3947, J3947), "")</f>
        <v>0</v>
      </c>
    </row>
    <row r="3948" spans="2:2">
      <c r="B3948" s="21">
        <f>IF(AND(C3948&lt;&gt;"", J3948&lt;&gt;""), HYPERLINK("#'" &amp; C3948 &amp; "'!" &amp; J3948, J3948), "")</f>
        <v>0</v>
      </c>
    </row>
    <row r="3949" spans="2:2">
      <c r="B3949" s="21">
        <f>IF(AND(C3949&lt;&gt;"", J3949&lt;&gt;""), HYPERLINK("#'" &amp; C3949 &amp; "'!" &amp; J3949, J3949), "")</f>
        <v>0</v>
      </c>
    </row>
    <row r="3950" spans="2:2">
      <c r="B3950" s="21">
        <f>IF(AND(C3950&lt;&gt;"", J3950&lt;&gt;""), HYPERLINK("#'" &amp; C3950 &amp; "'!" &amp; J3950, J3950), "")</f>
        <v>0</v>
      </c>
    </row>
    <row r="3951" spans="2:2">
      <c r="B3951" s="21">
        <f>IF(AND(C3951&lt;&gt;"", J3951&lt;&gt;""), HYPERLINK("#'" &amp; C3951 &amp; "'!" &amp; J3951, J3951), "")</f>
        <v>0</v>
      </c>
    </row>
    <row r="3952" spans="2:2">
      <c r="B3952" s="21">
        <f>IF(AND(C3952&lt;&gt;"", J3952&lt;&gt;""), HYPERLINK("#'" &amp; C3952 &amp; "'!" &amp; J3952, J3952), "")</f>
        <v>0</v>
      </c>
    </row>
    <row r="3953" spans="2:2">
      <c r="B3953" s="21">
        <f>IF(AND(C3953&lt;&gt;"", J3953&lt;&gt;""), HYPERLINK("#'" &amp; C3953 &amp; "'!" &amp; J3953, J3953), "")</f>
        <v>0</v>
      </c>
    </row>
    <row r="3954" spans="2:2">
      <c r="B3954" s="21">
        <f>IF(AND(C3954&lt;&gt;"", J3954&lt;&gt;""), HYPERLINK("#'" &amp; C3954 &amp; "'!" &amp; J3954, J3954), "")</f>
        <v>0</v>
      </c>
    </row>
    <row r="3955" spans="2:2">
      <c r="B3955" s="21">
        <f>IF(AND(C3955&lt;&gt;"", J3955&lt;&gt;""), HYPERLINK("#'" &amp; C3955 &amp; "'!" &amp; J3955, J3955), "")</f>
        <v>0</v>
      </c>
    </row>
    <row r="3956" spans="2:2">
      <c r="B3956" s="21">
        <f>IF(AND(C3956&lt;&gt;"", J3956&lt;&gt;""), HYPERLINK("#'" &amp; C3956 &amp; "'!" &amp; J3956, J3956), "")</f>
        <v>0</v>
      </c>
    </row>
    <row r="3957" spans="2:2">
      <c r="B3957" s="21">
        <f>IF(AND(C3957&lt;&gt;"", J3957&lt;&gt;""), HYPERLINK("#'" &amp; C3957 &amp; "'!" &amp; J3957, J3957), "")</f>
        <v>0</v>
      </c>
    </row>
    <row r="3958" spans="2:2">
      <c r="B3958" s="21">
        <f>IF(AND(C3958&lt;&gt;"", J3958&lt;&gt;""), HYPERLINK("#'" &amp; C3958 &amp; "'!" &amp; J3958, J3958), "")</f>
        <v>0</v>
      </c>
    </row>
    <row r="3959" spans="2:2">
      <c r="B3959" s="21">
        <f>IF(AND(C3959&lt;&gt;"", J3959&lt;&gt;""), HYPERLINK("#'" &amp; C3959 &amp; "'!" &amp; J3959, J3959), "")</f>
        <v>0</v>
      </c>
    </row>
    <row r="3960" spans="2:2">
      <c r="B3960" s="21">
        <f>IF(AND(C3960&lt;&gt;"", J3960&lt;&gt;""), HYPERLINK("#'" &amp; C3960 &amp; "'!" &amp; J3960, J3960), "")</f>
        <v>0</v>
      </c>
    </row>
    <row r="3961" spans="2:2">
      <c r="B3961" s="21">
        <f>IF(AND(C3961&lt;&gt;"", J3961&lt;&gt;""), HYPERLINK("#'" &amp; C3961 &amp; "'!" &amp; J3961, J3961), "")</f>
        <v>0</v>
      </c>
    </row>
    <row r="3962" spans="2:2">
      <c r="B3962" s="21">
        <f>IF(AND(C3962&lt;&gt;"", J3962&lt;&gt;""), HYPERLINK("#'" &amp; C3962 &amp; "'!" &amp; J3962, J3962), "")</f>
        <v>0</v>
      </c>
    </row>
    <row r="3963" spans="2:2">
      <c r="B3963" s="21">
        <f>IF(AND(C3963&lt;&gt;"", J3963&lt;&gt;""), HYPERLINK("#'" &amp; C3963 &amp; "'!" &amp; J3963, J3963), "")</f>
        <v>0</v>
      </c>
    </row>
    <row r="3964" spans="2:2">
      <c r="B3964" s="21">
        <f>IF(AND(C3964&lt;&gt;"", J3964&lt;&gt;""), HYPERLINK("#'" &amp; C3964 &amp; "'!" &amp; J3964, J3964), "")</f>
        <v>0</v>
      </c>
    </row>
    <row r="3965" spans="2:2">
      <c r="B3965" s="21">
        <f>IF(AND(C3965&lt;&gt;"", J3965&lt;&gt;""), HYPERLINK("#'" &amp; C3965 &amp; "'!" &amp; J3965, J3965), "")</f>
        <v>0</v>
      </c>
    </row>
    <row r="3966" spans="2:2">
      <c r="B3966" s="21">
        <f>IF(AND(C3966&lt;&gt;"", J3966&lt;&gt;""), HYPERLINK("#'" &amp; C3966 &amp; "'!" &amp; J3966, J3966), "")</f>
        <v>0</v>
      </c>
    </row>
    <row r="3967" spans="2:2">
      <c r="B3967" s="21">
        <f>IF(AND(C3967&lt;&gt;"", J3967&lt;&gt;""), HYPERLINK("#'" &amp; C3967 &amp; "'!" &amp; J3967, J3967), "")</f>
        <v>0</v>
      </c>
    </row>
    <row r="3968" spans="2:2">
      <c r="B3968" s="21">
        <f>IF(AND(C3968&lt;&gt;"", J3968&lt;&gt;""), HYPERLINK("#'" &amp; C3968 &amp; "'!" &amp; J3968, J3968), "")</f>
        <v>0</v>
      </c>
    </row>
    <row r="3969" spans="2:2">
      <c r="B3969" s="21">
        <f>IF(AND(C3969&lt;&gt;"", J3969&lt;&gt;""), HYPERLINK("#'" &amp; C3969 &amp; "'!" &amp; J3969, J3969), "")</f>
        <v>0</v>
      </c>
    </row>
    <row r="3970" spans="2:2">
      <c r="B3970" s="21">
        <f>IF(AND(C3970&lt;&gt;"", J3970&lt;&gt;""), HYPERLINK("#'" &amp; C3970 &amp; "'!" &amp; J3970, J3970), "")</f>
        <v>0</v>
      </c>
    </row>
    <row r="3971" spans="2:2">
      <c r="B3971" s="21">
        <f>IF(AND(C3971&lt;&gt;"", J3971&lt;&gt;""), HYPERLINK("#'" &amp; C3971 &amp; "'!" &amp; J3971, J3971), "")</f>
        <v>0</v>
      </c>
    </row>
    <row r="3972" spans="2:2">
      <c r="B3972" s="21">
        <f>IF(AND(C3972&lt;&gt;"", J3972&lt;&gt;""), HYPERLINK("#'" &amp; C3972 &amp; "'!" &amp; J3972, J3972), "")</f>
        <v>0</v>
      </c>
    </row>
    <row r="3973" spans="2:2">
      <c r="B3973" s="21">
        <f>IF(AND(C3973&lt;&gt;"", J3973&lt;&gt;""), HYPERLINK("#'" &amp; C3973 &amp; "'!" &amp; J3973, J3973), "")</f>
        <v>0</v>
      </c>
    </row>
    <row r="3974" spans="2:2">
      <c r="B3974" s="21">
        <f>IF(AND(C3974&lt;&gt;"", J3974&lt;&gt;""), HYPERLINK("#'" &amp; C3974 &amp; "'!" &amp; J3974, J3974), "")</f>
        <v>0</v>
      </c>
    </row>
    <row r="3975" spans="2:2">
      <c r="B3975" s="21">
        <f>IF(AND(C3975&lt;&gt;"", J3975&lt;&gt;""), HYPERLINK("#'" &amp; C3975 &amp; "'!" &amp; J3975, J3975), "")</f>
        <v>0</v>
      </c>
    </row>
    <row r="3976" spans="2:2">
      <c r="B3976" s="21">
        <f>IF(AND(C3976&lt;&gt;"", J3976&lt;&gt;""), HYPERLINK("#'" &amp; C3976 &amp; "'!" &amp; J3976, J3976), "")</f>
        <v>0</v>
      </c>
    </row>
    <row r="3977" spans="2:2">
      <c r="B3977" s="21">
        <f>IF(AND(C3977&lt;&gt;"", J3977&lt;&gt;""), HYPERLINK("#'" &amp; C3977 &amp; "'!" &amp; J3977, J3977), "")</f>
        <v>0</v>
      </c>
    </row>
    <row r="3978" spans="2:2">
      <c r="B3978" s="21">
        <f>IF(AND(C3978&lt;&gt;"", J3978&lt;&gt;""), HYPERLINK("#'" &amp; C3978 &amp; "'!" &amp; J3978, J3978), "")</f>
        <v>0</v>
      </c>
    </row>
    <row r="3979" spans="2:2">
      <c r="B3979" s="21">
        <f>IF(AND(C3979&lt;&gt;"", J3979&lt;&gt;""), HYPERLINK("#'" &amp; C3979 &amp; "'!" &amp; J3979, J3979), "")</f>
        <v>0</v>
      </c>
    </row>
    <row r="3980" spans="2:2">
      <c r="B3980" s="21">
        <f>IF(AND(C3980&lt;&gt;"", J3980&lt;&gt;""), HYPERLINK("#'" &amp; C3980 &amp; "'!" &amp; J3980, J3980), "")</f>
        <v>0</v>
      </c>
    </row>
    <row r="3981" spans="2:2">
      <c r="B3981" s="21">
        <f>IF(AND(C3981&lt;&gt;"", J3981&lt;&gt;""), HYPERLINK("#'" &amp; C3981 &amp; "'!" &amp; J3981, J3981), "")</f>
        <v>0</v>
      </c>
    </row>
    <row r="3982" spans="2:2">
      <c r="B3982" s="21">
        <f>IF(AND(C3982&lt;&gt;"", J3982&lt;&gt;""), HYPERLINK("#'" &amp; C3982 &amp; "'!" &amp; J3982, J3982), "")</f>
        <v>0</v>
      </c>
    </row>
    <row r="3983" spans="2:2">
      <c r="B3983" s="21">
        <f>IF(AND(C3983&lt;&gt;"", J3983&lt;&gt;""), HYPERLINK("#'" &amp; C3983 &amp; "'!" &amp; J3983, J3983), "")</f>
        <v>0</v>
      </c>
    </row>
    <row r="3984" spans="2:2">
      <c r="B3984" s="21">
        <f>IF(AND(C3984&lt;&gt;"", J3984&lt;&gt;""), HYPERLINK("#'" &amp; C3984 &amp; "'!" &amp; J3984, J3984), "")</f>
        <v>0</v>
      </c>
    </row>
    <row r="3985" spans="2:2">
      <c r="B3985" s="21">
        <f>IF(AND(C3985&lt;&gt;"", J3985&lt;&gt;""), HYPERLINK("#'" &amp; C3985 &amp; "'!" &amp; J3985, J3985), "")</f>
        <v>0</v>
      </c>
    </row>
    <row r="3986" spans="2:2">
      <c r="B3986" s="21">
        <f>IF(AND(C3986&lt;&gt;"", J3986&lt;&gt;""), HYPERLINK("#'" &amp; C3986 &amp; "'!" &amp; J3986, J3986), "")</f>
        <v>0</v>
      </c>
    </row>
    <row r="3987" spans="2:2">
      <c r="B3987" s="21">
        <f>IF(AND(C3987&lt;&gt;"", J3987&lt;&gt;""), HYPERLINK("#'" &amp; C3987 &amp; "'!" &amp; J3987, J3987), "")</f>
        <v>0</v>
      </c>
    </row>
    <row r="3988" spans="2:2">
      <c r="B3988" s="21">
        <f>IF(AND(C3988&lt;&gt;"", J3988&lt;&gt;""), HYPERLINK("#'" &amp; C3988 &amp; "'!" &amp; J3988, J3988), "")</f>
        <v>0</v>
      </c>
    </row>
    <row r="3989" spans="2:2">
      <c r="B3989" s="21">
        <f>IF(AND(C3989&lt;&gt;"", J3989&lt;&gt;""), HYPERLINK("#'" &amp; C3989 &amp; "'!" &amp; J3989, J3989), "")</f>
        <v>0</v>
      </c>
    </row>
    <row r="3990" spans="2:2">
      <c r="B3990" s="21">
        <f>IF(AND(C3990&lt;&gt;"", J3990&lt;&gt;""), HYPERLINK("#'" &amp; C3990 &amp; "'!" &amp; J3990, J3990), "")</f>
        <v>0</v>
      </c>
    </row>
    <row r="3991" spans="2:2">
      <c r="B3991" s="21">
        <f>IF(AND(C3991&lt;&gt;"", J3991&lt;&gt;""), HYPERLINK("#'" &amp; C3991 &amp; "'!" &amp; J3991, J3991), "")</f>
        <v>0</v>
      </c>
    </row>
    <row r="3992" spans="2:2">
      <c r="B3992" s="21">
        <f>IF(AND(C3992&lt;&gt;"", J3992&lt;&gt;""), HYPERLINK("#'" &amp; C3992 &amp; "'!" &amp; J3992, J3992), "")</f>
        <v>0</v>
      </c>
    </row>
    <row r="3993" spans="2:2">
      <c r="B3993" s="21">
        <f>IF(AND(C3993&lt;&gt;"", J3993&lt;&gt;""), HYPERLINK("#'" &amp; C3993 &amp; "'!" &amp; J3993, J3993), "")</f>
        <v>0</v>
      </c>
    </row>
    <row r="3994" spans="2:2">
      <c r="B3994" s="21">
        <f>IF(AND(C3994&lt;&gt;"", J3994&lt;&gt;""), HYPERLINK("#'" &amp; C3994 &amp; "'!" &amp; J3994, J3994), "")</f>
        <v>0</v>
      </c>
    </row>
    <row r="3995" spans="2:2">
      <c r="B3995" s="21">
        <f>IF(AND(C3995&lt;&gt;"", J3995&lt;&gt;""), HYPERLINK("#'" &amp; C3995 &amp; "'!" &amp; J3995, J3995), "")</f>
        <v>0</v>
      </c>
    </row>
    <row r="3996" spans="2:2">
      <c r="B3996" s="21">
        <f>IF(AND(C3996&lt;&gt;"", J3996&lt;&gt;""), HYPERLINK("#'" &amp; C3996 &amp; "'!" &amp; J3996, J3996), "")</f>
        <v>0</v>
      </c>
    </row>
    <row r="3997" spans="2:2">
      <c r="B3997" s="21">
        <f>IF(AND(C3997&lt;&gt;"", J3997&lt;&gt;""), HYPERLINK("#'" &amp; C3997 &amp; "'!" &amp; J3997, J3997), "")</f>
        <v>0</v>
      </c>
    </row>
    <row r="3998" spans="2:2">
      <c r="B3998" s="21">
        <f>IF(AND(C3998&lt;&gt;"", J3998&lt;&gt;""), HYPERLINK("#'" &amp; C3998 &amp; "'!" &amp; J3998, J3998), "")</f>
        <v>0</v>
      </c>
    </row>
    <row r="3999" spans="2:2">
      <c r="B3999" s="21">
        <f>IF(AND(C3999&lt;&gt;"", J3999&lt;&gt;""), HYPERLINK("#'" &amp; C3999 &amp; "'!" &amp; J3999, J3999), "")</f>
        <v>0</v>
      </c>
    </row>
    <row r="4000" spans="2:2">
      <c r="B4000" s="21">
        <f>IF(AND(C4000&lt;&gt;"", J4000&lt;&gt;""), HYPERLINK("#'" &amp; C4000 &amp; "'!" &amp; J4000, J4000), "")</f>
        <v>0</v>
      </c>
    </row>
    <row r="4001" spans="2:2">
      <c r="B4001" s="21">
        <f>IF(AND(C4001&lt;&gt;"", J4001&lt;&gt;""), HYPERLINK("#'" &amp; C4001 &amp; "'!" &amp; J4001, J4001), "")</f>
        <v>0</v>
      </c>
    </row>
    <row r="4002" spans="2:2">
      <c r="B4002" s="21">
        <f>IF(AND(C4002&lt;&gt;"", J4002&lt;&gt;""), HYPERLINK("#'" &amp; C4002 &amp; "'!" &amp; J4002, J4002), "")</f>
        <v>0</v>
      </c>
    </row>
    <row r="4003" spans="2:2">
      <c r="B4003" s="21">
        <f>IF(AND(C4003&lt;&gt;"", J4003&lt;&gt;""), HYPERLINK("#'" &amp; C4003 &amp; "'!" &amp; J4003, J4003), "")</f>
        <v>0</v>
      </c>
    </row>
    <row r="4004" spans="2:2">
      <c r="B4004" s="21">
        <f>IF(AND(C4004&lt;&gt;"", J4004&lt;&gt;""), HYPERLINK("#'" &amp; C4004 &amp; "'!" &amp; J4004, J4004), "")</f>
        <v>0</v>
      </c>
    </row>
    <row r="4005" spans="2:2">
      <c r="B4005" s="21">
        <f>IF(AND(C4005&lt;&gt;"", J4005&lt;&gt;""), HYPERLINK("#'" &amp; C4005 &amp; "'!" &amp; J4005, J4005), "")</f>
        <v>0</v>
      </c>
    </row>
    <row r="4006" spans="2:2">
      <c r="B4006" s="21">
        <f>IF(AND(C4006&lt;&gt;"", J4006&lt;&gt;""), HYPERLINK("#'" &amp; C4006 &amp; "'!" &amp; J4006, J4006), "")</f>
        <v>0</v>
      </c>
    </row>
    <row r="4007" spans="2:2">
      <c r="B4007" s="21">
        <f>IF(AND(C4007&lt;&gt;"", J4007&lt;&gt;""), HYPERLINK("#'" &amp; C4007 &amp; "'!" &amp; J4007, J4007), "")</f>
        <v>0</v>
      </c>
    </row>
    <row r="4008" spans="2:2">
      <c r="B4008" s="21">
        <f>IF(AND(C4008&lt;&gt;"", J4008&lt;&gt;""), HYPERLINK("#'" &amp; C4008 &amp; "'!" &amp; J4008, J4008), "")</f>
        <v>0</v>
      </c>
    </row>
    <row r="4009" spans="2:2">
      <c r="B4009" s="21">
        <f>IF(AND(C4009&lt;&gt;"", J4009&lt;&gt;""), HYPERLINK("#'" &amp; C4009 &amp; "'!" &amp; J4009, J4009), "")</f>
        <v>0</v>
      </c>
    </row>
    <row r="4010" spans="2:2">
      <c r="B4010" s="21">
        <f>IF(AND(C4010&lt;&gt;"", J4010&lt;&gt;""), HYPERLINK("#'" &amp; C4010 &amp; "'!" &amp; J4010, J4010), "")</f>
        <v>0</v>
      </c>
    </row>
    <row r="4011" spans="2:2">
      <c r="B4011" s="21">
        <f>IF(AND(C4011&lt;&gt;"", J4011&lt;&gt;""), HYPERLINK("#'" &amp; C4011 &amp; "'!" &amp; J4011, J4011), "")</f>
        <v>0</v>
      </c>
    </row>
    <row r="4012" spans="2:2">
      <c r="B4012" s="21">
        <f>IF(AND(C4012&lt;&gt;"", J4012&lt;&gt;""), HYPERLINK("#'" &amp; C4012 &amp; "'!" &amp; J4012, J4012), "")</f>
        <v>0</v>
      </c>
    </row>
    <row r="4013" spans="2:2">
      <c r="B4013" s="21">
        <f>IF(AND(C4013&lt;&gt;"", J4013&lt;&gt;""), HYPERLINK("#'" &amp; C4013 &amp; "'!" &amp; J4013, J4013), "")</f>
        <v>0</v>
      </c>
    </row>
    <row r="4014" spans="2:2">
      <c r="B4014" s="21">
        <f>IF(AND(C4014&lt;&gt;"", J4014&lt;&gt;""), HYPERLINK("#'" &amp; C4014 &amp; "'!" &amp; J4014, J4014), "")</f>
        <v>0</v>
      </c>
    </row>
    <row r="4015" spans="2:2">
      <c r="B4015" s="21">
        <f>IF(AND(C4015&lt;&gt;"", J4015&lt;&gt;""), HYPERLINK("#'" &amp; C4015 &amp; "'!" &amp; J4015, J4015), "")</f>
        <v>0</v>
      </c>
    </row>
    <row r="4016" spans="2:2">
      <c r="B4016" s="21">
        <f>IF(AND(C4016&lt;&gt;"", J4016&lt;&gt;""), HYPERLINK("#'" &amp; C4016 &amp; "'!" &amp; J4016, J4016), "")</f>
        <v>0</v>
      </c>
    </row>
    <row r="4017" spans="2:2">
      <c r="B4017" s="21">
        <f>IF(AND(C4017&lt;&gt;"", J4017&lt;&gt;""), HYPERLINK("#'" &amp; C4017 &amp; "'!" &amp; J4017, J4017), "")</f>
        <v>0</v>
      </c>
    </row>
    <row r="4018" spans="2:2">
      <c r="B4018" s="21">
        <f>IF(AND(C4018&lt;&gt;"", J4018&lt;&gt;""), HYPERLINK("#'" &amp; C4018 &amp; "'!" &amp; J4018, J4018), "")</f>
        <v>0</v>
      </c>
    </row>
    <row r="4019" spans="2:2">
      <c r="B4019" s="21">
        <f>IF(AND(C4019&lt;&gt;"", J4019&lt;&gt;""), HYPERLINK("#'" &amp; C4019 &amp; "'!" &amp; J4019, J4019), "")</f>
        <v>0</v>
      </c>
    </row>
    <row r="4020" spans="2:2">
      <c r="B4020" s="21">
        <f>IF(AND(C4020&lt;&gt;"", J4020&lt;&gt;""), HYPERLINK("#'" &amp; C4020 &amp; "'!" &amp; J4020, J4020), "")</f>
        <v>0</v>
      </c>
    </row>
    <row r="4021" spans="2:2">
      <c r="B4021" s="21">
        <f>IF(AND(C4021&lt;&gt;"", J4021&lt;&gt;""), HYPERLINK("#'" &amp; C4021 &amp; "'!" &amp; J4021, J4021), "")</f>
        <v>0</v>
      </c>
    </row>
    <row r="4022" spans="2:2">
      <c r="B4022" s="21">
        <f>IF(AND(C4022&lt;&gt;"", J4022&lt;&gt;""), HYPERLINK("#'" &amp; C4022 &amp; "'!" &amp; J4022, J4022), "")</f>
        <v>0</v>
      </c>
    </row>
    <row r="4023" spans="2:2">
      <c r="B4023" s="21">
        <f>IF(AND(C4023&lt;&gt;"", J4023&lt;&gt;""), HYPERLINK("#'" &amp; C4023 &amp; "'!" &amp; J4023, J4023), "")</f>
        <v>0</v>
      </c>
    </row>
    <row r="4024" spans="2:2">
      <c r="B4024" s="21">
        <f>IF(AND(C4024&lt;&gt;"", J4024&lt;&gt;""), HYPERLINK("#'" &amp; C4024 &amp; "'!" &amp; J4024, J4024), "")</f>
        <v>0</v>
      </c>
    </row>
    <row r="4025" spans="2:2">
      <c r="B4025" s="21">
        <f>IF(AND(C4025&lt;&gt;"", J4025&lt;&gt;""), HYPERLINK("#'" &amp; C4025 &amp; "'!" &amp; J4025, J4025), "")</f>
        <v>0</v>
      </c>
    </row>
    <row r="4026" spans="2:2">
      <c r="B4026" s="21">
        <f>IF(AND(C4026&lt;&gt;"", J4026&lt;&gt;""), HYPERLINK("#'" &amp; C4026 &amp; "'!" &amp; J4026, J4026), "")</f>
        <v>0</v>
      </c>
    </row>
    <row r="4027" spans="2:2">
      <c r="B4027" s="21">
        <f>IF(AND(C4027&lt;&gt;"", J4027&lt;&gt;""), HYPERLINK("#'" &amp; C4027 &amp; "'!" &amp; J4027, J4027), "")</f>
        <v>0</v>
      </c>
    </row>
    <row r="4028" spans="2:2">
      <c r="B4028" s="21">
        <f>IF(AND(C4028&lt;&gt;"", J4028&lt;&gt;""), HYPERLINK("#'" &amp; C4028 &amp; "'!" &amp; J4028, J4028), "")</f>
        <v>0</v>
      </c>
    </row>
    <row r="4029" spans="2:2">
      <c r="B4029" s="21">
        <f>IF(AND(C4029&lt;&gt;"", J4029&lt;&gt;""), HYPERLINK("#'" &amp; C4029 &amp; "'!" &amp; J4029, J4029), "")</f>
        <v>0</v>
      </c>
    </row>
    <row r="4030" spans="2:2">
      <c r="B4030" s="21">
        <f>IF(AND(C4030&lt;&gt;"", J4030&lt;&gt;""), HYPERLINK("#'" &amp; C4030 &amp; "'!" &amp; J4030, J4030), "")</f>
        <v>0</v>
      </c>
    </row>
    <row r="4031" spans="2:2">
      <c r="B4031" s="21">
        <f>IF(AND(C4031&lt;&gt;"", J4031&lt;&gt;""), HYPERLINK("#'" &amp; C4031 &amp; "'!" &amp; J4031, J4031), "")</f>
        <v>0</v>
      </c>
    </row>
    <row r="4032" spans="2:2">
      <c r="B4032" s="21">
        <f>IF(AND(C4032&lt;&gt;"", J4032&lt;&gt;""), HYPERLINK("#'" &amp; C4032 &amp; "'!" &amp; J4032, J4032), "")</f>
        <v>0</v>
      </c>
    </row>
    <row r="4033" spans="2:2">
      <c r="B4033" s="21">
        <f>IF(AND(C4033&lt;&gt;"", J4033&lt;&gt;""), HYPERLINK("#'" &amp; C4033 &amp; "'!" &amp; J4033, J4033), "")</f>
        <v>0</v>
      </c>
    </row>
    <row r="4034" spans="2:2">
      <c r="B4034" s="21">
        <f>IF(AND(C4034&lt;&gt;"", J4034&lt;&gt;""), HYPERLINK("#'" &amp; C4034 &amp; "'!" &amp; J4034, J4034), "")</f>
        <v>0</v>
      </c>
    </row>
    <row r="4035" spans="2:2">
      <c r="B4035" s="21">
        <f>IF(AND(C4035&lt;&gt;"", J4035&lt;&gt;""), HYPERLINK("#'" &amp; C4035 &amp; "'!" &amp; J4035, J4035), "")</f>
        <v>0</v>
      </c>
    </row>
    <row r="4036" spans="2:2">
      <c r="B4036" s="21">
        <f>IF(AND(C4036&lt;&gt;"", J4036&lt;&gt;""), HYPERLINK("#'" &amp; C4036 &amp; "'!" &amp; J4036, J4036), "")</f>
        <v>0</v>
      </c>
    </row>
    <row r="4037" spans="2:2">
      <c r="B4037" s="21">
        <f>IF(AND(C4037&lt;&gt;"", J4037&lt;&gt;""), HYPERLINK("#'" &amp; C4037 &amp; "'!" &amp; J4037, J4037), "")</f>
        <v>0</v>
      </c>
    </row>
    <row r="4038" spans="2:2">
      <c r="B4038" s="21">
        <f>IF(AND(C4038&lt;&gt;"", J4038&lt;&gt;""), HYPERLINK("#'" &amp; C4038 &amp; "'!" &amp; J4038, J4038), "")</f>
        <v>0</v>
      </c>
    </row>
    <row r="4039" spans="2:2">
      <c r="B4039" s="21">
        <f>IF(AND(C4039&lt;&gt;"", J4039&lt;&gt;""), HYPERLINK("#'" &amp; C4039 &amp; "'!" &amp; J4039, J4039), "")</f>
        <v>0</v>
      </c>
    </row>
    <row r="4040" spans="2:2">
      <c r="B4040" s="21">
        <f>IF(AND(C4040&lt;&gt;"", J4040&lt;&gt;""), HYPERLINK("#'" &amp; C4040 &amp; "'!" &amp; J4040, J4040), "")</f>
        <v>0</v>
      </c>
    </row>
    <row r="4041" spans="2:2">
      <c r="B4041" s="21">
        <f>IF(AND(C4041&lt;&gt;"", J4041&lt;&gt;""), HYPERLINK("#'" &amp; C4041 &amp; "'!" &amp; J4041, J4041), "")</f>
        <v>0</v>
      </c>
    </row>
    <row r="4042" spans="2:2">
      <c r="B4042" s="21">
        <f>IF(AND(C4042&lt;&gt;"", J4042&lt;&gt;""), HYPERLINK("#'" &amp; C4042 &amp; "'!" &amp; J4042, J4042), "")</f>
        <v>0</v>
      </c>
    </row>
    <row r="4043" spans="2:2">
      <c r="B4043" s="21">
        <f>IF(AND(C4043&lt;&gt;"", J4043&lt;&gt;""), HYPERLINK("#'" &amp; C4043 &amp; "'!" &amp; J4043, J4043), "")</f>
        <v>0</v>
      </c>
    </row>
    <row r="4044" spans="2:2">
      <c r="B4044" s="21">
        <f>IF(AND(C4044&lt;&gt;"", J4044&lt;&gt;""), HYPERLINK("#'" &amp; C4044 &amp; "'!" &amp; J4044, J4044), "")</f>
        <v>0</v>
      </c>
    </row>
    <row r="4045" spans="2:2">
      <c r="B4045" s="21">
        <f>IF(AND(C4045&lt;&gt;"", J4045&lt;&gt;""), HYPERLINK("#'" &amp; C4045 &amp; "'!" &amp; J4045, J4045), "")</f>
        <v>0</v>
      </c>
    </row>
    <row r="4046" spans="2:2">
      <c r="B4046" s="21">
        <f>IF(AND(C4046&lt;&gt;"", J4046&lt;&gt;""), HYPERLINK("#'" &amp; C4046 &amp; "'!" &amp; J4046, J4046), "")</f>
        <v>0</v>
      </c>
    </row>
    <row r="4047" spans="2:2">
      <c r="B4047" s="21">
        <f>IF(AND(C4047&lt;&gt;"", J4047&lt;&gt;""), HYPERLINK("#'" &amp; C4047 &amp; "'!" &amp; J4047, J4047), "")</f>
        <v>0</v>
      </c>
    </row>
    <row r="4048" spans="2:2">
      <c r="B4048" s="21">
        <f>IF(AND(C4048&lt;&gt;"", J4048&lt;&gt;""), HYPERLINK("#'" &amp; C4048 &amp; "'!" &amp; J4048, J4048), "")</f>
        <v>0</v>
      </c>
    </row>
    <row r="4049" spans="2:2">
      <c r="B4049" s="21">
        <f>IF(AND(C4049&lt;&gt;"", J4049&lt;&gt;""), HYPERLINK("#'" &amp; C4049 &amp; "'!" &amp; J4049, J4049), "")</f>
        <v>0</v>
      </c>
    </row>
    <row r="4050" spans="2:2">
      <c r="B4050" s="21">
        <f>IF(AND(C4050&lt;&gt;"", J4050&lt;&gt;""), HYPERLINK("#'" &amp; C4050 &amp; "'!" &amp; J4050, J4050), "")</f>
        <v>0</v>
      </c>
    </row>
    <row r="4051" spans="2:2">
      <c r="B4051" s="21">
        <f>IF(AND(C4051&lt;&gt;"", J4051&lt;&gt;""), HYPERLINK("#'" &amp; C4051 &amp; "'!" &amp; J4051, J4051), "")</f>
        <v>0</v>
      </c>
    </row>
    <row r="4052" spans="2:2">
      <c r="B4052" s="21">
        <f>IF(AND(C4052&lt;&gt;"", J4052&lt;&gt;""), HYPERLINK("#'" &amp; C4052 &amp; "'!" &amp; J4052, J4052), "")</f>
        <v>0</v>
      </c>
    </row>
    <row r="4053" spans="2:2">
      <c r="B4053" s="21">
        <f>IF(AND(C4053&lt;&gt;"", J4053&lt;&gt;""), HYPERLINK("#'" &amp; C4053 &amp; "'!" &amp; J4053, J4053), "")</f>
        <v>0</v>
      </c>
    </row>
    <row r="4054" spans="2:2">
      <c r="B4054" s="21">
        <f>IF(AND(C4054&lt;&gt;"", J4054&lt;&gt;""), HYPERLINK("#'" &amp; C4054 &amp; "'!" &amp; J4054, J4054), "")</f>
        <v>0</v>
      </c>
    </row>
    <row r="4055" spans="2:2">
      <c r="B4055" s="21">
        <f>IF(AND(C4055&lt;&gt;"", J4055&lt;&gt;""), HYPERLINK("#'" &amp; C4055 &amp; "'!" &amp; J4055, J4055), "")</f>
        <v>0</v>
      </c>
    </row>
    <row r="4056" spans="2:2">
      <c r="B4056" s="21">
        <f>IF(AND(C4056&lt;&gt;"", J4056&lt;&gt;""), HYPERLINK("#'" &amp; C4056 &amp; "'!" &amp; J4056, J4056), "")</f>
        <v>0</v>
      </c>
    </row>
    <row r="4057" spans="2:2">
      <c r="B4057" s="21">
        <f>IF(AND(C4057&lt;&gt;"", J4057&lt;&gt;""), HYPERLINK("#'" &amp; C4057 &amp; "'!" &amp; J4057, J4057), "")</f>
        <v>0</v>
      </c>
    </row>
    <row r="4058" spans="2:2">
      <c r="B4058" s="21">
        <f>IF(AND(C4058&lt;&gt;"", J4058&lt;&gt;""), HYPERLINK("#'" &amp; C4058 &amp; "'!" &amp; J4058, J4058), "")</f>
        <v>0</v>
      </c>
    </row>
    <row r="4059" spans="2:2">
      <c r="B4059" s="21">
        <f>IF(AND(C4059&lt;&gt;"", J4059&lt;&gt;""), HYPERLINK("#'" &amp; C4059 &amp; "'!" &amp; J4059, J4059), "")</f>
        <v>0</v>
      </c>
    </row>
    <row r="4060" spans="2:2">
      <c r="B4060" s="21">
        <f>IF(AND(C4060&lt;&gt;"", J4060&lt;&gt;""), HYPERLINK("#'" &amp; C4060 &amp; "'!" &amp; J4060, J4060), "")</f>
        <v>0</v>
      </c>
    </row>
    <row r="4061" spans="2:2">
      <c r="B4061" s="21">
        <f>IF(AND(C4061&lt;&gt;"", J4061&lt;&gt;""), HYPERLINK("#'" &amp; C4061 &amp; "'!" &amp; J4061, J4061), "")</f>
        <v>0</v>
      </c>
    </row>
    <row r="4062" spans="2:2">
      <c r="B4062" s="21">
        <f>IF(AND(C4062&lt;&gt;"", J4062&lt;&gt;""), HYPERLINK("#'" &amp; C4062 &amp; "'!" &amp; J4062, J4062), "")</f>
        <v>0</v>
      </c>
    </row>
    <row r="4063" spans="2:2">
      <c r="B4063" s="21">
        <f>IF(AND(C4063&lt;&gt;"", J4063&lt;&gt;""), HYPERLINK("#'" &amp; C4063 &amp; "'!" &amp; J4063, J4063), "")</f>
        <v>0</v>
      </c>
    </row>
    <row r="4064" spans="2:2">
      <c r="B4064" s="21">
        <f>IF(AND(C4064&lt;&gt;"", J4064&lt;&gt;""), HYPERLINK("#'" &amp; C4064 &amp; "'!" &amp; J4064, J4064), "")</f>
        <v>0</v>
      </c>
    </row>
    <row r="4065" spans="2:2">
      <c r="B4065" s="21">
        <f>IF(AND(C4065&lt;&gt;"", J4065&lt;&gt;""), HYPERLINK("#'" &amp; C4065 &amp; "'!" &amp; J4065, J4065), "")</f>
        <v>0</v>
      </c>
    </row>
    <row r="4066" spans="2:2">
      <c r="B4066" s="21">
        <f>IF(AND(C4066&lt;&gt;"", J4066&lt;&gt;""), HYPERLINK("#'" &amp; C4066 &amp; "'!" &amp; J4066, J4066), "")</f>
        <v>0</v>
      </c>
    </row>
    <row r="4067" spans="2:2">
      <c r="B4067" s="21">
        <f>IF(AND(C4067&lt;&gt;"", J4067&lt;&gt;""), HYPERLINK("#'" &amp; C4067 &amp; "'!" &amp; J4067, J4067), "")</f>
        <v>0</v>
      </c>
    </row>
    <row r="4068" spans="2:2">
      <c r="B4068" s="21">
        <f>IF(AND(C4068&lt;&gt;"", J4068&lt;&gt;""), HYPERLINK("#'" &amp; C4068 &amp; "'!" &amp; J4068, J4068), "")</f>
        <v>0</v>
      </c>
    </row>
    <row r="4069" spans="2:2">
      <c r="B4069" s="21">
        <f>IF(AND(C4069&lt;&gt;"", J4069&lt;&gt;""), HYPERLINK("#'" &amp; C4069 &amp; "'!" &amp; J4069, J4069), "")</f>
        <v>0</v>
      </c>
    </row>
    <row r="4070" spans="2:2">
      <c r="B4070" s="21">
        <f>IF(AND(C4070&lt;&gt;"", J4070&lt;&gt;""), HYPERLINK("#'" &amp; C4070 &amp; "'!" &amp; J4070, J4070), "")</f>
        <v>0</v>
      </c>
    </row>
    <row r="4071" spans="2:2">
      <c r="B4071" s="21">
        <f>IF(AND(C4071&lt;&gt;"", J4071&lt;&gt;""), HYPERLINK("#'" &amp; C4071 &amp; "'!" &amp; J4071, J4071), "")</f>
        <v>0</v>
      </c>
    </row>
    <row r="4072" spans="2:2">
      <c r="B4072" s="21">
        <f>IF(AND(C4072&lt;&gt;"", J4072&lt;&gt;""), HYPERLINK("#'" &amp; C4072 &amp; "'!" &amp; J4072, J4072), "")</f>
        <v>0</v>
      </c>
    </row>
    <row r="4073" spans="2:2">
      <c r="B4073" s="21">
        <f>IF(AND(C4073&lt;&gt;"", J4073&lt;&gt;""), HYPERLINK("#'" &amp; C4073 &amp; "'!" &amp; J4073, J4073), "")</f>
        <v>0</v>
      </c>
    </row>
    <row r="4074" spans="2:2">
      <c r="B4074" s="21">
        <f>IF(AND(C4074&lt;&gt;"", J4074&lt;&gt;""), HYPERLINK("#'" &amp; C4074 &amp; "'!" &amp; J4074, J4074), "")</f>
        <v>0</v>
      </c>
    </row>
    <row r="4075" spans="2:2">
      <c r="B4075" s="21">
        <f>IF(AND(C4075&lt;&gt;"", J4075&lt;&gt;""), HYPERLINK("#'" &amp; C4075 &amp; "'!" &amp; J4075, J4075), "")</f>
        <v>0</v>
      </c>
    </row>
    <row r="4076" spans="2:2">
      <c r="B4076" s="21">
        <f>IF(AND(C4076&lt;&gt;"", J4076&lt;&gt;""), HYPERLINK("#'" &amp; C4076 &amp; "'!" &amp; J4076, J4076), "")</f>
        <v>0</v>
      </c>
    </row>
    <row r="4077" spans="2:2">
      <c r="B4077" s="21">
        <f>IF(AND(C4077&lt;&gt;"", J4077&lt;&gt;""), HYPERLINK("#'" &amp; C4077 &amp; "'!" &amp; J4077, J4077), "")</f>
        <v>0</v>
      </c>
    </row>
    <row r="4078" spans="2:2">
      <c r="B4078" s="21">
        <f>IF(AND(C4078&lt;&gt;"", J4078&lt;&gt;""), HYPERLINK("#'" &amp; C4078 &amp; "'!" &amp; J4078, J4078), "")</f>
        <v>0</v>
      </c>
    </row>
    <row r="4079" spans="2:2">
      <c r="B4079" s="21">
        <f>IF(AND(C4079&lt;&gt;"", J4079&lt;&gt;""), HYPERLINK("#'" &amp; C4079 &amp; "'!" &amp; J4079, J4079), "")</f>
        <v>0</v>
      </c>
    </row>
    <row r="4080" spans="2:2">
      <c r="B4080" s="21">
        <f>IF(AND(C4080&lt;&gt;"", J4080&lt;&gt;""), HYPERLINK("#'" &amp; C4080 &amp; "'!" &amp; J4080, J4080), "")</f>
        <v>0</v>
      </c>
    </row>
    <row r="4081" spans="2:2">
      <c r="B4081" s="21">
        <f>IF(AND(C4081&lt;&gt;"", J4081&lt;&gt;""), HYPERLINK("#'" &amp; C4081 &amp; "'!" &amp; J4081, J4081), "")</f>
        <v>0</v>
      </c>
    </row>
    <row r="4082" spans="2:2">
      <c r="B4082" s="21">
        <f>IF(AND(C4082&lt;&gt;"", J4082&lt;&gt;""), HYPERLINK("#'" &amp; C4082 &amp; "'!" &amp; J4082, J4082), "")</f>
        <v>0</v>
      </c>
    </row>
    <row r="4083" spans="2:2">
      <c r="B4083" s="21">
        <f>IF(AND(C4083&lt;&gt;"", J4083&lt;&gt;""), HYPERLINK("#'" &amp; C4083 &amp; "'!" &amp; J4083, J4083), "")</f>
        <v>0</v>
      </c>
    </row>
    <row r="4084" spans="2:2">
      <c r="B4084" s="21">
        <f>IF(AND(C4084&lt;&gt;"", J4084&lt;&gt;""), HYPERLINK("#'" &amp; C4084 &amp; "'!" &amp; J4084, J4084), "")</f>
        <v>0</v>
      </c>
    </row>
    <row r="4085" spans="2:2">
      <c r="B4085" s="21">
        <f>IF(AND(C4085&lt;&gt;"", J4085&lt;&gt;""), HYPERLINK("#'" &amp; C4085 &amp; "'!" &amp; J4085, J4085), "")</f>
        <v>0</v>
      </c>
    </row>
    <row r="4086" spans="2:2">
      <c r="B4086" s="21">
        <f>IF(AND(C4086&lt;&gt;"", J4086&lt;&gt;""), HYPERLINK("#'" &amp; C4086 &amp; "'!" &amp; J4086, J4086), "")</f>
        <v>0</v>
      </c>
    </row>
    <row r="4087" spans="2:2">
      <c r="B4087" s="21">
        <f>IF(AND(C4087&lt;&gt;"", J4087&lt;&gt;""), HYPERLINK("#'" &amp; C4087 &amp; "'!" &amp; J4087, J4087), "")</f>
        <v>0</v>
      </c>
    </row>
    <row r="4088" spans="2:2">
      <c r="B4088" s="21">
        <f>IF(AND(C4088&lt;&gt;"", J4088&lt;&gt;""), HYPERLINK("#'" &amp; C4088 &amp; "'!" &amp; J4088, J4088), "")</f>
        <v>0</v>
      </c>
    </row>
    <row r="4089" spans="2:2">
      <c r="B4089" s="21">
        <f>IF(AND(C4089&lt;&gt;"", J4089&lt;&gt;""), HYPERLINK("#'" &amp; C4089 &amp; "'!" &amp; J4089, J4089), "")</f>
        <v>0</v>
      </c>
    </row>
    <row r="4090" spans="2:2">
      <c r="B4090" s="21">
        <f>IF(AND(C4090&lt;&gt;"", J4090&lt;&gt;""), HYPERLINK("#'" &amp; C4090 &amp; "'!" &amp; J4090, J4090), "")</f>
        <v>0</v>
      </c>
    </row>
    <row r="4091" spans="2:2">
      <c r="B4091" s="21">
        <f>IF(AND(C4091&lt;&gt;"", J4091&lt;&gt;""), HYPERLINK("#'" &amp; C4091 &amp; "'!" &amp; J4091, J4091), "")</f>
        <v>0</v>
      </c>
    </row>
    <row r="4092" spans="2:2">
      <c r="B4092" s="21">
        <f>IF(AND(C4092&lt;&gt;"", J4092&lt;&gt;""), HYPERLINK("#'" &amp; C4092 &amp; "'!" &amp; J4092, J4092), "")</f>
        <v>0</v>
      </c>
    </row>
    <row r="4093" spans="2:2">
      <c r="B4093" s="21">
        <f>IF(AND(C4093&lt;&gt;"", J4093&lt;&gt;""), HYPERLINK("#'" &amp; C4093 &amp; "'!" &amp; J4093, J4093), "")</f>
        <v>0</v>
      </c>
    </row>
    <row r="4094" spans="2:2">
      <c r="B4094" s="21">
        <f>IF(AND(C4094&lt;&gt;"", J4094&lt;&gt;""), HYPERLINK("#'" &amp; C4094 &amp; "'!" &amp; J4094, J4094), "")</f>
        <v>0</v>
      </c>
    </row>
    <row r="4095" spans="2:2">
      <c r="B4095" s="21">
        <f>IF(AND(C4095&lt;&gt;"", J4095&lt;&gt;""), HYPERLINK("#'" &amp; C4095 &amp; "'!" &amp; J4095, J4095), "")</f>
        <v>0</v>
      </c>
    </row>
    <row r="4096" spans="2:2">
      <c r="B4096" s="21">
        <f>IF(AND(C4096&lt;&gt;"", J4096&lt;&gt;""), HYPERLINK("#'" &amp; C4096 &amp; "'!" &amp; J4096, J4096), "")</f>
        <v>0</v>
      </c>
    </row>
    <row r="4097" spans="2:2">
      <c r="B4097" s="21">
        <f>IF(AND(C4097&lt;&gt;"", J4097&lt;&gt;""), HYPERLINK("#'" &amp; C4097 &amp; "'!" &amp; J4097, J4097), "")</f>
        <v>0</v>
      </c>
    </row>
    <row r="4098" spans="2:2">
      <c r="B4098" s="21">
        <f>IF(AND(C4098&lt;&gt;"", J4098&lt;&gt;""), HYPERLINK("#'" &amp; C4098 &amp; "'!" &amp; J4098, J4098), "")</f>
        <v>0</v>
      </c>
    </row>
    <row r="4099" spans="2:2">
      <c r="B4099" s="21">
        <f>IF(AND(C4099&lt;&gt;"", J4099&lt;&gt;""), HYPERLINK("#'" &amp; C4099 &amp; "'!" &amp; J4099, J4099), "")</f>
        <v>0</v>
      </c>
    </row>
    <row r="4100" spans="2:2">
      <c r="B4100" s="21">
        <f>IF(AND(C4100&lt;&gt;"", J4100&lt;&gt;""), HYPERLINK("#'" &amp; C4100 &amp; "'!" &amp; J4100, J4100), "")</f>
        <v>0</v>
      </c>
    </row>
    <row r="4101" spans="2:2">
      <c r="B4101" s="21">
        <f>IF(AND(C4101&lt;&gt;"", J4101&lt;&gt;""), HYPERLINK("#'" &amp; C4101 &amp; "'!" &amp; J4101, J4101), "")</f>
        <v>0</v>
      </c>
    </row>
    <row r="4102" spans="2:2">
      <c r="B4102" s="21">
        <f>IF(AND(C4102&lt;&gt;"", J4102&lt;&gt;""), HYPERLINK("#'" &amp; C4102 &amp; "'!" &amp; J4102, J4102), "")</f>
        <v>0</v>
      </c>
    </row>
    <row r="4103" spans="2:2">
      <c r="B4103" s="21">
        <f>IF(AND(C4103&lt;&gt;"", J4103&lt;&gt;""), HYPERLINK("#'" &amp; C4103 &amp; "'!" &amp; J4103, J4103), "")</f>
        <v>0</v>
      </c>
    </row>
    <row r="4104" spans="2:2">
      <c r="B4104" s="21">
        <f>IF(AND(C4104&lt;&gt;"", J4104&lt;&gt;""), HYPERLINK("#'" &amp; C4104 &amp; "'!" &amp; J4104, J4104), "")</f>
        <v>0</v>
      </c>
    </row>
    <row r="4105" spans="2:2">
      <c r="B4105" s="21">
        <f>IF(AND(C4105&lt;&gt;"", J4105&lt;&gt;""), HYPERLINK("#'" &amp; C4105 &amp; "'!" &amp; J4105, J4105), "")</f>
        <v>0</v>
      </c>
    </row>
    <row r="4106" spans="2:2">
      <c r="B4106" s="21">
        <f>IF(AND(C4106&lt;&gt;"", J4106&lt;&gt;""), HYPERLINK("#'" &amp; C4106 &amp; "'!" &amp; J4106, J4106), "")</f>
        <v>0</v>
      </c>
    </row>
    <row r="4107" spans="2:2">
      <c r="B4107" s="21">
        <f>IF(AND(C4107&lt;&gt;"", J4107&lt;&gt;""), HYPERLINK("#'" &amp; C4107 &amp; "'!" &amp; J4107, J4107), "")</f>
        <v>0</v>
      </c>
    </row>
    <row r="4108" spans="2:2">
      <c r="B4108" s="21">
        <f>IF(AND(C4108&lt;&gt;"", J4108&lt;&gt;""), HYPERLINK("#'" &amp; C4108 &amp; "'!" &amp; J4108, J4108), "")</f>
        <v>0</v>
      </c>
    </row>
    <row r="4109" spans="2:2">
      <c r="B4109" s="21">
        <f>IF(AND(C4109&lt;&gt;"", J4109&lt;&gt;""), HYPERLINK("#'" &amp; C4109 &amp; "'!" &amp; J4109, J4109), "")</f>
        <v>0</v>
      </c>
    </row>
    <row r="4110" spans="2:2">
      <c r="B4110" s="21">
        <f>IF(AND(C4110&lt;&gt;"", J4110&lt;&gt;""), HYPERLINK("#'" &amp; C4110 &amp; "'!" &amp; J4110, J4110), "")</f>
        <v>0</v>
      </c>
    </row>
    <row r="4111" spans="2:2">
      <c r="B4111" s="21">
        <f>IF(AND(C4111&lt;&gt;"", J4111&lt;&gt;""), HYPERLINK("#'" &amp; C4111 &amp; "'!" &amp; J4111, J4111), "")</f>
        <v>0</v>
      </c>
    </row>
    <row r="4112" spans="2:2">
      <c r="B4112" s="21">
        <f>IF(AND(C4112&lt;&gt;"", J4112&lt;&gt;""), HYPERLINK("#'" &amp; C4112 &amp; "'!" &amp; J4112, J4112), "")</f>
        <v>0</v>
      </c>
    </row>
    <row r="4113" spans="2:2">
      <c r="B4113" s="21">
        <f>IF(AND(C4113&lt;&gt;"", J4113&lt;&gt;""), HYPERLINK("#'" &amp; C4113 &amp; "'!" &amp; J4113, J4113), "")</f>
        <v>0</v>
      </c>
    </row>
    <row r="4114" spans="2:2">
      <c r="B4114" s="21">
        <f>IF(AND(C4114&lt;&gt;"", J4114&lt;&gt;""), HYPERLINK("#'" &amp; C4114 &amp; "'!" &amp; J4114, J4114), "")</f>
        <v>0</v>
      </c>
    </row>
    <row r="4115" spans="2:2">
      <c r="B4115" s="21">
        <f>IF(AND(C4115&lt;&gt;"", J4115&lt;&gt;""), HYPERLINK("#'" &amp; C4115 &amp; "'!" &amp; J4115, J4115), "")</f>
        <v>0</v>
      </c>
    </row>
    <row r="4116" spans="2:2">
      <c r="B4116" s="21">
        <f>IF(AND(C4116&lt;&gt;"", J4116&lt;&gt;""), HYPERLINK("#'" &amp; C4116 &amp; "'!" &amp; J4116, J4116), "")</f>
        <v>0</v>
      </c>
    </row>
    <row r="4117" spans="2:2">
      <c r="B4117" s="21">
        <f>IF(AND(C4117&lt;&gt;"", J4117&lt;&gt;""), HYPERLINK("#'" &amp; C4117 &amp; "'!" &amp; J4117, J4117), "")</f>
        <v>0</v>
      </c>
    </row>
    <row r="4118" spans="2:2">
      <c r="B4118" s="21">
        <f>IF(AND(C4118&lt;&gt;"", J4118&lt;&gt;""), HYPERLINK("#'" &amp; C4118 &amp; "'!" &amp; J4118, J4118), "")</f>
        <v>0</v>
      </c>
    </row>
    <row r="4119" spans="2:2">
      <c r="B4119" s="21">
        <f>IF(AND(C4119&lt;&gt;"", J4119&lt;&gt;""), HYPERLINK("#'" &amp; C4119 &amp; "'!" &amp; J4119, J4119), "")</f>
        <v>0</v>
      </c>
    </row>
    <row r="4120" spans="2:2">
      <c r="B4120" s="21">
        <f>IF(AND(C4120&lt;&gt;"", J4120&lt;&gt;""), HYPERLINK("#'" &amp; C4120 &amp; "'!" &amp; J4120, J4120), "")</f>
        <v>0</v>
      </c>
    </row>
    <row r="4121" spans="2:2">
      <c r="B4121" s="21">
        <f>IF(AND(C4121&lt;&gt;"", J4121&lt;&gt;""), HYPERLINK("#'" &amp; C4121 &amp; "'!" &amp; J4121, J4121), "")</f>
        <v>0</v>
      </c>
    </row>
    <row r="4122" spans="2:2">
      <c r="B4122" s="21">
        <f>IF(AND(C4122&lt;&gt;"", J4122&lt;&gt;""), HYPERLINK("#'" &amp; C4122 &amp; "'!" &amp; J4122, J4122), "")</f>
        <v>0</v>
      </c>
    </row>
    <row r="4123" spans="2:2">
      <c r="B4123" s="21">
        <f>IF(AND(C4123&lt;&gt;"", J4123&lt;&gt;""), HYPERLINK("#'" &amp; C4123 &amp; "'!" &amp; J4123, J4123), "")</f>
        <v>0</v>
      </c>
    </row>
    <row r="4124" spans="2:2">
      <c r="B4124" s="21">
        <f>IF(AND(C4124&lt;&gt;"", J4124&lt;&gt;""), HYPERLINK("#'" &amp; C4124 &amp; "'!" &amp; J4124, J4124), "")</f>
        <v>0</v>
      </c>
    </row>
    <row r="4125" spans="2:2">
      <c r="B4125" s="21">
        <f>IF(AND(C4125&lt;&gt;"", J4125&lt;&gt;""), HYPERLINK("#'" &amp; C4125 &amp; "'!" &amp; J4125, J4125), "")</f>
        <v>0</v>
      </c>
    </row>
    <row r="4126" spans="2:2">
      <c r="B4126" s="21">
        <f>IF(AND(C4126&lt;&gt;"", J4126&lt;&gt;""), HYPERLINK("#'" &amp; C4126 &amp; "'!" &amp; J4126, J4126), "")</f>
        <v>0</v>
      </c>
    </row>
    <row r="4127" spans="2:2">
      <c r="B4127" s="21">
        <f>IF(AND(C4127&lt;&gt;"", J4127&lt;&gt;""), HYPERLINK("#'" &amp; C4127 &amp; "'!" &amp; J4127, J4127), "")</f>
        <v>0</v>
      </c>
    </row>
    <row r="4128" spans="2:2">
      <c r="B4128" s="21">
        <f>IF(AND(C4128&lt;&gt;"", J4128&lt;&gt;""), HYPERLINK("#'" &amp; C4128 &amp; "'!" &amp; J4128, J4128), "")</f>
        <v>0</v>
      </c>
    </row>
    <row r="4129" spans="2:2">
      <c r="B4129" s="21">
        <f>IF(AND(C4129&lt;&gt;"", J4129&lt;&gt;""), HYPERLINK("#'" &amp; C4129 &amp; "'!" &amp; J4129, J4129), "")</f>
        <v>0</v>
      </c>
    </row>
    <row r="4130" spans="2:2">
      <c r="B4130" s="21">
        <f>IF(AND(C4130&lt;&gt;"", J4130&lt;&gt;""), HYPERLINK("#'" &amp; C4130 &amp; "'!" &amp; J4130, J4130), "")</f>
        <v>0</v>
      </c>
    </row>
    <row r="4131" spans="2:2">
      <c r="B4131" s="21">
        <f>IF(AND(C4131&lt;&gt;"", J4131&lt;&gt;""), HYPERLINK("#'" &amp; C4131 &amp; "'!" &amp; J4131, J4131), "")</f>
        <v>0</v>
      </c>
    </row>
    <row r="4132" spans="2:2">
      <c r="B4132" s="21">
        <f>IF(AND(C4132&lt;&gt;"", J4132&lt;&gt;""), HYPERLINK("#'" &amp; C4132 &amp; "'!" &amp; J4132, J4132), "")</f>
        <v>0</v>
      </c>
    </row>
    <row r="4133" spans="2:2">
      <c r="B4133" s="21">
        <f>IF(AND(C4133&lt;&gt;"", J4133&lt;&gt;""), HYPERLINK("#'" &amp; C4133 &amp; "'!" &amp; J4133, J4133), "")</f>
        <v>0</v>
      </c>
    </row>
    <row r="4134" spans="2:2">
      <c r="B4134" s="21">
        <f>IF(AND(C4134&lt;&gt;"", J4134&lt;&gt;""), HYPERLINK("#'" &amp; C4134 &amp; "'!" &amp; J4134, J4134), "")</f>
        <v>0</v>
      </c>
    </row>
    <row r="4135" spans="2:2">
      <c r="B4135" s="21">
        <f>IF(AND(C4135&lt;&gt;"", J4135&lt;&gt;""), HYPERLINK("#'" &amp; C4135 &amp; "'!" &amp; J4135, J4135), "")</f>
        <v>0</v>
      </c>
    </row>
    <row r="4136" spans="2:2">
      <c r="B4136" s="21">
        <f>IF(AND(C4136&lt;&gt;"", J4136&lt;&gt;""), HYPERLINK("#'" &amp; C4136 &amp; "'!" &amp; J4136, J4136), "")</f>
        <v>0</v>
      </c>
    </row>
    <row r="4137" spans="2:2">
      <c r="B4137" s="21">
        <f>IF(AND(C4137&lt;&gt;"", J4137&lt;&gt;""), HYPERLINK("#'" &amp; C4137 &amp; "'!" &amp; J4137, J4137), "")</f>
        <v>0</v>
      </c>
    </row>
    <row r="4138" spans="2:2">
      <c r="B4138" s="21">
        <f>IF(AND(C4138&lt;&gt;"", J4138&lt;&gt;""), HYPERLINK("#'" &amp; C4138 &amp; "'!" &amp; J4138, J4138), "")</f>
        <v>0</v>
      </c>
    </row>
    <row r="4139" spans="2:2">
      <c r="B4139" s="21">
        <f>IF(AND(C4139&lt;&gt;"", J4139&lt;&gt;""), HYPERLINK("#'" &amp; C4139 &amp; "'!" &amp; J4139, J4139), "")</f>
        <v>0</v>
      </c>
    </row>
    <row r="4140" spans="2:2">
      <c r="B4140" s="21">
        <f>IF(AND(C4140&lt;&gt;"", J4140&lt;&gt;""), HYPERLINK("#'" &amp; C4140 &amp; "'!" &amp; J4140, J4140), "")</f>
        <v>0</v>
      </c>
    </row>
    <row r="4141" spans="2:2">
      <c r="B4141" s="21">
        <f>IF(AND(C4141&lt;&gt;"", J4141&lt;&gt;""), HYPERLINK("#'" &amp; C4141 &amp; "'!" &amp; J4141, J4141), "")</f>
        <v>0</v>
      </c>
    </row>
    <row r="4142" spans="2:2">
      <c r="B4142" s="21">
        <f>IF(AND(C4142&lt;&gt;"", J4142&lt;&gt;""), HYPERLINK("#'" &amp; C4142 &amp; "'!" &amp; J4142, J4142), "")</f>
        <v>0</v>
      </c>
    </row>
    <row r="4143" spans="2:2">
      <c r="B4143" s="21">
        <f>IF(AND(C4143&lt;&gt;"", J4143&lt;&gt;""), HYPERLINK("#'" &amp; C4143 &amp; "'!" &amp; J4143, J4143), "")</f>
        <v>0</v>
      </c>
    </row>
    <row r="4144" spans="2:2">
      <c r="B4144" s="21">
        <f>IF(AND(C4144&lt;&gt;"", J4144&lt;&gt;""), HYPERLINK("#'" &amp; C4144 &amp; "'!" &amp; J4144, J4144), "")</f>
        <v>0</v>
      </c>
    </row>
    <row r="4145" spans="2:2">
      <c r="B4145" s="21">
        <f>IF(AND(C4145&lt;&gt;"", J4145&lt;&gt;""), HYPERLINK("#'" &amp; C4145 &amp; "'!" &amp; J4145, J4145), "")</f>
        <v>0</v>
      </c>
    </row>
    <row r="4146" spans="2:2">
      <c r="B4146" s="21">
        <f>IF(AND(C4146&lt;&gt;"", J4146&lt;&gt;""), HYPERLINK("#'" &amp; C4146 &amp; "'!" &amp; J4146, J4146), "")</f>
        <v>0</v>
      </c>
    </row>
    <row r="4147" spans="2:2">
      <c r="B4147" s="21">
        <f>IF(AND(C4147&lt;&gt;"", J4147&lt;&gt;""), HYPERLINK("#'" &amp; C4147 &amp; "'!" &amp; J4147, J4147), "")</f>
        <v>0</v>
      </c>
    </row>
    <row r="4148" spans="2:2">
      <c r="B4148" s="21">
        <f>IF(AND(C4148&lt;&gt;"", J4148&lt;&gt;""), HYPERLINK("#'" &amp; C4148 &amp; "'!" &amp; J4148, J4148), "")</f>
        <v>0</v>
      </c>
    </row>
    <row r="4149" spans="2:2">
      <c r="B4149" s="21">
        <f>IF(AND(C4149&lt;&gt;"", J4149&lt;&gt;""), HYPERLINK("#'" &amp; C4149 &amp; "'!" &amp; J4149, J4149), "")</f>
        <v>0</v>
      </c>
    </row>
    <row r="4150" spans="2:2">
      <c r="B4150" s="21">
        <f>IF(AND(C4150&lt;&gt;"", J4150&lt;&gt;""), HYPERLINK("#'" &amp; C4150 &amp; "'!" &amp; J4150, J4150), "")</f>
        <v>0</v>
      </c>
    </row>
    <row r="4151" spans="2:2">
      <c r="B4151" s="21">
        <f>IF(AND(C4151&lt;&gt;"", J4151&lt;&gt;""), HYPERLINK("#'" &amp; C4151 &amp; "'!" &amp; J4151, J4151), "")</f>
        <v>0</v>
      </c>
    </row>
    <row r="4152" spans="2:2">
      <c r="B4152" s="21">
        <f>IF(AND(C4152&lt;&gt;"", J4152&lt;&gt;""), HYPERLINK("#'" &amp; C4152 &amp; "'!" &amp; J4152, J4152), "")</f>
        <v>0</v>
      </c>
    </row>
    <row r="4153" spans="2:2">
      <c r="B4153" s="21">
        <f>IF(AND(C4153&lt;&gt;"", J4153&lt;&gt;""), HYPERLINK("#'" &amp; C4153 &amp; "'!" &amp; J4153, J4153), "")</f>
        <v>0</v>
      </c>
    </row>
    <row r="4154" spans="2:2">
      <c r="B4154" s="21">
        <f>IF(AND(C4154&lt;&gt;"", J4154&lt;&gt;""), HYPERLINK("#'" &amp; C4154 &amp; "'!" &amp; J4154, J4154), "")</f>
        <v>0</v>
      </c>
    </row>
    <row r="4155" spans="2:2">
      <c r="B4155" s="21">
        <f>IF(AND(C4155&lt;&gt;"", J4155&lt;&gt;""), HYPERLINK("#'" &amp; C4155 &amp; "'!" &amp; J4155, J4155), "")</f>
        <v>0</v>
      </c>
    </row>
    <row r="4156" spans="2:2">
      <c r="B4156" s="21">
        <f>IF(AND(C4156&lt;&gt;"", J4156&lt;&gt;""), HYPERLINK("#'" &amp; C4156 &amp; "'!" &amp; J4156, J4156), "")</f>
        <v>0</v>
      </c>
    </row>
    <row r="4157" spans="2:2">
      <c r="B4157" s="21">
        <f>IF(AND(C4157&lt;&gt;"", J4157&lt;&gt;""), HYPERLINK("#'" &amp; C4157 &amp; "'!" &amp; J4157, J4157), "")</f>
        <v>0</v>
      </c>
    </row>
    <row r="4158" spans="2:2">
      <c r="B4158" s="21">
        <f>IF(AND(C4158&lt;&gt;"", J4158&lt;&gt;""), HYPERLINK("#'" &amp; C4158 &amp; "'!" &amp; J4158, J4158), "")</f>
        <v>0</v>
      </c>
    </row>
    <row r="4159" spans="2:2">
      <c r="B4159" s="21">
        <f>IF(AND(C4159&lt;&gt;"", J4159&lt;&gt;""), HYPERLINK("#'" &amp; C4159 &amp; "'!" &amp; J4159, J4159), "")</f>
        <v>0</v>
      </c>
    </row>
    <row r="4160" spans="2:2">
      <c r="B4160" s="21">
        <f>IF(AND(C4160&lt;&gt;"", J4160&lt;&gt;""), HYPERLINK("#'" &amp; C4160 &amp; "'!" &amp; J4160, J4160), "")</f>
        <v>0</v>
      </c>
    </row>
    <row r="4161" spans="2:2">
      <c r="B4161" s="21">
        <f>IF(AND(C4161&lt;&gt;"", J4161&lt;&gt;""), HYPERLINK("#'" &amp; C4161 &amp; "'!" &amp; J4161, J4161), "")</f>
        <v>0</v>
      </c>
    </row>
    <row r="4162" spans="2:2">
      <c r="B4162" s="21">
        <f>IF(AND(C4162&lt;&gt;"", J4162&lt;&gt;""), HYPERLINK("#'" &amp; C4162 &amp; "'!" &amp; J4162, J4162), "")</f>
        <v>0</v>
      </c>
    </row>
    <row r="4163" spans="2:2">
      <c r="B4163" s="21">
        <f>IF(AND(C4163&lt;&gt;"", J4163&lt;&gt;""), HYPERLINK("#'" &amp; C4163 &amp; "'!" &amp; J4163, J4163), "")</f>
        <v>0</v>
      </c>
    </row>
    <row r="4164" spans="2:2">
      <c r="B4164" s="21">
        <f>IF(AND(C4164&lt;&gt;"", J4164&lt;&gt;""), HYPERLINK("#'" &amp; C4164 &amp; "'!" &amp; J4164, J4164), "")</f>
        <v>0</v>
      </c>
    </row>
    <row r="4165" spans="2:2">
      <c r="B4165" s="21">
        <f>IF(AND(C4165&lt;&gt;"", J4165&lt;&gt;""), HYPERLINK("#'" &amp; C4165 &amp; "'!" &amp; J4165, J4165), "")</f>
        <v>0</v>
      </c>
    </row>
    <row r="4166" spans="2:2">
      <c r="B4166" s="21">
        <f>IF(AND(C4166&lt;&gt;"", J4166&lt;&gt;""), HYPERLINK("#'" &amp; C4166 &amp; "'!" &amp; J4166, J4166), "")</f>
        <v>0</v>
      </c>
    </row>
    <row r="4167" spans="2:2">
      <c r="B4167" s="21">
        <f>IF(AND(C4167&lt;&gt;"", J4167&lt;&gt;""), HYPERLINK("#'" &amp; C4167 &amp; "'!" &amp; J4167, J4167), "")</f>
        <v>0</v>
      </c>
    </row>
    <row r="4168" spans="2:2">
      <c r="B4168" s="21">
        <f>IF(AND(C4168&lt;&gt;"", J4168&lt;&gt;""), HYPERLINK("#'" &amp; C4168 &amp; "'!" &amp; J4168, J4168), "")</f>
        <v>0</v>
      </c>
    </row>
    <row r="4169" spans="2:2">
      <c r="B4169" s="21">
        <f>IF(AND(C4169&lt;&gt;"", J4169&lt;&gt;""), HYPERLINK("#'" &amp; C4169 &amp; "'!" &amp; J4169, J4169), "")</f>
        <v>0</v>
      </c>
    </row>
    <row r="4170" spans="2:2">
      <c r="B4170" s="21">
        <f>IF(AND(C4170&lt;&gt;"", J4170&lt;&gt;""), HYPERLINK("#'" &amp; C4170 &amp; "'!" &amp; J4170, J4170), "")</f>
        <v>0</v>
      </c>
    </row>
    <row r="4171" spans="2:2">
      <c r="B4171" s="21">
        <f>IF(AND(C4171&lt;&gt;"", J4171&lt;&gt;""), HYPERLINK("#'" &amp; C4171 &amp; "'!" &amp; J4171, J4171), "")</f>
        <v>0</v>
      </c>
    </row>
    <row r="4172" spans="2:2">
      <c r="B4172" s="21">
        <f>IF(AND(C4172&lt;&gt;"", J4172&lt;&gt;""), HYPERLINK("#'" &amp; C4172 &amp; "'!" &amp; J4172, J4172), "")</f>
        <v>0</v>
      </c>
    </row>
    <row r="4173" spans="2:2">
      <c r="B4173" s="21">
        <f>IF(AND(C4173&lt;&gt;"", J4173&lt;&gt;""), HYPERLINK("#'" &amp; C4173 &amp; "'!" &amp; J4173, J4173), "")</f>
        <v>0</v>
      </c>
    </row>
    <row r="4174" spans="2:2">
      <c r="B4174" s="21">
        <f>IF(AND(C4174&lt;&gt;"", J4174&lt;&gt;""), HYPERLINK("#'" &amp; C4174 &amp; "'!" &amp; J4174, J4174), "")</f>
        <v>0</v>
      </c>
    </row>
    <row r="4175" spans="2:2">
      <c r="B4175" s="21">
        <f>IF(AND(C4175&lt;&gt;"", J4175&lt;&gt;""), HYPERLINK("#'" &amp; C4175 &amp; "'!" &amp; J4175, J4175), "")</f>
        <v>0</v>
      </c>
    </row>
    <row r="4176" spans="2:2">
      <c r="B4176" s="21">
        <f>IF(AND(C4176&lt;&gt;"", J4176&lt;&gt;""), HYPERLINK("#'" &amp; C4176 &amp; "'!" &amp; J4176, J4176), "")</f>
        <v>0</v>
      </c>
    </row>
    <row r="4177" spans="2:2">
      <c r="B4177" s="21">
        <f>IF(AND(C4177&lt;&gt;"", J4177&lt;&gt;""), HYPERLINK("#'" &amp; C4177 &amp; "'!" &amp; J4177, J4177), "")</f>
        <v>0</v>
      </c>
    </row>
    <row r="4178" spans="2:2">
      <c r="B4178" s="21">
        <f>IF(AND(C4178&lt;&gt;"", J4178&lt;&gt;""), HYPERLINK("#'" &amp; C4178 &amp; "'!" &amp; J4178, J4178), "")</f>
        <v>0</v>
      </c>
    </row>
    <row r="4179" spans="2:2">
      <c r="B4179" s="21">
        <f>IF(AND(C4179&lt;&gt;"", J4179&lt;&gt;""), HYPERLINK("#'" &amp; C4179 &amp; "'!" &amp; J4179, J4179), "")</f>
        <v>0</v>
      </c>
    </row>
    <row r="4180" spans="2:2">
      <c r="B4180" s="21">
        <f>IF(AND(C4180&lt;&gt;"", J4180&lt;&gt;""), HYPERLINK("#'" &amp; C4180 &amp; "'!" &amp; J4180, J4180), "")</f>
        <v>0</v>
      </c>
    </row>
    <row r="4181" spans="2:2">
      <c r="B4181" s="21">
        <f>IF(AND(C4181&lt;&gt;"", J4181&lt;&gt;""), HYPERLINK("#'" &amp; C4181 &amp; "'!" &amp; J4181, J4181), "")</f>
        <v>0</v>
      </c>
    </row>
    <row r="4182" spans="2:2">
      <c r="B4182" s="21">
        <f>IF(AND(C4182&lt;&gt;"", J4182&lt;&gt;""), HYPERLINK("#'" &amp; C4182 &amp; "'!" &amp; J4182, J4182), "")</f>
        <v>0</v>
      </c>
    </row>
    <row r="4183" spans="2:2">
      <c r="B4183" s="21">
        <f>IF(AND(C4183&lt;&gt;"", J4183&lt;&gt;""), HYPERLINK("#'" &amp; C4183 &amp; "'!" &amp; J4183, J4183), "")</f>
        <v>0</v>
      </c>
    </row>
    <row r="4184" spans="2:2">
      <c r="B4184" s="21">
        <f>IF(AND(C4184&lt;&gt;"", J4184&lt;&gt;""), HYPERLINK("#'" &amp; C4184 &amp; "'!" &amp; J4184, J4184), "")</f>
        <v>0</v>
      </c>
    </row>
    <row r="4185" spans="2:2">
      <c r="B4185" s="21">
        <f>IF(AND(C4185&lt;&gt;"", J4185&lt;&gt;""), HYPERLINK("#'" &amp; C4185 &amp; "'!" &amp; J4185, J4185), "")</f>
        <v>0</v>
      </c>
    </row>
    <row r="4186" spans="2:2">
      <c r="B4186" s="21">
        <f>IF(AND(C4186&lt;&gt;"", J4186&lt;&gt;""), HYPERLINK("#'" &amp; C4186 &amp; "'!" &amp; J4186, J4186), "")</f>
        <v>0</v>
      </c>
    </row>
    <row r="4187" spans="2:2">
      <c r="B4187" s="21">
        <f>IF(AND(C4187&lt;&gt;"", J4187&lt;&gt;""), HYPERLINK("#'" &amp; C4187 &amp; "'!" &amp; J4187, J4187), "")</f>
        <v>0</v>
      </c>
    </row>
    <row r="4188" spans="2:2">
      <c r="B4188" s="21">
        <f>IF(AND(C4188&lt;&gt;"", J4188&lt;&gt;""), HYPERLINK("#'" &amp; C4188 &amp; "'!" &amp; J4188, J4188), "")</f>
        <v>0</v>
      </c>
    </row>
    <row r="4189" spans="2:2">
      <c r="B4189" s="21">
        <f>IF(AND(C4189&lt;&gt;"", J4189&lt;&gt;""), HYPERLINK("#'" &amp; C4189 &amp; "'!" &amp; J4189, J4189), "")</f>
        <v>0</v>
      </c>
    </row>
    <row r="4190" spans="2:2">
      <c r="B4190" s="21">
        <f>IF(AND(C4190&lt;&gt;"", J4190&lt;&gt;""), HYPERLINK("#'" &amp; C4190 &amp; "'!" &amp; J4190, J4190), "")</f>
        <v>0</v>
      </c>
    </row>
    <row r="4191" spans="2:2">
      <c r="B4191" s="21">
        <f>IF(AND(C4191&lt;&gt;"", J4191&lt;&gt;""), HYPERLINK("#'" &amp; C4191 &amp; "'!" &amp; J4191, J4191), "")</f>
        <v>0</v>
      </c>
    </row>
    <row r="4192" spans="2:2">
      <c r="B4192" s="21">
        <f>IF(AND(C4192&lt;&gt;"", J4192&lt;&gt;""), HYPERLINK("#'" &amp; C4192 &amp; "'!" &amp; J4192, J4192), "")</f>
        <v>0</v>
      </c>
    </row>
    <row r="4193" spans="2:2">
      <c r="B4193" s="21">
        <f>IF(AND(C4193&lt;&gt;"", J4193&lt;&gt;""), HYPERLINK("#'" &amp; C4193 &amp; "'!" &amp; J4193, J4193), "")</f>
        <v>0</v>
      </c>
    </row>
    <row r="4194" spans="2:2">
      <c r="B4194" s="21">
        <f>IF(AND(C4194&lt;&gt;"", J4194&lt;&gt;""), HYPERLINK("#'" &amp; C4194 &amp; "'!" &amp; J4194, J4194), "")</f>
        <v>0</v>
      </c>
    </row>
    <row r="4195" spans="2:2">
      <c r="B4195" s="21">
        <f>IF(AND(C4195&lt;&gt;"", J4195&lt;&gt;""), HYPERLINK("#'" &amp; C4195 &amp; "'!" &amp; J4195, J4195), "")</f>
        <v>0</v>
      </c>
    </row>
    <row r="4196" spans="2:2">
      <c r="B4196" s="21">
        <f>IF(AND(C4196&lt;&gt;"", J4196&lt;&gt;""), HYPERLINK("#'" &amp; C4196 &amp; "'!" &amp; J4196, J4196), "")</f>
        <v>0</v>
      </c>
    </row>
    <row r="4197" spans="2:2">
      <c r="B4197" s="21">
        <f>IF(AND(C4197&lt;&gt;"", J4197&lt;&gt;""), HYPERLINK("#'" &amp; C4197 &amp; "'!" &amp; J4197, J4197), "")</f>
        <v>0</v>
      </c>
    </row>
    <row r="4198" spans="2:2">
      <c r="B4198" s="21">
        <f>IF(AND(C4198&lt;&gt;"", J4198&lt;&gt;""), HYPERLINK("#'" &amp; C4198 &amp; "'!" &amp; J4198, J4198), "")</f>
        <v>0</v>
      </c>
    </row>
    <row r="4199" spans="2:2">
      <c r="B4199" s="21">
        <f>IF(AND(C4199&lt;&gt;"", J4199&lt;&gt;""), HYPERLINK("#'" &amp; C4199 &amp; "'!" &amp; J4199, J4199), "")</f>
        <v>0</v>
      </c>
    </row>
    <row r="4200" spans="2:2">
      <c r="B4200" s="21">
        <f>IF(AND(C4200&lt;&gt;"", J4200&lt;&gt;""), HYPERLINK("#'" &amp; C4200 &amp; "'!" &amp; J4200, J4200), "")</f>
        <v>0</v>
      </c>
    </row>
    <row r="4201" spans="2:2">
      <c r="B4201" s="21">
        <f>IF(AND(C4201&lt;&gt;"", J4201&lt;&gt;""), HYPERLINK("#'" &amp; C4201 &amp; "'!" &amp; J4201, J4201), "")</f>
        <v>0</v>
      </c>
    </row>
    <row r="4202" spans="2:2">
      <c r="B4202" s="21">
        <f>IF(AND(C4202&lt;&gt;"", J4202&lt;&gt;""), HYPERLINK("#'" &amp; C4202 &amp; "'!" &amp; J4202, J4202), "")</f>
        <v>0</v>
      </c>
    </row>
    <row r="4203" spans="2:2">
      <c r="B4203" s="21">
        <f>IF(AND(C4203&lt;&gt;"", J4203&lt;&gt;""), HYPERLINK("#'" &amp; C4203 &amp; "'!" &amp; J4203, J4203), "")</f>
        <v>0</v>
      </c>
    </row>
    <row r="4204" spans="2:2">
      <c r="B4204" s="21">
        <f>IF(AND(C4204&lt;&gt;"", J4204&lt;&gt;""), HYPERLINK("#'" &amp; C4204 &amp; "'!" &amp; J4204, J4204), "")</f>
        <v>0</v>
      </c>
    </row>
    <row r="4205" spans="2:2">
      <c r="B4205" s="21">
        <f>IF(AND(C4205&lt;&gt;"", J4205&lt;&gt;""), HYPERLINK("#'" &amp; C4205 &amp; "'!" &amp; J4205, J4205), "")</f>
        <v>0</v>
      </c>
    </row>
    <row r="4206" spans="2:2">
      <c r="B4206" s="21">
        <f>IF(AND(C4206&lt;&gt;"", J4206&lt;&gt;""), HYPERLINK("#'" &amp; C4206 &amp; "'!" &amp; J4206, J4206), "")</f>
        <v>0</v>
      </c>
    </row>
    <row r="4207" spans="2:2">
      <c r="B4207" s="21">
        <f>IF(AND(C4207&lt;&gt;"", J4207&lt;&gt;""), HYPERLINK("#'" &amp; C4207 &amp; "'!" &amp; J4207, J4207), "")</f>
        <v>0</v>
      </c>
    </row>
    <row r="4208" spans="2:2">
      <c r="B4208" s="21">
        <f>IF(AND(C4208&lt;&gt;"", J4208&lt;&gt;""), HYPERLINK("#'" &amp; C4208 &amp; "'!" &amp; J4208, J4208), "")</f>
        <v>0</v>
      </c>
    </row>
    <row r="4209" spans="2:2">
      <c r="B4209" s="21">
        <f>IF(AND(C4209&lt;&gt;"", J4209&lt;&gt;""), HYPERLINK("#'" &amp; C4209 &amp; "'!" &amp; J4209, J4209), "")</f>
        <v>0</v>
      </c>
    </row>
    <row r="4210" spans="2:2">
      <c r="B4210" s="21">
        <f>IF(AND(C4210&lt;&gt;"", J4210&lt;&gt;""), HYPERLINK("#'" &amp; C4210 &amp; "'!" &amp; J4210, J4210), "")</f>
        <v>0</v>
      </c>
    </row>
    <row r="4211" spans="2:2">
      <c r="B4211" s="21">
        <f>IF(AND(C4211&lt;&gt;"", J4211&lt;&gt;""), HYPERLINK("#'" &amp; C4211 &amp; "'!" &amp; J4211, J4211), "")</f>
        <v>0</v>
      </c>
    </row>
    <row r="4212" spans="2:2">
      <c r="B4212" s="21">
        <f>IF(AND(C4212&lt;&gt;"", J4212&lt;&gt;""), HYPERLINK("#'" &amp; C4212 &amp; "'!" &amp; J4212, J4212), "")</f>
        <v>0</v>
      </c>
    </row>
    <row r="4213" spans="2:2">
      <c r="B4213" s="21">
        <f>IF(AND(C4213&lt;&gt;"", J4213&lt;&gt;""), HYPERLINK("#'" &amp; C4213 &amp; "'!" &amp; J4213, J4213), "")</f>
        <v>0</v>
      </c>
    </row>
    <row r="4214" spans="2:2">
      <c r="B4214" s="21">
        <f>IF(AND(C4214&lt;&gt;"", J4214&lt;&gt;""), HYPERLINK("#'" &amp; C4214 &amp; "'!" &amp; J4214, J4214), "")</f>
        <v>0</v>
      </c>
    </row>
    <row r="4215" spans="2:2">
      <c r="B4215" s="21">
        <f>IF(AND(C4215&lt;&gt;"", J4215&lt;&gt;""), HYPERLINK("#'" &amp; C4215 &amp; "'!" &amp; J4215, J4215), "")</f>
        <v>0</v>
      </c>
    </row>
    <row r="4216" spans="2:2">
      <c r="B4216" s="21">
        <f>IF(AND(C4216&lt;&gt;"", J4216&lt;&gt;""), HYPERLINK("#'" &amp; C4216 &amp; "'!" &amp; J4216, J4216), "")</f>
        <v>0</v>
      </c>
    </row>
    <row r="4217" spans="2:2">
      <c r="B4217" s="21">
        <f>IF(AND(C4217&lt;&gt;"", J4217&lt;&gt;""), HYPERLINK("#'" &amp; C4217 &amp; "'!" &amp; J4217, J4217), "")</f>
        <v>0</v>
      </c>
    </row>
    <row r="4218" spans="2:2">
      <c r="B4218" s="21">
        <f>IF(AND(C4218&lt;&gt;"", J4218&lt;&gt;""), HYPERLINK("#'" &amp; C4218 &amp; "'!" &amp; J4218, J4218), "")</f>
        <v>0</v>
      </c>
    </row>
    <row r="4219" spans="2:2">
      <c r="B4219" s="21">
        <f>IF(AND(C4219&lt;&gt;"", J4219&lt;&gt;""), HYPERLINK("#'" &amp; C4219 &amp; "'!" &amp; J4219, J4219), "")</f>
        <v>0</v>
      </c>
    </row>
    <row r="4220" spans="2:2">
      <c r="B4220" s="21">
        <f>IF(AND(C4220&lt;&gt;"", J4220&lt;&gt;""), HYPERLINK("#'" &amp; C4220 &amp; "'!" &amp; J4220, J4220), "")</f>
        <v>0</v>
      </c>
    </row>
    <row r="4221" spans="2:2">
      <c r="B4221" s="21">
        <f>IF(AND(C4221&lt;&gt;"", J4221&lt;&gt;""), HYPERLINK("#'" &amp; C4221 &amp; "'!" &amp; J4221, J4221), "")</f>
        <v>0</v>
      </c>
    </row>
    <row r="4222" spans="2:2">
      <c r="B4222" s="21">
        <f>IF(AND(C4222&lt;&gt;"", J4222&lt;&gt;""), HYPERLINK("#'" &amp; C4222 &amp; "'!" &amp; J4222, J4222), "")</f>
        <v>0</v>
      </c>
    </row>
    <row r="4223" spans="2:2">
      <c r="B4223" s="21">
        <f>IF(AND(C4223&lt;&gt;"", J4223&lt;&gt;""), HYPERLINK("#'" &amp; C4223 &amp; "'!" &amp; J4223, J4223), "")</f>
        <v>0</v>
      </c>
    </row>
    <row r="4224" spans="2:2">
      <c r="B4224" s="21">
        <f>IF(AND(C4224&lt;&gt;"", J4224&lt;&gt;""), HYPERLINK("#'" &amp; C4224 &amp; "'!" &amp; J4224, J4224), "")</f>
        <v>0</v>
      </c>
    </row>
    <row r="4225" spans="2:2">
      <c r="B4225" s="21">
        <f>IF(AND(C4225&lt;&gt;"", J4225&lt;&gt;""), HYPERLINK("#'" &amp; C4225 &amp; "'!" &amp; J4225, J4225), "")</f>
        <v>0</v>
      </c>
    </row>
    <row r="4226" spans="2:2">
      <c r="B4226" s="21">
        <f>IF(AND(C4226&lt;&gt;"", J4226&lt;&gt;""), HYPERLINK("#'" &amp; C4226 &amp; "'!" &amp; J4226, J4226), "")</f>
        <v>0</v>
      </c>
    </row>
    <row r="4227" spans="2:2">
      <c r="B4227" s="21">
        <f>IF(AND(C4227&lt;&gt;"", J4227&lt;&gt;""), HYPERLINK("#'" &amp; C4227 &amp; "'!" &amp; J4227, J4227), "")</f>
        <v>0</v>
      </c>
    </row>
    <row r="4228" spans="2:2">
      <c r="B4228" s="21">
        <f>IF(AND(C4228&lt;&gt;"", J4228&lt;&gt;""), HYPERLINK("#'" &amp; C4228 &amp; "'!" &amp; J4228, J4228), "")</f>
        <v>0</v>
      </c>
    </row>
    <row r="4229" spans="2:2">
      <c r="B4229" s="21">
        <f>IF(AND(C4229&lt;&gt;"", J4229&lt;&gt;""), HYPERLINK("#'" &amp; C4229 &amp; "'!" &amp; J4229, J4229), "")</f>
        <v>0</v>
      </c>
    </row>
    <row r="4230" spans="2:2">
      <c r="B4230" s="21">
        <f>IF(AND(C4230&lt;&gt;"", J4230&lt;&gt;""), HYPERLINK("#'" &amp; C4230 &amp; "'!" &amp; J4230, J4230), "")</f>
        <v>0</v>
      </c>
    </row>
    <row r="4231" spans="2:2">
      <c r="B4231" s="21">
        <f>IF(AND(C4231&lt;&gt;"", J4231&lt;&gt;""), HYPERLINK("#'" &amp; C4231 &amp; "'!" &amp; J4231, J4231), "")</f>
        <v>0</v>
      </c>
    </row>
    <row r="4232" spans="2:2">
      <c r="B4232" s="21">
        <f>IF(AND(C4232&lt;&gt;"", J4232&lt;&gt;""), HYPERLINK("#'" &amp; C4232 &amp; "'!" &amp; J4232, J4232), "")</f>
        <v>0</v>
      </c>
    </row>
    <row r="4233" spans="2:2">
      <c r="B4233" s="21">
        <f>IF(AND(C4233&lt;&gt;"", J4233&lt;&gt;""), HYPERLINK("#'" &amp; C4233 &amp; "'!" &amp; J4233, J4233), "")</f>
        <v>0</v>
      </c>
    </row>
    <row r="4234" spans="2:2">
      <c r="B4234" s="21">
        <f>IF(AND(C4234&lt;&gt;"", J4234&lt;&gt;""), HYPERLINK("#'" &amp; C4234 &amp; "'!" &amp; J4234, J4234), "")</f>
        <v>0</v>
      </c>
    </row>
    <row r="4235" spans="2:2">
      <c r="B4235" s="21">
        <f>IF(AND(C4235&lt;&gt;"", J4235&lt;&gt;""), HYPERLINK("#'" &amp; C4235 &amp; "'!" &amp; J4235, J4235), "")</f>
        <v>0</v>
      </c>
    </row>
    <row r="4236" spans="2:2">
      <c r="B4236" s="21">
        <f>IF(AND(C4236&lt;&gt;"", J4236&lt;&gt;""), HYPERLINK("#'" &amp; C4236 &amp; "'!" &amp; J4236, J4236), "")</f>
        <v>0</v>
      </c>
    </row>
    <row r="4237" spans="2:2">
      <c r="B4237" s="21">
        <f>IF(AND(C4237&lt;&gt;"", J4237&lt;&gt;""), HYPERLINK("#'" &amp; C4237 &amp; "'!" &amp; J4237, J4237), "")</f>
        <v>0</v>
      </c>
    </row>
    <row r="4238" spans="2:2">
      <c r="B4238" s="21">
        <f>IF(AND(C4238&lt;&gt;"", J4238&lt;&gt;""), HYPERLINK("#'" &amp; C4238 &amp; "'!" &amp; J4238, J4238), "")</f>
        <v>0</v>
      </c>
    </row>
    <row r="4239" spans="2:2">
      <c r="B4239" s="21">
        <f>IF(AND(C4239&lt;&gt;"", J4239&lt;&gt;""), HYPERLINK("#'" &amp; C4239 &amp; "'!" &amp; J4239, J4239), "")</f>
        <v>0</v>
      </c>
    </row>
    <row r="4240" spans="2:2">
      <c r="B4240" s="21">
        <f>IF(AND(C4240&lt;&gt;"", J4240&lt;&gt;""), HYPERLINK("#'" &amp; C4240 &amp; "'!" &amp; J4240, J4240), "")</f>
        <v>0</v>
      </c>
    </row>
    <row r="4241" spans="2:2">
      <c r="B4241" s="21">
        <f>IF(AND(C4241&lt;&gt;"", J4241&lt;&gt;""), HYPERLINK("#'" &amp; C4241 &amp; "'!" &amp; J4241, J4241), "")</f>
        <v>0</v>
      </c>
    </row>
    <row r="4242" spans="2:2">
      <c r="B4242" s="21">
        <f>IF(AND(C4242&lt;&gt;"", J4242&lt;&gt;""), HYPERLINK("#'" &amp; C4242 &amp; "'!" &amp; J4242, J4242), "")</f>
        <v>0</v>
      </c>
    </row>
    <row r="4243" spans="2:2">
      <c r="B4243" s="21">
        <f>IF(AND(C4243&lt;&gt;"", J4243&lt;&gt;""), HYPERLINK("#'" &amp; C4243 &amp; "'!" &amp; J4243, J4243), "")</f>
        <v>0</v>
      </c>
    </row>
    <row r="4244" spans="2:2">
      <c r="B4244" s="21">
        <f>IF(AND(C4244&lt;&gt;"", J4244&lt;&gt;""), HYPERLINK("#'" &amp; C4244 &amp; "'!" &amp; J4244, J4244), "")</f>
        <v>0</v>
      </c>
    </row>
    <row r="4245" spans="2:2">
      <c r="B4245" s="21">
        <f>IF(AND(C4245&lt;&gt;"", J4245&lt;&gt;""), HYPERLINK("#'" &amp; C4245 &amp; "'!" &amp; J4245, J4245), "")</f>
        <v>0</v>
      </c>
    </row>
    <row r="4246" spans="2:2">
      <c r="B4246" s="21">
        <f>IF(AND(C4246&lt;&gt;"", J4246&lt;&gt;""), HYPERLINK("#'" &amp; C4246 &amp; "'!" &amp; J4246, J4246), "")</f>
        <v>0</v>
      </c>
    </row>
    <row r="4247" spans="2:2">
      <c r="B4247" s="21">
        <f>IF(AND(C4247&lt;&gt;"", J4247&lt;&gt;""), HYPERLINK("#'" &amp; C4247 &amp; "'!" &amp; J4247, J4247), "")</f>
        <v>0</v>
      </c>
    </row>
    <row r="4248" spans="2:2">
      <c r="B4248" s="21">
        <f>IF(AND(C4248&lt;&gt;"", J4248&lt;&gt;""), HYPERLINK("#'" &amp; C4248 &amp; "'!" &amp; J4248, J4248), "")</f>
        <v>0</v>
      </c>
    </row>
    <row r="4249" spans="2:2">
      <c r="B4249" s="21">
        <f>IF(AND(C4249&lt;&gt;"", J4249&lt;&gt;""), HYPERLINK("#'" &amp; C4249 &amp; "'!" &amp; J4249, J4249), "")</f>
        <v>0</v>
      </c>
    </row>
    <row r="4250" spans="2:2">
      <c r="B4250" s="21">
        <f>IF(AND(C4250&lt;&gt;"", J4250&lt;&gt;""), HYPERLINK("#'" &amp; C4250 &amp; "'!" &amp; J4250, J4250), "")</f>
        <v>0</v>
      </c>
    </row>
    <row r="4251" spans="2:2">
      <c r="B4251" s="21">
        <f>IF(AND(C4251&lt;&gt;"", J4251&lt;&gt;""), HYPERLINK("#'" &amp; C4251 &amp; "'!" &amp; J4251, J4251), "")</f>
        <v>0</v>
      </c>
    </row>
    <row r="4252" spans="2:2">
      <c r="B4252" s="21">
        <f>IF(AND(C4252&lt;&gt;"", J4252&lt;&gt;""), HYPERLINK("#'" &amp; C4252 &amp; "'!" &amp; J4252, J4252), "")</f>
        <v>0</v>
      </c>
    </row>
    <row r="4253" spans="2:2">
      <c r="B4253" s="21">
        <f>IF(AND(C4253&lt;&gt;"", J4253&lt;&gt;""), HYPERLINK("#'" &amp; C4253 &amp; "'!" &amp; J4253, J4253), "")</f>
        <v>0</v>
      </c>
    </row>
    <row r="4254" spans="2:2">
      <c r="B4254" s="21">
        <f>IF(AND(C4254&lt;&gt;"", J4254&lt;&gt;""), HYPERLINK("#'" &amp; C4254 &amp; "'!" &amp; J4254, J4254), "")</f>
        <v>0</v>
      </c>
    </row>
    <row r="4255" spans="2:2">
      <c r="B4255" s="21">
        <f>IF(AND(C4255&lt;&gt;"", J4255&lt;&gt;""), HYPERLINK("#'" &amp; C4255 &amp; "'!" &amp; J4255, J4255), "")</f>
        <v>0</v>
      </c>
    </row>
    <row r="4256" spans="2:2">
      <c r="B4256" s="21">
        <f>IF(AND(C4256&lt;&gt;"", J4256&lt;&gt;""), HYPERLINK("#'" &amp; C4256 &amp; "'!" &amp; J4256, J4256), "")</f>
        <v>0</v>
      </c>
    </row>
    <row r="4257" spans="2:2">
      <c r="B4257" s="21">
        <f>IF(AND(C4257&lt;&gt;"", J4257&lt;&gt;""), HYPERLINK("#'" &amp; C4257 &amp; "'!" &amp; J4257, J4257), "")</f>
        <v>0</v>
      </c>
    </row>
    <row r="4258" spans="2:2">
      <c r="B4258" s="21">
        <f>IF(AND(C4258&lt;&gt;"", J4258&lt;&gt;""), HYPERLINK("#'" &amp; C4258 &amp; "'!" &amp; J4258, J4258), "")</f>
        <v>0</v>
      </c>
    </row>
    <row r="4259" spans="2:2">
      <c r="B4259" s="21">
        <f>IF(AND(C4259&lt;&gt;"", J4259&lt;&gt;""), HYPERLINK("#'" &amp; C4259 &amp; "'!" &amp; J4259, J4259), "")</f>
        <v>0</v>
      </c>
    </row>
    <row r="4260" spans="2:2">
      <c r="B4260" s="21">
        <f>IF(AND(C4260&lt;&gt;"", J4260&lt;&gt;""), HYPERLINK("#'" &amp; C4260 &amp; "'!" &amp; J4260, J4260), "")</f>
        <v>0</v>
      </c>
    </row>
    <row r="4261" spans="2:2">
      <c r="B4261" s="21">
        <f>IF(AND(C4261&lt;&gt;"", J4261&lt;&gt;""), HYPERLINK("#'" &amp; C4261 &amp; "'!" &amp; J4261, J4261), "")</f>
        <v>0</v>
      </c>
    </row>
    <row r="4262" spans="2:2">
      <c r="B4262" s="21">
        <f>IF(AND(C4262&lt;&gt;"", J4262&lt;&gt;""), HYPERLINK("#'" &amp; C4262 &amp; "'!" &amp; J4262, J4262), "")</f>
        <v>0</v>
      </c>
    </row>
    <row r="4263" spans="2:2">
      <c r="B4263" s="21">
        <f>IF(AND(C4263&lt;&gt;"", J4263&lt;&gt;""), HYPERLINK("#'" &amp; C4263 &amp; "'!" &amp; J4263, J4263), "")</f>
        <v>0</v>
      </c>
    </row>
    <row r="4264" spans="2:2">
      <c r="B4264" s="21">
        <f>IF(AND(C4264&lt;&gt;"", J4264&lt;&gt;""), HYPERLINK("#'" &amp; C4264 &amp; "'!" &amp; J4264, J4264), "")</f>
        <v>0</v>
      </c>
    </row>
    <row r="4265" spans="2:2">
      <c r="B4265" s="21">
        <f>IF(AND(C4265&lt;&gt;"", J4265&lt;&gt;""), HYPERLINK("#'" &amp; C4265 &amp; "'!" &amp; J4265, J4265), "")</f>
        <v>0</v>
      </c>
    </row>
    <row r="4266" spans="2:2">
      <c r="B4266" s="21">
        <f>IF(AND(C4266&lt;&gt;"", J4266&lt;&gt;""), HYPERLINK("#'" &amp; C4266 &amp; "'!" &amp; J4266, J4266), "")</f>
        <v>0</v>
      </c>
    </row>
    <row r="4267" spans="2:2">
      <c r="B4267" s="21">
        <f>IF(AND(C4267&lt;&gt;"", J4267&lt;&gt;""), HYPERLINK("#'" &amp; C4267 &amp; "'!" &amp; J4267, J4267), "")</f>
        <v>0</v>
      </c>
    </row>
    <row r="4268" spans="2:2">
      <c r="B4268" s="21">
        <f>IF(AND(C4268&lt;&gt;"", J4268&lt;&gt;""), HYPERLINK("#'" &amp; C4268 &amp; "'!" &amp; J4268, J4268), "")</f>
        <v>0</v>
      </c>
    </row>
    <row r="4269" spans="2:2">
      <c r="B4269" s="21">
        <f>IF(AND(C4269&lt;&gt;"", J4269&lt;&gt;""), HYPERLINK("#'" &amp; C4269 &amp; "'!" &amp; J4269, J4269), "")</f>
        <v>0</v>
      </c>
    </row>
    <row r="4270" spans="2:2">
      <c r="B4270" s="21">
        <f>IF(AND(C4270&lt;&gt;"", J4270&lt;&gt;""), HYPERLINK("#'" &amp; C4270 &amp; "'!" &amp; J4270, J4270), "")</f>
        <v>0</v>
      </c>
    </row>
    <row r="4271" spans="2:2">
      <c r="B4271" s="21">
        <f>IF(AND(C4271&lt;&gt;"", J4271&lt;&gt;""), HYPERLINK("#'" &amp; C4271 &amp; "'!" &amp; J4271, J4271), "")</f>
        <v>0</v>
      </c>
    </row>
    <row r="4272" spans="2:2">
      <c r="B4272" s="21">
        <f>IF(AND(C4272&lt;&gt;"", J4272&lt;&gt;""), HYPERLINK("#'" &amp; C4272 &amp; "'!" &amp; J4272, J4272), "")</f>
        <v>0</v>
      </c>
    </row>
    <row r="4273" spans="2:2">
      <c r="B4273" s="21">
        <f>IF(AND(C4273&lt;&gt;"", J4273&lt;&gt;""), HYPERLINK("#'" &amp; C4273 &amp; "'!" &amp; J4273, J4273), "")</f>
        <v>0</v>
      </c>
    </row>
    <row r="4274" spans="2:2">
      <c r="B4274" s="21">
        <f>IF(AND(C4274&lt;&gt;"", J4274&lt;&gt;""), HYPERLINK("#'" &amp; C4274 &amp; "'!" &amp; J4274, J4274), "")</f>
        <v>0</v>
      </c>
    </row>
    <row r="4275" spans="2:2">
      <c r="B4275" s="21">
        <f>IF(AND(C4275&lt;&gt;"", J4275&lt;&gt;""), HYPERLINK("#'" &amp; C4275 &amp; "'!" &amp; J4275, J4275), "")</f>
        <v>0</v>
      </c>
    </row>
    <row r="4276" spans="2:2">
      <c r="B4276" s="21">
        <f>IF(AND(C4276&lt;&gt;"", J4276&lt;&gt;""), HYPERLINK("#'" &amp; C4276 &amp; "'!" &amp; J4276, J4276), "")</f>
        <v>0</v>
      </c>
    </row>
    <row r="4277" spans="2:2">
      <c r="B4277" s="21">
        <f>IF(AND(C4277&lt;&gt;"", J4277&lt;&gt;""), HYPERLINK("#'" &amp; C4277 &amp; "'!" &amp; J4277, J4277), "")</f>
        <v>0</v>
      </c>
    </row>
    <row r="4278" spans="2:2">
      <c r="B4278" s="21">
        <f>IF(AND(C4278&lt;&gt;"", J4278&lt;&gt;""), HYPERLINK("#'" &amp; C4278 &amp; "'!" &amp; J4278, J4278), "")</f>
        <v>0</v>
      </c>
    </row>
    <row r="4279" spans="2:2">
      <c r="B4279" s="21">
        <f>IF(AND(C4279&lt;&gt;"", J4279&lt;&gt;""), HYPERLINK("#'" &amp; C4279 &amp; "'!" &amp; J4279, J4279), "")</f>
        <v>0</v>
      </c>
    </row>
    <row r="4280" spans="2:2">
      <c r="B4280" s="21">
        <f>IF(AND(C4280&lt;&gt;"", J4280&lt;&gt;""), HYPERLINK("#'" &amp; C4280 &amp; "'!" &amp; J4280, J4280), "")</f>
        <v>0</v>
      </c>
    </row>
    <row r="4281" spans="2:2">
      <c r="B4281" s="21">
        <f>IF(AND(C4281&lt;&gt;"", J4281&lt;&gt;""), HYPERLINK("#'" &amp; C4281 &amp; "'!" &amp; J4281, J4281), "")</f>
        <v>0</v>
      </c>
    </row>
    <row r="4282" spans="2:2">
      <c r="B4282" s="21">
        <f>IF(AND(C4282&lt;&gt;"", J4282&lt;&gt;""), HYPERLINK("#'" &amp; C4282 &amp; "'!" &amp; J4282, J4282), "")</f>
        <v>0</v>
      </c>
    </row>
    <row r="4283" spans="2:2">
      <c r="B4283" s="21">
        <f>IF(AND(C4283&lt;&gt;"", J4283&lt;&gt;""), HYPERLINK("#'" &amp; C4283 &amp; "'!" &amp; J4283, J4283), "")</f>
        <v>0</v>
      </c>
    </row>
    <row r="4284" spans="2:2">
      <c r="B4284" s="21">
        <f>IF(AND(C4284&lt;&gt;"", J4284&lt;&gt;""), HYPERLINK("#'" &amp; C4284 &amp; "'!" &amp; J4284, J4284), "")</f>
        <v>0</v>
      </c>
    </row>
    <row r="4285" spans="2:2">
      <c r="B4285" s="21">
        <f>IF(AND(C4285&lt;&gt;"", J4285&lt;&gt;""), HYPERLINK("#'" &amp; C4285 &amp; "'!" &amp; J4285, J4285), "")</f>
        <v>0</v>
      </c>
    </row>
    <row r="4286" spans="2:2">
      <c r="B4286" s="21">
        <f>IF(AND(C4286&lt;&gt;"", J4286&lt;&gt;""), HYPERLINK("#'" &amp; C4286 &amp; "'!" &amp; J4286, J4286), "")</f>
        <v>0</v>
      </c>
    </row>
    <row r="4287" spans="2:2">
      <c r="B4287" s="21">
        <f>IF(AND(C4287&lt;&gt;"", J4287&lt;&gt;""), HYPERLINK("#'" &amp; C4287 &amp; "'!" &amp; J4287, J4287), "")</f>
        <v>0</v>
      </c>
    </row>
    <row r="4288" spans="2:2">
      <c r="B4288" s="21">
        <f>IF(AND(C4288&lt;&gt;"", J4288&lt;&gt;""), HYPERLINK("#'" &amp; C4288 &amp; "'!" &amp; J4288, J4288), "")</f>
        <v>0</v>
      </c>
    </row>
    <row r="4289" spans="2:2">
      <c r="B4289" s="21">
        <f>IF(AND(C4289&lt;&gt;"", J4289&lt;&gt;""), HYPERLINK("#'" &amp; C4289 &amp; "'!" &amp; J4289, J4289), "")</f>
        <v>0</v>
      </c>
    </row>
    <row r="4290" spans="2:2">
      <c r="B4290" s="21">
        <f>IF(AND(C4290&lt;&gt;"", J4290&lt;&gt;""), HYPERLINK("#'" &amp; C4290 &amp; "'!" &amp; J4290, J4290), "")</f>
        <v>0</v>
      </c>
    </row>
    <row r="4291" spans="2:2">
      <c r="B4291" s="21">
        <f>IF(AND(C4291&lt;&gt;"", J4291&lt;&gt;""), HYPERLINK("#'" &amp; C4291 &amp; "'!" &amp; J4291, J4291), "")</f>
        <v>0</v>
      </c>
    </row>
    <row r="4292" spans="2:2">
      <c r="B4292" s="21">
        <f>IF(AND(C4292&lt;&gt;"", J4292&lt;&gt;""), HYPERLINK("#'" &amp; C4292 &amp; "'!" &amp; J4292, J4292), "")</f>
        <v>0</v>
      </c>
    </row>
    <row r="4293" spans="2:2">
      <c r="B4293" s="21">
        <f>IF(AND(C4293&lt;&gt;"", J4293&lt;&gt;""), HYPERLINK("#'" &amp; C4293 &amp; "'!" &amp; J4293, J4293), "")</f>
        <v>0</v>
      </c>
    </row>
    <row r="4294" spans="2:2">
      <c r="B4294" s="21">
        <f>IF(AND(C4294&lt;&gt;"", J4294&lt;&gt;""), HYPERLINK("#'" &amp; C4294 &amp; "'!" &amp; J4294, J4294), "")</f>
        <v>0</v>
      </c>
    </row>
    <row r="4295" spans="2:2">
      <c r="B4295" s="21">
        <f>IF(AND(C4295&lt;&gt;"", J4295&lt;&gt;""), HYPERLINK("#'" &amp; C4295 &amp; "'!" &amp; J4295, J4295), "")</f>
        <v>0</v>
      </c>
    </row>
    <row r="4296" spans="2:2">
      <c r="B4296" s="21">
        <f>IF(AND(C4296&lt;&gt;"", J4296&lt;&gt;""), HYPERLINK("#'" &amp; C4296 &amp; "'!" &amp; J4296, J4296), "")</f>
        <v>0</v>
      </c>
    </row>
    <row r="4297" spans="2:2">
      <c r="B4297" s="21">
        <f>IF(AND(C4297&lt;&gt;"", J4297&lt;&gt;""), HYPERLINK("#'" &amp; C4297 &amp; "'!" &amp; J4297, J4297), "")</f>
        <v>0</v>
      </c>
    </row>
    <row r="4298" spans="2:2">
      <c r="B4298" s="21">
        <f>IF(AND(C4298&lt;&gt;"", J4298&lt;&gt;""), HYPERLINK("#'" &amp; C4298 &amp; "'!" &amp; J4298, J4298), "")</f>
        <v>0</v>
      </c>
    </row>
    <row r="4299" spans="2:2">
      <c r="B4299" s="21">
        <f>IF(AND(C4299&lt;&gt;"", J4299&lt;&gt;""), HYPERLINK("#'" &amp; C4299 &amp; "'!" &amp; J4299, J4299), "")</f>
        <v>0</v>
      </c>
    </row>
    <row r="4300" spans="2:2">
      <c r="B4300" s="21">
        <f>IF(AND(C4300&lt;&gt;"", J4300&lt;&gt;""), HYPERLINK("#'" &amp; C4300 &amp; "'!" &amp; J4300, J4300), "")</f>
        <v>0</v>
      </c>
    </row>
    <row r="4301" spans="2:2">
      <c r="B4301" s="21">
        <f>IF(AND(C4301&lt;&gt;"", J4301&lt;&gt;""), HYPERLINK("#'" &amp; C4301 &amp; "'!" &amp; J4301, J4301), "")</f>
        <v>0</v>
      </c>
    </row>
    <row r="4302" spans="2:2">
      <c r="B4302" s="21">
        <f>IF(AND(C4302&lt;&gt;"", J4302&lt;&gt;""), HYPERLINK("#'" &amp; C4302 &amp; "'!" &amp; J4302, J4302), "")</f>
        <v>0</v>
      </c>
    </row>
    <row r="4303" spans="2:2">
      <c r="B4303" s="21">
        <f>IF(AND(C4303&lt;&gt;"", J4303&lt;&gt;""), HYPERLINK("#'" &amp; C4303 &amp; "'!" &amp; J4303, J4303), "")</f>
        <v>0</v>
      </c>
    </row>
    <row r="4304" spans="2:2">
      <c r="B4304" s="21">
        <f>IF(AND(C4304&lt;&gt;"", J4304&lt;&gt;""), HYPERLINK("#'" &amp; C4304 &amp; "'!" &amp; J4304, J4304), "")</f>
        <v>0</v>
      </c>
    </row>
    <row r="4305" spans="2:2">
      <c r="B4305" s="21">
        <f>IF(AND(C4305&lt;&gt;"", J4305&lt;&gt;""), HYPERLINK("#'" &amp; C4305 &amp; "'!" &amp; J4305, J4305), "")</f>
        <v>0</v>
      </c>
    </row>
    <row r="4306" spans="2:2">
      <c r="B4306" s="21">
        <f>IF(AND(C4306&lt;&gt;"", J4306&lt;&gt;""), HYPERLINK("#'" &amp; C4306 &amp; "'!" &amp; J4306, J4306), "")</f>
        <v>0</v>
      </c>
    </row>
    <row r="4307" spans="2:2">
      <c r="B4307" s="21">
        <f>IF(AND(C4307&lt;&gt;"", J4307&lt;&gt;""), HYPERLINK("#'" &amp; C4307 &amp; "'!" &amp; J4307, J4307), "")</f>
        <v>0</v>
      </c>
    </row>
    <row r="4308" spans="2:2">
      <c r="B4308" s="21">
        <f>IF(AND(C4308&lt;&gt;"", J4308&lt;&gt;""), HYPERLINK("#'" &amp; C4308 &amp; "'!" &amp; J4308, J4308), "")</f>
        <v>0</v>
      </c>
    </row>
    <row r="4309" spans="2:2">
      <c r="B4309" s="21">
        <f>IF(AND(C4309&lt;&gt;"", J4309&lt;&gt;""), HYPERLINK("#'" &amp; C4309 &amp; "'!" &amp; J4309, J4309), "")</f>
        <v>0</v>
      </c>
    </row>
    <row r="4310" spans="2:2">
      <c r="B4310" s="21">
        <f>IF(AND(C4310&lt;&gt;"", J4310&lt;&gt;""), HYPERLINK("#'" &amp; C4310 &amp; "'!" &amp; J4310, J4310), "")</f>
        <v>0</v>
      </c>
    </row>
    <row r="4311" spans="2:2">
      <c r="B4311" s="21">
        <f>IF(AND(C4311&lt;&gt;"", J4311&lt;&gt;""), HYPERLINK("#'" &amp; C4311 &amp; "'!" &amp; J4311, J4311), "")</f>
        <v>0</v>
      </c>
    </row>
    <row r="4312" spans="2:2">
      <c r="B4312" s="21">
        <f>IF(AND(C4312&lt;&gt;"", J4312&lt;&gt;""), HYPERLINK("#'" &amp; C4312 &amp; "'!" &amp; J4312, J4312), "")</f>
        <v>0</v>
      </c>
    </row>
    <row r="4313" spans="2:2">
      <c r="B4313" s="21">
        <f>IF(AND(C4313&lt;&gt;"", J4313&lt;&gt;""), HYPERLINK("#'" &amp; C4313 &amp; "'!" &amp; J4313, J4313), "")</f>
        <v>0</v>
      </c>
    </row>
    <row r="4314" spans="2:2">
      <c r="B4314" s="21">
        <f>IF(AND(C4314&lt;&gt;"", J4314&lt;&gt;""), HYPERLINK("#'" &amp; C4314 &amp; "'!" &amp; J4314, J4314), "")</f>
        <v>0</v>
      </c>
    </row>
    <row r="4315" spans="2:2">
      <c r="B4315" s="21">
        <f>IF(AND(C4315&lt;&gt;"", J4315&lt;&gt;""), HYPERLINK("#'" &amp; C4315 &amp; "'!" &amp; J4315, J4315), "")</f>
        <v>0</v>
      </c>
    </row>
    <row r="4316" spans="2:2">
      <c r="B4316" s="21">
        <f>IF(AND(C4316&lt;&gt;"", J4316&lt;&gt;""), HYPERLINK("#'" &amp; C4316 &amp; "'!" &amp; J4316, J4316), "")</f>
        <v>0</v>
      </c>
    </row>
    <row r="4317" spans="2:2">
      <c r="B4317" s="21">
        <f>IF(AND(C4317&lt;&gt;"", J4317&lt;&gt;""), HYPERLINK("#'" &amp; C4317 &amp; "'!" &amp; J4317, J4317), "")</f>
        <v>0</v>
      </c>
    </row>
    <row r="4318" spans="2:2">
      <c r="B4318" s="21">
        <f>IF(AND(C4318&lt;&gt;"", J4318&lt;&gt;""), HYPERLINK("#'" &amp; C4318 &amp; "'!" &amp; J4318, J4318), "")</f>
        <v>0</v>
      </c>
    </row>
    <row r="4319" spans="2:2">
      <c r="B4319" s="21">
        <f>IF(AND(C4319&lt;&gt;"", J4319&lt;&gt;""), HYPERLINK("#'" &amp; C4319 &amp; "'!" &amp; J4319, J4319), "")</f>
        <v>0</v>
      </c>
    </row>
    <row r="4320" spans="2:2">
      <c r="B4320" s="21">
        <f>IF(AND(C4320&lt;&gt;"", J4320&lt;&gt;""), HYPERLINK("#'" &amp; C4320 &amp; "'!" &amp; J4320, J4320), "")</f>
        <v>0</v>
      </c>
    </row>
    <row r="4321" spans="2:2">
      <c r="B4321" s="21">
        <f>IF(AND(C4321&lt;&gt;"", J4321&lt;&gt;""), HYPERLINK("#'" &amp; C4321 &amp; "'!" &amp; J4321, J4321), "")</f>
        <v>0</v>
      </c>
    </row>
    <row r="4322" spans="2:2">
      <c r="B4322" s="21">
        <f>IF(AND(C4322&lt;&gt;"", J4322&lt;&gt;""), HYPERLINK("#'" &amp; C4322 &amp; "'!" &amp; J4322, J4322), "")</f>
        <v>0</v>
      </c>
    </row>
    <row r="4323" spans="2:2">
      <c r="B4323" s="21">
        <f>IF(AND(C4323&lt;&gt;"", J4323&lt;&gt;""), HYPERLINK("#'" &amp; C4323 &amp; "'!" &amp; J4323, J4323), "")</f>
        <v>0</v>
      </c>
    </row>
    <row r="4324" spans="2:2">
      <c r="B4324" s="21">
        <f>IF(AND(C4324&lt;&gt;"", J4324&lt;&gt;""), HYPERLINK("#'" &amp; C4324 &amp; "'!" &amp; J4324, J4324), "")</f>
        <v>0</v>
      </c>
    </row>
    <row r="4325" spans="2:2">
      <c r="B4325" s="21">
        <f>IF(AND(C4325&lt;&gt;"", J4325&lt;&gt;""), HYPERLINK("#'" &amp; C4325 &amp; "'!" &amp; J4325, J4325), "")</f>
        <v>0</v>
      </c>
    </row>
    <row r="4326" spans="2:2">
      <c r="B4326" s="21">
        <f>IF(AND(C4326&lt;&gt;"", J4326&lt;&gt;""), HYPERLINK("#'" &amp; C4326 &amp; "'!" &amp; J4326, J4326), "")</f>
        <v>0</v>
      </c>
    </row>
    <row r="4327" spans="2:2">
      <c r="B4327" s="21">
        <f>IF(AND(C4327&lt;&gt;"", J4327&lt;&gt;""), HYPERLINK("#'" &amp; C4327 &amp; "'!" &amp; J4327, J4327), "")</f>
        <v>0</v>
      </c>
    </row>
    <row r="4328" spans="2:2">
      <c r="B4328" s="21">
        <f>IF(AND(C4328&lt;&gt;"", J4328&lt;&gt;""), HYPERLINK("#'" &amp; C4328 &amp; "'!" &amp; J4328, J4328), "")</f>
        <v>0</v>
      </c>
    </row>
    <row r="4329" spans="2:2">
      <c r="B4329" s="21">
        <f>IF(AND(C4329&lt;&gt;"", J4329&lt;&gt;""), HYPERLINK("#'" &amp; C4329 &amp; "'!" &amp; J4329, J4329), "")</f>
        <v>0</v>
      </c>
    </row>
    <row r="4330" spans="2:2">
      <c r="B4330" s="21">
        <f>IF(AND(C4330&lt;&gt;"", J4330&lt;&gt;""), HYPERLINK("#'" &amp; C4330 &amp; "'!" &amp; J4330, J4330), "")</f>
        <v>0</v>
      </c>
    </row>
    <row r="4331" spans="2:2">
      <c r="B4331" s="21">
        <f>IF(AND(C4331&lt;&gt;"", J4331&lt;&gt;""), HYPERLINK("#'" &amp; C4331 &amp; "'!" &amp; J4331, J4331), "")</f>
        <v>0</v>
      </c>
    </row>
    <row r="4332" spans="2:2">
      <c r="B4332" s="21">
        <f>IF(AND(C4332&lt;&gt;"", J4332&lt;&gt;""), HYPERLINK("#'" &amp; C4332 &amp; "'!" &amp; J4332, J4332), "")</f>
        <v>0</v>
      </c>
    </row>
    <row r="4333" spans="2:2">
      <c r="B4333" s="21">
        <f>IF(AND(C4333&lt;&gt;"", J4333&lt;&gt;""), HYPERLINK("#'" &amp; C4333 &amp; "'!" &amp; J4333, J4333), "")</f>
        <v>0</v>
      </c>
    </row>
    <row r="4334" spans="2:2">
      <c r="B4334" s="21">
        <f>IF(AND(C4334&lt;&gt;"", J4334&lt;&gt;""), HYPERLINK("#'" &amp; C4334 &amp; "'!" &amp; J4334, J4334), "")</f>
        <v>0</v>
      </c>
    </row>
    <row r="4335" spans="2:2">
      <c r="B4335" s="21">
        <f>IF(AND(C4335&lt;&gt;"", J4335&lt;&gt;""), HYPERLINK("#'" &amp; C4335 &amp; "'!" &amp; J4335, J4335), "")</f>
        <v>0</v>
      </c>
    </row>
    <row r="4336" spans="2:2">
      <c r="B4336" s="21">
        <f>IF(AND(C4336&lt;&gt;"", J4336&lt;&gt;""), HYPERLINK("#'" &amp; C4336 &amp; "'!" &amp; J4336, J4336), "")</f>
        <v>0</v>
      </c>
    </row>
    <row r="4337" spans="2:2">
      <c r="B4337" s="21">
        <f>IF(AND(C4337&lt;&gt;"", J4337&lt;&gt;""), HYPERLINK("#'" &amp; C4337 &amp; "'!" &amp; J4337, J4337), "")</f>
        <v>0</v>
      </c>
    </row>
    <row r="4338" spans="2:2">
      <c r="B4338" s="21">
        <f>IF(AND(C4338&lt;&gt;"", J4338&lt;&gt;""), HYPERLINK("#'" &amp; C4338 &amp; "'!" &amp; J4338, J4338), "")</f>
        <v>0</v>
      </c>
    </row>
    <row r="4339" spans="2:2">
      <c r="B4339" s="21">
        <f>IF(AND(C4339&lt;&gt;"", J4339&lt;&gt;""), HYPERLINK("#'" &amp; C4339 &amp; "'!" &amp; J4339, J4339), "")</f>
        <v>0</v>
      </c>
    </row>
    <row r="4340" spans="2:2">
      <c r="B4340" s="21">
        <f>IF(AND(C4340&lt;&gt;"", J4340&lt;&gt;""), HYPERLINK("#'" &amp; C4340 &amp; "'!" &amp; J4340, J4340), "")</f>
        <v>0</v>
      </c>
    </row>
    <row r="4341" spans="2:2">
      <c r="B4341" s="21">
        <f>IF(AND(C4341&lt;&gt;"", J4341&lt;&gt;""), HYPERLINK("#'" &amp; C4341 &amp; "'!" &amp; J4341, J4341), "")</f>
        <v>0</v>
      </c>
    </row>
    <row r="4342" spans="2:2">
      <c r="B4342" s="21">
        <f>IF(AND(C4342&lt;&gt;"", J4342&lt;&gt;""), HYPERLINK("#'" &amp; C4342 &amp; "'!" &amp; J4342, J4342), "")</f>
        <v>0</v>
      </c>
    </row>
    <row r="4343" spans="2:2">
      <c r="B4343" s="21">
        <f>IF(AND(C4343&lt;&gt;"", J4343&lt;&gt;""), HYPERLINK("#'" &amp; C4343 &amp; "'!" &amp; J4343, J4343), "")</f>
        <v>0</v>
      </c>
    </row>
    <row r="4344" spans="2:2">
      <c r="B4344" s="21">
        <f>IF(AND(C4344&lt;&gt;"", J4344&lt;&gt;""), HYPERLINK("#'" &amp; C4344 &amp; "'!" &amp; J4344, J4344), "")</f>
        <v>0</v>
      </c>
    </row>
    <row r="4345" spans="2:2">
      <c r="B4345" s="21">
        <f>IF(AND(C4345&lt;&gt;"", J4345&lt;&gt;""), HYPERLINK("#'" &amp; C4345 &amp; "'!" &amp; J4345, J4345), "")</f>
        <v>0</v>
      </c>
    </row>
    <row r="4346" spans="2:2">
      <c r="B4346" s="21">
        <f>IF(AND(C4346&lt;&gt;"", J4346&lt;&gt;""), HYPERLINK("#'" &amp; C4346 &amp; "'!" &amp; J4346, J4346), "")</f>
        <v>0</v>
      </c>
    </row>
    <row r="4347" spans="2:2">
      <c r="B4347" s="21">
        <f>IF(AND(C4347&lt;&gt;"", J4347&lt;&gt;""), HYPERLINK("#'" &amp; C4347 &amp; "'!" &amp; J4347, J4347), "")</f>
        <v>0</v>
      </c>
    </row>
    <row r="4348" spans="2:2">
      <c r="B4348" s="21">
        <f>IF(AND(C4348&lt;&gt;"", J4348&lt;&gt;""), HYPERLINK("#'" &amp; C4348 &amp; "'!" &amp; J4348, J4348), "")</f>
        <v>0</v>
      </c>
    </row>
    <row r="4349" spans="2:2">
      <c r="B4349" s="21">
        <f>IF(AND(C4349&lt;&gt;"", J4349&lt;&gt;""), HYPERLINK("#'" &amp; C4349 &amp; "'!" &amp; J4349, J4349), "")</f>
        <v>0</v>
      </c>
    </row>
    <row r="4350" spans="2:2">
      <c r="B4350" s="21">
        <f>IF(AND(C4350&lt;&gt;"", J4350&lt;&gt;""), HYPERLINK("#'" &amp; C4350 &amp; "'!" &amp; J4350, J4350), "")</f>
        <v>0</v>
      </c>
    </row>
    <row r="4351" spans="2:2">
      <c r="B4351" s="21">
        <f>IF(AND(C4351&lt;&gt;"", J4351&lt;&gt;""), HYPERLINK("#'" &amp; C4351 &amp; "'!" &amp; J4351, J4351), "")</f>
        <v>0</v>
      </c>
    </row>
    <row r="4352" spans="2:2">
      <c r="B4352" s="21">
        <f>IF(AND(C4352&lt;&gt;"", J4352&lt;&gt;""), HYPERLINK("#'" &amp; C4352 &amp; "'!" &amp; J4352, J4352), "")</f>
        <v>0</v>
      </c>
    </row>
    <row r="4353" spans="2:2">
      <c r="B4353" s="21">
        <f>IF(AND(C4353&lt;&gt;"", J4353&lt;&gt;""), HYPERLINK("#'" &amp; C4353 &amp; "'!" &amp; J4353, J4353), "")</f>
        <v>0</v>
      </c>
    </row>
    <row r="4354" spans="2:2">
      <c r="B4354" s="21">
        <f>IF(AND(C4354&lt;&gt;"", J4354&lt;&gt;""), HYPERLINK("#'" &amp; C4354 &amp; "'!" &amp; J4354, J4354), "")</f>
        <v>0</v>
      </c>
    </row>
    <row r="4355" spans="2:2">
      <c r="B4355" s="21">
        <f>IF(AND(C4355&lt;&gt;"", J4355&lt;&gt;""), HYPERLINK("#'" &amp; C4355 &amp; "'!" &amp; J4355, J4355), "")</f>
        <v>0</v>
      </c>
    </row>
    <row r="4356" spans="2:2">
      <c r="B4356" s="21">
        <f>IF(AND(C4356&lt;&gt;"", J4356&lt;&gt;""), HYPERLINK("#'" &amp; C4356 &amp; "'!" &amp; J4356, J4356), "")</f>
        <v>0</v>
      </c>
    </row>
    <row r="4357" spans="2:2">
      <c r="B4357" s="21">
        <f>IF(AND(C4357&lt;&gt;"", J4357&lt;&gt;""), HYPERLINK("#'" &amp; C4357 &amp; "'!" &amp; J4357, J4357), "")</f>
        <v>0</v>
      </c>
    </row>
    <row r="4358" spans="2:2">
      <c r="B4358" s="21">
        <f>IF(AND(C4358&lt;&gt;"", J4358&lt;&gt;""), HYPERLINK("#'" &amp; C4358 &amp; "'!" &amp; J4358, J4358), "")</f>
        <v>0</v>
      </c>
    </row>
    <row r="4359" spans="2:2">
      <c r="B4359" s="21">
        <f>IF(AND(C4359&lt;&gt;"", J4359&lt;&gt;""), HYPERLINK("#'" &amp; C4359 &amp; "'!" &amp; J4359, J4359), "")</f>
        <v>0</v>
      </c>
    </row>
    <row r="4360" spans="2:2">
      <c r="B4360" s="21">
        <f>IF(AND(C4360&lt;&gt;"", J4360&lt;&gt;""), HYPERLINK("#'" &amp; C4360 &amp; "'!" &amp; J4360, J4360), "")</f>
        <v>0</v>
      </c>
    </row>
    <row r="4361" spans="2:2">
      <c r="B4361" s="21">
        <f>IF(AND(C4361&lt;&gt;"", J4361&lt;&gt;""), HYPERLINK("#'" &amp; C4361 &amp; "'!" &amp; J4361, J4361), "")</f>
        <v>0</v>
      </c>
    </row>
    <row r="4362" spans="2:2">
      <c r="B4362" s="21">
        <f>IF(AND(C4362&lt;&gt;"", J4362&lt;&gt;""), HYPERLINK("#'" &amp; C4362 &amp; "'!" &amp; J4362, J4362), "")</f>
        <v>0</v>
      </c>
    </row>
    <row r="4363" spans="2:2">
      <c r="B4363" s="21">
        <f>IF(AND(C4363&lt;&gt;"", J4363&lt;&gt;""), HYPERLINK("#'" &amp; C4363 &amp; "'!" &amp; J4363, J4363), "")</f>
        <v>0</v>
      </c>
    </row>
    <row r="4364" spans="2:2">
      <c r="B4364" s="21">
        <f>IF(AND(C4364&lt;&gt;"", J4364&lt;&gt;""), HYPERLINK("#'" &amp; C4364 &amp; "'!" &amp; J4364, J4364), "")</f>
        <v>0</v>
      </c>
    </row>
    <row r="4365" spans="2:2">
      <c r="B4365" s="21">
        <f>IF(AND(C4365&lt;&gt;"", J4365&lt;&gt;""), HYPERLINK("#'" &amp; C4365 &amp; "'!" &amp; J4365, J4365), "")</f>
        <v>0</v>
      </c>
    </row>
    <row r="4366" spans="2:2">
      <c r="B4366" s="21">
        <f>IF(AND(C4366&lt;&gt;"", J4366&lt;&gt;""), HYPERLINK("#'" &amp; C4366 &amp; "'!" &amp; J4366, J4366), "")</f>
        <v>0</v>
      </c>
    </row>
    <row r="4367" spans="2:2">
      <c r="B4367" s="21">
        <f>IF(AND(C4367&lt;&gt;"", J4367&lt;&gt;""), HYPERLINK("#'" &amp; C4367 &amp; "'!" &amp; J4367, J4367), "")</f>
        <v>0</v>
      </c>
    </row>
    <row r="4368" spans="2:2">
      <c r="B4368" s="21">
        <f>IF(AND(C4368&lt;&gt;"", J4368&lt;&gt;""), HYPERLINK("#'" &amp; C4368 &amp; "'!" &amp; J4368, J4368), "")</f>
        <v>0</v>
      </c>
    </row>
    <row r="4369" spans="2:2">
      <c r="B4369" s="21">
        <f>IF(AND(C4369&lt;&gt;"", J4369&lt;&gt;""), HYPERLINK("#'" &amp; C4369 &amp; "'!" &amp; J4369, J4369), "")</f>
        <v>0</v>
      </c>
    </row>
    <row r="4370" spans="2:2">
      <c r="B4370" s="21">
        <f>IF(AND(C4370&lt;&gt;"", J4370&lt;&gt;""), HYPERLINK("#'" &amp; C4370 &amp; "'!" &amp; J4370, J4370), "")</f>
        <v>0</v>
      </c>
    </row>
    <row r="4371" spans="2:2">
      <c r="B4371" s="21">
        <f>IF(AND(C4371&lt;&gt;"", J4371&lt;&gt;""), HYPERLINK("#'" &amp; C4371 &amp; "'!" &amp; J4371, J4371), "")</f>
        <v>0</v>
      </c>
    </row>
    <row r="4372" spans="2:2">
      <c r="B4372" s="21">
        <f>IF(AND(C4372&lt;&gt;"", J4372&lt;&gt;""), HYPERLINK("#'" &amp; C4372 &amp; "'!" &amp; J4372, J4372), "")</f>
        <v>0</v>
      </c>
    </row>
    <row r="4373" spans="2:2">
      <c r="B4373" s="21">
        <f>IF(AND(C4373&lt;&gt;"", J4373&lt;&gt;""), HYPERLINK("#'" &amp; C4373 &amp; "'!" &amp; J4373, J4373), "")</f>
        <v>0</v>
      </c>
    </row>
    <row r="4374" spans="2:2">
      <c r="B4374" s="21">
        <f>IF(AND(C4374&lt;&gt;"", J4374&lt;&gt;""), HYPERLINK("#'" &amp; C4374 &amp; "'!" &amp; J4374, J4374), "")</f>
        <v>0</v>
      </c>
    </row>
    <row r="4375" spans="2:2">
      <c r="B4375" s="21">
        <f>IF(AND(C4375&lt;&gt;"", J4375&lt;&gt;""), HYPERLINK("#'" &amp; C4375 &amp; "'!" &amp; J4375, J4375), "")</f>
        <v>0</v>
      </c>
    </row>
    <row r="4376" spans="2:2">
      <c r="B4376" s="21">
        <f>IF(AND(C4376&lt;&gt;"", J4376&lt;&gt;""), HYPERLINK("#'" &amp; C4376 &amp; "'!" &amp; J4376, J4376), "")</f>
        <v>0</v>
      </c>
    </row>
    <row r="4377" spans="2:2">
      <c r="B4377" s="21">
        <f>IF(AND(C4377&lt;&gt;"", J4377&lt;&gt;""), HYPERLINK("#'" &amp; C4377 &amp; "'!" &amp; J4377, J4377), "")</f>
        <v>0</v>
      </c>
    </row>
    <row r="4378" spans="2:2">
      <c r="B4378" s="21">
        <f>IF(AND(C4378&lt;&gt;"", J4378&lt;&gt;""), HYPERLINK("#'" &amp; C4378 &amp; "'!" &amp; J4378, J4378), "")</f>
        <v>0</v>
      </c>
    </row>
    <row r="4379" spans="2:2">
      <c r="B4379" s="21">
        <f>IF(AND(C4379&lt;&gt;"", J4379&lt;&gt;""), HYPERLINK("#'" &amp; C4379 &amp; "'!" &amp; J4379, J4379), "")</f>
        <v>0</v>
      </c>
    </row>
    <row r="4380" spans="2:2">
      <c r="B4380" s="21">
        <f>IF(AND(C4380&lt;&gt;"", J4380&lt;&gt;""), HYPERLINK("#'" &amp; C4380 &amp; "'!" &amp; J4380, J4380), "")</f>
        <v>0</v>
      </c>
    </row>
    <row r="4381" spans="2:2">
      <c r="B4381" s="21">
        <f>IF(AND(C4381&lt;&gt;"", J4381&lt;&gt;""), HYPERLINK("#'" &amp; C4381 &amp; "'!" &amp; J4381, J4381), "")</f>
        <v>0</v>
      </c>
    </row>
    <row r="4382" spans="2:2">
      <c r="B4382" s="21">
        <f>IF(AND(C4382&lt;&gt;"", J4382&lt;&gt;""), HYPERLINK("#'" &amp; C4382 &amp; "'!" &amp; J4382, J4382), "")</f>
        <v>0</v>
      </c>
    </row>
    <row r="4383" spans="2:2">
      <c r="B4383" s="21">
        <f>IF(AND(C4383&lt;&gt;"", J4383&lt;&gt;""), HYPERLINK("#'" &amp; C4383 &amp; "'!" &amp; J4383, J4383), "")</f>
        <v>0</v>
      </c>
    </row>
    <row r="4384" spans="2:2">
      <c r="B4384" s="21">
        <f>IF(AND(C4384&lt;&gt;"", J4384&lt;&gt;""), HYPERLINK("#'" &amp; C4384 &amp; "'!" &amp; J4384, J4384), "")</f>
        <v>0</v>
      </c>
    </row>
    <row r="4385" spans="2:2">
      <c r="B4385" s="21">
        <f>IF(AND(C4385&lt;&gt;"", J4385&lt;&gt;""), HYPERLINK("#'" &amp; C4385 &amp; "'!" &amp; J4385, J4385), "")</f>
        <v>0</v>
      </c>
    </row>
    <row r="4386" spans="2:2">
      <c r="B4386" s="21">
        <f>IF(AND(C4386&lt;&gt;"", J4386&lt;&gt;""), HYPERLINK("#'" &amp; C4386 &amp; "'!" &amp; J4386, J4386), "")</f>
        <v>0</v>
      </c>
    </row>
    <row r="4387" spans="2:2">
      <c r="B4387" s="21">
        <f>IF(AND(C4387&lt;&gt;"", J4387&lt;&gt;""), HYPERLINK("#'" &amp; C4387 &amp; "'!" &amp; J4387, J4387), "")</f>
        <v>0</v>
      </c>
    </row>
    <row r="4388" spans="2:2">
      <c r="B4388" s="21">
        <f>IF(AND(C4388&lt;&gt;"", J4388&lt;&gt;""), HYPERLINK("#'" &amp; C4388 &amp; "'!" &amp; J4388, J4388), "")</f>
        <v>0</v>
      </c>
    </row>
    <row r="4389" spans="2:2">
      <c r="B4389" s="21">
        <f>IF(AND(C4389&lt;&gt;"", J4389&lt;&gt;""), HYPERLINK("#'" &amp; C4389 &amp; "'!" &amp; J4389, J4389), "")</f>
        <v>0</v>
      </c>
    </row>
    <row r="4390" spans="2:2">
      <c r="B4390" s="21">
        <f>IF(AND(C4390&lt;&gt;"", J4390&lt;&gt;""), HYPERLINK("#'" &amp; C4390 &amp; "'!" &amp; J4390, J4390), "")</f>
        <v>0</v>
      </c>
    </row>
    <row r="4391" spans="2:2">
      <c r="B4391" s="21">
        <f>IF(AND(C4391&lt;&gt;"", J4391&lt;&gt;""), HYPERLINK("#'" &amp; C4391 &amp; "'!" &amp; J4391, J4391), "")</f>
        <v>0</v>
      </c>
    </row>
    <row r="4392" spans="2:2">
      <c r="B4392" s="21">
        <f>IF(AND(C4392&lt;&gt;"", J4392&lt;&gt;""), HYPERLINK("#'" &amp; C4392 &amp; "'!" &amp; J4392, J4392), "")</f>
        <v>0</v>
      </c>
    </row>
    <row r="4393" spans="2:2">
      <c r="B4393" s="21">
        <f>IF(AND(C4393&lt;&gt;"", J4393&lt;&gt;""), HYPERLINK("#'" &amp; C4393 &amp; "'!" &amp; J4393, J4393), "")</f>
        <v>0</v>
      </c>
    </row>
    <row r="4394" spans="2:2">
      <c r="B4394" s="21">
        <f>IF(AND(C4394&lt;&gt;"", J4394&lt;&gt;""), HYPERLINK("#'" &amp; C4394 &amp; "'!" &amp; J4394, J4394), "")</f>
        <v>0</v>
      </c>
    </row>
    <row r="4395" spans="2:2">
      <c r="B4395" s="21">
        <f>IF(AND(C4395&lt;&gt;"", J4395&lt;&gt;""), HYPERLINK("#'" &amp; C4395 &amp; "'!" &amp; J4395, J4395), "")</f>
        <v>0</v>
      </c>
    </row>
    <row r="4396" spans="2:2">
      <c r="B4396" s="21">
        <f>IF(AND(C4396&lt;&gt;"", J4396&lt;&gt;""), HYPERLINK("#'" &amp; C4396 &amp; "'!" &amp; J4396, J4396), "")</f>
        <v>0</v>
      </c>
    </row>
    <row r="4397" spans="2:2">
      <c r="B4397" s="21">
        <f>IF(AND(C4397&lt;&gt;"", J4397&lt;&gt;""), HYPERLINK("#'" &amp; C4397 &amp; "'!" &amp; J4397, J4397), "")</f>
        <v>0</v>
      </c>
    </row>
    <row r="4398" spans="2:2">
      <c r="B4398" s="21">
        <f>IF(AND(C4398&lt;&gt;"", J4398&lt;&gt;""), HYPERLINK("#'" &amp; C4398 &amp; "'!" &amp; J4398, J4398), "")</f>
        <v>0</v>
      </c>
    </row>
    <row r="4399" spans="2:2">
      <c r="B4399" s="21">
        <f>IF(AND(C4399&lt;&gt;"", J4399&lt;&gt;""), HYPERLINK("#'" &amp; C4399 &amp; "'!" &amp; J4399, J4399), "")</f>
        <v>0</v>
      </c>
    </row>
    <row r="4400" spans="2:2">
      <c r="B4400" s="21">
        <f>IF(AND(C4400&lt;&gt;"", J4400&lt;&gt;""), HYPERLINK("#'" &amp; C4400 &amp; "'!" &amp; J4400, J4400), "")</f>
        <v>0</v>
      </c>
    </row>
    <row r="4401" spans="2:2">
      <c r="B4401" s="21">
        <f>IF(AND(C4401&lt;&gt;"", J4401&lt;&gt;""), HYPERLINK("#'" &amp; C4401 &amp; "'!" &amp; J4401, J4401), "")</f>
        <v>0</v>
      </c>
    </row>
    <row r="4402" spans="2:2">
      <c r="B4402" s="21">
        <f>IF(AND(C4402&lt;&gt;"", J4402&lt;&gt;""), HYPERLINK("#'" &amp; C4402 &amp; "'!" &amp; J4402, J4402), "")</f>
        <v>0</v>
      </c>
    </row>
    <row r="4403" spans="2:2">
      <c r="B4403" s="21">
        <f>IF(AND(C4403&lt;&gt;"", J4403&lt;&gt;""), HYPERLINK("#'" &amp; C4403 &amp; "'!" &amp; J4403, J4403), "")</f>
        <v>0</v>
      </c>
    </row>
    <row r="4404" spans="2:2">
      <c r="B4404" s="21">
        <f>IF(AND(C4404&lt;&gt;"", J4404&lt;&gt;""), HYPERLINK("#'" &amp; C4404 &amp; "'!" &amp; J4404, J4404), "")</f>
        <v>0</v>
      </c>
    </row>
    <row r="4405" spans="2:2">
      <c r="B4405" s="21">
        <f>IF(AND(C4405&lt;&gt;"", J4405&lt;&gt;""), HYPERLINK("#'" &amp; C4405 &amp; "'!" &amp; J4405, J4405), "")</f>
        <v>0</v>
      </c>
    </row>
    <row r="4406" spans="2:2">
      <c r="B4406" s="21">
        <f>IF(AND(C4406&lt;&gt;"", J4406&lt;&gt;""), HYPERLINK("#'" &amp; C4406 &amp; "'!" &amp; J4406, J4406), "")</f>
        <v>0</v>
      </c>
    </row>
    <row r="4407" spans="2:2">
      <c r="B4407" s="21">
        <f>IF(AND(C4407&lt;&gt;"", J4407&lt;&gt;""), HYPERLINK("#'" &amp; C4407 &amp; "'!" &amp; J4407, J4407), "")</f>
        <v>0</v>
      </c>
    </row>
    <row r="4408" spans="2:2">
      <c r="B4408" s="21">
        <f>IF(AND(C4408&lt;&gt;"", J4408&lt;&gt;""), HYPERLINK("#'" &amp; C4408 &amp; "'!" &amp; J4408, J4408), "")</f>
        <v>0</v>
      </c>
    </row>
    <row r="4409" spans="2:2">
      <c r="B4409" s="21">
        <f>IF(AND(C4409&lt;&gt;"", J4409&lt;&gt;""), HYPERLINK("#'" &amp; C4409 &amp; "'!" &amp; J4409, J4409), "")</f>
        <v>0</v>
      </c>
    </row>
    <row r="4410" spans="2:2">
      <c r="B4410" s="21">
        <f>IF(AND(C4410&lt;&gt;"", J4410&lt;&gt;""), HYPERLINK("#'" &amp; C4410 &amp; "'!" &amp; J4410, J4410), "")</f>
        <v>0</v>
      </c>
    </row>
    <row r="4411" spans="2:2">
      <c r="B4411" s="21">
        <f>IF(AND(C4411&lt;&gt;"", J4411&lt;&gt;""), HYPERLINK("#'" &amp; C4411 &amp; "'!" &amp; J4411, J4411), "")</f>
        <v>0</v>
      </c>
    </row>
    <row r="4412" spans="2:2">
      <c r="B4412" s="21">
        <f>IF(AND(C4412&lt;&gt;"", J4412&lt;&gt;""), HYPERLINK("#'" &amp; C4412 &amp; "'!" &amp; J4412, J4412), "")</f>
        <v>0</v>
      </c>
    </row>
    <row r="4413" spans="2:2">
      <c r="B4413" s="21">
        <f>IF(AND(C4413&lt;&gt;"", J4413&lt;&gt;""), HYPERLINK("#'" &amp; C4413 &amp; "'!" &amp; J4413, J4413), "")</f>
        <v>0</v>
      </c>
    </row>
    <row r="4414" spans="2:2">
      <c r="B4414" s="21">
        <f>IF(AND(C4414&lt;&gt;"", J4414&lt;&gt;""), HYPERLINK("#'" &amp; C4414 &amp; "'!" &amp; J4414, J4414), "")</f>
        <v>0</v>
      </c>
    </row>
    <row r="4415" spans="2:2">
      <c r="B4415" s="21">
        <f>IF(AND(C4415&lt;&gt;"", J4415&lt;&gt;""), HYPERLINK("#'" &amp; C4415 &amp; "'!" &amp; J4415, J4415), "")</f>
        <v>0</v>
      </c>
    </row>
    <row r="4416" spans="2:2">
      <c r="B4416" s="21">
        <f>IF(AND(C4416&lt;&gt;"", J4416&lt;&gt;""), HYPERLINK("#'" &amp; C4416 &amp; "'!" &amp; J4416, J4416), "")</f>
        <v>0</v>
      </c>
    </row>
    <row r="4417" spans="2:2">
      <c r="B4417" s="21">
        <f>IF(AND(C4417&lt;&gt;"", J4417&lt;&gt;""), HYPERLINK("#'" &amp; C4417 &amp; "'!" &amp; J4417, J4417), "")</f>
        <v>0</v>
      </c>
    </row>
    <row r="4418" spans="2:2">
      <c r="B4418" s="21">
        <f>IF(AND(C4418&lt;&gt;"", J4418&lt;&gt;""), HYPERLINK("#'" &amp; C4418 &amp; "'!" &amp; J4418, J4418), "")</f>
        <v>0</v>
      </c>
    </row>
    <row r="4419" spans="2:2">
      <c r="B4419" s="21">
        <f>IF(AND(C4419&lt;&gt;"", J4419&lt;&gt;""), HYPERLINK("#'" &amp; C4419 &amp; "'!" &amp; J4419, J4419), "")</f>
        <v>0</v>
      </c>
    </row>
    <row r="4420" spans="2:2">
      <c r="B4420" s="21">
        <f>IF(AND(C4420&lt;&gt;"", J4420&lt;&gt;""), HYPERLINK("#'" &amp; C4420 &amp; "'!" &amp; J4420, J4420), "")</f>
        <v>0</v>
      </c>
    </row>
    <row r="4421" spans="2:2">
      <c r="B4421" s="21">
        <f>IF(AND(C4421&lt;&gt;"", J4421&lt;&gt;""), HYPERLINK("#'" &amp; C4421 &amp; "'!" &amp; J4421, J4421), "")</f>
        <v>0</v>
      </c>
    </row>
    <row r="4422" spans="2:2">
      <c r="B4422" s="21">
        <f>IF(AND(C4422&lt;&gt;"", J4422&lt;&gt;""), HYPERLINK("#'" &amp; C4422 &amp; "'!" &amp; J4422, J4422), "")</f>
        <v>0</v>
      </c>
    </row>
    <row r="4423" spans="2:2">
      <c r="B4423" s="21">
        <f>IF(AND(C4423&lt;&gt;"", J4423&lt;&gt;""), HYPERLINK("#'" &amp; C4423 &amp; "'!" &amp; J4423, J4423), "")</f>
        <v>0</v>
      </c>
    </row>
    <row r="4424" spans="2:2">
      <c r="B4424" s="21">
        <f>IF(AND(C4424&lt;&gt;"", J4424&lt;&gt;""), HYPERLINK("#'" &amp; C4424 &amp; "'!" &amp; J4424, J4424), "")</f>
        <v>0</v>
      </c>
    </row>
    <row r="4425" spans="2:2">
      <c r="B4425" s="21">
        <f>IF(AND(C4425&lt;&gt;"", J4425&lt;&gt;""), HYPERLINK("#'" &amp; C4425 &amp; "'!" &amp; J4425, J4425), "")</f>
        <v>0</v>
      </c>
    </row>
    <row r="4426" spans="2:2">
      <c r="B4426" s="21">
        <f>IF(AND(C4426&lt;&gt;"", J4426&lt;&gt;""), HYPERLINK("#'" &amp; C4426 &amp; "'!" &amp; J4426, J4426), "")</f>
        <v>0</v>
      </c>
    </row>
    <row r="4427" spans="2:2">
      <c r="B4427" s="21">
        <f>IF(AND(C4427&lt;&gt;"", J4427&lt;&gt;""), HYPERLINK("#'" &amp; C4427 &amp; "'!" &amp; J4427, J4427), "")</f>
        <v>0</v>
      </c>
    </row>
    <row r="4428" spans="2:2">
      <c r="B4428" s="21">
        <f>IF(AND(C4428&lt;&gt;"", J4428&lt;&gt;""), HYPERLINK("#'" &amp; C4428 &amp; "'!" &amp; J4428, J4428), "")</f>
        <v>0</v>
      </c>
    </row>
    <row r="4429" spans="2:2">
      <c r="B4429" s="21">
        <f>IF(AND(C4429&lt;&gt;"", J4429&lt;&gt;""), HYPERLINK("#'" &amp; C4429 &amp; "'!" &amp; J4429, J4429), "")</f>
        <v>0</v>
      </c>
    </row>
    <row r="4430" spans="2:2">
      <c r="B4430" s="21">
        <f>IF(AND(C4430&lt;&gt;"", J4430&lt;&gt;""), HYPERLINK("#'" &amp; C4430 &amp; "'!" &amp; J4430, J4430), "")</f>
        <v>0</v>
      </c>
    </row>
    <row r="4431" spans="2:2">
      <c r="B4431" s="21">
        <f>IF(AND(C4431&lt;&gt;"", J4431&lt;&gt;""), HYPERLINK("#'" &amp; C4431 &amp; "'!" &amp; J4431, J4431), "")</f>
        <v>0</v>
      </c>
    </row>
    <row r="4432" spans="2:2">
      <c r="B4432" s="21">
        <f>IF(AND(C4432&lt;&gt;"", J4432&lt;&gt;""), HYPERLINK("#'" &amp; C4432 &amp; "'!" &amp; J4432, J4432), "")</f>
        <v>0</v>
      </c>
    </row>
    <row r="4433" spans="2:2">
      <c r="B4433" s="21">
        <f>IF(AND(C4433&lt;&gt;"", J4433&lt;&gt;""), HYPERLINK("#'" &amp; C4433 &amp; "'!" &amp; J4433, J4433), "")</f>
        <v>0</v>
      </c>
    </row>
    <row r="4434" spans="2:2">
      <c r="B4434" s="21">
        <f>IF(AND(C4434&lt;&gt;"", J4434&lt;&gt;""), HYPERLINK("#'" &amp; C4434 &amp; "'!" &amp; J4434, J4434), "")</f>
        <v>0</v>
      </c>
    </row>
    <row r="4435" spans="2:2">
      <c r="B4435" s="21">
        <f>IF(AND(C4435&lt;&gt;"", J4435&lt;&gt;""), HYPERLINK("#'" &amp; C4435 &amp; "'!" &amp; J4435, J4435), "")</f>
        <v>0</v>
      </c>
    </row>
    <row r="4436" spans="2:2">
      <c r="B4436" s="21">
        <f>IF(AND(C4436&lt;&gt;"", J4436&lt;&gt;""), HYPERLINK("#'" &amp; C4436 &amp; "'!" &amp; J4436, J4436), "")</f>
        <v>0</v>
      </c>
    </row>
    <row r="4437" spans="2:2">
      <c r="B4437" s="21">
        <f>IF(AND(C4437&lt;&gt;"", J4437&lt;&gt;""), HYPERLINK("#'" &amp; C4437 &amp; "'!" &amp; J4437, J4437), "")</f>
        <v>0</v>
      </c>
    </row>
    <row r="4438" spans="2:2">
      <c r="B4438" s="21">
        <f>IF(AND(C4438&lt;&gt;"", J4438&lt;&gt;""), HYPERLINK("#'" &amp; C4438 &amp; "'!" &amp; J4438, J4438), "")</f>
        <v>0</v>
      </c>
    </row>
    <row r="4439" spans="2:2">
      <c r="B4439" s="21">
        <f>IF(AND(C4439&lt;&gt;"", J4439&lt;&gt;""), HYPERLINK("#'" &amp; C4439 &amp; "'!" &amp; J4439, J4439), "")</f>
        <v>0</v>
      </c>
    </row>
    <row r="4440" spans="2:2">
      <c r="B4440" s="21">
        <f>IF(AND(C4440&lt;&gt;"", J4440&lt;&gt;""), HYPERLINK("#'" &amp; C4440 &amp; "'!" &amp; J4440, J4440), "")</f>
        <v>0</v>
      </c>
    </row>
    <row r="4441" spans="2:2">
      <c r="B4441" s="21">
        <f>IF(AND(C4441&lt;&gt;"", J4441&lt;&gt;""), HYPERLINK("#'" &amp; C4441 &amp; "'!" &amp; J4441, J4441), "")</f>
        <v>0</v>
      </c>
    </row>
    <row r="4442" spans="2:2">
      <c r="B4442" s="21">
        <f>IF(AND(C4442&lt;&gt;"", J4442&lt;&gt;""), HYPERLINK("#'" &amp; C4442 &amp; "'!" &amp; J4442, J4442), "")</f>
        <v>0</v>
      </c>
    </row>
    <row r="4443" spans="2:2">
      <c r="B4443" s="21">
        <f>IF(AND(C4443&lt;&gt;"", J4443&lt;&gt;""), HYPERLINK("#'" &amp; C4443 &amp; "'!" &amp; J4443, J4443), "")</f>
        <v>0</v>
      </c>
    </row>
    <row r="4444" spans="2:2">
      <c r="B4444" s="21">
        <f>IF(AND(C4444&lt;&gt;"", J4444&lt;&gt;""), HYPERLINK("#'" &amp; C4444 &amp; "'!" &amp; J4444, J4444), "")</f>
        <v>0</v>
      </c>
    </row>
    <row r="4445" spans="2:2">
      <c r="B4445" s="21">
        <f>IF(AND(C4445&lt;&gt;"", J4445&lt;&gt;""), HYPERLINK("#'" &amp; C4445 &amp; "'!" &amp; J4445, J4445), "")</f>
        <v>0</v>
      </c>
    </row>
    <row r="4446" spans="2:2">
      <c r="B4446" s="21">
        <f>IF(AND(C4446&lt;&gt;"", J4446&lt;&gt;""), HYPERLINK("#'" &amp; C4446 &amp; "'!" &amp; J4446, J4446), "")</f>
        <v>0</v>
      </c>
    </row>
    <row r="4447" spans="2:2">
      <c r="B4447" s="21">
        <f>IF(AND(C4447&lt;&gt;"", J4447&lt;&gt;""), HYPERLINK("#'" &amp; C4447 &amp; "'!" &amp; J4447, J4447), "")</f>
        <v>0</v>
      </c>
    </row>
    <row r="4448" spans="2:2">
      <c r="B4448" s="21">
        <f>IF(AND(C4448&lt;&gt;"", J4448&lt;&gt;""), HYPERLINK("#'" &amp; C4448 &amp; "'!" &amp; J4448, J4448), "")</f>
        <v>0</v>
      </c>
    </row>
    <row r="4449" spans="2:2">
      <c r="B4449" s="21">
        <f>IF(AND(C4449&lt;&gt;"", J4449&lt;&gt;""), HYPERLINK("#'" &amp; C4449 &amp; "'!" &amp; J4449, J4449), "")</f>
        <v>0</v>
      </c>
    </row>
    <row r="4450" spans="2:2">
      <c r="B4450" s="21">
        <f>IF(AND(C4450&lt;&gt;"", J4450&lt;&gt;""), HYPERLINK("#'" &amp; C4450 &amp; "'!" &amp; J4450, J4450), "")</f>
        <v>0</v>
      </c>
    </row>
    <row r="4451" spans="2:2">
      <c r="B4451" s="21">
        <f>IF(AND(C4451&lt;&gt;"", J4451&lt;&gt;""), HYPERLINK("#'" &amp; C4451 &amp; "'!" &amp; J4451, J4451), "")</f>
        <v>0</v>
      </c>
    </row>
    <row r="4452" spans="2:2">
      <c r="B4452" s="21">
        <f>IF(AND(C4452&lt;&gt;"", J4452&lt;&gt;""), HYPERLINK("#'" &amp; C4452 &amp; "'!" &amp; J4452, J4452), "")</f>
        <v>0</v>
      </c>
    </row>
    <row r="4453" spans="2:2">
      <c r="B4453" s="21">
        <f>IF(AND(C4453&lt;&gt;"", J4453&lt;&gt;""), HYPERLINK("#'" &amp; C4453 &amp; "'!" &amp; J4453, J4453), "")</f>
        <v>0</v>
      </c>
    </row>
    <row r="4454" spans="2:2">
      <c r="B4454" s="21">
        <f>IF(AND(C4454&lt;&gt;"", J4454&lt;&gt;""), HYPERLINK("#'" &amp; C4454 &amp; "'!" &amp; J4454, J4454), "")</f>
        <v>0</v>
      </c>
    </row>
    <row r="4455" spans="2:2">
      <c r="B4455" s="21">
        <f>IF(AND(C4455&lt;&gt;"", J4455&lt;&gt;""), HYPERLINK("#'" &amp; C4455 &amp; "'!" &amp; J4455, J4455), "")</f>
        <v>0</v>
      </c>
    </row>
    <row r="4456" spans="2:2">
      <c r="B4456" s="21">
        <f>IF(AND(C4456&lt;&gt;"", J4456&lt;&gt;""), HYPERLINK("#'" &amp; C4456 &amp; "'!" &amp; J4456, J4456), "")</f>
        <v>0</v>
      </c>
    </row>
    <row r="4457" spans="2:2">
      <c r="B4457" s="21">
        <f>IF(AND(C4457&lt;&gt;"", J4457&lt;&gt;""), HYPERLINK("#'" &amp; C4457 &amp; "'!" &amp; J4457, J4457), "")</f>
        <v>0</v>
      </c>
    </row>
    <row r="4458" spans="2:2">
      <c r="B4458" s="21">
        <f>IF(AND(C4458&lt;&gt;"", J4458&lt;&gt;""), HYPERLINK("#'" &amp; C4458 &amp; "'!" &amp; J4458, J4458), "")</f>
        <v>0</v>
      </c>
    </row>
    <row r="4459" spans="2:2">
      <c r="B4459" s="21">
        <f>IF(AND(C4459&lt;&gt;"", J4459&lt;&gt;""), HYPERLINK("#'" &amp; C4459 &amp; "'!" &amp; J4459, J4459), "")</f>
        <v>0</v>
      </c>
    </row>
    <row r="4460" spans="2:2">
      <c r="B4460" s="21">
        <f>IF(AND(C4460&lt;&gt;"", J4460&lt;&gt;""), HYPERLINK("#'" &amp; C4460 &amp; "'!" &amp; J4460, J4460), "")</f>
        <v>0</v>
      </c>
    </row>
    <row r="4461" spans="2:2">
      <c r="B4461" s="21">
        <f>IF(AND(C4461&lt;&gt;"", J4461&lt;&gt;""), HYPERLINK("#'" &amp; C4461 &amp; "'!" &amp; J4461, J4461), "")</f>
        <v>0</v>
      </c>
    </row>
    <row r="4462" spans="2:2">
      <c r="B4462" s="21">
        <f>IF(AND(C4462&lt;&gt;"", J4462&lt;&gt;""), HYPERLINK("#'" &amp; C4462 &amp; "'!" &amp; J4462, J4462), "")</f>
        <v>0</v>
      </c>
    </row>
    <row r="4463" spans="2:2">
      <c r="B4463" s="21">
        <f>IF(AND(C4463&lt;&gt;"", J4463&lt;&gt;""), HYPERLINK("#'" &amp; C4463 &amp; "'!" &amp; J4463, J4463), "")</f>
        <v>0</v>
      </c>
    </row>
    <row r="4464" spans="2:2">
      <c r="B4464" s="21">
        <f>IF(AND(C4464&lt;&gt;"", J4464&lt;&gt;""), HYPERLINK("#'" &amp; C4464 &amp; "'!" &amp; J4464, J4464), "")</f>
        <v>0</v>
      </c>
    </row>
    <row r="4465" spans="2:2">
      <c r="B4465" s="21">
        <f>IF(AND(C4465&lt;&gt;"", J4465&lt;&gt;""), HYPERLINK("#'" &amp; C4465 &amp; "'!" &amp; J4465, J4465), "")</f>
        <v>0</v>
      </c>
    </row>
    <row r="4466" spans="2:2">
      <c r="B4466" s="21">
        <f>IF(AND(C4466&lt;&gt;"", J4466&lt;&gt;""), HYPERLINK("#'" &amp; C4466 &amp; "'!" &amp; J4466, J4466), "")</f>
        <v>0</v>
      </c>
    </row>
    <row r="4467" spans="2:2">
      <c r="B4467" s="21">
        <f>IF(AND(C4467&lt;&gt;"", J4467&lt;&gt;""), HYPERLINK("#'" &amp; C4467 &amp; "'!" &amp; J4467, J4467), "")</f>
        <v>0</v>
      </c>
    </row>
    <row r="4468" spans="2:2">
      <c r="B4468" s="21">
        <f>IF(AND(C4468&lt;&gt;"", J4468&lt;&gt;""), HYPERLINK("#'" &amp; C4468 &amp; "'!" &amp; J4468, J4468), "")</f>
        <v>0</v>
      </c>
    </row>
    <row r="4469" spans="2:2">
      <c r="B4469" s="21">
        <f>IF(AND(C4469&lt;&gt;"", J4469&lt;&gt;""), HYPERLINK("#'" &amp; C4469 &amp; "'!" &amp; J4469, J4469), "")</f>
        <v>0</v>
      </c>
    </row>
    <row r="4470" spans="2:2">
      <c r="B4470" s="21">
        <f>IF(AND(C4470&lt;&gt;"", J4470&lt;&gt;""), HYPERLINK("#'" &amp; C4470 &amp; "'!" &amp; J4470, J4470), "")</f>
        <v>0</v>
      </c>
    </row>
    <row r="4471" spans="2:2">
      <c r="B4471" s="21">
        <f>IF(AND(C4471&lt;&gt;"", J4471&lt;&gt;""), HYPERLINK("#'" &amp; C4471 &amp; "'!" &amp; J4471, J4471), "")</f>
        <v>0</v>
      </c>
    </row>
    <row r="4472" spans="2:2">
      <c r="B4472" s="21">
        <f>IF(AND(C4472&lt;&gt;"", J4472&lt;&gt;""), HYPERLINK("#'" &amp; C4472 &amp; "'!" &amp; J4472, J4472), "")</f>
        <v>0</v>
      </c>
    </row>
    <row r="4473" spans="2:2">
      <c r="B4473" s="21">
        <f>IF(AND(C4473&lt;&gt;"", J4473&lt;&gt;""), HYPERLINK("#'" &amp; C4473 &amp; "'!" &amp; J4473, J4473), "")</f>
        <v>0</v>
      </c>
    </row>
    <row r="4474" spans="2:2">
      <c r="B4474" s="21">
        <f>IF(AND(C4474&lt;&gt;"", J4474&lt;&gt;""), HYPERLINK("#'" &amp; C4474 &amp; "'!" &amp; J4474, J4474), "")</f>
        <v>0</v>
      </c>
    </row>
    <row r="4475" spans="2:2">
      <c r="B4475" s="21">
        <f>IF(AND(C4475&lt;&gt;"", J4475&lt;&gt;""), HYPERLINK("#'" &amp; C4475 &amp; "'!" &amp; J4475, J4475), "")</f>
        <v>0</v>
      </c>
    </row>
    <row r="4476" spans="2:2">
      <c r="B4476" s="21">
        <f>IF(AND(C4476&lt;&gt;"", J4476&lt;&gt;""), HYPERLINK("#'" &amp; C4476 &amp; "'!" &amp; J4476, J4476), "")</f>
        <v>0</v>
      </c>
    </row>
    <row r="4477" spans="2:2">
      <c r="B4477" s="21">
        <f>IF(AND(C4477&lt;&gt;"", J4477&lt;&gt;""), HYPERLINK("#'" &amp; C4477 &amp; "'!" &amp; J4477, J4477), "")</f>
        <v>0</v>
      </c>
    </row>
    <row r="4478" spans="2:2">
      <c r="B4478" s="21">
        <f>IF(AND(C4478&lt;&gt;"", J4478&lt;&gt;""), HYPERLINK("#'" &amp; C4478 &amp; "'!" &amp; J4478, J4478), "")</f>
        <v>0</v>
      </c>
    </row>
    <row r="4479" spans="2:2">
      <c r="B4479" s="21">
        <f>IF(AND(C4479&lt;&gt;"", J4479&lt;&gt;""), HYPERLINK("#'" &amp; C4479 &amp; "'!" &amp; J4479, J4479), "")</f>
        <v>0</v>
      </c>
    </row>
    <row r="4480" spans="2:2">
      <c r="B4480" s="21">
        <f>IF(AND(C4480&lt;&gt;"", J4480&lt;&gt;""), HYPERLINK("#'" &amp; C4480 &amp; "'!" &amp; J4480, J4480), "")</f>
        <v>0</v>
      </c>
    </row>
    <row r="4481" spans="2:2">
      <c r="B4481" s="21">
        <f>IF(AND(C4481&lt;&gt;"", J4481&lt;&gt;""), HYPERLINK("#'" &amp; C4481 &amp; "'!" &amp; J4481, J4481), "")</f>
        <v>0</v>
      </c>
    </row>
    <row r="4482" spans="2:2">
      <c r="B4482" s="21">
        <f>IF(AND(C4482&lt;&gt;"", J4482&lt;&gt;""), HYPERLINK("#'" &amp; C4482 &amp; "'!" &amp; J4482, J4482), "")</f>
        <v>0</v>
      </c>
    </row>
    <row r="4483" spans="2:2">
      <c r="B4483" s="21">
        <f>IF(AND(C4483&lt;&gt;"", J4483&lt;&gt;""), HYPERLINK("#'" &amp; C4483 &amp; "'!" &amp; J4483, J4483), "")</f>
        <v>0</v>
      </c>
    </row>
    <row r="4484" spans="2:2">
      <c r="B4484" s="21">
        <f>IF(AND(C4484&lt;&gt;"", J4484&lt;&gt;""), HYPERLINK("#'" &amp; C4484 &amp; "'!" &amp; J4484, J4484), "")</f>
        <v>0</v>
      </c>
    </row>
    <row r="4485" spans="2:2">
      <c r="B4485" s="21">
        <f>IF(AND(C4485&lt;&gt;"", J4485&lt;&gt;""), HYPERLINK("#'" &amp; C4485 &amp; "'!" &amp; J4485, J4485), "")</f>
        <v>0</v>
      </c>
    </row>
    <row r="4486" spans="2:2">
      <c r="B4486" s="21">
        <f>IF(AND(C4486&lt;&gt;"", J4486&lt;&gt;""), HYPERLINK("#'" &amp; C4486 &amp; "'!" &amp; J4486, J4486), "")</f>
        <v>0</v>
      </c>
    </row>
    <row r="4487" spans="2:2">
      <c r="B4487" s="21">
        <f>IF(AND(C4487&lt;&gt;"", J4487&lt;&gt;""), HYPERLINK("#'" &amp; C4487 &amp; "'!" &amp; J4487, J4487), "")</f>
        <v>0</v>
      </c>
    </row>
    <row r="4488" spans="2:2">
      <c r="B4488" s="21">
        <f>IF(AND(C4488&lt;&gt;"", J4488&lt;&gt;""), HYPERLINK("#'" &amp; C4488 &amp; "'!" &amp; J4488, J4488), "")</f>
        <v>0</v>
      </c>
    </row>
    <row r="4489" spans="2:2">
      <c r="B4489" s="21">
        <f>IF(AND(C4489&lt;&gt;"", J4489&lt;&gt;""), HYPERLINK("#'" &amp; C4489 &amp; "'!" &amp; J4489, J4489), "")</f>
        <v>0</v>
      </c>
    </row>
    <row r="4490" spans="2:2">
      <c r="B4490" s="21">
        <f>IF(AND(C4490&lt;&gt;"", J4490&lt;&gt;""), HYPERLINK("#'" &amp; C4490 &amp; "'!" &amp; J4490, J4490), "")</f>
        <v>0</v>
      </c>
    </row>
    <row r="4491" spans="2:2">
      <c r="B4491" s="21">
        <f>IF(AND(C4491&lt;&gt;"", J4491&lt;&gt;""), HYPERLINK("#'" &amp; C4491 &amp; "'!" &amp; J4491, J4491), "")</f>
        <v>0</v>
      </c>
    </row>
    <row r="4492" spans="2:2">
      <c r="B4492" s="21">
        <f>IF(AND(C4492&lt;&gt;"", J4492&lt;&gt;""), HYPERLINK("#'" &amp; C4492 &amp; "'!" &amp; J4492, J4492), "")</f>
        <v>0</v>
      </c>
    </row>
    <row r="4493" spans="2:2">
      <c r="B4493" s="21">
        <f>IF(AND(C4493&lt;&gt;"", J4493&lt;&gt;""), HYPERLINK("#'" &amp; C4493 &amp; "'!" &amp; J4493, J4493), "")</f>
        <v>0</v>
      </c>
    </row>
    <row r="4494" spans="2:2">
      <c r="B4494" s="21">
        <f>IF(AND(C4494&lt;&gt;"", J4494&lt;&gt;""), HYPERLINK("#'" &amp; C4494 &amp; "'!" &amp; J4494, J4494), "")</f>
        <v>0</v>
      </c>
    </row>
    <row r="4495" spans="2:2">
      <c r="B4495" s="21">
        <f>IF(AND(C4495&lt;&gt;"", J4495&lt;&gt;""), HYPERLINK("#'" &amp; C4495 &amp; "'!" &amp; J4495, J4495), "")</f>
        <v>0</v>
      </c>
    </row>
    <row r="4496" spans="2:2">
      <c r="B4496" s="21">
        <f>IF(AND(C4496&lt;&gt;"", J4496&lt;&gt;""), HYPERLINK("#'" &amp; C4496 &amp; "'!" &amp; J4496, J4496), "")</f>
        <v>0</v>
      </c>
    </row>
    <row r="4497" spans="2:2">
      <c r="B4497" s="21">
        <f>IF(AND(C4497&lt;&gt;"", J4497&lt;&gt;""), HYPERLINK("#'" &amp; C4497 &amp; "'!" &amp; J4497, J4497), "")</f>
        <v>0</v>
      </c>
    </row>
    <row r="4498" spans="2:2">
      <c r="B4498" s="21">
        <f>IF(AND(C4498&lt;&gt;"", J4498&lt;&gt;""), HYPERLINK("#'" &amp; C4498 &amp; "'!" &amp; J4498, J4498), "")</f>
        <v>0</v>
      </c>
    </row>
    <row r="4499" spans="2:2">
      <c r="B4499" s="21">
        <f>IF(AND(C4499&lt;&gt;"", J4499&lt;&gt;""), HYPERLINK("#'" &amp; C4499 &amp; "'!" &amp; J4499, J4499), "")</f>
        <v>0</v>
      </c>
    </row>
    <row r="4500" spans="2:2">
      <c r="B4500" s="21">
        <f>IF(AND(C4500&lt;&gt;"", J4500&lt;&gt;""), HYPERLINK("#'" &amp; C4500 &amp; "'!" &amp; J4500, J4500), "")</f>
        <v>0</v>
      </c>
    </row>
    <row r="4501" spans="2:2">
      <c r="B4501" s="21">
        <f>IF(AND(C4501&lt;&gt;"", J4501&lt;&gt;""), HYPERLINK("#'" &amp; C4501 &amp; "'!" &amp; J4501, J4501), "")</f>
        <v>0</v>
      </c>
    </row>
    <row r="4502" spans="2:2">
      <c r="B4502" s="21">
        <f>IF(AND(C4502&lt;&gt;"", J4502&lt;&gt;""), HYPERLINK("#'" &amp; C4502 &amp; "'!" &amp; J4502, J4502), "")</f>
        <v>0</v>
      </c>
    </row>
    <row r="4503" spans="2:2">
      <c r="B4503" s="21">
        <f>IF(AND(C4503&lt;&gt;"", J4503&lt;&gt;""), HYPERLINK("#'" &amp; C4503 &amp; "'!" &amp; J4503, J4503), "")</f>
        <v>0</v>
      </c>
    </row>
    <row r="4504" spans="2:2">
      <c r="B4504" s="21">
        <f>IF(AND(C4504&lt;&gt;"", J4504&lt;&gt;""), HYPERLINK("#'" &amp; C4504 &amp; "'!" &amp; J4504, J4504), "")</f>
        <v>0</v>
      </c>
    </row>
    <row r="4505" spans="2:2">
      <c r="B4505" s="21">
        <f>IF(AND(C4505&lt;&gt;"", J4505&lt;&gt;""), HYPERLINK("#'" &amp; C4505 &amp; "'!" &amp; J4505, J4505), "")</f>
        <v>0</v>
      </c>
    </row>
    <row r="4506" spans="2:2">
      <c r="B4506" s="21">
        <f>IF(AND(C4506&lt;&gt;"", J4506&lt;&gt;""), HYPERLINK("#'" &amp; C4506 &amp; "'!" &amp; J4506, J4506), "")</f>
        <v>0</v>
      </c>
    </row>
    <row r="4507" spans="2:2">
      <c r="B4507" s="21">
        <f>IF(AND(C4507&lt;&gt;"", J4507&lt;&gt;""), HYPERLINK("#'" &amp; C4507 &amp; "'!" &amp; J4507, J4507), "")</f>
        <v>0</v>
      </c>
    </row>
    <row r="4508" spans="2:2">
      <c r="B4508" s="21">
        <f>IF(AND(C4508&lt;&gt;"", J4508&lt;&gt;""), HYPERLINK("#'" &amp; C4508 &amp; "'!" &amp; J4508, J4508), "")</f>
        <v>0</v>
      </c>
    </row>
    <row r="4509" spans="2:2">
      <c r="B4509" s="21">
        <f>IF(AND(C4509&lt;&gt;"", J4509&lt;&gt;""), HYPERLINK("#'" &amp; C4509 &amp; "'!" &amp; J4509, J4509), "")</f>
        <v>0</v>
      </c>
    </row>
    <row r="4510" spans="2:2">
      <c r="B4510" s="21">
        <f>IF(AND(C4510&lt;&gt;"", J4510&lt;&gt;""), HYPERLINK("#'" &amp; C4510 &amp; "'!" &amp; J4510, J4510), "")</f>
        <v>0</v>
      </c>
    </row>
    <row r="4511" spans="2:2">
      <c r="B4511" s="21">
        <f>IF(AND(C4511&lt;&gt;"", J4511&lt;&gt;""), HYPERLINK("#'" &amp; C4511 &amp; "'!" &amp; J4511, J4511), "")</f>
        <v>0</v>
      </c>
    </row>
    <row r="4512" spans="2:2">
      <c r="B4512" s="21">
        <f>IF(AND(C4512&lt;&gt;"", J4512&lt;&gt;""), HYPERLINK("#'" &amp; C4512 &amp; "'!" &amp; J4512, J4512), "")</f>
        <v>0</v>
      </c>
    </row>
    <row r="4513" spans="2:2">
      <c r="B4513" s="21">
        <f>IF(AND(C4513&lt;&gt;"", J4513&lt;&gt;""), HYPERLINK("#'" &amp; C4513 &amp; "'!" &amp; J4513, J4513), "")</f>
        <v>0</v>
      </c>
    </row>
    <row r="4514" spans="2:2">
      <c r="B4514" s="21">
        <f>IF(AND(C4514&lt;&gt;"", J4514&lt;&gt;""), HYPERLINK("#'" &amp; C4514 &amp; "'!" &amp; J4514, J4514), "")</f>
        <v>0</v>
      </c>
    </row>
    <row r="4515" spans="2:2">
      <c r="B4515" s="21">
        <f>IF(AND(C4515&lt;&gt;"", J4515&lt;&gt;""), HYPERLINK("#'" &amp; C4515 &amp; "'!" &amp; J4515, J4515), "")</f>
        <v>0</v>
      </c>
    </row>
    <row r="4516" spans="2:2">
      <c r="B4516" s="21">
        <f>IF(AND(C4516&lt;&gt;"", J4516&lt;&gt;""), HYPERLINK("#'" &amp; C4516 &amp; "'!" &amp; J4516, J4516), "")</f>
        <v>0</v>
      </c>
    </row>
    <row r="4517" spans="2:2">
      <c r="B4517" s="21">
        <f>IF(AND(C4517&lt;&gt;"", J4517&lt;&gt;""), HYPERLINK("#'" &amp; C4517 &amp; "'!" &amp; J4517, J4517), "")</f>
        <v>0</v>
      </c>
    </row>
    <row r="4518" spans="2:2">
      <c r="B4518" s="21">
        <f>IF(AND(C4518&lt;&gt;"", J4518&lt;&gt;""), HYPERLINK("#'" &amp; C4518 &amp; "'!" &amp; J4518, J4518), "")</f>
        <v>0</v>
      </c>
    </row>
    <row r="4519" spans="2:2">
      <c r="B4519" s="21">
        <f>IF(AND(C4519&lt;&gt;"", J4519&lt;&gt;""), HYPERLINK("#'" &amp; C4519 &amp; "'!" &amp; J4519, J4519), "")</f>
        <v>0</v>
      </c>
    </row>
    <row r="4520" spans="2:2">
      <c r="B4520" s="21">
        <f>IF(AND(C4520&lt;&gt;"", J4520&lt;&gt;""), HYPERLINK("#'" &amp; C4520 &amp; "'!" &amp; J4520, J4520), "")</f>
        <v>0</v>
      </c>
    </row>
    <row r="4521" spans="2:2">
      <c r="B4521" s="21">
        <f>IF(AND(C4521&lt;&gt;"", J4521&lt;&gt;""), HYPERLINK("#'" &amp; C4521 &amp; "'!" &amp; J4521, J4521), "")</f>
        <v>0</v>
      </c>
    </row>
    <row r="4522" spans="2:2">
      <c r="B4522" s="21">
        <f>IF(AND(C4522&lt;&gt;"", J4522&lt;&gt;""), HYPERLINK("#'" &amp; C4522 &amp; "'!" &amp; J4522, J4522), "")</f>
        <v>0</v>
      </c>
    </row>
    <row r="4523" spans="2:2">
      <c r="B4523" s="21">
        <f>IF(AND(C4523&lt;&gt;"", J4523&lt;&gt;""), HYPERLINK("#'" &amp; C4523 &amp; "'!" &amp; J4523, J4523), "")</f>
        <v>0</v>
      </c>
    </row>
    <row r="4524" spans="2:2">
      <c r="B4524" s="21">
        <f>IF(AND(C4524&lt;&gt;"", J4524&lt;&gt;""), HYPERLINK("#'" &amp; C4524 &amp; "'!" &amp; J4524, J4524), "")</f>
        <v>0</v>
      </c>
    </row>
    <row r="4525" spans="2:2">
      <c r="B4525" s="21">
        <f>IF(AND(C4525&lt;&gt;"", J4525&lt;&gt;""), HYPERLINK("#'" &amp; C4525 &amp; "'!" &amp; J4525, J4525), "")</f>
        <v>0</v>
      </c>
    </row>
    <row r="4526" spans="2:2">
      <c r="B4526" s="21">
        <f>IF(AND(C4526&lt;&gt;"", J4526&lt;&gt;""), HYPERLINK("#'" &amp; C4526 &amp; "'!" &amp; J4526, J4526), "")</f>
        <v>0</v>
      </c>
    </row>
    <row r="4527" spans="2:2">
      <c r="B4527" s="21">
        <f>IF(AND(C4527&lt;&gt;"", J4527&lt;&gt;""), HYPERLINK("#'" &amp; C4527 &amp; "'!" &amp; J4527, J4527), "")</f>
        <v>0</v>
      </c>
    </row>
    <row r="4528" spans="2:2">
      <c r="B4528" s="21">
        <f>IF(AND(C4528&lt;&gt;"", J4528&lt;&gt;""), HYPERLINK("#'" &amp; C4528 &amp; "'!" &amp; J4528, J4528), "")</f>
        <v>0</v>
      </c>
    </row>
    <row r="4529" spans="2:2">
      <c r="B4529" s="21">
        <f>IF(AND(C4529&lt;&gt;"", J4529&lt;&gt;""), HYPERLINK("#'" &amp; C4529 &amp; "'!" &amp; J4529, J4529), "")</f>
        <v>0</v>
      </c>
    </row>
    <row r="4530" spans="2:2">
      <c r="B4530" s="21">
        <f>IF(AND(C4530&lt;&gt;"", J4530&lt;&gt;""), HYPERLINK("#'" &amp; C4530 &amp; "'!" &amp; J4530, J4530), "")</f>
        <v>0</v>
      </c>
    </row>
    <row r="4531" spans="2:2">
      <c r="B4531" s="21">
        <f>IF(AND(C4531&lt;&gt;"", J4531&lt;&gt;""), HYPERLINK("#'" &amp; C4531 &amp; "'!" &amp; J4531, J4531), "")</f>
        <v>0</v>
      </c>
    </row>
    <row r="4532" spans="2:2">
      <c r="B4532" s="21">
        <f>IF(AND(C4532&lt;&gt;"", J4532&lt;&gt;""), HYPERLINK("#'" &amp; C4532 &amp; "'!" &amp; J4532, J4532), "")</f>
        <v>0</v>
      </c>
    </row>
    <row r="4533" spans="2:2">
      <c r="B4533" s="21">
        <f>IF(AND(C4533&lt;&gt;"", J4533&lt;&gt;""), HYPERLINK("#'" &amp; C4533 &amp; "'!" &amp; J4533, J4533), "")</f>
        <v>0</v>
      </c>
    </row>
    <row r="4534" spans="2:2">
      <c r="B4534" s="21">
        <f>IF(AND(C4534&lt;&gt;"", J4534&lt;&gt;""), HYPERLINK("#'" &amp; C4534 &amp; "'!" &amp; J4534, J4534), "")</f>
        <v>0</v>
      </c>
    </row>
    <row r="4535" spans="2:2">
      <c r="B4535" s="21">
        <f>IF(AND(C4535&lt;&gt;"", J4535&lt;&gt;""), HYPERLINK("#'" &amp; C4535 &amp; "'!" &amp; J4535, J4535), "")</f>
        <v>0</v>
      </c>
    </row>
    <row r="4536" spans="2:2">
      <c r="B4536" s="21">
        <f>IF(AND(C4536&lt;&gt;"", J4536&lt;&gt;""), HYPERLINK("#'" &amp; C4536 &amp; "'!" &amp; J4536, J4536), "")</f>
        <v>0</v>
      </c>
    </row>
    <row r="4537" spans="2:2">
      <c r="B4537" s="21">
        <f>IF(AND(C4537&lt;&gt;"", J4537&lt;&gt;""), HYPERLINK("#'" &amp; C4537 &amp; "'!" &amp; J4537, J4537), "")</f>
        <v>0</v>
      </c>
    </row>
    <row r="4538" spans="2:2">
      <c r="B4538" s="21">
        <f>IF(AND(C4538&lt;&gt;"", J4538&lt;&gt;""), HYPERLINK("#'" &amp; C4538 &amp; "'!" &amp; J4538, J4538), "")</f>
        <v>0</v>
      </c>
    </row>
    <row r="4539" spans="2:2">
      <c r="B4539" s="21">
        <f>IF(AND(C4539&lt;&gt;"", J4539&lt;&gt;""), HYPERLINK("#'" &amp; C4539 &amp; "'!" &amp; J4539, J4539), "")</f>
        <v>0</v>
      </c>
    </row>
    <row r="4540" spans="2:2">
      <c r="B4540" s="21">
        <f>IF(AND(C4540&lt;&gt;"", J4540&lt;&gt;""), HYPERLINK("#'" &amp; C4540 &amp; "'!" &amp; J4540, J4540), "")</f>
        <v>0</v>
      </c>
    </row>
    <row r="4541" spans="2:2">
      <c r="B4541" s="21">
        <f>IF(AND(C4541&lt;&gt;"", J4541&lt;&gt;""), HYPERLINK("#'" &amp; C4541 &amp; "'!" &amp; J4541, J4541), "")</f>
        <v>0</v>
      </c>
    </row>
    <row r="4542" spans="2:2">
      <c r="B4542" s="21">
        <f>IF(AND(C4542&lt;&gt;"", J4542&lt;&gt;""), HYPERLINK("#'" &amp; C4542 &amp; "'!" &amp; J4542, J4542), "")</f>
        <v>0</v>
      </c>
    </row>
    <row r="4543" spans="2:2">
      <c r="B4543" s="21">
        <f>IF(AND(C4543&lt;&gt;"", J4543&lt;&gt;""), HYPERLINK("#'" &amp; C4543 &amp; "'!" &amp; J4543, J4543), "")</f>
        <v>0</v>
      </c>
    </row>
    <row r="4544" spans="2:2">
      <c r="B4544" s="21">
        <f>IF(AND(C4544&lt;&gt;"", J4544&lt;&gt;""), HYPERLINK("#'" &amp; C4544 &amp; "'!" &amp; J4544, J4544), "")</f>
        <v>0</v>
      </c>
    </row>
    <row r="4545" spans="2:2">
      <c r="B4545" s="21">
        <f>IF(AND(C4545&lt;&gt;"", J4545&lt;&gt;""), HYPERLINK("#'" &amp; C4545 &amp; "'!" &amp; J4545, J4545), "")</f>
        <v>0</v>
      </c>
    </row>
    <row r="4546" spans="2:2">
      <c r="B4546" s="21">
        <f>IF(AND(C4546&lt;&gt;"", J4546&lt;&gt;""), HYPERLINK("#'" &amp; C4546 &amp; "'!" &amp; J4546, J4546), "")</f>
        <v>0</v>
      </c>
    </row>
    <row r="4547" spans="2:2">
      <c r="B4547" s="21">
        <f>IF(AND(C4547&lt;&gt;"", J4547&lt;&gt;""), HYPERLINK("#'" &amp; C4547 &amp; "'!" &amp; J4547, J4547), "")</f>
        <v>0</v>
      </c>
    </row>
    <row r="4548" spans="2:2">
      <c r="B4548" s="21">
        <f>IF(AND(C4548&lt;&gt;"", J4548&lt;&gt;""), HYPERLINK("#'" &amp; C4548 &amp; "'!" &amp; J4548, J4548), "")</f>
        <v>0</v>
      </c>
    </row>
    <row r="4549" spans="2:2">
      <c r="B4549" s="21">
        <f>IF(AND(C4549&lt;&gt;"", J4549&lt;&gt;""), HYPERLINK("#'" &amp; C4549 &amp; "'!" &amp; J4549, J4549), "")</f>
        <v>0</v>
      </c>
    </row>
    <row r="4550" spans="2:2">
      <c r="B4550" s="21">
        <f>IF(AND(C4550&lt;&gt;"", J4550&lt;&gt;""), HYPERLINK("#'" &amp; C4550 &amp; "'!" &amp; J4550, J4550), "")</f>
        <v>0</v>
      </c>
    </row>
    <row r="4551" spans="2:2">
      <c r="B4551" s="21">
        <f>IF(AND(C4551&lt;&gt;"", J4551&lt;&gt;""), HYPERLINK("#'" &amp; C4551 &amp; "'!" &amp; J4551, J4551), "")</f>
        <v>0</v>
      </c>
    </row>
    <row r="4552" spans="2:2">
      <c r="B4552" s="21">
        <f>IF(AND(C4552&lt;&gt;"", J4552&lt;&gt;""), HYPERLINK("#'" &amp; C4552 &amp; "'!" &amp; J4552, J4552), "")</f>
        <v>0</v>
      </c>
    </row>
    <row r="4553" spans="2:2">
      <c r="B4553" s="21">
        <f>IF(AND(C4553&lt;&gt;"", J4553&lt;&gt;""), HYPERLINK("#'" &amp; C4553 &amp; "'!" &amp; J4553, J4553), "")</f>
        <v>0</v>
      </c>
    </row>
    <row r="4554" spans="2:2">
      <c r="B4554" s="21">
        <f>IF(AND(C4554&lt;&gt;"", J4554&lt;&gt;""), HYPERLINK("#'" &amp; C4554 &amp; "'!" &amp; J4554, J4554), "")</f>
        <v>0</v>
      </c>
    </row>
    <row r="4555" spans="2:2">
      <c r="B4555" s="21">
        <f>IF(AND(C4555&lt;&gt;"", J4555&lt;&gt;""), HYPERLINK("#'" &amp; C4555 &amp; "'!" &amp; J4555, J4555), "")</f>
        <v>0</v>
      </c>
    </row>
    <row r="4556" spans="2:2">
      <c r="B4556" s="21">
        <f>IF(AND(C4556&lt;&gt;"", J4556&lt;&gt;""), HYPERLINK("#'" &amp; C4556 &amp; "'!" &amp; J4556, J4556), "")</f>
        <v>0</v>
      </c>
    </row>
    <row r="4557" spans="2:2">
      <c r="B4557" s="21">
        <f>IF(AND(C4557&lt;&gt;"", J4557&lt;&gt;""), HYPERLINK("#'" &amp; C4557 &amp; "'!" &amp; J4557, J4557), "")</f>
        <v>0</v>
      </c>
    </row>
    <row r="4558" spans="2:2">
      <c r="B4558" s="21">
        <f>IF(AND(C4558&lt;&gt;"", J4558&lt;&gt;""), HYPERLINK("#'" &amp; C4558 &amp; "'!" &amp; J4558, J4558), "")</f>
        <v>0</v>
      </c>
    </row>
    <row r="4559" spans="2:2">
      <c r="B4559" s="21">
        <f>IF(AND(C4559&lt;&gt;"", J4559&lt;&gt;""), HYPERLINK("#'" &amp; C4559 &amp; "'!" &amp; J4559, J4559), "")</f>
        <v>0</v>
      </c>
    </row>
    <row r="4560" spans="2:2">
      <c r="B4560" s="21">
        <f>IF(AND(C4560&lt;&gt;"", J4560&lt;&gt;""), HYPERLINK("#'" &amp; C4560 &amp; "'!" &amp; J4560, J4560), "")</f>
        <v>0</v>
      </c>
    </row>
    <row r="4561" spans="2:2">
      <c r="B4561" s="21">
        <f>IF(AND(C4561&lt;&gt;"", J4561&lt;&gt;""), HYPERLINK("#'" &amp; C4561 &amp; "'!" &amp; J4561, J4561), "")</f>
        <v>0</v>
      </c>
    </row>
    <row r="4562" spans="2:2">
      <c r="B4562" s="21">
        <f>IF(AND(C4562&lt;&gt;"", J4562&lt;&gt;""), HYPERLINK("#'" &amp; C4562 &amp; "'!" &amp; J4562, J4562), "")</f>
        <v>0</v>
      </c>
    </row>
    <row r="4563" spans="2:2">
      <c r="B4563" s="21">
        <f>IF(AND(C4563&lt;&gt;"", J4563&lt;&gt;""), HYPERLINK("#'" &amp; C4563 &amp; "'!" &amp; J4563, J4563), "")</f>
        <v>0</v>
      </c>
    </row>
    <row r="4564" spans="2:2">
      <c r="B4564" s="21">
        <f>IF(AND(C4564&lt;&gt;"", J4564&lt;&gt;""), HYPERLINK("#'" &amp; C4564 &amp; "'!" &amp; J4564, J4564), "")</f>
        <v>0</v>
      </c>
    </row>
    <row r="4565" spans="2:2">
      <c r="B4565" s="21">
        <f>IF(AND(C4565&lt;&gt;"", J4565&lt;&gt;""), HYPERLINK("#'" &amp; C4565 &amp; "'!" &amp; J4565, J4565), "")</f>
        <v>0</v>
      </c>
    </row>
    <row r="4566" spans="2:2">
      <c r="B4566" s="21">
        <f>IF(AND(C4566&lt;&gt;"", J4566&lt;&gt;""), HYPERLINK("#'" &amp; C4566 &amp; "'!" &amp; J4566, J4566), "")</f>
        <v>0</v>
      </c>
    </row>
    <row r="4567" spans="2:2">
      <c r="B4567" s="21">
        <f>IF(AND(C4567&lt;&gt;"", J4567&lt;&gt;""), HYPERLINK("#'" &amp; C4567 &amp; "'!" &amp; J4567, J4567), "")</f>
        <v>0</v>
      </c>
    </row>
    <row r="4568" spans="2:2">
      <c r="B4568" s="21">
        <f>IF(AND(C4568&lt;&gt;"", J4568&lt;&gt;""), HYPERLINK("#'" &amp; C4568 &amp; "'!" &amp; J4568, J4568), "")</f>
        <v>0</v>
      </c>
    </row>
    <row r="4569" spans="2:2">
      <c r="B4569" s="21">
        <f>IF(AND(C4569&lt;&gt;"", J4569&lt;&gt;""), HYPERLINK("#'" &amp; C4569 &amp; "'!" &amp; J4569, J4569), "")</f>
        <v>0</v>
      </c>
    </row>
    <row r="4570" spans="2:2">
      <c r="B4570" s="21">
        <f>IF(AND(C4570&lt;&gt;"", J4570&lt;&gt;""), HYPERLINK("#'" &amp; C4570 &amp; "'!" &amp; J4570, J4570), "")</f>
        <v>0</v>
      </c>
    </row>
    <row r="4571" spans="2:2">
      <c r="B4571" s="21">
        <f>IF(AND(C4571&lt;&gt;"", J4571&lt;&gt;""), HYPERLINK("#'" &amp; C4571 &amp; "'!" &amp; J4571, J4571), "")</f>
        <v>0</v>
      </c>
    </row>
    <row r="4572" spans="2:2">
      <c r="B4572" s="21">
        <f>IF(AND(C4572&lt;&gt;"", J4572&lt;&gt;""), HYPERLINK("#'" &amp; C4572 &amp; "'!" &amp; J4572, J4572), "")</f>
        <v>0</v>
      </c>
    </row>
    <row r="4573" spans="2:2">
      <c r="B4573" s="21">
        <f>IF(AND(C4573&lt;&gt;"", J4573&lt;&gt;""), HYPERLINK("#'" &amp; C4573 &amp; "'!" &amp; J4573, J4573), "")</f>
        <v>0</v>
      </c>
    </row>
    <row r="4574" spans="2:2">
      <c r="B4574" s="21">
        <f>IF(AND(C4574&lt;&gt;"", J4574&lt;&gt;""), HYPERLINK("#'" &amp; C4574 &amp; "'!" &amp; J4574, J4574), "")</f>
        <v>0</v>
      </c>
    </row>
    <row r="4575" spans="2:2">
      <c r="B4575" s="21">
        <f>IF(AND(C4575&lt;&gt;"", J4575&lt;&gt;""), HYPERLINK("#'" &amp; C4575 &amp; "'!" &amp; J4575, J4575), "")</f>
        <v>0</v>
      </c>
    </row>
    <row r="4576" spans="2:2">
      <c r="B4576" s="21">
        <f>IF(AND(C4576&lt;&gt;"", J4576&lt;&gt;""), HYPERLINK("#'" &amp; C4576 &amp; "'!" &amp; J4576, J4576), "")</f>
        <v>0</v>
      </c>
    </row>
    <row r="4577" spans="2:2">
      <c r="B4577" s="21">
        <f>IF(AND(C4577&lt;&gt;"", J4577&lt;&gt;""), HYPERLINK("#'" &amp; C4577 &amp; "'!" &amp; J4577, J4577), "")</f>
        <v>0</v>
      </c>
    </row>
    <row r="4578" spans="2:2">
      <c r="B4578" s="21">
        <f>IF(AND(C4578&lt;&gt;"", J4578&lt;&gt;""), HYPERLINK("#'" &amp; C4578 &amp; "'!" &amp; J4578, J4578), "")</f>
        <v>0</v>
      </c>
    </row>
    <row r="4579" spans="2:2">
      <c r="B4579" s="21">
        <f>IF(AND(C4579&lt;&gt;"", J4579&lt;&gt;""), HYPERLINK("#'" &amp; C4579 &amp; "'!" &amp; J4579, J4579), "")</f>
        <v>0</v>
      </c>
    </row>
    <row r="4580" spans="2:2">
      <c r="B4580" s="21">
        <f>IF(AND(C4580&lt;&gt;"", J4580&lt;&gt;""), HYPERLINK("#'" &amp; C4580 &amp; "'!" &amp; J4580, J4580), "")</f>
        <v>0</v>
      </c>
    </row>
    <row r="4581" spans="2:2">
      <c r="B4581" s="21">
        <f>IF(AND(C4581&lt;&gt;"", J4581&lt;&gt;""), HYPERLINK("#'" &amp; C4581 &amp; "'!" &amp; J4581, J4581), "")</f>
        <v>0</v>
      </c>
    </row>
    <row r="4582" spans="2:2">
      <c r="B4582" s="21">
        <f>IF(AND(C4582&lt;&gt;"", J4582&lt;&gt;""), HYPERLINK("#'" &amp; C4582 &amp; "'!" &amp; J4582, J4582), "")</f>
        <v>0</v>
      </c>
    </row>
    <row r="4583" spans="2:2">
      <c r="B4583" s="21">
        <f>IF(AND(C4583&lt;&gt;"", J4583&lt;&gt;""), HYPERLINK("#'" &amp; C4583 &amp; "'!" &amp; J4583, J4583), "")</f>
        <v>0</v>
      </c>
    </row>
    <row r="4584" spans="2:2">
      <c r="B4584" s="21">
        <f>IF(AND(C4584&lt;&gt;"", J4584&lt;&gt;""), HYPERLINK("#'" &amp; C4584 &amp; "'!" &amp; J4584, J4584), "")</f>
        <v>0</v>
      </c>
    </row>
    <row r="4585" spans="2:2">
      <c r="B4585" s="21">
        <f>IF(AND(C4585&lt;&gt;"", J4585&lt;&gt;""), HYPERLINK("#'" &amp; C4585 &amp; "'!" &amp; J4585, J4585), "")</f>
        <v>0</v>
      </c>
    </row>
    <row r="4586" spans="2:2">
      <c r="B4586" s="21">
        <f>IF(AND(C4586&lt;&gt;"", J4586&lt;&gt;""), HYPERLINK("#'" &amp; C4586 &amp; "'!" &amp; J4586, J4586), "")</f>
        <v>0</v>
      </c>
    </row>
    <row r="4587" spans="2:2">
      <c r="B4587" s="21">
        <f>IF(AND(C4587&lt;&gt;"", J4587&lt;&gt;""), HYPERLINK("#'" &amp; C4587 &amp; "'!" &amp; J4587, J4587), "")</f>
        <v>0</v>
      </c>
    </row>
    <row r="4588" spans="2:2">
      <c r="B4588" s="21">
        <f>IF(AND(C4588&lt;&gt;"", J4588&lt;&gt;""), HYPERLINK("#'" &amp; C4588 &amp; "'!" &amp; J4588, J4588), "")</f>
        <v>0</v>
      </c>
    </row>
    <row r="4589" spans="2:2">
      <c r="B4589" s="21">
        <f>IF(AND(C4589&lt;&gt;"", J4589&lt;&gt;""), HYPERLINK("#'" &amp; C4589 &amp; "'!" &amp; J4589, J4589), "")</f>
        <v>0</v>
      </c>
    </row>
    <row r="4590" spans="2:2">
      <c r="B4590" s="21">
        <f>IF(AND(C4590&lt;&gt;"", J4590&lt;&gt;""), HYPERLINK("#'" &amp; C4590 &amp; "'!" &amp; J4590, J4590), "")</f>
        <v>0</v>
      </c>
    </row>
    <row r="4591" spans="2:2">
      <c r="B4591" s="21">
        <f>IF(AND(C4591&lt;&gt;"", J4591&lt;&gt;""), HYPERLINK("#'" &amp; C4591 &amp; "'!" &amp; J4591, J4591), "")</f>
        <v>0</v>
      </c>
    </row>
    <row r="4592" spans="2:2">
      <c r="B4592" s="21">
        <f>IF(AND(C4592&lt;&gt;"", J4592&lt;&gt;""), HYPERLINK("#'" &amp; C4592 &amp; "'!" &amp; J4592, J4592), "")</f>
        <v>0</v>
      </c>
    </row>
    <row r="4593" spans="2:2">
      <c r="B4593" s="21">
        <f>IF(AND(C4593&lt;&gt;"", J4593&lt;&gt;""), HYPERLINK("#'" &amp; C4593 &amp; "'!" &amp; J4593, J4593), "")</f>
        <v>0</v>
      </c>
    </row>
    <row r="4594" spans="2:2">
      <c r="B4594" s="21">
        <f>IF(AND(C4594&lt;&gt;"", J4594&lt;&gt;""), HYPERLINK("#'" &amp; C4594 &amp; "'!" &amp; J4594, J4594), "")</f>
        <v>0</v>
      </c>
    </row>
    <row r="4595" spans="2:2">
      <c r="B4595" s="21">
        <f>IF(AND(C4595&lt;&gt;"", J4595&lt;&gt;""), HYPERLINK("#'" &amp; C4595 &amp; "'!" &amp; J4595, J4595), "")</f>
        <v>0</v>
      </c>
    </row>
    <row r="4596" spans="2:2">
      <c r="B4596" s="21">
        <f>IF(AND(C4596&lt;&gt;"", J4596&lt;&gt;""), HYPERLINK("#'" &amp; C4596 &amp; "'!" &amp; J4596, J4596), "")</f>
        <v>0</v>
      </c>
    </row>
    <row r="4597" spans="2:2">
      <c r="B4597" s="21">
        <f>IF(AND(C4597&lt;&gt;"", J4597&lt;&gt;""), HYPERLINK("#'" &amp; C4597 &amp; "'!" &amp; J4597, J4597), "")</f>
        <v>0</v>
      </c>
    </row>
    <row r="4598" spans="2:2">
      <c r="B4598" s="21">
        <f>IF(AND(C4598&lt;&gt;"", J4598&lt;&gt;""), HYPERLINK("#'" &amp; C4598 &amp; "'!" &amp; J4598, J4598), "")</f>
        <v>0</v>
      </c>
    </row>
    <row r="4599" spans="2:2">
      <c r="B4599" s="21">
        <f>IF(AND(C4599&lt;&gt;"", J4599&lt;&gt;""), HYPERLINK("#'" &amp; C4599 &amp; "'!" &amp; J4599, J4599), "")</f>
        <v>0</v>
      </c>
    </row>
    <row r="4600" spans="2:2">
      <c r="B4600" s="21">
        <f>IF(AND(C4600&lt;&gt;"", J4600&lt;&gt;""), HYPERLINK("#'" &amp; C4600 &amp; "'!" &amp; J4600, J4600), "")</f>
        <v>0</v>
      </c>
    </row>
    <row r="4601" spans="2:2">
      <c r="B4601" s="21">
        <f>IF(AND(C4601&lt;&gt;"", J4601&lt;&gt;""), HYPERLINK("#'" &amp; C4601 &amp; "'!" &amp; J4601, J4601), "")</f>
        <v>0</v>
      </c>
    </row>
    <row r="4602" spans="2:2">
      <c r="B4602" s="21">
        <f>IF(AND(C4602&lt;&gt;"", J4602&lt;&gt;""), HYPERLINK("#'" &amp; C4602 &amp; "'!" &amp; J4602, J4602), "")</f>
        <v>0</v>
      </c>
    </row>
    <row r="4603" spans="2:2">
      <c r="B4603" s="21">
        <f>IF(AND(C4603&lt;&gt;"", J4603&lt;&gt;""), HYPERLINK("#'" &amp; C4603 &amp; "'!" &amp; J4603, J4603), "")</f>
        <v>0</v>
      </c>
    </row>
    <row r="4604" spans="2:2">
      <c r="B4604" s="21">
        <f>IF(AND(C4604&lt;&gt;"", J4604&lt;&gt;""), HYPERLINK("#'" &amp; C4604 &amp; "'!" &amp; J4604, J4604), "")</f>
        <v>0</v>
      </c>
    </row>
    <row r="4605" spans="2:2">
      <c r="B4605" s="21">
        <f>IF(AND(C4605&lt;&gt;"", J4605&lt;&gt;""), HYPERLINK("#'" &amp; C4605 &amp; "'!" &amp; J4605, J4605), "")</f>
        <v>0</v>
      </c>
    </row>
    <row r="4606" spans="2:2">
      <c r="B4606" s="21">
        <f>IF(AND(C4606&lt;&gt;"", J4606&lt;&gt;""), HYPERLINK("#'" &amp; C4606 &amp; "'!" &amp; J4606, J4606), "")</f>
        <v>0</v>
      </c>
    </row>
    <row r="4607" spans="2:2">
      <c r="B4607" s="21">
        <f>IF(AND(C4607&lt;&gt;"", J4607&lt;&gt;""), HYPERLINK("#'" &amp; C4607 &amp; "'!" &amp; J4607, J4607), "")</f>
        <v>0</v>
      </c>
    </row>
    <row r="4608" spans="2:2">
      <c r="B4608" s="21">
        <f>IF(AND(C4608&lt;&gt;"", J4608&lt;&gt;""), HYPERLINK("#'" &amp; C4608 &amp; "'!" &amp; J4608, J4608), "")</f>
        <v>0</v>
      </c>
    </row>
    <row r="4609" spans="2:2">
      <c r="B4609" s="21">
        <f>IF(AND(C4609&lt;&gt;"", J4609&lt;&gt;""), HYPERLINK("#'" &amp; C4609 &amp; "'!" &amp; J4609, J4609), "")</f>
        <v>0</v>
      </c>
    </row>
    <row r="4610" spans="2:2">
      <c r="B4610" s="21">
        <f>IF(AND(C4610&lt;&gt;"", J4610&lt;&gt;""), HYPERLINK("#'" &amp; C4610 &amp; "'!" &amp; J4610, J4610), "")</f>
        <v>0</v>
      </c>
    </row>
    <row r="4611" spans="2:2">
      <c r="B4611" s="21">
        <f>IF(AND(C4611&lt;&gt;"", J4611&lt;&gt;""), HYPERLINK("#'" &amp; C4611 &amp; "'!" &amp; J4611, J4611), "")</f>
        <v>0</v>
      </c>
    </row>
    <row r="4612" spans="2:2">
      <c r="B4612" s="21">
        <f>IF(AND(C4612&lt;&gt;"", J4612&lt;&gt;""), HYPERLINK("#'" &amp; C4612 &amp; "'!" &amp; J4612, J4612), "")</f>
        <v>0</v>
      </c>
    </row>
    <row r="4613" spans="2:2">
      <c r="B4613" s="21">
        <f>IF(AND(C4613&lt;&gt;"", J4613&lt;&gt;""), HYPERLINK("#'" &amp; C4613 &amp; "'!" &amp; J4613, J4613), "")</f>
        <v>0</v>
      </c>
    </row>
    <row r="4614" spans="2:2">
      <c r="B4614" s="21">
        <f>IF(AND(C4614&lt;&gt;"", J4614&lt;&gt;""), HYPERLINK("#'" &amp; C4614 &amp; "'!" &amp; J4614, J4614), "")</f>
        <v>0</v>
      </c>
    </row>
    <row r="4615" spans="2:2">
      <c r="B4615" s="21">
        <f>IF(AND(C4615&lt;&gt;"", J4615&lt;&gt;""), HYPERLINK("#'" &amp; C4615 &amp; "'!" &amp; J4615, J4615), "")</f>
        <v>0</v>
      </c>
    </row>
    <row r="4616" spans="2:2">
      <c r="B4616" s="21">
        <f>IF(AND(C4616&lt;&gt;"", J4616&lt;&gt;""), HYPERLINK("#'" &amp; C4616 &amp; "'!" &amp; J4616, J4616), "")</f>
        <v>0</v>
      </c>
    </row>
    <row r="4617" spans="2:2">
      <c r="B4617" s="21">
        <f>IF(AND(C4617&lt;&gt;"", J4617&lt;&gt;""), HYPERLINK("#'" &amp; C4617 &amp; "'!" &amp; J4617, J4617), "")</f>
        <v>0</v>
      </c>
    </row>
    <row r="4618" spans="2:2">
      <c r="B4618" s="21">
        <f>IF(AND(C4618&lt;&gt;"", J4618&lt;&gt;""), HYPERLINK("#'" &amp; C4618 &amp; "'!" &amp; J4618, J4618), "")</f>
        <v>0</v>
      </c>
    </row>
    <row r="4619" spans="2:2">
      <c r="B4619" s="21">
        <f>IF(AND(C4619&lt;&gt;"", J4619&lt;&gt;""), HYPERLINK("#'" &amp; C4619 &amp; "'!" &amp; J4619, J4619), "")</f>
        <v>0</v>
      </c>
    </row>
    <row r="4620" spans="2:2">
      <c r="B4620" s="21">
        <f>IF(AND(C4620&lt;&gt;"", J4620&lt;&gt;""), HYPERLINK("#'" &amp; C4620 &amp; "'!" &amp; J4620, J4620), "")</f>
        <v>0</v>
      </c>
    </row>
    <row r="4621" spans="2:2">
      <c r="B4621" s="21">
        <f>IF(AND(C4621&lt;&gt;"", J4621&lt;&gt;""), HYPERLINK("#'" &amp; C4621 &amp; "'!" &amp; J4621, J4621), "")</f>
        <v>0</v>
      </c>
    </row>
    <row r="4622" spans="2:2">
      <c r="B4622" s="21">
        <f>IF(AND(C4622&lt;&gt;"", J4622&lt;&gt;""), HYPERLINK("#'" &amp; C4622 &amp; "'!" &amp; J4622, J4622), "")</f>
        <v>0</v>
      </c>
    </row>
    <row r="4623" spans="2:2">
      <c r="B4623" s="21">
        <f>IF(AND(C4623&lt;&gt;"", J4623&lt;&gt;""), HYPERLINK("#'" &amp; C4623 &amp; "'!" &amp; J4623, J4623), "")</f>
        <v>0</v>
      </c>
    </row>
    <row r="4624" spans="2:2">
      <c r="B4624" s="21">
        <f>IF(AND(C4624&lt;&gt;"", J4624&lt;&gt;""), HYPERLINK("#'" &amp; C4624 &amp; "'!" &amp; J4624, J4624), "")</f>
        <v>0</v>
      </c>
    </row>
    <row r="4625" spans="2:2">
      <c r="B4625" s="21">
        <f>IF(AND(C4625&lt;&gt;"", J4625&lt;&gt;""), HYPERLINK("#'" &amp; C4625 &amp; "'!" &amp; J4625, J4625), "")</f>
        <v>0</v>
      </c>
    </row>
    <row r="4626" spans="2:2">
      <c r="B4626" s="21">
        <f>IF(AND(C4626&lt;&gt;"", J4626&lt;&gt;""), HYPERLINK("#'" &amp; C4626 &amp; "'!" &amp; J4626, J4626), "")</f>
        <v>0</v>
      </c>
    </row>
    <row r="4627" spans="2:2">
      <c r="B4627" s="21">
        <f>IF(AND(C4627&lt;&gt;"", J4627&lt;&gt;""), HYPERLINK("#'" &amp; C4627 &amp; "'!" &amp; J4627, J4627), "")</f>
        <v>0</v>
      </c>
    </row>
    <row r="4628" spans="2:2">
      <c r="B4628" s="21">
        <f>IF(AND(C4628&lt;&gt;"", J4628&lt;&gt;""), HYPERLINK("#'" &amp; C4628 &amp; "'!" &amp; J4628, J4628), "")</f>
        <v>0</v>
      </c>
    </row>
    <row r="4629" spans="2:2">
      <c r="B4629" s="21">
        <f>IF(AND(C4629&lt;&gt;"", J4629&lt;&gt;""), HYPERLINK("#'" &amp; C4629 &amp; "'!" &amp; J4629, J4629), "")</f>
        <v>0</v>
      </c>
    </row>
    <row r="4630" spans="2:2">
      <c r="B4630" s="21">
        <f>IF(AND(C4630&lt;&gt;"", J4630&lt;&gt;""), HYPERLINK("#'" &amp; C4630 &amp; "'!" &amp; J4630, J4630), "")</f>
        <v>0</v>
      </c>
    </row>
    <row r="4631" spans="2:2">
      <c r="B4631" s="21">
        <f>IF(AND(C4631&lt;&gt;"", J4631&lt;&gt;""), HYPERLINK("#'" &amp; C4631 &amp; "'!" &amp; J4631, J4631), "")</f>
        <v>0</v>
      </c>
    </row>
    <row r="4632" spans="2:2">
      <c r="B4632" s="21">
        <f>IF(AND(C4632&lt;&gt;"", J4632&lt;&gt;""), HYPERLINK("#'" &amp; C4632 &amp; "'!" &amp; J4632, J4632), "")</f>
        <v>0</v>
      </c>
    </row>
    <row r="4633" spans="2:2">
      <c r="B4633" s="21">
        <f>IF(AND(C4633&lt;&gt;"", J4633&lt;&gt;""), HYPERLINK("#'" &amp; C4633 &amp; "'!" &amp; J4633, J4633), "")</f>
        <v>0</v>
      </c>
    </row>
    <row r="4634" spans="2:2">
      <c r="B4634" s="21">
        <f>IF(AND(C4634&lt;&gt;"", J4634&lt;&gt;""), HYPERLINK("#'" &amp; C4634 &amp; "'!" &amp; J4634, J4634), "")</f>
        <v>0</v>
      </c>
    </row>
    <row r="4635" spans="2:2">
      <c r="B4635" s="21">
        <f>IF(AND(C4635&lt;&gt;"", J4635&lt;&gt;""), HYPERLINK("#'" &amp; C4635 &amp; "'!" &amp; J4635, J4635), "")</f>
        <v>0</v>
      </c>
    </row>
    <row r="4636" spans="2:2">
      <c r="B4636" s="21">
        <f>IF(AND(C4636&lt;&gt;"", J4636&lt;&gt;""), HYPERLINK("#'" &amp; C4636 &amp; "'!" &amp; J4636, J4636), "")</f>
        <v>0</v>
      </c>
    </row>
    <row r="4637" spans="2:2">
      <c r="B4637" s="21">
        <f>IF(AND(C4637&lt;&gt;"", J4637&lt;&gt;""), HYPERLINK("#'" &amp; C4637 &amp; "'!" &amp; J4637, J4637), "")</f>
        <v>0</v>
      </c>
    </row>
    <row r="4638" spans="2:2">
      <c r="B4638" s="21">
        <f>IF(AND(C4638&lt;&gt;"", J4638&lt;&gt;""), HYPERLINK("#'" &amp; C4638 &amp; "'!" &amp; J4638, J4638), "")</f>
        <v>0</v>
      </c>
    </row>
    <row r="4639" spans="2:2">
      <c r="B4639" s="21">
        <f>IF(AND(C4639&lt;&gt;"", J4639&lt;&gt;""), HYPERLINK("#'" &amp; C4639 &amp; "'!" &amp; J4639, J4639), "")</f>
        <v>0</v>
      </c>
    </row>
    <row r="4640" spans="2:2">
      <c r="B4640" s="21">
        <f>IF(AND(C4640&lt;&gt;"", J4640&lt;&gt;""), HYPERLINK("#'" &amp; C4640 &amp; "'!" &amp; J4640, J4640), "")</f>
        <v>0</v>
      </c>
    </row>
    <row r="4641" spans="2:2">
      <c r="B4641" s="21">
        <f>IF(AND(C4641&lt;&gt;"", J4641&lt;&gt;""), HYPERLINK("#'" &amp; C4641 &amp; "'!" &amp; J4641, J4641), "")</f>
        <v>0</v>
      </c>
    </row>
    <row r="4642" spans="2:2">
      <c r="B4642" s="21">
        <f>IF(AND(C4642&lt;&gt;"", J4642&lt;&gt;""), HYPERLINK("#'" &amp; C4642 &amp; "'!" &amp; J4642, J4642), "")</f>
        <v>0</v>
      </c>
    </row>
    <row r="4643" spans="2:2">
      <c r="B4643" s="21">
        <f>IF(AND(C4643&lt;&gt;"", J4643&lt;&gt;""), HYPERLINK("#'" &amp; C4643 &amp; "'!" &amp; J4643, J4643), "")</f>
        <v>0</v>
      </c>
    </row>
    <row r="4644" spans="2:2">
      <c r="B4644" s="21">
        <f>IF(AND(C4644&lt;&gt;"", J4644&lt;&gt;""), HYPERLINK("#'" &amp; C4644 &amp; "'!" &amp; J4644, J4644), "")</f>
        <v>0</v>
      </c>
    </row>
    <row r="4645" spans="2:2">
      <c r="B4645" s="21">
        <f>IF(AND(C4645&lt;&gt;"", J4645&lt;&gt;""), HYPERLINK("#'" &amp; C4645 &amp; "'!" &amp; J4645, J4645), "")</f>
        <v>0</v>
      </c>
    </row>
    <row r="4646" spans="2:2">
      <c r="B4646" s="21">
        <f>IF(AND(C4646&lt;&gt;"", J4646&lt;&gt;""), HYPERLINK("#'" &amp; C4646 &amp; "'!" &amp; J4646, J4646), "")</f>
        <v>0</v>
      </c>
    </row>
    <row r="4647" spans="2:2">
      <c r="B4647" s="21">
        <f>IF(AND(C4647&lt;&gt;"", J4647&lt;&gt;""), HYPERLINK("#'" &amp; C4647 &amp; "'!" &amp; J4647, J4647), "")</f>
        <v>0</v>
      </c>
    </row>
    <row r="4648" spans="2:2">
      <c r="B4648" s="21">
        <f>IF(AND(C4648&lt;&gt;"", J4648&lt;&gt;""), HYPERLINK("#'" &amp; C4648 &amp; "'!" &amp; J4648, J4648), "")</f>
        <v>0</v>
      </c>
    </row>
    <row r="4649" spans="2:2">
      <c r="B4649" s="21">
        <f>IF(AND(C4649&lt;&gt;"", J4649&lt;&gt;""), HYPERLINK("#'" &amp; C4649 &amp; "'!" &amp; J4649, J4649), "")</f>
        <v>0</v>
      </c>
    </row>
    <row r="4650" spans="2:2">
      <c r="B4650" s="21">
        <f>IF(AND(C4650&lt;&gt;"", J4650&lt;&gt;""), HYPERLINK("#'" &amp; C4650 &amp; "'!" &amp; J4650, J4650), "")</f>
        <v>0</v>
      </c>
    </row>
    <row r="4651" spans="2:2">
      <c r="B4651" s="21">
        <f>IF(AND(C4651&lt;&gt;"", J4651&lt;&gt;""), HYPERLINK("#'" &amp; C4651 &amp; "'!" &amp; J4651, J4651), "")</f>
        <v>0</v>
      </c>
    </row>
    <row r="4652" spans="2:2">
      <c r="B4652" s="21">
        <f>IF(AND(C4652&lt;&gt;"", J4652&lt;&gt;""), HYPERLINK("#'" &amp; C4652 &amp; "'!" &amp; J4652, J4652), "")</f>
        <v>0</v>
      </c>
    </row>
    <row r="4653" spans="2:2">
      <c r="B4653" s="21">
        <f>IF(AND(C4653&lt;&gt;"", J4653&lt;&gt;""), HYPERLINK("#'" &amp; C4653 &amp; "'!" &amp; J4653, J4653), "")</f>
        <v>0</v>
      </c>
    </row>
    <row r="4654" spans="2:2">
      <c r="B4654" s="21">
        <f>IF(AND(C4654&lt;&gt;"", J4654&lt;&gt;""), HYPERLINK("#'" &amp; C4654 &amp; "'!" &amp; J4654, J4654), "")</f>
        <v>0</v>
      </c>
    </row>
    <row r="4655" spans="2:2">
      <c r="B4655" s="21">
        <f>IF(AND(C4655&lt;&gt;"", J4655&lt;&gt;""), HYPERLINK("#'" &amp; C4655 &amp; "'!" &amp; J4655, J4655), "")</f>
        <v>0</v>
      </c>
    </row>
    <row r="4656" spans="2:2">
      <c r="B4656" s="21">
        <f>IF(AND(C4656&lt;&gt;"", J4656&lt;&gt;""), HYPERLINK("#'" &amp; C4656 &amp; "'!" &amp; J4656, J4656), "")</f>
        <v>0</v>
      </c>
    </row>
    <row r="4657" spans="2:2">
      <c r="B4657" s="21">
        <f>IF(AND(C4657&lt;&gt;"", J4657&lt;&gt;""), HYPERLINK("#'" &amp; C4657 &amp; "'!" &amp; J4657, J4657), "")</f>
        <v>0</v>
      </c>
    </row>
    <row r="4658" spans="2:2">
      <c r="B4658" s="21">
        <f>IF(AND(C4658&lt;&gt;"", J4658&lt;&gt;""), HYPERLINK("#'" &amp; C4658 &amp; "'!" &amp; J4658, J4658), "")</f>
        <v>0</v>
      </c>
    </row>
    <row r="4659" spans="2:2">
      <c r="B4659" s="21">
        <f>IF(AND(C4659&lt;&gt;"", J4659&lt;&gt;""), HYPERLINK("#'" &amp; C4659 &amp; "'!" &amp; J4659, J4659), "")</f>
        <v>0</v>
      </c>
    </row>
    <row r="4660" spans="2:2">
      <c r="B4660" s="21">
        <f>IF(AND(C4660&lt;&gt;"", J4660&lt;&gt;""), HYPERLINK("#'" &amp; C4660 &amp; "'!" &amp; J4660, J4660), "")</f>
        <v>0</v>
      </c>
    </row>
    <row r="4661" spans="2:2">
      <c r="B4661" s="21">
        <f>IF(AND(C4661&lt;&gt;"", J4661&lt;&gt;""), HYPERLINK("#'" &amp; C4661 &amp; "'!" &amp; J4661, J4661), "")</f>
        <v>0</v>
      </c>
    </row>
    <row r="4662" spans="2:2">
      <c r="B4662" s="21">
        <f>IF(AND(C4662&lt;&gt;"", J4662&lt;&gt;""), HYPERLINK("#'" &amp; C4662 &amp; "'!" &amp; J4662, J4662), "")</f>
        <v>0</v>
      </c>
    </row>
    <row r="4663" spans="2:2">
      <c r="B4663" s="21">
        <f>IF(AND(C4663&lt;&gt;"", J4663&lt;&gt;""), HYPERLINK("#'" &amp; C4663 &amp; "'!" &amp; J4663, J4663), "")</f>
        <v>0</v>
      </c>
    </row>
    <row r="4664" spans="2:2">
      <c r="B4664" s="21">
        <f>IF(AND(C4664&lt;&gt;"", J4664&lt;&gt;""), HYPERLINK("#'" &amp; C4664 &amp; "'!" &amp; J4664, J4664), "")</f>
        <v>0</v>
      </c>
    </row>
    <row r="4665" spans="2:2">
      <c r="B4665" s="21">
        <f>IF(AND(C4665&lt;&gt;"", J4665&lt;&gt;""), HYPERLINK("#'" &amp; C4665 &amp; "'!" &amp; J4665, J4665), "")</f>
        <v>0</v>
      </c>
    </row>
    <row r="4666" spans="2:2">
      <c r="B4666" s="21">
        <f>IF(AND(C4666&lt;&gt;"", J4666&lt;&gt;""), HYPERLINK("#'" &amp; C4666 &amp; "'!" &amp; J4666, J4666), "")</f>
        <v>0</v>
      </c>
    </row>
    <row r="4667" spans="2:2">
      <c r="B4667" s="21">
        <f>IF(AND(C4667&lt;&gt;"", J4667&lt;&gt;""), HYPERLINK("#'" &amp; C4667 &amp; "'!" &amp; J4667, J4667), "")</f>
        <v>0</v>
      </c>
    </row>
    <row r="4668" spans="2:2">
      <c r="B4668" s="21">
        <f>IF(AND(C4668&lt;&gt;"", J4668&lt;&gt;""), HYPERLINK("#'" &amp; C4668 &amp; "'!" &amp; J4668, J4668), "")</f>
        <v>0</v>
      </c>
    </row>
    <row r="4669" spans="2:2">
      <c r="B4669" s="21">
        <f>IF(AND(C4669&lt;&gt;"", J4669&lt;&gt;""), HYPERLINK("#'" &amp; C4669 &amp; "'!" &amp; J4669, J4669), "")</f>
        <v>0</v>
      </c>
    </row>
    <row r="4670" spans="2:2">
      <c r="B4670" s="21">
        <f>IF(AND(C4670&lt;&gt;"", J4670&lt;&gt;""), HYPERLINK("#'" &amp; C4670 &amp; "'!" &amp; J4670, J4670), "")</f>
        <v>0</v>
      </c>
    </row>
    <row r="4671" spans="2:2">
      <c r="B4671" s="21">
        <f>IF(AND(C4671&lt;&gt;"", J4671&lt;&gt;""), HYPERLINK("#'" &amp; C4671 &amp; "'!" &amp; J4671, J4671), "")</f>
        <v>0</v>
      </c>
    </row>
    <row r="4672" spans="2:2">
      <c r="B4672" s="21">
        <f>IF(AND(C4672&lt;&gt;"", J4672&lt;&gt;""), HYPERLINK("#'" &amp; C4672 &amp; "'!" &amp; J4672, J4672), "")</f>
        <v>0</v>
      </c>
    </row>
    <row r="4673" spans="2:2">
      <c r="B4673" s="21">
        <f>IF(AND(C4673&lt;&gt;"", J4673&lt;&gt;""), HYPERLINK("#'" &amp; C4673 &amp; "'!" &amp; J4673, J4673), "")</f>
        <v>0</v>
      </c>
    </row>
    <row r="4674" spans="2:2">
      <c r="B4674" s="21">
        <f>IF(AND(C4674&lt;&gt;"", J4674&lt;&gt;""), HYPERLINK("#'" &amp; C4674 &amp; "'!" &amp; J4674, J4674), "")</f>
        <v>0</v>
      </c>
    </row>
    <row r="4675" spans="2:2">
      <c r="B4675" s="21">
        <f>IF(AND(C4675&lt;&gt;"", J4675&lt;&gt;""), HYPERLINK("#'" &amp; C4675 &amp; "'!" &amp; J4675, J4675), "")</f>
        <v>0</v>
      </c>
    </row>
    <row r="4676" spans="2:2">
      <c r="B4676" s="21">
        <f>IF(AND(C4676&lt;&gt;"", J4676&lt;&gt;""), HYPERLINK("#'" &amp; C4676 &amp; "'!" &amp; J4676, J4676), "")</f>
        <v>0</v>
      </c>
    </row>
    <row r="4677" spans="2:2">
      <c r="B4677" s="21">
        <f>IF(AND(C4677&lt;&gt;"", J4677&lt;&gt;""), HYPERLINK("#'" &amp; C4677 &amp; "'!" &amp; J4677, J4677), "")</f>
        <v>0</v>
      </c>
    </row>
    <row r="4678" spans="2:2">
      <c r="B4678" s="21">
        <f>IF(AND(C4678&lt;&gt;"", J4678&lt;&gt;""), HYPERLINK("#'" &amp; C4678 &amp; "'!" &amp; J4678, J4678), "")</f>
        <v>0</v>
      </c>
    </row>
    <row r="4679" spans="2:2">
      <c r="B4679" s="21">
        <f>IF(AND(C4679&lt;&gt;"", J4679&lt;&gt;""), HYPERLINK("#'" &amp; C4679 &amp; "'!" &amp; J4679, J4679), "")</f>
        <v>0</v>
      </c>
    </row>
    <row r="4680" spans="2:2">
      <c r="B4680" s="21">
        <f>IF(AND(C4680&lt;&gt;"", J4680&lt;&gt;""), HYPERLINK("#'" &amp; C4680 &amp; "'!" &amp; J4680, J4680), "")</f>
        <v>0</v>
      </c>
    </row>
    <row r="4681" spans="2:2">
      <c r="B4681" s="21">
        <f>IF(AND(C4681&lt;&gt;"", J4681&lt;&gt;""), HYPERLINK("#'" &amp; C4681 &amp; "'!" &amp; J4681, J4681), "")</f>
        <v>0</v>
      </c>
    </row>
    <row r="4682" spans="2:2">
      <c r="B4682" s="21">
        <f>IF(AND(C4682&lt;&gt;"", J4682&lt;&gt;""), HYPERLINK("#'" &amp; C4682 &amp; "'!" &amp; J4682, J4682), "")</f>
        <v>0</v>
      </c>
    </row>
    <row r="4683" spans="2:2">
      <c r="B4683" s="21">
        <f>IF(AND(C4683&lt;&gt;"", J4683&lt;&gt;""), HYPERLINK("#'" &amp; C4683 &amp; "'!" &amp; J4683, J4683), "")</f>
        <v>0</v>
      </c>
    </row>
    <row r="4684" spans="2:2">
      <c r="B4684" s="21">
        <f>IF(AND(C4684&lt;&gt;"", J4684&lt;&gt;""), HYPERLINK("#'" &amp; C4684 &amp; "'!" &amp; J4684, J4684), "")</f>
        <v>0</v>
      </c>
    </row>
    <row r="4685" spans="2:2">
      <c r="B4685" s="21">
        <f>IF(AND(C4685&lt;&gt;"", J4685&lt;&gt;""), HYPERLINK("#'" &amp; C4685 &amp; "'!" &amp; J4685, J4685), "")</f>
        <v>0</v>
      </c>
    </row>
    <row r="4686" spans="2:2">
      <c r="B4686" s="21">
        <f>IF(AND(C4686&lt;&gt;"", J4686&lt;&gt;""), HYPERLINK("#'" &amp; C4686 &amp; "'!" &amp; J4686, J4686), "")</f>
        <v>0</v>
      </c>
    </row>
    <row r="4687" spans="2:2">
      <c r="B4687" s="21">
        <f>IF(AND(C4687&lt;&gt;"", J4687&lt;&gt;""), HYPERLINK("#'" &amp; C4687 &amp; "'!" &amp; J4687, J4687), "")</f>
        <v>0</v>
      </c>
    </row>
    <row r="4688" spans="2:2">
      <c r="B4688" s="21">
        <f>IF(AND(C4688&lt;&gt;"", J4688&lt;&gt;""), HYPERLINK("#'" &amp; C4688 &amp; "'!" &amp; J4688, J4688), "")</f>
        <v>0</v>
      </c>
    </row>
    <row r="4689" spans="2:2">
      <c r="B4689" s="21">
        <f>IF(AND(C4689&lt;&gt;"", J4689&lt;&gt;""), HYPERLINK("#'" &amp; C4689 &amp; "'!" &amp; J4689, J4689), "")</f>
        <v>0</v>
      </c>
    </row>
    <row r="4690" spans="2:2">
      <c r="B4690" s="21">
        <f>IF(AND(C4690&lt;&gt;"", J4690&lt;&gt;""), HYPERLINK("#'" &amp; C4690 &amp; "'!" &amp; J4690, J4690), "")</f>
        <v>0</v>
      </c>
    </row>
    <row r="4691" spans="2:2">
      <c r="B4691" s="21">
        <f>IF(AND(C4691&lt;&gt;"", J4691&lt;&gt;""), HYPERLINK("#'" &amp; C4691 &amp; "'!" &amp; J4691, J4691), "")</f>
        <v>0</v>
      </c>
    </row>
    <row r="4692" spans="2:2">
      <c r="B4692" s="21">
        <f>IF(AND(C4692&lt;&gt;"", J4692&lt;&gt;""), HYPERLINK("#'" &amp; C4692 &amp; "'!" &amp; J4692, J4692), "")</f>
        <v>0</v>
      </c>
    </row>
    <row r="4693" spans="2:2">
      <c r="B4693" s="21">
        <f>IF(AND(C4693&lt;&gt;"", J4693&lt;&gt;""), HYPERLINK("#'" &amp; C4693 &amp; "'!" &amp; J4693, J4693), "")</f>
        <v>0</v>
      </c>
    </row>
    <row r="4694" spans="2:2">
      <c r="B4694" s="21">
        <f>IF(AND(C4694&lt;&gt;"", J4694&lt;&gt;""), HYPERLINK("#'" &amp; C4694 &amp; "'!" &amp; J4694, J4694), "")</f>
        <v>0</v>
      </c>
    </row>
    <row r="4695" spans="2:2">
      <c r="B4695" s="21">
        <f>IF(AND(C4695&lt;&gt;"", J4695&lt;&gt;""), HYPERLINK("#'" &amp; C4695 &amp; "'!" &amp; J4695, J4695), "")</f>
        <v>0</v>
      </c>
    </row>
    <row r="4696" spans="2:2">
      <c r="B4696" s="21">
        <f>IF(AND(C4696&lt;&gt;"", J4696&lt;&gt;""), HYPERLINK("#'" &amp; C4696 &amp; "'!" &amp; J4696, J4696), "")</f>
        <v>0</v>
      </c>
    </row>
    <row r="4697" spans="2:2">
      <c r="B4697" s="21">
        <f>IF(AND(C4697&lt;&gt;"", J4697&lt;&gt;""), HYPERLINK("#'" &amp; C4697 &amp; "'!" &amp; J4697, J4697), "")</f>
        <v>0</v>
      </c>
    </row>
    <row r="4698" spans="2:2">
      <c r="B4698" s="21">
        <f>IF(AND(C4698&lt;&gt;"", J4698&lt;&gt;""), HYPERLINK("#'" &amp; C4698 &amp; "'!" &amp; J4698, J4698), "")</f>
        <v>0</v>
      </c>
    </row>
    <row r="4699" spans="2:2">
      <c r="B4699" s="21">
        <f>IF(AND(C4699&lt;&gt;"", J4699&lt;&gt;""), HYPERLINK("#'" &amp; C4699 &amp; "'!" &amp; J4699, J4699), "")</f>
        <v>0</v>
      </c>
    </row>
    <row r="4700" spans="2:2">
      <c r="B4700" s="21">
        <f>IF(AND(C4700&lt;&gt;"", J4700&lt;&gt;""), HYPERLINK("#'" &amp; C4700 &amp; "'!" &amp; J4700, J4700), "")</f>
        <v>0</v>
      </c>
    </row>
    <row r="4701" spans="2:2">
      <c r="B4701" s="21">
        <f>IF(AND(C4701&lt;&gt;"", J4701&lt;&gt;""), HYPERLINK("#'" &amp; C4701 &amp; "'!" &amp; J4701, J4701), "")</f>
        <v>0</v>
      </c>
    </row>
    <row r="4702" spans="2:2">
      <c r="B4702" s="21">
        <f>IF(AND(C4702&lt;&gt;"", J4702&lt;&gt;""), HYPERLINK("#'" &amp; C4702 &amp; "'!" &amp; J4702, J4702), "")</f>
        <v>0</v>
      </c>
    </row>
    <row r="4703" spans="2:2">
      <c r="B4703" s="21">
        <f>IF(AND(C4703&lt;&gt;"", J4703&lt;&gt;""), HYPERLINK("#'" &amp; C4703 &amp; "'!" &amp; J4703, J4703), "")</f>
        <v>0</v>
      </c>
    </row>
    <row r="4704" spans="2:2">
      <c r="B4704" s="21">
        <f>IF(AND(C4704&lt;&gt;"", J4704&lt;&gt;""), HYPERLINK("#'" &amp; C4704 &amp; "'!" &amp; J4704, J4704), "")</f>
        <v>0</v>
      </c>
    </row>
    <row r="4705" spans="2:2">
      <c r="B4705" s="21">
        <f>IF(AND(C4705&lt;&gt;"", J4705&lt;&gt;""), HYPERLINK("#'" &amp; C4705 &amp; "'!" &amp; J4705, J4705), "")</f>
        <v>0</v>
      </c>
    </row>
    <row r="4706" spans="2:2">
      <c r="B4706" s="21">
        <f>IF(AND(C4706&lt;&gt;"", J4706&lt;&gt;""), HYPERLINK("#'" &amp; C4706 &amp; "'!" &amp; J4706, J4706), "")</f>
        <v>0</v>
      </c>
    </row>
    <row r="4707" spans="2:2">
      <c r="B4707" s="21">
        <f>IF(AND(C4707&lt;&gt;"", J4707&lt;&gt;""), HYPERLINK("#'" &amp; C4707 &amp; "'!" &amp; J4707, J4707), "")</f>
        <v>0</v>
      </c>
    </row>
    <row r="4708" spans="2:2">
      <c r="B4708" s="21">
        <f>IF(AND(C4708&lt;&gt;"", J4708&lt;&gt;""), HYPERLINK("#'" &amp; C4708 &amp; "'!" &amp; J4708, J4708), "")</f>
        <v>0</v>
      </c>
    </row>
    <row r="4709" spans="2:2">
      <c r="B4709" s="21">
        <f>IF(AND(C4709&lt;&gt;"", J4709&lt;&gt;""), HYPERLINK("#'" &amp; C4709 &amp; "'!" &amp; J4709, J4709), "")</f>
        <v>0</v>
      </c>
    </row>
    <row r="4710" spans="2:2">
      <c r="B4710" s="21">
        <f>IF(AND(C4710&lt;&gt;"", J4710&lt;&gt;""), HYPERLINK("#'" &amp; C4710 &amp; "'!" &amp; J4710, J4710), "")</f>
        <v>0</v>
      </c>
    </row>
    <row r="4711" spans="2:2">
      <c r="B4711" s="21">
        <f>IF(AND(C4711&lt;&gt;"", J4711&lt;&gt;""), HYPERLINK("#'" &amp; C4711 &amp; "'!" &amp; J4711, J4711), "")</f>
        <v>0</v>
      </c>
    </row>
    <row r="4712" spans="2:2">
      <c r="B4712" s="21">
        <f>IF(AND(C4712&lt;&gt;"", J4712&lt;&gt;""), HYPERLINK("#'" &amp; C4712 &amp; "'!" &amp; J4712, J4712), "")</f>
        <v>0</v>
      </c>
    </row>
    <row r="4713" spans="2:2">
      <c r="B4713" s="21">
        <f>IF(AND(C4713&lt;&gt;"", J4713&lt;&gt;""), HYPERLINK("#'" &amp; C4713 &amp; "'!" &amp; J4713, J4713), "")</f>
        <v>0</v>
      </c>
    </row>
    <row r="4714" spans="2:2">
      <c r="B4714" s="21">
        <f>IF(AND(C4714&lt;&gt;"", J4714&lt;&gt;""), HYPERLINK("#'" &amp; C4714 &amp; "'!" &amp; J4714, J4714), "")</f>
        <v>0</v>
      </c>
    </row>
    <row r="4715" spans="2:2">
      <c r="B4715" s="21">
        <f>IF(AND(C4715&lt;&gt;"", J4715&lt;&gt;""), HYPERLINK("#'" &amp; C4715 &amp; "'!" &amp; J4715, J4715), "")</f>
        <v>0</v>
      </c>
    </row>
    <row r="4716" spans="2:2">
      <c r="B4716" s="21">
        <f>IF(AND(C4716&lt;&gt;"", J4716&lt;&gt;""), HYPERLINK("#'" &amp; C4716 &amp; "'!" &amp; J4716, J4716), "")</f>
        <v>0</v>
      </c>
    </row>
    <row r="4717" spans="2:2">
      <c r="B4717" s="21">
        <f>IF(AND(C4717&lt;&gt;"", J4717&lt;&gt;""), HYPERLINK("#'" &amp; C4717 &amp; "'!" &amp; J4717, J4717), "")</f>
        <v>0</v>
      </c>
    </row>
    <row r="4718" spans="2:2">
      <c r="B4718" s="21">
        <f>IF(AND(C4718&lt;&gt;"", J4718&lt;&gt;""), HYPERLINK("#'" &amp; C4718 &amp; "'!" &amp; J4718, J4718), "")</f>
        <v>0</v>
      </c>
    </row>
    <row r="4719" spans="2:2">
      <c r="B4719" s="21">
        <f>IF(AND(C4719&lt;&gt;"", J4719&lt;&gt;""), HYPERLINK("#'" &amp; C4719 &amp; "'!" &amp; J4719, J4719), "")</f>
        <v>0</v>
      </c>
    </row>
    <row r="4720" spans="2:2">
      <c r="B4720" s="21">
        <f>IF(AND(C4720&lt;&gt;"", J4720&lt;&gt;""), HYPERLINK("#'" &amp; C4720 &amp; "'!" &amp; J4720, J4720), "")</f>
        <v>0</v>
      </c>
    </row>
    <row r="4721" spans="2:2">
      <c r="B4721" s="21">
        <f>IF(AND(C4721&lt;&gt;"", J4721&lt;&gt;""), HYPERLINK("#'" &amp; C4721 &amp; "'!" &amp; J4721, J4721), "")</f>
        <v>0</v>
      </c>
    </row>
    <row r="4722" spans="2:2">
      <c r="B4722" s="21">
        <f>IF(AND(C4722&lt;&gt;"", J4722&lt;&gt;""), HYPERLINK("#'" &amp; C4722 &amp; "'!" &amp; J4722, J4722), "")</f>
        <v>0</v>
      </c>
    </row>
    <row r="4723" spans="2:2">
      <c r="B4723" s="21">
        <f>IF(AND(C4723&lt;&gt;"", J4723&lt;&gt;""), HYPERLINK("#'" &amp; C4723 &amp; "'!" &amp; J4723, J4723), "")</f>
        <v>0</v>
      </c>
    </row>
    <row r="4724" spans="2:2">
      <c r="B4724" s="21">
        <f>IF(AND(C4724&lt;&gt;"", J4724&lt;&gt;""), HYPERLINK("#'" &amp; C4724 &amp; "'!" &amp; J4724, J4724), "")</f>
        <v>0</v>
      </c>
    </row>
    <row r="4725" spans="2:2">
      <c r="B4725" s="21">
        <f>IF(AND(C4725&lt;&gt;"", J4725&lt;&gt;""), HYPERLINK("#'" &amp; C4725 &amp; "'!" &amp; J4725, J4725), "")</f>
        <v>0</v>
      </c>
    </row>
    <row r="4726" spans="2:2">
      <c r="B4726" s="21">
        <f>IF(AND(C4726&lt;&gt;"", J4726&lt;&gt;""), HYPERLINK("#'" &amp; C4726 &amp; "'!" &amp; J4726, J4726), "")</f>
        <v>0</v>
      </c>
    </row>
    <row r="4727" spans="2:2">
      <c r="B4727" s="21">
        <f>IF(AND(C4727&lt;&gt;"", J4727&lt;&gt;""), HYPERLINK("#'" &amp; C4727 &amp; "'!" &amp; J4727, J4727), "")</f>
        <v>0</v>
      </c>
    </row>
    <row r="4728" spans="2:2">
      <c r="B4728" s="21">
        <f>IF(AND(C4728&lt;&gt;"", J4728&lt;&gt;""), HYPERLINK("#'" &amp; C4728 &amp; "'!" &amp; J4728, J4728), "")</f>
        <v>0</v>
      </c>
    </row>
    <row r="4729" spans="2:2">
      <c r="B4729" s="21">
        <f>IF(AND(C4729&lt;&gt;"", J4729&lt;&gt;""), HYPERLINK("#'" &amp; C4729 &amp; "'!" &amp; J4729, J4729), "")</f>
        <v>0</v>
      </c>
    </row>
    <row r="4730" spans="2:2">
      <c r="B4730" s="21">
        <f>IF(AND(C4730&lt;&gt;"", J4730&lt;&gt;""), HYPERLINK("#'" &amp; C4730 &amp; "'!" &amp; J4730, J4730), "")</f>
        <v>0</v>
      </c>
    </row>
    <row r="4731" spans="2:2">
      <c r="B4731" s="21">
        <f>IF(AND(C4731&lt;&gt;"", J4731&lt;&gt;""), HYPERLINK("#'" &amp; C4731 &amp; "'!" &amp; J4731, J4731), "")</f>
        <v>0</v>
      </c>
    </row>
    <row r="4732" spans="2:2">
      <c r="B4732" s="21">
        <f>IF(AND(C4732&lt;&gt;"", J4732&lt;&gt;""), HYPERLINK("#'" &amp; C4732 &amp; "'!" &amp; J4732, J4732), "")</f>
        <v>0</v>
      </c>
    </row>
    <row r="4733" spans="2:2">
      <c r="B4733" s="21">
        <f>IF(AND(C4733&lt;&gt;"", J4733&lt;&gt;""), HYPERLINK("#'" &amp; C4733 &amp; "'!" &amp; J4733, J4733), "")</f>
        <v>0</v>
      </c>
    </row>
    <row r="4734" spans="2:2">
      <c r="B4734" s="21">
        <f>IF(AND(C4734&lt;&gt;"", J4734&lt;&gt;""), HYPERLINK("#'" &amp; C4734 &amp; "'!" &amp; J4734, J4734), "")</f>
        <v>0</v>
      </c>
    </row>
    <row r="4735" spans="2:2">
      <c r="B4735" s="21">
        <f>IF(AND(C4735&lt;&gt;"", J4735&lt;&gt;""), HYPERLINK("#'" &amp; C4735 &amp; "'!" &amp; J4735, J4735), "")</f>
        <v>0</v>
      </c>
    </row>
    <row r="4736" spans="2:2">
      <c r="B4736" s="21">
        <f>IF(AND(C4736&lt;&gt;"", J4736&lt;&gt;""), HYPERLINK("#'" &amp; C4736 &amp; "'!" &amp; J4736, J4736), "")</f>
        <v>0</v>
      </c>
    </row>
    <row r="4737" spans="2:2">
      <c r="B4737" s="21">
        <f>IF(AND(C4737&lt;&gt;"", J4737&lt;&gt;""), HYPERLINK("#'" &amp; C4737 &amp; "'!" &amp; J4737, J4737), "")</f>
        <v>0</v>
      </c>
    </row>
    <row r="4738" spans="2:2">
      <c r="B4738" s="21">
        <f>IF(AND(C4738&lt;&gt;"", J4738&lt;&gt;""), HYPERLINK("#'" &amp; C4738 &amp; "'!" &amp; J4738, J4738), "")</f>
        <v>0</v>
      </c>
    </row>
    <row r="4739" spans="2:2">
      <c r="B4739" s="21">
        <f>IF(AND(C4739&lt;&gt;"", J4739&lt;&gt;""), HYPERLINK("#'" &amp; C4739 &amp; "'!" &amp; J4739, J4739), "")</f>
        <v>0</v>
      </c>
    </row>
    <row r="4740" spans="2:2">
      <c r="B4740" s="21">
        <f>IF(AND(C4740&lt;&gt;"", J4740&lt;&gt;""), HYPERLINK("#'" &amp; C4740 &amp; "'!" &amp; J4740, J4740), "")</f>
        <v>0</v>
      </c>
    </row>
    <row r="4741" spans="2:2">
      <c r="B4741" s="21">
        <f>IF(AND(C4741&lt;&gt;"", J4741&lt;&gt;""), HYPERLINK("#'" &amp; C4741 &amp; "'!" &amp; J4741, J4741), "")</f>
        <v>0</v>
      </c>
    </row>
    <row r="4742" spans="2:2">
      <c r="B4742" s="21">
        <f>IF(AND(C4742&lt;&gt;"", J4742&lt;&gt;""), HYPERLINK("#'" &amp; C4742 &amp; "'!" &amp; J4742, J4742), "")</f>
        <v>0</v>
      </c>
    </row>
    <row r="4743" spans="2:2">
      <c r="B4743" s="21">
        <f>IF(AND(C4743&lt;&gt;"", J4743&lt;&gt;""), HYPERLINK("#'" &amp; C4743 &amp; "'!" &amp; J4743, J4743), "")</f>
        <v>0</v>
      </c>
    </row>
    <row r="4744" spans="2:2">
      <c r="B4744" s="21">
        <f>IF(AND(C4744&lt;&gt;"", J4744&lt;&gt;""), HYPERLINK("#'" &amp; C4744 &amp; "'!" &amp; J4744, J4744), "")</f>
        <v>0</v>
      </c>
    </row>
    <row r="4745" spans="2:2">
      <c r="B4745" s="21">
        <f>IF(AND(C4745&lt;&gt;"", J4745&lt;&gt;""), HYPERLINK("#'" &amp; C4745 &amp; "'!" &amp; J4745, J4745), "")</f>
        <v>0</v>
      </c>
    </row>
    <row r="4746" spans="2:2">
      <c r="B4746" s="21">
        <f>IF(AND(C4746&lt;&gt;"", J4746&lt;&gt;""), HYPERLINK("#'" &amp; C4746 &amp; "'!" &amp; J4746, J4746), "")</f>
        <v>0</v>
      </c>
    </row>
    <row r="4747" spans="2:2">
      <c r="B4747" s="21">
        <f>IF(AND(C4747&lt;&gt;"", J4747&lt;&gt;""), HYPERLINK("#'" &amp; C4747 &amp; "'!" &amp; J4747, J4747), "")</f>
        <v>0</v>
      </c>
    </row>
    <row r="4748" spans="2:2">
      <c r="B4748" s="21">
        <f>IF(AND(C4748&lt;&gt;"", J4748&lt;&gt;""), HYPERLINK("#'" &amp; C4748 &amp; "'!" &amp; J4748, J4748), "")</f>
        <v>0</v>
      </c>
    </row>
    <row r="4749" spans="2:2">
      <c r="B4749" s="21">
        <f>IF(AND(C4749&lt;&gt;"", J4749&lt;&gt;""), HYPERLINK("#'" &amp; C4749 &amp; "'!" &amp; J4749, J4749), "")</f>
        <v>0</v>
      </c>
    </row>
    <row r="4750" spans="2:2">
      <c r="B4750" s="21">
        <f>IF(AND(C4750&lt;&gt;"", J4750&lt;&gt;""), HYPERLINK("#'" &amp; C4750 &amp; "'!" &amp; J4750, J4750), "")</f>
        <v>0</v>
      </c>
    </row>
    <row r="4751" spans="2:2">
      <c r="B4751" s="21">
        <f>IF(AND(C4751&lt;&gt;"", J4751&lt;&gt;""), HYPERLINK("#'" &amp; C4751 &amp; "'!" &amp; J4751, J4751), "")</f>
        <v>0</v>
      </c>
    </row>
    <row r="4752" spans="2:2">
      <c r="B4752" s="21">
        <f>IF(AND(C4752&lt;&gt;"", J4752&lt;&gt;""), HYPERLINK("#'" &amp; C4752 &amp; "'!" &amp; J4752, J4752), "")</f>
        <v>0</v>
      </c>
    </row>
    <row r="4753" spans="2:2">
      <c r="B4753" s="21">
        <f>IF(AND(C4753&lt;&gt;"", J4753&lt;&gt;""), HYPERLINK("#'" &amp; C4753 &amp; "'!" &amp; J4753, J4753), "")</f>
        <v>0</v>
      </c>
    </row>
    <row r="4754" spans="2:2">
      <c r="B4754" s="21">
        <f>IF(AND(C4754&lt;&gt;"", J4754&lt;&gt;""), HYPERLINK("#'" &amp; C4754 &amp; "'!" &amp; J4754, J4754), "")</f>
        <v>0</v>
      </c>
    </row>
    <row r="4755" spans="2:2">
      <c r="B4755" s="21">
        <f>IF(AND(C4755&lt;&gt;"", J4755&lt;&gt;""), HYPERLINK("#'" &amp; C4755 &amp; "'!" &amp; J4755, J4755), "")</f>
        <v>0</v>
      </c>
    </row>
    <row r="4756" spans="2:2">
      <c r="B4756" s="21">
        <f>IF(AND(C4756&lt;&gt;"", J4756&lt;&gt;""), HYPERLINK("#'" &amp; C4756 &amp; "'!" &amp; J4756, J4756), "")</f>
        <v>0</v>
      </c>
    </row>
    <row r="4757" spans="2:2">
      <c r="B4757" s="21">
        <f>IF(AND(C4757&lt;&gt;"", J4757&lt;&gt;""), HYPERLINK("#'" &amp; C4757 &amp; "'!" &amp; J4757, J4757), "")</f>
        <v>0</v>
      </c>
    </row>
    <row r="4758" spans="2:2">
      <c r="B4758" s="21">
        <f>IF(AND(C4758&lt;&gt;"", J4758&lt;&gt;""), HYPERLINK("#'" &amp; C4758 &amp; "'!" &amp; J4758, J4758), "")</f>
        <v>0</v>
      </c>
    </row>
    <row r="4759" spans="2:2">
      <c r="B4759" s="21">
        <f>IF(AND(C4759&lt;&gt;"", J4759&lt;&gt;""), HYPERLINK("#'" &amp; C4759 &amp; "'!" &amp; J4759, J4759), "")</f>
        <v>0</v>
      </c>
    </row>
    <row r="4760" spans="2:2">
      <c r="B4760" s="21">
        <f>IF(AND(C4760&lt;&gt;"", J4760&lt;&gt;""), HYPERLINK("#'" &amp; C4760 &amp; "'!" &amp; J4760, J4760), "")</f>
        <v>0</v>
      </c>
    </row>
    <row r="4761" spans="2:2">
      <c r="B4761" s="21">
        <f>IF(AND(C4761&lt;&gt;"", J4761&lt;&gt;""), HYPERLINK("#'" &amp; C4761 &amp; "'!" &amp; J4761, J4761), "")</f>
        <v>0</v>
      </c>
    </row>
    <row r="4762" spans="2:2">
      <c r="B4762" s="21">
        <f>IF(AND(C4762&lt;&gt;"", J4762&lt;&gt;""), HYPERLINK("#'" &amp; C4762 &amp; "'!" &amp; J4762, J4762), "")</f>
        <v>0</v>
      </c>
    </row>
    <row r="4763" spans="2:2">
      <c r="B4763" s="21">
        <f>IF(AND(C4763&lt;&gt;"", J4763&lt;&gt;""), HYPERLINK("#'" &amp; C4763 &amp; "'!" &amp; J4763, J4763), "")</f>
        <v>0</v>
      </c>
    </row>
    <row r="4764" spans="2:2">
      <c r="B4764" s="21">
        <f>IF(AND(C4764&lt;&gt;"", J4764&lt;&gt;""), HYPERLINK("#'" &amp; C4764 &amp; "'!" &amp; J4764, J4764), "")</f>
        <v>0</v>
      </c>
    </row>
    <row r="4765" spans="2:2">
      <c r="B4765" s="21">
        <f>IF(AND(C4765&lt;&gt;"", J4765&lt;&gt;""), HYPERLINK("#'" &amp; C4765 &amp; "'!" &amp; J4765, J4765), "")</f>
        <v>0</v>
      </c>
    </row>
    <row r="4766" spans="2:2">
      <c r="B4766" s="21">
        <f>IF(AND(C4766&lt;&gt;"", J4766&lt;&gt;""), HYPERLINK("#'" &amp; C4766 &amp; "'!" &amp; J4766, J4766), "")</f>
        <v>0</v>
      </c>
    </row>
    <row r="4767" spans="2:2">
      <c r="B4767" s="21">
        <f>IF(AND(C4767&lt;&gt;"", J4767&lt;&gt;""), HYPERLINK("#'" &amp; C4767 &amp; "'!" &amp; J4767, J4767), "")</f>
        <v>0</v>
      </c>
    </row>
    <row r="4768" spans="2:2">
      <c r="B4768" s="21">
        <f>IF(AND(C4768&lt;&gt;"", J4768&lt;&gt;""), HYPERLINK("#'" &amp; C4768 &amp; "'!" &amp; J4768, J4768), "")</f>
        <v>0</v>
      </c>
    </row>
    <row r="4769" spans="2:2">
      <c r="B4769" s="21">
        <f>IF(AND(C4769&lt;&gt;"", J4769&lt;&gt;""), HYPERLINK("#'" &amp; C4769 &amp; "'!" &amp; J4769, J4769), "")</f>
        <v>0</v>
      </c>
    </row>
    <row r="4770" spans="2:2">
      <c r="B4770" s="21">
        <f>IF(AND(C4770&lt;&gt;"", J4770&lt;&gt;""), HYPERLINK("#'" &amp; C4770 &amp; "'!" &amp; J4770, J4770), "")</f>
        <v>0</v>
      </c>
    </row>
    <row r="4771" spans="2:2">
      <c r="B4771" s="21">
        <f>IF(AND(C4771&lt;&gt;"", J4771&lt;&gt;""), HYPERLINK("#'" &amp; C4771 &amp; "'!" &amp; J4771, J4771), "")</f>
        <v>0</v>
      </c>
    </row>
    <row r="4772" spans="2:2">
      <c r="B4772" s="21">
        <f>IF(AND(C4772&lt;&gt;"", J4772&lt;&gt;""), HYPERLINK("#'" &amp; C4772 &amp; "'!" &amp; J4772, J4772), "")</f>
        <v>0</v>
      </c>
    </row>
    <row r="4773" spans="2:2">
      <c r="B4773" s="21">
        <f>IF(AND(C4773&lt;&gt;"", J4773&lt;&gt;""), HYPERLINK("#'" &amp; C4773 &amp; "'!" &amp; J4773, J4773), "")</f>
        <v>0</v>
      </c>
    </row>
    <row r="4774" spans="2:2">
      <c r="B4774" s="21">
        <f>IF(AND(C4774&lt;&gt;"", J4774&lt;&gt;""), HYPERLINK("#'" &amp; C4774 &amp; "'!" &amp; J4774, J4774), "")</f>
        <v>0</v>
      </c>
    </row>
    <row r="4775" spans="2:2">
      <c r="B4775" s="21">
        <f>IF(AND(C4775&lt;&gt;"", J4775&lt;&gt;""), HYPERLINK("#'" &amp; C4775 &amp; "'!" &amp; J4775, J4775), "")</f>
        <v>0</v>
      </c>
    </row>
    <row r="4776" spans="2:2">
      <c r="B4776" s="21">
        <f>IF(AND(C4776&lt;&gt;"", J4776&lt;&gt;""), HYPERLINK("#'" &amp; C4776 &amp; "'!" &amp; J4776, J4776), "")</f>
        <v>0</v>
      </c>
    </row>
    <row r="4777" spans="2:2">
      <c r="B4777" s="21">
        <f>IF(AND(C4777&lt;&gt;"", J4777&lt;&gt;""), HYPERLINK("#'" &amp; C4777 &amp; "'!" &amp; J4777, J4777), "")</f>
        <v>0</v>
      </c>
    </row>
    <row r="4778" spans="2:2">
      <c r="B4778" s="21">
        <f>IF(AND(C4778&lt;&gt;"", J4778&lt;&gt;""), HYPERLINK("#'" &amp; C4778 &amp; "'!" &amp; J4778, J4778), "")</f>
        <v>0</v>
      </c>
    </row>
    <row r="4779" spans="2:2">
      <c r="B4779" s="21">
        <f>IF(AND(C4779&lt;&gt;"", J4779&lt;&gt;""), HYPERLINK("#'" &amp; C4779 &amp; "'!" &amp; J4779, J4779), "")</f>
        <v>0</v>
      </c>
    </row>
    <row r="4780" spans="2:2">
      <c r="B4780" s="21">
        <f>IF(AND(C4780&lt;&gt;"", J4780&lt;&gt;""), HYPERLINK("#'" &amp; C4780 &amp; "'!" &amp; J4780, J4780), "")</f>
        <v>0</v>
      </c>
    </row>
    <row r="4781" spans="2:2">
      <c r="B4781" s="21">
        <f>IF(AND(C4781&lt;&gt;"", J4781&lt;&gt;""), HYPERLINK("#'" &amp; C4781 &amp; "'!" &amp; J4781, J4781), "")</f>
        <v>0</v>
      </c>
    </row>
    <row r="4782" spans="2:2">
      <c r="B4782" s="21">
        <f>IF(AND(C4782&lt;&gt;"", J4782&lt;&gt;""), HYPERLINK("#'" &amp; C4782 &amp; "'!" &amp; J4782, J4782), "")</f>
        <v>0</v>
      </c>
    </row>
    <row r="4783" spans="2:2">
      <c r="B4783" s="21">
        <f>IF(AND(C4783&lt;&gt;"", J4783&lt;&gt;""), HYPERLINK("#'" &amp; C4783 &amp; "'!" &amp; J4783, J4783), "")</f>
        <v>0</v>
      </c>
    </row>
    <row r="4784" spans="2:2">
      <c r="B4784" s="21">
        <f>IF(AND(C4784&lt;&gt;"", J4784&lt;&gt;""), HYPERLINK("#'" &amp; C4784 &amp; "'!" &amp; J4784, J4784), "")</f>
        <v>0</v>
      </c>
    </row>
    <row r="4785" spans="2:2">
      <c r="B4785" s="21">
        <f>IF(AND(C4785&lt;&gt;"", J4785&lt;&gt;""), HYPERLINK("#'" &amp; C4785 &amp; "'!" &amp; J4785, J4785), "")</f>
        <v>0</v>
      </c>
    </row>
    <row r="4786" spans="2:2">
      <c r="B4786" s="21">
        <f>IF(AND(C4786&lt;&gt;"", J4786&lt;&gt;""), HYPERLINK("#'" &amp; C4786 &amp; "'!" &amp; J4786, J4786), "")</f>
        <v>0</v>
      </c>
    </row>
    <row r="4787" spans="2:2">
      <c r="B4787" s="21">
        <f>IF(AND(C4787&lt;&gt;"", J4787&lt;&gt;""), HYPERLINK("#'" &amp; C4787 &amp; "'!" &amp; J4787, J4787), "")</f>
        <v>0</v>
      </c>
    </row>
    <row r="4788" spans="2:2">
      <c r="B4788" s="21">
        <f>IF(AND(C4788&lt;&gt;"", J4788&lt;&gt;""), HYPERLINK("#'" &amp; C4788 &amp; "'!" &amp; J4788, J4788), "")</f>
        <v>0</v>
      </c>
    </row>
    <row r="4789" spans="2:2">
      <c r="B4789" s="21">
        <f>IF(AND(C4789&lt;&gt;"", J4789&lt;&gt;""), HYPERLINK("#'" &amp; C4789 &amp; "'!" &amp; J4789, J4789), "")</f>
        <v>0</v>
      </c>
    </row>
    <row r="4790" spans="2:2">
      <c r="B4790" s="21">
        <f>IF(AND(C4790&lt;&gt;"", J4790&lt;&gt;""), HYPERLINK("#'" &amp; C4790 &amp; "'!" &amp; J4790, J4790), "")</f>
        <v>0</v>
      </c>
    </row>
    <row r="4791" spans="2:2">
      <c r="B4791" s="21">
        <f>IF(AND(C4791&lt;&gt;"", J4791&lt;&gt;""), HYPERLINK("#'" &amp; C4791 &amp; "'!" &amp; J4791, J4791), "")</f>
        <v>0</v>
      </c>
    </row>
    <row r="4792" spans="2:2">
      <c r="B4792" s="21">
        <f>IF(AND(C4792&lt;&gt;"", J4792&lt;&gt;""), HYPERLINK("#'" &amp; C4792 &amp; "'!" &amp; J4792, J4792), "")</f>
        <v>0</v>
      </c>
    </row>
    <row r="4793" spans="2:2">
      <c r="B4793" s="21">
        <f>IF(AND(C4793&lt;&gt;"", J4793&lt;&gt;""), HYPERLINK("#'" &amp; C4793 &amp; "'!" &amp; J4793, J4793), "")</f>
        <v>0</v>
      </c>
    </row>
    <row r="4794" spans="2:2">
      <c r="B4794" s="21">
        <f>IF(AND(C4794&lt;&gt;"", J4794&lt;&gt;""), HYPERLINK("#'" &amp; C4794 &amp; "'!" &amp; J4794, J4794), "")</f>
        <v>0</v>
      </c>
    </row>
    <row r="4795" spans="2:2">
      <c r="B4795" s="21">
        <f>IF(AND(C4795&lt;&gt;"", J4795&lt;&gt;""), HYPERLINK("#'" &amp; C4795 &amp; "'!" &amp; J4795, J4795), "")</f>
        <v>0</v>
      </c>
    </row>
    <row r="4796" spans="2:2">
      <c r="B4796" s="21">
        <f>IF(AND(C4796&lt;&gt;"", J4796&lt;&gt;""), HYPERLINK("#'" &amp; C4796 &amp; "'!" &amp; J4796, J4796), "")</f>
        <v>0</v>
      </c>
    </row>
    <row r="4797" spans="2:2">
      <c r="B4797" s="21">
        <f>IF(AND(C4797&lt;&gt;"", J4797&lt;&gt;""), HYPERLINK("#'" &amp; C4797 &amp; "'!" &amp; J4797, J4797), "")</f>
        <v>0</v>
      </c>
    </row>
    <row r="4798" spans="2:2">
      <c r="B4798" s="21">
        <f>IF(AND(C4798&lt;&gt;"", J4798&lt;&gt;""), HYPERLINK("#'" &amp; C4798 &amp; "'!" &amp; J4798, J4798), "")</f>
        <v>0</v>
      </c>
    </row>
    <row r="4799" spans="2:2">
      <c r="B4799" s="21">
        <f>IF(AND(C4799&lt;&gt;"", J4799&lt;&gt;""), HYPERLINK("#'" &amp; C4799 &amp; "'!" &amp; J4799, J4799), "")</f>
        <v>0</v>
      </c>
    </row>
    <row r="4800" spans="2:2">
      <c r="B4800" s="21">
        <f>IF(AND(C4800&lt;&gt;"", J4800&lt;&gt;""), HYPERLINK("#'" &amp; C4800 &amp; "'!" &amp; J4800, J4800), "")</f>
        <v>0</v>
      </c>
    </row>
    <row r="4801" spans="2:2">
      <c r="B4801" s="21">
        <f>IF(AND(C4801&lt;&gt;"", J4801&lt;&gt;""), HYPERLINK("#'" &amp; C4801 &amp; "'!" &amp; J4801, J4801), "")</f>
        <v>0</v>
      </c>
    </row>
    <row r="4802" spans="2:2">
      <c r="B4802" s="21">
        <f>IF(AND(C4802&lt;&gt;"", J4802&lt;&gt;""), HYPERLINK("#'" &amp; C4802 &amp; "'!" &amp; J4802, J4802), "")</f>
        <v>0</v>
      </c>
    </row>
    <row r="4803" spans="2:2">
      <c r="B4803" s="21">
        <f>IF(AND(C4803&lt;&gt;"", J4803&lt;&gt;""), HYPERLINK("#'" &amp; C4803 &amp; "'!" &amp; J4803, J4803), "")</f>
        <v>0</v>
      </c>
    </row>
    <row r="4804" spans="2:2">
      <c r="B4804" s="21">
        <f>IF(AND(C4804&lt;&gt;"", J4804&lt;&gt;""), HYPERLINK("#'" &amp; C4804 &amp; "'!" &amp; J4804, J4804), "")</f>
        <v>0</v>
      </c>
    </row>
    <row r="4805" spans="2:2">
      <c r="B4805" s="21">
        <f>IF(AND(C4805&lt;&gt;"", J4805&lt;&gt;""), HYPERLINK("#'" &amp; C4805 &amp; "'!" &amp; J4805, J4805), "")</f>
        <v>0</v>
      </c>
    </row>
    <row r="4806" spans="2:2">
      <c r="B4806" s="21">
        <f>IF(AND(C4806&lt;&gt;"", J4806&lt;&gt;""), HYPERLINK("#'" &amp; C4806 &amp; "'!" &amp; J4806, J4806), "")</f>
        <v>0</v>
      </c>
    </row>
    <row r="4807" spans="2:2">
      <c r="B4807" s="21">
        <f>IF(AND(C4807&lt;&gt;"", J4807&lt;&gt;""), HYPERLINK("#'" &amp; C4807 &amp; "'!" &amp; J4807, J4807), "")</f>
        <v>0</v>
      </c>
    </row>
    <row r="4808" spans="2:2">
      <c r="B4808" s="21">
        <f>IF(AND(C4808&lt;&gt;"", J4808&lt;&gt;""), HYPERLINK("#'" &amp; C4808 &amp; "'!" &amp; J4808, J4808), "")</f>
        <v>0</v>
      </c>
    </row>
    <row r="4809" spans="2:2">
      <c r="B4809" s="21">
        <f>IF(AND(C4809&lt;&gt;"", J4809&lt;&gt;""), HYPERLINK("#'" &amp; C4809 &amp; "'!" &amp; J4809, J4809), "")</f>
        <v>0</v>
      </c>
    </row>
    <row r="4810" spans="2:2">
      <c r="B4810" s="21">
        <f>IF(AND(C4810&lt;&gt;"", J4810&lt;&gt;""), HYPERLINK("#'" &amp; C4810 &amp; "'!" &amp; J4810, J4810), "")</f>
        <v>0</v>
      </c>
    </row>
    <row r="4811" spans="2:2">
      <c r="B4811" s="21">
        <f>IF(AND(C4811&lt;&gt;"", J4811&lt;&gt;""), HYPERLINK("#'" &amp; C4811 &amp; "'!" &amp; J4811, J4811), "")</f>
        <v>0</v>
      </c>
    </row>
    <row r="4812" spans="2:2">
      <c r="B4812" s="21">
        <f>IF(AND(C4812&lt;&gt;"", J4812&lt;&gt;""), HYPERLINK("#'" &amp; C4812 &amp; "'!" &amp; J4812, J4812), "")</f>
        <v>0</v>
      </c>
    </row>
    <row r="4813" spans="2:2">
      <c r="B4813" s="21">
        <f>IF(AND(C4813&lt;&gt;"", J4813&lt;&gt;""), HYPERLINK("#'" &amp; C4813 &amp; "'!" &amp; J4813, J4813), "")</f>
        <v>0</v>
      </c>
    </row>
    <row r="4814" spans="2:2">
      <c r="B4814" s="21">
        <f>IF(AND(C4814&lt;&gt;"", J4814&lt;&gt;""), HYPERLINK("#'" &amp; C4814 &amp; "'!" &amp; J4814, J4814), "")</f>
        <v>0</v>
      </c>
    </row>
    <row r="4815" spans="2:2">
      <c r="B4815" s="21">
        <f>IF(AND(C4815&lt;&gt;"", J4815&lt;&gt;""), HYPERLINK("#'" &amp; C4815 &amp; "'!" &amp; J4815, J4815), "")</f>
        <v>0</v>
      </c>
    </row>
    <row r="4816" spans="2:2">
      <c r="B4816" s="21">
        <f>IF(AND(C4816&lt;&gt;"", J4816&lt;&gt;""), HYPERLINK("#'" &amp; C4816 &amp; "'!" &amp; J4816, J4816), "")</f>
        <v>0</v>
      </c>
    </row>
    <row r="4817" spans="2:2">
      <c r="B4817" s="21">
        <f>IF(AND(C4817&lt;&gt;"", J4817&lt;&gt;""), HYPERLINK("#'" &amp; C4817 &amp; "'!" &amp; J4817, J4817), "")</f>
        <v>0</v>
      </c>
    </row>
    <row r="4818" spans="2:2">
      <c r="B4818" s="21">
        <f>IF(AND(C4818&lt;&gt;"", J4818&lt;&gt;""), HYPERLINK("#'" &amp; C4818 &amp; "'!" &amp; J4818, J4818), "")</f>
        <v>0</v>
      </c>
    </row>
    <row r="4819" spans="2:2">
      <c r="B4819" s="21">
        <f>IF(AND(C4819&lt;&gt;"", J4819&lt;&gt;""), HYPERLINK("#'" &amp; C4819 &amp; "'!" &amp; J4819, J4819), "")</f>
        <v>0</v>
      </c>
    </row>
    <row r="4820" spans="2:2">
      <c r="B4820" s="21">
        <f>IF(AND(C4820&lt;&gt;"", J4820&lt;&gt;""), HYPERLINK("#'" &amp; C4820 &amp; "'!" &amp; J4820, J4820), "")</f>
        <v>0</v>
      </c>
    </row>
    <row r="4821" spans="2:2">
      <c r="B4821" s="21">
        <f>IF(AND(C4821&lt;&gt;"", J4821&lt;&gt;""), HYPERLINK("#'" &amp; C4821 &amp; "'!" &amp; J4821, J4821), "")</f>
        <v>0</v>
      </c>
    </row>
    <row r="4822" spans="2:2">
      <c r="B4822" s="21">
        <f>IF(AND(C4822&lt;&gt;"", J4822&lt;&gt;""), HYPERLINK("#'" &amp; C4822 &amp; "'!" &amp; J4822, J4822), "")</f>
        <v>0</v>
      </c>
    </row>
    <row r="4823" spans="2:2">
      <c r="B4823" s="21">
        <f>IF(AND(C4823&lt;&gt;"", J4823&lt;&gt;""), HYPERLINK("#'" &amp; C4823 &amp; "'!" &amp; J4823, J4823), "")</f>
        <v>0</v>
      </c>
    </row>
    <row r="4824" spans="2:2">
      <c r="B4824" s="21">
        <f>IF(AND(C4824&lt;&gt;"", J4824&lt;&gt;""), HYPERLINK("#'" &amp; C4824 &amp; "'!" &amp; J4824, J4824), "")</f>
        <v>0</v>
      </c>
    </row>
    <row r="4825" spans="2:2">
      <c r="B4825" s="21">
        <f>IF(AND(C4825&lt;&gt;"", J4825&lt;&gt;""), HYPERLINK("#'" &amp; C4825 &amp; "'!" &amp; J4825, J4825), "")</f>
        <v>0</v>
      </c>
    </row>
    <row r="4826" spans="2:2">
      <c r="B4826" s="21">
        <f>IF(AND(C4826&lt;&gt;"", J4826&lt;&gt;""), HYPERLINK("#'" &amp; C4826 &amp; "'!" &amp; J4826, J4826), "")</f>
        <v>0</v>
      </c>
    </row>
    <row r="4827" spans="2:2">
      <c r="B4827" s="21">
        <f>IF(AND(C4827&lt;&gt;"", J4827&lt;&gt;""), HYPERLINK("#'" &amp; C4827 &amp; "'!" &amp; J4827, J4827), "")</f>
        <v>0</v>
      </c>
    </row>
    <row r="4828" spans="2:2">
      <c r="B4828" s="21">
        <f>IF(AND(C4828&lt;&gt;"", J4828&lt;&gt;""), HYPERLINK("#'" &amp; C4828 &amp; "'!" &amp; J4828, J4828), "")</f>
        <v>0</v>
      </c>
    </row>
    <row r="4829" spans="2:2">
      <c r="B4829" s="21">
        <f>IF(AND(C4829&lt;&gt;"", J4829&lt;&gt;""), HYPERLINK("#'" &amp; C4829 &amp; "'!" &amp; J4829, J4829), "")</f>
        <v>0</v>
      </c>
    </row>
    <row r="4830" spans="2:2">
      <c r="B4830" s="21">
        <f>IF(AND(C4830&lt;&gt;"", J4830&lt;&gt;""), HYPERLINK("#'" &amp; C4830 &amp; "'!" &amp; J4830, J4830), "")</f>
        <v>0</v>
      </c>
    </row>
    <row r="4831" spans="2:2">
      <c r="B4831" s="21">
        <f>IF(AND(C4831&lt;&gt;"", J4831&lt;&gt;""), HYPERLINK("#'" &amp; C4831 &amp; "'!" &amp; J4831, J4831), "")</f>
        <v>0</v>
      </c>
    </row>
    <row r="4832" spans="2:2">
      <c r="B4832" s="21">
        <f>IF(AND(C4832&lt;&gt;"", J4832&lt;&gt;""), HYPERLINK("#'" &amp; C4832 &amp; "'!" &amp; J4832, J4832), "")</f>
        <v>0</v>
      </c>
    </row>
    <row r="4833" spans="2:2">
      <c r="B4833" s="21">
        <f>IF(AND(C4833&lt;&gt;"", J4833&lt;&gt;""), HYPERLINK("#'" &amp; C4833 &amp; "'!" &amp; J4833, J4833), "")</f>
        <v>0</v>
      </c>
    </row>
    <row r="4834" spans="2:2">
      <c r="B4834" s="21">
        <f>IF(AND(C4834&lt;&gt;"", J4834&lt;&gt;""), HYPERLINK("#'" &amp; C4834 &amp; "'!" &amp; J4834, J4834), "")</f>
        <v>0</v>
      </c>
    </row>
    <row r="4835" spans="2:2">
      <c r="B4835" s="21">
        <f>IF(AND(C4835&lt;&gt;"", J4835&lt;&gt;""), HYPERLINK("#'" &amp; C4835 &amp; "'!" &amp; J4835, J4835), "")</f>
        <v>0</v>
      </c>
    </row>
    <row r="4836" spans="2:2">
      <c r="B4836" s="21">
        <f>IF(AND(C4836&lt;&gt;"", J4836&lt;&gt;""), HYPERLINK("#'" &amp; C4836 &amp; "'!" &amp; J4836, J4836), "")</f>
        <v>0</v>
      </c>
    </row>
    <row r="4837" spans="2:2">
      <c r="B4837" s="21">
        <f>IF(AND(C4837&lt;&gt;"", J4837&lt;&gt;""), HYPERLINK("#'" &amp; C4837 &amp; "'!" &amp; J4837, J4837), "")</f>
        <v>0</v>
      </c>
    </row>
    <row r="4838" spans="2:2">
      <c r="B4838" s="21">
        <f>IF(AND(C4838&lt;&gt;"", J4838&lt;&gt;""), HYPERLINK("#'" &amp; C4838 &amp; "'!" &amp; J4838, J4838), "")</f>
        <v>0</v>
      </c>
    </row>
    <row r="4839" spans="2:2">
      <c r="B4839" s="21">
        <f>IF(AND(C4839&lt;&gt;"", J4839&lt;&gt;""), HYPERLINK("#'" &amp; C4839 &amp; "'!" &amp; J4839, J4839), "")</f>
        <v>0</v>
      </c>
    </row>
    <row r="4840" spans="2:2">
      <c r="B4840" s="21">
        <f>IF(AND(C4840&lt;&gt;"", J4840&lt;&gt;""), HYPERLINK("#'" &amp; C4840 &amp; "'!" &amp; J4840, J4840), "")</f>
        <v>0</v>
      </c>
    </row>
    <row r="4841" spans="2:2">
      <c r="B4841" s="21">
        <f>IF(AND(C4841&lt;&gt;"", J4841&lt;&gt;""), HYPERLINK("#'" &amp; C4841 &amp; "'!" &amp; J4841, J4841), "")</f>
        <v>0</v>
      </c>
    </row>
    <row r="4842" spans="2:2">
      <c r="B4842" s="21">
        <f>IF(AND(C4842&lt;&gt;"", J4842&lt;&gt;""), HYPERLINK("#'" &amp; C4842 &amp; "'!" &amp; J4842, J4842), "")</f>
        <v>0</v>
      </c>
    </row>
    <row r="4843" spans="2:2">
      <c r="B4843" s="21">
        <f>IF(AND(C4843&lt;&gt;"", J4843&lt;&gt;""), HYPERLINK("#'" &amp; C4843 &amp; "'!" &amp; J4843, J4843), "")</f>
        <v>0</v>
      </c>
    </row>
    <row r="4844" spans="2:2">
      <c r="B4844" s="21">
        <f>IF(AND(C4844&lt;&gt;"", J4844&lt;&gt;""), HYPERLINK("#'" &amp; C4844 &amp; "'!" &amp; J4844, J4844), "")</f>
        <v>0</v>
      </c>
    </row>
    <row r="4845" spans="2:2">
      <c r="B4845" s="21">
        <f>IF(AND(C4845&lt;&gt;"", J4845&lt;&gt;""), HYPERLINK("#'" &amp; C4845 &amp; "'!" &amp; J4845, J4845), "")</f>
        <v>0</v>
      </c>
    </row>
    <row r="4846" spans="2:2">
      <c r="B4846" s="21">
        <f>IF(AND(C4846&lt;&gt;"", J4846&lt;&gt;""), HYPERLINK("#'" &amp; C4846 &amp; "'!" &amp; J4846, J4846), "")</f>
        <v>0</v>
      </c>
    </row>
    <row r="4847" spans="2:2">
      <c r="B4847" s="21">
        <f>IF(AND(C4847&lt;&gt;"", J4847&lt;&gt;""), HYPERLINK("#'" &amp; C4847 &amp; "'!" &amp; J4847, J4847), "")</f>
        <v>0</v>
      </c>
    </row>
    <row r="4848" spans="2:2">
      <c r="B4848" s="21">
        <f>IF(AND(C4848&lt;&gt;"", J4848&lt;&gt;""), HYPERLINK("#'" &amp; C4848 &amp; "'!" &amp; J4848, J4848), "")</f>
        <v>0</v>
      </c>
    </row>
    <row r="4849" spans="2:2">
      <c r="B4849" s="21">
        <f>IF(AND(C4849&lt;&gt;"", J4849&lt;&gt;""), HYPERLINK("#'" &amp; C4849 &amp; "'!" &amp; J4849, J4849), "")</f>
        <v>0</v>
      </c>
    </row>
    <row r="4850" spans="2:2">
      <c r="B4850" s="21">
        <f>IF(AND(C4850&lt;&gt;"", J4850&lt;&gt;""), HYPERLINK("#'" &amp; C4850 &amp; "'!" &amp; J4850, J4850), "")</f>
        <v>0</v>
      </c>
    </row>
    <row r="4851" spans="2:2">
      <c r="B4851" s="21">
        <f>IF(AND(C4851&lt;&gt;"", J4851&lt;&gt;""), HYPERLINK("#'" &amp; C4851 &amp; "'!" &amp; J4851, J4851), "")</f>
        <v>0</v>
      </c>
    </row>
    <row r="4852" spans="2:2">
      <c r="B4852" s="21">
        <f>IF(AND(C4852&lt;&gt;"", J4852&lt;&gt;""), HYPERLINK("#'" &amp; C4852 &amp; "'!" &amp; J4852, J4852), "")</f>
        <v>0</v>
      </c>
    </row>
    <row r="4853" spans="2:2">
      <c r="B4853" s="21">
        <f>IF(AND(C4853&lt;&gt;"", J4853&lt;&gt;""), HYPERLINK("#'" &amp; C4853 &amp; "'!" &amp; J4853, J4853), "")</f>
        <v>0</v>
      </c>
    </row>
    <row r="4854" spans="2:2">
      <c r="B4854" s="21">
        <f>IF(AND(C4854&lt;&gt;"", J4854&lt;&gt;""), HYPERLINK("#'" &amp; C4854 &amp; "'!" &amp; J4854, J4854), "")</f>
        <v>0</v>
      </c>
    </row>
    <row r="4855" spans="2:2">
      <c r="B4855" s="21">
        <f>IF(AND(C4855&lt;&gt;"", J4855&lt;&gt;""), HYPERLINK("#'" &amp; C4855 &amp; "'!" &amp; J4855, J4855), "")</f>
        <v>0</v>
      </c>
    </row>
    <row r="4856" spans="2:2">
      <c r="B4856" s="21">
        <f>IF(AND(C4856&lt;&gt;"", J4856&lt;&gt;""), HYPERLINK("#'" &amp; C4856 &amp; "'!" &amp; J4856, J4856), "")</f>
        <v>0</v>
      </c>
    </row>
    <row r="4857" spans="2:2">
      <c r="B4857" s="21">
        <f>IF(AND(C4857&lt;&gt;"", J4857&lt;&gt;""), HYPERLINK("#'" &amp; C4857 &amp; "'!" &amp; J4857, J4857), "")</f>
        <v>0</v>
      </c>
    </row>
    <row r="4858" spans="2:2">
      <c r="B4858" s="21">
        <f>IF(AND(C4858&lt;&gt;"", J4858&lt;&gt;""), HYPERLINK("#'" &amp; C4858 &amp; "'!" &amp; J4858, J4858), "")</f>
        <v>0</v>
      </c>
    </row>
    <row r="4859" spans="2:2">
      <c r="B4859" s="21">
        <f>IF(AND(C4859&lt;&gt;"", J4859&lt;&gt;""), HYPERLINK("#'" &amp; C4859 &amp; "'!" &amp; J4859, J4859), "")</f>
        <v>0</v>
      </c>
    </row>
    <row r="4860" spans="2:2">
      <c r="B4860" s="21">
        <f>IF(AND(C4860&lt;&gt;"", J4860&lt;&gt;""), HYPERLINK("#'" &amp; C4860 &amp; "'!" &amp; J4860, J4860), "")</f>
        <v>0</v>
      </c>
    </row>
    <row r="4861" spans="2:2">
      <c r="B4861" s="21">
        <f>IF(AND(C4861&lt;&gt;"", J4861&lt;&gt;""), HYPERLINK("#'" &amp; C4861 &amp; "'!" &amp; J4861, J4861), "")</f>
        <v>0</v>
      </c>
    </row>
    <row r="4862" spans="2:2">
      <c r="B4862" s="21">
        <f>IF(AND(C4862&lt;&gt;"", J4862&lt;&gt;""), HYPERLINK("#'" &amp; C4862 &amp; "'!" &amp; J4862, J4862), "")</f>
        <v>0</v>
      </c>
    </row>
    <row r="4863" spans="2:2">
      <c r="B4863" s="21">
        <f>IF(AND(C4863&lt;&gt;"", J4863&lt;&gt;""), HYPERLINK("#'" &amp; C4863 &amp; "'!" &amp; J4863, J4863), "")</f>
        <v>0</v>
      </c>
    </row>
    <row r="4864" spans="2:2">
      <c r="B4864" s="21">
        <f>IF(AND(C4864&lt;&gt;"", J4864&lt;&gt;""), HYPERLINK("#'" &amp; C4864 &amp; "'!" &amp; J4864, J4864), "")</f>
        <v>0</v>
      </c>
    </row>
    <row r="4865" spans="2:2">
      <c r="B4865" s="21">
        <f>IF(AND(C4865&lt;&gt;"", J4865&lt;&gt;""), HYPERLINK("#'" &amp; C4865 &amp; "'!" &amp; J4865, J4865), "")</f>
        <v>0</v>
      </c>
    </row>
    <row r="4866" spans="2:2">
      <c r="B4866" s="21">
        <f>IF(AND(C4866&lt;&gt;"", J4866&lt;&gt;""), HYPERLINK("#'" &amp; C4866 &amp; "'!" &amp; J4866, J4866), "")</f>
        <v>0</v>
      </c>
    </row>
    <row r="4867" spans="2:2">
      <c r="B4867" s="21">
        <f>IF(AND(C4867&lt;&gt;"", J4867&lt;&gt;""), HYPERLINK("#'" &amp; C4867 &amp; "'!" &amp; J4867, J4867), "")</f>
        <v>0</v>
      </c>
    </row>
    <row r="4868" spans="2:2">
      <c r="B4868" s="21">
        <f>IF(AND(C4868&lt;&gt;"", J4868&lt;&gt;""), HYPERLINK("#'" &amp; C4868 &amp; "'!" &amp; J4868, J4868), "")</f>
        <v>0</v>
      </c>
    </row>
    <row r="4869" spans="2:2">
      <c r="B4869" s="21">
        <f>IF(AND(C4869&lt;&gt;"", J4869&lt;&gt;""), HYPERLINK("#'" &amp; C4869 &amp; "'!" &amp; J4869, J4869), "")</f>
        <v>0</v>
      </c>
    </row>
    <row r="4870" spans="2:2">
      <c r="B4870" s="21">
        <f>IF(AND(C4870&lt;&gt;"", J4870&lt;&gt;""), HYPERLINK("#'" &amp; C4870 &amp; "'!" &amp; J4870, J4870), "")</f>
        <v>0</v>
      </c>
    </row>
    <row r="4871" spans="2:2">
      <c r="B4871" s="21">
        <f>IF(AND(C4871&lt;&gt;"", J4871&lt;&gt;""), HYPERLINK("#'" &amp; C4871 &amp; "'!" &amp; J4871, J4871), "")</f>
        <v>0</v>
      </c>
    </row>
    <row r="4872" spans="2:2">
      <c r="B4872" s="21">
        <f>IF(AND(C4872&lt;&gt;"", J4872&lt;&gt;""), HYPERLINK("#'" &amp; C4872 &amp; "'!" &amp; J4872, J4872), "")</f>
        <v>0</v>
      </c>
    </row>
    <row r="4873" spans="2:2">
      <c r="B4873" s="21">
        <f>IF(AND(C4873&lt;&gt;"", J4873&lt;&gt;""), HYPERLINK("#'" &amp; C4873 &amp; "'!" &amp; J4873, J4873), "")</f>
        <v>0</v>
      </c>
    </row>
    <row r="4874" spans="2:2">
      <c r="B4874" s="21">
        <f>IF(AND(C4874&lt;&gt;"", J4874&lt;&gt;""), HYPERLINK("#'" &amp; C4874 &amp; "'!" &amp; J4874, J4874), "")</f>
        <v>0</v>
      </c>
    </row>
    <row r="4875" spans="2:2">
      <c r="B4875" s="21">
        <f>IF(AND(C4875&lt;&gt;"", J4875&lt;&gt;""), HYPERLINK("#'" &amp; C4875 &amp; "'!" &amp; J4875, J4875), "")</f>
        <v>0</v>
      </c>
    </row>
    <row r="4876" spans="2:2">
      <c r="B4876" s="21">
        <f>IF(AND(C4876&lt;&gt;"", J4876&lt;&gt;""), HYPERLINK("#'" &amp; C4876 &amp; "'!" &amp; J4876, J4876), "")</f>
        <v>0</v>
      </c>
    </row>
    <row r="4877" spans="2:2">
      <c r="B4877" s="21">
        <f>IF(AND(C4877&lt;&gt;"", J4877&lt;&gt;""), HYPERLINK("#'" &amp; C4877 &amp; "'!" &amp; J4877, J4877), "")</f>
        <v>0</v>
      </c>
    </row>
    <row r="4878" spans="2:2">
      <c r="B4878" s="21">
        <f>IF(AND(C4878&lt;&gt;"", J4878&lt;&gt;""), HYPERLINK("#'" &amp; C4878 &amp; "'!" &amp; J4878, J4878), "")</f>
        <v>0</v>
      </c>
    </row>
    <row r="4879" spans="2:2">
      <c r="B4879" s="21">
        <f>IF(AND(C4879&lt;&gt;"", J4879&lt;&gt;""), HYPERLINK("#'" &amp; C4879 &amp; "'!" &amp; J4879, J4879), "")</f>
        <v>0</v>
      </c>
    </row>
    <row r="4880" spans="2:2">
      <c r="B4880" s="21">
        <f>IF(AND(C4880&lt;&gt;"", J4880&lt;&gt;""), HYPERLINK("#'" &amp; C4880 &amp; "'!" &amp; J4880, J4880), "")</f>
        <v>0</v>
      </c>
    </row>
    <row r="4881" spans="2:2">
      <c r="B4881" s="21">
        <f>IF(AND(C4881&lt;&gt;"", J4881&lt;&gt;""), HYPERLINK("#'" &amp; C4881 &amp; "'!" &amp; J4881, J4881), "")</f>
        <v>0</v>
      </c>
    </row>
    <row r="4882" spans="2:2">
      <c r="B4882" s="21">
        <f>IF(AND(C4882&lt;&gt;"", J4882&lt;&gt;""), HYPERLINK("#'" &amp; C4882 &amp; "'!" &amp; J4882, J4882), "")</f>
        <v>0</v>
      </c>
    </row>
    <row r="4883" spans="2:2">
      <c r="B4883" s="21">
        <f>IF(AND(C4883&lt;&gt;"", J4883&lt;&gt;""), HYPERLINK("#'" &amp; C4883 &amp; "'!" &amp; J4883, J4883), "")</f>
        <v>0</v>
      </c>
    </row>
    <row r="4884" spans="2:2">
      <c r="B4884" s="21">
        <f>IF(AND(C4884&lt;&gt;"", J4884&lt;&gt;""), HYPERLINK("#'" &amp; C4884 &amp; "'!" &amp; J4884, J4884), "")</f>
        <v>0</v>
      </c>
    </row>
    <row r="4885" spans="2:2">
      <c r="B4885" s="21">
        <f>IF(AND(C4885&lt;&gt;"", J4885&lt;&gt;""), HYPERLINK("#'" &amp; C4885 &amp; "'!" &amp; J4885, J4885), "")</f>
        <v>0</v>
      </c>
    </row>
    <row r="4886" spans="2:2">
      <c r="B4886" s="21">
        <f>IF(AND(C4886&lt;&gt;"", J4886&lt;&gt;""), HYPERLINK("#'" &amp; C4886 &amp; "'!" &amp; J4886, J4886), "")</f>
        <v>0</v>
      </c>
    </row>
    <row r="4887" spans="2:2">
      <c r="B4887" s="21">
        <f>IF(AND(C4887&lt;&gt;"", J4887&lt;&gt;""), HYPERLINK("#'" &amp; C4887 &amp; "'!" &amp; J4887, J4887), "")</f>
        <v>0</v>
      </c>
    </row>
    <row r="4888" spans="2:2">
      <c r="B4888" s="21">
        <f>IF(AND(C4888&lt;&gt;"", J4888&lt;&gt;""), HYPERLINK("#'" &amp; C4888 &amp; "'!" &amp; J4888, J4888), "")</f>
        <v>0</v>
      </c>
    </row>
    <row r="4889" spans="2:2">
      <c r="B4889" s="21">
        <f>IF(AND(C4889&lt;&gt;"", J4889&lt;&gt;""), HYPERLINK("#'" &amp; C4889 &amp; "'!" &amp; J4889, J4889), "")</f>
        <v>0</v>
      </c>
    </row>
    <row r="4890" spans="2:2">
      <c r="B4890" s="21">
        <f>IF(AND(C4890&lt;&gt;"", J4890&lt;&gt;""), HYPERLINK("#'" &amp; C4890 &amp; "'!" &amp; J4890, J4890), "")</f>
        <v>0</v>
      </c>
    </row>
    <row r="4891" spans="2:2">
      <c r="B4891" s="21">
        <f>IF(AND(C4891&lt;&gt;"", J4891&lt;&gt;""), HYPERLINK("#'" &amp; C4891 &amp; "'!" &amp; J4891, J4891), "")</f>
        <v>0</v>
      </c>
    </row>
    <row r="4892" spans="2:2">
      <c r="B4892" s="21">
        <f>IF(AND(C4892&lt;&gt;"", J4892&lt;&gt;""), HYPERLINK("#'" &amp; C4892 &amp; "'!" &amp; J4892, J4892), "")</f>
        <v>0</v>
      </c>
    </row>
    <row r="4893" spans="2:2">
      <c r="B4893" s="21">
        <f>IF(AND(C4893&lt;&gt;"", J4893&lt;&gt;""), HYPERLINK("#'" &amp; C4893 &amp; "'!" &amp; J4893, J4893), "")</f>
        <v>0</v>
      </c>
    </row>
    <row r="4894" spans="2:2">
      <c r="B4894" s="21">
        <f>IF(AND(C4894&lt;&gt;"", J4894&lt;&gt;""), HYPERLINK("#'" &amp; C4894 &amp; "'!" &amp; J4894, J4894), "")</f>
        <v>0</v>
      </c>
    </row>
    <row r="4895" spans="2:2">
      <c r="B4895" s="21">
        <f>IF(AND(C4895&lt;&gt;"", J4895&lt;&gt;""), HYPERLINK("#'" &amp; C4895 &amp; "'!" &amp; J4895, J4895), "")</f>
        <v>0</v>
      </c>
    </row>
    <row r="4896" spans="2:2">
      <c r="B4896" s="21">
        <f>IF(AND(C4896&lt;&gt;"", J4896&lt;&gt;""), HYPERLINK("#'" &amp; C4896 &amp; "'!" &amp; J4896, J4896), "")</f>
        <v>0</v>
      </c>
    </row>
    <row r="4897" spans="2:2">
      <c r="B4897" s="21">
        <f>IF(AND(C4897&lt;&gt;"", J4897&lt;&gt;""), HYPERLINK("#'" &amp; C4897 &amp; "'!" &amp; J4897, J4897), "")</f>
        <v>0</v>
      </c>
    </row>
    <row r="4898" spans="2:2">
      <c r="B4898" s="21">
        <f>IF(AND(C4898&lt;&gt;"", J4898&lt;&gt;""), HYPERLINK("#'" &amp; C4898 &amp; "'!" &amp; J4898, J4898), "")</f>
        <v>0</v>
      </c>
    </row>
    <row r="4899" spans="2:2">
      <c r="B4899" s="21">
        <f>IF(AND(C4899&lt;&gt;"", J4899&lt;&gt;""), HYPERLINK("#'" &amp; C4899 &amp; "'!" &amp; J4899, J4899), "")</f>
        <v>0</v>
      </c>
    </row>
    <row r="4900" spans="2:2">
      <c r="B4900" s="21">
        <f>IF(AND(C4900&lt;&gt;"", J4900&lt;&gt;""), HYPERLINK("#'" &amp; C4900 &amp; "'!" &amp; J4900, J4900), "")</f>
        <v>0</v>
      </c>
    </row>
    <row r="4901" spans="2:2">
      <c r="B4901" s="21">
        <f>IF(AND(C4901&lt;&gt;"", J4901&lt;&gt;""), HYPERLINK("#'" &amp; C4901 &amp; "'!" &amp; J4901, J4901), "")</f>
        <v>0</v>
      </c>
    </row>
    <row r="4902" spans="2:2">
      <c r="B4902" s="21">
        <f>IF(AND(C4902&lt;&gt;"", J4902&lt;&gt;""), HYPERLINK("#'" &amp; C4902 &amp; "'!" &amp; J4902, J4902), "")</f>
        <v>0</v>
      </c>
    </row>
    <row r="4903" spans="2:2">
      <c r="B4903" s="21">
        <f>IF(AND(C4903&lt;&gt;"", J4903&lt;&gt;""), HYPERLINK("#'" &amp; C4903 &amp; "'!" &amp; J4903, J4903), "")</f>
        <v>0</v>
      </c>
    </row>
    <row r="4904" spans="2:2">
      <c r="B4904" s="21">
        <f>IF(AND(C4904&lt;&gt;"", J4904&lt;&gt;""), HYPERLINK("#'" &amp; C4904 &amp; "'!" &amp; J4904, J4904), "")</f>
        <v>0</v>
      </c>
    </row>
    <row r="4905" spans="2:2">
      <c r="B4905" s="21">
        <f>IF(AND(C4905&lt;&gt;"", J4905&lt;&gt;""), HYPERLINK("#'" &amp; C4905 &amp; "'!" &amp; J4905, J4905), "")</f>
        <v>0</v>
      </c>
    </row>
    <row r="4906" spans="2:2">
      <c r="B4906" s="21">
        <f>IF(AND(C4906&lt;&gt;"", J4906&lt;&gt;""), HYPERLINK("#'" &amp; C4906 &amp; "'!" &amp; J4906, J4906), "")</f>
        <v>0</v>
      </c>
    </row>
    <row r="4907" spans="2:2">
      <c r="B4907" s="21">
        <f>IF(AND(C4907&lt;&gt;"", J4907&lt;&gt;""), HYPERLINK("#'" &amp; C4907 &amp; "'!" &amp; J4907, J4907), "")</f>
        <v>0</v>
      </c>
    </row>
    <row r="4908" spans="2:2">
      <c r="B4908" s="21">
        <f>IF(AND(C4908&lt;&gt;"", J4908&lt;&gt;""), HYPERLINK("#'" &amp; C4908 &amp; "'!" &amp; J4908, J4908), "")</f>
        <v>0</v>
      </c>
    </row>
    <row r="4909" spans="2:2">
      <c r="B4909" s="21">
        <f>IF(AND(C4909&lt;&gt;"", J4909&lt;&gt;""), HYPERLINK("#'" &amp; C4909 &amp; "'!" &amp; J4909, J4909), "")</f>
        <v>0</v>
      </c>
    </row>
    <row r="4910" spans="2:2">
      <c r="B4910" s="21">
        <f>IF(AND(C4910&lt;&gt;"", J4910&lt;&gt;""), HYPERLINK("#'" &amp; C4910 &amp; "'!" &amp; J4910, J4910), "")</f>
        <v>0</v>
      </c>
    </row>
    <row r="4911" spans="2:2">
      <c r="B4911" s="21">
        <f>IF(AND(C4911&lt;&gt;"", J4911&lt;&gt;""), HYPERLINK("#'" &amp; C4911 &amp; "'!" &amp; J4911, J4911), "")</f>
        <v>0</v>
      </c>
    </row>
    <row r="4912" spans="2:2">
      <c r="B4912" s="21">
        <f>IF(AND(C4912&lt;&gt;"", J4912&lt;&gt;""), HYPERLINK("#'" &amp; C4912 &amp; "'!" &amp; J4912, J4912), "")</f>
        <v>0</v>
      </c>
    </row>
    <row r="4913" spans="2:2">
      <c r="B4913" s="21">
        <f>IF(AND(C4913&lt;&gt;"", J4913&lt;&gt;""), HYPERLINK("#'" &amp; C4913 &amp; "'!" &amp; J4913, J4913), "")</f>
        <v>0</v>
      </c>
    </row>
    <row r="4914" spans="2:2">
      <c r="B4914" s="21">
        <f>IF(AND(C4914&lt;&gt;"", J4914&lt;&gt;""), HYPERLINK("#'" &amp; C4914 &amp; "'!" &amp; J4914, J4914), "")</f>
        <v>0</v>
      </c>
    </row>
    <row r="4915" spans="2:2">
      <c r="B4915" s="21">
        <f>IF(AND(C4915&lt;&gt;"", J4915&lt;&gt;""), HYPERLINK("#'" &amp; C4915 &amp; "'!" &amp; J4915, J4915), "")</f>
        <v>0</v>
      </c>
    </row>
    <row r="4916" spans="2:2">
      <c r="B4916" s="21">
        <f>IF(AND(C4916&lt;&gt;"", J4916&lt;&gt;""), HYPERLINK("#'" &amp; C4916 &amp; "'!" &amp; J4916, J4916), "")</f>
        <v>0</v>
      </c>
    </row>
    <row r="4917" spans="2:2">
      <c r="B4917" s="21">
        <f>IF(AND(C4917&lt;&gt;"", J4917&lt;&gt;""), HYPERLINK("#'" &amp; C4917 &amp; "'!" &amp; J4917, J4917), "")</f>
        <v>0</v>
      </c>
    </row>
    <row r="4918" spans="2:2">
      <c r="B4918" s="21">
        <f>IF(AND(C4918&lt;&gt;"", J4918&lt;&gt;""), HYPERLINK("#'" &amp; C4918 &amp; "'!" &amp; J4918, J4918), "")</f>
        <v>0</v>
      </c>
    </row>
    <row r="4919" spans="2:2">
      <c r="B4919" s="21">
        <f>IF(AND(C4919&lt;&gt;"", J4919&lt;&gt;""), HYPERLINK("#'" &amp; C4919 &amp; "'!" &amp; J4919, J4919), "")</f>
        <v>0</v>
      </c>
    </row>
    <row r="4920" spans="2:2">
      <c r="B4920" s="21">
        <f>IF(AND(C4920&lt;&gt;"", J4920&lt;&gt;""), HYPERLINK("#'" &amp; C4920 &amp; "'!" &amp; J4920, J4920), "")</f>
        <v>0</v>
      </c>
    </row>
    <row r="4921" spans="2:2">
      <c r="B4921" s="21">
        <f>IF(AND(C4921&lt;&gt;"", J4921&lt;&gt;""), HYPERLINK("#'" &amp; C4921 &amp; "'!" &amp; J4921, J4921), "")</f>
        <v>0</v>
      </c>
    </row>
    <row r="4922" spans="2:2">
      <c r="B4922" s="21">
        <f>IF(AND(C4922&lt;&gt;"", J4922&lt;&gt;""), HYPERLINK("#'" &amp; C4922 &amp; "'!" &amp; J4922, J4922), "")</f>
        <v>0</v>
      </c>
    </row>
    <row r="4923" spans="2:2">
      <c r="B4923" s="21">
        <f>IF(AND(C4923&lt;&gt;"", J4923&lt;&gt;""), HYPERLINK("#'" &amp; C4923 &amp; "'!" &amp; J4923, J4923), "")</f>
        <v>0</v>
      </c>
    </row>
    <row r="4924" spans="2:2">
      <c r="B4924" s="21">
        <f>IF(AND(C4924&lt;&gt;"", J4924&lt;&gt;""), HYPERLINK("#'" &amp; C4924 &amp; "'!" &amp; J4924, J4924), "")</f>
        <v>0</v>
      </c>
    </row>
    <row r="4925" spans="2:2">
      <c r="B4925" s="21">
        <f>IF(AND(C4925&lt;&gt;"", J4925&lt;&gt;""), HYPERLINK("#'" &amp; C4925 &amp; "'!" &amp; J4925, J4925), "")</f>
        <v>0</v>
      </c>
    </row>
    <row r="4926" spans="2:2">
      <c r="B4926" s="21">
        <f>IF(AND(C4926&lt;&gt;"", J4926&lt;&gt;""), HYPERLINK("#'" &amp; C4926 &amp; "'!" &amp; J4926, J4926), "")</f>
        <v>0</v>
      </c>
    </row>
    <row r="4927" spans="2:2">
      <c r="B4927" s="21">
        <f>IF(AND(C4927&lt;&gt;"", J4927&lt;&gt;""), HYPERLINK("#'" &amp; C4927 &amp; "'!" &amp; J4927, J4927), "")</f>
        <v>0</v>
      </c>
    </row>
    <row r="4928" spans="2:2">
      <c r="B4928" s="21">
        <f>IF(AND(C4928&lt;&gt;"", J4928&lt;&gt;""), HYPERLINK("#'" &amp; C4928 &amp; "'!" &amp; J4928, J4928), "")</f>
        <v>0</v>
      </c>
    </row>
    <row r="4929" spans="2:2">
      <c r="B4929" s="21">
        <f>IF(AND(C4929&lt;&gt;"", J4929&lt;&gt;""), HYPERLINK("#'" &amp; C4929 &amp; "'!" &amp; J4929, J4929), "")</f>
        <v>0</v>
      </c>
    </row>
    <row r="4930" spans="2:2">
      <c r="B4930" s="21">
        <f>IF(AND(C4930&lt;&gt;"", J4930&lt;&gt;""), HYPERLINK("#'" &amp; C4930 &amp; "'!" &amp; J4930, J4930), "")</f>
        <v>0</v>
      </c>
    </row>
    <row r="4931" spans="2:2">
      <c r="B4931" s="21">
        <f>IF(AND(C4931&lt;&gt;"", J4931&lt;&gt;""), HYPERLINK("#'" &amp; C4931 &amp; "'!" &amp; J4931, J4931), "")</f>
        <v>0</v>
      </c>
    </row>
    <row r="4932" spans="2:2">
      <c r="B4932" s="21">
        <f>IF(AND(C4932&lt;&gt;"", J4932&lt;&gt;""), HYPERLINK("#'" &amp; C4932 &amp; "'!" &amp; J4932, J4932), "")</f>
        <v>0</v>
      </c>
    </row>
    <row r="4933" spans="2:2">
      <c r="B4933" s="21">
        <f>IF(AND(C4933&lt;&gt;"", J4933&lt;&gt;""), HYPERLINK("#'" &amp; C4933 &amp; "'!" &amp; J4933, J4933), "")</f>
        <v>0</v>
      </c>
    </row>
    <row r="4934" spans="2:2">
      <c r="B4934" s="21">
        <f>IF(AND(C4934&lt;&gt;"", J4934&lt;&gt;""), HYPERLINK("#'" &amp; C4934 &amp; "'!" &amp; J4934, J4934), "")</f>
        <v>0</v>
      </c>
    </row>
    <row r="4935" spans="2:2">
      <c r="B4935" s="21">
        <f>IF(AND(C4935&lt;&gt;"", J4935&lt;&gt;""), HYPERLINK("#'" &amp; C4935 &amp; "'!" &amp; J4935, J4935), "")</f>
        <v>0</v>
      </c>
    </row>
    <row r="4936" spans="2:2">
      <c r="B4936" s="21">
        <f>IF(AND(C4936&lt;&gt;"", J4936&lt;&gt;""), HYPERLINK("#'" &amp; C4936 &amp; "'!" &amp; J4936, J4936), "")</f>
        <v>0</v>
      </c>
    </row>
    <row r="4937" spans="2:2">
      <c r="B4937" s="21">
        <f>IF(AND(C4937&lt;&gt;"", J4937&lt;&gt;""), HYPERLINK("#'" &amp; C4937 &amp; "'!" &amp; J4937, J4937), "")</f>
        <v>0</v>
      </c>
    </row>
    <row r="4938" spans="2:2">
      <c r="B4938" s="21">
        <f>IF(AND(C4938&lt;&gt;"", J4938&lt;&gt;""), HYPERLINK("#'" &amp; C4938 &amp; "'!" &amp; J4938, J4938), "")</f>
        <v>0</v>
      </c>
    </row>
    <row r="4939" spans="2:2">
      <c r="B4939" s="21">
        <f>IF(AND(C4939&lt;&gt;"", J4939&lt;&gt;""), HYPERLINK("#'" &amp; C4939 &amp; "'!" &amp; J4939, J4939), "")</f>
        <v>0</v>
      </c>
    </row>
    <row r="4940" spans="2:2">
      <c r="B4940" s="21">
        <f>IF(AND(C4940&lt;&gt;"", J4940&lt;&gt;""), HYPERLINK("#'" &amp; C4940 &amp; "'!" &amp; J4940, J4940), "")</f>
        <v>0</v>
      </c>
    </row>
    <row r="4941" spans="2:2">
      <c r="B4941" s="21">
        <f>IF(AND(C4941&lt;&gt;"", J4941&lt;&gt;""), HYPERLINK("#'" &amp; C4941 &amp; "'!" &amp; J4941, J4941), "")</f>
        <v>0</v>
      </c>
    </row>
    <row r="4942" spans="2:2">
      <c r="B4942" s="21">
        <f>IF(AND(C4942&lt;&gt;"", J4942&lt;&gt;""), HYPERLINK("#'" &amp; C4942 &amp; "'!" &amp; J4942, J4942), "")</f>
        <v>0</v>
      </c>
    </row>
    <row r="4943" spans="2:2">
      <c r="B4943" s="21">
        <f>IF(AND(C4943&lt;&gt;"", J4943&lt;&gt;""), HYPERLINK("#'" &amp; C4943 &amp; "'!" &amp; J4943, J4943), "")</f>
        <v>0</v>
      </c>
    </row>
    <row r="4944" spans="2:2">
      <c r="B4944" s="21">
        <f>IF(AND(C4944&lt;&gt;"", J4944&lt;&gt;""), HYPERLINK("#'" &amp; C4944 &amp; "'!" &amp; J4944, J4944), "")</f>
        <v>0</v>
      </c>
    </row>
    <row r="4945" spans="2:2">
      <c r="B4945" s="21">
        <f>IF(AND(C4945&lt;&gt;"", J4945&lt;&gt;""), HYPERLINK("#'" &amp; C4945 &amp; "'!" &amp; J4945, J4945), "")</f>
        <v>0</v>
      </c>
    </row>
    <row r="4946" spans="2:2">
      <c r="B4946" s="21">
        <f>IF(AND(C4946&lt;&gt;"", J4946&lt;&gt;""), HYPERLINK("#'" &amp; C4946 &amp; "'!" &amp; J4946, J4946), "")</f>
        <v>0</v>
      </c>
    </row>
    <row r="4947" spans="2:2">
      <c r="B4947" s="21">
        <f>IF(AND(C4947&lt;&gt;"", J4947&lt;&gt;""), HYPERLINK("#'" &amp; C4947 &amp; "'!" &amp; J4947, J4947), "")</f>
        <v>0</v>
      </c>
    </row>
    <row r="4948" spans="2:2">
      <c r="B4948" s="21">
        <f>IF(AND(C4948&lt;&gt;"", J4948&lt;&gt;""), HYPERLINK("#'" &amp; C4948 &amp; "'!" &amp; J4948, J4948), "")</f>
        <v>0</v>
      </c>
    </row>
    <row r="4949" spans="2:2">
      <c r="B4949" s="21">
        <f>IF(AND(C4949&lt;&gt;"", J4949&lt;&gt;""), HYPERLINK("#'" &amp; C4949 &amp; "'!" &amp; J4949, J4949), "")</f>
        <v>0</v>
      </c>
    </row>
    <row r="4950" spans="2:2">
      <c r="B4950" s="21">
        <f>IF(AND(C4950&lt;&gt;"", J4950&lt;&gt;""), HYPERLINK("#'" &amp; C4950 &amp; "'!" &amp; J4950, J4950), "")</f>
        <v>0</v>
      </c>
    </row>
    <row r="4951" spans="2:2">
      <c r="B4951" s="21">
        <f>IF(AND(C4951&lt;&gt;"", J4951&lt;&gt;""), HYPERLINK("#'" &amp; C4951 &amp; "'!" &amp; J4951, J4951), "")</f>
        <v>0</v>
      </c>
    </row>
    <row r="4952" spans="2:2">
      <c r="B4952" s="21">
        <f>IF(AND(C4952&lt;&gt;"", J4952&lt;&gt;""), HYPERLINK("#'" &amp; C4952 &amp; "'!" &amp; J4952, J4952), "")</f>
        <v>0</v>
      </c>
    </row>
    <row r="4953" spans="2:2">
      <c r="B4953" s="21">
        <f>IF(AND(C4953&lt;&gt;"", J4953&lt;&gt;""), HYPERLINK("#'" &amp; C4953 &amp; "'!" &amp; J4953, J4953), "")</f>
        <v>0</v>
      </c>
    </row>
    <row r="4954" spans="2:2">
      <c r="B4954" s="21">
        <f>IF(AND(C4954&lt;&gt;"", J4954&lt;&gt;""), HYPERLINK("#'" &amp; C4954 &amp; "'!" &amp; J4954, J4954), "")</f>
        <v>0</v>
      </c>
    </row>
    <row r="4955" spans="2:2">
      <c r="B4955" s="21">
        <f>IF(AND(C4955&lt;&gt;"", J4955&lt;&gt;""), HYPERLINK("#'" &amp; C4955 &amp; "'!" &amp; J4955, J4955), "")</f>
        <v>0</v>
      </c>
    </row>
    <row r="4956" spans="2:2">
      <c r="B4956" s="21">
        <f>IF(AND(C4956&lt;&gt;"", J4956&lt;&gt;""), HYPERLINK("#'" &amp; C4956 &amp; "'!" &amp; J4956, J4956), "")</f>
        <v>0</v>
      </c>
    </row>
    <row r="4957" spans="2:2">
      <c r="B4957" s="21">
        <f>IF(AND(C4957&lt;&gt;"", J4957&lt;&gt;""), HYPERLINK("#'" &amp; C4957 &amp; "'!" &amp; J4957, J4957), "")</f>
        <v>0</v>
      </c>
    </row>
    <row r="4958" spans="2:2">
      <c r="B4958" s="21">
        <f>IF(AND(C4958&lt;&gt;"", J4958&lt;&gt;""), HYPERLINK("#'" &amp; C4958 &amp; "'!" &amp; J4958, J4958), "")</f>
        <v>0</v>
      </c>
    </row>
    <row r="4959" spans="2:2">
      <c r="B4959" s="21">
        <f>IF(AND(C4959&lt;&gt;"", J4959&lt;&gt;""), HYPERLINK("#'" &amp; C4959 &amp; "'!" &amp; J4959, J4959), "")</f>
        <v>0</v>
      </c>
    </row>
    <row r="4960" spans="2:2">
      <c r="B4960" s="21">
        <f>IF(AND(C4960&lt;&gt;"", J4960&lt;&gt;""), HYPERLINK("#'" &amp; C4960 &amp; "'!" &amp; J4960, J4960), "")</f>
        <v>0</v>
      </c>
    </row>
    <row r="4961" spans="2:2">
      <c r="B4961" s="21">
        <f>IF(AND(C4961&lt;&gt;"", J4961&lt;&gt;""), HYPERLINK("#'" &amp; C4961 &amp; "'!" &amp; J4961, J4961), "")</f>
        <v>0</v>
      </c>
    </row>
    <row r="4962" spans="2:2">
      <c r="B4962" s="21">
        <f>IF(AND(C4962&lt;&gt;"", J4962&lt;&gt;""), HYPERLINK("#'" &amp; C4962 &amp; "'!" &amp; J4962, J4962), "")</f>
        <v>0</v>
      </c>
    </row>
    <row r="4963" spans="2:2">
      <c r="B4963" s="21">
        <f>IF(AND(C4963&lt;&gt;"", J4963&lt;&gt;""), HYPERLINK("#'" &amp; C4963 &amp; "'!" &amp; J4963, J4963), "")</f>
        <v>0</v>
      </c>
    </row>
    <row r="4964" spans="2:2">
      <c r="B4964" s="21">
        <f>IF(AND(C4964&lt;&gt;"", J4964&lt;&gt;""), HYPERLINK("#'" &amp; C4964 &amp; "'!" &amp; J4964, J4964), "")</f>
        <v>0</v>
      </c>
    </row>
    <row r="4965" spans="2:2">
      <c r="B4965" s="21">
        <f>IF(AND(C4965&lt;&gt;"", J4965&lt;&gt;""), HYPERLINK("#'" &amp; C4965 &amp; "'!" &amp; J4965, J4965), "")</f>
        <v>0</v>
      </c>
    </row>
    <row r="4966" spans="2:2">
      <c r="B4966" s="21">
        <f>IF(AND(C4966&lt;&gt;"", J4966&lt;&gt;""), HYPERLINK("#'" &amp; C4966 &amp; "'!" &amp; J4966, J4966), "")</f>
        <v>0</v>
      </c>
    </row>
    <row r="4967" spans="2:2">
      <c r="B4967" s="21">
        <f>IF(AND(C4967&lt;&gt;"", J4967&lt;&gt;""), HYPERLINK("#'" &amp; C4967 &amp; "'!" &amp; J4967, J4967), "")</f>
        <v>0</v>
      </c>
    </row>
    <row r="4968" spans="2:2">
      <c r="B4968" s="21">
        <f>IF(AND(C4968&lt;&gt;"", J4968&lt;&gt;""), HYPERLINK("#'" &amp; C4968 &amp; "'!" &amp; J4968, J4968), "")</f>
        <v>0</v>
      </c>
    </row>
    <row r="4969" spans="2:2">
      <c r="B4969" s="21">
        <f>IF(AND(C4969&lt;&gt;"", J4969&lt;&gt;""), HYPERLINK("#'" &amp; C4969 &amp; "'!" &amp; J4969, J4969), "")</f>
        <v>0</v>
      </c>
    </row>
    <row r="4970" spans="2:2">
      <c r="B4970" s="21">
        <f>IF(AND(C4970&lt;&gt;"", J4970&lt;&gt;""), HYPERLINK("#'" &amp; C4970 &amp; "'!" &amp; J4970, J4970), "")</f>
        <v>0</v>
      </c>
    </row>
    <row r="4971" spans="2:2">
      <c r="B4971" s="21">
        <f>IF(AND(C4971&lt;&gt;"", J4971&lt;&gt;""), HYPERLINK("#'" &amp; C4971 &amp; "'!" &amp; J4971, J4971), "")</f>
        <v>0</v>
      </c>
    </row>
    <row r="4972" spans="2:2">
      <c r="B4972" s="21">
        <f>IF(AND(C4972&lt;&gt;"", J4972&lt;&gt;""), HYPERLINK("#'" &amp; C4972 &amp; "'!" &amp; J4972, J4972), "")</f>
        <v>0</v>
      </c>
    </row>
    <row r="4973" spans="2:2">
      <c r="B4973" s="21">
        <f>IF(AND(C4973&lt;&gt;"", J4973&lt;&gt;""), HYPERLINK("#'" &amp; C4973 &amp; "'!" &amp; J4973, J4973), "")</f>
        <v>0</v>
      </c>
    </row>
    <row r="4974" spans="2:2">
      <c r="B4974" s="21">
        <f>IF(AND(C4974&lt;&gt;"", J4974&lt;&gt;""), HYPERLINK("#'" &amp; C4974 &amp; "'!" &amp; J4974, J4974), "")</f>
        <v>0</v>
      </c>
    </row>
    <row r="4975" spans="2:2">
      <c r="B4975" s="21">
        <f>IF(AND(C4975&lt;&gt;"", J4975&lt;&gt;""), HYPERLINK("#'" &amp; C4975 &amp; "'!" &amp; J4975, J4975), "")</f>
        <v>0</v>
      </c>
    </row>
    <row r="4976" spans="2:2">
      <c r="B4976" s="21">
        <f>IF(AND(C4976&lt;&gt;"", J4976&lt;&gt;""), HYPERLINK("#'" &amp; C4976 &amp; "'!" &amp; J4976, J4976), "")</f>
        <v>0</v>
      </c>
    </row>
    <row r="4977" spans="2:2">
      <c r="B4977" s="21">
        <f>IF(AND(C4977&lt;&gt;"", J4977&lt;&gt;""), HYPERLINK("#'" &amp; C4977 &amp; "'!" &amp; J4977, J4977), "")</f>
        <v>0</v>
      </c>
    </row>
    <row r="4978" spans="2:2">
      <c r="B4978" s="21">
        <f>IF(AND(C4978&lt;&gt;"", J4978&lt;&gt;""), HYPERLINK("#'" &amp; C4978 &amp; "'!" &amp; J4978, J4978), "")</f>
        <v>0</v>
      </c>
    </row>
    <row r="4979" spans="2:2">
      <c r="B4979" s="21">
        <f>IF(AND(C4979&lt;&gt;"", J4979&lt;&gt;""), HYPERLINK("#'" &amp; C4979 &amp; "'!" &amp; J4979, J4979), "")</f>
        <v>0</v>
      </c>
    </row>
    <row r="4980" spans="2:2">
      <c r="B4980" s="21">
        <f>IF(AND(C4980&lt;&gt;"", J4980&lt;&gt;""), HYPERLINK("#'" &amp; C4980 &amp; "'!" &amp; J4980, J4980), "")</f>
        <v>0</v>
      </c>
    </row>
    <row r="4981" spans="2:2">
      <c r="B4981" s="21">
        <f>IF(AND(C4981&lt;&gt;"", J4981&lt;&gt;""), HYPERLINK("#'" &amp; C4981 &amp; "'!" &amp; J4981, J4981), "")</f>
        <v>0</v>
      </c>
    </row>
    <row r="4982" spans="2:2">
      <c r="B4982" s="21">
        <f>IF(AND(C4982&lt;&gt;"", J4982&lt;&gt;""), HYPERLINK("#'" &amp; C4982 &amp; "'!" &amp; J4982, J4982), "")</f>
        <v>0</v>
      </c>
    </row>
    <row r="4983" spans="2:2">
      <c r="B4983" s="21">
        <f>IF(AND(C4983&lt;&gt;"", J4983&lt;&gt;""), HYPERLINK("#'" &amp; C4983 &amp; "'!" &amp; J4983, J4983), "")</f>
        <v>0</v>
      </c>
    </row>
    <row r="4984" spans="2:2">
      <c r="B4984" s="21">
        <f>IF(AND(C4984&lt;&gt;"", J4984&lt;&gt;""), HYPERLINK("#'" &amp; C4984 &amp; "'!" &amp; J4984, J4984), "")</f>
        <v>0</v>
      </c>
    </row>
    <row r="4985" spans="2:2">
      <c r="B4985" s="21">
        <f>IF(AND(C4985&lt;&gt;"", J4985&lt;&gt;""), HYPERLINK("#'" &amp; C4985 &amp; "'!" &amp; J4985, J4985), "")</f>
        <v>0</v>
      </c>
    </row>
    <row r="4986" spans="2:2">
      <c r="B4986" s="21">
        <f>IF(AND(C4986&lt;&gt;"", J4986&lt;&gt;""), HYPERLINK("#'" &amp; C4986 &amp; "'!" &amp; J4986, J4986), "")</f>
        <v>0</v>
      </c>
    </row>
    <row r="4987" spans="2:2">
      <c r="B4987" s="21">
        <f>IF(AND(C4987&lt;&gt;"", J4987&lt;&gt;""), HYPERLINK("#'" &amp; C4987 &amp; "'!" &amp; J4987, J4987), "")</f>
        <v>0</v>
      </c>
    </row>
    <row r="4988" spans="2:2">
      <c r="B4988" s="21">
        <f>IF(AND(C4988&lt;&gt;"", J4988&lt;&gt;""), HYPERLINK("#'" &amp; C4988 &amp; "'!" &amp; J4988, J4988), "")</f>
        <v>0</v>
      </c>
    </row>
    <row r="4989" spans="2:2">
      <c r="B4989" s="21">
        <f>IF(AND(C4989&lt;&gt;"", J4989&lt;&gt;""), HYPERLINK("#'" &amp; C4989 &amp; "'!" &amp; J4989, J4989), "")</f>
        <v>0</v>
      </c>
    </row>
    <row r="4990" spans="2:2">
      <c r="B4990" s="21">
        <f>IF(AND(C4990&lt;&gt;"", J4990&lt;&gt;""), HYPERLINK("#'" &amp; C4990 &amp; "'!" &amp; J4990, J4990), "")</f>
        <v>0</v>
      </c>
    </row>
    <row r="4991" spans="2:2">
      <c r="B4991" s="21">
        <f>IF(AND(C4991&lt;&gt;"", J4991&lt;&gt;""), HYPERLINK("#'" &amp; C4991 &amp; "'!" &amp; J4991, J4991), "")</f>
        <v>0</v>
      </c>
    </row>
    <row r="4992" spans="2:2">
      <c r="B4992" s="21">
        <f>IF(AND(C4992&lt;&gt;"", J4992&lt;&gt;""), HYPERLINK("#'" &amp; C4992 &amp; "'!" &amp; J4992, J4992), "")</f>
        <v>0</v>
      </c>
    </row>
    <row r="4993" spans="2:2">
      <c r="B4993" s="21">
        <f>IF(AND(C4993&lt;&gt;"", J4993&lt;&gt;""), HYPERLINK("#'" &amp; C4993 &amp; "'!" &amp; J4993, J4993), "")</f>
        <v>0</v>
      </c>
    </row>
    <row r="4994" spans="2:2">
      <c r="B4994" s="21">
        <f>IF(AND(C4994&lt;&gt;"", J4994&lt;&gt;""), HYPERLINK("#'" &amp; C4994 &amp; "'!" &amp; J4994, J4994), "")</f>
        <v>0</v>
      </c>
    </row>
    <row r="4995" spans="2:2">
      <c r="B4995" s="21">
        <f>IF(AND(C4995&lt;&gt;"", J4995&lt;&gt;""), HYPERLINK("#'" &amp; C4995 &amp; "'!" &amp; J4995, J4995), "")</f>
        <v>0</v>
      </c>
    </row>
    <row r="4996" spans="2:2">
      <c r="B4996" s="21">
        <f>IF(AND(C4996&lt;&gt;"", J4996&lt;&gt;""), HYPERLINK("#'" &amp; C4996 &amp; "'!" &amp; J4996, J4996), "")</f>
        <v>0</v>
      </c>
    </row>
    <row r="4997" spans="2:2">
      <c r="B4997" s="21">
        <f>IF(AND(C4997&lt;&gt;"", J4997&lt;&gt;""), HYPERLINK("#'" &amp; C4997 &amp; "'!" &amp; J4997, J4997), "")</f>
        <v>0</v>
      </c>
    </row>
    <row r="4998" spans="2:2">
      <c r="B4998" s="21">
        <f>IF(AND(C4998&lt;&gt;"", J4998&lt;&gt;""), HYPERLINK("#'" &amp; C4998 &amp; "'!" &amp; J4998, J4998), "")</f>
        <v>0</v>
      </c>
    </row>
    <row r="4999" spans="2:2">
      <c r="B4999" s="21">
        <f>IF(AND(C4999&lt;&gt;"", J4999&lt;&gt;""), HYPERLINK("#'" &amp; C4999 &amp; "'!" &amp; J4999, J4999), "")</f>
        <v>0</v>
      </c>
    </row>
    <row r="5000" spans="2:2">
      <c r="B5000" s="21">
        <f>IF(AND(C5000&lt;&gt;"", J5000&lt;&gt;""), HYPERLINK("#'" &amp; C5000 &amp; "'!" &amp; J5000, J5000), "")</f>
        <v>0</v>
      </c>
    </row>
    <row r="5001" spans="2:2">
      <c r="B5001" s="21">
        <f>IF(AND(C5001&lt;&gt;"", J5001&lt;&gt;""), HYPERLINK("#'" &amp; C5001 &amp; "'!" &amp; J5001, J5001), "")</f>
        <v>0</v>
      </c>
    </row>
    <row r="5002" spans="2:2">
      <c r="B5002" s="21">
        <f>IF(AND(C5002&lt;&gt;"", J5002&lt;&gt;""), HYPERLINK("#'" &amp; C5002 &amp; "'!" &amp; J5002, J5002), "")</f>
        <v>0</v>
      </c>
    </row>
    <row r="5003" spans="2:2">
      <c r="B5003" s="21">
        <f>IF(AND(C5003&lt;&gt;"", J5003&lt;&gt;""), HYPERLINK("#'" &amp; C5003 &amp; "'!" &amp; J5003, J5003), "")</f>
        <v>0</v>
      </c>
    </row>
    <row r="5004" spans="2:2">
      <c r="B5004" s="21">
        <f>IF(AND(C5004&lt;&gt;"", J5004&lt;&gt;""), HYPERLINK("#'" &amp; C5004 &amp; "'!" &amp; J5004, J5004), "")</f>
        <v>0</v>
      </c>
    </row>
    <row r="5005" spans="2:2">
      <c r="B5005" s="21">
        <f>IF(AND(C5005&lt;&gt;"", J5005&lt;&gt;""), HYPERLINK("#'" &amp; C5005 &amp; "'!" &amp; J5005, J5005), "")</f>
        <v>0</v>
      </c>
    </row>
    <row r="5006" spans="2:2">
      <c r="B5006" s="21">
        <f>IF(AND(C5006&lt;&gt;"", J5006&lt;&gt;""), HYPERLINK("#'" &amp; C5006 &amp; "'!" &amp; J5006, J5006), "")</f>
        <v>0</v>
      </c>
    </row>
    <row r="5007" spans="2:2">
      <c r="B5007" s="21">
        <f>IF(AND(C5007&lt;&gt;"", J5007&lt;&gt;""), HYPERLINK("#'" &amp; C5007 &amp; "'!" &amp; J5007, J5007), "")</f>
        <v>0</v>
      </c>
    </row>
    <row r="5008" spans="2:2">
      <c r="B5008" s="21">
        <f>IF(AND(C5008&lt;&gt;"", J5008&lt;&gt;""), HYPERLINK("#'" &amp; C5008 &amp; "'!" &amp; J5008, J5008), "")</f>
        <v>0</v>
      </c>
    </row>
    <row r="5009" spans="2:2">
      <c r="B5009" s="21">
        <f>IF(AND(C5009&lt;&gt;"", J5009&lt;&gt;""), HYPERLINK("#'" &amp; C5009 &amp; "'!" &amp; J5009, J5009), "")</f>
        <v>0</v>
      </c>
    </row>
    <row r="5010" spans="2:2">
      <c r="B5010" s="21">
        <f>IF(AND(C5010&lt;&gt;"", J5010&lt;&gt;""), HYPERLINK("#'" &amp; C5010 &amp; "'!" &amp; J5010, J5010), "")</f>
        <v>0</v>
      </c>
    </row>
    <row r="5011" spans="2:2">
      <c r="B5011" s="21">
        <f>IF(AND(C5011&lt;&gt;"", J5011&lt;&gt;""), HYPERLINK("#'" &amp; C5011 &amp; "'!" &amp; J5011, J5011), "")</f>
        <v>0</v>
      </c>
    </row>
    <row r="5012" spans="2:2">
      <c r="B5012" s="21">
        <f>IF(AND(C5012&lt;&gt;"", J5012&lt;&gt;""), HYPERLINK("#'" &amp; C5012 &amp; "'!" &amp; J5012, J5012), "")</f>
        <v>0</v>
      </c>
    </row>
    <row r="5013" spans="2:2">
      <c r="B5013" s="21">
        <f>IF(AND(C5013&lt;&gt;"", J5013&lt;&gt;""), HYPERLINK("#'" &amp; C5013 &amp; "'!" &amp; J5013, J5013), "")</f>
        <v>0</v>
      </c>
    </row>
    <row r="5014" spans="2:2">
      <c r="B5014" s="21">
        <f>IF(AND(C5014&lt;&gt;"", J5014&lt;&gt;""), HYPERLINK("#'" &amp; C5014 &amp; "'!" &amp; J5014, J5014), "")</f>
        <v>0</v>
      </c>
    </row>
    <row r="5015" spans="2:2">
      <c r="B5015" s="21">
        <f>IF(AND(C5015&lt;&gt;"", J5015&lt;&gt;""), HYPERLINK("#'" &amp; C5015 &amp; "'!" &amp; J5015, J5015), "")</f>
        <v>0</v>
      </c>
    </row>
    <row r="5016" spans="2:2">
      <c r="B5016" s="21">
        <f>IF(AND(C5016&lt;&gt;"", J5016&lt;&gt;""), HYPERLINK("#'" &amp; C5016 &amp; "'!" &amp; J5016, J5016), "")</f>
        <v>0</v>
      </c>
    </row>
    <row r="5017" spans="2:2">
      <c r="B5017" s="21">
        <f>IF(AND(C5017&lt;&gt;"", J5017&lt;&gt;""), HYPERLINK("#'" &amp; C5017 &amp; "'!" &amp; J5017, J5017), "")</f>
        <v>0</v>
      </c>
    </row>
    <row r="5018" spans="2:2">
      <c r="B5018" s="21">
        <f>IF(AND(C5018&lt;&gt;"", J5018&lt;&gt;""), HYPERLINK("#'" &amp; C5018 &amp; "'!" &amp; J5018, J5018), "")</f>
        <v>0</v>
      </c>
    </row>
    <row r="5019" spans="2:2">
      <c r="B5019" s="21">
        <f>IF(AND(C5019&lt;&gt;"", J5019&lt;&gt;""), HYPERLINK("#'" &amp; C5019 &amp; "'!" &amp; J5019, J5019), "")</f>
        <v>0</v>
      </c>
    </row>
    <row r="5020" spans="2:2">
      <c r="B5020" s="21">
        <f>IF(AND(C5020&lt;&gt;"", J5020&lt;&gt;""), HYPERLINK("#'" &amp; C5020 &amp; "'!" &amp; J5020, J5020), "")</f>
        <v>0</v>
      </c>
    </row>
    <row r="5021" spans="2:2">
      <c r="B5021" s="21">
        <f>IF(AND(C5021&lt;&gt;"", J5021&lt;&gt;""), HYPERLINK("#'" &amp; C5021 &amp; "'!" &amp; J5021, J5021), "")</f>
        <v>0</v>
      </c>
    </row>
    <row r="5022" spans="2:2">
      <c r="B5022" s="21">
        <f>IF(AND(C5022&lt;&gt;"", J5022&lt;&gt;""), HYPERLINK("#'" &amp; C5022 &amp; "'!" &amp; J5022, J5022), "")</f>
        <v>0</v>
      </c>
    </row>
    <row r="5023" spans="2:2">
      <c r="B5023" s="21">
        <f>IF(AND(C5023&lt;&gt;"", J5023&lt;&gt;""), HYPERLINK("#'" &amp; C5023 &amp; "'!" &amp; J5023, J5023), "")</f>
        <v>0</v>
      </c>
    </row>
    <row r="5024" spans="2:2">
      <c r="B5024" s="21">
        <f>IF(AND(C5024&lt;&gt;"", J5024&lt;&gt;""), HYPERLINK("#'" &amp; C5024 &amp; "'!" &amp; J5024, J5024), "")</f>
        <v>0</v>
      </c>
    </row>
    <row r="5025" spans="2:2">
      <c r="B5025" s="21">
        <f>IF(AND(C5025&lt;&gt;"", J5025&lt;&gt;""), HYPERLINK("#'" &amp; C5025 &amp; "'!" &amp; J5025, J5025), "")</f>
        <v>0</v>
      </c>
    </row>
    <row r="5026" spans="2:2">
      <c r="B5026" s="21">
        <f>IF(AND(C5026&lt;&gt;"", J5026&lt;&gt;""), HYPERLINK("#'" &amp; C5026 &amp; "'!" &amp; J5026, J5026), "")</f>
        <v>0</v>
      </c>
    </row>
    <row r="5027" spans="2:2">
      <c r="B5027" s="21">
        <f>IF(AND(C5027&lt;&gt;"", J5027&lt;&gt;""), HYPERLINK("#'" &amp; C5027 &amp; "'!" &amp; J5027, J5027), "")</f>
        <v>0</v>
      </c>
    </row>
    <row r="5028" spans="2:2">
      <c r="B5028" s="21">
        <f>IF(AND(C5028&lt;&gt;"", J5028&lt;&gt;""), HYPERLINK("#'" &amp; C5028 &amp; "'!" &amp; J5028, J5028), "")</f>
        <v>0</v>
      </c>
    </row>
    <row r="5029" spans="2:2">
      <c r="B5029" s="21">
        <f>IF(AND(C5029&lt;&gt;"", J5029&lt;&gt;""), HYPERLINK("#'" &amp; C5029 &amp; "'!" &amp; J5029, J5029), "")</f>
        <v>0</v>
      </c>
    </row>
    <row r="5030" spans="2:2">
      <c r="B5030" s="21">
        <f>IF(AND(C5030&lt;&gt;"", J5030&lt;&gt;""), HYPERLINK("#'" &amp; C5030 &amp; "'!" &amp; J5030, J5030), "")</f>
        <v>0</v>
      </c>
    </row>
    <row r="5031" spans="2:2">
      <c r="B5031" s="21">
        <f>IF(AND(C5031&lt;&gt;"", J5031&lt;&gt;""), HYPERLINK("#'" &amp; C5031 &amp; "'!" &amp; J5031, J5031), "")</f>
        <v>0</v>
      </c>
    </row>
    <row r="5032" spans="2:2">
      <c r="B5032" s="21">
        <f>IF(AND(C5032&lt;&gt;"", J5032&lt;&gt;""), HYPERLINK("#'" &amp; C5032 &amp; "'!" &amp; J5032, J5032), "")</f>
        <v>0</v>
      </c>
    </row>
    <row r="5033" spans="2:2">
      <c r="B5033" s="21">
        <f>IF(AND(C5033&lt;&gt;"", J5033&lt;&gt;""), HYPERLINK("#'" &amp; C5033 &amp; "'!" &amp; J5033, J5033), "")</f>
        <v>0</v>
      </c>
    </row>
    <row r="5034" spans="2:2">
      <c r="B5034" s="21">
        <f>IF(AND(C5034&lt;&gt;"", J5034&lt;&gt;""), HYPERLINK("#'" &amp; C5034 &amp; "'!" &amp; J5034, J5034), "")</f>
        <v>0</v>
      </c>
    </row>
    <row r="5035" spans="2:2">
      <c r="B5035" s="21">
        <f>IF(AND(C5035&lt;&gt;"", J5035&lt;&gt;""), HYPERLINK("#'" &amp; C5035 &amp; "'!" &amp; J5035, J5035), "")</f>
        <v>0</v>
      </c>
    </row>
    <row r="5036" spans="2:2">
      <c r="B5036" s="21">
        <f>IF(AND(C5036&lt;&gt;"", J5036&lt;&gt;""), HYPERLINK("#'" &amp; C5036 &amp; "'!" &amp; J5036, J5036), "")</f>
        <v>0</v>
      </c>
    </row>
    <row r="5037" spans="2:2">
      <c r="B5037" s="21">
        <f>IF(AND(C5037&lt;&gt;"", J5037&lt;&gt;""), HYPERLINK("#'" &amp; C5037 &amp; "'!" &amp; J5037, J5037), "")</f>
        <v>0</v>
      </c>
    </row>
    <row r="5038" spans="2:2">
      <c r="B5038" s="21">
        <f>IF(AND(C5038&lt;&gt;"", J5038&lt;&gt;""), HYPERLINK("#'" &amp; C5038 &amp; "'!" &amp; J5038, J5038), "")</f>
        <v>0</v>
      </c>
    </row>
    <row r="5039" spans="2:2">
      <c r="B5039" s="21">
        <f>IF(AND(C5039&lt;&gt;"", J5039&lt;&gt;""), HYPERLINK("#'" &amp; C5039 &amp; "'!" &amp; J5039, J5039), "")</f>
        <v>0</v>
      </c>
    </row>
    <row r="5040" spans="2:2">
      <c r="B5040" s="21">
        <f>IF(AND(C5040&lt;&gt;"", J5040&lt;&gt;""), HYPERLINK("#'" &amp; C5040 &amp; "'!" &amp; J5040, J5040), "")</f>
        <v>0</v>
      </c>
    </row>
    <row r="5041" spans="2:2">
      <c r="B5041" s="21">
        <f>IF(AND(C5041&lt;&gt;"", J5041&lt;&gt;""), HYPERLINK("#'" &amp; C5041 &amp; "'!" &amp; J5041, J5041), "")</f>
        <v>0</v>
      </c>
    </row>
    <row r="5042" spans="2:2">
      <c r="B5042" s="21">
        <f>IF(AND(C5042&lt;&gt;"", J5042&lt;&gt;""), HYPERLINK("#'" &amp; C5042 &amp; "'!" &amp; J5042, J5042), "")</f>
        <v>0</v>
      </c>
    </row>
    <row r="5043" spans="2:2">
      <c r="B5043" s="21">
        <f>IF(AND(C5043&lt;&gt;"", J5043&lt;&gt;""), HYPERLINK("#'" &amp; C5043 &amp; "'!" &amp; J5043, J5043), "")</f>
        <v>0</v>
      </c>
    </row>
    <row r="5044" spans="2:2">
      <c r="B5044" s="21">
        <f>IF(AND(C5044&lt;&gt;"", J5044&lt;&gt;""), HYPERLINK("#'" &amp; C5044 &amp; "'!" &amp; J5044, J5044), "")</f>
        <v>0</v>
      </c>
    </row>
    <row r="5045" spans="2:2">
      <c r="B5045" s="21">
        <f>IF(AND(C5045&lt;&gt;"", J5045&lt;&gt;""), HYPERLINK("#'" &amp; C5045 &amp; "'!" &amp; J5045, J5045), "")</f>
        <v>0</v>
      </c>
    </row>
    <row r="5046" spans="2:2">
      <c r="B5046" s="21">
        <f>IF(AND(C5046&lt;&gt;"", J5046&lt;&gt;""), HYPERLINK("#'" &amp; C5046 &amp; "'!" &amp; J5046, J5046), "")</f>
        <v>0</v>
      </c>
    </row>
    <row r="5047" spans="2:2">
      <c r="B5047" s="21">
        <f>IF(AND(C5047&lt;&gt;"", J5047&lt;&gt;""), HYPERLINK("#'" &amp; C5047 &amp; "'!" &amp; J5047, J5047), "")</f>
        <v>0</v>
      </c>
    </row>
    <row r="5048" spans="2:2">
      <c r="B5048" s="21">
        <f>IF(AND(C5048&lt;&gt;"", J5048&lt;&gt;""), HYPERLINK("#'" &amp; C5048 &amp; "'!" &amp; J5048, J5048), "")</f>
        <v>0</v>
      </c>
    </row>
    <row r="5049" spans="2:2">
      <c r="B5049" s="21">
        <f>IF(AND(C5049&lt;&gt;"", J5049&lt;&gt;""), HYPERLINK("#'" &amp; C5049 &amp; "'!" &amp; J5049, J5049), "")</f>
        <v>0</v>
      </c>
    </row>
    <row r="5050" spans="2:2">
      <c r="B5050" s="21">
        <f>IF(AND(C5050&lt;&gt;"", J5050&lt;&gt;""), HYPERLINK("#'" &amp; C5050 &amp; "'!" &amp; J5050, J5050), "")</f>
        <v>0</v>
      </c>
    </row>
    <row r="5051" spans="2:2">
      <c r="B5051" s="21">
        <f>IF(AND(C5051&lt;&gt;"", J5051&lt;&gt;""), HYPERLINK("#'" &amp; C5051 &amp; "'!" &amp; J5051, J5051), "")</f>
        <v>0</v>
      </c>
    </row>
    <row r="5052" spans="2:2">
      <c r="B5052" s="21">
        <f>IF(AND(C5052&lt;&gt;"", J5052&lt;&gt;""), HYPERLINK("#'" &amp; C5052 &amp; "'!" &amp; J5052, J5052), "")</f>
        <v>0</v>
      </c>
    </row>
    <row r="5053" spans="2:2">
      <c r="B5053" s="21">
        <f>IF(AND(C5053&lt;&gt;"", J5053&lt;&gt;""), HYPERLINK("#'" &amp; C5053 &amp; "'!" &amp; J5053, J5053), "")</f>
        <v>0</v>
      </c>
    </row>
    <row r="5054" spans="2:2">
      <c r="B5054" s="21">
        <f>IF(AND(C5054&lt;&gt;"", J5054&lt;&gt;""), HYPERLINK("#'" &amp; C5054 &amp; "'!" &amp; J5054, J5054), "")</f>
        <v>0</v>
      </c>
    </row>
    <row r="5055" spans="2:2">
      <c r="B5055" s="21">
        <f>IF(AND(C5055&lt;&gt;"", J5055&lt;&gt;""), HYPERLINK("#'" &amp; C5055 &amp; "'!" &amp; J5055, J5055), "")</f>
        <v>0</v>
      </c>
    </row>
    <row r="5056" spans="2:2">
      <c r="B5056" s="21">
        <f>IF(AND(C5056&lt;&gt;"", J5056&lt;&gt;""), HYPERLINK("#'" &amp; C5056 &amp; "'!" &amp; J5056, J5056), "")</f>
        <v>0</v>
      </c>
    </row>
    <row r="5057" spans="2:2">
      <c r="B5057" s="21">
        <f>IF(AND(C5057&lt;&gt;"", J5057&lt;&gt;""), HYPERLINK("#'" &amp; C5057 &amp; "'!" &amp; J5057, J5057), "")</f>
        <v>0</v>
      </c>
    </row>
    <row r="5058" spans="2:2">
      <c r="B5058" s="21">
        <f>IF(AND(C5058&lt;&gt;"", J5058&lt;&gt;""), HYPERLINK("#'" &amp; C5058 &amp; "'!" &amp; J5058, J5058), "")</f>
        <v>0</v>
      </c>
    </row>
    <row r="5059" spans="2:2">
      <c r="B5059" s="21">
        <f>IF(AND(C5059&lt;&gt;"", J5059&lt;&gt;""), HYPERLINK("#'" &amp; C5059 &amp; "'!" &amp; J5059, J5059), "")</f>
        <v>0</v>
      </c>
    </row>
    <row r="5060" spans="2:2">
      <c r="B5060" s="21">
        <f>IF(AND(C5060&lt;&gt;"", J5060&lt;&gt;""), HYPERLINK("#'" &amp; C5060 &amp; "'!" &amp; J5060, J5060), "")</f>
        <v>0</v>
      </c>
    </row>
    <row r="5061" spans="2:2">
      <c r="B5061" s="21">
        <f>IF(AND(C5061&lt;&gt;"", J5061&lt;&gt;""), HYPERLINK("#'" &amp; C5061 &amp; "'!" &amp; J5061, J5061), "")</f>
        <v>0</v>
      </c>
    </row>
    <row r="5062" spans="2:2">
      <c r="B5062" s="21">
        <f>IF(AND(C5062&lt;&gt;"", J5062&lt;&gt;""), HYPERLINK("#'" &amp; C5062 &amp; "'!" &amp; J5062, J5062), "")</f>
        <v>0</v>
      </c>
    </row>
    <row r="5063" spans="2:2">
      <c r="B5063" s="21">
        <f>IF(AND(C5063&lt;&gt;"", J5063&lt;&gt;""), HYPERLINK("#'" &amp; C5063 &amp; "'!" &amp; J5063, J5063), "")</f>
        <v>0</v>
      </c>
    </row>
    <row r="5064" spans="2:2">
      <c r="B5064" s="21">
        <f>IF(AND(C5064&lt;&gt;"", J5064&lt;&gt;""), HYPERLINK("#'" &amp; C5064 &amp; "'!" &amp; J5064, J5064), "")</f>
        <v>0</v>
      </c>
    </row>
    <row r="5065" spans="2:2">
      <c r="B5065" s="21">
        <f>IF(AND(C5065&lt;&gt;"", J5065&lt;&gt;""), HYPERLINK("#'" &amp; C5065 &amp; "'!" &amp; J5065, J5065), "")</f>
        <v>0</v>
      </c>
    </row>
    <row r="5066" spans="2:2">
      <c r="B5066" s="21">
        <f>IF(AND(C5066&lt;&gt;"", J5066&lt;&gt;""), HYPERLINK("#'" &amp; C5066 &amp; "'!" &amp; J5066, J5066), "")</f>
        <v>0</v>
      </c>
    </row>
    <row r="5067" spans="2:2">
      <c r="B5067" s="21">
        <f>IF(AND(C5067&lt;&gt;"", J5067&lt;&gt;""), HYPERLINK("#'" &amp; C5067 &amp; "'!" &amp; J5067, J5067), "")</f>
        <v>0</v>
      </c>
    </row>
    <row r="5068" spans="2:2">
      <c r="B5068" s="21">
        <f>IF(AND(C5068&lt;&gt;"", J5068&lt;&gt;""), HYPERLINK("#'" &amp; C5068 &amp; "'!" &amp; J5068, J5068), "")</f>
        <v>0</v>
      </c>
    </row>
    <row r="5069" spans="2:2">
      <c r="B5069" s="21">
        <f>IF(AND(C5069&lt;&gt;"", J5069&lt;&gt;""), HYPERLINK("#'" &amp; C5069 &amp; "'!" &amp; J5069, J5069), "")</f>
        <v>0</v>
      </c>
    </row>
    <row r="5070" spans="2:2">
      <c r="B5070" s="21">
        <f>IF(AND(C5070&lt;&gt;"", J5070&lt;&gt;""), HYPERLINK("#'" &amp; C5070 &amp; "'!" &amp; J5070, J5070), "")</f>
        <v>0</v>
      </c>
    </row>
    <row r="5071" spans="2:2">
      <c r="B5071" s="21">
        <f>IF(AND(C5071&lt;&gt;"", J5071&lt;&gt;""), HYPERLINK("#'" &amp; C5071 &amp; "'!" &amp; J5071, J5071), "")</f>
        <v>0</v>
      </c>
    </row>
    <row r="5072" spans="2:2">
      <c r="B5072" s="21">
        <f>IF(AND(C5072&lt;&gt;"", J5072&lt;&gt;""), HYPERLINK("#'" &amp; C5072 &amp; "'!" &amp; J5072, J5072), "")</f>
        <v>0</v>
      </c>
    </row>
    <row r="5073" spans="2:2">
      <c r="B5073" s="21">
        <f>IF(AND(C5073&lt;&gt;"", J5073&lt;&gt;""), HYPERLINK("#'" &amp; C5073 &amp; "'!" &amp; J5073, J5073), "")</f>
        <v>0</v>
      </c>
    </row>
    <row r="5074" spans="2:2">
      <c r="B5074" s="21">
        <f>IF(AND(C5074&lt;&gt;"", J5074&lt;&gt;""), HYPERLINK("#'" &amp; C5074 &amp; "'!" &amp; J5074, J5074), "")</f>
        <v>0</v>
      </c>
    </row>
    <row r="5075" spans="2:2">
      <c r="B5075" s="21">
        <f>IF(AND(C5075&lt;&gt;"", J5075&lt;&gt;""), HYPERLINK("#'" &amp; C5075 &amp; "'!" &amp; J5075, J5075), "")</f>
        <v>0</v>
      </c>
    </row>
    <row r="5076" spans="2:2">
      <c r="B5076" s="21">
        <f>IF(AND(C5076&lt;&gt;"", J5076&lt;&gt;""), HYPERLINK("#'" &amp; C5076 &amp; "'!" &amp; J5076, J5076), "")</f>
        <v>0</v>
      </c>
    </row>
    <row r="5077" spans="2:2">
      <c r="B5077" s="21">
        <f>IF(AND(C5077&lt;&gt;"", J5077&lt;&gt;""), HYPERLINK("#'" &amp; C5077 &amp; "'!" &amp; J5077, J5077), "")</f>
        <v>0</v>
      </c>
    </row>
    <row r="5078" spans="2:2">
      <c r="B5078" s="21">
        <f>IF(AND(C5078&lt;&gt;"", J5078&lt;&gt;""), HYPERLINK("#'" &amp; C5078 &amp; "'!" &amp; J5078, J5078), "")</f>
        <v>0</v>
      </c>
    </row>
    <row r="5079" spans="2:2">
      <c r="B5079" s="21">
        <f>IF(AND(C5079&lt;&gt;"", J5079&lt;&gt;""), HYPERLINK("#'" &amp; C5079 &amp; "'!" &amp; J5079, J5079), "")</f>
        <v>0</v>
      </c>
    </row>
    <row r="5080" spans="2:2">
      <c r="B5080" s="21">
        <f>IF(AND(C5080&lt;&gt;"", J5080&lt;&gt;""), HYPERLINK("#'" &amp; C5080 &amp; "'!" &amp; J5080, J5080), "")</f>
        <v>0</v>
      </c>
    </row>
    <row r="5081" spans="2:2">
      <c r="B5081" s="21">
        <f>IF(AND(C5081&lt;&gt;"", J5081&lt;&gt;""), HYPERLINK("#'" &amp; C5081 &amp; "'!" &amp; J5081, J5081), "")</f>
        <v>0</v>
      </c>
    </row>
    <row r="5082" spans="2:2">
      <c r="B5082" s="21">
        <f>IF(AND(C5082&lt;&gt;"", J5082&lt;&gt;""), HYPERLINK("#'" &amp; C5082 &amp; "'!" &amp; J5082, J5082), "")</f>
        <v>0</v>
      </c>
    </row>
    <row r="5083" spans="2:2">
      <c r="B5083" s="21">
        <f>IF(AND(C5083&lt;&gt;"", J5083&lt;&gt;""), HYPERLINK("#'" &amp; C5083 &amp; "'!" &amp; J5083, J5083), "")</f>
        <v>0</v>
      </c>
    </row>
    <row r="5084" spans="2:2">
      <c r="B5084" s="21">
        <f>IF(AND(C5084&lt;&gt;"", J5084&lt;&gt;""), HYPERLINK("#'" &amp; C5084 &amp; "'!" &amp; J5084, J5084), "")</f>
        <v>0</v>
      </c>
    </row>
    <row r="5085" spans="2:2">
      <c r="B5085" s="21">
        <f>IF(AND(C5085&lt;&gt;"", J5085&lt;&gt;""), HYPERLINK("#'" &amp; C5085 &amp; "'!" &amp; J5085, J5085), "")</f>
        <v>0</v>
      </c>
    </row>
    <row r="5086" spans="2:2">
      <c r="B5086" s="21">
        <f>IF(AND(C5086&lt;&gt;"", J5086&lt;&gt;""), HYPERLINK("#'" &amp; C5086 &amp; "'!" &amp; J5086, J5086), "")</f>
        <v>0</v>
      </c>
    </row>
    <row r="5087" spans="2:2">
      <c r="B5087" s="21">
        <f>IF(AND(C5087&lt;&gt;"", J5087&lt;&gt;""), HYPERLINK("#'" &amp; C5087 &amp; "'!" &amp; J5087, J5087), "")</f>
        <v>0</v>
      </c>
    </row>
    <row r="5088" spans="2:2">
      <c r="B5088" s="21">
        <f>IF(AND(C5088&lt;&gt;"", J5088&lt;&gt;""), HYPERLINK("#'" &amp; C5088 &amp; "'!" &amp; J5088, J5088), "")</f>
        <v>0</v>
      </c>
    </row>
    <row r="5089" spans="2:2">
      <c r="B5089" s="21">
        <f>IF(AND(C5089&lt;&gt;"", J5089&lt;&gt;""), HYPERLINK("#'" &amp; C5089 &amp; "'!" &amp; J5089, J5089), "")</f>
        <v>0</v>
      </c>
    </row>
    <row r="5090" spans="2:2">
      <c r="B5090" s="21">
        <f>IF(AND(C5090&lt;&gt;"", J5090&lt;&gt;""), HYPERLINK("#'" &amp; C5090 &amp; "'!" &amp; J5090, J5090), "")</f>
        <v>0</v>
      </c>
    </row>
    <row r="5091" spans="2:2">
      <c r="B5091" s="21">
        <f>IF(AND(C5091&lt;&gt;"", J5091&lt;&gt;""), HYPERLINK("#'" &amp; C5091 &amp; "'!" &amp; J5091, J5091), "")</f>
        <v>0</v>
      </c>
    </row>
    <row r="5092" spans="2:2">
      <c r="B5092" s="21">
        <f>IF(AND(C5092&lt;&gt;"", J5092&lt;&gt;""), HYPERLINK("#'" &amp; C5092 &amp; "'!" &amp; J5092, J5092), "")</f>
        <v>0</v>
      </c>
    </row>
    <row r="5093" spans="2:2">
      <c r="B5093" s="21">
        <f>IF(AND(C5093&lt;&gt;"", J5093&lt;&gt;""), HYPERLINK("#'" &amp; C5093 &amp; "'!" &amp; J5093, J5093), "")</f>
        <v>0</v>
      </c>
    </row>
    <row r="5094" spans="2:2">
      <c r="B5094" s="21">
        <f>IF(AND(C5094&lt;&gt;"", J5094&lt;&gt;""), HYPERLINK("#'" &amp; C5094 &amp; "'!" &amp; J5094, J5094), "")</f>
        <v>0</v>
      </c>
    </row>
    <row r="5095" spans="2:2">
      <c r="B5095" s="21">
        <f>IF(AND(C5095&lt;&gt;"", J5095&lt;&gt;""), HYPERLINK("#'" &amp; C5095 &amp; "'!" &amp; J5095, J5095), "")</f>
        <v>0</v>
      </c>
    </row>
    <row r="5096" spans="2:2">
      <c r="B5096" s="21">
        <f>IF(AND(C5096&lt;&gt;"", J5096&lt;&gt;""), HYPERLINK("#'" &amp; C5096 &amp; "'!" &amp; J5096, J5096), "")</f>
        <v>0</v>
      </c>
    </row>
    <row r="5097" spans="2:2">
      <c r="B5097" s="21">
        <f>IF(AND(C5097&lt;&gt;"", J5097&lt;&gt;""), HYPERLINK("#'" &amp; C5097 &amp; "'!" &amp; J5097, J5097), "")</f>
        <v>0</v>
      </c>
    </row>
    <row r="5098" spans="2:2">
      <c r="B5098" s="21">
        <f>IF(AND(C5098&lt;&gt;"", J5098&lt;&gt;""), HYPERLINK("#'" &amp; C5098 &amp; "'!" &amp; J5098, J5098), "")</f>
        <v>0</v>
      </c>
    </row>
    <row r="5099" spans="2:2">
      <c r="B5099" s="21">
        <f>IF(AND(C5099&lt;&gt;"", J5099&lt;&gt;""), HYPERLINK("#'" &amp; C5099 &amp; "'!" &amp; J5099, J5099), "")</f>
        <v>0</v>
      </c>
    </row>
    <row r="5100" spans="2:2">
      <c r="B5100" s="21">
        <f>IF(AND(C5100&lt;&gt;"", J5100&lt;&gt;""), HYPERLINK("#'" &amp; C5100 &amp; "'!" &amp; J5100, J5100), "")</f>
        <v>0</v>
      </c>
    </row>
    <row r="5101" spans="2:2">
      <c r="B5101" s="21">
        <f>IF(AND(C5101&lt;&gt;"", J5101&lt;&gt;""), HYPERLINK("#'" &amp; C5101 &amp; "'!" &amp; J5101, J5101), "")</f>
        <v>0</v>
      </c>
    </row>
    <row r="5102" spans="2:2">
      <c r="B5102" s="21">
        <f>IF(AND(C5102&lt;&gt;"", J5102&lt;&gt;""), HYPERLINK("#'" &amp; C5102 &amp; "'!" &amp; J5102, J5102), "")</f>
        <v>0</v>
      </c>
    </row>
    <row r="5103" spans="2:2">
      <c r="B5103" s="21">
        <f>IF(AND(C5103&lt;&gt;"", J5103&lt;&gt;""), HYPERLINK("#'" &amp; C5103 &amp; "'!" &amp; J5103, J5103), "")</f>
        <v>0</v>
      </c>
    </row>
    <row r="5104" spans="2:2">
      <c r="B5104" s="21">
        <f>IF(AND(C5104&lt;&gt;"", J5104&lt;&gt;""), HYPERLINK("#'" &amp; C5104 &amp; "'!" &amp; J5104, J5104), "")</f>
        <v>0</v>
      </c>
    </row>
    <row r="5105" spans="2:2">
      <c r="B5105" s="21">
        <f>IF(AND(C5105&lt;&gt;"", J5105&lt;&gt;""), HYPERLINK("#'" &amp; C5105 &amp; "'!" &amp; J5105, J5105), "")</f>
        <v>0</v>
      </c>
    </row>
    <row r="5106" spans="2:2">
      <c r="B5106" s="21">
        <f>IF(AND(C5106&lt;&gt;"", J5106&lt;&gt;""), HYPERLINK("#'" &amp; C5106 &amp; "'!" &amp; J5106, J5106), "")</f>
        <v>0</v>
      </c>
    </row>
    <row r="5107" spans="2:2">
      <c r="B5107" s="21">
        <f>IF(AND(C5107&lt;&gt;"", J5107&lt;&gt;""), HYPERLINK("#'" &amp; C5107 &amp; "'!" &amp; J5107, J5107), "")</f>
        <v>0</v>
      </c>
    </row>
    <row r="5108" spans="2:2">
      <c r="B5108" s="21">
        <f>IF(AND(C5108&lt;&gt;"", J5108&lt;&gt;""), HYPERLINK("#'" &amp; C5108 &amp; "'!" &amp; J5108, J5108), "")</f>
        <v>0</v>
      </c>
    </row>
    <row r="5109" spans="2:2">
      <c r="B5109" s="21">
        <f>IF(AND(C5109&lt;&gt;"", J5109&lt;&gt;""), HYPERLINK("#'" &amp; C5109 &amp; "'!" &amp; J5109, J5109), "")</f>
        <v>0</v>
      </c>
    </row>
    <row r="5110" spans="2:2">
      <c r="B5110" s="21">
        <f>IF(AND(C5110&lt;&gt;"", J5110&lt;&gt;""), HYPERLINK("#'" &amp; C5110 &amp; "'!" &amp; J5110, J5110), "")</f>
        <v>0</v>
      </c>
    </row>
    <row r="5111" spans="2:2">
      <c r="B5111" s="21">
        <f>IF(AND(C5111&lt;&gt;"", J5111&lt;&gt;""), HYPERLINK("#'" &amp; C5111 &amp; "'!" &amp; J5111, J5111), "")</f>
        <v>0</v>
      </c>
    </row>
    <row r="5112" spans="2:2">
      <c r="B5112" s="21">
        <f>IF(AND(C5112&lt;&gt;"", J5112&lt;&gt;""), HYPERLINK("#'" &amp; C5112 &amp; "'!" &amp; J5112, J5112), "")</f>
        <v>0</v>
      </c>
    </row>
    <row r="5113" spans="2:2">
      <c r="B5113" s="21">
        <f>IF(AND(C5113&lt;&gt;"", J5113&lt;&gt;""), HYPERLINK("#'" &amp; C5113 &amp; "'!" &amp; J5113, J5113), "")</f>
        <v>0</v>
      </c>
    </row>
    <row r="5114" spans="2:2">
      <c r="B5114" s="21">
        <f>IF(AND(C5114&lt;&gt;"", J5114&lt;&gt;""), HYPERLINK("#'" &amp; C5114 &amp; "'!" &amp; J5114, J5114), "")</f>
        <v>0</v>
      </c>
    </row>
    <row r="5115" spans="2:2">
      <c r="B5115" s="21">
        <f>IF(AND(C5115&lt;&gt;"", J5115&lt;&gt;""), HYPERLINK("#'" &amp; C5115 &amp; "'!" &amp; J5115, J5115), "")</f>
        <v>0</v>
      </c>
    </row>
    <row r="5116" spans="2:2">
      <c r="B5116" s="21">
        <f>IF(AND(C5116&lt;&gt;"", J5116&lt;&gt;""), HYPERLINK("#'" &amp; C5116 &amp; "'!" &amp; J5116, J5116), "")</f>
        <v>0</v>
      </c>
    </row>
    <row r="5117" spans="2:2">
      <c r="B5117" s="21">
        <f>IF(AND(C5117&lt;&gt;"", J5117&lt;&gt;""), HYPERLINK("#'" &amp; C5117 &amp; "'!" &amp; J5117, J5117), "")</f>
        <v>0</v>
      </c>
    </row>
    <row r="5118" spans="2:2">
      <c r="B5118" s="21">
        <f>IF(AND(C5118&lt;&gt;"", J5118&lt;&gt;""), HYPERLINK("#'" &amp; C5118 &amp; "'!" &amp; J5118, J5118), "")</f>
        <v>0</v>
      </c>
    </row>
    <row r="5119" spans="2:2">
      <c r="B5119" s="21">
        <f>IF(AND(C5119&lt;&gt;"", J5119&lt;&gt;""), HYPERLINK("#'" &amp; C5119 &amp; "'!" &amp; J5119, J5119), "")</f>
        <v>0</v>
      </c>
    </row>
    <row r="5120" spans="2:2">
      <c r="B5120" s="21">
        <f>IF(AND(C5120&lt;&gt;"", J5120&lt;&gt;""), HYPERLINK("#'" &amp; C5120 &amp; "'!" &amp; J5120, J5120), "")</f>
        <v>0</v>
      </c>
    </row>
    <row r="5121" spans="2:2">
      <c r="B5121" s="21">
        <f>IF(AND(C5121&lt;&gt;"", J5121&lt;&gt;""), HYPERLINK("#'" &amp; C5121 &amp; "'!" &amp; J5121, J5121), "")</f>
        <v>0</v>
      </c>
    </row>
    <row r="5122" spans="2:2">
      <c r="B5122" s="21">
        <f>IF(AND(C5122&lt;&gt;"", J5122&lt;&gt;""), HYPERLINK("#'" &amp; C5122 &amp; "'!" &amp; J5122, J5122), "")</f>
        <v>0</v>
      </c>
    </row>
    <row r="5123" spans="2:2">
      <c r="B5123" s="21">
        <f>IF(AND(C5123&lt;&gt;"", J5123&lt;&gt;""), HYPERLINK("#'" &amp; C5123 &amp; "'!" &amp; J5123, J5123), "")</f>
        <v>0</v>
      </c>
    </row>
    <row r="5124" spans="2:2">
      <c r="B5124" s="21">
        <f>IF(AND(C5124&lt;&gt;"", J5124&lt;&gt;""), HYPERLINK("#'" &amp; C5124 &amp; "'!" &amp; J5124, J5124), "")</f>
        <v>0</v>
      </c>
    </row>
    <row r="5125" spans="2:2">
      <c r="B5125" s="21">
        <f>IF(AND(C5125&lt;&gt;"", J5125&lt;&gt;""), HYPERLINK("#'" &amp; C5125 &amp; "'!" &amp; J5125, J5125), "")</f>
        <v>0</v>
      </c>
    </row>
    <row r="5126" spans="2:2">
      <c r="B5126" s="21">
        <f>IF(AND(C5126&lt;&gt;"", J5126&lt;&gt;""), HYPERLINK("#'" &amp; C5126 &amp; "'!" &amp; J5126, J5126), "")</f>
        <v>0</v>
      </c>
    </row>
    <row r="5127" spans="2:2">
      <c r="B5127" s="21">
        <f>IF(AND(C5127&lt;&gt;"", J5127&lt;&gt;""), HYPERLINK("#'" &amp; C5127 &amp; "'!" &amp; J5127, J5127), "")</f>
        <v>0</v>
      </c>
    </row>
    <row r="5128" spans="2:2">
      <c r="B5128" s="21">
        <f>IF(AND(C5128&lt;&gt;"", J5128&lt;&gt;""), HYPERLINK("#'" &amp; C5128 &amp; "'!" &amp; J5128, J5128), "")</f>
        <v>0</v>
      </c>
    </row>
    <row r="5129" spans="2:2">
      <c r="B5129" s="21">
        <f>IF(AND(C5129&lt;&gt;"", J5129&lt;&gt;""), HYPERLINK("#'" &amp; C5129 &amp; "'!" &amp; J5129, J5129), "")</f>
        <v>0</v>
      </c>
    </row>
    <row r="5130" spans="2:2">
      <c r="B5130" s="21">
        <f>IF(AND(C5130&lt;&gt;"", J5130&lt;&gt;""), HYPERLINK("#'" &amp; C5130 &amp; "'!" &amp; J5130, J5130), "")</f>
        <v>0</v>
      </c>
    </row>
    <row r="5131" spans="2:2">
      <c r="B5131" s="21">
        <f>IF(AND(C5131&lt;&gt;"", J5131&lt;&gt;""), HYPERLINK("#'" &amp; C5131 &amp; "'!" &amp; J5131, J5131), "")</f>
        <v>0</v>
      </c>
    </row>
    <row r="5132" spans="2:2">
      <c r="B5132" s="21">
        <f>IF(AND(C5132&lt;&gt;"", J5132&lt;&gt;""), HYPERLINK("#'" &amp; C5132 &amp; "'!" &amp; J5132, J5132), "")</f>
        <v>0</v>
      </c>
    </row>
    <row r="5133" spans="2:2">
      <c r="B5133" s="21">
        <f>IF(AND(C5133&lt;&gt;"", J5133&lt;&gt;""), HYPERLINK("#'" &amp; C5133 &amp; "'!" &amp; J5133, J5133), "")</f>
        <v>0</v>
      </c>
    </row>
    <row r="5134" spans="2:2">
      <c r="B5134" s="21">
        <f>IF(AND(C5134&lt;&gt;"", J5134&lt;&gt;""), HYPERLINK("#'" &amp; C5134 &amp; "'!" &amp; J5134, J5134), "")</f>
        <v>0</v>
      </c>
    </row>
    <row r="5135" spans="2:2">
      <c r="B5135" s="21">
        <f>IF(AND(C5135&lt;&gt;"", J5135&lt;&gt;""), HYPERLINK("#'" &amp; C5135 &amp; "'!" &amp; J5135, J5135), "")</f>
        <v>0</v>
      </c>
    </row>
    <row r="5136" spans="2:2">
      <c r="B5136" s="21">
        <f>IF(AND(C5136&lt;&gt;"", J5136&lt;&gt;""), HYPERLINK("#'" &amp; C5136 &amp; "'!" &amp; J5136, J5136), "")</f>
        <v>0</v>
      </c>
    </row>
    <row r="5137" spans="2:2">
      <c r="B5137" s="21">
        <f>IF(AND(C5137&lt;&gt;"", J5137&lt;&gt;""), HYPERLINK("#'" &amp; C5137 &amp; "'!" &amp; J5137, J5137), "")</f>
        <v>0</v>
      </c>
    </row>
    <row r="5138" spans="2:2">
      <c r="B5138" s="21">
        <f>IF(AND(C5138&lt;&gt;"", J5138&lt;&gt;""), HYPERLINK("#'" &amp; C5138 &amp; "'!" &amp; J5138, J5138), "")</f>
        <v>0</v>
      </c>
    </row>
    <row r="5139" spans="2:2">
      <c r="B5139" s="21">
        <f>IF(AND(C5139&lt;&gt;"", J5139&lt;&gt;""), HYPERLINK("#'" &amp; C5139 &amp; "'!" &amp; J5139, J5139), "")</f>
        <v>0</v>
      </c>
    </row>
    <row r="5140" spans="2:2">
      <c r="B5140" s="21">
        <f>IF(AND(C5140&lt;&gt;"", J5140&lt;&gt;""), HYPERLINK("#'" &amp; C5140 &amp; "'!" &amp; J5140, J5140), "")</f>
        <v>0</v>
      </c>
    </row>
    <row r="5141" spans="2:2">
      <c r="B5141" s="21">
        <f>IF(AND(C5141&lt;&gt;"", J5141&lt;&gt;""), HYPERLINK("#'" &amp; C5141 &amp; "'!" &amp; J5141, J5141), "")</f>
        <v>0</v>
      </c>
    </row>
    <row r="5142" spans="2:2">
      <c r="B5142" s="21">
        <f>IF(AND(C5142&lt;&gt;"", J5142&lt;&gt;""), HYPERLINK("#'" &amp; C5142 &amp; "'!" &amp; J5142, J5142), "")</f>
        <v>0</v>
      </c>
    </row>
    <row r="5143" spans="2:2">
      <c r="B5143" s="21">
        <f>IF(AND(C5143&lt;&gt;"", J5143&lt;&gt;""), HYPERLINK("#'" &amp; C5143 &amp; "'!" &amp; J5143, J5143), "")</f>
        <v>0</v>
      </c>
    </row>
    <row r="5144" spans="2:2">
      <c r="B5144" s="21">
        <f>IF(AND(C5144&lt;&gt;"", J5144&lt;&gt;""), HYPERLINK("#'" &amp; C5144 &amp; "'!" &amp; J5144, J5144), "")</f>
        <v>0</v>
      </c>
    </row>
    <row r="5145" spans="2:2">
      <c r="B5145" s="21">
        <f>IF(AND(C5145&lt;&gt;"", J5145&lt;&gt;""), HYPERLINK("#'" &amp; C5145 &amp; "'!" &amp; J5145, J5145), "")</f>
        <v>0</v>
      </c>
    </row>
    <row r="5146" spans="2:2">
      <c r="B5146" s="21">
        <f>IF(AND(C5146&lt;&gt;"", J5146&lt;&gt;""), HYPERLINK("#'" &amp; C5146 &amp; "'!" &amp; J5146, J5146), "")</f>
        <v>0</v>
      </c>
    </row>
    <row r="5147" spans="2:2">
      <c r="B5147" s="21">
        <f>IF(AND(C5147&lt;&gt;"", J5147&lt;&gt;""), HYPERLINK("#'" &amp; C5147 &amp; "'!" &amp; J5147, J5147), "")</f>
        <v>0</v>
      </c>
    </row>
    <row r="5148" spans="2:2">
      <c r="B5148" s="21">
        <f>IF(AND(C5148&lt;&gt;"", J5148&lt;&gt;""), HYPERLINK("#'" &amp; C5148 &amp; "'!" &amp; J5148, J5148), "")</f>
        <v>0</v>
      </c>
    </row>
    <row r="5149" spans="2:2">
      <c r="B5149" s="21">
        <f>IF(AND(C5149&lt;&gt;"", J5149&lt;&gt;""), HYPERLINK("#'" &amp; C5149 &amp; "'!" &amp; J5149, J5149), "")</f>
        <v>0</v>
      </c>
    </row>
    <row r="5150" spans="2:2">
      <c r="B5150" s="21">
        <f>IF(AND(C5150&lt;&gt;"", J5150&lt;&gt;""), HYPERLINK("#'" &amp; C5150 &amp; "'!" &amp; J5150, J5150), "")</f>
        <v>0</v>
      </c>
    </row>
    <row r="5151" spans="2:2">
      <c r="B5151" s="21">
        <f>IF(AND(C5151&lt;&gt;"", J5151&lt;&gt;""), HYPERLINK("#'" &amp; C5151 &amp; "'!" &amp; J5151, J5151), "")</f>
        <v>0</v>
      </c>
    </row>
    <row r="5152" spans="2:2">
      <c r="B5152" s="21">
        <f>IF(AND(C5152&lt;&gt;"", J5152&lt;&gt;""), HYPERLINK("#'" &amp; C5152 &amp; "'!" &amp; J5152, J5152), "")</f>
        <v>0</v>
      </c>
    </row>
    <row r="5153" spans="2:2">
      <c r="B5153" s="21">
        <f>IF(AND(C5153&lt;&gt;"", J5153&lt;&gt;""), HYPERLINK("#'" &amp; C5153 &amp; "'!" &amp; J5153, J5153), "")</f>
        <v>0</v>
      </c>
    </row>
    <row r="5154" spans="2:2">
      <c r="B5154" s="21">
        <f>IF(AND(C5154&lt;&gt;"", J5154&lt;&gt;""), HYPERLINK("#'" &amp; C5154 &amp; "'!" &amp; J5154, J5154), "")</f>
        <v>0</v>
      </c>
    </row>
    <row r="5155" spans="2:2">
      <c r="B5155" s="21">
        <f>IF(AND(C5155&lt;&gt;"", J5155&lt;&gt;""), HYPERLINK("#'" &amp; C5155 &amp; "'!" &amp; J5155, J5155), "")</f>
        <v>0</v>
      </c>
    </row>
    <row r="5156" spans="2:2">
      <c r="B5156" s="21">
        <f>IF(AND(C5156&lt;&gt;"", J5156&lt;&gt;""), HYPERLINK("#'" &amp; C5156 &amp; "'!" &amp; J5156, J5156), "")</f>
        <v>0</v>
      </c>
    </row>
    <row r="5157" spans="2:2">
      <c r="B5157" s="21">
        <f>IF(AND(C5157&lt;&gt;"", J5157&lt;&gt;""), HYPERLINK("#'" &amp; C5157 &amp; "'!" &amp; J5157, J5157), "")</f>
        <v>0</v>
      </c>
    </row>
    <row r="5158" spans="2:2">
      <c r="B5158" s="21">
        <f>IF(AND(C5158&lt;&gt;"", J5158&lt;&gt;""), HYPERLINK("#'" &amp; C5158 &amp; "'!" &amp; J5158, J5158), "")</f>
        <v>0</v>
      </c>
    </row>
    <row r="5159" spans="2:2">
      <c r="B5159" s="21">
        <f>IF(AND(C5159&lt;&gt;"", J5159&lt;&gt;""), HYPERLINK("#'" &amp; C5159 &amp; "'!" &amp; J5159, J5159), "")</f>
        <v>0</v>
      </c>
    </row>
    <row r="5160" spans="2:2">
      <c r="B5160" s="21">
        <f>IF(AND(C5160&lt;&gt;"", J5160&lt;&gt;""), HYPERLINK("#'" &amp; C5160 &amp; "'!" &amp; J5160, J5160), "")</f>
        <v>0</v>
      </c>
    </row>
    <row r="5161" spans="2:2">
      <c r="B5161" s="21">
        <f>IF(AND(C5161&lt;&gt;"", J5161&lt;&gt;""), HYPERLINK("#'" &amp; C5161 &amp; "'!" &amp; J5161, J5161), "")</f>
        <v>0</v>
      </c>
    </row>
    <row r="5162" spans="2:2">
      <c r="B5162" s="21">
        <f>IF(AND(C5162&lt;&gt;"", J5162&lt;&gt;""), HYPERLINK("#'" &amp; C5162 &amp; "'!" &amp; J5162, J5162), "")</f>
        <v>0</v>
      </c>
    </row>
    <row r="5163" spans="2:2">
      <c r="B5163" s="21">
        <f>IF(AND(C5163&lt;&gt;"", J5163&lt;&gt;""), HYPERLINK("#'" &amp; C5163 &amp; "'!" &amp; J5163, J5163), "")</f>
        <v>0</v>
      </c>
    </row>
    <row r="5164" spans="2:2">
      <c r="B5164" s="21">
        <f>IF(AND(C5164&lt;&gt;"", J5164&lt;&gt;""), HYPERLINK("#'" &amp; C5164 &amp; "'!" &amp; J5164, J5164), "")</f>
        <v>0</v>
      </c>
    </row>
    <row r="5165" spans="2:2">
      <c r="B5165" s="21">
        <f>IF(AND(C5165&lt;&gt;"", J5165&lt;&gt;""), HYPERLINK("#'" &amp; C5165 &amp; "'!" &amp; J5165, J5165), "")</f>
        <v>0</v>
      </c>
    </row>
    <row r="5166" spans="2:2">
      <c r="B5166" s="21">
        <f>IF(AND(C5166&lt;&gt;"", J5166&lt;&gt;""), HYPERLINK("#'" &amp; C5166 &amp; "'!" &amp; J5166, J5166), "")</f>
        <v>0</v>
      </c>
    </row>
    <row r="5167" spans="2:2">
      <c r="B5167" s="21">
        <f>IF(AND(C5167&lt;&gt;"", J5167&lt;&gt;""), HYPERLINK("#'" &amp; C5167 &amp; "'!" &amp; J5167, J5167), "")</f>
        <v>0</v>
      </c>
    </row>
    <row r="5168" spans="2:2">
      <c r="B5168" s="21">
        <f>IF(AND(C5168&lt;&gt;"", J5168&lt;&gt;""), HYPERLINK("#'" &amp; C5168 &amp; "'!" &amp; J5168, J5168), "")</f>
        <v>0</v>
      </c>
    </row>
    <row r="5169" spans="2:2">
      <c r="B5169" s="21">
        <f>IF(AND(C5169&lt;&gt;"", J5169&lt;&gt;""), HYPERLINK("#'" &amp; C5169 &amp; "'!" &amp; J5169, J5169), "")</f>
        <v>0</v>
      </c>
    </row>
    <row r="5170" spans="2:2">
      <c r="B5170" s="21">
        <f>IF(AND(C5170&lt;&gt;"", J5170&lt;&gt;""), HYPERLINK("#'" &amp; C5170 &amp; "'!" &amp; J5170, J5170), "")</f>
        <v>0</v>
      </c>
    </row>
    <row r="5171" spans="2:2">
      <c r="B5171" s="21">
        <f>IF(AND(C5171&lt;&gt;"", J5171&lt;&gt;""), HYPERLINK("#'" &amp; C5171 &amp; "'!" &amp; J5171, J5171), "")</f>
        <v>0</v>
      </c>
    </row>
    <row r="5172" spans="2:2">
      <c r="B5172" s="21">
        <f>IF(AND(C5172&lt;&gt;"", J5172&lt;&gt;""), HYPERLINK("#'" &amp; C5172 &amp; "'!" &amp; J5172, J5172), "")</f>
        <v>0</v>
      </c>
    </row>
    <row r="5173" spans="2:2">
      <c r="B5173" s="21">
        <f>IF(AND(C5173&lt;&gt;"", J5173&lt;&gt;""), HYPERLINK("#'" &amp; C5173 &amp; "'!" &amp; J5173, J5173), "")</f>
        <v>0</v>
      </c>
    </row>
    <row r="5174" spans="2:2">
      <c r="B5174" s="21">
        <f>IF(AND(C5174&lt;&gt;"", J5174&lt;&gt;""), HYPERLINK("#'" &amp; C5174 &amp; "'!" &amp; J5174, J5174), "")</f>
        <v>0</v>
      </c>
    </row>
    <row r="5175" spans="2:2">
      <c r="B5175" s="21">
        <f>IF(AND(C5175&lt;&gt;"", J5175&lt;&gt;""), HYPERLINK("#'" &amp; C5175 &amp; "'!" &amp; J5175, J5175), "")</f>
        <v>0</v>
      </c>
    </row>
    <row r="5176" spans="2:2">
      <c r="B5176" s="21">
        <f>IF(AND(C5176&lt;&gt;"", J5176&lt;&gt;""), HYPERLINK("#'" &amp; C5176 &amp; "'!" &amp; J5176, J5176), "")</f>
        <v>0</v>
      </c>
    </row>
    <row r="5177" spans="2:2">
      <c r="B5177" s="21">
        <f>IF(AND(C5177&lt;&gt;"", J5177&lt;&gt;""), HYPERLINK("#'" &amp; C5177 &amp; "'!" &amp; J5177, J5177), "")</f>
        <v>0</v>
      </c>
    </row>
    <row r="5178" spans="2:2">
      <c r="B5178" s="21">
        <f>IF(AND(C5178&lt;&gt;"", J5178&lt;&gt;""), HYPERLINK("#'" &amp; C5178 &amp; "'!" &amp; J5178, J5178), "")</f>
        <v>0</v>
      </c>
    </row>
    <row r="5179" spans="2:2">
      <c r="B5179" s="21">
        <f>IF(AND(C5179&lt;&gt;"", J5179&lt;&gt;""), HYPERLINK("#'" &amp; C5179 &amp; "'!" &amp; J5179, J5179), "")</f>
        <v>0</v>
      </c>
    </row>
    <row r="5180" spans="2:2">
      <c r="B5180" s="21">
        <f>IF(AND(C5180&lt;&gt;"", J5180&lt;&gt;""), HYPERLINK("#'" &amp; C5180 &amp; "'!" &amp; J5180, J5180), "")</f>
        <v>0</v>
      </c>
    </row>
    <row r="5181" spans="2:2">
      <c r="B5181" s="21">
        <f>IF(AND(C5181&lt;&gt;"", J5181&lt;&gt;""), HYPERLINK("#'" &amp; C5181 &amp; "'!" &amp; J5181, J5181), "")</f>
        <v>0</v>
      </c>
    </row>
    <row r="5182" spans="2:2">
      <c r="B5182" s="21">
        <f>IF(AND(C5182&lt;&gt;"", J5182&lt;&gt;""), HYPERLINK("#'" &amp; C5182 &amp; "'!" &amp; J5182, J5182), "")</f>
        <v>0</v>
      </c>
    </row>
    <row r="5183" spans="2:2">
      <c r="B5183" s="21">
        <f>IF(AND(C5183&lt;&gt;"", J5183&lt;&gt;""), HYPERLINK("#'" &amp; C5183 &amp; "'!" &amp; J5183, J5183), "")</f>
        <v>0</v>
      </c>
    </row>
    <row r="5184" spans="2:2">
      <c r="B5184" s="21">
        <f>IF(AND(C5184&lt;&gt;"", J5184&lt;&gt;""), HYPERLINK("#'" &amp; C5184 &amp; "'!" &amp; J5184, J5184), "")</f>
        <v>0</v>
      </c>
    </row>
    <row r="5185" spans="2:2">
      <c r="B5185" s="21">
        <f>IF(AND(C5185&lt;&gt;"", J5185&lt;&gt;""), HYPERLINK("#'" &amp; C5185 &amp; "'!" &amp; J5185, J5185), "")</f>
        <v>0</v>
      </c>
    </row>
    <row r="5186" spans="2:2">
      <c r="B5186" s="21">
        <f>IF(AND(C5186&lt;&gt;"", J5186&lt;&gt;""), HYPERLINK("#'" &amp; C5186 &amp; "'!" &amp; J5186, J5186), "")</f>
        <v>0</v>
      </c>
    </row>
    <row r="5187" spans="2:2">
      <c r="B5187" s="21">
        <f>IF(AND(C5187&lt;&gt;"", J5187&lt;&gt;""), HYPERLINK("#'" &amp; C5187 &amp; "'!" &amp; J5187, J5187), "")</f>
        <v>0</v>
      </c>
    </row>
    <row r="5188" spans="2:2">
      <c r="B5188" s="21">
        <f>IF(AND(C5188&lt;&gt;"", J5188&lt;&gt;""), HYPERLINK("#'" &amp; C5188 &amp; "'!" &amp; J5188, J5188), "")</f>
        <v>0</v>
      </c>
    </row>
    <row r="5189" spans="2:2">
      <c r="B5189" s="21">
        <f>IF(AND(C5189&lt;&gt;"", J5189&lt;&gt;""), HYPERLINK("#'" &amp; C5189 &amp; "'!" &amp; J5189, J5189), "")</f>
        <v>0</v>
      </c>
    </row>
    <row r="5190" spans="2:2">
      <c r="B5190" s="21">
        <f>IF(AND(C5190&lt;&gt;"", J5190&lt;&gt;""), HYPERLINK("#'" &amp; C5190 &amp; "'!" &amp; J5190, J5190), "")</f>
        <v>0</v>
      </c>
    </row>
    <row r="5191" spans="2:2">
      <c r="B5191" s="21">
        <f>IF(AND(C5191&lt;&gt;"", J5191&lt;&gt;""), HYPERLINK("#'" &amp; C5191 &amp; "'!" &amp; J5191, J5191), "")</f>
        <v>0</v>
      </c>
    </row>
    <row r="5192" spans="2:2">
      <c r="B5192" s="21">
        <f>IF(AND(C5192&lt;&gt;"", J5192&lt;&gt;""), HYPERLINK("#'" &amp; C5192 &amp; "'!" &amp; J5192, J5192), "")</f>
        <v>0</v>
      </c>
    </row>
    <row r="5193" spans="2:2">
      <c r="B5193" s="21">
        <f>IF(AND(C5193&lt;&gt;"", J5193&lt;&gt;""), HYPERLINK("#'" &amp; C5193 &amp; "'!" &amp; J5193, J5193), "")</f>
        <v>0</v>
      </c>
    </row>
    <row r="5194" spans="2:2">
      <c r="B5194" s="21">
        <f>IF(AND(C5194&lt;&gt;"", J5194&lt;&gt;""), HYPERLINK("#'" &amp; C5194 &amp; "'!" &amp; J5194, J5194), "")</f>
        <v>0</v>
      </c>
    </row>
    <row r="5195" spans="2:2">
      <c r="B5195" s="21">
        <f>IF(AND(C5195&lt;&gt;"", J5195&lt;&gt;""), HYPERLINK("#'" &amp; C5195 &amp; "'!" &amp; J5195, J5195), "")</f>
        <v>0</v>
      </c>
    </row>
    <row r="5196" spans="2:2">
      <c r="B5196" s="21">
        <f>IF(AND(C5196&lt;&gt;"", J5196&lt;&gt;""), HYPERLINK("#'" &amp; C5196 &amp; "'!" &amp; J5196, J5196), "")</f>
        <v>0</v>
      </c>
    </row>
    <row r="5197" spans="2:2">
      <c r="B5197" s="21">
        <f>IF(AND(C5197&lt;&gt;"", J5197&lt;&gt;""), HYPERLINK("#'" &amp; C5197 &amp; "'!" &amp; J5197, J5197), "")</f>
        <v>0</v>
      </c>
    </row>
    <row r="5198" spans="2:2">
      <c r="B5198" s="21">
        <f>IF(AND(C5198&lt;&gt;"", J5198&lt;&gt;""), HYPERLINK("#'" &amp; C5198 &amp; "'!" &amp; J5198, J5198), "")</f>
        <v>0</v>
      </c>
    </row>
    <row r="5199" spans="2:2">
      <c r="B5199" s="21">
        <f>IF(AND(C5199&lt;&gt;"", J5199&lt;&gt;""), HYPERLINK("#'" &amp; C5199 &amp; "'!" &amp; J5199, J5199), "")</f>
        <v>0</v>
      </c>
    </row>
    <row r="5200" spans="2:2">
      <c r="B5200" s="21">
        <f>IF(AND(C5200&lt;&gt;"", J5200&lt;&gt;""), HYPERLINK("#'" &amp; C5200 &amp; "'!" &amp; J5200, J5200), "")</f>
        <v>0</v>
      </c>
    </row>
    <row r="5201" spans="2:2">
      <c r="B5201" s="21">
        <f>IF(AND(C5201&lt;&gt;"", J5201&lt;&gt;""), HYPERLINK("#'" &amp; C5201 &amp; "'!" &amp; J5201, J5201), "")</f>
        <v>0</v>
      </c>
    </row>
    <row r="5202" spans="2:2">
      <c r="B5202" s="21">
        <f>IF(AND(C5202&lt;&gt;"", J5202&lt;&gt;""), HYPERLINK("#'" &amp; C5202 &amp; "'!" &amp; J5202, J5202), "")</f>
        <v>0</v>
      </c>
    </row>
    <row r="5203" spans="2:2">
      <c r="B5203" s="21">
        <f>IF(AND(C5203&lt;&gt;"", J5203&lt;&gt;""), HYPERLINK("#'" &amp; C5203 &amp; "'!" &amp; J5203, J5203), "")</f>
        <v>0</v>
      </c>
    </row>
    <row r="5204" spans="2:2">
      <c r="B5204" s="21">
        <f>IF(AND(C5204&lt;&gt;"", J5204&lt;&gt;""), HYPERLINK("#'" &amp; C5204 &amp; "'!" &amp; J5204, J5204), "")</f>
        <v>0</v>
      </c>
    </row>
    <row r="5205" spans="2:2">
      <c r="B5205" s="21">
        <f>IF(AND(C5205&lt;&gt;"", J5205&lt;&gt;""), HYPERLINK("#'" &amp; C5205 &amp; "'!" &amp; J5205, J5205), "")</f>
        <v>0</v>
      </c>
    </row>
    <row r="5206" spans="2:2">
      <c r="B5206" s="21">
        <f>IF(AND(C5206&lt;&gt;"", J5206&lt;&gt;""), HYPERLINK("#'" &amp; C5206 &amp; "'!" &amp; J5206, J5206), "")</f>
        <v>0</v>
      </c>
    </row>
    <row r="5207" spans="2:2">
      <c r="B5207" s="21">
        <f>IF(AND(C5207&lt;&gt;"", J5207&lt;&gt;""), HYPERLINK("#'" &amp; C5207 &amp; "'!" &amp; J5207, J5207), "")</f>
        <v>0</v>
      </c>
    </row>
    <row r="5208" spans="2:2">
      <c r="B5208" s="21">
        <f>IF(AND(C5208&lt;&gt;"", J5208&lt;&gt;""), HYPERLINK("#'" &amp; C5208 &amp; "'!" &amp; J5208, J5208), "")</f>
        <v>0</v>
      </c>
    </row>
    <row r="5209" spans="2:2">
      <c r="B5209" s="21">
        <f>IF(AND(C5209&lt;&gt;"", J5209&lt;&gt;""), HYPERLINK("#'" &amp; C5209 &amp; "'!" &amp; J5209, J5209), "")</f>
        <v>0</v>
      </c>
    </row>
    <row r="5210" spans="2:2">
      <c r="B5210" s="21">
        <f>IF(AND(C5210&lt;&gt;"", J5210&lt;&gt;""), HYPERLINK("#'" &amp; C5210 &amp; "'!" &amp; J5210, J5210), "")</f>
        <v>0</v>
      </c>
    </row>
    <row r="5211" spans="2:2">
      <c r="B5211" s="21">
        <f>IF(AND(C5211&lt;&gt;"", J5211&lt;&gt;""), HYPERLINK("#'" &amp; C5211 &amp; "'!" &amp; J5211, J5211), "")</f>
        <v>0</v>
      </c>
    </row>
    <row r="5212" spans="2:2">
      <c r="B5212" s="21">
        <f>IF(AND(C5212&lt;&gt;"", J5212&lt;&gt;""), HYPERLINK("#'" &amp; C5212 &amp; "'!" &amp; J5212, J5212), "")</f>
        <v>0</v>
      </c>
    </row>
    <row r="5213" spans="2:2">
      <c r="B5213" s="21">
        <f>IF(AND(C5213&lt;&gt;"", J5213&lt;&gt;""), HYPERLINK("#'" &amp; C5213 &amp; "'!" &amp; J5213, J5213), "")</f>
        <v>0</v>
      </c>
    </row>
    <row r="5214" spans="2:2">
      <c r="B5214" s="21">
        <f>IF(AND(C5214&lt;&gt;"", J5214&lt;&gt;""), HYPERLINK("#'" &amp; C5214 &amp; "'!" &amp; J5214, J5214), "")</f>
        <v>0</v>
      </c>
    </row>
    <row r="5215" spans="2:2">
      <c r="B5215" s="21">
        <f>IF(AND(C5215&lt;&gt;"", J5215&lt;&gt;""), HYPERLINK("#'" &amp; C5215 &amp; "'!" &amp; J5215, J5215), "")</f>
        <v>0</v>
      </c>
    </row>
    <row r="5216" spans="2:2">
      <c r="B5216" s="21">
        <f>IF(AND(C5216&lt;&gt;"", J5216&lt;&gt;""), HYPERLINK("#'" &amp; C5216 &amp; "'!" &amp; J5216, J5216), "")</f>
        <v>0</v>
      </c>
    </row>
    <row r="5217" spans="2:2">
      <c r="B5217" s="21">
        <f>IF(AND(C5217&lt;&gt;"", J5217&lt;&gt;""), HYPERLINK("#'" &amp; C5217 &amp; "'!" &amp; J5217, J5217), "")</f>
        <v>0</v>
      </c>
    </row>
    <row r="5218" spans="2:2">
      <c r="B5218" s="21">
        <f>IF(AND(C5218&lt;&gt;"", J5218&lt;&gt;""), HYPERLINK("#'" &amp; C5218 &amp; "'!" &amp; J5218, J5218), "")</f>
        <v>0</v>
      </c>
    </row>
    <row r="5219" spans="2:2">
      <c r="B5219" s="21">
        <f>IF(AND(C5219&lt;&gt;"", J5219&lt;&gt;""), HYPERLINK("#'" &amp; C5219 &amp; "'!" &amp; J5219, J5219), "")</f>
        <v>0</v>
      </c>
    </row>
    <row r="5220" spans="2:2">
      <c r="B5220" s="21">
        <f>IF(AND(C5220&lt;&gt;"", J5220&lt;&gt;""), HYPERLINK("#'" &amp; C5220 &amp; "'!" &amp; J5220, J5220), "")</f>
        <v>0</v>
      </c>
    </row>
    <row r="5221" spans="2:2">
      <c r="B5221" s="21">
        <f>IF(AND(C5221&lt;&gt;"", J5221&lt;&gt;""), HYPERLINK("#'" &amp; C5221 &amp; "'!" &amp; J5221, J5221), "")</f>
        <v>0</v>
      </c>
    </row>
    <row r="5222" spans="2:2">
      <c r="B5222" s="21">
        <f>IF(AND(C5222&lt;&gt;"", J5222&lt;&gt;""), HYPERLINK("#'" &amp; C5222 &amp; "'!" &amp; J5222, J5222), "")</f>
        <v>0</v>
      </c>
    </row>
    <row r="5223" spans="2:2">
      <c r="B5223" s="21">
        <f>IF(AND(C5223&lt;&gt;"", J5223&lt;&gt;""), HYPERLINK("#'" &amp; C5223 &amp; "'!" &amp; J5223, J5223), "")</f>
        <v>0</v>
      </c>
    </row>
    <row r="5224" spans="2:2">
      <c r="B5224" s="21">
        <f>IF(AND(C5224&lt;&gt;"", J5224&lt;&gt;""), HYPERLINK("#'" &amp; C5224 &amp; "'!" &amp; J5224, J5224), "")</f>
        <v>0</v>
      </c>
    </row>
    <row r="5225" spans="2:2">
      <c r="B5225" s="21">
        <f>IF(AND(C5225&lt;&gt;"", J5225&lt;&gt;""), HYPERLINK("#'" &amp; C5225 &amp; "'!" &amp; J5225, J5225), "")</f>
        <v>0</v>
      </c>
    </row>
    <row r="5226" spans="2:2">
      <c r="B5226" s="21">
        <f>IF(AND(C5226&lt;&gt;"", J5226&lt;&gt;""), HYPERLINK("#'" &amp; C5226 &amp; "'!" &amp; J5226, J5226), "")</f>
        <v>0</v>
      </c>
    </row>
    <row r="5227" spans="2:2">
      <c r="B5227" s="21">
        <f>IF(AND(C5227&lt;&gt;"", J5227&lt;&gt;""), HYPERLINK("#'" &amp; C5227 &amp; "'!" &amp; J5227, J5227), "")</f>
        <v>0</v>
      </c>
    </row>
    <row r="5228" spans="2:2">
      <c r="B5228" s="21">
        <f>IF(AND(C5228&lt;&gt;"", J5228&lt;&gt;""), HYPERLINK("#'" &amp; C5228 &amp; "'!" &amp; J5228, J5228), "")</f>
        <v>0</v>
      </c>
    </row>
    <row r="5229" spans="2:2">
      <c r="B5229" s="21">
        <f>IF(AND(C5229&lt;&gt;"", J5229&lt;&gt;""), HYPERLINK("#'" &amp; C5229 &amp; "'!" &amp; J5229, J5229), "")</f>
        <v>0</v>
      </c>
    </row>
    <row r="5230" spans="2:2">
      <c r="B5230" s="21">
        <f>IF(AND(C5230&lt;&gt;"", J5230&lt;&gt;""), HYPERLINK("#'" &amp; C5230 &amp; "'!" &amp; J5230, J5230), "")</f>
        <v>0</v>
      </c>
    </row>
    <row r="5231" spans="2:2">
      <c r="B5231" s="21">
        <f>IF(AND(C5231&lt;&gt;"", J5231&lt;&gt;""), HYPERLINK("#'" &amp; C5231 &amp; "'!" &amp; J5231, J5231), "")</f>
        <v>0</v>
      </c>
    </row>
    <row r="5232" spans="2:2">
      <c r="B5232" s="21">
        <f>IF(AND(C5232&lt;&gt;"", J5232&lt;&gt;""), HYPERLINK("#'" &amp; C5232 &amp; "'!" &amp; J5232, J5232), "")</f>
        <v>0</v>
      </c>
    </row>
    <row r="5233" spans="2:2">
      <c r="B5233" s="21">
        <f>IF(AND(C5233&lt;&gt;"", J5233&lt;&gt;""), HYPERLINK("#'" &amp; C5233 &amp; "'!" &amp; J5233, J5233), "")</f>
        <v>0</v>
      </c>
    </row>
    <row r="5234" spans="2:2">
      <c r="B5234" s="21">
        <f>IF(AND(C5234&lt;&gt;"", J5234&lt;&gt;""), HYPERLINK("#'" &amp; C5234 &amp; "'!" &amp; J5234, J5234), "")</f>
        <v>0</v>
      </c>
    </row>
    <row r="5235" spans="2:2">
      <c r="B5235" s="21">
        <f>IF(AND(C5235&lt;&gt;"", J5235&lt;&gt;""), HYPERLINK("#'" &amp; C5235 &amp; "'!" &amp; J5235, J5235), "")</f>
        <v>0</v>
      </c>
    </row>
    <row r="5236" spans="2:2">
      <c r="B5236" s="21">
        <f>IF(AND(C5236&lt;&gt;"", J5236&lt;&gt;""), HYPERLINK("#'" &amp; C5236 &amp; "'!" &amp; J5236, J5236), "")</f>
        <v>0</v>
      </c>
    </row>
    <row r="5237" spans="2:2">
      <c r="B5237" s="21">
        <f>IF(AND(C5237&lt;&gt;"", J5237&lt;&gt;""), HYPERLINK("#'" &amp; C5237 &amp; "'!" &amp; J5237, J5237), "")</f>
        <v>0</v>
      </c>
    </row>
    <row r="5238" spans="2:2">
      <c r="B5238" s="21">
        <f>IF(AND(C5238&lt;&gt;"", J5238&lt;&gt;""), HYPERLINK("#'" &amp; C5238 &amp; "'!" &amp; J5238, J5238), "")</f>
        <v>0</v>
      </c>
    </row>
    <row r="5239" spans="2:2">
      <c r="B5239" s="21">
        <f>IF(AND(C5239&lt;&gt;"", J5239&lt;&gt;""), HYPERLINK("#'" &amp; C5239 &amp; "'!" &amp; J5239, J5239), "")</f>
        <v>0</v>
      </c>
    </row>
    <row r="5240" spans="2:2">
      <c r="B5240" s="21">
        <f>IF(AND(C5240&lt;&gt;"", J5240&lt;&gt;""), HYPERLINK("#'" &amp; C5240 &amp; "'!" &amp; J5240, J5240), "")</f>
        <v>0</v>
      </c>
    </row>
    <row r="5241" spans="2:2">
      <c r="B5241" s="21">
        <f>IF(AND(C5241&lt;&gt;"", J5241&lt;&gt;""), HYPERLINK("#'" &amp; C5241 &amp; "'!" &amp; J5241, J5241), "")</f>
        <v>0</v>
      </c>
    </row>
    <row r="5242" spans="2:2">
      <c r="B5242" s="21">
        <f>IF(AND(C5242&lt;&gt;"", J5242&lt;&gt;""), HYPERLINK("#'" &amp; C5242 &amp; "'!" &amp; J5242, J5242), "")</f>
        <v>0</v>
      </c>
    </row>
    <row r="5243" spans="2:2">
      <c r="B5243" s="21">
        <f>IF(AND(C5243&lt;&gt;"", J5243&lt;&gt;""), HYPERLINK("#'" &amp; C5243 &amp; "'!" &amp; J5243, J5243), "")</f>
        <v>0</v>
      </c>
    </row>
    <row r="5244" spans="2:2">
      <c r="B5244" s="21">
        <f>IF(AND(C5244&lt;&gt;"", J5244&lt;&gt;""), HYPERLINK("#'" &amp; C5244 &amp; "'!" &amp; J5244, J5244), "")</f>
        <v>0</v>
      </c>
    </row>
    <row r="5245" spans="2:2">
      <c r="B5245" s="21">
        <f>IF(AND(C5245&lt;&gt;"", J5245&lt;&gt;""), HYPERLINK("#'" &amp; C5245 &amp; "'!" &amp; J5245, J5245), "")</f>
        <v>0</v>
      </c>
    </row>
    <row r="5246" spans="2:2">
      <c r="B5246" s="21">
        <f>IF(AND(C5246&lt;&gt;"", J5246&lt;&gt;""), HYPERLINK("#'" &amp; C5246 &amp; "'!" &amp; J5246, J5246), "")</f>
        <v>0</v>
      </c>
    </row>
    <row r="5247" spans="2:2">
      <c r="B5247" s="21">
        <f>IF(AND(C5247&lt;&gt;"", J5247&lt;&gt;""), HYPERLINK("#'" &amp; C5247 &amp; "'!" &amp; J5247, J5247), "")</f>
        <v>0</v>
      </c>
    </row>
    <row r="5248" spans="2:2">
      <c r="B5248" s="21">
        <f>IF(AND(C5248&lt;&gt;"", J5248&lt;&gt;""), HYPERLINK("#'" &amp; C5248 &amp; "'!" &amp; J5248, J5248), "")</f>
        <v>0</v>
      </c>
    </row>
    <row r="5249" spans="2:2">
      <c r="B5249" s="21">
        <f>IF(AND(C5249&lt;&gt;"", J5249&lt;&gt;""), HYPERLINK("#'" &amp; C5249 &amp; "'!" &amp; J5249, J5249), "")</f>
        <v>0</v>
      </c>
    </row>
    <row r="5250" spans="2:2">
      <c r="B5250" s="21">
        <f>IF(AND(C5250&lt;&gt;"", J5250&lt;&gt;""), HYPERLINK("#'" &amp; C5250 &amp; "'!" &amp; J5250, J5250), "")</f>
        <v>0</v>
      </c>
    </row>
    <row r="5251" spans="2:2">
      <c r="B5251" s="21">
        <f>IF(AND(C5251&lt;&gt;"", J5251&lt;&gt;""), HYPERLINK("#'" &amp; C5251 &amp; "'!" &amp; J5251, J5251), "")</f>
        <v>0</v>
      </c>
    </row>
    <row r="5252" spans="2:2">
      <c r="B5252" s="21">
        <f>IF(AND(C5252&lt;&gt;"", J5252&lt;&gt;""), HYPERLINK("#'" &amp; C5252 &amp; "'!" &amp; J5252, J5252), "")</f>
        <v>0</v>
      </c>
    </row>
    <row r="5253" spans="2:2">
      <c r="B5253" s="21">
        <f>IF(AND(C5253&lt;&gt;"", J5253&lt;&gt;""), HYPERLINK("#'" &amp; C5253 &amp; "'!" &amp; J5253, J5253), "")</f>
        <v>0</v>
      </c>
    </row>
    <row r="5254" spans="2:2">
      <c r="B5254" s="21">
        <f>IF(AND(C5254&lt;&gt;"", J5254&lt;&gt;""), HYPERLINK("#'" &amp; C5254 &amp; "'!" &amp; J5254, J5254), "")</f>
        <v>0</v>
      </c>
    </row>
    <row r="5255" spans="2:2">
      <c r="B5255" s="21">
        <f>IF(AND(C5255&lt;&gt;"", J5255&lt;&gt;""), HYPERLINK("#'" &amp; C5255 &amp; "'!" &amp; J5255, J5255), "")</f>
        <v>0</v>
      </c>
    </row>
    <row r="5256" spans="2:2">
      <c r="B5256" s="21">
        <f>IF(AND(C5256&lt;&gt;"", J5256&lt;&gt;""), HYPERLINK("#'" &amp; C5256 &amp; "'!" &amp; J5256, J5256), "")</f>
        <v>0</v>
      </c>
    </row>
    <row r="5257" spans="2:2">
      <c r="B5257" s="21">
        <f>IF(AND(C5257&lt;&gt;"", J5257&lt;&gt;""), HYPERLINK("#'" &amp; C5257 &amp; "'!" &amp; J5257, J5257), "")</f>
        <v>0</v>
      </c>
    </row>
    <row r="5258" spans="2:2">
      <c r="B5258" s="21">
        <f>IF(AND(C5258&lt;&gt;"", J5258&lt;&gt;""), HYPERLINK("#'" &amp; C5258 &amp; "'!" &amp; J5258, J5258), "")</f>
        <v>0</v>
      </c>
    </row>
    <row r="5259" spans="2:2">
      <c r="B5259" s="21">
        <f>IF(AND(C5259&lt;&gt;"", J5259&lt;&gt;""), HYPERLINK("#'" &amp; C5259 &amp; "'!" &amp; J5259, J5259), "")</f>
        <v>0</v>
      </c>
    </row>
    <row r="5260" spans="2:2">
      <c r="B5260" s="21">
        <f>IF(AND(C5260&lt;&gt;"", J5260&lt;&gt;""), HYPERLINK("#'" &amp; C5260 &amp; "'!" &amp; J5260, J5260), "")</f>
        <v>0</v>
      </c>
    </row>
    <row r="5261" spans="2:2">
      <c r="B5261" s="21">
        <f>IF(AND(C5261&lt;&gt;"", J5261&lt;&gt;""), HYPERLINK("#'" &amp; C5261 &amp; "'!" &amp; J5261, J5261), "")</f>
        <v>0</v>
      </c>
    </row>
    <row r="5262" spans="2:2">
      <c r="B5262" s="21">
        <f>IF(AND(C5262&lt;&gt;"", J5262&lt;&gt;""), HYPERLINK("#'" &amp; C5262 &amp; "'!" &amp; J5262, J5262), "")</f>
        <v>0</v>
      </c>
    </row>
    <row r="5263" spans="2:2">
      <c r="B5263" s="21">
        <f>IF(AND(C5263&lt;&gt;"", J5263&lt;&gt;""), HYPERLINK("#'" &amp; C5263 &amp; "'!" &amp; J5263, J5263), "")</f>
        <v>0</v>
      </c>
    </row>
    <row r="5264" spans="2:2">
      <c r="B5264" s="21">
        <f>IF(AND(C5264&lt;&gt;"", J5264&lt;&gt;""), HYPERLINK("#'" &amp; C5264 &amp; "'!" &amp; J5264, J5264), "")</f>
        <v>0</v>
      </c>
    </row>
    <row r="5265" spans="2:2">
      <c r="B5265" s="21">
        <f>IF(AND(C5265&lt;&gt;"", J5265&lt;&gt;""), HYPERLINK("#'" &amp; C5265 &amp; "'!" &amp; J5265, J5265), "")</f>
        <v>0</v>
      </c>
    </row>
    <row r="5266" spans="2:2">
      <c r="B5266" s="21">
        <f>IF(AND(C5266&lt;&gt;"", J5266&lt;&gt;""), HYPERLINK("#'" &amp; C5266 &amp; "'!" &amp; J5266, J5266), "")</f>
        <v>0</v>
      </c>
    </row>
    <row r="5267" spans="2:2">
      <c r="B5267" s="21">
        <f>IF(AND(C5267&lt;&gt;"", J5267&lt;&gt;""), HYPERLINK("#'" &amp; C5267 &amp; "'!" &amp; J5267, J5267), "")</f>
        <v>0</v>
      </c>
    </row>
    <row r="5268" spans="2:2">
      <c r="B5268" s="21">
        <f>IF(AND(C5268&lt;&gt;"", J5268&lt;&gt;""), HYPERLINK("#'" &amp; C5268 &amp; "'!" &amp; J5268, J5268), "")</f>
        <v>0</v>
      </c>
    </row>
    <row r="5269" spans="2:2">
      <c r="B5269" s="21">
        <f>IF(AND(C5269&lt;&gt;"", J5269&lt;&gt;""), HYPERLINK("#'" &amp; C5269 &amp; "'!" &amp; J5269, J5269), "")</f>
        <v>0</v>
      </c>
    </row>
    <row r="5270" spans="2:2">
      <c r="B5270" s="21">
        <f>IF(AND(C5270&lt;&gt;"", J5270&lt;&gt;""), HYPERLINK("#'" &amp; C5270 &amp; "'!" &amp; J5270, J5270), "")</f>
        <v>0</v>
      </c>
    </row>
    <row r="5271" spans="2:2">
      <c r="B5271" s="21">
        <f>IF(AND(C5271&lt;&gt;"", J5271&lt;&gt;""), HYPERLINK("#'" &amp; C5271 &amp; "'!" &amp; J5271, J5271), "")</f>
        <v>0</v>
      </c>
    </row>
    <row r="5272" spans="2:2">
      <c r="B5272" s="21">
        <f>IF(AND(C5272&lt;&gt;"", J5272&lt;&gt;""), HYPERLINK("#'" &amp; C5272 &amp; "'!" &amp; J5272, J5272), "")</f>
        <v>0</v>
      </c>
    </row>
    <row r="5273" spans="2:2">
      <c r="B5273" s="21">
        <f>IF(AND(C5273&lt;&gt;"", J5273&lt;&gt;""), HYPERLINK("#'" &amp; C5273 &amp; "'!" &amp; J5273, J5273), "")</f>
        <v>0</v>
      </c>
    </row>
    <row r="5274" spans="2:2">
      <c r="B5274" s="21">
        <f>IF(AND(C5274&lt;&gt;"", J5274&lt;&gt;""), HYPERLINK("#'" &amp; C5274 &amp; "'!" &amp; J5274, J5274), "")</f>
        <v>0</v>
      </c>
    </row>
    <row r="5275" spans="2:2">
      <c r="B5275" s="21">
        <f>IF(AND(C5275&lt;&gt;"", J5275&lt;&gt;""), HYPERLINK("#'" &amp; C5275 &amp; "'!" &amp; J5275, J5275), "")</f>
        <v>0</v>
      </c>
    </row>
    <row r="5276" spans="2:2">
      <c r="B5276" s="21">
        <f>IF(AND(C5276&lt;&gt;"", J5276&lt;&gt;""), HYPERLINK("#'" &amp; C5276 &amp; "'!" &amp; J5276, J5276), "")</f>
        <v>0</v>
      </c>
    </row>
    <row r="5277" spans="2:2">
      <c r="B5277" s="21">
        <f>IF(AND(C5277&lt;&gt;"", J5277&lt;&gt;""), HYPERLINK("#'" &amp; C5277 &amp; "'!" &amp; J5277, J5277), "")</f>
        <v>0</v>
      </c>
    </row>
    <row r="5278" spans="2:2">
      <c r="B5278" s="21">
        <f>IF(AND(C5278&lt;&gt;"", J5278&lt;&gt;""), HYPERLINK("#'" &amp; C5278 &amp; "'!" &amp; J5278, J5278), "")</f>
        <v>0</v>
      </c>
    </row>
    <row r="5279" spans="2:2">
      <c r="B5279" s="21">
        <f>IF(AND(C5279&lt;&gt;"", J5279&lt;&gt;""), HYPERLINK("#'" &amp; C5279 &amp; "'!" &amp; J5279, J5279), "")</f>
        <v>0</v>
      </c>
    </row>
    <row r="5280" spans="2:2">
      <c r="B5280" s="21">
        <f>IF(AND(C5280&lt;&gt;"", J5280&lt;&gt;""), HYPERLINK("#'" &amp; C5280 &amp; "'!" &amp; J5280, J5280), "")</f>
        <v>0</v>
      </c>
    </row>
    <row r="5281" spans="2:2">
      <c r="B5281" s="21">
        <f>IF(AND(C5281&lt;&gt;"", J5281&lt;&gt;""), HYPERLINK("#'" &amp; C5281 &amp; "'!" &amp; J5281, J5281), "")</f>
        <v>0</v>
      </c>
    </row>
    <row r="5282" spans="2:2">
      <c r="B5282" s="21">
        <f>IF(AND(C5282&lt;&gt;"", J5282&lt;&gt;""), HYPERLINK("#'" &amp; C5282 &amp; "'!" &amp; J5282, J5282), "")</f>
        <v>0</v>
      </c>
    </row>
    <row r="5283" spans="2:2">
      <c r="B5283" s="21">
        <f>IF(AND(C5283&lt;&gt;"", J5283&lt;&gt;""), HYPERLINK("#'" &amp; C5283 &amp; "'!" &amp; J5283, J5283), "")</f>
        <v>0</v>
      </c>
    </row>
    <row r="5284" spans="2:2">
      <c r="B5284" s="21">
        <f>IF(AND(C5284&lt;&gt;"", J5284&lt;&gt;""), HYPERLINK("#'" &amp; C5284 &amp; "'!" &amp; J5284, J5284), "")</f>
        <v>0</v>
      </c>
    </row>
    <row r="5285" spans="2:2">
      <c r="B5285" s="21">
        <f>IF(AND(C5285&lt;&gt;"", J5285&lt;&gt;""), HYPERLINK("#'" &amp; C5285 &amp; "'!" &amp; J5285, J5285), "")</f>
        <v>0</v>
      </c>
    </row>
    <row r="5286" spans="2:2">
      <c r="B5286" s="21">
        <f>IF(AND(C5286&lt;&gt;"", J5286&lt;&gt;""), HYPERLINK("#'" &amp; C5286 &amp; "'!" &amp; J5286, J5286), "")</f>
        <v>0</v>
      </c>
    </row>
    <row r="5287" spans="2:2">
      <c r="B5287" s="21">
        <f>IF(AND(C5287&lt;&gt;"", J5287&lt;&gt;""), HYPERLINK("#'" &amp; C5287 &amp; "'!" &amp; J5287, J5287), "")</f>
        <v>0</v>
      </c>
    </row>
    <row r="5288" spans="2:2">
      <c r="B5288" s="21">
        <f>IF(AND(C5288&lt;&gt;"", J5288&lt;&gt;""), HYPERLINK("#'" &amp; C5288 &amp; "'!" &amp; J5288, J5288), "")</f>
        <v>0</v>
      </c>
    </row>
    <row r="5289" spans="2:2">
      <c r="B5289" s="21">
        <f>IF(AND(C5289&lt;&gt;"", J5289&lt;&gt;""), HYPERLINK("#'" &amp; C5289 &amp; "'!" &amp; J5289, J5289), "")</f>
        <v>0</v>
      </c>
    </row>
    <row r="5290" spans="2:2">
      <c r="B5290" s="21">
        <f>IF(AND(C5290&lt;&gt;"", J5290&lt;&gt;""), HYPERLINK("#'" &amp; C5290 &amp; "'!" &amp; J5290, J5290), "")</f>
        <v>0</v>
      </c>
    </row>
    <row r="5291" spans="2:2">
      <c r="B5291" s="21">
        <f>IF(AND(C5291&lt;&gt;"", J5291&lt;&gt;""), HYPERLINK("#'" &amp; C5291 &amp; "'!" &amp; J5291, J5291), "")</f>
        <v>0</v>
      </c>
    </row>
    <row r="5292" spans="2:2">
      <c r="B5292" s="21">
        <f>IF(AND(C5292&lt;&gt;"", J5292&lt;&gt;""), HYPERLINK("#'" &amp; C5292 &amp; "'!" &amp; J5292, J5292), "")</f>
        <v>0</v>
      </c>
    </row>
    <row r="5293" spans="2:2">
      <c r="B5293" s="21">
        <f>IF(AND(C5293&lt;&gt;"", J5293&lt;&gt;""), HYPERLINK("#'" &amp; C5293 &amp; "'!" &amp; J5293, J5293), "")</f>
        <v>0</v>
      </c>
    </row>
    <row r="5294" spans="2:2">
      <c r="B5294" s="21">
        <f>IF(AND(C5294&lt;&gt;"", J5294&lt;&gt;""), HYPERLINK("#'" &amp; C5294 &amp; "'!" &amp; J5294, J5294), "")</f>
        <v>0</v>
      </c>
    </row>
    <row r="5295" spans="2:2">
      <c r="B5295" s="21">
        <f>IF(AND(C5295&lt;&gt;"", J5295&lt;&gt;""), HYPERLINK("#'" &amp; C5295 &amp; "'!" &amp; J5295, J5295), "")</f>
        <v>0</v>
      </c>
    </row>
    <row r="5296" spans="2:2">
      <c r="B5296" s="21">
        <f>IF(AND(C5296&lt;&gt;"", J5296&lt;&gt;""), HYPERLINK("#'" &amp; C5296 &amp; "'!" &amp; J5296, J5296), "")</f>
        <v>0</v>
      </c>
    </row>
    <row r="5297" spans="2:2">
      <c r="B5297" s="21">
        <f>IF(AND(C5297&lt;&gt;"", J5297&lt;&gt;""), HYPERLINK("#'" &amp; C5297 &amp; "'!" &amp; J5297, J5297), "")</f>
        <v>0</v>
      </c>
    </row>
    <row r="5298" spans="2:2">
      <c r="B5298" s="21">
        <f>IF(AND(C5298&lt;&gt;"", J5298&lt;&gt;""), HYPERLINK("#'" &amp; C5298 &amp; "'!" &amp; J5298, J5298), "")</f>
        <v>0</v>
      </c>
    </row>
    <row r="5299" spans="2:2">
      <c r="B5299" s="21">
        <f>IF(AND(C5299&lt;&gt;"", J5299&lt;&gt;""), HYPERLINK("#'" &amp; C5299 &amp; "'!" &amp; J5299, J5299), "")</f>
        <v>0</v>
      </c>
    </row>
    <row r="5300" spans="2:2">
      <c r="B5300" s="21">
        <f>IF(AND(C5300&lt;&gt;"", J5300&lt;&gt;""), HYPERLINK("#'" &amp; C5300 &amp; "'!" &amp; J5300, J5300), "")</f>
        <v>0</v>
      </c>
    </row>
    <row r="5301" spans="2:2">
      <c r="B5301" s="21">
        <f>IF(AND(C5301&lt;&gt;"", J5301&lt;&gt;""), HYPERLINK("#'" &amp; C5301 &amp; "'!" &amp; J5301, J5301), "")</f>
        <v>0</v>
      </c>
    </row>
    <row r="5302" spans="2:2">
      <c r="B5302" s="21">
        <f>IF(AND(C5302&lt;&gt;"", J5302&lt;&gt;""), HYPERLINK("#'" &amp; C5302 &amp; "'!" &amp; J5302, J5302), "")</f>
        <v>0</v>
      </c>
    </row>
    <row r="5303" spans="2:2">
      <c r="B5303" s="21">
        <f>IF(AND(C5303&lt;&gt;"", J5303&lt;&gt;""), HYPERLINK("#'" &amp; C5303 &amp; "'!" &amp; J5303, J5303), "")</f>
        <v>0</v>
      </c>
    </row>
    <row r="5304" spans="2:2">
      <c r="B5304" s="21">
        <f>IF(AND(C5304&lt;&gt;"", J5304&lt;&gt;""), HYPERLINK("#'" &amp; C5304 &amp; "'!" &amp; J5304, J5304), "")</f>
        <v>0</v>
      </c>
    </row>
    <row r="5305" spans="2:2">
      <c r="B5305" s="21">
        <f>IF(AND(C5305&lt;&gt;"", J5305&lt;&gt;""), HYPERLINK("#'" &amp; C5305 &amp; "'!" &amp; J5305, J5305), "")</f>
        <v>0</v>
      </c>
    </row>
    <row r="5306" spans="2:2">
      <c r="B5306" s="21">
        <f>IF(AND(C5306&lt;&gt;"", J5306&lt;&gt;""), HYPERLINK("#'" &amp; C5306 &amp; "'!" &amp; J5306, J5306), "")</f>
        <v>0</v>
      </c>
    </row>
    <row r="5307" spans="2:2">
      <c r="B5307" s="21">
        <f>IF(AND(C5307&lt;&gt;"", J5307&lt;&gt;""), HYPERLINK("#'" &amp; C5307 &amp; "'!" &amp; J5307, J5307), "")</f>
        <v>0</v>
      </c>
    </row>
    <row r="5308" spans="2:2">
      <c r="B5308" s="21">
        <f>IF(AND(C5308&lt;&gt;"", J5308&lt;&gt;""), HYPERLINK("#'" &amp; C5308 &amp; "'!" &amp; J5308, J5308), "")</f>
        <v>0</v>
      </c>
    </row>
    <row r="5309" spans="2:2">
      <c r="B5309" s="21">
        <f>IF(AND(C5309&lt;&gt;"", J5309&lt;&gt;""), HYPERLINK("#'" &amp; C5309 &amp; "'!" &amp; J5309, J5309), "")</f>
        <v>0</v>
      </c>
    </row>
    <row r="5310" spans="2:2">
      <c r="B5310" s="21">
        <f>IF(AND(C5310&lt;&gt;"", J5310&lt;&gt;""), HYPERLINK("#'" &amp; C5310 &amp; "'!" &amp; J5310, J5310), "")</f>
        <v>0</v>
      </c>
    </row>
    <row r="5311" spans="2:2">
      <c r="B5311" s="21">
        <f>IF(AND(C5311&lt;&gt;"", J5311&lt;&gt;""), HYPERLINK("#'" &amp; C5311 &amp; "'!" &amp; J5311, J5311), "")</f>
        <v>0</v>
      </c>
    </row>
    <row r="5312" spans="2:2">
      <c r="B5312" s="21">
        <f>IF(AND(C5312&lt;&gt;"", J5312&lt;&gt;""), HYPERLINK("#'" &amp; C5312 &amp; "'!" &amp; J5312, J5312), "")</f>
        <v>0</v>
      </c>
    </row>
    <row r="5313" spans="2:2">
      <c r="B5313" s="21">
        <f>IF(AND(C5313&lt;&gt;"", J5313&lt;&gt;""), HYPERLINK("#'" &amp; C5313 &amp; "'!" &amp; J5313, J5313), "")</f>
        <v>0</v>
      </c>
    </row>
    <row r="5314" spans="2:2">
      <c r="B5314" s="21">
        <f>IF(AND(C5314&lt;&gt;"", J5314&lt;&gt;""), HYPERLINK("#'" &amp; C5314 &amp; "'!" &amp; J5314, J5314), "")</f>
        <v>0</v>
      </c>
    </row>
    <row r="5315" spans="2:2">
      <c r="B5315" s="21">
        <f>IF(AND(C5315&lt;&gt;"", J5315&lt;&gt;""), HYPERLINK("#'" &amp; C5315 &amp; "'!" &amp; J5315, J5315), "")</f>
        <v>0</v>
      </c>
    </row>
    <row r="5316" spans="2:2">
      <c r="B5316" s="21">
        <f>IF(AND(C5316&lt;&gt;"", J5316&lt;&gt;""), HYPERLINK("#'" &amp; C5316 &amp; "'!" &amp; J5316, J5316), "")</f>
        <v>0</v>
      </c>
    </row>
    <row r="5317" spans="2:2">
      <c r="B5317" s="21">
        <f>IF(AND(C5317&lt;&gt;"", J5317&lt;&gt;""), HYPERLINK("#'" &amp; C5317 &amp; "'!" &amp; J5317, J5317), "")</f>
        <v>0</v>
      </c>
    </row>
    <row r="5318" spans="2:2">
      <c r="B5318" s="21">
        <f>IF(AND(C5318&lt;&gt;"", J5318&lt;&gt;""), HYPERLINK("#'" &amp; C5318 &amp; "'!" &amp; J5318, J5318), "")</f>
        <v>0</v>
      </c>
    </row>
    <row r="5319" spans="2:2">
      <c r="B5319" s="21">
        <f>IF(AND(C5319&lt;&gt;"", J5319&lt;&gt;""), HYPERLINK("#'" &amp; C5319 &amp; "'!" &amp; J5319, J5319), "")</f>
        <v>0</v>
      </c>
    </row>
    <row r="5320" spans="2:2">
      <c r="B5320" s="21">
        <f>IF(AND(C5320&lt;&gt;"", J5320&lt;&gt;""), HYPERLINK("#'" &amp; C5320 &amp; "'!" &amp; J5320, J5320), "")</f>
        <v>0</v>
      </c>
    </row>
    <row r="5321" spans="2:2">
      <c r="B5321" s="21">
        <f>IF(AND(C5321&lt;&gt;"", J5321&lt;&gt;""), HYPERLINK("#'" &amp; C5321 &amp; "'!" &amp; J5321, J5321), "")</f>
        <v>0</v>
      </c>
    </row>
    <row r="5322" spans="2:2">
      <c r="B5322" s="21">
        <f>IF(AND(C5322&lt;&gt;"", J5322&lt;&gt;""), HYPERLINK("#'" &amp; C5322 &amp; "'!" &amp; J5322, J5322), "")</f>
        <v>0</v>
      </c>
    </row>
    <row r="5323" spans="2:2">
      <c r="B5323" s="21">
        <f>IF(AND(C5323&lt;&gt;"", J5323&lt;&gt;""), HYPERLINK("#'" &amp; C5323 &amp; "'!" &amp; J5323, J5323), "")</f>
        <v>0</v>
      </c>
    </row>
    <row r="5324" spans="2:2">
      <c r="B5324" s="21">
        <f>IF(AND(C5324&lt;&gt;"", J5324&lt;&gt;""), HYPERLINK("#'" &amp; C5324 &amp; "'!" &amp; J5324, J5324), "")</f>
        <v>0</v>
      </c>
    </row>
    <row r="5325" spans="2:2">
      <c r="B5325" s="21">
        <f>IF(AND(C5325&lt;&gt;"", J5325&lt;&gt;""), HYPERLINK("#'" &amp; C5325 &amp; "'!" &amp; J5325, J5325), "")</f>
        <v>0</v>
      </c>
    </row>
    <row r="5326" spans="2:2">
      <c r="B5326" s="21">
        <f>IF(AND(C5326&lt;&gt;"", J5326&lt;&gt;""), HYPERLINK("#'" &amp; C5326 &amp; "'!" &amp; J5326, J5326), "")</f>
        <v>0</v>
      </c>
    </row>
    <row r="5327" spans="2:2">
      <c r="B5327" s="21">
        <f>IF(AND(C5327&lt;&gt;"", J5327&lt;&gt;""), HYPERLINK("#'" &amp; C5327 &amp; "'!" &amp; J5327, J5327), "")</f>
        <v>0</v>
      </c>
    </row>
    <row r="5328" spans="2:2">
      <c r="B5328" s="21">
        <f>IF(AND(C5328&lt;&gt;"", J5328&lt;&gt;""), HYPERLINK("#'" &amp; C5328 &amp; "'!" &amp; J5328, J5328), "")</f>
        <v>0</v>
      </c>
    </row>
    <row r="5329" spans="2:2">
      <c r="B5329" s="21">
        <f>IF(AND(C5329&lt;&gt;"", J5329&lt;&gt;""), HYPERLINK("#'" &amp; C5329 &amp; "'!" &amp; J5329, J5329), "")</f>
        <v>0</v>
      </c>
    </row>
    <row r="5330" spans="2:2">
      <c r="B5330" s="21">
        <f>IF(AND(C5330&lt;&gt;"", J5330&lt;&gt;""), HYPERLINK("#'" &amp; C5330 &amp; "'!" &amp; J5330, J5330), "")</f>
        <v>0</v>
      </c>
    </row>
    <row r="5331" spans="2:2">
      <c r="B5331" s="21">
        <f>IF(AND(C5331&lt;&gt;"", J5331&lt;&gt;""), HYPERLINK("#'" &amp; C5331 &amp; "'!" &amp; J5331, J5331), "")</f>
        <v>0</v>
      </c>
    </row>
    <row r="5332" spans="2:2">
      <c r="B5332" s="21">
        <f>IF(AND(C5332&lt;&gt;"", J5332&lt;&gt;""), HYPERLINK("#'" &amp; C5332 &amp; "'!" &amp; J5332, J5332), "")</f>
        <v>0</v>
      </c>
    </row>
    <row r="5333" spans="2:2">
      <c r="B5333" s="21">
        <f>IF(AND(C5333&lt;&gt;"", J5333&lt;&gt;""), HYPERLINK("#'" &amp; C5333 &amp; "'!" &amp; J5333, J5333), "")</f>
        <v>0</v>
      </c>
    </row>
    <row r="5334" spans="2:2">
      <c r="B5334" s="21">
        <f>IF(AND(C5334&lt;&gt;"", J5334&lt;&gt;""), HYPERLINK("#'" &amp; C5334 &amp; "'!" &amp; J5334, J5334), "")</f>
        <v>0</v>
      </c>
    </row>
    <row r="5335" spans="2:2">
      <c r="B5335" s="21">
        <f>IF(AND(C5335&lt;&gt;"", J5335&lt;&gt;""), HYPERLINK("#'" &amp; C5335 &amp; "'!" &amp; J5335, J5335), "")</f>
        <v>0</v>
      </c>
    </row>
    <row r="5336" spans="2:2">
      <c r="B5336" s="21">
        <f>IF(AND(C5336&lt;&gt;"", J5336&lt;&gt;""), HYPERLINK("#'" &amp; C5336 &amp; "'!" &amp; J5336, J5336), "")</f>
        <v>0</v>
      </c>
    </row>
    <row r="5337" spans="2:2">
      <c r="B5337" s="21">
        <f>IF(AND(C5337&lt;&gt;"", J5337&lt;&gt;""), HYPERLINK("#'" &amp; C5337 &amp; "'!" &amp; J5337, J5337), "")</f>
        <v>0</v>
      </c>
    </row>
    <row r="5338" spans="2:2">
      <c r="B5338" s="21">
        <f>IF(AND(C5338&lt;&gt;"", J5338&lt;&gt;""), HYPERLINK("#'" &amp; C5338 &amp; "'!" &amp; J5338, J5338), "")</f>
        <v>0</v>
      </c>
    </row>
    <row r="5339" spans="2:2">
      <c r="B5339" s="21">
        <f>IF(AND(C5339&lt;&gt;"", J5339&lt;&gt;""), HYPERLINK("#'" &amp; C5339 &amp; "'!" &amp; J5339, J5339), "")</f>
        <v>0</v>
      </c>
    </row>
    <row r="5340" spans="2:2">
      <c r="B5340" s="21">
        <f>IF(AND(C5340&lt;&gt;"", J5340&lt;&gt;""), HYPERLINK("#'" &amp; C5340 &amp; "'!" &amp; J5340, J5340), "")</f>
        <v>0</v>
      </c>
    </row>
    <row r="5341" spans="2:2">
      <c r="B5341" s="21">
        <f>IF(AND(C5341&lt;&gt;"", J5341&lt;&gt;""), HYPERLINK("#'" &amp; C5341 &amp; "'!" &amp; J5341, J5341), "")</f>
        <v>0</v>
      </c>
    </row>
    <row r="5342" spans="2:2">
      <c r="B5342" s="21">
        <f>IF(AND(C5342&lt;&gt;"", J5342&lt;&gt;""), HYPERLINK("#'" &amp; C5342 &amp; "'!" &amp; J5342, J5342), "")</f>
        <v>0</v>
      </c>
    </row>
    <row r="5343" spans="2:2">
      <c r="B5343" s="21">
        <f>IF(AND(C5343&lt;&gt;"", J5343&lt;&gt;""), HYPERLINK("#'" &amp; C5343 &amp; "'!" &amp; J5343, J5343), "")</f>
        <v>0</v>
      </c>
    </row>
    <row r="5344" spans="2:2">
      <c r="B5344" s="21">
        <f>IF(AND(C5344&lt;&gt;"", J5344&lt;&gt;""), HYPERLINK("#'" &amp; C5344 &amp; "'!" &amp; J5344, J5344), "")</f>
        <v>0</v>
      </c>
    </row>
    <row r="5345" spans="2:2">
      <c r="B5345" s="21">
        <f>IF(AND(C5345&lt;&gt;"", J5345&lt;&gt;""), HYPERLINK("#'" &amp; C5345 &amp; "'!" &amp; J5345, J5345), "")</f>
        <v>0</v>
      </c>
    </row>
    <row r="5346" spans="2:2">
      <c r="B5346" s="21">
        <f>IF(AND(C5346&lt;&gt;"", J5346&lt;&gt;""), HYPERLINK("#'" &amp; C5346 &amp; "'!" &amp; J5346, J5346), "")</f>
        <v>0</v>
      </c>
    </row>
    <row r="5347" spans="2:2">
      <c r="B5347" s="21">
        <f>IF(AND(C5347&lt;&gt;"", J5347&lt;&gt;""), HYPERLINK("#'" &amp; C5347 &amp; "'!" &amp; J5347, J5347), "")</f>
        <v>0</v>
      </c>
    </row>
    <row r="5348" spans="2:2">
      <c r="B5348" s="21">
        <f>IF(AND(C5348&lt;&gt;"", J5348&lt;&gt;""), HYPERLINK("#'" &amp; C5348 &amp; "'!" &amp; J5348, J5348), "")</f>
        <v>0</v>
      </c>
    </row>
    <row r="5349" spans="2:2">
      <c r="B5349" s="21">
        <f>IF(AND(C5349&lt;&gt;"", J5349&lt;&gt;""), HYPERLINK("#'" &amp; C5349 &amp; "'!" &amp; J5349, J5349), "")</f>
        <v>0</v>
      </c>
    </row>
    <row r="5350" spans="2:2">
      <c r="B5350" s="21">
        <f>IF(AND(C5350&lt;&gt;"", J5350&lt;&gt;""), HYPERLINK("#'" &amp; C5350 &amp; "'!" &amp; J5350, J5350), "")</f>
        <v>0</v>
      </c>
    </row>
    <row r="5351" spans="2:2">
      <c r="B5351" s="21">
        <f>IF(AND(C5351&lt;&gt;"", J5351&lt;&gt;""), HYPERLINK("#'" &amp; C5351 &amp; "'!" &amp; J5351, J5351), "")</f>
        <v>0</v>
      </c>
    </row>
    <row r="5352" spans="2:2">
      <c r="B5352" s="21">
        <f>IF(AND(C5352&lt;&gt;"", J5352&lt;&gt;""), HYPERLINK("#'" &amp; C5352 &amp; "'!" &amp; J5352, J5352), "")</f>
        <v>0</v>
      </c>
    </row>
    <row r="5353" spans="2:2">
      <c r="B5353" s="21">
        <f>IF(AND(C5353&lt;&gt;"", J5353&lt;&gt;""), HYPERLINK("#'" &amp; C5353 &amp; "'!" &amp; J5353, J5353), "")</f>
        <v>0</v>
      </c>
    </row>
    <row r="5354" spans="2:2">
      <c r="B5354" s="21">
        <f>IF(AND(C5354&lt;&gt;"", J5354&lt;&gt;""), HYPERLINK("#'" &amp; C5354 &amp; "'!" &amp; J5354, J5354), "")</f>
        <v>0</v>
      </c>
    </row>
    <row r="5355" spans="2:2">
      <c r="B5355" s="21">
        <f>IF(AND(C5355&lt;&gt;"", J5355&lt;&gt;""), HYPERLINK("#'" &amp; C5355 &amp; "'!" &amp; J5355, J5355), "")</f>
        <v>0</v>
      </c>
    </row>
    <row r="5356" spans="2:2">
      <c r="B5356" s="21">
        <f>IF(AND(C5356&lt;&gt;"", J5356&lt;&gt;""), HYPERLINK("#'" &amp; C5356 &amp; "'!" &amp; J5356, J5356), "")</f>
        <v>0</v>
      </c>
    </row>
    <row r="5357" spans="2:2">
      <c r="B5357" s="21">
        <f>IF(AND(C5357&lt;&gt;"", J5357&lt;&gt;""), HYPERLINK("#'" &amp; C5357 &amp; "'!" &amp; J5357, J5357), "")</f>
        <v>0</v>
      </c>
    </row>
    <row r="5358" spans="2:2">
      <c r="B5358" s="21">
        <f>IF(AND(C5358&lt;&gt;"", J5358&lt;&gt;""), HYPERLINK("#'" &amp; C5358 &amp; "'!" &amp; J5358, J5358), "")</f>
        <v>0</v>
      </c>
    </row>
    <row r="5359" spans="2:2">
      <c r="B5359" s="21">
        <f>IF(AND(C5359&lt;&gt;"", J5359&lt;&gt;""), HYPERLINK("#'" &amp; C5359 &amp; "'!" &amp; J5359, J5359), "")</f>
        <v>0</v>
      </c>
    </row>
    <row r="5360" spans="2:2">
      <c r="B5360" s="21">
        <f>IF(AND(C5360&lt;&gt;"", J5360&lt;&gt;""), HYPERLINK("#'" &amp; C5360 &amp; "'!" &amp; J5360, J5360), "")</f>
        <v>0</v>
      </c>
    </row>
    <row r="5361" spans="2:2">
      <c r="B5361" s="21">
        <f>IF(AND(C5361&lt;&gt;"", J5361&lt;&gt;""), HYPERLINK("#'" &amp; C5361 &amp; "'!" &amp; J5361, J5361), "")</f>
        <v>0</v>
      </c>
    </row>
    <row r="5362" spans="2:2">
      <c r="B5362" s="21">
        <f>IF(AND(C5362&lt;&gt;"", J5362&lt;&gt;""), HYPERLINK("#'" &amp; C5362 &amp; "'!" &amp; J5362, J5362), "")</f>
        <v>0</v>
      </c>
    </row>
    <row r="5363" spans="2:2">
      <c r="B5363" s="21">
        <f>IF(AND(C5363&lt;&gt;"", J5363&lt;&gt;""), HYPERLINK("#'" &amp; C5363 &amp; "'!" &amp; J5363, J5363), "")</f>
        <v>0</v>
      </c>
    </row>
    <row r="5364" spans="2:2">
      <c r="B5364" s="21">
        <f>IF(AND(C5364&lt;&gt;"", J5364&lt;&gt;""), HYPERLINK("#'" &amp; C5364 &amp; "'!" &amp; J5364, J5364), "")</f>
        <v>0</v>
      </c>
    </row>
    <row r="5365" spans="2:2">
      <c r="B5365" s="21">
        <f>IF(AND(C5365&lt;&gt;"", J5365&lt;&gt;""), HYPERLINK("#'" &amp; C5365 &amp; "'!" &amp; J5365, J5365), "")</f>
        <v>0</v>
      </c>
    </row>
    <row r="5366" spans="2:2">
      <c r="B5366" s="21">
        <f>IF(AND(C5366&lt;&gt;"", J5366&lt;&gt;""), HYPERLINK("#'" &amp; C5366 &amp; "'!" &amp; J5366, J5366), "")</f>
        <v>0</v>
      </c>
    </row>
    <row r="5367" spans="2:2">
      <c r="B5367" s="21">
        <f>IF(AND(C5367&lt;&gt;"", J5367&lt;&gt;""), HYPERLINK("#'" &amp; C5367 &amp; "'!" &amp; J5367, J5367), "")</f>
        <v>0</v>
      </c>
    </row>
    <row r="5368" spans="2:2">
      <c r="B5368" s="21">
        <f>IF(AND(C5368&lt;&gt;"", J5368&lt;&gt;""), HYPERLINK("#'" &amp; C5368 &amp; "'!" &amp; J5368, J5368), "")</f>
        <v>0</v>
      </c>
    </row>
    <row r="5369" spans="2:2">
      <c r="B5369" s="21">
        <f>IF(AND(C5369&lt;&gt;"", J5369&lt;&gt;""), HYPERLINK("#'" &amp; C5369 &amp; "'!" &amp; J5369, J5369), "")</f>
        <v>0</v>
      </c>
    </row>
    <row r="5370" spans="2:2">
      <c r="B5370" s="21">
        <f>IF(AND(C5370&lt;&gt;"", J5370&lt;&gt;""), HYPERLINK("#'" &amp; C5370 &amp; "'!" &amp; J5370, J5370), "")</f>
        <v>0</v>
      </c>
    </row>
    <row r="5371" spans="2:2">
      <c r="B5371" s="21">
        <f>IF(AND(C5371&lt;&gt;"", J5371&lt;&gt;""), HYPERLINK("#'" &amp; C5371 &amp; "'!" &amp; J5371, J5371), "")</f>
        <v>0</v>
      </c>
    </row>
    <row r="5372" spans="2:2">
      <c r="B5372" s="21">
        <f>IF(AND(C5372&lt;&gt;"", J5372&lt;&gt;""), HYPERLINK("#'" &amp; C5372 &amp; "'!" &amp; J5372, J5372), "")</f>
        <v>0</v>
      </c>
    </row>
    <row r="5373" spans="2:2">
      <c r="B5373" s="21">
        <f>IF(AND(C5373&lt;&gt;"", J5373&lt;&gt;""), HYPERLINK("#'" &amp; C5373 &amp; "'!" &amp; J5373, J5373), "")</f>
        <v>0</v>
      </c>
    </row>
    <row r="5374" spans="2:2">
      <c r="B5374" s="21">
        <f>IF(AND(C5374&lt;&gt;"", J5374&lt;&gt;""), HYPERLINK("#'" &amp; C5374 &amp; "'!" &amp; J5374, J5374), "")</f>
        <v>0</v>
      </c>
    </row>
    <row r="5375" spans="2:2">
      <c r="B5375" s="21">
        <f>IF(AND(C5375&lt;&gt;"", J5375&lt;&gt;""), HYPERLINK("#'" &amp; C5375 &amp; "'!" &amp; J5375, J5375), "")</f>
        <v>0</v>
      </c>
    </row>
    <row r="5376" spans="2:2">
      <c r="B5376" s="21">
        <f>IF(AND(C5376&lt;&gt;"", J5376&lt;&gt;""), HYPERLINK("#'" &amp; C5376 &amp; "'!" &amp; J5376, J5376), "")</f>
        <v>0</v>
      </c>
    </row>
    <row r="5377" spans="2:2">
      <c r="B5377" s="21">
        <f>IF(AND(C5377&lt;&gt;"", J5377&lt;&gt;""), HYPERLINK("#'" &amp; C5377 &amp; "'!" &amp; J5377, J5377), "")</f>
        <v>0</v>
      </c>
    </row>
    <row r="5378" spans="2:2">
      <c r="B5378" s="21">
        <f>IF(AND(C5378&lt;&gt;"", J5378&lt;&gt;""), HYPERLINK("#'" &amp; C5378 &amp; "'!" &amp; J5378, J5378), "")</f>
        <v>0</v>
      </c>
    </row>
    <row r="5379" spans="2:2">
      <c r="B5379" s="21">
        <f>IF(AND(C5379&lt;&gt;"", J5379&lt;&gt;""), HYPERLINK("#'" &amp; C5379 &amp; "'!" &amp; J5379, J5379), "")</f>
        <v>0</v>
      </c>
    </row>
    <row r="5380" spans="2:2">
      <c r="B5380" s="21">
        <f>IF(AND(C5380&lt;&gt;"", J5380&lt;&gt;""), HYPERLINK("#'" &amp; C5380 &amp; "'!" &amp; J5380, J5380), "")</f>
        <v>0</v>
      </c>
    </row>
    <row r="5381" spans="2:2">
      <c r="B5381" s="21">
        <f>IF(AND(C5381&lt;&gt;"", J5381&lt;&gt;""), HYPERLINK("#'" &amp; C5381 &amp; "'!" &amp; J5381, J5381), "")</f>
        <v>0</v>
      </c>
    </row>
    <row r="5382" spans="2:2">
      <c r="B5382" s="21">
        <f>IF(AND(C5382&lt;&gt;"", J5382&lt;&gt;""), HYPERLINK("#'" &amp; C5382 &amp; "'!" &amp; J5382, J5382), "")</f>
        <v>0</v>
      </c>
    </row>
    <row r="5383" spans="2:2">
      <c r="B5383" s="21">
        <f>IF(AND(C5383&lt;&gt;"", J5383&lt;&gt;""), HYPERLINK("#'" &amp; C5383 &amp; "'!" &amp; J5383, J5383), "")</f>
        <v>0</v>
      </c>
    </row>
    <row r="5384" spans="2:2">
      <c r="B5384" s="21">
        <f>IF(AND(C5384&lt;&gt;"", J5384&lt;&gt;""), HYPERLINK("#'" &amp; C5384 &amp; "'!" &amp; J5384, J5384), "")</f>
        <v>0</v>
      </c>
    </row>
    <row r="5385" spans="2:2">
      <c r="B5385" s="21">
        <f>IF(AND(C5385&lt;&gt;"", J5385&lt;&gt;""), HYPERLINK("#'" &amp; C5385 &amp; "'!" &amp; J5385, J5385), "")</f>
        <v>0</v>
      </c>
    </row>
    <row r="5386" spans="2:2">
      <c r="B5386" s="21">
        <f>IF(AND(C5386&lt;&gt;"", J5386&lt;&gt;""), HYPERLINK("#'" &amp; C5386 &amp; "'!" &amp; J5386, J5386), "")</f>
        <v>0</v>
      </c>
    </row>
    <row r="5387" spans="2:2">
      <c r="B5387" s="21">
        <f>IF(AND(C5387&lt;&gt;"", J5387&lt;&gt;""), HYPERLINK("#'" &amp; C5387 &amp; "'!" &amp; J5387, J5387), "")</f>
        <v>0</v>
      </c>
    </row>
    <row r="5388" spans="2:2">
      <c r="B5388" s="21">
        <f>IF(AND(C5388&lt;&gt;"", J5388&lt;&gt;""), HYPERLINK("#'" &amp; C5388 &amp; "'!" &amp; J5388, J5388), "")</f>
        <v>0</v>
      </c>
    </row>
    <row r="5389" spans="2:2">
      <c r="B5389" s="21">
        <f>IF(AND(C5389&lt;&gt;"", J5389&lt;&gt;""), HYPERLINK("#'" &amp; C5389 &amp; "'!" &amp; J5389, J5389), "")</f>
        <v>0</v>
      </c>
    </row>
    <row r="5390" spans="2:2">
      <c r="B5390" s="21">
        <f>IF(AND(C5390&lt;&gt;"", J5390&lt;&gt;""), HYPERLINK("#'" &amp; C5390 &amp; "'!" &amp; J5390, J5390), "")</f>
        <v>0</v>
      </c>
    </row>
    <row r="5391" spans="2:2">
      <c r="B5391" s="21">
        <f>IF(AND(C5391&lt;&gt;"", J5391&lt;&gt;""), HYPERLINK("#'" &amp; C5391 &amp; "'!" &amp; J5391, J5391), "")</f>
        <v>0</v>
      </c>
    </row>
    <row r="5392" spans="2:2">
      <c r="B5392" s="21">
        <f>IF(AND(C5392&lt;&gt;"", J5392&lt;&gt;""), HYPERLINK("#'" &amp; C5392 &amp; "'!" &amp; J5392, J5392), "")</f>
        <v>0</v>
      </c>
    </row>
    <row r="5393" spans="2:2">
      <c r="B5393" s="21">
        <f>IF(AND(C5393&lt;&gt;"", J5393&lt;&gt;""), HYPERLINK("#'" &amp; C5393 &amp; "'!" &amp; J5393, J5393), "")</f>
        <v>0</v>
      </c>
    </row>
    <row r="5394" spans="2:2">
      <c r="B5394" s="21">
        <f>IF(AND(C5394&lt;&gt;"", J5394&lt;&gt;""), HYPERLINK("#'" &amp; C5394 &amp; "'!" &amp; J5394, J5394), "")</f>
        <v>0</v>
      </c>
    </row>
    <row r="5395" spans="2:2">
      <c r="B5395" s="21">
        <f>IF(AND(C5395&lt;&gt;"", J5395&lt;&gt;""), HYPERLINK("#'" &amp; C5395 &amp; "'!" &amp; J5395, J5395), "")</f>
        <v>0</v>
      </c>
    </row>
    <row r="5396" spans="2:2">
      <c r="B5396" s="21">
        <f>IF(AND(C5396&lt;&gt;"", J5396&lt;&gt;""), HYPERLINK("#'" &amp; C5396 &amp; "'!" &amp; J5396, J5396), "")</f>
        <v>0</v>
      </c>
    </row>
    <row r="5397" spans="2:2">
      <c r="B5397" s="21">
        <f>IF(AND(C5397&lt;&gt;"", J5397&lt;&gt;""), HYPERLINK("#'" &amp; C5397 &amp; "'!" &amp; J5397, J5397), "")</f>
        <v>0</v>
      </c>
    </row>
    <row r="5398" spans="2:2">
      <c r="B5398" s="21">
        <f>IF(AND(C5398&lt;&gt;"", J5398&lt;&gt;""), HYPERLINK("#'" &amp; C5398 &amp; "'!" &amp; J5398, J5398), "")</f>
        <v>0</v>
      </c>
    </row>
    <row r="5399" spans="2:2">
      <c r="B5399" s="21">
        <f>IF(AND(C5399&lt;&gt;"", J5399&lt;&gt;""), HYPERLINK("#'" &amp; C5399 &amp; "'!" &amp; J5399, J5399), "")</f>
        <v>0</v>
      </c>
    </row>
    <row r="5400" spans="2:2">
      <c r="B5400" s="21">
        <f>IF(AND(C5400&lt;&gt;"", J5400&lt;&gt;""), HYPERLINK("#'" &amp; C5400 &amp; "'!" &amp; J5400, J5400), "")</f>
        <v>0</v>
      </c>
    </row>
    <row r="5401" spans="2:2">
      <c r="B5401" s="21">
        <f>IF(AND(C5401&lt;&gt;"", J5401&lt;&gt;""), HYPERLINK("#'" &amp; C5401 &amp; "'!" &amp; J5401, J5401), "")</f>
        <v>0</v>
      </c>
    </row>
    <row r="5402" spans="2:2">
      <c r="B5402" s="21">
        <f>IF(AND(C5402&lt;&gt;"", J5402&lt;&gt;""), HYPERLINK("#'" &amp; C5402 &amp; "'!" &amp; J5402, J5402), "")</f>
        <v>0</v>
      </c>
    </row>
    <row r="5403" spans="2:2">
      <c r="B5403" s="21">
        <f>IF(AND(C5403&lt;&gt;"", J5403&lt;&gt;""), HYPERLINK("#'" &amp; C5403 &amp; "'!" &amp; J5403, J5403), "")</f>
        <v>0</v>
      </c>
    </row>
    <row r="5404" spans="2:2">
      <c r="B5404" s="21">
        <f>IF(AND(C5404&lt;&gt;"", J5404&lt;&gt;""), HYPERLINK("#'" &amp; C5404 &amp; "'!" &amp; J5404, J5404), "")</f>
        <v>0</v>
      </c>
    </row>
    <row r="5405" spans="2:2">
      <c r="B5405" s="21">
        <f>IF(AND(C5405&lt;&gt;"", J5405&lt;&gt;""), HYPERLINK("#'" &amp; C5405 &amp; "'!" &amp; J5405, J5405), "")</f>
        <v>0</v>
      </c>
    </row>
    <row r="5406" spans="2:2">
      <c r="B5406" s="21">
        <f>IF(AND(C5406&lt;&gt;"", J5406&lt;&gt;""), HYPERLINK("#'" &amp; C5406 &amp; "'!" &amp; J5406, J5406), "")</f>
        <v>0</v>
      </c>
    </row>
    <row r="5407" spans="2:2">
      <c r="B5407" s="21">
        <f>IF(AND(C5407&lt;&gt;"", J5407&lt;&gt;""), HYPERLINK("#'" &amp; C5407 &amp; "'!" &amp; J5407, J5407), "")</f>
        <v>0</v>
      </c>
    </row>
    <row r="5408" spans="2:2">
      <c r="B5408" s="21">
        <f>IF(AND(C5408&lt;&gt;"", J5408&lt;&gt;""), HYPERLINK("#'" &amp; C5408 &amp; "'!" &amp; J5408, J5408), "")</f>
        <v>0</v>
      </c>
    </row>
    <row r="5409" spans="2:2">
      <c r="B5409" s="21">
        <f>IF(AND(C5409&lt;&gt;"", J5409&lt;&gt;""), HYPERLINK("#'" &amp; C5409 &amp; "'!" &amp; J5409, J5409), "")</f>
        <v>0</v>
      </c>
    </row>
    <row r="5410" spans="2:2">
      <c r="B5410" s="21">
        <f>IF(AND(C5410&lt;&gt;"", J5410&lt;&gt;""), HYPERLINK("#'" &amp; C5410 &amp; "'!" &amp; J5410, J5410), "")</f>
        <v>0</v>
      </c>
    </row>
    <row r="5411" spans="2:2">
      <c r="B5411" s="21">
        <f>IF(AND(C5411&lt;&gt;"", J5411&lt;&gt;""), HYPERLINK("#'" &amp; C5411 &amp; "'!" &amp; J5411, J5411), "")</f>
        <v>0</v>
      </c>
    </row>
    <row r="5412" spans="2:2">
      <c r="B5412" s="21">
        <f>IF(AND(C5412&lt;&gt;"", J5412&lt;&gt;""), HYPERLINK("#'" &amp; C5412 &amp; "'!" &amp; J5412, J5412), "")</f>
        <v>0</v>
      </c>
    </row>
    <row r="5413" spans="2:2">
      <c r="B5413" s="21">
        <f>IF(AND(C5413&lt;&gt;"", J5413&lt;&gt;""), HYPERLINK("#'" &amp; C5413 &amp; "'!" &amp; J5413, J5413), "")</f>
        <v>0</v>
      </c>
    </row>
    <row r="5414" spans="2:2">
      <c r="B5414" s="21">
        <f>IF(AND(C5414&lt;&gt;"", J5414&lt;&gt;""), HYPERLINK("#'" &amp; C5414 &amp; "'!" &amp; J5414, J5414), "")</f>
        <v>0</v>
      </c>
    </row>
    <row r="5415" spans="2:2">
      <c r="B5415" s="21">
        <f>IF(AND(C5415&lt;&gt;"", J5415&lt;&gt;""), HYPERLINK("#'" &amp; C5415 &amp; "'!" &amp; J5415, J5415), "")</f>
        <v>0</v>
      </c>
    </row>
    <row r="5416" spans="2:2">
      <c r="B5416" s="21">
        <f>IF(AND(C5416&lt;&gt;"", J5416&lt;&gt;""), HYPERLINK("#'" &amp; C5416 &amp; "'!" &amp; J5416, J5416), "")</f>
        <v>0</v>
      </c>
    </row>
    <row r="5417" spans="2:2">
      <c r="B5417" s="21">
        <f>IF(AND(C5417&lt;&gt;"", J5417&lt;&gt;""), HYPERLINK("#'" &amp; C5417 &amp; "'!" &amp; J5417, J5417), "")</f>
        <v>0</v>
      </c>
    </row>
    <row r="5418" spans="2:2">
      <c r="B5418" s="21">
        <f>IF(AND(C5418&lt;&gt;"", J5418&lt;&gt;""), HYPERLINK("#'" &amp; C5418 &amp; "'!" &amp; J5418, J5418), "")</f>
        <v>0</v>
      </c>
    </row>
    <row r="5419" spans="2:2">
      <c r="B5419" s="21">
        <f>IF(AND(C5419&lt;&gt;"", J5419&lt;&gt;""), HYPERLINK("#'" &amp; C5419 &amp; "'!" &amp; J5419, J5419), "")</f>
        <v>0</v>
      </c>
    </row>
    <row r="5420" spans="2:2">
      <c r="B5420" s="21">
        <f>IF(AND(C5420&lt;&gt;"", J5420&lt;&gt;""), HYPERLINK("#'" &amp; C5420 &amp; "'!" &amp; J5420, J5420), "")</f>
        <v>0</v>
      </c>
    </row>
    <row r="5421" spans="2:2">
      <c r="B5421" s="21">
        <f>IF(AND(C5421&lt;&gt;"", J5421&lt;&gt;""), HYPERLINK("#'" &amp; C5421 &amp; "'!" &amp; J5421, J5421), "")</f>
        <v>0</v>
      </c>
    </row>
    <row r="5422" spans="2:2">
      <c r="B5422" s="21">
        <f>IF(AND(C5422&lt;&gt;"", J5422&lt;&gt;""), HYPERLINK("#'" &amp; C5422 &amp; "'!" &amp; J5422, J5422), "")</f>
        <v>0</v>
      </c>
    </row>
    <row r="5423" spans="2:2">
      <c r="B5423" s="21">
        <f>IF(AND(C5423&lt;&gt;"", J5423&lt;&gt;""), HYPERLINK("#'" &amp; C5423 &amp; "'!" &amp; J5423, J5423), "")</f>
        <v>0</v>
      </c>
    </row>
    <row r="5424" spans="2:2">
      <c r="B5424" s="21">
        <f>IF(AND(C5424&lt;&gt;"", J5424&lt;&gt;""), HYPERLINK("#'" &amp; C5424 &amp; "'!" &amp; J5424, J5424), "")</f>
        <v>0</v>
      </c>
    </row>
    <row r="5425" spans="2:2">
      <c r="B5425" s="21">
        <f>IF(AND(C5425&lt;&gt;"", J5425&lt;&gt;""), HYPERLINK("#'" &amp; C5425 &amp; "'!" &amp; J5425, J5425), "")</f>
        <v>0</v>
      </c>
    </row>
    <row r="5426" spans="2:2">
      <c r="B5426" s="21">
        <f>IF(AND(C5426&lt;&gt;"", J5426&lt;&gt;""), HYPERLINK("#'" &amp; C5426 &amp; "'!" &amp; J5426, J5426), "")</f>
        <v>0</v>
      </c>
    </row>
    <row r="5427" spans="2:2">
      <c r="B5427" s="21">
        <f>IF(AND(C5427&lt;&gt;"", J5427&lt;&gt;""), HYPERLINK("#'" &amp; C5427 &amp; "'!" &amp; J5427, J5427), "")</f>
        <v>0</v>
      </c>
    </row>
    <row r="5428" spans="2:2">
      <c r="B5428" s="21">
        <f>IF(AND(C5428&lt;&gt;"", J5428&lt;&gt;""), HYPERLINK("#'" &amp; C5428 &amp; "'!" &amp; J5428, J5428), "")</f>
        <v>0</v>
      </c>
    </row>
    <row r="5429" spans="2:2">
      <c r="B5429" s="21">
        <f>IF(AND(C5429&lt;&gt;"", J5429&lt;&gt;""), HYPERLINK("#'" &amp; C5429 &amp; "'!" &amp; J5429, J5429), "")</f>
        <v>0</v>
      </c>
    </row>
    <row r="5430" spans="2:2">
      <c r="B5430" s="21">
        <f>IF(AND(C5430&lt;&gt;"", J5430&lt;&gt;""), HYPERLINK("#'" &amp; C5430 &amp; "'!" &amp; J5430, J5430), "")</f>
        <v>0</v>
      </c>
    </row>
    <row r="5431" spans="2:2">
      <c r="B5431" s="21">
        <f>IF(AND(C5431&lt;&gt;"", J5431&lt;&gt;""), HYPERLINK("#'" &amp; C5431 &amp; "'!" &amp; J5431, J5431), "")</f>
        <v>0</v>
      </c>
    </row>
    <row r="5432" spans="2:2">
      <c r="B5432" s="21">
        <f>IF(AND(C5432&lt;&gt;"", J5432&lt;&gt;""), HYPERLINK("#'" &amp; C5432 &amp; "'!" &amp; J5432, J5432), "")</f>
        <v>0</v>
      </c>
    </row>
    <row r="5433" spans="2:2">
      <c r="B5433" s="21">
        <f>IF(AND(C5433&lt;&gt;"", J5433&lt;&gt;""), HYPERLINK("#'" &amp; C5433 &amp; "'!" &amp; J5433, J5433), "")</f>
        <v>0</v>
      </c>
    </row>
    <row r="5434" spans="2:2">
      <c r="B5434" s="21">
        <f>IF(AND(C5434&lt;&gt;"", J5434&lt;&gt;""), HYPERLINK("#'" &amp; C5434 &amp; "'!" &amp; J5434, J5434), "")</f>
        <v>0</v>
      </c>
    </row>
    <row r="5435" spans="2:2">
      <c r="B5435" s="21">
        <f>IF(AND(C5435&lt;&gt;"", J5435&lt;&gt;""), HYPERLINK("#'" &amp; C5435 &amp; "'!" &amp; J5435, J5435), "")</f>
        <v>0</v>
      </c>
    </row>
    <row r="5436" spans="2:2">
      <c r="B5436" s="21">
        <f>IF(AND(C5436&lt;&gt;"", J5436&lt;&gt;""), HYPERLINK("#'" &amp; C5436 &amp; "'!" &amp; J5436, J5436), "")</f>
        <v>0</v>
      </c>
    </row>
    <row r="5437" spans="2:2">
      <c r="B5437" s="21">
        <f>IF(AND(C5437&lt;&gt;"", J5437&lt;&gt;""), HYPERLINK("#'" &amp; C5437 &amp; "'!" &amp; J5437, J5437), "")</f>
        <v>0</v>
      </c>
    </row>
    <row r="5438" spans="2:2">
      <c r="B5438" s="21">
        <f>IF(AND(C5438&lt;&gt;"", J5438&lt;&gt;""), HYPERLINK("#'" &amp; C5438 &amp; "'!" &amp; J5438, J5438), "")</f>
        <v>0</v>
      </c>
    </row>
    <row r="5439" spans="2:2">
      <c r="B5439" s="21">
        <f>IF(AND(C5439&lt;&gt;"", J5439&lt;&gt;""), HYPERLINK("#'" &amp; C5439 &amp; "'!" &amp; J5439, J5439), "")</f>
        <v>0</v>
      </c>
    </row>
    <row r="5440" spans="2:2">
      <c r="B5440" s="21">
        <f>IF(AND(C5440&lt;&gt;"", J5440&lt;&gt;""), HYPERLINK("#'" &amp; C5440 &amp; "'!" &amp; J5440, J5440), "")</f>
        <v>0</v>
      </c>
    </row>
    <row r="5441" spans="2:2">
      <c r="B5441" s="21">
        <f>IF(AND(C5441&lt;&gt;"", J5441&lt;&gt;""), HYPERLINK("#'" &amp; C5441 &amp; "'!" &amp; J5441, J5441), "")</f>
        <v>0</v>
      </c>
    </row>
    <row r="5442" spans="2:2">
      <c r="B5442" s="21">
        <f>IF(AND(C5442&lt;&gt;"", J5442&lt;&gt;""), HYPERLINK("#'" &amp; C5442 &amp; "'!" &amp; J5442, J5442), "")</f>
        <v>0</v>
      </c>
    </row>
    <row r="5443" spans="2:2">
      <c r="B5443" s="21">
        <f>IF(AND(C5443&lt;&gt;"", J5443&lt;&gt;""), HYPERLINK("#'" &amp; C5443 &amp; "'!" &amp; J5443, J5443), "")</f>
        <v>0</v>
      </c>
    </row>
    <row r="5444" spans="2:2">
      <c r="B5444" s="21">
        <f>IF(AND(C5444&lt;&gt;"", J5444&lt;&gt;""), HYPERLINK("#'" &amp; C5444 &amp; "'!" &amp; J5444, J5444), "")</f>
        <v>0</v>
      </c>
    </row>
    <row r="5445" spans="2:2">
      <c r="B5445" s="21">
        <f>IF(AND(C5445&lt;&gt;"", J5445&lt;&gt;""), HYPERLINK("#'" &amp; C5445 &amp; "'!" &amp; J5445, J5445), "")</f>
        <v>0</v>
      </c>
    </row>
    <row r="5446" spans="2:2">
      <c r="B5446" s="21">
        <f>IF(AND(C5446&lt;&gt;"", J5446&lt;&gt;""), HYPERLINK("#'" &amp; C5446 &amp; "'!" &amp; J5446, J5446), "")</f>
        <v>0</v>
      </c>
    </row>
    <row r="5447" spans="2:2">
      <c r="B5447" s="21">
        <f>IF(AND(C5447&lt;&gt;"", J5447&lt;&gt;""), HYPERLINK("#'" &amp; C5447 &amp; "'!" &amp; J5447, J5447), "")</f>
        <v>0</v>
      </c>
    </row>
    <row r="5448" spans="2:2">
      <c r="B5448" s="21">
        <f>IF(AND(C5448&lt;&gt;"", J5448&lt;&gt;""), HYPERLINK("#'" &amp; C5448 &amp; "'!" &amp; J5448, J5448), "")</f>
        <v>0</v>
      </c>
    </row>
    <row r="5449" spans="2:2">
      <c r="B5449" s="21">
        <f>IF(AND(C5449&lt;&gt;"", J5449&lt;&gt;""), HYPERLINK("#'" &amp; C5449 &amp; "'!" &amp; J5449, J5449), "")</f>
        <v>0</v>
      </c>
    </row>
    <row r="5450" spans="2:2">
      <c r="B5450" s="21">
        <f>IF(AND(C5450&lt;&gt;"", J5450&lt;&gt;""), HYPERLINK("#'" &amp; C5450 &amp; "'!" &amp; J5450, J5450), "")</f>
        <v>0</v>
      </c>
    </row>
    <row r="5451" spans="2:2">
      <c r="B5451" s="21">
        <f>IF(AND(C5451&lt;&gt;"", J5451&lt;&gt;""), HYPERLINK("#'" &amp; C5451 &amp; "'!" &amp; J5451, J5451), "")</f>
        <v>0</v>
      </c>
    </row>
    <row r="5452" spans="2:2">
      <c r="B5452" s="21">
        <f>IF(AND(C5452&lt;&gt;"", J5452&lt;&gt;""), HYPERLINK("#'" &amp; C5452 &amp; "'!" &amp; J5452, J5452), "")</f>
        <v>0</v>
      </c>
    </row>
    <row r="5453" spans="2:2">
      <c r="B5453" s="21">
        <f>IF(AND(C5453&lt;&gt;"", J5453&lt;&gt;""), HYPERLINK("#'" &amp; C5453 &amp; "'!" &amp; J5453, J5453), "")</f>
        <v>0</v>
      </c>
    </row>
    <row r="5454" spans="2:2">
      <c r="B5454" s="21">
        <f>IF(AND(C5454&lt;&gt;"", J5454&lt;&gt;""), HYPERLINK("#'" &amp; C5454 &amp; "'!" &amp; J5454, J5454), "")</f>
        <v>0</v>
      </c>
    </row>
    <row r="5455" spans="2:2">
      <c r="B5455" s="21">
        <f>IF(AND(C5455&lt;&gt;"", J5455&lt;&gt;""), HYPERLINK("#'" &amp; C5455 &amp; "'!" &amp; J5455, J5455), "")</f>
        <v>0</v>
      </c>
    </row>
    <row r="5456" spans="2:2">
      <c r="B5456" s="21">
        <f>IF(AND(C5456&lt;&gt;"", J5456&lt;&gt;""), HYPERLINK("#'" &amp; C5456 &amp; "'!" &amp; J5456, J5456), "")</f>
        <v>0</v>
      </c>
    </row>
    <row r="5457" spans="2:2">
      <c r="B5457" s="21">
        <f>IF(AND(C5457&lt;&gt;"", J5457&lt;&gt;""), HYPERLINK("#'" &amp; C5457 &amp; "'!" &amp; J5457, J5457), "")</f>
        <v>0</v>
      </c>
    </row>
    <row r="5458" spans="2:2">
      <c r="B5458" s="21">
        <f>IF(AND(C5458&lt;&gt;"", J5458&lt;&gt;""), HYPERLINK("#'" &amp; C5458 &amp; "'!" &amp; J5458, J5458), "")</f>
        <v>0</v>
      </c>
    </row>
    <row r="5459" spans="2:2">
      <c r="B5459" s="21">
        <f>IF(AND(C5459&lt;&gt;"", J5459&lt;&gt;""), HYPERLINK("#'" &amp; C5459 &amp; "'!" &amp; J5459, J5459), "")</f>
        <v>0</v>
      </c>
    </row>
    <row r="5460" spans="2:2">
      <c r="B5460" s="21">
        <f>IF(AND(C5460&lt;&gt;"", J5460&lt;&gt;""), HYPERLINK("#'" &amp; C5460 &amp; "'!" &amp; J5460, J5460), "")</f>
        <v>0</v>
      </c>
    </row>
    <row r="5461" spans="2:2">
      <c r="B5461" s="21">
        <f>IF(AND(C5461&lt;&gt;"", J5461&lt;&gt;""), HYPERLINK("#'" &amp; C5461 &amp; "'!" &amp; J5461, J5461), "")</f>
        <v>0</v>
      </c>
    </row>
    <row r="5462" spans="2:2">
      <c r="B5462" s="21">
        <f>IF(AND(C5462&lt;&gt;"", J5462&lt;&gt;""), HYPERLINK("#'" &amp; C5462 &amp; "'!" &amp; J5462, J5462), "")</f>
        <v>0</v>
      </c>
    </row>
    <row r="5463" spans="2:2">
      <c r="B5463" s="21">
        <f>IF(AND(C5463&lt;&gt;"", J5463&lt;&gt;""), HYPERLINK("#'" &amp; C5463 &amp; "'!" &amp; J5463, J5463), "")</f>
        <v>0</v>
      </c>
    </row>
    <row r="5464" spans="2:2">
      <c r="B5464" s="21">
        <f>IF(AND(C5464&lt;&gt;"", J5464&lt;&gt;""), HYPERLINK("#'" &amp; C5464 &amp; "'!" &amp; J5464, J5464), "")</f>
        <v>0</v>
      </c>
    </row>
    <row r="5465" spans="2:2">
      <c r="B5465" s="21">
        <f>IF(AND(C5465&lt;&gt;"", J5465&lt;&gt;""), HYPERLINK("#'" &amp; C5465 &amp; "'!" &amp; J5465, J5465), "")</f>
        <v>0</v>
      </c>
    </row>
    <row r="5466" spans="2:2">
      <c r="B5466" s="21">
        <f>IF(AND(C5466&lt;&gt;"", J5466&lt;&gt;""), HYPERLINK("#'" &amp; C5466 &amp; "'!" &amp; J5466, J5466), "")</f>
        <v>0</v>
      </c>
    </row>
    <row r="5467" spans="2:2">
      <c r="B5467" s="21">
        <f>IF(AND(C5467&lt;&gt;"", J5467&lt;&gt;""), HYPERLINK("#'" &amp; C5467 &amp; "'!" &amp; J5467, J5467), "")</f>
        <v>0</v>
      </c>
    </row>
    <row r="5468" spans="2:2">
      <c r="B5468" s="21">
        <f>IF(AND(C5468&lt;&gt;"", J5468&lt;&gt;""), HYPERLINK("#'" &amp; C5468 &amp; "'!" &amp; J5468, J5468), "")</f>
        <v>0</v>
      </c>
    </row>
    <row r="5469" spans="2:2">
      <c r="B5469" s="21">
        <f>IF(AND(C5469&lt;&gt;"", J5469&lt;&gt;""), HYPERLINK("#'" &amp; C5469 &amp; "'!" &amp; J5469, J5469), "")</f>
        <v>0</v>
      </c>
    </row>
    <row r="5470" spans="2:2">
      <c r="B5470" s="21">
        <f>IF(AND(C5470&lt;&gt;"", J5470&lt;&gt;""), HYPERLINK("#'" &amp; C5470 &amp; "'!" &amp; J5470, J5470), "")</f>
        <v>0</v>
      </c>
    </row>
    <row r="5471" spans="2:2">
      <c r="B5471" s="21">
        <f>IF(AND(C5471&lt;&gt;"", J5471&lt;&gt;""), HYPERLINK("#'" &amp; C5471 &amp; "'!" &amp; J5471, J5471), "")</f>
        <v>0</v>
      </c>
    </row>
    <row r="5472" spans="2:2">
      <c r="B5472" s="21">
        <f>IF(AND(C5472&lt;&gt;"", J5472&lt;&gt;""), HYPERLINK("#'" &amp; C5472 &amp; "'!" &amp; J5472, J5472), "")</f>
        <v>0</v>
      </c>
    </row>
    <row r="5473" spans="2:2">
      <c r="B5473" s="21">
        <f>IF(AND(C5473&lt;&gt;"", J5473&lt;&gt;""), HYPERLINK("#'" &amp; C5473 &amp; "'!" &amp; J5473, J5473), "")</f>
        <v>0</v>
      </c>
    </row>
    <row r="5474" spans="2:2">
      <c r="B5474" s="21">
        <f>IF(AND(C5474&lt;&gt;"", J5474&lt;&gt;""), HYPERLINK("#'" &amp; C5474 &amp; "'!" &amp; J5474, J5474), "")</f>
        <v>0</v>
      </c>
    </row>
    <row r="5475" spans="2:2">
      <c r="B5475" s="21">
        <f>IF(AND(C5475&lt;&gt;"", J5475&lt;&gt;""), HYPERLINK("#'" &amp; C5475 &amp; "'!" &amp; J5475, J5475), "")</f>
        <v>0</v>
      </c>
    </row>
    <row r="5476" spans="2:2">
      <c r="B5476" s="21">
        <f>IF(AND(C5476&lt;&gt;"", J5476&lt;&gt;""), HYPERLINK("#'" &amp; C5476 &amp; "'!" &amp; J5476, J5476), "")</f>
        <v>0</v>
      </c>
    </row>
    <row r="5477" spans="2:2">
      <c r="B5477" s="21">
        <f>IF(AND(C5477&lt;&gt;"", J5477&lt;&gt;""), HYPERLINK("#'" &amp; C5477 &amp; "'!" &amp; J5477, J5477), "")</f>
        <v>0</v>
      </c>
    </row>
    <row r="5478" spans="2:2">
      <c r="B5478" s="21">
        <f>IF(AND(C5478&lt;&gt;"", J5478&lt;&gt;""), HYPERLINK("#'" &amp; C5478 &amp; "'!" &amp; J5478, J5478), "")</f>
        <v>0</v>
      </c>
    </row>
    <row r="5479" spans="2:2">
      <c r="B5479" s="21">
        <f>IF(AND(C5479&lt;&gt;"", J5479&lt;&gt;""), HYPERLINK("#'" &amp; C5479 &amp; "'!" &amp; J5479, J5479), "")</f>
        <v>0</v>
      </c>
    </row>
    <row r="5480" spans="2:2">
      <c r="B5480" s="21">
        <f>IF(AND(C5480&lt;&gt;"", J5480&lt;&gt;""), HYPERLINK("#'" &amp; C5480 &amp; "'!" &amp; J5480, J5480), "")</f>
        <v>0</v>
      </c>
    </row>
    <row r="5481" spans="2:2">
      <c r="B5481" s="21">
        <f>IF(AND(C5481&lt;&gt;"", J5481&lt;&gt;""), HYPERLINK("#'" &amp; C5481 &amp; "'!" &amp; J5481, J5481), "")</f>
        <v>0</v>
      </c>
    </row>
    <row r="5482" spans="2:2">
      <c r="B5482" s="21">
        <f>IF(AND(C5482&lt;&gt;"", J5482&lt;&gt;""), HYPERLINK("#'" &amp; C5482 &amp; "'!" &amp; J5482, J5482), "")</f>
        <v>0</v>
      </c>
    </row>
    <row r="5483" spans="2:2">
      <c r="B5483" s="21">
        <f>IF(AND(C5483&lt;&gt;"", J5483&lt;&gt;""), HYPERLINK("#'" &amp; C5483 &amp; "'!" &amp; J5483, J5483), "")</f>
        <v>0</v>
      </c>
    </row>
    <row r="5484" spans="2:2">
      <c r="B5484" s="21">
        <f>IF(AND(C5484&lt;&gt;"", J5484&lt;&gt;""), HYPERLINK("#'" &amp; C5484 &amp; "'!" &amp; J5484, J5484), "")</f>
        <v>0</v>
      </c>
    </row>
    <row r="5485" spans="2:2">
      <c r="B5485" s="21">
        <f>IF(AND(C5485&lt;&gt;"", J5485&lt;&gt;""), HYPERLINK("#'" &amp; C5485 &amp; "'!" &amp; J5485, J5485), "")</f>
        <v>0</v>
      </c>
    </row>
    <row r="5486" spans="2:2">
      <c r="B5486" s="21">
        <f>IF(AND(C5486&lt;&gt;"", J5486&lt;&gt;""), HYPERLINK("#'" &amp; C5486 &amp; "'!" &amp; J5486, J5486), "")</f>
        <v>0</v>
      </c>
    </row>
    <row r="5487" spans="2:2">
      <c r="B5487" s="21">
        <f>IF(AND(C5487&lt;&gt;"", J5487&lt;&gt;""), HYPERLINK("#'" &amp; C5487 &amp; "'!" &amp; J5487, J5487), "")</f>
        <v>0</v>
      </c>
    </row>
    <row r="5488" spans="2:2">
      <c r="B5488" s="21">
        <f>IF(AND(C5488&lt;&gt;"", J5488&lt;&gt;""), HYPERLINK("#'" &amp; C5488 &amp; "'!" &amp; J5488, J5488), "")</f>
        <v>0</v>
      </c>
    </row>
    <row r="5489" spans="2:2">
      <c r="B5489" s="21">
        <f>IF(AND(C5489&lt;&gt;"", J5489&lt;&gt;""), HYPERLINK("#'" &amp; C5489 &amp; "'!" &amp; J5489, J5489), "")</f>
        <v>0</v>
      </c>
    </row>
    <row r="5490" spans="2:2">
      <c r="B5490" s="21">
        <f>IF(AND(C5490&lt;&gt;"", J5490&lt;&gt;""), HYPERLINK("#'" &amp; C5490 &amp; "'!" &amp; J5490, J5490), "")</f>
        <v>0</v>
      </c>
    </row>
    <row r="5491" spans="2:2">
      <c r="B5491" s="21">
        <f>IF(AND(C5491&lt;&gt;"", J5491&lt;&gt;""), HYPERLINK("#'" &amp; C5491 &amp; "'!" &amp; J5491, J5491), "")</f>
        <v>0</v>
      </c>
    </row>
    <row r="5492" spans="2:2">
      <c r="B5492" s="21">
        <f>IF(AND(C5492&lt;&gt;"", J5492&lt;&gt;""), HYPERLINK("#'" &amp; C5492 &amp; "'!" &amp; J5492, J5492), "")</f>
        <v>0</v>
      </c>
    </row>
    <row r="5493" spans="2:2">
      <c r="B5493" s="21">
        <f>IF(AND(C5493&lt;&gt;"", J5493&lt;&gt;""), HYPERLINK("#'" &amp; C5493 &amp; "'!" &amp; J5493, J5493), "")</f>
        <v>0</v>
      </c>
    </row>
    <row r="5494" spans="2:2">
      <c r="B5494" s="21">
        <f>IF(AND(C5494&lt;&gt;"", J5494&lt;&gt;""), HYPERLINK("#'" &amp; C5494 &amp; "'!" &amp; J5494, J5494), "")</f>
        <v>0</v>
      </c>
    </row>
    <row r="5495" spans="2:2">
      <c r="B5495" s="21">
        <f>IF(AND(C5495&lt;&gt;"", J5495&lt;&gt;""), HYPERLINK("#'" &amp; C5495 &amp; "'!" &amp; J5495, J5495), "")</f>
        <v>0</v>
      </c>
    </row>
    <row r="5496" spans="2:2">
      <c r="B5496" s="21">
        <f>IF(AND(C5496&lt;&gt;"", J5496&lt;&gt;""), HYPERLINK("#'" &amp; C5496 &amp; "'!" &amp; J5496, J5496), "")</f>
        <v>0</v>
      </c>
    </row>
    <row r="5497" spans="2:2">
      <c r="B5497" s="21">
        <f>IF(AND(C5497&lt;&gt;"", J5497&lt;&gt;""), HYPERLINK("#'" &amp; C5497 &amp; "'!" &amp; J5497, J5497), "")</f>
        <v>0</v>
      </c>
    </row>
    <row r="5498" spans="2:2">
      <c r="B5498" s="21">
        <f>IF(AND(C5498&lt;&gt;"", J5498&lt;&gt;""), HYPERLINK("#'" &amp; C5498 &amp; "'!" &amp; J5498, J5498), "")</f>
        <v>0</v>
      </c>
    </row>
    <row r="5499" spans="2:2">
      <c r="B5499" s="21">
        <f>IF(AND(C5499&lt;&gt;"", J5499&lt;&gt;""), HYPERLINK("#'" &amp; C5499 &amp; "'!" &amp; J5499, J5499), "")</f>
        <v>0</v>
      </c>
    </row>
    <row r="5500" spans="2:2">
      <c r="B5500" s="21">
        <f>IF(AND(C5500&lt;&gt;"", J5500&lt;&gt;""), HYPERLINK("#'" &amp; C5500 &amp; "'!" &amp; J5500, J5500), "")</f>
        <v>0</v>
      </c>
    </row>
    <row r="5501" spans="2:2">
      <c r="B5501" s="21">
        <f>IF(AND(C5501&lt;&gt;"", J5501&lt;&gt;""), HYPERLINK("#'" &amp; C5501 &amp; "'!" &amp; J5501, J5501), "")</f>
        <v>0</v>
      </c>
    </row>
    <row r="5502" spans="2:2">
      <c r="B5502" s="21">
        <f>IF(AND(C5502&lt;&gt;"", J5502&lt;&gt;""), HYPERLINK("#'" &amp; C5502 &amp; "'!" &amp; J5502, J5502), "")</f>
        <v>0</v>
      </c>
    </row>
    <row r="5503" spans="2:2">
      <c r="B5503" s="21">
        <f>IF(AND(C5503&lt;&gt;"", J5503&lt;&gt;""), HYPERLINK("#'" &amp; C5503 &amp; "'!" &amp; J5503, J5503), "")</f>
        <v>0</v>
      </c>
    </row>
    <row r="5504" spans="2:2">
      <c r="B5504" s="21">
        <f>IF(AND(C5504&lt;&gt;"", J5504&lt;&gt;""), HYPERLINK("#'" &amp; C5504 &amp; "'!" &amp; J5504, J5504), "")</f>
        <v>0</v>
      </c>
    </row>
    <row r="5505" spans="2:2">
      <c r="B5505" s="21">
        <f>IF(AND(C5505&lt;&gt;"", J5505&lt;&gt;""), HYPERLINK("#'" &amp; C5505 &amp; "'!" &amp; J5505, J5505), "")</f>
        <v>0</v>
      </c>
    </row>
    <row r="5506" spans="2:2">
      <c r="B5506" s="21">
        <f>IF(AND(C5506&lt;&gt;"", J5506&lt;&gt;""), HYPERLINK("#'" &amp; C5506 &amp; "'!" &amp; J5506, J5506), "")</f>
        <v>0</v>
      </c>
    </row>
    <row r="5507" spans="2:2">
      <c r="B5507" s="21">
        <f>IF(AND(C5507&lt;&gt;"", J5507&lt;&gt;""), HYPERLINK("#'" &amp; C5507 &amp; "'!" &amp; J5507, J5507), "")</f>
        <v>0</v>
      </c>
    </row>
    <row r="5508" spans="2:2">
      <c r="B5508" s="21">
        <f>IF(AND(C5508&lt;&gt;"", J5508&lt;&gt;""), HYPERLINK("#'" &amp; C5508 &amp; "'!" &amp; J5508, J5508), "")</f>
        <v>0</v>
      </c>
    </row>
    <row r="5509" spans="2:2">
      <c r="B5509" s="21">
        <f>IF(AND(C5509&lt;&gt;"", J5509&lt;&gt;""), HYPERLINK("#'" &amp; C5509 &amp; "'!" &amp; J5509, J5509), "")</f>
        <v>0</v>
      </c>
    </row>
    <row r="5510" spans="2:2">
      <c r="B5510" s="21">
        <f>IF(AND(C5510&lt;&gt;"", J5510&lt;&gt;""), HYPERLINK("#'" &amp; C5510 &amp; "'!" &amp; J5510, J5510), "")</f>
        <v>0</v>
      </c>
    </row>
    <row r="5511" spans="2:2">
      <c r="B5511" s="21">
        <f>IF(AND(C5511&lt;&gt;"", J5511&lt;&gt;""), HYPERLINK("#'" &amp; C5511 &amp; "'!" &amp; J5511, J5511), "")</f>
        <v>0</v>
      </c>
    </row>
    <row r="5512" spans="2:2">
      <c r="B5512" s="21">
        <f>IF(AND(C5512&lt;&gt;"", J5512&lt;&gt;""), HYPERLINK("#'" &amp; C5512 &amp; "'!" &amp; J5512, J5512), "")</f>
        <v>0</v>
      </c>
    </row>
    <row r="5513" spans="2:2">
      <c r="B5513" s="21">
        <f>IF(AND(C5513&lt;&gt;"", J5513&lt;&gt;""), HYPERLINK("#'" &amp; C5513 &amp; "'!" &amp; J5513, J5513), "")</f>
        <v>0</v>
      </c>
    </row>
    <row r="5514" spans="2:2">
      <c r="B5514" s="21">
        <f>IF(AND(C5514&lt;&gt;"", J5514&lt;&gt;""), HYPERLINK("#'" &amp; C5514 &amp; "'!" &amp; J5514, J5514), "")</f>
        <v>0</v>
      </c>
    </row>
    <row r="5515" spans="2:2">
      <c r="B5515" s="21">
        <f>IF(AND(C5515&lt;&gt;"", J5515&lt;&gt;""), HYPERLINK("#'" &amp; C5515 &amp; "'!" &amp; J5515, J5515), "")</f>
        <v>0</v>
      </c>
    </row>
    <row r="5516" spans="2:2">
      <c r="B5516" s="21">
        <f>IF(AND(C5516&lt;&gt;"", J5516&lt;&gt;""), HYPERLINK("#'" &amp; C5516 &amp; "'!" &amp; J5516, J5516), "")</f>
        <v>0</v>
      </c>
    </row>
    <row r="5517" spans="2:2">
      <c r="B5517" s="21">
        <f>IF(AND(C5517&lt;&gt;"", J5517&lt;&gt;""), HYPERLINK("#'" &amp; C5517 &amp; "'!" &amp; J5517, J5517), "")</f>
        <v>0</v>
      </c>
    </row>
    <row r="5518" spans="2:2">
      <c r="B5518" s="21">
        <f>IF(AND(C5518&lt;&gt;"", J5518&lt;&gt;""), HYPERLINK("#'" &amp; C5518 &amp; "'!" &amp; J5518, J5518), "")</f>
        <v>0</v>
      </c>
    </row>
    <row r="5519" spans="2:2">
      <c r="B5519" s="21">
        <f>IF(AND(C5519&lt;&gt;"", J5519&lt;&gt;""), HYPERLINK("#'" &amp; C5519 &amp; "'!" &amp; J5519, J5519), "")</f>
        <v>0</v>
      </c>
    </row>
    <row r="5520" spans="2:2">
      <c r="B5520" s="21">
        <f>IF(AND(C5520&lt;&gt;"", J5520&lt;&gt;""), HYPERLINK("#'" &amp; C5520 &amp; "'!" &amp; J5520, J5520), "")</f>
        <v>0</v>
      </c>
    </row>
    <row r="5521" spans="2:2">
      <c r="B5521" s="21">
        <f>IF(AND(C5521&lt;&gt;"", J5521&lt;&gt;""), HYPERLINK("#'" &amp; C5521 &amp; "'!" &amp; J5521, J5521), "")</f>
        <v>0</v>
      </c>
    </row>
    <row r="5522" spans="2:2">
      <c r="B5522" s="21">
        <f>IF(AND(C5522&lt;&gt;"", J5522&lt;&gt;""), HYPERLINK("#'" &amp; C5522 &amp; "'!" &amp; J5522, J5522), "")</f>
        <v>0</v>
      </c>
    </row>
    <row r="5523" spans="2:2">
      <c r="B5523" s="21">
        <f>IF(AND(C5523&lt;&gt;"", J5523&lt;&gt;""), HYPERLINK("#'" &amp; C5523 &amp; "'!" &amp; J5523, J5523), "")</f>
        <v>0</v>
      </c>
    </row>
    <row r="5524" spans="2:2">
      <c r="B5524" s="21">
        <f>IF(AND(C5524&lt;&gt;"", J5524&lt;&gt;""), HYPERLINK("#'" &amp; C5524 &amp; "'!" &amp; J5524, J5524), "")</f>
        <v>0</v>
      </c>
    </row>
    <row r="5525" spans="2:2">
      <c r="B5525" s="21">
        <f>IF(AND(C5525&lt;&gt;"", J5525&lt;&gt;""), HYPERLINK("#'" &amp; C5525 &amp; "'!" &amp; J5525, J5525), "")</f>
        <v>0</v>
      </c>
    </row>
    <row r="5526" spans="2:2">
      <c r="B5526" s="21">
        <f>IF(AND(C5526&lt;&gt;"", J5526&lt;&gt;""), HYPERLINK("#'" &amp; C5526 &amp; "'!" &amp; J5526, J5526), "")</f>
        <v>0</v>
      </c>
    </row>
    <row r="5527" spans="2:2">
      <c r="B5527" s="21">
        <f>IF(AND(C5527&lt;&gt;"", J5527&lt;&gt;""), HYPERLINK("#'" &amp; C5527 &amp; "'!" &amp; J5527, J5527), "")</f>
        <v>0</v>
      </c>
    </row>
    <row r="5528" spans="2:2">
      <c r="B5528" s="21">
        <f>IF(AND(C5528&lt;&gt;"", J5528&lt;&gt;""), HYPERLINK("#'" &amp; C5528 &amp; "'!" &amp; J5528, J5528), "")</f>
        <v>0</v>
      </c>
    </row>
    <row r="5529" spans="2:2">
      <c r="B5529" s="21">
        <f>IF(AND(C5529&lt;&gt;"", J5529&lt;&gt;""), HYPERLINK("#'" &amp; C5529 &amp; "'!" &amp; J5529, J5529), "")</f>
        <v>0</v>
      </c>
    </row>
    <row r="5530" spans="2:2">
      <c r="B5530" s="21">
        <f>IF(AND(C5530&lt;&gt;"", J5530&lt;&gt;""), HYPERLINK("#'" &amp; C5530 &amp; "'!" &amp; J5530, J5530), "")</f>
        <v>0</v>
      </c>
    </row>
    <row r="5531" spans="2:2">
      <c r="B5531" s="21">
        <f>IF(AND(C5531&lt;&gt;"", J5531&lt;&gt;""), HYPERLINK("#'" &amp; C5531 &amp; "'!" &amp; J5531, J5531), "")</f>
        <v>0</v>
      </c>
    </row>
    <row r="5532" spans="2:2">
      <c r="B5532" s="21">
        <f>IF(AND(C5532&lt;&gt;"", J5532&lt;&gt;""), HYPERLINK("#'" &amp; C5532 &amp; "'!" &amp; J5532, J5532), "")</f>
        <v>0</v>
      </c>
    </row>
    <row r="5533" spans="2:2">
      <c r="B5533" s="21">
        <f>IF(AND(C5533&lt;&gt;"", J5533&lt;&gt;""), HYPERLINK("#'" &amp; C5533 &amp; "'!" &amp; J5533, J5533), "")</f>
        <v>0</v>
      </c>
    </row>
    <row r="5534" spans="2:2">
      <c r="B5534" s="21">
        <f>IF(AND(C5534&lt;&gt;"", J5534&lt;&gt;""), HYPERLINK("#'" &amp; C5534 &amp; "'!" &amp; J5534, J5534), "")</f>
        <v>0</v>
      </c>
    </row>
    <row r="5535" spans="2:2">
      <c r="B5535" s="21">
        <f>IF(AND(C5535&lt;&gt;"", J5535&lt;&gt;""), HYPERLINK("#'" &amp; C5535 &amp; "'!" &amp; J5535, J5535), "")</f>
        <v>0</v>
      </c>
    </row>
    <row r="5536" spans="2:2">
      <c r="B5536" s="21">
        <f>IF(AND(C5536&lt;&gt;"", J5536&lt;&gt;""), HYPERLINK("#'" &amp; C5536 &amp; "'!" &amp; J5536, J5536), "")</f>
        <v>0</v>
      </c>
    </row>
    <row r="5537" spans="2:2">
      <c r="B5537" s="21">
        <f>IF(AND(C5537&lt;&gt;"", J5537&lt;&gt;""), HYPERLINK("#'" &amp; C5537 &amp; "'!" &amp; J5537, J5537), "")</f>
        <v>0</v>
      </c>
    </row>
    <row r="5538" spans="2:2">
      <c r="B5538" s="21">
        <f>IF(AND(C5538&lt;&gt;"", J5538&lt;&gt;""), HYPERLINK("#'" &amp; C5538 &amp; "'!" &amp; J5538, J5538), "")</f>
        <v>0</v>
      </c>
    </row>
    <row r="5539" spans="2:2">
      <c r="B5539" s="21">
        <f>IF(AND(C5539&lt;&gt;"", J5539&lt;&gt;""), HYPERLINK("#'" &amp; C5539 &amp; "'!" &amp; J5539, J5539), "")</f>
        <v>0</v>
      </c>
    </row>
    <row r="5540" spans="2:2">
      <c r="B5540" s="21">
        <f>IF(AND(C5540&lt;&gt;"", J5540&lt;&gt;""), HYPERLINK("#'" &amp; C5540 &amp; "'!" &amp; J5540, J5540), "")</f>
        <v>0</v>
      </c>
    </row>
    <row r="5541" spans="2:2">
      <c r="B5541" s="21">
        <f>IF(AND(C5541&lt;&gt;"", J5541&lt;&gt;""), HYPERLINK("#'" &amp; C5541 &amp; "'!" &amp; J5541, J5541), "")</f>
        <v>0</v>
      </c>
    </row>
    <row r="5542" spans="2:2">
      <c r="B5542" s="21">
        <f>IF(AND(C5542&lt;&gt;"", J5542&lt;&gt;""), HYPERLINK("#'" &amp; C5542 &amp; "'!" &amp; J5542, J5542), "")</f>
        <v>0</v>
      </c>
    </row>
    <row r="5543" spans="2:2">
      <c r="B5543" s="21">
        <f>IF(AND(C5543&lt;&gt;"", J5543&lt;&gt;""), HYPERLINK("#'" &amp; C5543 &amp; "'!" &amp; J5543, J5543), "")</f>
        <v>0</v>
      </c>
    </row>
    <row r="5544" spans="2:2">
      <c r="B5544" s="21">
        <f>IF(AND(C5544&lt;&gt;"", J5544&lt;&gt;""), HYPERLINK("#'" &amp; C5544 &amp; "'!" &amp; J5544, J5544), "")</f>
        <v>0</v>
      </c>
    </row>
    <row r="5545" spans="2:2">
      <c r="B5545" s="21">
        <f>IF(AND(C5545&lt;&gt;"", J5545&lt;&gt;""), HYPERLINK("#'" &amp; C5545 &amp; "'!" &amp; J5545, J5545), "")</f>
        <v>0</v>
      </c>
    </row>
    <row r="5546" spans="2:2">
      <c r="B5546" s="21">
        <f>IF(AND(C5546&lt;&gt;"", J5546&lt;&gt;""), HYPERLINK("#'" &amp; C5546 &amp; "'!" &amp; J5546, J5546), "")</f>
        <v>0</v>
      </c>
    </row>
    <row r="5547" spans="2:2">
      <c r="B5547" s="21">
        <f>IF(AND(C5547&lt;&gt;"", J5547&lt;&gt;""), HYPERLINK("#'" &amp; C5547 &amp; "'!" &amp; J5547, J5547), "")</f>
        <v>0</v>
      </c>
    </row>
    <row r="5548" spans="2:2">
      <c r="B5548" s="21">
        <f>IF(AND(C5548&lt;&gt;"", J5548&lt;&gt;""), HYPERLINK("#'" &amp; C5548 &amp; "'!" &amp; J5548, J5548), "")</f>
        <v>0</v>
      </c>
    </row>
    <row r="5549" spans="2:2">
      <c r="B5549" s="21">
        <f>IF(AND(C5549&lt;&gt;"", J5549&lt;&gt;""), HYPERLINK("#'" &amp; C5549 &amp; "'!" &amp; J5549, J5549), "")</f>
        <v>0</v>
      </c>
    </row>
    <row r="5550" spans="2:2">
      <c r="B5550" s="21">
        <f>IF(AND(C5550&lt;&gt;"", J5550&lt;&gt;""), HYPERLINK("#'" &amp; C5550 &amp; "'!" &amp; J5550, J5550), "")</f>
        <v>0</v>
      </c>
    </row>
    <row r="5551" spans="2:2">
      <c r="B5551" s="21">
        <f>IF(AND(C5551&lt;&gt;"", J5551&lt;&gt;""), HYPERLINK("#'" &amp; C5551 &amp; "'!" &amp; J5551, J5551), "")</f>
        <v>0</v>
      </c>
    </row>
    <row r="5552" spans="2:2">
      <c r="B5552" s="21">
        <f>IF(AND(C5552&lt;&gt;"", J5552&lt;&gt;""), HYPERLINK("#'" &amp; C5552 &amp; "'!" &amp; J5552, J5552), "")</f>
        <v>0</v>
      </c>
    </row>
    <row r="5553" spans="2:2">
      <c r="B5553" s="21">
        <f>IF(AND(C5553&lt;&gt;"", J5553&lt;&gt;""), HYPERLINK("#'" &amp; C5553 &amp; "'!" &amp; J5553, J5553), "")</f>
        <v>0</v>
      </c>
    </row>
    <row r="5554" spans="2:2">
      <c r="B5554" s="21">
        <f>IF(AND(C5554&lt;&gt;"", J5554&lt;&gt;""), HYPERLINK("#'" &amp; C5554 &amp; "'!" &amp; J5554, J5554), "")</f>
        <v>0</v>
      </c>
    </row>
    <row r="5555" spans="2:2">
      <c r="B5555" s="21">
        <f>IF(AND(C5555&lt;&gt;"", J5555&lt;&gt;""), HYPERLINK("#'" &amp; C5555 &amp; "'!" &amp; J5555, J5555), "")</f>
        <v>0</v>
      </c>
    </row>
    <row r="5556" spans="2:2">
      <c r="B5556" s="21">
        <f>IF(AND(C5556&lt;&gt;"", J5556&lt;&gt;""), HYPERLINK("#'" &amp; C5556 &amp; "'!" &amp; J5556, J5556), "")</f>
        <v>0</v>
      </c>
    </row>
    <row r="5557" spans="2:2">
      <c r="B5557" s="21">
        <f>IF(AND(C5557&lt;&gt;"", J5557&lt;&gt;""), HYPERLINK("#'" &amp; C5557 &amp; "'!" &amp; J5557, J5557), "")</f>
        <v>0</v>
      </c>
    </row>
    <row r="5558" spans="2:2">
      <c r="B5558" s="21">
        <f>IF(AND(C5558&lt;&gt;"", J5558&lt;&gt;""), HYPERLINK("#'" &amp; C5558 &amp; "'!" &amp; J5558, J5558), "")</f>
        <v>0</v>
      </c>
    </row>
    <row r="5559" spans="2:2">
      <c r="B5559" s="21">
        <f>IF(AND(C5559&lt;&gt;"", J5559&lt;&gt;""), HYPERLINK("#'" &amp; C5559 &amp; "'!" &amp; J5559, J5559), "")</f>
        <v>0</v>
      </c>
    </row>
    <row r="5560" spans="2:2">
      <c r="B5560" s="21">
        <f>IF(AND(C5560&lt;&gt;"", J5560&lt;&gt;""), HYPERLINK("#'" &amp; C5560 &amp; "'!" &amp; J5560, J5560), "")</f>
        <v>0</v>
      </c>
    </row>
    <row r="5561" spans="2:2">
      <c r="B5561" s="21">
        <f>IF(AND(C5561&lt;&gt;"", J5561&lt;&gt;""), HYPERLINK("#'" &amp; C5561 &amp; "'!" &amp; J5561, J5561), "")</f>
        <v>0</v>
      </c>
    </row>
    <row r="5562" spans="2:2">
      <c r="B5562" s="21">
        <f>IF(AND(C5562&lt;&gt;"", J5562&lt;&gt;""), HYPERLINK("#'" &amp; C5562 &amp; "'!" &amp; J5562, J5562), "")</f>
        <v>0</v>
      </c>
    </row>
    <row r="5563" spans="2:2">
      <c r="B5563" s="21">
        <f>IF(AND(C5563&lt;&gt;"", J5563&lt;&gt;""), HYPERLINK("#'" &amp; C5563 &amp; "'!" &amp; J5563, J5563), "")</f>
        <v>0</v>
      </c>
    </row>
    <row r="5564" spans="2:2">
      <c r="B5564" s="21">
        <f>IF(AND(C5564&lt;&gt;"", J5564&lt;&gt;""), HYPERLINK("#'" &amp; C5564 &amp; "'!" &amp; J5564, J5564), "")</f>
        <v>0</v>
      </c>
    </row>
    <row r="5565" spans="2:2">
      <c r="B5565" s="21">
        <f>IF(AND(C5565&lt;&gt;"", J5565&lt;&gt;""), HYPERLINK("#'" &amp; C5565 &amp; "'!" &amp; J5565, J5565), "")</f>
        <v>0</v>
      </c>
    </row>
    <row r="5566" spans="2:2">
      <c r="B5566" s="21">
        <f>IF(AND(C5566&lt;&gt;"", J5566&lt;&gt;""), HYPERLINK("#'" &amp; C5566 &amp; "'!" &amp; J5566, J5566), "")</f>
        <v>0</v>
      </c>
    </row>
    <row r="5567" spans="2:2">
      <c r="B5567" s="21">
        <f>IF(AND(C5567&lt;&gt;"", J5567&lt;&gt;""), HYPERLINK("#'" &amp; C5567 &amp; "'!" &amp; J5567, J5567), "")</f>
        <v>0</v>
      </c>
    </row>
    <row r="5568" spans="2:2">
      <c r="B5568" s="21">
        <f>IF(AND(C5568&lt;&gt;"", J5568&lt;&gt;""), HYPERLINK("#'" &amp; C5568 &amp; "'!" &amp; J5568, J5568), "")</f>
        <v>0</v>
      </c>
    </row>
    <row r="5569" spans="2:2">
      <c r="B5569" s="21">
        <f>IF(AND(C5569&lt;&gt;"", J5569&lt;&gt;""), HYPERLINK("#'" &amp; C5569 &amp; "'!" &amp; J5569, J5569), "")</f>
        <v>0</v>
      </c>
    </row>
    <row r="5570" spans="2:2">
      <c r="B5570" s="21">
        <f>IF(AND(C5570&lt;&gt;"", J5570&lt;&gt;""), HYPERLINK("#'" &amp; C5570 &amp; "'!" &amp; J5570, J5570), "")</f>
        <v>0</v>
      </c>
    </row>
    <row r="5571" spans="2:2">
      <c r="B5571" s="21">
        <f>IF(AND(C5571&lt;&gt;"", J5571&lt;&gt;""), HYPERLINK("#'" &amp; C5571 &amp; "'!" &amp; J5571, J5571), "")</f>
        <v>0</v>
      </c>
    </row>
    <row r="5572" spans="2:2">
      <c r="B5572" s="21">
        <f>IF(AND(C5572&lt;&gt;"", J5572&lt;&gt;""), HYPERLINK("#'" &amp; C5572 &amp; "'!" &amp; J5572, J5572), "")</f>
        <v>0</v>
      </c>
    </row>
    <row r="5573" spans="2:2">
      <c r="B5573" s="21">
        <f>IF(AND(C5573&lt;&gt;"", J5573&lt;&gt;""), HYPERLINK("#'" &amp; C5573 &amp; "'!" &amp; J5573, J5573), "")</f>
        <v>0</v>
      </c>
    </row>
    <row r="5574" spans="2:2">
      <c r="B5574" s="21">
        <f>IF(AND(C5574&lt;&gt;"", J5574&lt;&gt;""), HYPERLINK("#'" &amp; C5574 &amp; "'!" &amp; J5574, J5574), "")</f>
        <v>0</v>
      </c>
    </row>
    <row r="5575" spans="2:2">
      <c r="B5575" s="21">
        <f>IF(AND(C5575&lt;&gt;"", J5575&lt;&gt;""), HYPERLINK("#'" &amp; C5575 &amp; "'!" &amp; J5575, J5575), "")</f>
        <v>0</v>
      </c>
    </row>
    <row r="5576" spans="2:2">
      <c r="B5576" s="21">
        <f>IF(AND(C5576&lt;&gt;"", J5576&lt;&gt;""), HYPERLINK("#'" &amp; C5576 &amp; "'!" &amp; J5576, J5576), "")</f>
        <v>0</v>
      </c>
    </row>
    <row r="5577" spans="2:2">
      <c r="B5577" s="21">
        <f>IF(AND(C5577&lt;&gt;"", J5577&lt;&gt;""), HYPERLINK("#'" &amp; C5577 &amp; "'!" &amp; J5577, J5577), "")</f>
        <v>0</v>
      </c>
    </row>
    <row r="5578" spans="2:2">
      <c r="B5578" s="21">
        <f>IF(AND(C5578&lt;&gt;"", J5578&lt;&gt;""), HYPERLINK("#'" &amp; C5578 &amp; "'!" &amp; J5578, J5578), "")</f>
        <v>0</v>
      </c>
    </row>
    <row r="5579" spans="2:2">
      <c r="B5579" s="21">
        <f>IF(AND(C5579&lt;&gt;"", J5579&lt;&gt;""), HYPERLINK("#'" &amp; C5579 &amp; "'!" &amp; J5579, J5579), "")</f>
        <v>0</v>
      </c>
    </row>
    <row r="5580" spans="2:2">
      <c r="B5580" s="21">
        <f>IF(AND(C5580&lt;&gt;"", J5580&lt;&gt;""), HYPERLINK("#'" &amp; C5580 &amp; "'!" &amp; J5580, J5580), "")</f>
        <v>0</v>
      </c>
    </row>
    <row r="5581" spans="2:2">
      <c r="B5581" s="21">
        <f>IF(AND(C5581&lt;&gt;"", J5581&lt;&gt;""), HYPERLINK("#'" &amp; C5581 &amp; "'!" &amp; J5581, J5581), "")</f>
        <v>0</v>
      </c>
    </row>
    <row r="5582" spans="2:2">
      <c r="B5582" s="21">
        <f>IF(AND(C5582&lt;&gt;"", J5582&lt;&gt;""), HYPERLINK("#'" &amp; C5582 &amp; "'!" &amp; J5582, J5582), "")</f>
        <v>0</v>
      </c>
    </row>
    <row r="5583" spans="2:2">
      <c r="B5583" s="21">
        <f>IF(AND(C5583&lt;&gt;"", J5583&lt;&gt;""), HYPERLINK("#'" &amp; C5583 &amp; "'!" &amp; J5583, J5583), "")</f>
        <v>0</v>
      </c>
    </row>
    <row r="5584" spans="2:2">
      <c r="B5584" s="21">
        <f>IF(AND(C5584&lt;&gt;"", J5584&lt;&gt;""), HYPERLINK("#'" &amp; C5584 &amp; "'!" &amp; J5584, J5584), "")</f>
        <v>0</v>
      </c>
    </row>
    <row r="5585" spans="2:2">
      <c r="B5585" s="21">
        <f>IF(AND(C5585&lt;&gt;"", J5585&lt;&gt;""), HYPERLINK("#'" &amp; C5585 &amp; "'!" &amp; J5585, J5585), "")</f>
        <v>0</v>
      </c>
    </row>
    <row r="5586" spans="2:2">
      <c r="B5586" s="21">
        <f>IF(AND(C5586&lt;&gt;"", J5586&lt;&gt;""), HYPERLINK("#'" &amp; C5586 &amp; "'!" &amp; J5586, J5586), "")</f>
        <v>0</v>
      </c>
    </row>
    <row r="5587" spans="2:2">
      <c r="B5587" s="21">
        <f>IF(AND(C5587&lt;&gt;"", J5587&lt;&gt;""), HYPERLINK("#'" &amp; C5587 &amp; "'!" &amp; J5587, J5587), "")</f>
        <v>0</v>
      </c>
    </row>
    <row r="5588" spans="2:2">
      <c r="B5588" s="21">
        <f>IF(AND(C5588&lt;&gt;"", J5588&lt;&gt;""), HYPERLINK("#'" &amp; C5588 &amp; "'!" &amp; J5588, J5588), "")</f>
        <v>0</v>
      </c>
    </row>
    <row r="5589" spans="2:2">
      <c r="B5589" s="21">
        <f>IF(AND(C5589&lt;&gt;"", J5589&lt;&gt;""), HYPERLINK("#'" &amp; C5589 &amp; "'!" &amp; J5589, J5589), "")</f>
        <v>0</v>
      </c>
    </row>
    <row r="5590" spans="2:2">
      <c r="B5590" s="21">
        <f>IF(AND(C5590&lt;&gt;"", J5590&lt;&gt;""), HYPERLINK("#'" &amp; C5590 &amp; "'!" &amp; J5590, J5590), "")</f>
        <v>0</v>
      </c>
    </row>
    <row r="5591" spans="2:2">
      <c r="B5591" s="21">
        <f>IF(AND(C5591&lt;&gt;"", J5591&lt;&gt;""), HYPERLINK("#'" &amp; C5591 &amp; "'!" &amp; J5591, J5591), "")</f>
        <v>0</v>
      </c>
    </row>
    <row r="5592" spans="2:2">
      <c r="B5592" s="21">
        <f>IF(AND(C5592&lt;&gt;"", J5592&lt;&gt;""), HYPERLINK("#'" &amp; C5592 &amp; "'!" &amp; J5592, J5592), "")</f>
        <v>0</v>
      </c>
    </row>
    <row r="5593" spans="2:2">
      <c r="B5593" s="21">
        <f>IF(AND(C5593&lt;&gt;"", J5593&lt;&gt;""), HYPERLINK("#'" &amp; C5593 &amp; "'!" &amp; J5593, J5593), "")</f>
        <v>0</v>
      </c>
    </row>
    <row r="5594" spans="2:2">
      <c r="B5594" s="21">
        <f>IF(AND(C5594&lt;&gt;"", J5594&lt;&gt;""), HYPERLINK("#'" &amp; C5594 &amp; "'!" &amp; J5594, J5594), "")</f>
        <v>0</v>
      </c>
    </row>
    <row r="5595" spans="2:2">
      <c r="B5595" s="21">
        <f>IF(AND(C5595&lt;&gt;"", J5595&lt;&gt;""), HYPERLINK("#'" &amp; C5595 &amp; "'!" &amp; J5595, J5595), "")</f>
        <v>0</v>
      </c>
    </row>
    <row r="5596" spans="2:2">
      <c r="B5596" s="21">
        <f>IF(AND(C5596&lt;&gt;"", J5596&lt;&gt;""), HYPERLINK("#'" &amp; C5596 &amp; "'!" &amp; J5596, J5596), "")</f>
        <v>0</v>
      </c>
    </row>
    <row r="5597" spans="2:2">
      <c r="B5597" s="21">
        <f>IF(AND(C5597&lt;&gt;"", J5597&lt;&gt;""), HYPERLINK("#'" &amp; C5597 &amp; "'!" &amp; J5597, J5597), "")</f>
        <v>0</v>
      </c>
    </row>
    <row r="5598" spans="2:2">
      <c r="B5598" s="21">
        <f>IF(AND(C5598&lt;&gt;"", J5598&lt;&gt;""), HYPERLINK("#'" &amp; C5598 &amp; "'!" &amp; J5598, J5598), "")</f>
        <v>0</v>
      </c>
    </row>
    <row r="5599" spans="2:2">
      <c r="B5599" s="21">
        <f>IF(AND(C5599&lt;&gt;"", J5599&lt;&gt;""), HYPERLINK("#'" &amp; C5599 &amp; "'!" &amp; J5599, J5599), "")</f>
        <v>0</v>
      </c>
    </row>
    <row r="5600" spans="2:2">
      <c r="B5600" s="21">
        <f>IF(AND(C5600&lt;&gt;"", J5600&lt;&gt;""), HYPERLINK("#'" &amp; C5600 &amp; "'!" &amp; J5600, J5600), "")</f>
        <v>0</v>
      </c>
    </row>
    <row r="5601" spans="2:2">
      <c r="B5601" s="21">
        <f>IF(AND(C5601&lt;&gt;"", J5601&lt;&gt;""), HYPERLINK("#'" &amp; C5601 &amp; "'!" &amp; J5601, J5601), "")</f>
        <v>0</v>
      </c>
    </row>
    <row r="5602" spans="2:2">
      <c r="B5602" s="21">
        <f>IF(AND(C5602&lt;&gt;"", J5602&lt;&gt;""), HYPERLINK("#'" &amp; C5602 &amp; "'!" &amp; J5602, J5602), "")</f>
        <v>0</v>
      </c>
    </row>
    <row r="5603" spans="2:2">
      <c r="B5603" s="21">
        <f>IF(AND(C5603&lt;&gt;"", J5603&lt;&gt;""), HYPERLINK("#'" &amp; C5603 &amp; "'!" &amp; J5603, J5603), "")</f>
        <v>0</v>
      </c>
    </row>
    <row r="5604" spans="2:2">
      <c r="B5604" s="21">
        <f>IF(AND(C5604&lt;&gt;"", J5604&lt;&gt;""), HYPERLINK("#'" &amp; C5604 &amp; "'!" &amp; J5604, J5604), "")</f>
        <v>0</v>
      </c>
    </row>
    <row r="5605" spans="2:2">
      <c r="B5605" s="21">
        <f>IF(AND(C5605&lt;&gt;"", J5605&lt;&gt;""), HYPERLINK("#'" &amp; C5605 &amp; "'!" &amp; J5605, J5605), "")</f>
        <v>0</v>
      </c>
    </row>
    <row r="5606" spans="2:2">
      <c r="B5606" s="21">
        <f>IF(AND(C5606&lt;&gt;"", J5606&lt;&gt;""), HYPERLINK("#'" &amp; C5606 &amp; "'!" &amp; J5606, J5606), "")</f>
        <v>0</v>
      </c>
    </row>
    <row r="5607" spans="2:2">
      <c r="B5607" s="21">
        <f>IF(AND(C5607&lt;&gt;"", J5607&lt;&gt;""), HYPERLINK("#'" &amp; C5607 &amp; "'!" &amp; J5607, J5607), "")</f>
        <v>0</v>
      </c>
    </row>
    <row r="5608" spans="2:2">
      <c r="B5608" s="21">
        <f>IF(AND(C5608&lt;&gt;"", J5608&lt;&gt;""), HYPERLINK("#'" &amp; C5608 &amp; "'!" &amp; J5608, J5608), "")</f>
        <v>0</v>
      </c>
    </row>
    <row r="5609" spans="2:2">
      <c r="B5609" s="21">
        <f>IF(AND(C5609&lt;&gt;"", J5609&lt;&gt;""), HYPERLINK("#'" &amp; C5609 &amp; "'!" &amp; J5609, J5609), "")</f>
        <v>0</v>
      </c>
    </row>
    <row r="5610" spans="2:2">
      <c r="B5610" s="21">
        <f>IF(AND(C5610&lt;&gt;"", J5610&lt;&gt;""), HYPERLINK("#'" &amp; C5610 &amp; "'!" &amp; J5610, J5610), "")</f>
        <v>0</v>
      </c>
    </row>
    <row r="5611" spans="2:2">
      <c r="B5611" s="21">
        <f>IF(AND(C5611&lt;&gt;"", J5611&lt;&gt;""), HYPERLINK("#'" &amp; C5611 &amp; "'!" &amp; J5611, J5611), "")</f>
        <v>0</v>
      </c>
    </row>
    <row r="5612" spans="2:2">
      <c r="B5612" s="21">
        <f>IF(AND(C5612&lt;&gt;"", J5612&lt;&gt;""), HYPERLINK("#'" &amp; C5612 &amp; "'!" &amp; J5612, J5612), "")</f>
        <v>0</v>
      </c>
    </row>
    <row r="5613" spans="2:2">
      <c r="B5613" s="21">
        <f>IF(AND(C5613&lt;&gt;"", J5613&lt;&gt;""), HYPERLINK("#'" &amp; C5613 &amp; "'!" &amp; J5613, J5613), "")</f>
        <v>0</v>
      </c>
    </row>
    <row r="5614" spans="2:2">
      <c r="B5614" s="21">
        <f>IF(AND(C5614&lt;&gt;"", J5614&lt;&gt;""), HYPERLINK("#'" &amp; C5614 &amp; "'!" &amp; J5614, J5614), "")</f>
        <v>0</v>
      </c>
    </row>
    <row r="5615" spans="2:2">
      <c r="B5615" s="21">
        <f>IF(AND(C5615&lt;&gt;"", J5615&lt;&gt;""), HYPERLINK("#'" &amp; C5615 &amp; "'!" &amp; J5615, J5615), "")</f>
        <v>0</v>
      </c>
    </row>
    <row r="5616" spans="2:2">
      <c r="B5616" s="21">
        <f>IF(AND(C5616&lt;&gt;"", J5616&lt;&gt;""), HYPERLINK("#'" &amp; C5616 &amp; "'!" &amp; J5616, J5616), "")</f>
        <v>0</v>
      </c>
    </row>
    <row r="5617" spans="2:2">
      <c r="B5617" s="21">
        <f>IF(AND(C5617&lt;&gt;"", J5617&lt;&gt;""), HYPERLINK("#'" &amp; C5617 &amp; "'!" &amp; J5617, J5617), "")</f>
        <v>0</v>
      </c>
    </row>
    <row r="5618" spans="2:2">
      <c r="B5618" s="21">
        <f>IF(AND(C5618&lt;&gt;"", J5618&lt;&gt;""), HYPERLINK("#'" &amp; C5618 &amp; "'!" &amp; J5618, J5618), "")</f>
        <v>0</v>
      </c>
    </row>
    <row r="5619" spans="2:2">
      <c r="B5619" s="21">
        <f>IF(AND(C5619&lt;&gt;"", J5619&lt;&gt;""), HYPERLINK("#'" &amp; C5619 &amp; "'!" &amp; J5619, J5619), "")</f>
        <v>0</v>
      </c>
    </row>
    <row r="5620" spans="2:2">
      <c r="B5620" s="21">
        <f>IF(AND(C5620&lt;&gt;"", J5620&lt;&gt;""), HYPERLINK("#'" &amp; C5620 &amp; "'!" &amp; J5620, J5620), "")</f>
        <v>0</v>
      </c>
    </row>
    <row r="5621" spans="2:2">
      <c r="B5621" s="21">
        <f>IF(AND(C5621&lt;&gt;"", J5621&lt;&gt;""), HYPERLINK("#'" &amp; C5621 &amp; "'!" &amp; J5621, J5621), "")</f>
        <v>0</v>
      </c>
    </row>
    <row r="5622" spans="2:2">
      <c r="B5622" s="21">
        <f>IF(AND(C5622&lt;&gt;"", J5622&lt;&gt;""), HYPERLINK("#'" &amp; C5622 &amp; "'!" &amp; J5622, J5622), "")</f>
        <v>0</v>
      </c>
    </row>
    <row r="5623" spans="2:2">
      <c r="B5623" s="21">
        <f>IF(AND(C5623&lt;&gt;"", J5623&lt;&gt;""), HYPERLINK("#'" &amp; C5623 &amp; "'!" &amp; J5623, J5623), "")</f>
        <v>0</v>
      </c>
    </row>
    <row r="5624" spans="2:2">
      <c r="B5624" s="21">
        <f>IF(AND(C5624&lt;&gt;"", J5624&lt;&gt;""), HYPERLINK("#'" &amp; C5624 &amp; "'!" &amp; J5624, J5624), "")</f>
        <v>0</v>
      </c>
    </row>
    <row r="5625" spans="2:2">
      <c r="B5625" s="21">
        <f>IF(AND(C5625&lt;&gt;"", J5625&lt;&gt;""), HYPERLINK("#'" &amp; C5625 &amp; "'!" &amp; J5625, J5625), "")</f>
        <v>0</v>
      </c>
    </row>
    <row r="5626" spans="2:2">
      <c r="B5626" s="21">
        <f>IF(AND(C5626&lt;&gt;"", J5626&lt;&gt;""), HYPERLINK("#'" &amp; C5626 &amp; "'!" &amp; J5626, J5626), "")</f>
        <v>0</v>
      </c>
    </row>
    <row r="5627" spans="2:2">
      <c r="B5627" s="21">
        <f>IF(AND(C5627&lt;&gt;"", J5627&lt;&gt;""), HYPERLINK("#'" &amp; C5627 &amp; "'!" &amp; J5627, J5627), "")</f>
        <v>0</v>
      </c>
    </row>
    <row r="5628" spans="2:2">
      <c r="B5628" s="21">
        <f>IF(AND(C5628&lt;&gt;"", J5628&lt;&gt;""), HYPERLINK("#'" &amp; C5628 &amp; "'!" &amp; J5628, J5628), "")</f>
        <v>0</v>
      </c>
    </row>
    <row r="5629" spans="2:2">
      <c r="B5629" s="21">
        <f>IF(AND(C5629&lt;&gt;"", J5629&lt;&gt;""), HYPERLINK("#'" &amp; C5629 &amp; "'!" &amp; J5629, J5629), "")</f>
        <v>0</v>
      </c>
    </row>
    <row r="5630" spans="2:2">
      <c r="B5630" s="21">
        <f>IF(AND(C5630&lt;&gt;"", J5630&lt;&gt;""), HYPERLINK("#'" &amp; C5630 &amp; "'!" &amp; J5630, J5630), "")</f>
        <v>0</v>
      </c>
    </row>
    <row r="5631" spans="2:2">
      <c r="B5631" s="21">
        <f>IF(AND(C5631&lt;&gt;"", J5631&lt;&gt;""), HYPERLINK("#'" &amp; C5631 &amp; "'!" &amp; J5631, J5631), "")</f>
        <v>0</v>
      </c>
    </row>
    <row r="5632" spans="2:2">
      <c r="B5632" s="21">
        <f>IF(AND(C5632&lt;&gt;"", J5632&lt;&gt;""), HYPERLINK("#'" &amp; C5632 &amp; "'!" &amp; J5632, J5632), "")</f>
        <v>0</v>
      </c>
    </row>
    <row r="5633" spans="2:2">
      <c r="B5633" s="21">
        <f>IF(AND(C5633&lt;&gt;"", J5633&lt;&gt;""), HYPERLINK("#'" &amp; C5633 &amp; "'!" &amp; J5633, J5633), "")</f>
        <v>0</v>
      </c>
    </row>
    <row r="5634" spans="2:2">
      <c r="B5634" s="21">
        <f>IF(AND(C5634&lt;&gt;"", J5634&lt;&gt;""), HYPERLINK("#'" &amp; C5634 &amp; "'!" &amp; J5634, J5634), "")</f>
        <v>0</v>
      </c>
    </row>
    <row r="5635" spans="2:2">
      <c r="B5635" s="21">
        <f>IF(AND(C5635&lt;&gt;"", J5635&lt;&gt;""), HYPERLINK("#'" &amp; C5635 &amp; "'!" &amp; J5635, J5635), "")</f>
        <v>0</v>
      </c>
    </row>
    <row r="5636" spans="2:2">
      <c r="B5636" s="21">
        <f>IF(AND(C5636&lt;&gt;"", J5636&lt;&gt;""), HYPERLINK("#'" &amp; C5636 &amp; "'!" &amp; J5636, J5636), "")</f>
        <v>0</v>
      </c>
    </row>
    <row r="5637" spans="2:2">
      <c r="B5637" s="21">
        <f>IF(AND(C5637&lt;&gt;"", J5637&lt;&gt;""), HYPERLINK("#'" &amp; C5637 &amp; "'!" &amp; J5637, J5637), "")</f>
        <v>0</v>
      </c>
    </row>
    <row r="5638" spans="2:2">
      <c r="B5638" s="21">
        <f>IF(AND(C5638&lt;&gt;"", J5638&lt;&gt;""), HYPERLINK("#'" &amp; C5638 &amp; "'!" &amp; J5638, J5638), "")</f>
        <v>0</v>
      </c>
    </row>
    <row r="5639" spans="2:2">
      <c r="B5639" s="21">
        <f>IF(AND(C5639&lt;&gt;"", J5639&lt;&gt;""), HYPERLINK("#'" &amp; C5639 &amp; "'!" &amp; J5639, J5639), "")</f>
        <v>0</v>
      </c>
    </row>
    <row r="5640" spans="2:2">
      <c r="B5640" s="21">
        <f>IF(AND(C5640&lt;&gt;"", J5640&lt;&gt;""), HYPERLINK("#'" &amp; C5640 &amp; "'!" &amp; J5640, J5640), "")</f>
        <v>0</v>
      </c>
    </row>
    <row r="5641" spans="2:2">
      <c r="B5641" s="21">
        <f>IF(AND(C5641&lt;&gt;"", J5641&lt;&gt;""), HYPERLINK("#'" &amp; C5641 &amp; "'!" &amp; J5641, J5641), "")</f>
        <v>0</v>
      </c>
    </row>
    <row r="5642" spans="2:2">
      <c r="B5642" s="21">
        <f>IF(AND(C5642&lt;&gt;"", J5642&lt;&gt;""), HYPERLINK("#'" &amp; C5642 &amp; "'!" &amp; J5642, J5642), "")</f>
        <v>0</v>
      </c>
    </row>
    <row r="5643" spans="2:2">
      <c r="B5643" s="21">
        <f>IF(AND(C5643&lt;&gt;"", J5643&lt;&gt;""), HYPERLINK("#'" &amp; C5643 &amp; "'!" &amp; J5643, J5643), "")</f>
        <v>0</v>
      </c>
    </row>
    <row r="5644" spans="2:2">
      <c r="B5644" s="21">
        <f>IF(AND(C5644&lt;&gt;"", J5644&lt;&gt;""), HYPERLINK("#'" &amp; C5644 &amp; "'!" &amp; J5644, J5644), "")</f>
        <v>0</v>
      </c>
    </row>
    <row r="5645" spans="2:2">
      <c r="B5645" s="21">
        <f>IF(AND(C5645&lt;&gt;"", J5645&lt;&gt;""), HYPERLINK("#'" &amp; C5645 &amp; "'!" &amp; J5645, J5645), "")</f>
        <v>0</v>
      </c>
    </row>
    <row r="5646" spans="2:2">
      <c r="B5646" s="21">
        <f>IF(AND(C5646&lt;&gt;"", J5646&lt;&gt;""), HYPERLINK("#'" &amp; C5646 &amp; "'!" &amp; J5646, J5646), "")</f>
        <v>0</v>
      </c>
    </row>
    <row r="5647" spans="2:2">
      <c r="B5647" s="21">
        <f>IF(AND(C5647&lt;&gt;"", J5647&lt;&gt;""), HYPERLINK("#'" &amp; C5647 &amp; "'!" &amp; J5647, J5647), "")</f>
        <v>0</v>
      </c>
    </row>
    <row r="5648" spans="2:2">
      <c r="B5648" s="21">
        <f>IF(AND(C5648&lt;&gt;"", J5648&lt;&gt;""), HYPERLINK("#'" &amp; C5648 &amp; "'!" &amp; J5648, J5648), "")</f>
        <v>0</v>
      </c>
    </row>
    <row r="5649" spans="2:2">
      <c r="B5649" s="21">
        <f>IF(AND(C5649&lt;&gt;"", J5649&lt;&gt;""), HYPERLINK("#'" &amp; C5649 &amp; "'!" &amp; J5649, J5649), "")</f>
        <v>0</v>
      </c>
    </row>
    <row r="5650" spans="2:2">
      <c r="B5650" s="21">
        <f>IF(AND(C5650&lt;&gt;"", J5650&lt;&gt;""), HYPERLINK("#'" &amp; C5650 &amp; "'!" &amp; J5650, J5650), "")</f>
        <v>0</v>
      </c>
    </row>
    <row r="5651" spans="2:2">
      <c r="B5651" s="21">
        <f>IF(AND(C5651&lt;&gt;"", J5651&lt;&gt;""), HYPERLINK("#'" &amp; C5651 &amp; "'!" &amp; J5651, J5651), "")</f>
        <v>0</v>
      </c>
    </row>
    <row r="5652" spans="2:2">
      <c r="B5652" s="21">
        <f>IF(AND(C5652&lt;&gt;"", J5652&lt;&gt;""), HYPERLINK("#'" &amp; C5652 &amp; "'!" &amp; J5652, J5652), "")</f>
        <v>0</v>
      </c>
    </row>
    <row r="5653" spans="2:2">
      <c r="B5653" s="21">
        <f>IF(AND(C5653&lt;&gt;"", J5653&lt;&gt;""), HYPERLINK("#'" &amp; C5653 &amp; "'!" &amp; J5653, J5653), "")</f>
        <v>0</v>
      </c>
    </row>
    <row r="5654" spans="2:2">
      <c r="B5654" s="21">
        <f>IF(AND(C5654&lt;&gt;"", J5654&lt;&gt;""), HYPERLINK("#'" &amp; C5654 &amp; "'!" &amp; J5654, J5654), "")</f>
        <v>0</v>
      </c>
    </row>
    <row r="5655" spans="2:2">
      <c r="B5655" s="21">
        <f>IF(AND(C5655&lt;&gt;"", J5655&lt;&gt;""), HYPERLINK("#'" &amp; C5655 &amp; "'!" &amp; J5655, J5655), "")</f>
        <v>0</v>
      </c>
    </row>
    <row r="5656" spans="2:2">
      <c r="B5656" s="21">
        <f>IF(AND(C5656&lt;&gt;"", J5656&lt;&gt;""), HYPERLINK("#'" &amp; C5656 &amp; "'!" &amp; J5656, J5656), "")</f>
        <v>0</v>
      </c>
    </row>
    <row r="5657" spans="2:2">
      <c r="B5657" s="21">
        <f>IF(AND(C5657&lt;&gt;"", J5657&lt;&gt;""), HYPERLINK("#'" &amp; C5657 &amp; "'!" &amp; J5657, J5657), "")</f>
        <v>0</v>
      </c>
    </row>
    <row r="5658" spans="2:2">
      <c r="B5658" s="21">
        <f>IF(AND(C5658&lt;&gt;"", J5658&lt;&gt;""), HYPERLINK("#'" &amp; C5658 &amp; "'!" &amp; J5658, J5658), "")</f>
        <v>0</v>
      </c>
    </row>
    <row r="5659" spans="2:2">
      <c r="B5659" s="21">
        <f>IF(AND(C5659&lt;&gt;"", J5659&lt;&gt;""), HYPERLINK("#'" &amp; C5659 &amp; "'!" &amp; J5659, J5659), "")</f>
        <v>0</v>
      </c>
    </row>
    <row r="5660" spans="2:2">
      <c r="B5660" s="21">
        <f>IF(AND(C5660&lt;&gt;"", J5660&lt;&gt;""), HYPERLINK("#'" &amp; C5660 &amp; "'!" &amp; J5660, J5660), "")</f>
        <v>0</v>
      </c>
    </row>
    <row r="5661" spans="2:2">
      <c r="B5661" s="21">
        <f>IF(AND(C5661&lt;&gt;"", J5661&lt;&gt;""), HYPERLINK("#'" &amp; C5661 &amp; "'!" &amp; J5661, J5661), "")</f>
        <v>0</v>
      </c>
    </row>
    <row r="5662" spans="2:2">
      <c r="B5662" s="21">
        <f>IF(AND(C5662&lt;&gt;"", J5662&lt;&gt;""), HYPERLINK("#'" &amp; C5662 &amp; "'!" &amp; J5662, J5662), "")</f>
        <v>0</v>
      </c>
    </row>
    <row r="5663" spans="2:2">
      <c r="B5663" s="21">
        <f>IF(AND(C5663&lt;&gt;"", J5663&lt;&gt;""), HYPERLINK("#'" &amp; C5663 &amp; "'!" &amp; J5663, J5663), "")</f>
        <v>0</v>
      </c>
    </row>
    <row r="5664" spans="2:2">
      <c r="B5664" s="21">
        <f>IF(AND(C5664&lt;&gt;"", J5664&lt;&gt;""), HYPERLINK("#'" &amp; C5664 &amp; "'!" &amp; J5664, J5664), "")</f>
        <v>0</v>
      </c>
    </row>
    <row r="5665" spans="2:2">
      <c r="B5665" s="21">
        <f>IF(AND(C5665&lt;&gt;"", J5665&lt;&gt;""), HYPERLINK("#'" &amp; C5665 &amp; "'!" &amp; J5665, J5665), "")</f>
        <v>0</v>
      </c>
    </row>
    <row r="5666" spans="2:2">
      <c r="B5666" s="21">
        <f>IF(AND(C5666&lt;&gt;"", J5666&lt;&gt;""), HYPERLINK("#'" &amp; C5666 &amp; "'!" &amp; J5666, J5666), "")</f>
        <v>0</v>
      </c>
    </row>
    <row r="5667" spans="2:2">
      <c r="B5667" s="21">
        <f>IF(AND(C5667&lt;&gt;"", J5667&lt;&gt;""), HYPERLINK("#'" &amp; C5667 &amp; "'!" &amp; J5667, J5667), "")</f>
        <v>0</v>
      </c>
    </row>
    <row r="5668" spans="2:2">
      <c r="B5668" s="21">
        <f>IF(AND(C5668&lt;&gt;"", J5668&lt;&gt;""), HYPERLINK("#'" &amp; C5668 &amp; "'!" &amp; J5668, J5668), "")</f>
        <v>0</v>
      </c>
    </row>
    <row r="5669" spans="2:2">
      <c r="B5669" s="21">
        <f>IF(AND(C5669&lt;&gt;"", J5669&lt;&gt;""), HYPERLINK("#'" &amp; C5669 &amp; "'!" &amp; J5669, J5669), "")</f>
        <v>0</v>
      </c>
    </row>
    <row r="5670" spans="2:2">
      <c r="B5670" s="21">
        <f>IF(AND(C5670&lt;&gt;"", J5670&lt;&gt;""), HYPERLINK("#'" &amp; C5670 &amp; "'!" &amp; J5670, J5670), "")</f>
        <v>0</v>
      </c>
    </row>
    <row r="5671" spans="2:2">
      <c r="B5671" s="21">
        <f>IF(AND(C5671&lt;&gt;"", J5671&lt;&gt;""), HYPERLINK("#'" &amp; C5671 &amp; "'!" &amp; J5671, J5671), "")</f>
        <v>0</v>
      </c>
    </row>
    <row r="5672" spans="2:2">
      <c r="B5672" s="21">
        <f>IF(AND(C5672&lt;&gt;"", J5672&lt;&gt;""), HYPERLINK("#'" &amp; C5672 &amp; "'!" &amp; J5672, J5672), "")</f>
        <v>0</v>
      </c>
    </row>
    <row r="5673" spans="2:2">
      <c r="B5673" s="21">
        <f>IF(AND(C5673&lt;&gt;"", J5673&lt;&gt;""), HYPERLINK("#'" &amp; C5673 &amp; "'!" &amp; J5673, J5673), "")</f>
        <v>0</v>
      </c>
    </row>
    <row r="5674" spans="2:2">
      <c r="B5674" s="21">
        <f>IF(AND(C5674&lt;&gt;"", J5674&lt;&gt;""), HYPERLINK("#'" &amp; C5674 &amp; "'!" &amp; J5674, J5674), "")</f>
        <v>0</v>
      </c>
    </row>
    <row r="5675" spans="2:2">
      <c r="B5675" s="21">
        <f>IF(AND(C5675&lt;&gt;"", J5675&lt;&gt;""), HYPERLINK("#'" &amp; C5675 &amp; "'!" &amp; J5675, J5675), "")</f>
        <v>0</v>
      </c>
    </row>
    <row r="5676" spans="2:2">
      <c r="B5676" s="21">
        <f>IF(AND(C5676&lt;&gt;"", J5676&lt;&gt;""), HYPERLINK("#'" &amp; C5676 &amp; "'!" &amp; J5676, J5676), "")</f>
        <v>0</v>
      </c>
    </row>
    <row r="5677" spans="2:2">
      <c r="B5677" s="21">
        <f>IF(AND(C5677&lt;&gt;"", J5677&lt;&gt;""), HYPERLINK("#'" &amp; C5677 &amp; "'!" &amp; J5677, J5677), "")</f>
        <v>0</v>
      </c>
    </row>
    <row r="5678" spans="2:2">
      <c r="B5678" s="21">
        <f>IF(AND(C5678&lt;&gt;"", J5678&lt;&gt;""), HYPERLINK("#'" &amp; C5678 &amp; "'!" &amp; J5678, J5678), "")</f>
        <v>0</v>
      </c>
    </row>
    <row r="5679" spans="2:2">
      <c r="B5679" s="21">
        <f>IF(AND(C5679&lt;&gt;"", J5679&lt;&gt;""), HYPERLINK("#'" &amp; C5679 &amp; "'!" &amp; J5679, J5679), "")</f>
        <v>0</v>
      </c>
    </row>
    <row r="5680" spans="2:2">
      <c r="B5680" s="21">
        <f>IF(AND(C5680&lt;&gt;"", J5680&lt;&gt;""), HYPERLINK("#'" &amp; C5680 &amp; "'!" &amp; J5680, J5680), "")</f>
        <v>0</v>
      </c>
    </row>
    <row r="5681" spans="2:2">
      <c r="B5681" s="21">
        <f>IF(AND(C5681&lt;&gt;"", J5681&lt;&gt;""), HYPERLINK("#'" &amp; C5681 &amp; "'!" &amp; J5681, J5681), "")</f>
        <v>0</v>
      </c>
    </row>
    <row r="5682" spans="2:2">
      <c r="B5682" s="21">
        <f>IF(AND(C5682&lt;&gt;"", J5682&lt;&gt;""), HYPERLINK("#'" &amp; C5682 &amp; "'!" &amp; J5682, J5682), "")</f>
        <v>0</v>
      </c>
    </row>
    <row r="5683" spans="2:2">
      <c r="B5683" s="21">
        <f>IF(AND(C5683&lt;&gt;"", J5683&lt;&gt;""), HYPERLINK("#'" &amp; C5683 &amp; "'!" &amp; J5683, J5683), "")</f>
        <v>0</v>
      </c>
    </row>
    <row r="5684" spans="2:2">
      <c r="B5684" s="21">
        <f>IF(AND(C5684&lt;&gt;"", J5684&lt;&gt;""), HYPERLINK("#'" &amp; C5684 &amp; "'!" &amp; J5684, J5684), "")</f>
        <v>0</v>
      </c>
    </row>
    <row r="5685" spans="2:2">
      <c r="B5685" s="21">
        <f>IF(AND(C5685&lt;&gt;"", J5685&lt;&gt;""), HYPERLINK("#'" &amp; C5685 &amp; "'!" &amp; J5685, J5685), "")</f>
        <v>0</v>
      </c>
    </row>
    <row r="5686" spans="2:2">
      <c r="B5686" s="21">
        <f>IF(AND(C5686&lt;&gt;"", J5686&lt;&gt;""), HYPERLINK("#'" &amp; C5686 &amp; "'!" &amp; J5686, J5686), "")</f>
        <v>0</v>
      </c>
    </row>
    <row r="5687" spans="2:2">
      <c r="B5687" s="21">
        <f>IF(AND(C5687&lt;&gt;"", J5687&lt;&gt;""), HYPERLINK("#'" &amp; C5687 &amp; "'!" &amp; J5687, J5687), "")</f>
        <v>0</v>
      </c>
    </row>
    <row r="5688" spans="2:2">
      <c r="B5688" s="21">
        <f>IF(AND(C5688&lt;&gt;"", J5688&lt;&gt;""), HYPERLINK("#'" &amp; C5688 &amp; "'!" &amp; J5688, J5688), "")</f>
        <v>0</v>
      </c>
    </row>
    <row r="5689" spans="2:2">
      <c r="B5689" s="21">
        <f>IF(AND(C5689&lt;&gt;"", J5689&lt;&gt;""), HYPERLINK("#'" &amp; C5689 &amp; "'!" &amp; J5689, J5689), "")</f>
        <v>0</v>
      </c>
    </row>
    <row r="5690" spans="2:2">
      <c r="B5690" s="21">
        <f>IF(AND(C5690&lt;&gt;"", J5690&lt;&gt;""), HYPERLINK("#'" &amp; C5690 &amp; "'!" &amp; J5690, J5690), "")</f>
        <v>0</v>
      </c>
    </row>
    <row r="5691" spans="2:2">
      <c r="B5691" s="21">
        <f>IF(AND(C5691&lt;&gt;"", J5691&lt;&gt;""), HYPERLINK("#'" &amp; C5691 &amp; "'!" &amp; J5691, J5691), "")</f>
        <v>0</v>
      </c>
    </row>
    <row r="5692" spans="2:2">
      <c r="B5692" s="21">
        <f>IF(AND(C5692&lt;&gt;"", J5692&lt;&gt;""), HYPERLINK("#'" &amp; C5692 &amp; "'!" &amp; J5692, J5692), "")</f>
        <v>0</v>
      </c>
    </row>
    <row r="5693" spans="2:2">
      <c r="B5693" s="21">
        <f>IF(AND(C5693&lt;&gt;"", J5693&lt;&gt;""), HYPERLINK("#'" &amp; C5693 &amp; "'!" &amp; J5693, J5693), "")</f>
        <v>0</v>
      </c>
    </row>
    <row r="5694" spans="2:2">
      <c r="B5694" s="21">
        <f>IF(AND(C5694&lt;&gt;"", J5694&lt;&gt;""), HYPERLINK("#'" &amp; C5694 &amp; "'!" &amp; J5694, J5694), "")</f>
        <v>0</v>
      </c>
    </row>
    <row r="5695" spans="2:2">
      <c r="B5695" s="21">
        <f>IF(AND(C5695&lt;&gt;"", J5695&lt;&gt;""), HYPERLINK("#'" &amp; C5695 &amp; "'!" &amp; J5695, J5695), "")</f>
        <v>0</v>
      </c>
    </row>
    <row r="5696" spans="2:2">
      <c r="B5696" s="21">
        <f>IF(AND(C5696&lt;&gt;"", J5696&lt;&gt;""), HYPERLINK("#'" &amp; C5696 &amp; "'!" &amp; J5696, J5696), "")</f>
        <v>0</v>
      </c>
    </row>
    <row r="5697" spans="2:2">
      <c r="B5697" s="21">
        <f>IF(AND(C5697&lt;&gt;"", J5697&lt;&gt;""), HYPERLINK("#'" &amp; C5697 &amp; "'!" &amp; J5697, J5697), "")</f>
        <v>0</v>
      </c>
    </row>
    <row r="5698" spans="2:2">
      <c r="B5698" s="21">
        <f>IF(AND(C5698&lt;&gt;"", J5698&lt;&gt;""), HYPERLINK("#'" &amp; C5698 &amp; "'!" &amp; J5698, J5698), "")</f>
        <v>0</v>
      </c>
    </row>
    <row r="5699" spans="2:2">
      <c r="B5699" s="21">
        <f>IF(AND(C5699&lt;&gt;"", J5699&lt;&gt;""), HYPERLINK("#'" &amp; C5699 &amp; "'!" &amp; J5699, J5699), "")</f>
        <v>0</v>
      </c>
    </row>
    <row r="5700" spans="2:2">
      <c r="B5700" s="21">
        <f>IF(AND(C5700&lt;&gt;"", J5700&lt;&gt;""), HYPERLINK("#'" &amp; C5700 &amp; "'!" &amp; J5700, J5700), "")</f>
        <v>0</v>
      </c>
    </row>
    <row r="5701" spans="2:2">
      <c r="B5701" s="21">
        <f>IF(AND(C5701&lt;&gt;"", J5701&lt;&gt;""), HYPERLINK("#'" &amp; C5701 &amp; "'!" &amp; J5701, J5701), "")</f>
        <v>0</v>
      </c>
    </row>
    <row r="5702" spans="2:2">
      <c r="B5702" s="21">
        <f>IF(AND(C5702&lt;&gt;"", J5702&lt;&gt;""), HYPERLINK("#'" &amp; C5702 &amp; "'!" &amp; J5702, J5702), "")</f>
        <v>0</v>
      </c>
    </row>
    <row r="5703" spans="2:2">
      <c r="B5703" s="21">
        <f>IF(AND(C5703&lt;&gt;"", J5703&lt;&gt;""), HYPERLINK("#'" &amp; C5703 &amp; "'!" &amp; J5703, J5703), "")</f>
        <v>0</v>
      </c>
    </row>
    <row r="5704" spans="2:2">
      <c r="B5704" s="21">
        <f>IF(AND(C5704&lt;&gt;"", J5704&lt;&gt;""), HYPERLINK("#'" &amp; C5704 &amp; "'!" &amp; J5704, J5704), "")</f>
        <v>0</v>
      </c>
    </row>
    <row r="5705" spans="2:2">
      <c r="B5705" s="21">
        <f>IF(AND(C5705&lt;&gt;"", J5705&lt;&gt;""), HYPERLINK("#'" &amp; C5705 &amp; "'!" &amp; J5705, J5705), "")</f>
        <v>0</v>
      </c>
    </row>
    <row r="5706" spans="2:2">
      <c r="B5706" s="21">
        <f>IF(AND(C5706&lt;&gt;"", J5706&lt;&gt;""), HYPERLINK("#'" &amp; C5706 &amp; "'!" &amp; J5706, J5706), "")</f>
        <v>0</v>
      </c>
    </row>
    <row r="5707" spans="2:2">
      <c r="B5707" s="21">
        <f>IF(AND(C5707&lt;&gt;"", J5707&lt;&gt;""), HYPERLINK("#'" &amp; C5707 &amp; "'!" &amp; J5707, J5707), "")</f>
        <v>0</v>
      </c>
    </row>
    <row r="5708" spans="2:2">
      <c r="B5708" s="21">
        <f>IF(AND(C5708&lt;&gt;"", J5708&lt;&gt;""), HYPERLINK("#'" &amp; C5708 &amp; "'!" &amp; J5708, J5708), "")</f>
        <v>0</v>
      </c>
    </row>
    <row r="5709" spans="2:2">
      <c r="B5709" s="21">
        <f>IF(AND(C5709&lt;&gt;"", J5709&lt;&gt;""), HYPERLINK("#'" &amp; C5709 &amp; "'!" &amp; J5709, J5709), "")</f>
        <v>0</v>
      </c>
    </row>
    <row r="5710" spans="2:2">
      <c r="B5710" s="21">
        <f>IF(AND(C5710&lt;&gt;"", J5710&lt;&gt;""), HYPERLINK("#'" &amp; C5710 &amp; "'!" &amp; J5710, J5710), "")</f>
        <v>0</v>
      </c>
    </row>
    <row r="5711" spans="2:2">
      <c r="B5711" s="21">
        <f>IF(AND(C5711&lt;&gt;"", J5711&lt;&gt;""), HYPERLINK("#'" &amp; C5711 &amp; "'!" &amp; J5711, J5711), "")</f>
        <v>0</v>
      </c>
    </row>
    <row r="5712" spans="2:2">
      <c r="B5712" s="21">
        <f>IF(AND(C5712&lt;&gt;"", J5712&lt;&gt;""), HYPERLINK("#'" &amp; C5712 &amp; "'!" &amp; J5712, J5712), "")</f>
        <v>0</v>
      </c>
    </row>
    <row r="5713" spans="2:2">
      <c r="B5713" s="21">
        <f>IF(AND(C5713&lt;&gt;"", J5713&lt;&gt;""), HYPERLINK("#'" &amp; C5713 &amp; "'!" &amp; J5713, J5713), "")</f>
        <v>0</v>
      </c>
    </row>
    <row r="5714" spans="2:2">
      <c r="B5714" s="21">
        <f>IF(AND(C5714&lt;&gt;"", J5714&lt;&gt;""), HYPERLINK("#'" &amp; C5714 &amp; "'!" &amp; J5714, J5714), "")</f>
        <v>0</v>
      </c>
    </row>
    <row r="5715" spans="2:2">
      <c r="B5715" s="21">
        <f>IF(AND(C5715&lt;&gt;"", J5715&lt;&gt;""), HYPERLINK("#'" &amp; C5715 &amp; "'!" &amp; J5715, J5715), "")</f>
        <v>0</v>
      </c>
    </row>
    <row r="5716" spans="2:2">
      <c r="B5716" s="21">
        <f>IF(AND(C5716&lt;&gt;"", J5716&lt;&gt;""), HYPERLINK("#'" &amp; C5716 &amp; "'!" &amp; J5716, J5716), "")</f>
        <v>0</v>
      </c>
    </row>
    <row r="5717" spans="2:2">
      <c r="B5717" s="21">
        <f>IF(AND(C5717&lt;&gt;"", J5717&lt;&gt;""), HYPERLINK("#'" &amp; C5717 &amp; "'!" &amp; J5717, J5717), "")</f>
        <v>0</v>
      </c>
    </row>
    <row r="5718" spans="2:2">
      <c r="B5718" s="21">
        <f>IF(AND(C5718&lt;&gt;"", J5718&lt;&gt;""), HYPERLINK("#'" &amp; C5718 &amp; "'!" &amp; J5718, J5718), "")</f>
        <v>0</v>
      </c>
    </row>
    <row r="5719" spans="2:2">
      <c r="B5719" s="21">
        <f>IF(AND(C5719&lt;&gt;"", J5719&lt;&gt;""), HYPERLINK("#'" &amp; C5719 &amp; "'!" &amp; J5719, J5719), "")</f>
        <v>0</v>
      </c>
    </row>
    <row r="5720" spans="2:2">
      <c r="B5720" s="21">
        <f>IF(AND(C5720&lt;&gt;"", J5720&lt;&gt;""), HYPERLINK("#'" &amp; C5720 &amp; "'!" &amp; J5720, J5720), "")</f>
        <v>0</v>
      </c>
    </row>
    <row r="5721" spans="2:2">
      <c r="B5721" s="21">
        <f>IF(AND(C5721&lt;&gt;"", J5721&lt;&gt;""), HYPERLINK("#'" &amp; C5721 &amp; "'!" &amp; J5721, J5721), "")</f>
        <v>0</v>
      </c>
    </row>
    <row r="5722" spans="2:2">
      <c r="B5722" s="21">
        <f>IF(AND(C5722&lt;&gt;"", J5722&lt;&gt;""), HYPERLINK("#'" &amp; C5722 &amp; "'!" &amp; J5722, J5722), "")</f>
        <v>0</v>
      </c>
    </row>
    <row r="5723" spans="2:2">
      <c r="B5723" s="21">
        <f>IF(AND(C5723&lt;&gt;"", J5723&lt;&gt;""), HYPERLINK("#'" &amp; C5723 &amp; "'!" &amp; J5723, J5723), "")</f>
        <v>0</v>
      </c>
    </row>
    <row r="5724" spans="2:2">
      <c r="B5724" s="21">
        <f>IF(AND(C5724&lt;&gt;"", J5724&lt;&gt;""), HYPERLINK("#'" &amp; C5724 &amp; "'!" &amp; J5724, J5724), "")</f>
        <v>0</v>
      </c>
    </row>
    <row r="5725" spans="2:2">
      <c r="B5725" s="21">
        <f>IF(AND(C5725&lt;&gt;"", J5725&lt;&gt;""), HYPERLINK("#'" &amp; C5725 &amp; "'!" &amp; J5725, J5725), "")</f>
        <v>0</v>
      </c>
    </row>
    <row r="5726" spans="2:2">
      <c r="B5726" s="21">
        <f>IF(AND(C5726&lt;&gt;"", J5726&lt;&gt;""), HYPERLINK("#'" &amp; C5726 &amp; "'!" &amp; J5726, J5726), "")</f>
        <v>0</v>
      </c>
    </row>
    <row r="5727" spans="2:2">
      <c r="B5727" s="21">
        <f>IF(AND(C5727&lt;&gt;"", J5727&lt;&gt;""), HYPERLINK("#'" &amp; C5727 &amp; "'!" &amp; J5727, J5727), "")</f>
        <v>0</v>
      </c>
    </row>
    <row r="5728" spans="2:2">
      <c r="B5728" s="21">
        <f>IF(AND(C5728&lt;&gt;"", J5728&lt;&gt;""), HYPERLINK("#'" &amp; C5728 &amp; "'!" &amp; J5728, J5728), "")</f>
        <v>0</v>
      </c>
    </row>
    <row r="5729" spans="2:2">
      <c r="B5729" s="21">
        <f>IF(AND(C5729&lt;&gt;"", J5729&lt;&gt;""), HYPERLINK("#'" &amp; C5729 &amp; "'!" &amp; J5729, J5729), "")</f>
        <v>0</v>
      </c>
    </row>
    <row r="5730" spans="2:2">
      <c r="B5730" s="21">
        <f>IF(AND(C5730&lt;&gt;"", J5730&lt;&gt;""), HYPERLINK("#'" &amp; C5730 &amp; "'!" &amp; J5730, J5730), "")</f>
        <v>0</v>
      </c>
    </row>
    <row r="5731" spans="2:2">
      <c r="B5731" s="21">
        <f>IF(AND(C5731&lt;&gt;"", J5731&lt;&gt;""), HYPERLINK("#'" &amp; C5731 &amp; "'!" &amp; J5731, J5731), "")</f>
        <v>0</v>
      </c>
    </row>
    <row r="5732" spans="2:2">
      <c r="B5732" s="21">
        <f>IF(AND(C5732&lt;&gt;"", J5732&lt;&gt;""), HYPERLINK("#'" &amp; C5732 &amp; "'!" &amp; J5732, J5732), "")</f>
        <v>0</v>
      </c>
    </row>
    <row r="5733" spans="2:2">
      <c r="B5733" s="21">
        <f>IF(AND(C5733&lt;&gt;"", J5733&lt;&gt;""), HYPERLINK("#'" &amp; C5733 &amp; "'!" &amp; J5733, J5733), "")</f>
        <v>0</v>
      </c>
    </row>
    <row r="5734" spans="2:2">
      <c r="B5734" s="21">
        <f>IF(AND(C5734&lt;&gt;"", J5734&lt;&gt;""), HYPERLINK("#'" &amp; C5734 &amp; "'!" &amp; J5734, J5734), "")</f>
        <v>0</v>
      </c>
    </row>
    <row r="5735" spans="2:2">
      <c r="B5735" s="21">
        <f>IF(AND(C5735&lt;&gt;"", J5735&lt;&gt;""), HYPERLINK("#'" &amp; C5735 &amp; "'!" &amp; J5735, J5735), "")</f>
        <v>0</v>
      </c>
    </row>
    <row r="5736" spans="2:2">
      <c r="B5736" s="21">
        <f>IF(AND(C5736&lt;&gt;"", J5736&lt;&gt;""), HYPERLINK("#'" &amp; C5736 &amp; "'!" &amp; J5736, J5736), "")</f>
        <v>0</v>
      </c>
    </row>
    <row r="5737" spans="2:2">
      <c r="B5737" s="21">
        <f>IF(AND(C5737&lt;&gt;"", J5737&lt;&gt;""), HYPERLINK("#'" &amp; C5737 &amp; "'!" &amp; J5737, J5737), "")</f>
        <v>0</v>
      </c>
    </row>
    <row r="5738" spans="2:2">
      <c r="B5738" s="21">
        <f>IF(AND(C5738&lt;&gt;"", J5738&lt;&gt;""), HYPERLINK("#'" &amp; C5738 &amp; "'!" &amp; J5738, J5738), "")</f>
        <v>0</v>
      </c>
    </row>
    <row r="5739" spans="2:2">
      <c r="B5739" s="21">
        <f>IF(AND(C5739&lt;&gt;"", J5739&lt;&gt;""), HYPERLINK("#'" &amp; C5739 &amp; "'!" &amp; J5739, J5739), "")</f>
        <v>0</v>
      </c>
    </row>
    <row r="5740" spans="2:2">
      <c r="B5740" s="21">
        <f>IF(AND(C5740&lt;&gt;"", J5740&lt;&gt;""), HYPERLINK("#'" &amp; C5740 &amp; "'!" &amp; J5740, J5740), "")</f>
        <v>0</v>
      </c>
    </row>
    <row r="5741" spans="2:2">
      <c r="B5741" s="21">
        <f>IF(AND(C5741&lt;&gt;"", J5741&lt;&gt;""), HYPERLINK("#'" &amp; C5741 &amp; "'!" &amp; J5741, J5741), "")</f>
        <v>0</v>
      </c>
    </row>
    <row r="5742" spans="2:2">
      <c r="B5742" s="21">
        <f>IF(AND(C5742&lt;&gt;"", J5742&lt;&gt;""), HYPERLINK("#'" &amp; C5742 &amp; "'!" &amp; J5742, J5742), "")</f>
        <v>0</v>
      </c>
    </row>
    <row r="5743" spans="2:2">
      <c r="B5743" s="21">
        <f>IF(AND(C5743&lt;&gt;"", J5743&lt;&gt;""), HYPERLINK("#'" &amp; C5743 &amp; "'!" &amp; J5743, J5743), "")</f>
        <v>0</v>
      </c>
    </row>
    <row r="5744" spans="2:2">
      <c r="B5744" s="21">
        <f>IF(AND(C5744&lt;&gt;"", J5744&lt;&gt;""), HYPERLINK("#'" &amp; C5744 &amp; "'!" &amp; J5744, J5744), "")</f>
        <v>0</v>
      </c>
    </row>
    <row r="5745" spans="2:2">
      <c r="B5745" s="21">
        <f>IF(AND(C5745&lt;&gt;"", J5745&lt;&gt;""), HYPERLINK("#'" &amp; C5745 &amp; "'!" &amp; J5745, J5745), "")</f>
        <v>0</v>
      </c>
    </row>
    <row r="5746" spans="2:2">
      <c r="B5746" s="21">
        <f>IF(AND(C5746&lt;&gt;"", J5746&lt;&gt;""), HYPERLINK("#'" &amp; C5746 &amp; "'!" &amp; J5746, J5746), "")</f>
        <v>0</v>
      </c>
    </row>
    <row r="5747" spans="2:2">
      <c r="B5747" s="21">
        <f>IF(AND(C5747&lt;&gt;"", J5747&lt;&gt;""), HYPERLINK("#'" &amp; C5747 &amp; "'!" &amp; J5747, J5747), "")</f>
        <v>0</v>
      </c>
    </row>
    <row r="5748" spans="2:2">
      <c r="B5748" s="21">
        <f>IF(AND(C5748&lt;&gt;"", J5748&lt;&gt;""), HYPERLINK("#'" &amp; C5748 &amp; "'!" &amp; J5748, J5748), "")</f>
        <v>0</v>
      </c>
    </row>
    <row r="5749" spans="2:2">
      <c r="B5749" s="21">
        <f>IF(AND(C5749&lt;&gt;"", J5749&lt;&gt;""), HYPERLINK("#'" &amp; C5749 &amp; "'!" &amp; J5749, J5749), "")</f>
        <v>0</v>
      </c>
    </row>
    <row r="5750" spans="2:2">
      <c r="B5750" s="21">
        <f>IF(AND(C5750&lt;&gt;"", J5750&lt;&gt;""), HYPERLINK("#'" &amp; C5750 &amp; "'!" &amp; J5750, J5750), "")</f>
        <v>0</v>
      </c>
    </row>
    <row r="5751" spans="2:2">
      <c r="B5751" s="21">
        <f>IF(AND(C5751&lt;&gt;"", J5751&lt;&gt;""), HYPERLINK("#'" &amp; C5751 &amp; "'!" &amp; J5751, J5751), "")</f>
        <v>0</v>
      </c>
    </row>
    <row r="5752" spans="2:2">
      <c r="B5752" s="21">
        <f>IF(AND(C5752&lt;&gt;"", J5752&lt;&gt;""), HYPERLINK("#'" &amp; C5752 &amp; "'!" &amp; J5752, J5752), "")</f>
        <v>0</v>
      </c>
    </row>
    <row r="5753" spans="2:2">
      <c r="B5753" s="21">
        <f>IF(AND(C5753&lt;&gt;"", J5753&lt;&gt;""), HYPERLINK("#'" &amp; C5753 &amp; "'!" &amp; J5753, J5753), "")</f>
        <v>0</v>
      </c>
    </row>
    <row r="5754" spans="2:2">
      <c r="B5754" s="21">
        <f>IF(AND(C5754&lt;&gt;"", J5754&lt;&gt;""), HYPERLINK("#'" &amp; C5754 &amp; "'!" &amp; J5754, J5754), "")</f>
        <v>0</v>
      </c>
    </row>
    <row r="5755" spans="2:2">
      <c r="B5755" s="21">
        <f>IF(AND(C5755&lt;&gt;"", J5755&lt;&gt;""), HYPERLINK("#'" &amp; C5755 &amp; "'!" &amp; J5755, J5755), "")</f>
        <v>0</v>
      </c>
    </row>
    <row r="5756" spans="2:2">
      <c r="B5756" s="21">
        <f>IF(AND(C5756&lt;&gt;"", J5756&lt;&gt;""), HYPERLINK("#'" &amp; C5756 &amp; "'!" &amp; J5756, J5756), "")</f>
        <v>0</v>
      </c>
    </row>
    <row r="5757" spans="2:2">
      <c r="B5757" s="21">
        <f>IF(AND(C5757&lt;&gt;"", J5757&lt;&gt;""), HYPERLINK("#'" &amp; C5757 &amp; "'!" &amp; J5757, J5757), "")</f>
        <v>0</v>
      </c>
    </row>
    <row r="5758" spans="2:2">
      <c r="B5758" s="21">
        <f>IF(AND(C5758&lt;&gt;"", J5758&lt;&gt;""), HYPERLINK("#'" &amp; C5758 &amp; "'!" &amp; J5758, J5758), "")</f>
        <v>0</v>
      </c>
    </row>
    <row r="5759" spans="2:2">
      <c r="B5759" s="21">
        <f>IF(AND(C5759&lt;&gt;"", J5759&lt;&gt;""), HYPERLINK("#'" &amp; C5759 &amp; "'!" &amp; J5759, J5759), "")</f>
        <v>0</v>
      </c>
    </row>
    <row r="5760" spans="2:2">
      <c r="B5760" s="21">
        <f>IF(AND(C5760&lt;&gt;"", J5760&lt;&gt;""), HYPERLINK("#'" &amp; C5760 &amp; "'!" &amp; J5760, J5760), "")</f>
        <v>0</v>
      </c>
    </row>
    <row r="5761" spans="2:2">
      <c r="B5761" s="21">
        <f>IF(AND(C5761&lt;&gt;"", J5761&lt;&gt;""), HYPERLINK("#'" &amp; C5761 &amp; "'!" &amp; J5761, J5761), "")</f>
        <v>0</v>
      </c>
    </row>
    <row r="5762" spans="2:2">
      <c r="B5762" s="21">
        <f>IF(AND(C5762&lt;&gt;"", J5762&lt;&gt;""), HYPERLINK("#'" &amp; C5762 &amp; "'!" &amp; J5762, J5762), "")</f>
        <v>0</v>
      </c>
    </row>
    <row r="5763" spans="2:2">
      <c r="B5763" s="21">
        <f>IF(AND(C5763&lt;&gt;"", J5763&lt;&gt;""), HYPERLINK("#'" &amp; C5763 &amp; "'!" &amp; J5763, J5763), "")</f>
        <v>0</v>
      </c>
    </row>
    <row r="5764" spans="2:2">
      <c r="B5764" s="21">
        <f>IF(AND(C5764&lt;&gt;"", J5764&lt;&gt;""), HYPERLINK("#'" &amp; C5764 &amp; "'!" &amp; J5764, J5764), "")</f>
        <v>0</v>
      </c>
    </row>
    <row r="5765" spans="2:2">
      <c r="B5765" s="21">
        <f>IF(AND(C5765&lt;&gt;"", J5765&lt;&gt;""), HYPERLINK("#'" &amp; C5765 &amp; "'!" &amp; J5765, J5765), "")</f>
        <v>0</v>
      </c>
    </row>
    <row r="5766" spans="2:2">
      <c r="B5766" s="21">
        <f>IF(AND(C5766&lt;&gt;"", J5766&lt;&gt;""), HYPERLINK("#'" &amp; C5766 &amp; "'!" &amp; J5766, J5766), "")</f>
        <v>0</v>
      </c>
    </row>
    <row r="5767" spans="2:2">
      <c r="B5767" s="21">
        <f>IF(AND(C5767&lt;&gt;"", J5767&lt;&gt;""), HYPERLINK("#'" &amp; C5767 &amp; "'!" &amp; J5767, J5767), "")</f>
        <v>0</v>
      </c>
    </row>
    <row r="5768" spans="2:2">
      <c r="B5768" s="21">
        <f>IF(AND(C5768&lt;&gt;"", J5768&lt;&gt;""), HYPERLINK("#'" &amp; C5768 &amp; "'!" &amp; J5768, J5768), "")</f>
        <v>0</v>
      </c>
    </row>
    <row r="5769" spans="2:2">
      <c r="B5769" s="21">
        <f>IF(AND(C5769&lt;&gt;"", J5769&lt;&gt;""), HYPERLINK("#'" &amp; C5769 &amp; "'!" &amp; J5769, J5769), "")</f>
        <v>0</v>
      </c>
    </row>
    <row r="5770" spans="2:2">
      <c r="B5770" s="21">
        <f>IF(AND(C5770&lt;&gt;"", J5770&lt;&gt;""), HYPERLINK("#'" &amp; C5770 &amp; "'!" &amp; J5770, J5770), "")</f>
        <v>0</v>
      </c>
    </row>
    <row r="5771" spans="2:2">
      <c r="B5771" s="21">
        <f>IF(AND(C5771&lt;&gt;"", J5771&lt;&gt;""), HYPERLINK("#'" &amp; C5771 &amp; "'!" &amp; J5771, J5771), "")</f>
        <v>0</v>
      </c>
    </row>
    <row r="5772" spans="2:2">
      <c r="B5772" s="21">
        <f>IF(AND(C5772&lt;&gt;"", J5772&lt;&gt;""), HYPERLINK("#'" &amp; C5772 &amp; "'!" &amp; J5772, J5772), "")</f>
        <v>0</v>
      </c>
    </row>
    <row r="5773" spans="2:2">
      <c r="B5773" s="21">
        <f>IF(AND(C5773&lt;&gt;"", J5773&lt;&gt;""), HYPERLINK("#'" &amp; C5773 &amp; "'!" &amp; J5773, J5773), "")</f>
        <v>0</v>
      </c>
    </row>
    <row r="5774" spans="2:2">
      <c r="B5774" s="21">
        <f>IF(AND(C5774&lt;&gt;"", J5774&lt;&gt;""), HYPERLINK("#'" &amp; C5774 &amp; "'!" &amp; J5774, J5774), "")</f>
        <v>0</v>
      </c>
    </row>
    <row r="5775" spans="2:2">
      <c r="B5775" s="21">
        <f>IF(AND(C5775&lt;&gt;"", J5775&lt;&gt;""), HYPERLINK("#'" &amp; C5775 &amp; "'!" &amp; J5775, J5775), "")</f>
        <v>0</v>
      </c>
    </row>
    <row r="5776" spans="2:2">
      <c r="B5776" s="21">
        <f>IF(AND(C5776&lt;&gt;"", J5776&lt;&gt;""), HYPERLINK("#'" &amp; C5776 &amp; "'!" &amp; J5776, J5776), "")</f>
        <v>0</v>
      </c>
    </row>
    <row r="5777" spans="2:2">
      <c r="B5777" s="21">
        <f>IF(AND(C5777&lt;&gt;"", J5777&lt;&gt;""), HYPERLINK("#'" &amp; C5777 &amp; "'!" &amp; J5777, J5777), "")</f>
        <v>0</v>
      </c>
    </row>
    <row r="5778" spans="2:2">
      <c r="B5778" s="21">
        <f>IF(AND(C5778&lt;&gt;"", J5778&lt;&gt;""), HYPERLINK("#'" &amp; C5778 &amp; "'!" &amp; J5778, J5778), "")</f>
        <v>0</v>
      </c>
    </row>
    <row r="5779" spans="2:2">
      <c r="B5779" s="21">
        <f>IF(AND(C5779&lt;&gt;"", J5779&lt;&gt;""), HYPERLINK("#'" &amp; C5779 &amp; "'!" &amp; J5779, J5779), "")</f>
        <v>0</v>
      </c>
    </row>
    <row r="5780" spans="2:2">
      <c r="B5780" s="21">
        <f>IF(AND(C5780&lt;&gt;"", J5780&lt;&gt;""), HYPERLINK("#'" &amp; C5780 &amp; "'!" &amp; J5780, J5780), "")</f>
        <v>0</v>
      </c>
    </row>
    <row r="5781" spans="2:2">
      <c r="B5781" s="21">
        <f>IF(AND(C5781&lt;&gt;"", J5781&lt;&gt;""), HYPERLINK("#'" &amp; C5781 &amp; "'!" &amp; J5781, J5781), "")</f>
        <v>0</v>
      </c>
    </row>
    <row r="5782" spans="2:2">
      <c r="B5782" s="21">
        <f>IF(AND(C5782&lt;&gt;"", J5782&lt;&gt;""), HYPERLINK("#'" &amp; C5782 &amp; "'!" &amp; J5782, J5782), "")</f>
        <v>0</v>
      </c>
    </row>
    <row r="5783" spans="2:2">
      <c r="B5783" s="21">
        <f>IF(AND(C5783&lt;&gt;"", J5783&lt;&gt;""), HYPERLINK("#'" &amp; C5783 &amp; "'!" &amp; J5783, J5783), "")</f>
        <v>0</v>
      </c>
    </row>
    <row r="5784" spans="2:2">
      <c r="B5784" s="21">
        <f>IF(AND(C5784&lt;&gt;"", J5784&lt;&gt;""), HYPERLINK("#'" &amp; C5784 &amp; "'!" &amp; J5784, J5784), "")</f>
        <v>0</v>
      </c>
    </row>
    <row r="5785" spans="2:2">
      <c r="B5785" s="21">
        <f>IF(AND(C5785&lt;&gt;"", J5785&lt;&gt;""), HYPERLINK("#'" &amp; C5785 &amp; "'!" &amp; J5785, J5785), "")</f>
        <v>0</v>
      </c>
    </row>
    <row r="5786" spans="2:2">
      <c r="B5786" s="21">
        <f>IF(AND(C5786&lt;&gt;"", J5786&lt;&gt;""), HYPERLINK("#'" &amp; C5786 &amp; "'!" &amp; J5786, J5786), "")</f>
        <v>0</v>
      </c>
    </row>
    <row r="5787" spans="2:2">
      <c r="B5787" s="21">
        <f>IF(AND(C5787&lt;&gt;"", J5787&lt;&gt;""), HYPERLINK("#'" &amp; C5787 &amp; "'!" &amp; J5787, J5787), "")</f>
        <v>0</v>
      </c>
    </row>
    <row r="5788" spans="2:2">
      <c r="B5788" s="21">
        <f>IF(AND(C5788&lt;&gt;"", J5788&lt;&gt;""), HYPERLINK("#'" &amp; C5788 &amp; "'!" &amp; J5788, J5788), "")</f>
        <v>0</v>
      </c>
    </row>
    <row r="5789" spans="2:2">
      <c r="B5789" s="21">
        <f>IF(AND(C5789&lt;&gt;"", J5789&lt;&gt;""), HYPERLINK("#'" &amp; C5789 &amp; "'!" &amp; J5789, J5789), "")</f>
        <v>0</v>
      </c>
    </row>
    <row r="5790" spans="2:2">
      <c r="B5790" s="21">
        <f>IF(AND(C5790&lt;&gt;"", J5790&lt;&gt;""), HYPERLINK("#'" &amp; C5790 &amp; "'!" &amp; J5790, J5790), "")</f>
        <v>0</v>
      </c>
    </row>
    <row r="5791" spans="2:2">
      <c r="B5791" s="21">
        <f>IF(AND(C5791&lt;&gt;"", J5791&lt;&gt;""), HYPERLINK("#'" &amp; C5791 &amp; "'!" &amp; J5791, J5791), "")</f>
        <v>0</v>
      </c>
    </row>
    <row r="5792" spans="2:2">
      <c r="B5792" s="21">
        <f>IF(AND(C5792&lt;&gt;"", J5792&lt;&gt;""), HYPERLINK("#'" &amp; C5792 &amp; "'!" &amp; J5792, J5792), "")</f>
        <v>0</v>
      </c>
    </row>
    <row r="5793" spans="2:2">
      <c r="B5793" s="21">
        <f>IF(AND(C5793&lt;&gt;"", J5793&lt;&gt;""), HYPERLINK("#'" &amp; C5793 &amp; "'!" &amp; J5793, J5793), "")</f>
        <v>0</v>
      </c>
    </row>
    <row r="5794" spans="2:2">
      <c r="B5794" s="21">
        <f>IF(AND(C5794&lt;&gt;"", J5794&lt;&gt;""), HYPERLINK("#'" &amp; C5794 &amp; "'!" &amp; J5794, J5794), "")</f>
        <v>0</v>
      </c>
    </row>
    <row r="5795" spans="2:2">
      <c r="B5795" s="21">
        <f>IF(AND(C5795&lt;&gt;"", J5795&lt;&gt;""), HYPERLINK("#'" &amp; C5795 &amp; "'!" &amp; J5795, J5795), "")</f>
        <v>0</v>
      </c>
    </row>
    <row r="5796" spans="2:2">
      <c r="B5796" s="21">
        <f>IF(AND(C5796&lt;&gt;"", J5796&lt;&gt;""), HYPERLINK("#'" &amp; C5796 &amp; "'!" &amp; J5796, J5796), "")</f>
        <v>0</v>
      </c>
    </row>
    <row r="5797" spans="2:2">
      <c r="B5797" s="21">
        <f>IF(AND(C5797&lt;&gt;"", J5797&lt;&gt;""), HYPERLINK("#'" &amp; C5797 &amp; "'!" &amp; J5797, J5797), "")</f>
        <v>0</v>
      </c>
    </row>
    <row r="5798" spans="2:2">
      <c r="B5798" s="21">
        <f>IF(AND(C5798&lt;&gt;"", J5798&lt;&gt;""), HYPERLINK("#'" &amp; C5798 &amp; "'!" &amp; J5798, J5798), "")</f>
        <v>0</v>
      </c>
    </row>
    <row r="5799" spans="2:2">
      <c r="B5799" s="21">
        <f>IF(AND(C5799&lt;&gt;"", J5799&lt;&gt;""), HYPERLINK("#'" &amp; C5799 &amp; "'!" &amp; J5799, J5799), "")</f>
        <v>0</v>
      </c>
    </row>
    <row r="5800" spans="2:2">
      <c r="B5800" s="21">
        <f>IF(AND(C5800&lt;&gt;"", J5800&lt;&gt;""), HYPERLINK("#'" &amp; C5800 &amp; "'!" &amp; J5800, J5800), "")</f>
        <v>0</v>
      </c>
    </row>
    <row r="5801" spans="2:2">
      <c r="B5801" s="21">
        <f>IF(AND(C5801&lt;&gt;"", J5801&lt;&gt;""), HYPERLINK("#'" &amp; C5801 &amp; "'!" &amp; J5801, J5801), "")</f>
        <v>0</v>
      </c>
    </row>
    <row r="5802" spans="2:2">
      <c r="B5802" s="21">
        <f>IF(AND(C5802&lt;&gt;"", J5802&lt;&gt;""), HYPERLINK("#'" &amp; C5802 &amp; "'!" &amp; J5802, J5802), "")</f>
        <v>0</v>
      </c>
    </row>
    <row r="5803" spans="2:2">
      <c r="B5803" s="21">
        <f>IF(AND(C5803&lt;&gt;"", J5803&lt;&gt;""), HYPERLINK("#'" &amp; C5803 &amp; "'!" &amp; J5803, J5803), "")</f>
        <v>0</v>
      </c>
    </row>
    <row r="5804" spans="2:2">
      <c r="B5804" s="21">
        <f>IF(AND(C5804&lt;&gt;"", J5804&lt;&gt;""), HYPERLINK("#'" &amp; C5804 &amp; "'!" &amp; J5804, J5804), "")</f>
        <v>0</v>
      </c>
    </row>
    <row r="5805" spans="2:2">
      <c r="B5805" s="21">
        <f>IF(AND(C5805&lt;&gt;"", J5805&lt;&gt;""), HYPERLINK("#'" &amp; C5805 &amp; "'!" &amp; J5805, J5805), "")</f>
        <v>0</v>
      </c>
    </row>
    <row r="5806" spans="2:2">
      <c r="B5806" s="21">
        <f>IF(AND(C5806&lt;&gt;"", J5806&lt;&gt;""), HYPERLINK("#'" &amp; C5806 &amp; "'!" &amp; J5806, J5806), "")</f>
        <v>0</v>
      </c>
    </row>
    <row r="5807" spans="2:2">
      <c r="B5807" s="21">
        <f>IF(AND(C5807&lt;&gt;"", J5807&lt;&gt;""), HYPERLINK("#'" &amp; C5807 &amp; "'!" &amp; J5807, J5807), "")</f>
        <v>0</v>
      </c>
    </row>
    <row r="5808" spans="2:2">
      <c r="B5808" s="21">
        <f>IF(AND(C5808&lt;&gt;"", J5808&lt;&gt;""), HYPERLINK("#'" &amp; C5808 &amp; "'!" &amp; J5808, J5808), "")</f>
        <v>0</v>
      </c>
    </row>
    <row r="5809" spans="2:2">
      <c r="B5809" s="21">
        <f>IF(AND(C5809&lt;&gt;"", J5809&lt;&gt;""), HYPERLINK("#'" &amp; C5809 &amp; "'!" &amp; J5809, J5809), "")</f>
        <v>0</v>
      </c>
    </row>
    <row r="5810" spans="2:2">
      <c r="B5810" s="21">
        <f>IF(AND(C5810&lt;&gt;"", J5810&lt;&gt;""), HYPERLINK("#'" &amp; C5810 &amp; "'!" &amp; J5810, J5810), "")</f>
        <v>0</v>
      </c>
    </row>
    <row r="5811" spans="2:2">
      <c r="B5811" s="21">
        <f>IF(AND(C5811&lt;&gt;"", J5811&lt;&gt;""), HYPERLINK("#'" &amp; C5811 &amp; "'!" &amp; J5811, J5811), "")</f>
        <v>0</v>
      </c>
    </row>
    <row r="5812" spans="2:2">
      <c r="B5812" s="21">
        <f>IF(AND(C5812&lt;&gt;"", J5812&lt;&gt;""), HYPERLINK("#'" &amp; C5812 &amp; "'!" &amp; J5812, J5812), "")</f>
        <v>0</v>
      </c>
    </row>
    <row r="5813" spans="2:2">
      <c r="B5813" s="21">
        <f>IF(AND(C5813&lt;&gt;"", J5813&lt;&gt;""), HYPERLINK("#'" &amp; C5813 &amp; "'!" &amp; J5813, J5813), "")</f>
        <v>0</v>
      </c>
    </row>
    <row r="5814" spans="2:2">
      <c r="B5814" s="21">
        <f>IF(AND(C5814&lt;&gt;"", J5814&lt;&gt;""), HYPERLINK("#'" &amp; C5814 &amp; "'!" &amp; J5814, J5814), "")</f>
        <v>0</v>
      </c>
    </row>
    <row r="5815" spans="2:2">
      <c r="B5815" s="21">
        <f>IF(AND(C5815&lt;&gt;"", J5815&lt;&gt;""), HYPERLINK("#'" &amp; C5815 &amp; "'!" &amp; J5815, J5815), "")</f>
        <v>0</v>
      </c>
    </row>
    <row r="5816" spans="2:2">
      <c r="B5816" s="21">
        <f>IF(AND(C5816&lt;&gt;"", J5816&lt;&gt;""), HYPERLINK("#'" &amp; C5816 &amp; "'!" &amp; J5816, J5816), "")</f>
        <v>0</v>
      </c>
    </row>
    <row r="5817" spans="2:2">
      <c r="B5817" s="21">
        <f>IF(AND(C5817&lt;&gt;"", J5817&lt;&gt;""), HYPERLINK("#'" &amp; C5817 &amp; "'!" &amp; J5817, J5817), "")</f>
        <v>0</v>
      </c>
    </row>
    <row r="5818" spans="2:2">
      <c r="B5818" s="21">
        <f>IF(AND(C5818&lt;&gt;"", J5818&lt;&gt;""), HYPERLINK("#'" &amp; C5818 &amp; "'!" &amp; J5818, J5818), "")</f>
        <v>0</v>
      </c>
    </row>
    <row r="5819" spans="2:2">
      <c r="B5819" s="21">
        <f>IF(AND(C5819&lt;&gt;"", J5819&lt;&gt;""), HYPERLINK("#'" &amp; C5819 &amp; "'!" &amp; J5819, J5819), "")</f>
        <v>0</v>
      </c>
    </row>
    <row r="5820" spans="2:2">
      <c r="B5820" s="21">
        <f>IF(AND(C5820&lt;&gt;"", J5820&lt;&gt;""), HYPERLINK("#'" &amp; C5820 &amp; "'!" &amp; J5820, J5820), "")</f>
        <v>0</v>
      </c>
    </row>
    <row r="5821" spans="2:2">
      <c r="B5821" s="21">
        <f>IF(AND(C5821&lt;&gt;"", J5821&lt;&gt;""), HYPERLINK("#'" &amp; C5821 &amp; "'!" &amp; J5821, J5821), "")</f>
        <v>0</v>
      </c>
    </row>
    <row r="5822" spans="2:2">
      <c r="B5822" s="21">
        <f>IF(AND(C5822&lt;&gt;"", J5822&lt;&gt;""), HYPERLINK("#'" &amp; C5822 &amp; "'!" &amp; J5822, J5822), "")</f>
        <v>0</v>
      </c>
    </row>
    <row r="5823" spans="2:2">
      <c r="B5823" s="21">
        <f>IF(AND(C5823&lt;&gt;"", J5823&lt;&gt;""), HYPERLINK("#'" &amp; C5823 &amp; "'!" &amp; J5823, J5823), "")</f>
        <v>0</v>
      </c>
    </row>
    <row r="5824" spans="2:2">
      <c r="B5824" s="21">
        <f>IF(AND(C5824&lt;&gt;"", J5824&lt;&gt;""), HYPERLINK("#'" &amp; C5824 &amp; "'!" &amp; J5824, J5824), "")</f>
        <v>0</v>
      </c>
    </row>
    <row r="5825" spans="2:2">
      <c r="B5825" s="21">
        <f>IF(AND(C5825&lt;&gt;"", J5825&lt;&gt;""), HYPERLINK("#'" &amp; C5825 &amp; "'!" &amp; J5825, J5825), "")</f>
        <v>0</v>
      </c>
    </row>
    <row r="5826" spans="2:2">
      <c r="B5826" s="21">
        <f>IF(AND(C5826&lt;&gt;"", J5826&lt;&gt;""), HYPERLINK("#'" &amp; C5826 &amp; "'!" &amp; J5826, J5826), "")</f>
        <v>0</v>
      </c>
    </row>
    <row r="5827" spans="2:2">
      <c r="B5827" s="21">
        <f>IF(AND(C5827&lt;&gt;"", J5827&lt;&gt;""), HYPERLINK("#'" &amp; C5827 &amp; "'!" &amp; J5827, J5827), "")</f>
        <v>0</v>
      </c>
    </row>
    <row r="5828" spans="2:2">
      <c r="B5828" s="21">
        <f>IF(AND(C5828&lt;&gt;"", J5828&lt;&gt;""), HYPERLINK("#'" &amp; C5828 &amp; "'!" &amp; J5828, J5828), "")</f>
        <v>0</v>
      </c>
    </row>
    <row r="5829" spans="2:2">
      <c r="B5829" s="21">
        <f>IF(AND(C5829&lt;&gt;"", J5829&lt;&gt;""), HYPERLINK("#'" &amp; C5829 &amp; "'!" &amp; J5829, J5829), "")</f>
        <v>0</v>
      </c>
    </row>
    <row r="5830" spans="2:2">
      <c r="B5830" s="21">
        <f>IF(AND(C5830&lt;&gt;"", J5830&lt;&gt;""), HYPERLINK("#'" &amp; C5830 &amp; "'!" &amp; J5830, J5830), "")</f>
        <v>0</v>
      </c>
    </row>
    <row r="5831" spans="2:2">
      <c r="B5831" s="21">
        <f>IF(AND(C5831&lt;&gt;"", J5831&lt;&gt;""), HYPERLINK("#'" &amp; C5831 &amp; "'!" &amp; J5831, J5831), "")</f>
        <v>0</v>
      </c>
    </row>
    <row r="5832" spans="2:2">
      <c r="B5832" s="21">
        <f>IF(AND(C5832&lt;&gt;"", J5832&lt;&gt;""), HYPERLINK("#'" &amp; C5832 &amp; "'!" &amp; J5832, J5832), "")</f>
        <v>0</v>
      </c>
    </row>
    <row r="5833" spans="2:2">
      <c r="B5833" s="21">
        <f>IF(AND(C5833&lt;&gt;"", J5833&lt;&gt;""), HYPERLINK("#'" &amp; C5833 &amp; "'!" &amp; J5833, J5833), "")</f>
        <v>0</v>
      </c>
    </row>
    <row r="5834" spans="2:2">
      <c r="B5834" s="21">
        <f>IF(AND(C5834&lt;&gt;"", J5834&lt;&gt;""), HYPERLINK("#'" &amp; C5834 &amp; "'!" &amp; J5834, J5834), "")</f>
        <v>0</v>
      </c>
    </row>
    <row r="5835" spans="2:2">
      <c r="B5835" s="21">
        <f>IF(AND(C5835&lt;&gt;"", J5835&lt;&gt;""), HYPERLINK("#'" &amp; C5835 &amp; "'!" &amp; J5835, J5835), "")</f>
        <v>0</v>
      </c>
    </row>
    <row r="5836" spans="2:2">
      <c r="B5836" s="21">
        <f>IF(AND(C5836&lt;&gt;"", J5836&lt;&gt;""), HYPERLINK("#'" &amp; C5836 &amp; "'!" &amp; J5836, J5836), "")</f>
        <v>0</v>
      </c>
    </row>
    <row r="5837" spans="2:2">
      <c r="B5837" s="21">
        <f>IF(AND(C5837&lt;&gt;"", J5837&lt;&gt;""), HYPERLINK("#'" &amp; C5837 &amp; "'!" &amp; J5837, J5837), "")</f>
        <v>0</v>
      </c>
    </row>
    <row r="5838" spans="2:2">
      <c r="B5838" s="21">
        <f>IF(AND(C5838&lt;&gt;"", J5838&lt;&gt;""), HYPERLINK("#'" &amp; C5838 &amp; "'!" &amp; J5838, J5838), "")</f>
        <v>0</v>
      </c>
    </row>
    <row r="5839" spans="2:2">
      <c r="B5839" s="21">
        <f>IF(AND(C5839&lt;&gt;"", J5839&lt;&gt;""), HYPERLINK("#'" &amp; C5839 &amp; "'!" &amp; J5839, J5839), "")</f>
        <v>0</v>
      </c>
    </row>
    <row r="5840" spans="2:2">
      <c r="B5840" s="21">
        <f>IF(AND(C5840&lt;&gt;"", J5840&lt;&gt;""), HYPERLINK("#'" &amp; C5840 &amp; "'!" &amp; J5840, J5840), "")</f>
        <v>0</v>
      </c>
    </row>
    <row r="5841" spans="2:2">
      <c r="B5841" s="21">
        <f>IF(AND(C5841&lt;&gt;"", J5841&lt;&gt;""), HYPERLINK("#'" &amp; C5841 &amp; "'!" &amp; J5841, J5841), "")</f>
        <v>0</v>
      </c>
    </row>
    <row r="5842" spans="2:2">
      <c r="B5842" s="21">
        <f>IF(AND(C5842&lt;&gt;"", J5842&lt;&gt;""), HYPERLINK("#'" &amp; C5842 &amp; "'!" &amp; J5842, J5842), "")</f>
        <v>0</v>
      </c>
    </row>
    <row r="5843" spans="2:2">
      <c r="B5843" s="21">
        <f>IF(AND(C5843&lt;&gt;"", J5843&lt;&gt;""), HYPERLINK("#'" &amp; C5843 &amp; "'!" &amp; J5843, J5843), "")</f>
        <v>0</v>
      </c>
    </row>
    <row r="5844" spans="2:2">
      <c r="B5844" s="21">
        <f>IF(AND(C5844&lt;&gt;"", J5844&lt;&gt;""), HYPERLINK("#'" &amp; C5844 &amp; "'!" &amp; J5844, J5844), "")</f>
        <v>0</v>
      </c>
    </row>
    <row r="5845" spans="2:2">
      <c r="B5845" s="21">
        <f>IF(AND(C5845&lt;&gt;"", J5845&lt;&gt;""), HYPERLINK("#'" &amp; C5845 &amp; "'!" &amp; J5845, J5845), "")</f>
        <v>0</v>
      </c>
    </row>
    <row r="5846" spans="2:2">
      <c r="B5846" s="21">
        <f>IF(AND(C5846&lt;&gt;"", J5846&lt;&gt;""), HYPERLINK("#'" &amp; C5846 &amp; "'!" &amp; J5846, J5846), "")</f>
        <v>0</v>
      </c>
    </row>
    <row r="5847" spans="2:2">
      <c r="B5847" s="21">
        <f>IF(AND(C5847&lt;&gt;"", J5847&lt;&gt;""), HYPERLINK("#'" &amp; C5847 &amp; "'!" &amp; J5847, J5847), "")</f>
        <v>0</v>
      </c>
    </row>
    <row r="5848" spans="2:2">
      <c r="B5848" s="21">
        <f>IF(AND(C5848&lt;&gt;"", J5848&lt;&gt;""), HYPERLINK("#'" &amp; C5848 &amp; "'!" &amp; J5848, J5848), "")</f>
        <v>0</v>
      </c>
    </row>
    <row r="5849" spans="2:2">
      <c r="B5849" s="21">
        <f>IF(AND(C5849&lt;&gt;"", J5849&lt;&gt;""), HYPERLINK("#'" &amp; C5849 &amp; "'!" &amp; J5849, J5849), "")</f>
        <v>0</v>
      </c>
    </row>
    <row r="5850" spans="2:2">
      <c r="B5850" s="21">
        <f>IF(AND(C5850&lt;&gt;"", J5850&lt;&gt;""), HYPERLINK("#'" &amp; C5850 &amp; "'!" &amp; J5850, J5850), "")</f>
        <v>0</v>
      </c>
    </row>
    <row r="5851" spans="2:2">
      <c r="B5851" s="21">
        <f>IF(AND(C5851&lt;&gt;"", J5851&lt;&gt;""), HYPERLINK("#'" &amp; C5851 &amp; "'!" &amp; J5851, J5851), "")</f>
        <v>0</v>
      </c>
    </row>
    <row r="5852" spans="2:2">
      <c r="B5852" s="21">
        <f>IF(AND(C5852&lt;&gt;"", J5852&lt;&gt;""), HYPERLINK("#'" &amp; C5852 &amp; "'!" &amp; J5852, J5852), "")</f>
        <v>0</v>
      </c>
    </row>
    <row r="5853" spans="2:2">
      <c r="B5853" s="21">
        <f>IF(AND(C5853&lt;&gt;"", J5853&lt;&gt;""), HYPERLINK("#'" &amp; C5853 &amp; "'!" &amp; J5853, J5853), "")</f>
        <v>0</v>
      </c>
    </row>
    <row r="5854" spans="2:2">
      <c r="B5854" s="21">
        <f>IF(AND(C5854&lt;&gt;"", J5854&lt;&gt;""), HYPERLINK("#'" &amp; C5854 &amp; "'!" &amp; J5854, J5854), "")</f>
        <v>0</v>
      </c>
    </row>
    <row r="5855" spans="2:2">
      <c r="B5855" s="21">
        <f>IF(AND(C5855&lt;&gt;"", J5855&lt;&gt;""), HYPERLINK("#'" &amp; C5855 &amp; "'!" &amp; J5855, J5855), "")</f>
        <v>0</v>
      </c>
    </row>
    <row r="5856" spans="2:2">
      <c r="B5856" s="21">
        <f>IF(AND(C5856&lt;&gt;"", J5856&lt;&gt;""), HYPERLINK("#'" &amp; C5856 &amp; "'!" &amp; J5856, J5856), "")</f>
        <v>0</v>
      </c>
    </row>
    <row r="5857" spans="2:2">
      <c r="B5857" s="21">
        <f>IF(AND(C5857&lt;&gt;"", J5857&lt;&gt;""), HYPERLINK("#'" &amp; C5857 &amp; "'!" &amp; J5857, J5857), "")</f>
        <v>0</v>
      </c>
    </row>
    <row r="5858" spans="2:2">
      <c r="B5858" s="21">
        <f>IF(AND(C5858&lt;&gt;"", J5858&lt;&gt;""), HYPERLINK("#'" &amp; C5858 &amp; "'!" &amp; J5858, J5858), "")</f>
        <v>0</v>
      </c>
    </row>
    <row r="5859" spans="2:2">
      <c r="B5859" s="21">
        <f>IF(AND(C5859&lt;&gt;"", J5859&lt;&gt;""), HYPERLINK("#'" &amp; C5859 &amp; "'!" &amp; J5859, J5859), "")</f>
        <v>0</v>
      </c>
    </row>
    <row r="5860" spans="2:2">
      <c r="B5860" s="21">
        <f>IF(AND(C5860&lt;&gt;"", J5860&lt;&gt;""), HYPERLINK("#'" &amp; C5860 &amp; "'!" &amp; J5860, J5860), "")</f>
        <v>0</v>
      </c>
    </row>
    <row r="5861" spans="2:2">
      <c r="B5861" s="21">
        <f>IF(AND(C5861&lt;&gt;"", J5861&lt;&gt;""), HYPERLINK("#'" &amp; C5861 &amp; "'!" &amp; J5861, J5861), "")</f>
        <v>0</v>
      </c>
    </row>
    <row r="5862" spans="2:2">
      <c r="B5862" s="21">
        <f>IF(AND(C5862&lt;&gt;"", J5862&lt;&gt;""), HYPERLINK("#'" &amp; C5862 &amp; "'!" &amp; J5862, J5862), "")</f>
        <v>0</v>
      </c>
    </row>
    <row r="5863" spans="2:2">
      <c r="B5863" s="21">
        <f>IF(AND(C5863&lt;&gt;"", J5863&lt;&gt;""), HYPERLINK("#'" &amp; C5863 &amp; "'!" &amp; J5863, J5863), "")</f>
        <v>0</v>
      </c>
    </row>
    <row r="5864" spans="2:2">
      <c r="B5864" s="21">
        <f>IF(AND(C5864&lt;&gt;"", J5864&lt;&gt;""), HYPERLINK("#'" &amp; C5864 &amp; "'!" &amp; J5864, J5864), "")</f>
        <v>0</v>
      </c>
    </row>
    <row r="5865" spans="2:2">
      <c r="B5865" s="21">
        <f>IF(AND(C5865&lt;&gt;"", J5865&lt;&gt;""), HYPERLINK("#'" &amp; C5865 &amp; "'!" &amp; J5865, J5865), "")</f>
        <v>0</v>
      </c>
    </row>
    <row r="5866" spans="2:2">
      <c r="B5866" s="21">
        <f>IF(AND(C5866&lt;&gt;"", J5866&lt;&gt;""), HYPERLINK("#'" &amp; C5866 &amp; "'!" &amp; J5866, J5866), "")</f>
        <v>0</v>
      </c>
    </row>
    <row r="5867" spans="2:2">
      <c r="B5867" s="21">
        <f>IF(AND(C5867&lt;&gt;"", J5867&lt;&gt;""), HYPERLINK("#'" &amp; C5867 &amp; "'!" &amp; J5867, J5867), "")</f>
        <v>0</v>
      </c>
    </row>
    <row r="5868" spans="2:2">
      <c r="B5868" s="21">
        <f>IF(AND(C5868&lt;&gt;"", J5868&lt;&gt;""), HYPERLINK("#'" &amp; C5868 &amp; "'!" &amp; J5868, J5868), "")</f>
        <v>0</v>
      </c>
    </row>
    <row r="5869" spans="2:2">
      <c r="B5869" s="21">
        <f>IF(AND(C5869&lt;&gt;"", J5869&lt;&gt;""), HYPERLINK("#'" &amp; C5869 &amp; "'!" &amp; J5869, J5869), "")</f>
        <v>0</v>
      </c>
    </row>
    <row r="5870" spans="2:2">
      <c r="B5870" s="21">
        <f>IF(AND(C5870&lt;&gt;"", J5870&lt;&gt;""), HYPERLINK("#'" &amp; C5870 &amp; "'!" &amp; J5870, J5870), "")</f>
        <v>0</v>
      </c>
    </row>
    <row r="5871" spans="2:2">
      <c r="B5871" s="21">
        <f>IF(AND(C5871&lt;&gt;"", J5871&lt;&gt;""), HYPERLINK("#'" &amp; C5871 &amp; "'!" &amp; J5871, J5871), "")</f>
        <v>0</v>
      </c>
    </row>
    <row r="5872" spans="2:2">
      <c r="B5872" s="21">
        <f>IF(AND(C5872&lt;&gt;"", J5872&lt;&gt;""), HYPERLINK("#'" &amp; C5872 &amp; "'!" &amp; J5872, J5872), "")</f>
        <v>0</v>
      </c>
    </row>
    <row r="5873" spans="2:2">
      <c r="B5873" s="21">
        <f>IF(AND(C5873&lt;&gt;"", J5873&lt;&gt;""), HYPERLINK("#'" &amp; C5873 &amp; "'!" &amp; J5873, J5873), "")</f>
        <v>0</v>
      </c>
    </row>
    <row r="5874" spans="2:2">
      <c r="B5874" s="21">
        <f>IF(AND(C5874&lt;&gt;"", J5874&lt;&gt;""), HYPERLINK("#'" &amp; C5874 &amp; "'!" &amp; J5874, J5874), "")</f>
        <v>0</v>
      </c>
    </row>
    <row r="5875" spans="2:2">
      <c r="B5875" s="21">
        <f>IF(AND(C5875&lt;&gt;"", J5875&lt;&gt;""), HYPERLINK("#'" &amp; C5875 &amp; "'!" &amp; J5875, J5875), "")</f>
        <v>0</v>
      </c>
    </row>
    <row r="5876" spans="2:2">
      <c r="B5876" s="21">
        <f>IF(AND(C5876&lt;&gt;"", J5876&lt;&gt;""), HYPERLINK("#'" &amp; C5876 &amp; "'!" &amp; J5876, J5876), "")</f>
        <v>0</v>
      </c>
    </row>
    <row r="5877" spans="2:2">
      <c r="B5877" s="21">
        <f>IF(AND(C5877&lt;&gt;"", J5877&lt;&gt;""), HYPERLINK("#'" &amp; C5877 &amp; "'!" &amp; J5877, J5877), "")</f>
        <v>0</v>
      </c>
    </row>
    <row r="5878" spans="2:2">
      <c r="B5878" s="21">
        <f>IF(AND(C5878&lt;&gt;"", J5878&lt;&gt;""), HYPERLINK("#'" &amp; C5878 &amp; "'!" &amp; J5878, J5878), "")</f>
        <v>0</v>
      </c>
    </row>
    <row r="5879" spans="2:2">
      <c r="B5879" s="21">
        <f>IF(AND(C5879&lt;&gt;"", J5879&lt;&gt;""), HYPERLINK("#'" &amp; C5879 &amp; "'!" &amp; J5879, J5879), "")</f>
        <v>0</v>
      </c>
    </row>
    <row r="5880" spans="2:2">
      <c r="B5880" s="21">
        <f>IF(AND(C5880&lt;&gt;"", J5880&lt;&gt;""), HYPERLINK("#'" &amp; C5880 &amp; "'!" &amp; J5880, J5880), "")</f>
        <v>0</v>
      </c>
    </row>
    <row r="5881" spans="2:2">
      <c r="B5881" s="21">
        <f>IF(AND(C5881&lt;&gt;"", J5881&lt;&gt;""), HYPERLINK("#'" &amp; C5881 &amp; "'!" &amp; J5881, J5881), "")</f>
        <v>0</v>
      </c>
    </row>
    <row r="5882" spans="2:2">
      <c r="B5882" s="21">
        <f>IF(AND(C5882&lt;&gt;"", J5882&lt;&gt;""), HYPERLINK("#'" &amp; C5882 &amp; "'!" &amp; J5882, J5882), "")</f>
        <v>0</v>
      </c>
    </row>
    <row r="5883" spans="2:2">
      <c r="B5883" s="21">
        <f>IF(AND(C5883&lt;&gt;"", J5883&lt;&gt;""), HYPERLINK("#'" &amp; C5883 &amp; "'!" &amp; J5883, J5883), "")</f>
        <v>0</v>
      </c>
    </row>
    <row r="5884" spans="2:2">
      <c r="B5884" s="21">
        <f>IF(AND(C5884&lt;&gt;"", J5884&lt;&gt;""), HYPERLINK("#'" &amp; C5884 &amp; "'!" &amp; J5884, J5884), "")</f>
        <v>0</v>
      </c>
    </row>
    <row r="5885" spans="2:2">
      <c r="B5885" s="21">
        <f>IF(AND(C5885&lt;&gt;"", J5885&lt;&gt;""), HYPERLINK("#'" &amp; C5885 &amp; "'!" &amp; J5885, J5885), "")</f>
        <v>0</v>
      </c>
    </row>
    <row r="5886" spans="2:2">
      <c r="B5886" s="21">
        <f>IF(AND(C5886&lt;&gt;"", J5886&lt;&gt;""), HYPERLINK("#'" &amp; C5886 &amp; "'!" &amp; J5886, J5886), "")</f>
        <v>0</v>
      </c>
    </row>
    <row r="5887" spans="2:2">
      <c r="B5887" s="21">
        <f>IF(AND(C5887&lt;&gt;"", J5887&lt;&gt;""), HYPERLINK("#'" &amp; C5887 &amp; "'!" &amp; J5887, J5887), "")</f>
        <v>0</v>
      </c>
    </row>
    <row r="5888" spans="2:2">
      <c r="B5888" s="21">
        <f>IF(AND(C5888&lt;&gt;"", J5888&lt;&gt;""), HYPERLINK("#'" &amp; C5888 &amp; "'!" &amp; J5888, J5888), "")</f>
        <v>0</v>
      </c>
    </row>
    <row r="5889" spans="2:2">
      <c r="B5889" s="21">
        <f>IF(AND(C5889&lt;&gt;"", J5889&lt;&gt;""), HYPERLINK("#'" &amp; C5889 &amp; "'!" &amp; J5889, J5889), "")</f>
        <v>0</v>
      </c>
    </row>
    <row r="5890" spans="2:2">
      <c r="B5890" s="21">
        <f>IF(AND(C5890&lt;&gt;"", J5890&lt;&gt;""), HYPERLINK("#'" &amp; C5890 &amp; "'!" &amp; J5890, J5890), "")</f>
        <v>0</v>
      </c>
    </row>
    <row r="5891" spans="2:2">
      <c r="B5891" s="21">
        <f>IF(AND(C5891&lt;&gt;"", J5891&lt;&gt;""), HYPERLINK("#'" &amp; C5891 &amp; "'!" &amp; J5891, J5891), "")</f>
        <v>0</v>
      </c>
    </row>
    <row r="5892" spans="2:2">
      <c r="B5892" s="21">
        <f>IF(AND(C5892&lt;&gt;"", J5892&lt;&gt;""), HYPERLINK("#'" &amp; C5892 &amp; "'!" &amp; J5892, J5892), "")</f>
        <v>0</v>
      </c>
    </row>
    <row r="5893" spans="2:2">
      <c r="B5893" s="21">
        <f>IF(AND(C5893&lt;&gt;"", J5893&lt;&gt;""), HYPERLINK("#'" &amp; C5893 &amp; "'!" &amp; J5893, J5893), "")</f>
        <v>0</v>
      </c>
    </row>
    <row r="5894" spans="2:2">
      <c r="B5894" s="21">
        <f>IF(AND(C5894&lt;&gt;"", J5894&lt;&gt;""), HYPERLINK("#'" &amp; C5894 &amp; "'!" &amp; J5894, J5894), "")</f>
        <v>0</v>
      </c>
    </row>
    <row r="5895" spans="2:2">
      <c r="B5895" s="21">
        <f>IF(AND(C5895&lt;&gt;"", J5895&lt;&gt;""), HYPERLINK("#'" &amp; C5895 &amp; "'!" &amp; J5895, J5895), "")</f>
        <v>0</v>
      </c>
    </row>
    <row r="5896" spans="2:2">
      <c r="B5896" s="21">
        <f>IF(AND(C5896&lt;&gt;"", J5896&lt;&gt;""), HYPERLINK("#'" &amp; C5896 &amp; "'!" &amp; J5896, J5896), "")</f>
        <v>0</v>
      </c>
    </row>
    <row r="5897" spans="2:2">
      <c r="B5897" s="21">
        <f>IF(AND(C5897&lt;&gt;"", J5897&lt;&gt;""), HYPERLINK("#'" &amp; C5897 &amp; "'!" &amp; J5897, J5897), "")</f>
        <v>0</v>
      </c>
    </row>
    <row r="5898" spans="2:2">
      <c r="B5898" s="21">
        <f>IF(AND(C5898&lt;&gt;"", J5898&lt;&gt;""), HYPERLINK("#'" &amp; C5898 &amp; "'!" &amp; J5898, J5898), "")</f>
        <v>0</v>
      </c>
    </row>
    <row r="5899" spans="2:2">
      <c r="B5899" s="21">
        <f>IF(AND(C5899&lt;&gt;"", J5899&lt;&gt;""), HYPERLINK("#'" &amp; C5899 &amp; "'!" &amp; J5899, J5899), "")</f>
        <v>0</v>
      </c>
    </row>
    <row r="5900" spans="2:2">
      <c r="B5900" s="21">
        <f>IF(AND(C5900&lt;&gt;"", J5900&lt;&gt;""), HYPERLINK("#'" &amp; C5900 &amp; "'!" &amp; J5900, J5900), "")</f>
        <v>0</v>
      </c>
    </row>
    <row r="5901" spans="2:2">
      <c r="B5901" s="21">
        <f>IF(AND(C5901&lt;&gt;"", J5901&lt;&gt;""), HYPERLINK("#'" &amp; C5901 &amp; "'!" &amp; J5901, J5901), "")</f>
        <v>0</v>
      </c>
    </row>
    <row r="5902" spans="2:2">
      <c r="B5902" s="21">
        <f>IF(AND(C5902&lt;&gt;"", J5902&lt;&gt;""), HYPERLINK("#'" &amp; C5902 &amp; "'!" &amp; J5902, J5902), "")</f>
        <v>0</v>
      </c>
    </row>
    <row r="5903" spans="2:2">
      <c r="B5903" s="21">
        <f>IF(AND(C5903&lt;&gt;"", J5903&lt;&gt;""), HYPERLINK("#'" &amp; C5903 &amp; "'!" &amp; J5903, J5903), "")</f>
        <v>0</v>
      </c>
    </row>
    <row r="5904" spans="2:2">
      <c r="B5904" s="21">
        <f>IF(AND(C5904&lt;&gt;"", J5904&lt;&gt;""), HYPERLINK("#'" &amp; C5904 &amp; "'!" &amp; J5904, J5904), "")</f>
        <v>0</v>
      </c>
    </row>
    <row r="5905" spans="2:2">
      <c r="B5905" s="21">
        <f>IF(AND(C5905&lt;&gt;"", J5905&lt;&gt;""), HYPERLINK("#'" &amp; C5905 &amp; "'!" &amp; J5905, J5905), "")</f>
        <v>0</v>
      </c>
    </row>
    <row r="5906" spans="2:2">
      <c r="B5906" s="21">
        <f>IF(AND(C5906&lt;&gt;"", J5906&lt;&gt;""), HYPERLINK("#'" &amp; C5906 &amp; "'!" &amp; J5906, J5906), "")</f>
        <v>0</v>
      </c>
    </row>
    <row r="5907" spans="2:2">
      <c r="B5907" s="21">
        <f>IF(AND(C5907&lt;&gt;"", J5907&lt;&gt;""), HYPERLINK("#'" &amp; C5907 &amp; "'!" &amp; J5907, J5907), "")</f>
        <v>0</v>
      </c>
    </row>
    <row r="5908" spans="2:2">
      <c r="B5908" s="21">
        <f>IF(AND(C5908&lt;&gt;"", J5908&lt;&gt;""), HYPERLINK("#'" &amp; C5908 &amp; "'!" &amp; J5908, J5908), "")</f>
        <v>0</v>
      </c>
    </row>
    <row r="5909" spans="2:2">
      <c r="B5909" s="21">
        <f>IF(AND(C5909&lt;&gt;"", J5909&lt;&gt;""), HYPERLINK("#'" &amp; C5909 &amp; "'!" &amp; J5909, J5909), "")</f>
        <v>0</v>
      </c>
    </row>
    <row r="5910" spans="2:2">
      <c r="B5910" s="21">
        <f>IF(AND(C5910&lt;&gt;"", J5910&lt;&gt;""), HYPERLINK("#'" &amp; C5910 &amp; "'!" &amp; J5910, J5910), "")</f>
        <v>0</v>
      </c>
    </row>
    <row r="5911" spans="2:2">
      <c r="B5911" s="21">
        <f>IF(AND(C5911&lt;&gt;"", J5911&lt;&gt;""), HYPERLINK("#'" &amp; C5911 &amp; "'!" &amp; J5911, J5911), "")</f>
        <v>0</v>
      </c>
    </row>
    <row r="5912" spans="2:2">
      <c r="B5912" s="21">
        <f>IF(AND(C5912&lt;&gt;"", J5912&lt;&gt;""), HYPERLINK("#'" &amp; C5912 &amp; "'!" &amp; J5912, J5912), "")</f>
        <v>0</v>
      </c>
    </row>
    <row r="5913" spans="2:2">
      <c r="B5913" s="21">
        <f>IF(AND(C5913&lt;&gt;"", J5913&lt;&gt;""), HYPERLINK("#'" &amp; C5913 &amp; "'!" &amp; J5913, J5913), "")</f>
        <v>0</v>
      </c>
    </row>
    <row r="5914" spans="2:2">
      <c r="B5914" s="21">
        <f>IF(AND(C5914&lt;&gt;"", J5914&lt;&gt;""), HYPERLINK("#'" &amp; C5914 &amp; "'!" &amp; J5914, J5914), "")</f>
        <v>0</v>
      </c>
    </row>
    <row r="5915" spans="2:2">
      <c r="B5915" s="21">
        <f>IF(AND(C5915&lt;&gt;"", J5915&lt;&gt;""), HYPERLINK("#'" &amp; C5915 &amp; "'!" &amp; J5915, J5915), "")</f>
        <v>0</v>
      </c>
    </row>
    <row r="5916" spans="2:2">
      <c r="B5916" s="21">
        <f>IF(AND(C5916&lt;&gt;"", J5916&lt;&gt;""), HYPERLINK("#'" &amp; C5916 &amp; "'!" &amp; J5916, J5916), "")</f>
        <v>0</v>
      </c>
    </row>
    <row r="5917" spans="2:2">
      <c r="B5917" s="21">
        <f>IF(AND(C5917&lt;&gt;"", J5917&lt;&gt;""), HYPERLINK("#'" &amp; C5917 &amp; "'!" &amp; J5917, J5917), "")</f>
        <v>0</v>
      </c>
    </row>
    <row r="5918" spans="2:2">
      <c r="B5918" s="21">
        <f>IF(AND(C5918&lt;&gt;"", J5918&lt;&gt;""), HYPERLINK("#'" &amp; C5918 &amp; "'!" &amp; J5918, J5918), "")</f>
        <v>0</v>
      </c>
    </row>
    <row r="5919" spans="2:2">
      <c r="B5919" s="21">
        <f>IF(AND(C5919&lt;&gt;"", J5919&lt;&gt;""), HYPERLINK("#'" &amp; C5919 &amp; "'!" &amp; J5919, J5919), "")</f>
        <v>0</v>
      </c>
    </row>
    <row r="5920" spans="2:2">
      <c r="B5920" s="21">
        <f>IF(AND(C5920&lt;&gt;"", J5920&lt;&gt;""), HYPERLINK("#'" &amp; C5920 &amp; "'!" &amp; J5920, J5920), "")</f>
        <v>0</v>
      </c>
    </row>
    <row r="5921" spans="2:2">
      <c r="B5921" s="21">
        <f>IF(AND(C5921&lt;&gt;"", J5921&lt;&gt;""), HYPERLINK("#'" &amp; C5921 &amp; "'!" &amp; J5921, J5921), "")</f>
        <v>0</v>
      </c>
    </row>
    <row r="5922" spans="2:2">
      <c r="B5922" s="21">
        <f>IF(AND(C5922&lt;&gt;"", J5922&lt;&gt;""), HYPERLINK("#'" &amp; C5922 &amp; "'!" &amp; J5922, J5922), "")</f>
        <v>0</v>
      </c>
    </row>
    <row r="5923" spans="2:2">
      <c r="B5923" s="21">
        <f>IF(AND(C5923&lt;&gt;"", J5923&lt;&gt;""), HYPERLINK("#'" &amp; C5923 &amp; "'!" &amp; J5923, J5923), "")</f>
        <v>0</v>
      </c>
    </row>
    <row r="5924" spans="2:2">
      <c r="B5924" s="21">
        <f>IF(AND(C5924&lt;&gt;"", J5924&lt;&gt;""), HYPERLINK("#'" &amp; C5924 &amp; "'!" &amp; J5924, J5924), "")</f>
        <v>0</v>
      </c>
    </row>
    <row r="5925" spans="2:2">
      <c r="B5925" s="21">
        <f>IF(AND(C5925&lt;&gt;"", J5925&lt;&gt;""), HYPERLINK("#'" &amp; C5925 &amp; "'!" &amp; J5925, J5925), "")</f>
        <v>0</v>
      </c>
    </row>
    <row r="5926" spans="2:2">
      <c r="B5926" s="21">
        <f>IF(AND(C5926&lt;&gt;"", J5926&lt;&gt;""), HYPERLINK("#'" &amp; C5926 &amp; "'!" &amp; J5926, J5926), "")</f>
        <v>0</v>
      </c>
    </row>
    <row r="5927" spans="2:2">
      <c r="B5927" s="21">
        <f>IF(AND(C5927&lt;&gt;"", J5927&lt;&gt;""), HYPERLINK("#'" &amp; C5927 &amp; "'!" &amp; J5927, J5927), "")</f>
        <v>0</v>
      </c>
    </row>
    <row r="5928" spans="2:2">
      <c r="B5928" s="21">
        <f>IF(AND(C5928&lt;&gt;"", J5928&lt;&gt;""), HYPERLINK("#'" &amp; C5928 &amp; "'!" &amp; J5928, J5928), "")</f>
        <v>0</v>
      </c>
    </row>
    <row r="5929" spans="2:2">
      <c r="B5929" s="21">
        <f>IF(AND(C5929&lt;&gt;"", J5929&lt;&gt;""), HYPERLINK("#'" &amp; C5929 &amp; "'!" &amp; J5929, J5929), "")</f>
        <v>0</v>
      </c>
    </row>
    <row r="5930" spans="2:2">
      <c r="B5930" s="21">
        <f>IF(AND(C5930&lt;&gt;"", J5930&lt;&gt;""), HYPERLINK("#'" &amp; C5930 &amp; "'!" &amp; J5930, J5930), "")</f>
        <v>0</v>
      </c>
    </row>
    <row r="5931" spans="2:2">
      <c r="B5931" s="21">
        <f>IF(AND(C5931&lt;&gt;"", J5931&lt;&gt;""), HYPERLINK("#'" &amp; C5931 &amp; "'!" &amp; J5931, J5931), "")</f>
        <v>0</v>
      </c>
    </row>
    <row r="5932" spans="2:2">
      <c r="B5932" s="21">
        <f>IF(AND(C5932&lt;&gt;"", J5932&lt;&gt;""), HYPERLINK("#'" &amp; C5932 &amp; "'!" &amp; J5932, J5932), "")</f>
        <v>0</v>
      </c>
    </row>
    <row r="5933" spans="2:2">
      <c r="B5933" s="21">
        <f>IF(AND(C5933&lt;&gt;"", J5933&lt;&gt;""), HYPERLINK("#'" &amp; C5933 &amp; "'!" &amp; J5933, J5933), "")</f>
        <v>0</v>
      </c>
    </row>
    <row r="5934" spans="2:2">
      <c r="B5934" s="21">
        <f>IF(AND(C5934&lt;&gt;"", J5934&lt;&gt;""), HYPERLINK("#'" &amp; C5934 &amp; "'!" &amp; J5934, J5934), "")</f>
        <v>0</v>
      </c>
    </row>
    <row r="5935" spans="2:2">
      <c r="B5935" s="21">
        <f>IF(AND(C5935&lt;&gt;"", J5935&lt;&gt;""), HYPERLINK("#'" &amp; C5935 &amp; "'!" &amp; J5935, J5935), "")</f>
        <v>0</v>
      </c>
    </row>
    <row r="5936" spans="2:2">
      <c r="B5936" s="21">
        <f>IF(AND(C5936&lt;&gt;"", J5936&lt;&gt;""), HYPERLINK("#'" &amp; C5936 &amp; "'!" &amp; J5936, J5936), "")</f>
        <v>0</v>
      </c>
    </row>
    <row r="5937" spans="2:2">
      <c r="B5937" s="21">
        <f>IF(AND(C5937&lt;&gt;"", J5937&lt;&gt;""), HYPERLINK("#'" &amp; C5937 &amp; "'!" &amp; J5937, J5937), "")</f>
        <v>0</v>
      </c>
    </row>
    <row r="5938" spans="2:2">
      <c r="B5938" s="21">
        <f>IF(AND(C5938&lt;&gt;"", J5938&lt;&gt;""), HYPERLINK("#'" &amp; C5938 &amp; "'!" &amp; J5938, J5938), "")</f>
        <v>0</v>
      </c>
    </row>
    <row r="5939" spans="2:2">
      <c r="B5939" s="21">
        <f>IF(AND(C5939&lt;&gt;"", J5939&lt;&gt;""), HYPERLINK("#'" &amp; C5939 &amp; "'!" &amp; J5939, J5939), "")</f>
        <v>0</v>
      </c>
    </row>
    <row r="5940" spans="2:2">
      <c r="B5940" s="21">
        <f>IF(AND(C5940&lt;&gt;"", J5940&lt;&gt;""), HYPERLINK("#'" &amp; C5940 &amp; "'!" &amp; J5940, J5940), "")</f>
        <v>0</v>
      </c>
    </row>
    <row r="5941" spans="2:2">
      <c r="B5941" s="21">
        <f>IF(AND(C5941&lt;&gt;"", J5941&lt;&gt;""), HYPERLINK("#'" &amp; C5941 &amp; "'!" &amp; J5941, J5941), "")</f>
        <v>0</v>
      </c>
    </row>
    <row r="5942" spans="2:2">
      <c r="B5942" s="21">
        <f>IF(AND(C5942&lt;&gt;"", J5942&lt;&gt;""), HYPERLINK("#'" &amp; C5942 &amp; "'!" &amp; J5942, J5942), "")</f>
        <v>0</v>
      </c>
    </row>
    <row r="5943" spans="2:2">
      <c r="B5943" s="21">
        <f>IF(AND(C5943&lt;&gt;"", J5943&lt;&gt;""), HYPERLINK("#'" &amp; C5943 &amp; "'!" &amp; J5943, J5943), "")</f>
        <v>0</v>
      </c>
    </row>
    <row r="5944" spans="2:2">
      <c r="B5944" s="21">
        <f>IF(AND(C5944&lt;&gt;"", J5944&lt;&gt;""), HYPERLINK("#'" &amp; C5944 &amp; "'!" &amp; J5944, J5944), "")</f>
        <v>0</v>
      </c>
    </row>
    <row r="5945" spans="2:2">
      <c r="B5945" s="21">
        <f>IF(AND(C5945&lt;&gt;"", J5945&lt;&gt;""), HYPERLINK("#'" &amp; C5945 &amp; "'!" &amp; J5945, J5945), "")</f>
        <v>0</v>
      </c>
    </row>
    <row r="5946" spans="2:2">
      <c r="B5946" s="21">
        <f>IF(AND(C5946&lt;&gt;"", J5946&lt;&gt;""), HYPERLINK("#'" &amp; C5946 &amp; "'!" &amp; J5946, J5946), "")</f>
        <v>0</v>
      </c>
    </row>
    <row r="5947" spans="2:2">
      <c r="B5947" s="21">
        <f>IF(AND(C5947&lt;&gt;"", J5947&lt;&gt;""), HYPERLINK("#'" &amp; C5947 &amp; "'!" &amp; J5947, J5947), "")</f>
        <v>0</v>
      </c>
    </row>
    <row r="5948" spans="2:2">
      <c r="B5948" s="21">
        <f>IF(AND(C5948&lt;&gt;"", J5948&lt;&gt;""), HYPERLINK("#'" &amp; C5948 &amp; "'!" &amp; J5948, J5948), "")</f>
        <v>0</v>
      </c>
    </row>
    <row r="5949" spans="2:2">
      <c r="B5949" s="21">
        <f>IF(AND(C5949&lt;&gt;"", J5949&lt;&gt;""), HYPERLINK("#'" &amp; C5949 &amp; "'!" &amp; J5949, J5949), "")</f>
        <v>0</v>
      </c>
    </row>
    <row r="5950" spans="2:2">
      <c r="B5950" s="21">
        <f>IF(AND(C5950&lt;&gt;"", J5950&lt;&gt;""), HYPERLINK("#'" &amp; C5950 &amp; "'!" &amp; J5950, J5950), "")</f>
        <v>0</v>
      </c>
    </row>
    <row r="5951" spans="2:2">
      <c r="B5951" s="21">
        <f>IF(AND(C5951&lt;&gt;"", J5951&lt;&gt;""), HYPERLINK("#'" &amp; C5951 &amp; "'!" &amp; J5951, J5951), "")</f>
        <v>0</v>
      </c>
    </row>
    <row r="5952" spans="2:2">
      <c r="B5952" s="21">
        <f>IF(AND(C5952&lt;&gt;"", J5952&lt;&gt;""), HYPERLINK("#'" &amp; C5952 &amp; "'!" &amp; J5952, J5952), "")</f>
        <v>0</v>
      </c>
    </row>
    <row r="5953" spans="2:2">
      <c r="B5953" s="21">
        <f>IF(AND(C5953&lt;&gt;"", J5953&lt;&gt;""), HYPERLINK("#'" &amp; C5953 &amp; "'!" &amp; J5953, J5953), "")</f>
        <v>0</v>
      </c>
    </row>
    <row r="5954" spans="2:2">
      <c r="B5954" s="21">
        <f>IF(AND(C5954&lt;&gt;"", J5954&lt;&gt;""), HYPERLINK("#'" &amp; C5954 &amp; "'!" &amp; J5954, J5954), "")</f>
        <v>0</v>
      </c>
    </row>
    <row r="5955" spans="2:2">
      <c r="B5955" s="21">
        <f>IF(AND(C5955&lt;&gt;"", J5955&lt;&gt;""), HYPERLINK("#'" &amp; C5955 &amp; "'!" &amp; J5955, J5955), "")</f>
        <v>0</v>
      </c>
    </row>
    <row r="5956" spans="2:2">
      <c r="B5956" s="21">
        <f>IF(AND(C5956&lt;&gt;"", J5956&lt;&gt;""), HYPERLINK("#'" &amp; C5956 &amp; "'!" &amp; J5956, J5956), "")</f>
        <v>0</v>
      </c>
    </row>
    <row r="5957" spans="2:2">
      <c r="B5957" s="21">
        <f>IF(AND(C5957&lt;&gt;"", J5957&lt;&gt;""), HYPERLINK("#'" &amp; C5957 &amp; "'!" &amp; J5957, J5957), "")</f>
        <v>0</v>
      </c>
    </row>
    <row r="5958" spans="2:2">
      <c r="B5958" s="21">
        <f>IF(AND(C5958&lt;&gt;"", J5958&lt;&gt;""), HYPERLINK("#'" &amp; C5958 &amp; "'!" &amp; J5958, J5958), "")</f>
        <v>0</v>
      </c>
    </row>
    <row r="5959" spans="2:2">
      <c r="B5959" s="21">
        <f>IF(AND(C5959&lt;&gt;"", J5959&lt;&gt;""), HYPERLINK("#'" &amp; C5959 &amp; "'!" &amp; J5959, J5959), "")</f>
        <v>0</v>
      </c>
    </row>
    <row r="5960" spans="2:2">
      <c r="B5960" s="21">
        <f>IF(AND(C5960&lt;&gt;"", J5960&lt;&gt;""), HYPERLINK("#'" &amp; C5960 &amp; "'!" &amp; J5960, J5960), "")</f>
        <v>0</v>
      </c>
    </row>
    <row r="5961" spans="2:2">
      <c r="B5961" s="21">
        <f>IF(AND(C5961&lt;&gt;"", J5961&lt;&gt;""), HYPERLINK("#'" &amp; C5961 &amp; "'!" &amp; J5961, J5961), "")</f>
        <v>0</v>
      </c>
    </row>
    <row r="5962" spans="2:2">
      <c r="B5962" s="21">
        <f>IF(AND(C5962&lt;&gt;"", J5962&lt;&gt;""), HYPERLINK("#'" &amp; C5962 &amp; "'!" &amp; J5962, J5962), "")</f>
        <v>0</v>
      </c>
    </row>
    <row r="5963" spans="2:2">
      <c r="B5963" s="21">
        <f>IF(AND(C5963&lt;&gt;"", J5963&lt;&gt;""), HYPERLINK("#'" &amp; C5963 &amp; "'!" &amp; J5963, J5963), "")</f>
        <v>0</v>
      </c>
    </row>
    <row r="5964" spans="2:2">
      <c r="B5964" s="21">
        <f>IF(AND(C5964&lt;&gt;"", J5964&lt;&gt;""), HYPERLINK("#'" &amp; C5964 &amp; "'!" &amp; J5964, J5964), "")</f>
        <v>0</v>
      </c>
    </row>
    <row r="5965" spans="2:2">
      <c r="B5965" s="21">
        <f>IF(AND(C5965&lt;&gt;"", J5965&lt;&gt;""), HYPERLINK("#'" &amp; C5965 &amp; "'!" &amp; J5965, J5965), "")</f>
        <v>0</v>
      </c>
    </row>
    <row r="5966" spans="2:2">
      <c r="B5966" s="21">
        <f>IF(AND(C5966&lt;&gt;"", J5966&lt;&gt;""), HYPERLINK("#'" &amp; C5966 &amp; "'!" &amp; J5966, J5966), "")</f>
        <v>0</v>
      </c>
    </row>
    <row r="5967" spans="2:2">
      <c r="B5967" s="21">
        <f>IF(AND(C5967&lt;&gt;"", J5967&lt;&gt;""), HYPERLINK("#'" &amp; C5967 &amp; "'!" &amp; J5967, J5967), "")</f>
        <v>0</v>
      </c>
    </row>
    <row r="5968" spans="2:2">
      <c r="B5968" s="21">
        <f>IF(AND(C5968&lt;&gt;"", J5968&lt;&gt;""), HYPERLINK("#'" &amp; C5968 &amp; "'!" &amp; J5968, J5968), "")</f>
        <v>0</v>
      </c>
    </row>
    <row r="5969" spans="2:2">
      <c r="B5969" s="21">
        <f>IF(AND(C5969&lt;&gt;"", J5969&lt;&gt;""), HYPERLINK("#'" &amp; C5969 &amp; "'!" &amp; J5969, J5969), "")</f>
        <v>0</v>
      </c>
    </row>
    <row r="5970" spans="2:2">
      <c r="B5970" s="21">
        <f>IF(AND(C5970&lt;&gt;"", J5970&lt;&gt;""), HYPERLINK("#'" &amp; C5970 &amp; "'!" &amp; J5970, J5970), "")</f>
        <v>0</v>
      </c>
    </row>
    <row r="5971" spans="2:2">
      <c r="B5971" s="21">
        <f>IF(AND(C5971&lt;&gt;"", J5971&lt;&gt;""), HYPERLINK("#'" &amp; C5971 &amp; "'!" &amp; J5971, J5971), "")</f>
        <v>0</v>
      </c>
    </row>
    <row r="5972" spans="2:2">
      <c r="B5972" s="21">
        <f>IF(AND(C5972&lt;&gt;"", J5972&lt;&gt;""), HYPERLINK("#'" &amp; C5972 &amp; "'!" &amp; J5972, J5972), "")</f>
        <v>0</v>
      </c>
    </row>
    <row r="5973" spans="2:2">
      <c r="B5973" s="21">
        <f>IF(AND(C5973&lt;&gt;"", J5973&lt;&gt;""), HYPERLINK("#'" &amp; C5973 &amp; "'!" &amp; J5973, J5973), "")</f>
        <v>0</v>
      </c>
    </row>
    <row r="5974" spans="2:2">
      <c r="B5974" s="21">
        <f>IF(AND(C5974&lt;&gt;"", J5974&lt;&gt;""), HYPERLINK("#'" &amp; C5974 &amp; "'!" &amp; J5974, J5974), "")</f>
        <v>0</v>
      </c>
    </row>
    <row r="5975" spans="2:2">
      <c r="B5975" s="21">
        <f>IF(AND(C5975&lt;&gt;"", J5975&lt;&gt;""), HYPERLINK("#'" &amp; C5975 &amp; "'!" &amp; J5975, J5975), "")</f>
        <v>0</v>
      </c>
    </row>
    <row r="5976" spans="2:2">
      <c r="B5976" s="21">
        <f>IF(AND(C5976&lt;&gt;"", J5976&lt;&gt;""), HYPERLINK("#'" &amp; C5976 &amp; "'!" &amp; J5976, J5976), "")</f>
        <v>0</v>
      </c>
    </row>
    <row r="5977" spans="2:2">
      <c r="B5977" s="21">
        <f>IF(AND(C5977&lt;&gt;"", J5977&lt;&gt;""), HYPERLINK("#'" &amp; C5977 &amp; "'!" &amp; J5977, J5977), "")</f>
        <v>0</v>
      </c>
    </row>
    <row r="5978" spans="2:2">
      <c r="B5978" s="21">
        <f>IF(AND(C5978&lt;&gt;"", J5978&lt;&gt;""), HYPERLINK("#'" &amp; C5978 &amp; "'!" &amp; J5978, J5978), "")</f>
        <v>0</v>
      </c>
    </row>
    <row r="5979" spans="2:2">
      <c r="B5979" s="21">
        <f>IF(AND(C5979&lt;&gt;"", J5979&lt;&gt;""), HYPERLINK("#'" &amp; C5979 &amp; "'!" &amp; J5979, J5979), "")</f>
        <v>0</v>
      </c>
    </row>
    <row r="5980" spans="2:2">
      <c r="B5980" s="21">
        <f>IF(AND(C5980&lt;&gt;"", J5980&lt;&gt;""), HYPERLINK("#'" &amp; C5980 &amp; "'!" &amp; J5980, J5980), "")</f>
        <v>0</v>
      </c>
    </row>
    <row r="5981" spans="2:2">
      <c r="B5981" s="21">
        <f>IF(AND(C5981&lt;&gt;"", J5981&lt;&gt;""), HYPERLINK("#'" &amp; C5981 &amp; "'!" &amp; J5981, J5981), "")</f>
        <v>0</v>
      </c>
    </row>
    <row r="5982" spans="2:2">
      <c r="B5982" s="21">
        <f>IF(AND(C5982&lt;&gt;"", J5982&lt;&gt;""), HYPERLINK("#'" &amp; C5982 &amp; "'!" &amp; J5982, J5982), "")</f>
        <v>0</v>
      </c>
    </row>
    <row r="5983" spans="2:2">
      <c r="B5983" s="21">
        <f>IF(AND(C5983&lt;&gt;"", J5983&lt;&gt;""), HYPERLINK("#'" &amp; C5983 &amp; "'!" &amp; J5983, J5983), "")</f>
        <v>0</v>
      </c>
    </row>
    <row r="5984" spans="2:2">
      <c r="B5984" s="21">
        <f>IF(AND(C5984&lt;&gt;"", J5984&lt;&gt;""), HYPERLINK("#'" &amp; C5984 &amp; "'!" &amp; J5984, J5984), "")</f>
        <v>0</v>
      </c>
    </row>
    <row r="5985" spans="2:2">
      <c r="B5985" s="21">
        <f>IF(AND(C5985&lt;&gt;"", J5985&lt;&gt;""), HYPERLINK("#'" &amp; C5985 &amp; "'!" &amp; J5985, J5985), "")</f>
        <v>0</v>
      </c>
    </row>
    <row r="5986" spans="2:2">
      <c r="B5986" s="21">
        <f>IF(AND(C5986&lt;&gt;"", J5986&lt;&gt;""), HYPERLINK("#'" &amp; C5986 &amp; "'!" &amp; J5986, J5986), "")</f>
        <v>0</v>
      </c>
    </row>
    <row r="5987" spans="2:2">
      <c r="B5987" s="21">
        <f>IF(AND(C5987&lt;&gt;"", J5987&lt;&gt;""), HYPERLINK("#'" &amp; C5987 &amp; "'!" &amp; J5987, J5987), "")</f>
        <v>0</v>
      </c>
    </row>
    <row r="5988" spans="2:2">
      <c r="B5988" s="21">
        <f>IF(AND(C5988&lt;&gt;"", J5988&lt;&gt;""), HYPERLINK("#'" &amp; C5988 &amp; "'!" &amp; J5988, J5988), "")</f>
        <v>0</v>
      </c>
    </row>
    <row r="5989" spans="2:2">
      <c r="B5989" s="21">
        <f>IF(AND(C5989&lt;&gt;"", J5989&lt;&gt;""), HYPERLINK("#'" &amp; C5989 &amp; "'!" &amp; J5989, J5989), "")</f>
        <v>0</v>
      </c>
    </row>
    <row r="5990" spans="2:2">
      <c r="B5990" s="21">
        <f>IF(AND(C5990&lt;&gt;"", J5990&lt;&gt;""), HYPERLINK("#'" &amp; C5990 &amp; "'!" &amp; J5990, J5990), "")</f>
        <v>0</v>
      </c>
    </row>
    <row r="5991" spans="2:2">
      <c r="B5991" s="21">
        <f>IF(AND(C5991&lt;&gt;"", J5991&lt;&gt;""), HYPERLINK("#'" &amp; C5991 &amp; "'!" &amp; J5991, J5991), "")</f>
        <v>0</v>
      </c>
    </row>
    <row r="5992" spans="2:2">
      <c r="B5992" s="21">
        <f>IF(AND(C5992&lt;&gt;"", J5992&lt;&gt;""), HYPERLINK("#'" &amp; C5992 &amp; "'!" &amp; J5992, J5992), "")</f>
        <v>0</v>
      </c>
    </row>
    <row r="5993" spans="2:2">
      <c r="B5993" s="21">
        <f>IF(AND(C5993&lt;&gt;"", J5993&lt;&gt;""), HYPERLINK("#'" &amp; C5993 &amp; "'!" &amp; J5993, J5993), "")</f>
        <v>0</v>
      </c>
    </row>
    <row r="5994" spans="2:2">
      <c r="B5994" s="21">
        <f>IF(AND(C5994&lt;&gt;"", J5994&lt;&gt;""), HYPERLINK("#'" &amp; C5994 &amp; "'!" &amp; J5994, J5994), "")</f>
        <v>0</v>
      </c>
    </row>
    <row r="5995" spans="2:2">
      <c r="B5995" s="21">
        <f>IF(AND(C5995&lt;&gt;"", J5995&lt;&gt;""), HYPERLINK("#'" &amp; C5995 &amp; "'!" &amp; J5995, J5995), "")</f>
        <v>0</v>
      </c>
    </row>
    <row r="5996" spans="2:2">
      <c r="B5996" s="21">
        <f>IF(AND(C5996&lt;&gt;"", J5996&lt;&gt;""), HYPERLINK("#'" &amp; C5996 &amp; "'!" &amp; J5996, J5996), "")</f>
        <v>0</v>
      </c>
    </row>
    <row r="5997" spans="2:2">
      <c r="B5997" s="21">
        <f>IF(AND(C5997&lt;&gt;"", J5997&lt;&gt;""), HYPERLINK("#'" &amp; C5997 &amp; "'!" &amp; J5997, J5997), "")</f>
        <v>0</v>
      </c>
    </row>
    <row r="5998" spans="2:2">
      <c r="B5998" s="21">
        <f>IF(AND(C5998&lt;&gt;"", J5998&lt;&gt;""), HYPERLINK("#'" &amp; C5998 &amp; "'!" &amp; J5998, J5998), "")</f>
        <v>0</v>
      </c>
    </row>
    <row r="5999" spans="2:2">
      <c r="B5999" s="21">
        <f>IF(AND(C5999&lt;&gt;"", J5999&lt;&gt;""), HYPERLINK("#'" &amp; C5999 &amp; "'!" &amp; J5999, J5999), "")</f>
        <v>0</v>
      </c>
    </row>
    <row r="6000" spans="2:2">
      <c r="B6000" s="21">
        <f>IF(AND(C6000&lt;&gt;"", J6000&lt;&gt;""), HYPERLINK("#'" &amp; C6000 &amp; "'!" &amp; J6000, J6000), "")</f>
        <v>0</v>
      </c>
    </row>
    <row r="6001" spans="2:2">
      <c r="B6001" s="21">
        <f>IF(AND(C6001&lt;&gt;"", J6001&lt;&gt;""), HYPERLINK("#'" &amp; C6001 &amp; "'!" &amp; J6001, J6001), "")</f>
        <v>0</v>
      </c>
    </row>
    <row r="6002" spans="2:2">
      <c r="B6002" s="21">
        <f>IF(AND(C6002&lt;&gt;"", J6002&lt;&gt;""), HYPERLINK("#'" &amp; C6002 &amp; "'!" &amp; J6002, J6002), "")</f>
        <v>0</v>
      </c>
    </row>
  </sheetData>
  <sheetProtection password="F6B0" sheet="1" objects="1" scenarios="1" formatColumns="0" formatRows="0" sort="0" autoFilter="0"/>
  <autoFilter ref="A2:H2"/>
  <mergeCells count="1">
    <mergeCell ref="A1:H1"/>
  </mergeCells>
  <conditionalFormatting sqref="A3:A65001">
    <cfRule type="cellIs" dxfId="9" priority="1" operator="equal">
      <formula>"Error"</formula>
    </cfRule>
    <cfRule type="cellIs" dxfId="10" priority="2" operator="equal">
      <formula>"Warning"</formula>
    </cfRule>
    <cfRule type="cellIs" dxfId="11" priority="3" operator="equal">
      <formula>"Required"</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AL908"/>
  <sheetViews>
    <sheetView workbookViewId="0"/>
  </sheetViews>
  <sheetFormatPr defaultRowHeight="15"/>
  <sheetData>
    <row r="1" spans="1:38">
      <c r="A1" t="s">
        <v>80</v>
      </c>
      <c r="C1">
        <f>_xlfn.INFO("release")</f>
        <v>0</v>
      </c>
    </row>
    <row r="2" spans="1:38">
      <c r="C2">
        <f>_xlfn.INFO("system")</f>
        <v>0</v>
      </c>
    </row>
    <row r="3" spans="1:38">
      <c r="C3" cm="1">
        <f t="array" ref="C3">IF(ISERROR(_xlfn.MAP(A8:A8,_xlfn.LAMBDA(_xlpm.class,_xlpm.class&lt;&gt;""))), "Not Available", "Supported")</f>
        <v>0</v>
      </c>
    </row>
    <row r="8" spans="1:38">
      <c r="A8" t="s">
        <v>81</v>
      </c>
      <c r="B8" t="s">
        <v>924</v>
      </c>
      <c r="C8" t="s">
        <v>938</v>
      </c>
      <c r="D8" t="s">
        <v>948</v>
      </c>
      <c r="E8" t="s">
        <v>951</v>
      </c>
      <c r="F8" t="s">
        <v>949</v>
      </c>
      <c r="G8" t="s">
        <v>976</v>
      </c>
      <c r="H8" t="s">
        <v>981</v>
      </c>
      <c r="I8" t="s">
        <v>949</v>
      </c>
      <c r="J8" t="s">
        <v>948</v>
      </c>
      <c r="K8" t="s">
        <v>949</v>
      </c>
      <c r="L8" t="s">
        <v>949</v>
      </c>
      <c r="M8" t="s">
        <v>1005</v>
      </c>
      <c r="N8" t="s">
        <v>949</v>
      </c>
      <c r="O8" t="s">
        <v>1007</v>
      </c>
      <c r="P8" t="s">
        <v>1008</v>
      </c>
      <c r="Q8" t="s">
        <v>948</v>
      </c>
      <c r="R8" t="s">
        <v>1012</v>
      </c>
      <c r="S8" t="s">
        <v>1913</v>
      </c>
      <c r="T8" t="s">
        <v>2160</v>
      </c>
      <c r="U8" t="s">
        <v>2162</v>
      </c>
      <c r="V8" t="s">
        <v>2180</v>
      </c>
      <c r="W8" t="s">
        <v>2180</v>
      </c>
      <c r="X8" t="s">
        <v>948</v>
      </c>
      <c r="Y8" t="s">
        <v>948</v>
      </c>
      <c r="Z8" t="s">
        <v>2197</v>
      </c>
      <c r="AA8" t="s">
        <v>2200</v>
      </c>
      <c r="AB8" t="s">
        <v>2202</v>
      </c>
      <c r="AC8" t="s">
        <v>2210</v>
      </c>
      <c r="AD8" t="s">
        <v>2214</v>
      </c>
      <c r="AE8" t="s">
        <v>949</v>
      </c>
      <c r="AF8" t="s">
        <v>981</v>
      </c>
      <c r="AG8" t="s">
        <v>949</v>
      </c>
      <c r="AH8" t="s">
        <v>948</v>
      </c>
      <c r="AI8" t="s">
        <v>949</v>
      </c>
      <c r="AJ8" t="s">
        <v>949</v>
      </c>
      <c r="AK8" t="s">
        <v>949</v>
      </c>
      <c r="AL8" t="s">
        <v>2200</v>
      </c>
    </row>
    <row r="9" spans="1:38">
      <c r="A9" t="s">
        <v>82</v>
      </c>
      <c r="B9" t="s">
        <v>925</v>
      </c>
      <c r="C9" t="s">
        <v>939</v>
      </c>
      <c r="D9" t="s">
        <v>949</v>
      </c>
      <c r="E9" t="s">
        <v>952</v>
      </c>
      <c r="F9" t="s">
        <v>948</v>
      </c>
      <c r="G9" t="s">
        <v>977</v>
      </c>
      <c r="H9" t="s">
        <v>982</v>
      </c>
      <c r="I9" t="s">
        <v>948</v>
      </c>
      <c r="J9" t="s">
        <v>949</v>
      </c>
      <c r="K9" t="s">
        <v>948</v>
      </c>
      <c r="L9" t="s">
        <v>948</v>
      </c>
      <c r="M9" t="s">
        <v>1006</v>
      </c>
      <c r="N9" t="s">
        <v>948</v>
      </c>
      <c r="P9" t="s">
        <v>1009</v>
      </c>
      <c r="Q9" t="s">
        <v>949</v>
      </c>
      <c r="R9" t="s">
        <v>1013</v>
      </c>
      <c r="S9" t="s">
        <v>1914</v>
      </c>
      <c r="T9" t="s">
        <v>2161</v>
      </c>
      <c r="U9" t="s">
        <v>2163</v>
      </c>
      <c r="V9" t="s">
        <v>2181</v>
      </c>
      <c r="W9" t="s">
        <v>2181</v>
      </c>
      <c r="X9" t="s">
        <v>949</v>
      </c>
      <c r="Y9" t="s">
        <v>949</v>
      </c>
      <c r="Z9" t="s">
        <v>2198</v>
      </c>
      <c r="AA9" t="s">
        <v>2201</v>
      </c>
      <c r="AB9" t="s">
        <v>2203</v>
      </c>
      <c r="AC9" t="s">
        <v>2211</v>
      </c>
      <c r="AD9" t="s">
        <v>2215</v>
      </c>
      <c r="AE9" t="s">
        <v>948</v>
      </c>
      <c r="AF9" t="s">
        <v>982</v>
      </c>
      <c r="AG9" t="s">
        <v>948</v>
      </c>
      <c r="AH9" t="s">
        <v>949</v>
      </c>
      <c r="AI9" t="s">
        <v>948</v>
      </c>
      <c r="AJ9" t="s">
        <v>948</v>
      </c>
      <c r="AK9" t="s">
        <v>948</v>
      </c>
      <c r="AL9" t="s">
        <v>2201</v>
      </c>
    </row>
    <row r="10" spans="1:38">
      <c r="A10" t="s">
        <v>83</v>
      </c>
      <c r="B10" t="s">
        <v>926</v>
      </c>
      <c r="C10" t="s">
        <v>940</v>
      </c>
      <c r="D10" t="s">
        <v>947</v>
      </c>
      <c r="E10" t="s">
        <v>953</v>
      </c>
      <c r="F10" t="s">
        <v>947</v>
      </c>
      <c r="G10" t="s">
        <v>978</v>
      </c>
      <c r="H10" t="s">
        <v>983</v>
      </c>
      <c r="I10" t="s">
        <v>950</v>
      </c>
      <c r="M10" t="s">
        <v>950</v>
      </c>
      <c r="N10" t="s">
        <v>950</v>
      </c>
      <c r="P10" t="s">
        <v>1010</v>
      </c>
      <c r="R10" t="s">
        <v>1014</v>
      </c>
      <c r="S10" t="s">
        <v>1915</v>
      </c>
      <c r="U10" t="s">
        <v>2164</v>
      </c>
      <c r="V10" t="s">
        <v>2182</v>
      </c>
      <c r="W10" t="s">
        <v>2182</v>
      </c>
      <c r="Z10" t="s">
        <v>2199</v>
      </c>
      <c r="AB10" t="s">
        <v>2204</v>
      </c>
      <c r="AC10" t="s">
        <v>2212</v>
      </c>
      <c r="AD10" t="s">
        <v>2216</v>
      </c>
      <c r="AE10" t="s">
        <v>947</v>
      </c>
      <c r="AF10" t="s">
        <v>983</v>
      </c>
      <c r="AG10" t="s">
        <v>950</v>
      </c>
      <c r="AK10" t="s">
        <v>950</v>
      </c>
      <c r="AL10" t="s">
        <v>2217</v>
      </c>
    </row>
    <row r="11" spans="1:38">
      <c r="A11" t="s">
        <v>84</v>
      </c>
      <c r="B11" t="s">
        <v>927</v>
      </c>
      <c r="C11" t="s">
        <v>941</v>
      </c>
      <c r="D11" t="s">
        <v>950</v>
      </c>
      <c r="E11" t="s">
        <v>954</v>
      </c>
      <c r="F11" t="s">
        <v>950</v>
      </c>
      <c r="G11" t="s">
        <v>979</v>
      </c>
      <c r="H11" t="s">
        <v>984</v>
      </c>
      <c r="P11" t="s">
        <v>1011</v>
      </c>
      <c r="R11" t="s">
        <v>1015</v>
      </c>
      <c r="S11" t="s">
        <v>1916</v>
      </c>
      <c r="U11" t="s">
        <v>2165</v>
      </c>
      <c r="V11" t="s">
        <v>2183</v>
      </c>
      <c r="W11" t="s">
        <v>2183</v>
      </c>
      <c r="AB11" t="s">
        <v>2205</v>
      </c>
      <c r="AC11" t="s">
        <v>2213</v>
      </c>
      <c r="AD11" t="s">
        <v>947</v>
      </c>
      <c r="AE11" t="s">
        <v>950</v>
      </c>
      <c r="AF11" t="s">
        <v>984</v>
      </c>
    </row>
    <row r="12" spans="1:38">
      <c r="A12" t="s">
        <v>85</v>
      </c>
      <c r="B12" t="s">
        <v>928</v>
      </c>
      <c r="C12" t="s">
        <v>942</v>
      </c>
      <c r="E12" t="s">
        <v>955</v>
      </c>
      <c r="G12" t="s">
        <v>980</v>
      </c>
      <c r="H12" t="s">
        <v>985</v>
      </c>
      <c r="R12" t="s">
        <v>1016</v>
      </c>
      <c r="S12" t="s">
        <v>1917</v>
      </c>
      <c r="U12" t="s">
        <v>2166</v>
      </c>
      <c r="V12" t="s">
        <v>2184</v>
      </c>
      <c r="W12" t="s">
        <v>2184</v>
      </c>
      <c r="AB12" t="s">
        <v>2206</v>
      </c>
      <c r="AC12" t="s">
        <v>947</v>
      </c>
      <c r="AD12" t="s">
        <v>950</v>
      </c>
      <c r="AF12" t="s">
        <v>985</v>
      </c>
    </row>
    <row r="13" spans="1:38">
      <c r="A13" t="s">
        <v>86</v>
      </c>
      <c r="B13" t="s">
        <v>929</v>
      </c>
      <c r="C13" t="s">
        <v>943</v>
      </c>
      <c r="E13" t="s">
        <v>956</v>
      </c>
      <c r="G13" t="s">
        <v>947</v>
      </c>
      <c r="H13" t="s">
        <v>986</v>
      </c>
      <c r="R13" t="s">
        <v>1017</v>
      </c>
      <c r="S13" t="s">
        <v>1918</v>
      </c>
      <c r="U13" t="s">
        <v>2167</v>
      </c>
      <c r="V13" t="s">
        <v>2185</v>
      </c>
      <c r="W13" t="s">
        <v>2185</v>
      </c>
      <c r="AB13" t="s">
        <v>2207</v>
      </c>
      <c r="AC13" t="s">
        <v>950</v>
      </c>
      <c r="AF13" t="s">
        <v>986</v>
      </c>
    </row>
    <row r="14" spans="1:38">
      <c r="A14" t="s">
        <v>87</v>
      </c>
      <c r="B14" t="s">
        <v>930</v>
      </c>
      <c r="C14" t="s">
        <v>944</v>
      </c>
      <c r="E14" t="s">
        <v>957</v>
      </c>
      <c r="G14" t="s">
        <v>950</v>
      </c>
      <c r="H14" t="s">
        <v>987</v>
      </c>
      <c r="R14" t="s">
        <v>1018</v>
      </c>
      <c r="S14" t="s">
        <v>1919</v>
      </c>
      <c r="U14" t="s">
        <v>2168</v>
      </c>
      <c r="V14" t="s">
        <v>2186</v>
      </c>
      <c r="AB14" t="s">
        <v>2208</v>
      </c>
      <c r="AF14" t="s">
        <v>987</v>
      </c>
    </row>
    <row r="15" spans="1:38">
      <c r="A15" t="s">
        <v>88</v>
      </c>
      <c r="B15" t="s">
        <v>931</v>
      </c>
      <c r="C15" t="s">
        <v>945</v>
      </c>
      <c r="E15" t="s">
        <v>958</v>
      </c>
      <c r="H15" t="s">
        <v>988</v>
      </c>
      <c r="R15" t="s">
        <v>1019</v>
      </c>
      <c r="S15" t="s">
        <v>1920</v>
      </c>
      <c r="U15" t="s">
        <v>2169</v>
      </c>
      <c r="V15" t="s">
        <v>2187</v>
      </c>
      <c r="AB15" t="s">
        <v>2209</v>
      </c>
      <c r="AF15" t="s">
        <v>988</v>
      </c>
    </row>
    <row r="16" spans="1:38">
      <c r="A16" t="s">
        <v>89</v>
      </c>
      <c r="B16" t="s">
        <v>932</v>
      </c>
      <c r="C16" t="s">
        <v>946</v>
      </c>
      <c r="E16" t="s">
        <v>959</v>
      </c>
      <c r="H16" t="s">
        <v>989</v>
      </c>
      <c r="R16" t="s">
        <v>1020</v>
      </c>
      <c r="S16" t="s">
        <v>1921</v>
      </c>
      <c r="U16" t="s">
        <v>2170</v>
      </c>
      <c r="V16" t="s">
        <v>2188</v>
      </c>
      <c r="AF16" t="s">
        <v>989</v>
      </c>
    </row>
    <row r="17" spans="1:32">
      <c r="A17" t="s">
        <v>90</v>
      </c>
      <c r="B17" t="s">
        <v>933</v>
      </c>
      <c r="C17" t="s">
        <v>947</v>
      </c>
      <c r="E17" t="s">
        <v>960</v>
      </c>
      <c r="H17" t="s">
        <v>990</v>
      </c>
      <c r="R17" t="s">
        <v>1021</v>
      </c>
      <c r="S17" t="s">
        <v>1922</v>
      </c>
      <c r="U17" t="s">
        <v>2171</v>
      </c>
      <c r="V17" t="s">
        <v>2189</v>
      </c>
      <c r="AF17" t="s">
        <v>990</v>
      </c>
    </row>
    <row r="18" spans="1:32">
      <c r="A18" t="s">
        <v>91</v>
      </c>
      <c r="B18" t="s">
        <v>934</v>
      </c>
      <c r="E18" t="s">
        <v>961</v>
      </c>
      <c r="H18" t="s">
        <v>991</v>
      </c>
      <c r="R18" t="s">
        <v>1022</v>
      </c>
      <c r="S18" t="s">
        <v>1923</v>
      </c>
      <c r="U18" t="s">
        <v>2172</v>
      </c>
      <c r="V18" t="s">
        <v>2190</v>
      </c>
      <c r="AF18" t="s">
        <v>991</v>
      </c>
    </row>
    <row r="19" spans="1:32">
      <c r="A19" t="s">
        <v>92</v>
      </c>
      <c r="B19" t="s">
        <v>935</v>
      </c>
      <c r="E19" t="s">
        <v>962</v>
      </c>
      <c r="H19" t="s">
        <v>992</v>
      </c>
      <c r="R19" t="s">
        <v>1023</v>
      </c>
      <c r="S19" t="s">
        <v>1924</v>
      </c>
      <c r="U19" t="s">
        <v>2173</v>
      </c>
      <c r="V19" t="s">
        <v>2191</v>
      </c>
      <c r="AF19" t="s">
        <v>992</v>
      </c>
    </row>
    <row r="20" spans="1:32">
      <c r="A20" t="s">
        <v>93</v>
      </c>
      <c r="B20" t="s">
        <v>936</v>
      </c>
      <c r="E20" t="s">
        <v>963</v>
      </c>
      <c r="H20" t="s">
        <v>993</v>
      </c>
      <c r="R20" t="s">
        <v>1024</v>
      </c>
      <c r="S20" t="s">
        <v>1925</v>
      </c>
      <c r="U20" t="s">
        <v>2174</v>
      </c>
      <c r="V20" t="s">
        <v>2192</v>
      </c>
      <c r="AF20" t="s">
        <v>993</v>
      </c>
    </row>
    <row r="21" spans="1:32">
      <c r="A21" t="s">
        <v>94</v>
      </c>
      <c r="B21" t="s">
        <v>937</v>
      </c>
      <c r="E21" t="s">
        <v>964</v>
      </c>
      <c r="H21" t="s">
        <v>994</v>
      </c>
      <c r="R21" t="s">
        <v>1025</v>
      </c>
      <c r="S21" t="s">
        <v>1926</v>
      </c>
      <c r="U21" t="s">
        <v>2175</v>
      </c>
      <c r="V21" t="s">
        <v>2193</v>
      </c>
      <c r="AF21" t="s">
        <v>994</v>
      </c>
    </row>
    <row r="22" spans="1:32">
      <c r="A22" t="s">
        <v>95</v>
      </c>
      <c r="E22" t="s">
        <v>523</v>
      </c>
      <c r="H22" t="s">
        <v>995</v>
      </c>
      <c r="R22" t="s">
        <v>1026</v>
      </c>
      <c r="S22" t="s">
        <v>1927</v>
      </c>
      <c r="U22" t="s">
        <v>2176</v>
      </c>
      <c r="V22" t="s">
        <v>2194</v>
      </c>
      <c r="AF22" t="s">
        <v>995</v>
      </c>
    </row>
    <row r="23" spans="1:32">
      <c r="A23" t="s">
        <v>96</v>
      </c>
      <c r="E23" t="s">
        <v>965</v>
      </c>
      <c r="H23" t="s">
        <v>996</v>
      </c>
      <c r="R23" t="s">
        <v>1027</v>
      </c>
      <c r="S23" t="s">
        <v>1928</v>
      </c>
      <c r="U23" t="s">
        <v>2177</v>
      </c>
      <c r="V23" t="s">
        <v>2195</v>
      </c>
      <c r="AF23" t="s">
        <v>996</v>
      </c>
    </row>
    <row r="24" spans="1:32">
      <c r="A24" t="s">
        <v>97</v>
      </c>
      <c r="E24" t="s">
        <v>966</v>
      </c>
      <c r="H24" t="s">
        <v>997</v>
      </c>
      <c r="R24" t="s">
        <v>1028</v>
      </c>
      <c r="S24" t="s">
        <v>1929</v>
      </c>
      <c r="U24" t="s">
        <v>2178</v>
      </c>
      <c r="V24" t="s">
        <v>2196</v>
      </c>
      <c r="AF24" t="s">
        <v>997</v>
      </c>
    </row>
    <row r="25" spans="1:32">
      <c r="A25" t="s">
        <v>98</v>
      </c>
      <c r="E25" t="s">
        <v>967</v>
      </c>
      <c r="H25" t="s">
        <v>998</v>
      </c>
      <c r="R25" t="s">
        <v>1029</v>
      </c>
      <c r="S25" t="s">
        <v>1930</v>
      </c>
      <c r="U25" t="s">
        <v>2179</v>
      </c>
      <c r="AF25" t="s">
        <v>998</v>
      </c>
    </row>
    <row r="26" spans="1:32">
      <c r="A26" t="s">
        <v>99</v>
      </c>
      <c r="E26" t="s">
        <v>968</v>
      </c>
      <c r="H26" t="s">
        <v>999</v>
      </c>
      <c r="R26" t="s">
        <v>1030</v>
      </c>
      <c r="S26" t="s">
        <v>1931</v>
      </c>
      <c r="AF26" t="s">
        <v>999</v>
      </c>
    </row>
    <row r="27" spans="1:32">
      <c r="A27" t="s">
        <v>100</v>
      </c>
      <c r="E27" t="s">
        <v>969</v>
      </c>
      <c r="H27" t="s">
        <v>1000</v>
      </c>
      <c r="R27" t="s">
        <v>1031</v>
      </c>
      <c r="S27" t="s">
        <v>1932</v>
      </c>
      <c r="AF27" t="s">
        <v>1000</v>
      </c>
    </row>
    <row r="28" spans="1:32">
      <c r="A28" t="s">
        <v>101</v>
      </c>
      <c r="E28" t="s">
        <v>970</v>
      </c>
      <c r="H28" t="s">
        <v>1001</v>
      </c>
      <c r="R28" t="s">
        <v>1032</v>
      </c>
      <c r="S28" t="s">
        <v>1933</v>
      </c>
      <c r="AF28" t="s">
        <v>1001</v>
      </c>
    </row>
    <row r="29" spans="1:32">
      <c r="A29" t="s">
        <v>102</v>
      </c>
      <c r="E29" t="s">
        <v>971</v>
      </c>
      <c r="H29" t="s">
        <v>1002</v>
      </c>
      <c r="R29" t="s">
        <v>1033</v>
      </c>
      <c r="S29" t="s">
        <v>1934</v>
      </c>
      <c r="AF29" t="s">
        <v>1002</v>
      </c>
    </row>
    <row r="30" spans="1:32">
      <c r="A30" t="s">
        <v>103</v>
      </c>
      <c r="E30" t="s">
        <v>972</v>
      </c>
      <c r="H30" t="s">
        <v>1003</v>
      </c>
      <c r="R30" t="s">
        <v>1034</v>
      </c>
      <c r="S30" t="s">
        <v>1935</v>
      </c>
      <c r="AF30" t="s">
        <v>1003</v>
      </c>
    </row>
    <row r="31" spans="1:32">
      <c r="A31" t="s">
        <v>104</v>
      </c>
      <c r="E31" t="s">
        <v>973</v>
      </c>
      <c r="H31" t="s">
        <v>1004</v>
      </c>
      <c r="R31" t="s">
        <v>1035</v>
      </c>
      <c r="S31" t="s">
        <v>1936</v>
      </c>
      <c r="AF31" t="s">
        <v>1004</v>
      </c>
    </row>
    <row r="32" spans="1:32">
      <c r="A32" t="s">
        <v>105</v>
      </c>
      <c r="E32" t="s">
        <v>974</v>
      </c>
      <c r="H32" t="s">
        <v>950</v>
      </c>
      <c r="R32" t="s">
        <v>1036</v>
      </c>
      <c r="S32" t="s">
        <v>1937</v>
      </c>
      <c r="AF32" t="s">
        <v>950</v>
      </c>
    </row>
    <row r="33" spans="1:19">
      <c r="A33" t="s">
        <v>106</v>
      </c>
      <c r="E33" t="s">
        <v>975</v>
      </c>
      <c r="R33" t="s">
        <v>1037</v>
      </c>
      <c r="S33" t="s">
        <v>1938</v>
      </c>
    </row>
    <row r="34" spans="1:19">
      <c r="A34" t="s">
        <v>107</v>
      </c>
      <c r="R34" t="s">
        <v>1038</v>
      </c>
      <c r="S34" t="s">
        <v>1939</v>
      </c>
    </row>
    <row r="35" spans="1:19">
      <c r="A35" t="s">
        <v>108</v>
      </c>
      <c r="R35" t="s">
        <v>1039</v>
      </c>
      <c r="S35" t="s">
        <v>1940</v>
      </c>
    </row>
    <row r="36" spans="1:19">
      <c r="A36" t="s">
        <v>109</v>
      </c>
      <c r="R36" t="s">
        <v>1040</v>
      </c>
      <c r="S36" t="s">
        <v>1941</v>
      </c>
    </row>
    <row r="37" spans="1:19">
      <c r="A37" t="s">
        <v>110</v>
      </c>
      <c r="R37" t="s">
        <v>1041</v>
      </c>
      <c r="S37" t="s">
        <v>1942</v>
      </c>
    </row>
    <row r="38" spans="1:19">
      <c r="A38" t="s">
        <v>111</v>
      </c>
      <c r="R38" t="s">
        <v>1042</v>
      </c>
      <c r="S38" t="s">
        <v>1943</v>
      </c>
    </row>
    <row r="39" spans="1:19">
      <c r="A39" t="s">
        <v>112</v>
      </c>
      <c r="R39" t="s">
        <v>1043</v>
      </c>
      <c r="S39" t="s">
        <v>1944</v>
      </c>
    </row>
    <row r="40" spans="1:19">
      <c r="A40" t="s">
        <v>113</v>
      </c>
      <c r="R40" t="s">
        <v>1044</v>
      </c>
      <c r="S40" t="s">
        <v>1945</v>
      </c>
    </row>
    <row r="41" spans="1:19">
      <c r="A41" t="s">
        <v>114</v>
      </c>
      <c r="R41" t="s">
        <v>1045</v>
      </c>
      <c r="S41" t="s">
        <v>1946</v>
      </c>
    </row>
    <row r="42" spans="1:19">
      <c r="A42" t="s">
        <v>115</v>
      </c>
      <c r="R42" t="s">
        <v>1046</v>
      </c>
      <c r="S42" t="s">
        <v>1947</v>
      </c>
    </row>
    <row r="43" spans="1:19">
      <c r="A43" t="s">
        <v>116</v>
      </c>
      <c r="R43" t="s">
        <v>1047</v>
      </c>
      <c r="S43" t="s">
        <v>1948</v>
      </c>
    </row>
    <row r="44" spans="1:19">
      <c r="A44" t="s">
        <v>117</v>
      </c>
      <c r="R44" t="s">
        <v>1048</v>
      </c>
      <c r="S44" t="s">
        <v>1949</v>
      </c>
    </row>
    <row r="45" spans="1:19">
      <c r="A45" t="s">
        <v>118</v>
      </c>
      <c r="R45" t="s">
        <v>1049</v>
      </c>
      <c r="S45" t="s">
        <v>1950</v>
      </c>
    </row>
    <row r="46" spans="1:19">
      <c r="A46" t="s">
        <v>119</v>
      </c>
      <c r="R46" t="s">
        <v>1050</v>
      </c>
      <c r="S46" t="s">
        <v>1951</v>
      </c>
    </row>
    <row r="47" spans="1:19">
      <c r="A47" t="s">
        <v>120</v>
      </c>
      <c r="R47" t="s">
        <v>1051</v>
      </c>
      <c r="S47" t="s">
        <v>1952</v>
      </c>
    </row>
    <row r="48" spans="1:19">
      <c r="A48" t="s">
        <v>121</v>
      </c>
      <c r="R48" t="s">
        <v>1052</v>
      </c>
      <c r="S48" t="s">
        <v>1953</v>
      </c>
    </row>
    <row r="49" spans="1:19">
      <c r="A49" t="s">
        <v>122</v>
      </c>
      <c r="R49" t="s">
        <v>1053</v>
      </c>
      <c r="S49" t="s">
        <v>1954</v>
      </c>
    </row>
    <row r="50" spans="1:19">
      <c r="A50" t="s">
        <v>123</v>
      </c>
      <c r="R50" t="s">
        <v>1054</v>
      </c>
      <c r="S50" t="s">
        <v>1955</v>
      </c>
    </row>
    <row r="51" spans="1:19">
      <c r="A51" t="s">
        <v>124</v>
      </c>
      <c r="R51" t="s">
        <v>1055</v>
      </c>
      <c r="S51" t="s">
        <v>1956</v>
      </c>
    </row>
    <row r="52" spans="1:19">
      <c r="A52" t="s">
        <v>125</v>
      </c>
      <c r="R52" t="s">
        <v>1056</v>
      </c>
      <c r="S52" t="s">
        <v>1957</v>
      </c>
    </row>
    <row r="53" spans="1:19">
      <c r="A53" t="s">
        <v>126</v>
      </c>
      <c r="R53" t="s">
        <v>1057</v>
      </c>
      <c r="S53" t="s">
        <v>1958</v>
      </c>
    </row>
    <row r="54" spans="1:19">
      <c r="A54" t="s">
        <v>127</v>
      </c>
      <c r="R54" t="s">
        <v>1058</v>
      </c>
      <c r="S54" t="s">
        <v>1959</v>
      </c>
    </row>
    <row r="55" spans="1:19">
      <c r="A55" t="s">
        <v>128</v>
      </c>
      <c r="R55" t="s">
        <v>1059</v>
      </c>
      <c r="S55" t="s">
        <v>1960</v>
      </c>
    </row>
    <row r="56" spans="1:19">
      <c r="A56" t="s">
        <v>129</v>
      </c>
      <c r="R56" t="s">
        <v>1060</v>
      </c>
      <c r="S56" t="s">
        <v>1961</v>
      </c>
    </row>
    <row r="57" spans="1:19">
      <c r="A57" t="s">
        <v>130</v>
      </c>
      <c r="R57" t="s">
        <v>1061</v>
      </c>
      <c r="S57" t="s">
        <v>1962</v>
      </c>
    </row>
    <row r="58" spans="1:19">
      <c r="A58" t="s">
        <v>131</v>
      </c>
      <c r="R58" t="s">
        <v>1062</v>
      </c>
      <c r="S58" t="s">
        <v>1963</v>
      </c>
    </row>
    <row r="59" spans="1:19">
      <c r="A59" t="s">
        <v>132</v>
      </c>
      <c r="R59" t="s">
        <v>1063</v>
      </c>
      <c r="S59" t="s">
        <v>1964</v>
      </c>
    </row>
    <row r="60" spans="1:19">
      <c r="A60" t="s">
        <v>133</v>
      </c>
      <c r="R60" t="s">
        <v>1064</v>
      </c>
      <c r="S60" t="s">
        <v>1965</v>
      </c>
    </row>
    <row r="61" spans="1:19">
      <c r="A61" t="s">
        <v>134</v>
      </c>
      <c r="R61" t="s">
        <v>1065</v>
      </c>
      <c r="S61" t="s">
        <v>1966</v>
      </c>
    </row>
    <row r="62" spans="1:19">
      <c r="A62" t="s">
        <v>135</v>
      </c>
      <c r="R62" t="s">
        <v>1066</v>
      </c>
      <c r="S62" t="s">
        <v>1967</v>
      </c>
    </row>
    <row r="63" spans="1:19">
      <c r="A63" t="s">
        <v>136</v>
      </c>
      <c r="R63" t="s">
        <v>1067</v>
      </c>
      <c r="S63" t="s">
        <v>1968</v>
      </c>
    </row>
    <row r="64" spans="1:19">
      <c r="A64" t="s">
        <v>137</v>
      </c>
      <c r="R64" t="s">
        <v>1068</v>
      </c>
      <c r="S64" t="s">
        <v>1969</v>
      </c>
    </row>
    <row r="65" spans="1:19">
      <c r="A65" t="s">
        <v>138</v>
      </c>
      <c r="R65" t="s">
        <v>1069</v>
      </c>
      <c r="S65" t="s">
        <v>1970</v>
      </c>
    </row>
    <row r="66" spans="1:19">
      <c r="A66" t="s">
        <v>139</v>
      </c>
      <c r="R66" t="s">
        <v>1070</v>
      </c>
      <c r="S66" t="s">
        <v>1971</v>
      </c>
    </row>
    <row r="67" spans="1:19">
      <c r="A67" t="s">
        <v>140</v>
      </c>
      <c r="R67" t="s">
        <v>1071</v>
      </c>
      <c r="S67" t="s">
        <v>1972</v>
      </c>
    </row>
    <row r="68" spans="1:19">
      <c r="A68" t="s">
        <v>141</v>
      </c>
      <c r="R68" t="s">
        <v>1072</v>
      </c>
      <c r="S68" t="s">
        <v>1973</v>
      </c>
    </row>
    <row r="69" spans="1:19">
      <c r="A69" t="s">
        <v>142</v>
      </c>
      <c r="R69" t="s">
        <v>1073</v>
      </c>
      <c r="S69" t="s">
        <v>1974</v>
      </c>
    </row>
    <row r="70" spans="1:19">
      <c r="A70" t="s">
        <v>143</v>
      </c>
      <c r="R70" t="s">
        <v>1074</v>
      </c>
      <c r="S70" t="s">
        <v>1975</v>
      </c>
    </row>
    <row r="71" spans="1:19">
      <c r="A71" t="s">
        <v>144</v>
      </c>
      <c r="R71" t="s">
        <v>1075</v>
      </c>
      <c r="S71" t="s">
        <v>1976</v>
      </c>
    </row>
    <row r="72" spans="1:19">
      <c r="A72" t="s">
        <v>145</v>
      </c>
      <c r="R72" t="s">
        <v>1076</v>
      </c>
      <c r="S72" t="s">
        <v>1977</v>
      </c>
    </row>
    <row r="73" spans="1:19">
      <c r="A73" t="s">
        <v>146</v>
      </c>
      <c r="R73" t="s">
        <v>1077</v>
      </c>
      <c r="S73" t="s">
        <v>1978</v>
      </c>
    </row>
    <row r="74" spans="1:19">
      <c r="A74" t="s">
        <v>147</v>
      </c>
      <c r="R74" t="s">
        <v>1078</v>
      </c>
      <c r="S74" t="s">
        <v>1979</v>
      </c>
    </row>
    <row r="75" spans="1:19">
      <c r="A75" t="s">
        <v>148</v>
      </c>
      <c r="R75" t="s">
        <v>1079</v>
      </c>
      <c r="S75" t="s">
        <v>1980</v>
      </c>
    </row>
    <row r="76" spans="1:19">
      <c r="A76" t="s">
        <v>149</v>
      </c>
      <c r="R76" t="s">
        <v>1080</v>
      </c>
      <c r="S76" t="s">
        <v>1981</v>
      </c>
    </row>
    <row r="77" spans="1:19">
      <c r="A77" t="s">
        <v>150</v>
      </c>
      <c r="R77" t="s">
        <v>1081</v>
      </c>
      <c r="S77" t="s">
        <v>1982</v>
      </c>
    </row>
    <row r="78" spans="1:19">
      <c r="A78" t="s">
        <v>151</v>
      </c>
      <c r="R78" t="s">
        <v>1082</v>
      </c>
      <c r="S78" t="s">
        <v>1983</v>
      </c>
    </row>
    <row r="79" spans="1:19">
      <c r="A79" t="s">
        <v>152</v>
      </c>
      <c r="R79" t="s">
        <v>1083</v>
      </c>
      <c r="S79" t="s">
        <v>1984</v>
      </c>
    </row>
    <row r="80" spans="1:19">
      <c r="A80" t="s">
        <v>153</v>
      </c>
      <c r="R80" t="s">
        <v>1084</v>
      </c>
      <c r="S80" t="s">
        <v>1985</v>
      </c>
    </row>
    <row r="81" spans="1:19">
      <c r="A81" t="s">
        <v>154</v>
      </c>
      <c r="R81" t="s">
        <v>1085</v>
      </c>
      <c r="S81" t="s">
        <v>1986</v>
      </c>
    </row>
    <row r="82" spans="1:19">
      <c r="A82" t="s">
        <v>155</v>
      </c>
      <c r="R82" t="s">
        <v>1086</v>
      </c>
      <c r="S82" t="s">
        <v>1987</v>
      </c>
    </row>
    <row r="83" spans="1:19">
      <c r="A83" t="s">
        <v>156</v>
      </c>
      <c r="R83" t="s">
        <v>1087</v>
      </c>
      <c r="S83" t="s">
        <v>1988</v>
      </c>
    </row>
    <row r="84" spans="1:19">
      <c r="A84" t="s">
        <v>157</v>
      </c>
      <c r="R84" t="s">
        <v>1088</v>
      </c>
      <c r="S84" t="s">
        <v>1989</v>
      </c>
    </row>
    <row r="85" spans="1:19">
      <c r="A85" t="s">
        <v>158</v>
      </c>
      <c r="R85" t="s">
        <v>1089</v>
      </c>
      <c r="S85" t="s">
        <v>1990</v>
      </c>
    </row>
    <row r="86" spans="1:19">
      <c r="A86" t="s">
        <v>159</v>
      </c>
      <c r="R86" t="s">
        <v>1090</v>
      </c>
      <c r="S86" t="s">
        <v>1991</v>
      </c>
    </row>
    <row r="87" spans="1:19">
      <c r="A87" t="s">
        <v>160</v>
      </c>
      <c r="R87" t="s">
        <v>1091</v>
      </c>
      <c r="S87" t="s">
        <v>1992</v>
      </c>
    </row>
    <row r="88" spans="1:19">
      <c r="A88" t="s">
        <v>161</v>
      </c>
      <c r="R88" t="s">
        <v>1092</v>
      </c>
      <c r="S88" t="s">
        <v>1993</v>
      </c>
    </row>
    <row r="89" spans="1:19">
      <c r="A89" t="s">
        <v>162</v>
      </c>
      <c r="R89" t="s">
        <v>1093</v>
      </c>
      <c r="S89" t="s">
        <v>1994</v>
      </c>
    </row>
    <row r="90" spans="1:19">
      <c r="A90" t="s">
        <v>163</v>
      </c>
      <c r="R90" t="s">
        <v>1094</v>
      </c>
      <c r="S90" t="s">
        <v>1995</v>
      </c>
    </row>
    <row r="91" spans="1:19">
      <c r="A91" t="s">
        <v>164</v>
      </c>
      <c r="R91" t="s">
        <v>1095</v>
      </c>
      <c r="S91" t="s">
        <v>1996</v>
      </c>
    </row>
    <row r="92" spans="1:19">
      <c r="A92" t="s">
        <v>165</v>
      </c>
      <c r="R92" t="s">
        <v>1096</v>
      </c>
      <c r="S92" t="s">
        <v>1997</v>
      </c>
    </row>
    <row r="93" spans="1:19">
      <c r="A93" t="s">
        <v>166</v>
      </c>
      <c r="R93" t="s">
        <v>1097</v>
      </c>
      <c r="S93" t="s">
        <v>1998</v>
      </c>
    </row>
    <row r="94" spans="1:19">
      <c r="A94" t="s">
        <v>167</v>
      </c>
      <c r="R94" t="s">
        <v>1098</v>
      </c>
      <c r="S94" t="s">
        <v>1999</v>
      </c>
    </row>
    <row r="95" spans="1:19">
      <c r="A95" t="s">
        <v>168</v>
      </c>
      <c r="R95" t="s">
        <v>1099</v>
      </c>
      <c r="S95" t="s">
        <v>2000</v>
      </c>
    </row>
    <row r="96" spans="1:19">
      <c r="A96" t="s">
        <v>169</v>
      </c>
      <c r="R96" t="s">
        <v>1100</v>
      </c>
      <c r="S96" t="s">
        <v>2001</v>
      </c>
    </row>
    <row r="97" spans="1:19">
      <c r="A97" t="s">
        <v>170</v>
      </c>
      <c r="R97" t="s">
        <v>1101</v>
      </c>
      <c r="S97" t="s">
        <v>2002</v>
      </c>
    </row>
    <row r="98" spans="1:19">
      <c r="A98" t="s">
        <v>171</v>
      </c>
      <c r="R98" t="s">
        <v>1102</v>
      </c>
      <c r="S98" t="s">
        <v>2003</v>
      </c>
    </row>
    <row r="99" spans="1:19">
      <c r="A99" t="s">
        <v>172</v>
      </c>
      <c r="R99" t="s">
        <v>1103</v>
      </c>
      <c r="S99" t="s">
        <v>2004</v>
      </c>
    </row>
    <row r="100" spans="1:19">
      <c r="A100" t="s">
        <v>173</v>
      </c>
      <c r="R100" t="s">
        <v>1104</v>
      </c>
      <c r="S100" t="s">
        <v>2005</v>
      </c>
    </row>
    <row r="101" spans="1:19">
      <c r="A101" t="s">
        <v>174</v>
      </c>
      <c r="R101" t="s">
        <v>1105</v>
      </c>
      <c r="S101" t="s">
        <v>2006</v>
      </c>
    </row>
    <row r="102" spans="1:19">
      <c r="A102" t="s">
        <v>175</v>
      </c>
      <c r="R102" t="s">
        <v>1106</v>
      </c>
      <c r="S102" t="s">
        <v>2007</v>
      </c>
    </row>
    <row r="103" spans="1:19">
      <c r="A103" t="s">
        <v>176</v>
      </c>
      <c r="R103" t="s">
        <v>1107</v>
      </c>
      <c r="S103" t="s">
        <v>2008</v>
      </c>
    </row>
    <row r="104" spans="1:19">
      <c r="A104" t="s">
        <v>177</v>
      </c>
      <c r="R104" t="s">
        <v>1108</v>
      </c>
      <c r="S104" t="s">
        <v>2009</v>
      </c>
    </row>
    <row r="105" spans="1:19">
      <c r="A105" t="s">
        <v>178</v>
      </c>
      <c r="R105" t="s">
        <v>1109</v>
      </c>
      <c r="S105" t="s">
        <v>2010</v>
      </c>
    </row>
    <row r="106" spans="1:19">
      <c r="A106" t="s">
        <v>179</v>
      </c>
      <c r="R106" t="s">
        <v>1110</v>
      </c>
      <c r="S106" t="s">
        <v>2011</v>
      </c>
    </row>
    <row r="107" spans="1:19">
      <c r="A107" t="s">
        <v>180</v>
      </c>
      <c r="R107" t="s">
        <v>1111</v>
      </c>
      <c r="S107" t="s">
        <v>2012</v>
      </c>
    </row>
    <row r="108" spans="1:19">
      <c r="A108" t="s">
        <v>181</v>
      </c>
      <c r="R108" t="s">
        <v>1112</v>
      </c>
      <c r="S108" t="s">
        <v>2013</v>
      </c>
    </row>
    <row r="109" spans="1:19">
      <c r="A109" t="s">
        <v>182</v>
      </c>
      <c r="R109" t="s">
        <v>1113</v>
      </c>
      <c r="S109" t="s">
        <v>2014</v>
      </c>
    </row>
    <row r="110" spans="1:19">
      <c r="A110" t="s">
        <v>183</v>
      </c>
      <c r="R110" t="s">
        <v>1114</v>
      </c>
      <c r="S110" t="s">
        <v>2015</v>
      </c>
    </row>
    <row r="111" spans="1:19">
      <c r="A111" t="s">
        <v>184</v>
      </c>
      <c r="R111" t="s">
        <v>1115</v>
      </c>
      <c r="S111" t="s">
        <v>2016</v>
      </c>
    </row>
    <row r="112" spans="1:19">
      <c r="A112" t="s">
        <v>185</v>
      </c>
      <c r="R112" t="s">
        <v>1116</v>
      </c>
      <c r="S112" t="s">
        <v>2017</v>
      </c>
    </row>
    <row r="113" spans="1:19">
      <c r="A113" t="s">
        <v>186</v>
      </c>
      <c r="R113" t="s">
        <v>1117</v>
      </c>
      <c r="S113" t="s">
        <v>2018</v>
      </c>
    </row>
    <row r="114" spans="1:19">
      <c r="A114" t="s">
        <v>187</v>
      </c>
      <c r="R114" t="s">
        <v>1118</v>
      </c>
      <c r="S114" t="s">
        <v>2019</v>
      </c>
    </row>
    <row r="115" spans="1:19">
      <c r="A115" t="s">
        <v>188</v>
      </c>
      <c r="R115" t="s">
        <v>1119</v>
      </c>
      <c r="S115" t="s">
        <v>2020</v>
      </c>
    </row>
    <row r="116" spans="1:19">
      <c r="A116" t="s">
        <v>189</v>
      </c>
      <c r="R116" t="s">
        <v>1120</v>
      </c>
      <c r="S116" t="s">
        <v>2021</v>
      </c>
    </row>
    <row r="117" spans="1:19">
      <c r="A117" t="s">
        <v>190</v>
      </c>
      <c r="R117" t="s">
        <v>1121</v>
      </c>
      <c r="S117" t="s">
        <v>2022</v>
      </c>
    </row>
    <row r="118" spans="1:19">
      <c r="A118" t="s">
        <v>191</v>
      </c>
      <c r="R118" t="s">
        <v>1122</v>
      </c>
      <c r="S118" t="s">
        <v>2023</v>
      </c>
    </row>
    <row r="119" spans="1:19">
      <c r="A119" t="s">
        <v>192</v>
      </c>
      <c r="R119" t="s">
        <v>1123</v>
      </c>
      <c r="S119" t="s">
        <v>2024</v>
      </c>
    </row>
    <row r="120" spans="1:19">
      <c r="A120" t="s">
        <v>193</v>
      </c>
      <c r="R120" t="s">
        <v>1124</v>
      </c>
      <c r="S120" t="s">
        <v>2025</v>
      </c>
    </row>
    <row r="121" spans="1:19">
      <c r="A121" t="s">
        <v>194</v>
      </c>
      <c r="R121" t="s">
        <v>1125</v>
      </c>
      <c r="S121" t="s">
        <v>2026</v>
      </c>
    </row>
    <row r="122" spans="1:19">
      <c r="A122" t="s">
        <v>195</v>
      </c>
      <c r="R122" t="s">
        <v>1126</v>
      </c>
      <c r="S122" t="s">
        <v>2027</v>
      </c>
    </row>
    <row r="123" spans="1:19">
      <c r="A123" t="s">
        <v>196</v>
      </c>
      <c r="R123" t="s">
        <v>1127</v>
      </c>
      <c r="S123" t="s">
        <v>2028</v>
      </c>
    </row>
    <row r="124" spans="1:19">
      <c r="A124" t="s">
        <v>197</v>
      </c>
      <c r="R124" t="s">
        <v>1128</v>
      </c>
      <c r="S124" t="s">
        <v>2029</v>
      </c>
    </row>
    <row r="125" spans="1:19">
      <c r="A125" t="s">
        <v>198</v>
      </c>
      <c r="R125" t="s">
        <v>1129</v>
      </c>
      <c r="S125" t="s">
        <v>2030</v>
      </c>
    </row>
    <row r="126" spans="1:19">
      <c r="A126" t="s">
        <v>199</v>
      </c>
      <c r="R126" t="s">
        <v>1130</v>
      </c>
      <c r="S126" t="s">
        <v>2031</v>
      </c>
    </row>
    <row r="127" spans="1:19">
      <c r="A127" t="s">
        <v>200</v>
      </c>
      <c r="R127" t="s">
        <v>1131</v>
      </c>
      <c r="S127" t="s">
        <v>2032</v>
      </c>
    </row>
    <row r="128" spans="1:19">
      <c r="A128" t="s">
        <v>201</v>
      </c>
      <c r="R128" t="s">
        <v>1132</v>
      </c>
      <c r="S128" t="s">
        <v>2033</v>
      </c>
    </row>
    <row r="129" spans="1:19">
      <c r="A129" t="s">
        <v>202</v>
      </c>
      <c r="R129" t="s">
        <v>1133</v>
      </c>
      <c r="S129" t="s">
        <v>2034</v>
      </c>
    </row>
    <row r="130" spans="1:19">
      <c r="A130" t="s">
        <v>203</v>
      </c>
      <c r="R130" t="s">
        <v>1134</v>
      </c>
      <c r="S130" t="s">
        <v>2035</v>
      </c>
    </row>
    <row r="131" spans="1:19">
      <c r="A131" t="s">
        <v>204</v>
      </c>
      <c r="R131" t="s">
        <v>1135</v>
      </c>
      <c r="S131" t="s">
        <v>2036</v>
      </c>
    </row>
    <row r="132" spans="1:19">
      <c r="A132" t="s">
        <v>205</v>
      </c>
      <c r="R132" t="s">
        <v>1136</v>
      </c>
      <c r="S132" t="s">
        <v>2037</v>
      </c>
    </row>
    <row r="133" spans="1:19">
      <c r="A133" t="s">
        <v>206</v>
      </c>
      <c r="R133" t="s">
        <v>1137</v>
      </c>
      <c r="S133" t="s">
        <v>2038</v>
      </c>
    </row>
    <row r="134" spans="1:19">
      <c r="A134" t="s">
        <v>207</v>
      </c>
      <c r="R134" t="s">
        <v>1138</v>
      </c>
      <c r="S134" t="s">
        <v>2039</v>
      </c>
    </row>
    <row r="135" spans="1:19">
      <c r="A135" t="s">
        <v>208</v>
      </c>
      <c r="R135" t="s">
        <v>1139</v>
      </c>
      <c r="S135" t="s">
        <v>2040</v>
      </c>
    </row>
    <row r="136" spans="1:19">
      <c r="A136" t="s">
        <v>209</v>
      </c>
      <c r="R136" t="s">
        <v>1140</v>
      </c>
      <c r="S136" t="s">
        <v>2041</v>
      </c>
    </row>
    <row r="137" spans="1:19">
      <c r="A137" t="s">
        <v>210</v>
      </c>
      <c r="R137" t="s">
        <v>1141</v>
      </c>
      <c r="S137" t="s">
        <v>2042</v>
      </c>
    </row>
    <row r="138" spans="1:19">
      <c r="A138" t="s">
        <v>211</v>
      </c>
      <c r="R138" t="s">
        <v>1142</v>
      </c>
      <c r="S138" t="s">
        <v>2043</v>
      </c>
    </row>
    <row r="139" spans="1:19">
      <c r="A139" t="s">
        <v>212</v>
      </c>
      <c r="R139" t="s">
        <v>1143</v>
      </c>
      <c r="S139" t="s">
        <v>2044</v>
      </c>
    </row>
    <row r="140" spans="1:19">
      <c r="A140" t="s">
        <v>213</v>
      </c>
      <c r="R140" t="s">
        <v>1144</v>
      </c>
      <c r="S140" t="s">
        <v>2045</v>
      </c>
    </row>
    <row r="141" spans="1:19">
      <c r="A141" t="s">
        <v>214</v>
      </c>
      <c r="R141" t="s">
        <v>1145</v>
      </c>
      <c r="S141" t="s">
        <v>2046</v>
      </c>
    </row>
    <row r="142" spans="1:19">
      <c r="A142" t="s">
        <v>215</v>
      </c>
      <c r="R142" t="s">
        <v>1146</v>
      </c>
      <c r="S142" t="s">
        <v>2047</v>
      </c>
    </row>
    <row r="143" spans="1:19">
      <c r="A143" t="s">
        <v>216</v>
      </c>
      <c r="R143" t="s">
        <v>1147</v>
      </c>
      <c r="S143" t="s">
        <v>2048</v>
      </c>
    </row>
    <row r="144" spans="1:19">
      <c r="A144" t="s">
        <v>217</v>
      </c>
      <c r="R144" t="s">
        <v>1148</v>
      </c>
      <c r="S144" t="s">
        <v>2049</v>
      </c>
    </row>
    <row r="145" spans="1:19">
      <c r="A145" t="s">
        <v>218</v>
      </c>
      <c r="R145" t="s">
        <v>1149</v>
      </c>
      <c r="S145" t="s">
        <v>2050</v>
      </c>
    </row>
    <row r="146" spans="1:19">
      <c r="A146" t="s">
        <v>219</v>
      </c>
      <c r="R146" t="s">
        <v>1150</v>
      </c>
      <c r="S146" t="s">
        <v>2051</v>
      </c>
    </row>
    <row r="147" spans="1:19">
      <c r="A147" t="s">
        <v>220</v>
      </c>
      <c r="R147" t="s">
        <v>1151</v>
      </c>
      <c r="S147" t="s">
        <v>2052</v>
      </c>
    </row>
    <row r="148" spans="1:19">
      <c r="A148" t="s">
        <v>221</v>
      </c>
      <c r="R148" t="s">
        <v>1152</v>
      </c>
      <c r="S148" t="s">
        <v>2053</v>
      </c>
    </row>
    <row r="149" spans="1:19">
      <c r="A149" t="s">
        <v>222</v>
      </c>
      <c r="R149" t="s">
        <v>1153</v>
      </c>
      <c r="S149" t="s">
        <v>2054</v>
      </c>
    </row>
    <row r="150" spans="1:19">
      <c r="A150" t="s">
        <v>223</v>
      </c>
      <c r="R150" t="s">
        <v>1154</v>
      </c>
      <c r="S150" t="s">
        <v>2055</v>
      </c>
    </row>
    <row r="151" spans="1:19">
      <c r="A151" t="s">
        <v>224</v>
      </c>
      <c r="R151" t="s">
        <v>1155</v>
      </c>
      <c r="S151" t="s">
        <v>2056</v>
      </c>
    </row>
    <row r="152" spans="1:19">
      <c r="A152" t="s">
        <v>225</v>
      </c>
      <c r="R152" t="s">
        <v>1156</v>
      </c>
      <c r="S152" t="s">
        <v>2057</v>
      </c>
    </row>
    <row r="153" spans="1:19">
      <c r="A153" t="s">
        <v>226</v>
      </c>
      <c r="R153" t="s">
        <v>1157</v>
      </c>
      <c r="S153" t="s">
        <v>2058</v>
      </c>
    </row>
    <row r="154" spans="1:19">
      <c r="A154" t="s">
        <v>227</v>
      </c>
      <c r="R154" t="s">
        <v>1158</v>
      </c>
      <c r="S154" t="s">
        <v>2059</v>
      </c>
    </row>
    <row r="155" spans="1:19">
      <c r="A155" t="s">
        <v>228</v>
      </c>
      <c r="R155" t="s">
        <v>1159</v>
      </c>
      <c r="S155" t="s">
        <v>2060</v>
      </c>
    </row>
    <row r="156" spans="1:19">
      <c r="A156" t="s">
        <v>229</v>
      </c>
      <c r="R156" t="s">
        <v>1160</v>
      </c>
      <c r="S156" t="s">
        <v>2061</v>
      </c>
    </row>
    <row r="157" spans="1:19">
      <c r="A157" t="s">
        <v>230</v>
      </c>
      <c r="R157" t="s">
        <v>1161</v>
      </c>
      <c r="S157" t="s">
        <v>2062</v>
      </c>
    </row>
    <row r="158" spans="1:19">
      <c r="A158" t="s">
        <v>231</v>
      </c>
      <c r="R158" t="s">
        <v>1162</v>
      </c>
      <c r="S158" t="s">
        <v>2063</v>
      </c>
    </row>
    <row r="159" spans="1:19">
      <c r="A159" t="s">
        <v>232</v>
      </c>
      <c r="R159" t="s">
        <v>1163</v>
      </c>
      <c r="S159" t="s">
        <v>2064</v>
      </c>
    </row>
    <row r="160" spans="1:19">
      <c r="A160" t="s">
        <v>233</v>
      </c>
      <c r="R160" t="s">
        <v>1164</v>
      </c>
      <c r="S160" t="s">
        <v>2065</v>
      </c>
    </row>
    <row r="161" spans="1:19">
      <c r="A161" t="s">
        <v>234</v>
      </c>
      <c r="R161" t="s">
        <v>1165</v>
      </c>
      <c r="S161" t="s">
        <v>2066</v>
      </c>
    </row>
    <row r="162" spans="1:19">
      <c r="A162" t="s">
        <v>235</v>
      </c>
      <c r="R162" t="s">
        <v>1166</v>
      </c>
      <c r="S162" t="s">
        <v>2067</v>
      </c>
    </row>
    <row r="163" spans="1:19">
      <c r="A163" t="s">
        <v>236</v>
      </c>
      <c r="R163" t="s">
        <v>1167</v>
      </c>
      <c r="S163" t="s">
        <v>2068</v>
      </c>
    </row>
    <row r="164" spans="1:19">
      <c r="A164" t="s">
        <v>237</v>
      </c>
      <c r="R164" t="s">
        <v>1168</v>
      </c>
      <c r="S164" t="s">
        <v>2069</v>
      </c>
    </row>
    <row r="165" spans="1:19">
      <c r="A165" t="s">
        <v>238</v>
      </c>
      <c r="R165" t="s">
        <v>1169</v>
      </c>
      <c r="S165" t="s">
        <v>2070</v>
      </c>
    </row>
    <row r="166" spans="1:19">
      <c r="A166" t="s">
        <v>239</v>
      </c>
      <c r="R166" t="s">
        <v>1170</v>
      </c>
      <c r="S166" t="s">
        <v>2071</v>
      </c>
    </row>
    <row r="167" spans="1:19">
      <c r="A167" t="s">
        <v>240</v>
      </c>
      <c r="R167" t="s">
        <v>1171</v>
      </c>
      <c r="S167" t="s">
        <v>2072</v>
      </c>
    </row>
    <row r="168" spans="1:19">
      <c r="A168" t="s">
        <v>241</v>
      </c>
      <c r="R168" t="s">
        <v>1172</v>
      </c>
      <c r="S168" t="s">
        <v>2073</v>
      </c>
    </row>
    <row r="169" spans="1:19">
      <c r="A169" t="s">
        <v>242</v>
      </c>
      <c r="R169" t="s">
        <v>1173</v>
      </c>
      <c r="S169" t="s">
        <v>2074</v>
      </c>
    </row>
    <row r="170" spans="1:19">
      <c r="A170" t="s">
        <v>243</v>
      </c>
      <c r="R170" t="s">
        <v>1174</v>
      </c>
      <c r="S170" t="s">
        <v>2075</v>
      </c>
    </row>
    <row r="171" spans="1:19">
      <c r="A171" t="s">
        <v>244</v>
      </c>
      <c r="R171" t="s">
        <v>1175</v>
      </c>
      <c r="S171" t="s">
        <v>2076</v>
      </c>
    </row>
    <row r="172" spans="1:19">
      <c r="A172" t="s">
        <v>245</v>
      </c>
      <c r="R172" t="s">
        <v>1176</v>
      </c>
      <c r="S172" t="s">
        <v>2077</v>
      </c>
    </row>
    <row r="173" spans="1:19">
      <c r="A173" t="s">
        <v>246</v>
      </c>
      <c r="R173" t="s">
        <v>1177</v>
      </c>
      <c r="S173" t="s">
        <v>2078</v>
      </c>
    </row>
    <row r="174" spans="1:19">
      <c r="A174" t="s">
        <v>247</v>
      </c>
      <c r="R174" t="s">
        <v>1178</v>
      </c>
      <c r="S174" t="s">
        <v>2079</v>
      </c>
    </row>
    <row r="175" spans="1:19">
      <c r="A175" t="s">
        <v>248</v>
      </c>
      <c r="R175" t="s">
        <v>1179</v>
      </c>
      <c r="S175" t="s">
        <v>2080</v>
      </c>
    </row>
    <row r="176" spans="1:19">
      <c r="A176" t="s">
        <v>249</v>
      </c>
      <c r="R176" t="s">
        <v>1180</v>
      </c>
      <c r="S176" t="s">
        <v>2081</v>
      </c>
    </row>
    <row r="177" spans="1:19">
      <c r="A177" t="s">
        <v>250</v>
      </c>
      <c r="R177" t="s">
        <v>1181</v>
      </c>
      <c r="S177" t="s">
        <v>2082</v>
      </c>
    </row>
    <row r="178" spans="1:19">
      <c r="A178" t="s">
        <v>251</v>
      </c>
      <c r="R178" t="s">
        <v>1182</v>
      </c>
      <c r="S178" t="s">
        <v>2083</v>
      </c>
    </row>
    <row r="179" spans="1:19">
      <c r="A179" t="s">
        <v>252</v>
      </c>
      <c r="R179" t="s">
        <v>1183</v>
      </c>
      <c r="S179" t="s">
        <v>2084</v>
      </c>
    </row>
    <row r="180" spans="1:19">
      <c r="A180" t="s">
        <v>253</v>
      </c>
      <c r="R180" t="s">
        <v>1184</v>
      </c>
      <c r="S180" t="s">
        <v>2085</v>
      </c>
    </row>
    <row r="181" spans="1:19">
      <c r="A181" t="s">
        <v>254</v>
      </c>
      <c r="R181" t="s">
        <v>1185</v>
      </c>
      <c r="S181" t="s">
        <v>2086</v>
      </c>
    </row>
    <row r="182" spans="1:19">
      <c r="A182" t="s">
        <v>255</v>
      </c>
      <c r="R182" t="s">
        <v>1186</v>
      </c>
      <c r="S182" t="s">
        <v>2087</v>
      </c>
    </row>
    <row r="183" spans="1:19">
      <c r="A183" t="s">
        <v>256</v>
      </c>
      <c r="R183" t="s">
        <v>1187</v>
      </c>
      <c r="S183" t="s">
        <v>2088</v>
      </c>
    </row>
    <row r="184" spans="1:19">
      <c r="A184" t="s">
        <v>257</v>
      </c>
      <c r="R184" t="s">
        <v>1188</v>
      </c>
      <c r="S184" t="s">
        <v>2089</v>
      </c>
    </row>
    <row r="185" spans="1:19">
      <c r="A185" t="s">
        <v>258</v>
      </c>
      <c r="R185" t="s">
        <v>1189</v>
      </c>
      <c r="S185" t="s">
        <v>2090</v>
      </c>
    </row>
    <row r="186" spans="1:19">
      <c r="A186" t="s">
        <v>259</v>
      </c>
      <c r="R186" t="s">
        <v>1190</v>
      </c>
      <c r="S186" t="s">
        <v>2091</v>
      </c>
    </row>
    <row r="187" spans="1:19">
      <c r="A187" t="s">
        <v>260</v>
      </c>
      <c r="R187" t="s">
        <v>1191</v>
      </c>
      <c r="S187" t="s">
        <v>2092</v>
      </c>
    </row>
    <row r="188" spans="1:19">
      <c r="A188" t="s">
        <v>261</v>
      </c>
      <c r="R188" t="s">
        <v>1192</v>
      </c>
      <c r="S188" t="s">
        <v>2093</v>
      </c>
    </row>
    <row r="189" spans="1:19">
      <c r="A189" t="s">
        <v>262</v>
      </c>
      <c r="R189" t="s">
        <v>1193</v>
      </c>
      <c r="S189" t="s">
        <v>2094</v>
      </c>
    </row>
    <row r="190" spans="1:19">
      <c r="A190" t="s">
        <v>263</v>
      </c>
      <c r="R190" t="s">
        <v>1194</v>
      </c>
      <c r="S190" t="s">
        <v>2095</v>
      </c>
    </row>
    <row r="191" spans="1:19">
      <c r="A191" t="s">
        <v>264</v>
      </c>
      <c r="R191" t="s">
        <v>1195</v>
      </c>
      <c r="S191" t="s">
        <v>2096</v>
      </c>
    </row>
    <row r="192" spans="1:19">
      <c r="A192" t="s">
        <v>265</v>
      </c>
      <c r="R192" t="s">
        <v>1196</v>
      </c>
      <c r="S192" t="s">
        <v>2097</v>
      </c>
    </row>
    <row r="193" spans="1:19">
      <c r="A193" t="s">
        <v>266</v>
      </c>
      <c r="R193" t="s">
        <v>1197</v>
      </c>
      <c r="S193" t="s">
        <v>2098</v>
      </c>
    </row>
    <row r="194" spans="1:19">
      <c r="A194" t="s">
        <v>267</v>
      </c>
      <c r="R194" t="s">
        <v>1198</v>
      </c>
      <c r="S194" t="s">
        <v>2099</v>
      </c>
    </row>
    <row r="195" spans="1:19">
      <c r="A195" t="s">
        <v>268</v>
      </c>
      <c r="R195" t="s">
        <v>1199</v>
      </c>
      <c r="S195" t="s">
        <v>2100</v>
      </c>
    </row>
    <row r="196" spans="1:19">
      <c r="A196" t="s">
        <v>269</v>
      </c>
      <c r="R196" t="s">
        <v>1200</v>
      </c>
      <c r="S196" t="s">
        <v>2101</v>
      </c>
    </row>
    <row r="197" spans="1:19">
      <c r="A197" t="s">
        <v>270</v>
      </c>
      <c r="R197" t="s">
        <v>1201</v>
      </c>
      <c r="S197" t="s">
        <v>2102</v>
      </c>
    </row>
    <row r="198" spans="1:19">
      <c r="A198" t="s">
        <v>271</v>
      </c>
      <c r="R198" t="s">
        <v>1202</v>
      </c>
      <c r="S198" t="s">
        <v>2103</v>
      </c>
    </row>
    <row r="199" spans="1:19">
      <c r="A199" t="s">
        <v>272</v>
      </c>
      <c r="R199" t="s">
        <v>1203</v>
      </c>
      <c r="S199" t="s">
        <v>2104</v>
      </c>
    </row>
    <row r="200" spans="1:19">
      <c r="A200" t="s">
        <v>273</v>
      </c>
      <c r="R200" t="s">
        <v>1204</v>
      </c>
      <c r="S200" t="s">
        <v>2105</v>
      </c>
    </row>
    <row r="201" spans="1:19">
      <c r="A201" t="s">
        <v>274</v>
      </c>
      <c r="R201" t="s">
        <v>1205</v>
      </c>
      <c r="S201" t="s">
        <v>2106</v>
      </c>
    </row>
    <row r="202" spans="1:19">
      <c r="A202" t="s">
        <v>275</v>
      </c>
      <c r="R202" t="s">
        <v>1206</v>
      </c>
      <c r="S202" t="s">
        <v>2107</v>
      </c>
    </row>
    <row r="203" spans="1:19">
      <c r="A203" t="s">
        <v>276</v>
      </c>
      <c r="R203" t="s">
        <v>1207</v>
      </c>
      <c r="S203" t="s">
        <v>2108</v>
      </c>
    </row>
    <row r="204" spans="1:19">
      <c r="A204" t="s">
        <v>277</v>
      </c>
      <c r="R204" t="s">
        <v>1208</v>
      </c>
      <c r="S204" t="s">
        <v>2109</v>
      </c>
    </row>
    <row r="205" spans="1:19">
      <c r="A205" t="s">
        <v>278</v>
      </c>
      <c r="R205" t="s">
        <v>1209</v>
      </c>
      <c r="S205" t="s">
        <v>2110</v>
      </c>
    </row>
    <row r="206" spans="1:19">
      <c r="A206" t="s">
        <v>279</v>
      </c>
      <c r="R206" t="s">
        <v>1210</v>
      </c>
      <c r="S206" t="s">
        <v>2111</v>
      </c>
    </row>
    <row r="207" spans="1:19">
      <c r="A207" t="s">
        <v>280</v>
      </c>
      <c r="R207" t="s">
        <v>1211</v>
      </c>
      <c r="S207" t="s">
        <v>2112</v>
      </c>
    </row>
    <row r="208" spans="1:19">
      <c r="A208" t="s">
        <v>281</v>
      </c>
      <c r="R208" t="s">
        <v>1212</v>
      </c>
      <c r="S208" t="s">
        <v>2113</v>
      </c>
    </row>
    <row r="209" spans="1:19">
      <c r="A209" t="s">
        <v>282</v>
      </c>
      <c r="R209" t="s">
        <v>1213</v>
      </c>
      <c r="S209" t="s">
        <v>2114</v>
      </c>
    </row>
    <row r="210" spans="1:19">
      <c r="A210" t="s">
        <v>283</v>
      </c>
      <c r="R210" t="s">
        <v>1214</v>
      </c>
      <c r="S210" t="s">
        <v>2115</v>
      </c>
    </row>
    <row r="211" spans="1:19">
      <c r="A211" t="s">
        <v>284</v>
      </c>
      <c r="R211" t="s">
        <v>1215</v>
      </c>
      <c r="S211" t="s">
        <v>2116</v>
      </c>
    </row>
    <row r="212" spans="1:19">
      <c r="A212" t="s">
        <v>285</v>
      </c>
      <c r="R212" t="s">
        <v>1216</v>
      </c>
      <c r="S212" t="s">
        <v>2117</v>
      </c>
    </row>
    <row r="213" spans="1:19">
      <c r="A213" t="s">
        <v>286</v>
      </c>
      <c r="R213" t="s">
        <v>1217</v>
      </c>
      <c r="S213" t="s">
        <v>2118</v>
      </c>
    </row>
    <row r="214" spans="1:19">
      <c r="A214" t="s">
        <v>287</v>
      </c>
      <c r="R214" t="s">
        <v>1218</v>
      </c>
      <c r="S214" t="s">
        <v>2119</v>
      </c>
    </row>
    <row r="215" spans="1:19">
      <c r="A215" t="s">
        <v>288</v>
      </c>
      <c r="R215" t="s">
        <v>1219</v>
      </c>
      <c r="S215" t="s">
        <v>2120</v>
      </c>
    </row>
    <row r="216" spans="1:19">
      <c r="A216" t="s">
        <v>289</v>
      </c>
      <c r="R216" t="s">
        <v>1220</v>
      </c>
      <c r="S216" t="s">
        <v>2121</v>
      </c>
    </row>
    <row r="217" spans="1:19">
      <c r="A217" t="s">
        <v>290</v>
      </c>
      <c r="R217" t="s">
        <v>1221</v>
      </c>
      <c r="S217" t="s">
        <v>2122</v>
      </c>
    </row>
    <row r="218" spans="1:19">
      <c r="A218" t="s">
        <v>291</v>
      </c>
      <c r="R218" t="s">
        <v>1222</v>
      </c>
      <c r="S218" t="s">
        <v>2123</v>
      </c>
    </row>
    <row r="219" spans="1:19">
      <c r="A219" t="s">
        <v>292</v>
      </c>
      <c r="R219" t="s">
        <v>1223</v>
      </c>
      <c r="S219" t="s">
        <v>2124</v>
      </c>
    </row>
    <row r="220" spans="1:19">
      <c r="A220" t="s">
        <v>293</v>
      </c>
      <c r="R220" t="s">
        <v>1224</v>
      </c>
      <c r="S220" t="s">
        <v>2125</v>
      </c>
    </row>
    <row r="221" spans="1:19">
      <c r="A221" t="s">
        <v>294</v>
      </c>
      <c r="R221" t="s">
        <v>1225</v>
      </c>
      <c r="S221" t="s">
        <v>2126</v>
      </c>
    </row>
    <row r="222" spans="1:19">
      <c r="A222" t="s">
        <v>295</v>
      </c>
      <c r="R222" t="s">
        <v>1226</v>
      </c>
      <c r="S222" t="s">
        <v>2127</v>
      </c>
    </row>
    <row r="223" spans="1:19">
      <c r="A223" t="s">
        <v>296</v>
      </c>
      <c r="R223" t="s">
        <v>1227</v>
      </c>
      <c r="S223" t="s">
        <v>2128</v>
      </c>
    </row>
    <row r="224" spans="1:19">
      <c r="A224" t="s">
        <v>297</v>
      </c>
      <c r="R224" t="s">
        <v>1228</v>
      </c>
      <c r="S224" t="s">
        <v>2129</v>
      </c>
    </row>
    <row r="225" spans="1:19">
      <c r="A225" t="s">
        <v>298</v>
      </c>
      <c r="R225" t="s">
        <v>1229</v>
      </c>
      <c r="S225" t="s">
        <v>2130</v>
      </c>
    </row>
    <row r="226" spans="1:19">
      <c r="A226" t="s">
        <v>299</v>
      </c>
      <c r="R226" t="s">
        <v>1230</v>
      </c>
      <c r="S226" t="s">
        <v>2131</v>
      </c>
    </row>
    <row r="227" spans="1:19">
      <c r="A227" t="s">
        <v>300</v>
      </c>
      <c r="R227" t="s">
        <v>1231</v>
      </c>
      <c r="S227" t="s">
        <v>2132</v>
      </c>
    </row>
    <row r="228" spans="1:19">
      <c r="A228" t="s">
        <v>301</v>
      </c>
      <c r="R228" t="s">
        <v>1232</v>
      </c>
      <c r="S228" t="s">
        <v>2133</v>
      </c>
    </row>
    <row r="229" spans="1:19">
      <c r="A229" t="s">
        <v>302</v>
      </c>
      <c r="R229" t="s">
        <v>1233</v>
      </c>
      <c r="S229" t="s">
        <v>2134</v>
      </c>
    </row>
    <row r="230" spans="1:19">
      <c r="A230" t="s">
        <v>303</v>
      </c>
      <c r="R230" t="s">
        <v>1234</v>
      </c>
      <c r="S230" t="s">
        <v>2135</v>
      </c>
    </row>
    <row r="231" spans="1:19">
      <c r="A231" t="s">
        <v>304</v>
      </c>
      <c r="R231" t="s">
        <v>1235</v>
      </c>
      <c r="S231" t="s">
        <v>2136</v>
      </c>
    </row>
    <row r="232" spans="1:19">
      <c r="A232" t="s">
        <v>305</v>
      </c>
      <c r="R232" t="s">
        <v>1236</v>
      </c>
      <c r="S232" t="s">
        <v>2137</v>
      </c>
    </row>
    <row r="233" spans="1:19">
      <c r="A233" t="s">
        <v>306</v>
      </c>
      <c r="R233" t="s">
        <v>1237</v>
      </c>
      <c r="S233" t="s">
        <v>2138</v>
      </c>
    </row>
    <row r="234" spans="1:19">
      <c r="A234" t="s">
        <v>307</v>
      </c>
      <c r="R234" t="s">
        <v>1238</v>
      </c>
      <c r="S234" t="s">
        <v>2139</v>
      </c>
    </row>
    <row r="235" spans="1:19">
      <c r="A235" t="s">
        <v>308</v>
      </c>
      <c r="R235" t="s">
        <v>1239</v>
      </c>
      <c r="S235" t="s">
        <v>2140</v>
      </c>
    </row>
    <row r="236" spans="1:19">
      <c r="A236" t="s">
        <v>309</v>
      </c>
      <c r="R236" t="s">
        <v>1240</v>
      </c>
      <c r="S236" t="s">
        <v>2141</v>
      </c>
    </row>
    <row r="237" spans="1:19">
      <c r="A237" t="s">
        <v>310</v>
      </c>
      <c r="R237" t="s">
        <v>1241</v>
      </c>
      <c r="S237" t="s">
        <v>2142</v>
      </c>
    </row>
    <row r="238" spans="1:19">
      <c r="A238" t="s">
        <v>311</v>
      </c>
      <c r="R238" t="s">
        <v>1242</v>
      </c>
      <c r="S238" t="s">
        <v>2143</v>
      </c>
    </row>
    <row r="239" spans="1:19">
      <c r="A239" t="s">
        <v>312</v>
      </c>
      <c r="R239" t="s">
        <v>1243</v>
      </c>
      <c r="S239" t="s">
        <v>2144</v>
      </c>
    </row>
    <row r="240" spans="1:19">
      <c r="A240" t="s">
        <v>313</v>
      </c>
      <c r="R240" t="s">
        <v>1244</v>
      </c>
      <c r="S240" t="s">
        <v>2145</v>
      </c>
    </row>
    <row r="241" spans="1:19">
      <c r="A241" t="s">
        <v>314</v>
      </c>
      <c r="R241" t="s">
        <v>1245</v>
      </c>
      <c r="S241" t="s">
        <v>2146</v>
      </c>
    </row>
    <row r="242" spans="1:19">
      <c r="A242" t="s">
        <v>315</v>
      </c>
      <c r="R242" t="s">
        <v>1246</v>
      </c>
      <c r="S242" t="s">
        <v>2147</v>
      </c>
    </row>
    <row r="243" spans="1:19">
      <c r="A243" t="s">
        <v>316</v>
      </c>
      <c r="R243" t="s">
        <v>1247</v>
      </c>
      <c r="S243" t="s">
        <v>2148</v>
      </c>
    </row>
    <row r="244" spans="1:19">
      <c r="A244" t="s">
        <v>317</v>
      </c>
      <c r="R244" t="s">
        <v>1248</v>
      </c>
      <c r="S244" t="s">
        <v>2149</v>
      </c>
    </row>
    <row r="245" spans="1:19">
      <c r="A245" t="s">
        <v>318</v>
      </c>
      <c r="R245" t="s">
        <v>1249</v>
      </c>
      <c r="S245" t="s">
        <v>2150</v>
      </c>
    </row>
    <row r="246" spans="1:19">
      <c r="A246" t="s">
        <v>319</v>
      </c>
      <c r="R246" t="s">
        <v>1250</v>
      </c>
      <c r="S246" t="s">
        <v>2151</v>
      </c>
    </row>
    <row r="247" spans="1:19">
      <c r="A247" t="s">
        <v>320</v>
      </c>
      <c r="R247" t="s">
        <v>1251</v>
      </c>
      <c r="S247" t="s">
        <v>2152</v>
      </c>
    </row>
    <row r="248" spans="1:19">
      <c r="A248" t="s">
        <v>321</v>
      </c>
      <c r="R248" t="s">
        <v>1252</v>
      </c>
      <c r="S248" t="s">
        <v>2153</v>
      </c>
    </row>
    <row r="249" spans="1:19">
      <c r="A249" t="s">
        <v>322</v>
      </c>
      <c r="R249" t="s">
        <v>1253</v>
      </c>
      <c r="S249" t="s">
        <v>2154</v>
      </c>
    </row>
    <row r="250" spans="1:19">
      <c r="A250" t="s">
        <v>323</v>
      </c>
      <c r="R250" t="s">
        <v>1254</v>
      </c>
      <c r="S250" t="s">
        <v>2155</v>
      </c>
    </row>
    <row r="251" spans="1:19">
      <c r="A251" t="s">
        <v>324</v>
      </c>
      <c r="R251" t="s">
        <v>1255</v>
      </c>
      <c r="S251" t="s">
        <v>2156</v>
      </c>
    </row>
    <row r="252" spans="1:19">
      <c r="A252" t="s">
        <v>325</v>
      </c>
      <c r="R252" t="s">
        <v>1256</v>
      </c>
      <c r="S252" t="s">
        <v>2157</v>
      </c>
    </row>
    <row r="253" spans="1:19">
      <c r="A253" t="s">
        <v>326</v>
      </c>
      <c r="R253" t="s">
        <v>1257</v>
      </c>
      <c r="S253" t="s">
        <v>2158</v>
      </c>
    </row>
    <row r="254" spans="1:19">
      <c r="A254" t="s">
        <v>327</v>
      </c>
      <c r="R254" t="s">
        <v>1258</v>
      </c>
      <c r="S254" t="s">
        <v>2159</v>
      </c>
    </row>
    <row r="255" spans="1:19">
      <c r="A255" t="s">
        <v>328</v>
      </c>
      <c r="R255" t="s">
        <v>1259</v>
      </c>
    </row>
    <row r="256" spans="1:19">
      <c r="A256" t="s">
        <v>329</v>
      </c>
      <c r="R256" t="s">
        <v>1260</v>
      </c>
    </row>
    <row r="257" spans="1:18">
      <c r="A257" t="s">
        <v>330</v>
      </c>
      <c r="R257" t="s">
        <v>1261</v>
      </c>
    </row>
    <row r="258" spans="1:18">
      <c r="A258" t="s">
        <v>331</v>
      </c>
      <c r="R258" t="s">
        <v>1262</v>
      </c>
    </row>
    <row r="259" spans="1:18">
      <c r="A259" t="s">
        <v>332</v>
      </c>
      <c r="R259" t="s">
        <v>1263</v>
      </c>
    </row>
    <row r="260" spans="1:18">
      <c r="A260" t="s">
        <v>333</v>
      </c>
      <c r="R260" t="s">
        <v>1264</v>
      </c>
    </row>
    <row r="261" spans="1:18">
      <c r="A261" t="s">
        <v>334</v>
      </c>
      <c r="R261" t="s">
        <v>1265</v>
      </c>
    </row>
    <row r="262" spans="1:18">
      <c r="A262" t="s">
        <v>335</v>
      </c>
      <c r="R262" t="s">
        <v>1266</v>
      </c>
    </row>
    <row r="263" spans="1:18">
      <c r="A263" t="s">
        <v>336</v>
      </c>
      <c r="R263" t="s">
        <v>1267</v>
      </c>
    </row>
    <row r="264" spans="1:18">
      <c r="A264" t="s">
        <v>337</v>
      </c>
      <c r="R264" t="s">
        <v>1268</v>
      </c>
    </row>
    <row r="265" spans="1:18">
      <c r="A265" t="s">
        <v>338</v>
      </c>
      <c r="R265" t="s">
        <v>1269</v>
      </c>
    </row>
    <row r="266" spans="1:18">
      <c r="A266" t="s">
        <v>339</v>
      </c>
      <c r="R266" t="s">
        <v>1270</v>
      </c>
    </row>
    <row r="267" spans="1:18">
      <c r="A267" t="s">
        <v>340</v>
      </c>
      <c r="R267" t="s">
        <v>1271</v>
      </c>
    </row>
    <row r="268" spans="1:18">
      <c r="A268" t="s">
        <v>341</v>
      </c>
      <c r="R268" t="s">
        <v>1272</v>
      </c>
    </row>
    <row r="269" spans="1:18">
      <c r="A269" t="s">
        <v>342</v>
      </c>
      <c r="R269" t="s">
        <v>1273</v>
      </c>
    </row>
    <row r="270" spans="1:18">
      <c r="A270" t="s">
        <v>343</v>
      </c>
      <c r="R270" t="s">
        <v>1274</v>
      </c>
    </row>
    <row r="271" spans="1:18">
      <c r="A271" t="s">
        <v>344</v>
      </c>
      <c r="R271" t="s">
        <v>1275</v>
      </c>
    </row>
    <row r="272" spans="1:18">
      <c r="A272" t="s">
        <v>345</v>
      </c>
      <c r="R272" t="s">
        <v>1276</v>
      </c>
    </row>
    <row r="273" spans="1:18">
      <c r="A273" t="s">
        <v>346</v>
      </c>
      <c r="R273" t="s">
        <v>1277</v>
      </c>
    </row>
    <row r="274" spans="1:18">
      <c r="A274" t="s">
        <v>347</v>
      </c>
      <c r="R274" t="s">
        <v>1278</v>
      </c>
    </row>
    <row r="275" spans="1:18">
      <c r="A275" t="s">
        <v>348</v>
      </c>
      <c r="R275" t="s">
        <v>1279</v>
      </c>
    </row>
    <row r="276" spans="1:18">
      <c r="A276" t="s">
        <v>349</v>
      </c>
      <c r="R276" t="s">
        <v>1280</v>
      </c>
    </row>
    <row r="277" spans="1:18">
      <c r="A277" t="s">
        <v>350</v>
      </c>
      <c r="R277" t="s">
        <v>1281</v>
      </c>
    </row>
    <row r="278" spans="1:18">
      <c r="A278" t="s">
        <v>351</v>
      </c>
      <c r="R278" t="s">
        <v>1282</v>
      </c>
    </row>
    <row r="279" spans="1:18">
      <c r="A279" t="s">
        <v>352</v>
      </c>
      <c r="R279" t="s">
        <v>1283</v>
      </c>
    </row>
    <row r="280" spans="1:18">
      <c r="A280" t="s">
        <v>353</v>
      </c>
      <c r="R280" t="s">
        <v>1284</v>
      </c>
    </row>
    <row r="281" spans="1:18">
      <c r="A281" t="s">
        <v>354</v>
      </c>
      <c r="R281" t="s">
        <v>1285</v>
      </c>
    </row>
    <row r="282" spans="1:18">
      <c r="A282" t="s">
        <v>355</v>
      </c>
      <c r="R282" t="s">
        <v>1286</v>
      </c>
    </row>
    <row r="283" spans="1:18">
      <c r="A283" t="s">
        <v>356</v>
      </c>
      <c r="R283" t="s">
        <v>1287</v>
      </c>
    </row>
    <row r="284" spans="1:18">
      <c r="A284" t="s">
        <v>357</v>
      </c>
      <c r="R284" t="s">
        <v>1288</v>
      </c>
    </row>
    <row r="285" spans="1:18">
      <c r="A285" t="s">
        <v>358</v>
      </c>
      <c r="R285" t="s">
        <v>1289</v>
      </c>
    </row>
    <row r="286" spans="1:18">
      <c r="A286" t="s">
        <v>359</v>
      </c>
      <c r="R286" t="s">
        <v>1290</v>
      </c>
    </row>
    <row r="287" spans="1:18">
      <c r="A287" t="s">
        <v>360</v>
      </c>
      <c r="R287" t="s">
        <v>1291</v>
      </c>
    </row>
    <row r="288" spans="1:18">
      <c r="A288" t="s">
        <v>361</v>
      </c>
      <c r="R288" t="s">
        <v>1292</v>
      </c>
    </row>
    <row r="289" spans="1:18">
      <c r="A289" t="s">
        <v>362</v>
      </c>
      <c r="R289" t="s">
        <v>1293</v>
      </c>
    </row>
    <row r="290" spans="1:18">
      <c r="A290" t="s">
        <v>363</v>
      </c>
      <c r="R290" t="s">
        <v>1294</v>
      </c>
    </row>
    <row r="291" spans="1:18">
      <c r="A291" t="s">
        <v>364</v>
      </c>
      <c r="R291" t="s">
        <v>1295</v>
      </c>
    </row>
    <row r="292" spans="1:18">
      <c r="A292" t="s">
        <v>365</v>
      </c>
      <c r="R292" t="s">
        <v>1296</v>
      </c>
    </row>
    <row r="293" spans="1:18">
      <c r="A293" t="s">
        <v>366</v>
      </c>
      <c r="R293" t="s">
        <v>1297</v>
      </c>
    </row>
    <row r="294" spans="1:18">
      <c r="A294" t="s">
        <v>367</v>
      </c>
      <c r="R294" t="s">
        <v>1298</v>
      </c>
    </row>
    <row r="295" spans="1:18">
      <c r="A295" t="s">
        <v>368</v>
      </c>
      <c r="R295" t="s">
        <v>1299</v>
      </c>
    </row>
    <row r="296" spans="1:18">
      <c r="A296" t="s">
        <v>369</v>
      </c>
      <c r="R296" t="s">
        <v>1300</v>
      </c>
    </row>
    <row r="297" spans="1:18">
      <c r="A297" t="s">
        <v>370</v>
      </c>
      <c r="R297" t="s">
        <v>1301</v>
      </c>
    </row>
    <row r="298" spans="1:18">
      <c r="A298" t="s">
        <v>371</v>
      </c>
      <c r="R298" t="s">
        <v>1302</v>
      </c>
    </row>
    <row r="299" spans="1:18">
      <c r="A299" t="s">
        <v>372</v>
      </c>
      <c r="R299" t="s">
        <v>1303</v>
      </c>
    </row>
    <row r="300" spans="1:18">
      <c r="A300" t="s">
        <v>373</v>
      </c>
      <c r="R300" t="s">
        <v>1304</v>
      </c>
    </row>
    <row r="301" spans="1:18">
      <c r="A301" t="s">
        <v>374</v>
      </c>
      <c r="R301" t="s">
        <v>1305</v>
      </c>
    </row>
    <row r="302" spans="1:18">
      <c r="A302" t="s">
        <v>375</v>
      </c>
      <c r="R302" t="s">
        <v>1306</v>
      </c>
    </row>
    <row r="303" spans="1:18">
      <c r="A303" t="s">
        <v>376</v>
      </c>
      <c r="R303" t="s">
        <v>1307</v>
      </c>
    </row>
    <row r="304" spans="1:18">
      <c r="A304" t="s">
        <v>377</v>
      </c>
      <c r="R304" t="s">
        <v>1308</v>
      </c>
    </row>
    <row r="305" spans="1:18">
      <c r="A305" t="s">
        <v>378</v>
      </c>
      <c r="R305" t="s">
        <v>1309</v>
      </c>
    </row>
    <row r="306" spans="1:18">
      <c r="A306" t="s">
        <v>379</v>
      </c>
      <c r="R306" t="s">
        <v>1310</v>
      </c>
    </row>
    <row r="307" spans="1:18">
      <c r="A307" t="s">
        <v>380</v>
      </c>
      <c r="R307" t="s">
        <v>1311</v>
      </c>
    </row>
    <row r="308" spans="1:18">
      <c r="A308" t="s">
        <v>381</v>
      </c>
      <c r="R308" t="s">
        <v>1312</v>
      </c>
    </row>
    <row r="309" spans="1:18">
      <c r="A309" t="s">
        <v>382</v>
      </c>
      <c r="R309" t="s">
        <v>1313</v>
      </c>
    </row>
    <row r="310" spans="1:18">
      <c r="A310" t="s">
        <v>383</v>
      </c>
      <c r="R310" t="s">
        <v>1314</v>
      </c>
    </row>
    <row r="311" spans="1:18">
      <c r="A311" t="s">
        <v>384</v>
      </c>
      <c r="R311" t="s">
        <v>1315</v>
      </c>
    </row>
    <row r="312" spans="1:18">
      <c r="A312" t="s">
        <v>385</v>
      </c>
      <c r="R312" t="s">
        <v>1316</v>
      </c>
    </row>
    <row r="313" spans="1:18">
      <c r="A313" t="s">
        <v>386</v>
      </c>
      <c r="R313" t="s">
        <v>1317</v>
      </c>
    </row>
    <row r="314" spans="1:18">
      <c r="A314" t="s">
        <v>387</v>
      </c>
      <c r="R314" t="s">
        <v>1318</v>
      </c>
    </row>
    <row r="315" spans="1:18">
      <c r="A315" t="s">
        <v>388</v>
      </c>
      <c r="R315" t="s">
        <v>1319</v>
      </c>
    </row>
    <row r="316" spans="1:18">
      <c r="A316" t="s">
        <v>389</v>
      </c>
      <c r="R316" t="s">
        <v>1320</v>
      </c>
    </row>
    <row r="317" spans="1:18">
      <c r="A317" t="s">
        <v>390</v>
      </c>
      <c r="R317" t="s">
        <v>1321</v>
      </c>
    </row>
    <row r="318" spans="1:18">
      <c r="A318" t="s">
        <v>391</v>
      </c>
      <c r="R318" t="s">
        <v>1322</v>
      </c>
    </row>
    <row r="319" spans="1:18">
      <c r="A319" t="s">
        <v>392</v>
      </c>
      <c r="R319" t="s">
        <v>1323</v>
      </c>
    </row>
    <row r="320" spans="1:18">
      <c r="A320" t="s">
        <v>393</v>
      </c>
      <c r="R320" t="s">
        <v>1324</v>
      </c>
    </row>
    <row r="321" spans="1:18">
      <c r="A321" t="s">
        <v>394</v>
      </c>
      <c r="R321" t="s">
        <v>1325</v>
      </c>
    </row>
    <row r="322" spans="1:18">
      <c r="A322" t="s">
        <v>395</v>
      </c>
      <c r="R322" t="s">
        <v>1326</v>
      </c>
    </row>
    <row r="323" spans="1:18">
      <c r="A323" t="s">
        <v>396</v>
      </c>
      <c r="R323" t="s">
        <v>1327</v>
      </c>
    </row>
    <row r="324" spans="1:18">
      <c r="A324" t="s">
        <v>397</v>
      </c>
      <c r="R324" t="s">
        <v>1328</v>
      </c>
    </row>
    <row r="325" spans="1:18">
      <c r="A325" t="s">
        <v>398</v>
      </c>
      <c r="R325" t="s">
        <v>1329</v>
      </c>
    </row>
    <row r="326" spans="1:18">
      <c r="A326" t="s">
        <v>399</v>
      </c>
      <c r="R326" t="s">
        <v>1330</v>
      </c>
    </row>
    <row r="327" spans="1:18">
      <c r="A327" t="s">
        <v>400</v>
      </c>
      <c r="R327" t="s">
        <v>1331</v>
      </c>
    </row>
    <row r="328" spans="1:18">
      <c r="A328" t="s">
        <v>401</v>
      </c>
      <c r="R328" t="s">
        <v>1332</v>
      </c>
    </row>
    <row r="329" spans="1:18">
      <c r="A329" t="s">
        <v>402</v>
      </c>
      <c r="R329" t="s">
        <v>1333</v>
      </c>
    </row>
    <row r="330" spans="1:18">
      <c r="A330" t="s">
        <v>403</v>
      </c>
      <c r="R330" t="s">
        <v>1334</v>
      </c>
    </row>
    <row r="331" spans="1:18">
      <c r="A331" t="s">
        <v>404</v>
      </c>
      <c r="R331" t="s">
        <v>1335</v>
      </c>
    </row>
    <row r="332" spans="1:18">
      <c r="A332" t="s">
        <v>405</v>
      </c>
      <c r="R332" t="s">
        <v>1336</v>
      </c>
    </row>
    <row r="333" spans="1:18">
      <c r="A333" t="s">
        <v>406</v>
      </c>
      <c r="R333" t="s">
        <v>1337</v>
      </c>
    </row>
    <row r="334" spans="1:18">
      <c r="A334" t="s">
        <v>407</v>
      </c>
      <c r="R334" t="s">
        <v>1338</v>
      </c>
    </row>
    <row r="335" spans="1:18">
      <c r="A335" t="s">
        <v>408</v>
      </c>
      <c r="R335" t="s">
        <v>1339</v>
      </c>
    </row>
    <row r="336" spans="1:18">
      <c r="A336" t="s">
        <v>409</v>
      </c>
      <c r="R336" t="s">
        <v>1340</v>
      </c>
    </row>
    <row r="337" spans="1:18">
      <c r="A337" t="s">
        <v>410</v>
      </c>
      <c r="R337" t="s">
        <v>1341</v>
      </c>
    </row>
    <row r="338" spans="1:18">
      <c r="A338" t="s">
        <v>411</v>
      </c>
      <c r="R338" t="s">
        <v>1342</v>
      </c>
    </row>
    <row r="339" spans="1:18">
      <c r="A339" t="s">
        <v>412</v>
      </c>
      <c r="R339" t="s">
        <v>1343</v>
      </c>
    </row>
    <row r="340" spans="1:18">
      <c r="A340" t="s">
        <v>413</v>
      </c>
      <c r="R340" t="s">
        <v>1344</v>
      </c>
    </row>
    <row r="341" spans="1:18">
      <c r="A341" t="s">
        <v>414</v>
      </c>
      <c r="R341" t="s">
        <v>1345</v>
      </c>
    </row>
    <row r="342" spans="1:18">
      <c r="A342" t="s">
        <v>415</v>
      </c>
      <c r="R342" t="s">
        <v>1346</v>
      </c>
    </row>
    <row r="343" spans="1:18">
      <c r="A343" t="s">
        <v>416</v>
      </c>
      <c r="R343" t="s">
        <v>1347</v>
      </c>
    </row>
    <row r="344" spans="1:18">
      <c r="A344" t="s">
        <v>417</v>
      </c>
      <c r="R344" t="s">
        <v>1348</v>
      </c>
    </row>
    <row r="345" spans="1:18">
      <c r="A345" t="s">
        <v>418</v>
      </c>
      <c r="R345" t="s">
        <v>1349</v>
      </c>
    </row>
    <row r="346" spans="1:18">
      <c r="A346" t="s">
        <v>419</v>
      </c>
      <c r="R346" t="s">
        <v>1350</v>
      </c>
    </row>
    <row r="347" spans="1:18">
      <c r="A347" t="s">
        <v>420</v>
      </c>
      <c r="R347" t="s">
        <v>1351</v>
      </c>
    </row>
    <row r="348" spans="1:18">
      <c r="A348" t="s">
        <v>421</v>
      </c>
      <c r="R348" t="s">
        <v>1352</v>
      </c>
    </row>
    <row r="349" spans="1:18">
      <c r="A349" t="s">
        <v>422</v>
      </c>
      <c r="R349" t="s">
        <v>1353</v>
      </c>
    </row>
    <row r="350" spans="1:18">
      <c r="A350" t="s">
        <v>423</v>
      </c>
      <c r="R350" t="s">
        <v>1354</v>
      </c>
    </row>
    <row r="351" spans="1:18">
      <c r="A351" t="s">
        <v>424</v>
      </c>
      <c r="R351" t="s">
        <v>1355</v>
      </c>
    </row>
    <row r="352" spans="1:18">
      <c r="A352" t="s">
        <v>425</v>
      </c>
      <c r="R352" t="s">
        <v>1356</v>
      </c>
    </row>
    <row r="353" spans="1:18">
      <c r="A353" t="s">
        <v>426</v>
      </c>
      <c r="R353" t="s">
        <v>1357</v>
      </c>
    </row>
    <row r="354" spans="1:18">
      <c r="A354" t="s">
        <v>427</v>
      </c>
      <c r="R354" t="s">
        <v>1358</v>
      </c>
    </row>
    <row r="355" spans="1:18">
      <c r="A355" t="s">
        <v>428</v>
      </c>
      <c r="R355" t="s">
        <v>1359</v>
      </c>
    </row>
    <row r="356" spans="1:18">
      <c r="A356" t="s">
        <v>429</v>
      </c>
      <c r="R356" t="s">
        <v>1360</v>
      </c>
    </row>
    <row r="357" spans="1:18">
      <c r="A357" t="s">
        <v>430</v>
      </c>
      <c r="R357" t="s">
        <v>1361</v>
      </c>
    </row>
    <row r="358" spans="1:18">
      <c r="A358" t="s">
        <v>431</v>
      </c>
      <c r="R358" t="s">
        <v>1362</v>
      </c>
    </row>
    <row r="359" spans="1:18">
      <c r="A359" t="s">
        <v>432</v>
      </c>
      <c r="R359" t="s">
        <v>1363</v>
      </c>
    </row>
    <row r="360" spans="1:18">
      <c r="A360" t="s">
        <v>433</v>
      </c>
      <c r="R360" t="s">
        <v>1364</v>
      </c>
    </row>
    <row r="361" spans="1:18">
      <c r="A361" t="s">
        <v>434</v>
      </c>
      <c r="R361" t="s">
        <v>1365</v>
      </c>
    </row>
    <row r="362" spans="1:18">
      <c r="A362" t="s">
        <v>435</v>
      </c>
      <c r="R362" t="s">
        <v>1366</v>
      </c>
    </row>
    <row r="363" spans="1:18">
      <c r="A363" t="s">
        <v>436</v>
      </c>
      <c r="R363" t="s">
        <v>1367</v>
      </c>
    </row>
    <row r="364" spans="1:18">
      <c r="A364" t="s">
        <v>437</v>
      </c>
      <c r="R364" t="s">
        <v>1368</v>
      </c>
    </row>
    <row r="365" spans="1:18">
      <c r="A365" t="s">
        <v>438</v>
      </c>
      <c r="R365" t="s">
        <v>1369</v>
      </c>
    </row>
    <row r="366" spans="1:18">
      <c r="A366" t="s">
        <v>439</v>
      </c>
      <c r="R366" t="s">
        <v>1370</v>
      </c>
    </row>
    <row r="367" spans="1:18">
      <c r="A367" t="s">
        <v>440</v>
      </c>
      <c r="R367" t="s">
        <v>1371</v>
      </c>
    </row>
    <row r="368" spans="1:18">
      <c r="A368" t="s">
        <v>441</v>
      </c>
      <c r="R368" t="s">
        <v>1372</v>
      </c>
    </row>
    <row r="369" spans="1:18">
      <c r="A369" t="s">
        <v>442</v>
      </c>
      <c r="R369" t="s">
        <v>1373</v>
      </c>
    </row>
    <row r="370" spans="1:18">
      <c r="A370" t="s">
        <v>443</v>
      </c>
      <c r="R370" t="s">
        <v>1374</v>
      </c>
    </row>
    <row r="371" spans="1:18">
      <c r="A371" t="s">
        <v>444</v>
      </c>
      <c r="R371" t="s">
        <v>1375</v>
      </c>
    </row>
    <row r="372" spans="1:18">
      <c r="A372" t="s">
        <v>445</v>
      </c>
      <c r="R372" t="s">
        <v>1376</v>
      </c>
    </row>
    <row r="373" spans="1:18">
      <c r="A373" t="s">
        <v>446</v>
      </c>
      <c r="R373" t="s">
        <v>1377</v>
      </c>
    </row>
    <row r="374" spans="1:18">
      <c r="A374" t="s">
        <v>447</v>
      </c>
      <c r="R374" t="s">
        <v>1378</v>
      </c>
    </row>
    <row r="375" spans="1:18">
      <c r="A375" t="s">
        <v>448</v>
      </c>
      <c r="R375" t="s">
        <v>1379</v>
      </c>
    </row>
    <row r="376" spans="1:18">
      <c r="A376" t="s">
        <v>449</v>
      </c>
      <c r="R376" t="s">
        <v>1380</v>
      </c>
    </row>
    <row r="377" spans="1:18">
      <c r="A377" t="s">
        <v>450</v>
      </c>
      <c r="R377" t="s">
        <v>1381</v>
      </c>
    </row>
    <row r="378" spans="1:18">
      <c r="A378" t="s">
        <v>451</v>
      </c>
      <c r="R378" t="s">
        <v>1382</v>
      </c>
    </row>
    <row r="379" spans="1:18">
      <c r="A379" t="s">
        <v>452</v>
      </c>
      <c r="R379" t="s">
        <v>1383</v>
      </c>
    </row>
    <row r="380" spans="1:18">
      <c r="A380" t="s">
        <v>453</v>
      </c>
      <c r="R380" t="s">
        <v>1384</v>
      </c>
    </row>
    <row r="381" spans="1:18">
      <c r="A381" t="s">
        <v>454</v>
      </c>
      <c r="R381" t="s">
        <v>1385</v>
      </c>
    </row>
    <row r="382" spans="1:18">
      <c r="A382" t="s">
        <v>455</v>
      </c>
      <c r="R382" t="s">
        <v>1386</v>
      </c>
    </row>
    <row r="383" spans="1:18">
      <c r="A383" t="s">
        <v>456</v>
      </c>
      <c r="R383" t="s">
        <v>1387</v>
      </c>
    </row>
    <row r="384" spans="1:18">
      <c r="A384" t="s">
        <v>457</v>
      </c>
      <c r="R384" t="s">
        <v>1388</v>
      </c>
    </row>
    <row r="385" spans="1:18">
      <c r="A385" t="s">
        <v>458</v>
      </c>
      <c r="R385" t="s">
        <v>1389</v>
      </c>
    </row>
    <row r="386" spans="1:18">
      <c r="A386" t="s">
        <v>459</v>
      </c>
      <c r="R386" t="s">
        <v>1390</v>
      </c>
    </row>
    <row r="387" spans="1:18">
      <c r="A387" t="s">
        <v>460</v>
      </c>
      <c r="R387" t="s">
        <v>1391</v>
      </c>
    </row>
    <row r="388" spans="1:18">
      <c r="A388" t="s">
        <v>461</v>
      </c>
      <c r="R388" t="s">
        <v>1392</v>
      </c>
    </row>
    <row r="389" spans="1:18">
      <c r="A389" t="s">
        <v>462</v>
      </c>
      <c r="R389" t="s">
        <v>1393</v>
      </c>
    </row>
    <row r="390" spans="1:18">
      <c r="A390" t="s">
        <v>463</v>
      </c>
      <c r="R390" t="s">
        <v>1394</v>
      </c>
    </row>
    <row r="391" spans="1:18">
      <c r="A391" t="s">
        <v>464</v>
      </c>
      <c r="R391" t="s">
        <v>1395</v>
      </c>
    </row>
    <row r="392" spans="1:18">
      <c r="A392" t="s">
        <v>465</v>
      </c>
      <c r="R392" t="s">
        <v>1396</v>
      </c>
    </row>
    <row r="393" spans="1:18">
      <c r="A393" t="s">
        <v>466</v>
      </c>
      <c r="R393" t="s">
        <v>1397</v>
      </c>
    </row>
    <row r="394" spans="1:18">
      <c r="A394" t="s">
        <v>467</v>
      </c>
      <c r="R394" t="s">
        <v>1398</v>
      </c>
    </row>
    <row r="395" spans="1:18">
      <c r="A395" t="s">
        <v>468</v>
      </c>
      <c r="R395" t="s">
        <v>1399</v>
      </c>
    </row>
    <row r="396" spans="1:18">
      <c r="A396" t="s">
        <v>469</v>
      </c>
      <c r="R396" t="s">
        <v>1400</v>
      </c>
    </row>
    <row r="397" spans="1:18">
      <c r="A397" t="s">
        <v>470</v>
      </c>
      <c r="R397" t="s">
        <v>1401</v>
      </c>
    </row>
    <row r="398" spans="1:18">
      <c r="A398" t="s">
        <v>471</v>
      </c>
      <c r="R398" t="s">
        <v>1402</v>
      </c>
    </row>
    <row r="399" spans="1:18">
      <c r="A399" t="s">
        <v>472</v>
      </c>
      <c r="R399" t="s">
        <v>1403</v>
      </c>
    </row>
    <row r="400" spans="1:18">
      <c r="A400" t="s">
        <v>473</v>
      </c>
      <c r="R400" t="s">
        <v>1404</v>
      </c>
    </row>
    <row r="401" spans="1:18">
      <c r="A401" t="s">
        <v>474</v>
      </c>
      <c r="R401" t="s">
        <v>1405</v>
      </c>
    </row>
    <row r="402" spans="1:18">
      <c r="A402" t="s">
        <v>475</v>
      </c>
      <c r="R402" t="s">
        <v>1406</v>
      </c>
    </row>
    <row r="403" spans="1:18">
      <c r="A403" t="s">
        <v>476</v>
      </c>
      <c r="R403" t="s">
        <v>1407</v>
      </c>
    </row>
    <row r="404" spans="1:18">
      <c r="A404" t="s">
        <v>477</v>
      </c>
      <c r="R404" t="s">
        <v>1408</v>
      </c>
    </row>
    <row r="405" spans="1:18">
      <c r="A405" t="s">
        <v>478</v>
      </c>
      <c r="R405" t="s">
        <v>1409</v>
      </c>
    </row>
    <row r="406" spans="1:18">
      <c r="A406" t="s">
        <v>479</v>
      </c>
      <c r="R406" t="s">
        <v>1410</v>
      </c>
    </row>
    <row r="407" spans="1:18">
      <c r="A407" t="s">
        <v>480</v>
      </c>
      <c r="R407" t="s">
        <v>1411</v>
      </c>
    </row>
    <row r="408" spans="1:18">
      <c r="A408" t="s">
        <v>481</v>
      </c>
      <c r="R408" t="s">
        <v>1412</v>
      </c>
    </row>
    <row r="409" spans="1:18">
      <c r="A409" t="s">
        <v>482</v>
      </c>
      <c r="R409" t="s">
        <v>1413</v>
      </c>
    </row>
    <row r="410" spans="1:18">
      <c r="A410" t="s">
        <v>483</v>
      </c>
      <c r="R410" t="s">
        <v>1414</v>
      </c>
    </row>
    <row r="411" spans="1:18">
      <c r="A411" t="s">
        <v>484</v>
      </c>
      <c r="R411" t="s">
        <v>1415</v>
      </c>
    </row>
    <row r="412" spans="1:18">
      <c r="A412" t="s">
        <v>485</v>
      </c>
      <c r="R412" t="s">
        <v>1416</v>
      </c>
    </row>
    <row r="413" spans="1:18">
      <c r="A413" t="s">
        <v>486</v>
      </c>
      <c r="R413" t="s">
        <v>1417</v>
      </c>
    </row>
    <row r="414" spans="1:18">
      <c r="A414" t="s">
        <v>487</v>
      </c>
      <c r="R414" t="s">
        <v>1418</v>
      </c>
    </row>
    <row r="415" spans="1:18">
      <c r="A415" t="s">
        <v>488</v>
      </c>
      <c r="R415" t="s">
        <v>1419</v>
      </c>
    </row>
    <row r="416" spans="1:18">
      <c r="A416" t="s">
        <v>489</v>
      </c>
      <c r="R416" t="s">
        <v>1420</v>
      </c>
    </row>
    <row r="417" spans="1:18">
      <c r="A417" t="s">
        <v>490</v>
      </c>
      <c r="R417" t="s">
        <v>1421</v>
      </c>
    </row>
    <row r="418" spans="1:18">
      <c r="A418" t="s">
        <v>491</v>
      </c>
      <c r="R418" t="s">
        <v>1422</v>
      </c>
    </row>
    <row r="419" spans="1:18">
      <c r="A419" t="s">
        <v>492</v>
      </c>
      <c r="R419" t="s">
        <v>1423</v>
      </c>
    </row>
    <row r="420" spans="1:18">
      <c r="A420" t="s">
        <v>493</v>
      </c>
      <c r="R420" t="s">
        <v>1424</v>
      </c>
    </row>
    <row r="421" spans="1:18">
      <c r="A421" t="s">
        <v>494</v>
      </c>
      <c r="R421" t="s">
        <v>1425</v>
      </c>
    </row>
    <row r="422" spans="1:18">
      <c r="A422" t="s">
        <v>495</v>
      </c>
      <c r="R422" t="s">
        <v>1426</v>
      </c>
    </row>
    <row r="423" spans="1:18">
      <c r="A423" t="s">
        <v>496</v>
      </c>
      <c r="R423" t="s">
        <v>1427</v>
      </c>
    </row>
    <row r="424" spans="1:18">
      <c r="A424" t="s">
        <v>497</v>
      </c>
      <c r="R424" t="s">
        <v>1428</v>
      </c>
    </row>
    <row r="425" spans="1:18">
      <c r="A425" t="s">
        <v>498</v>
      </c>
      <c r="R425" t="s">
        <v>1429</v>
      </c>
    </row>
    <row r="426" spans="1:18">
      <c r="A426" t="s">
        <v>499</v>
      </c>
      <c r="R426" t="s">
        <v>1430</v>
      </c>
    </row>
    <row r="427" spans="1:18">
      <c r="A427" t="s">
        <v>500</v>
      </c>
      <c r="R427" t="s">
        <v>1431</v>
      </c>
    </row>
    <row r="428" spans="1:18">
      <c r="A428" t="s">
        <v>501</v>
      </c>
      <c r="R428" t="s">
        <v>1432</v>
      </c>
    </row>
    <row r="429" spans="1:18">
      <c r="A429" t="s">
        <v>502</v>
      </c>
      <c r="R429" t="s">
        <v>1433</v>
      </c>
    </row>
    <row r="430" spans="1:18">
      <c r="A430" t="s">
        <v>503</v>
      </c>
      <c r="R430" t="s">
        <v>1434</v>
      </c>
    </row>
    <row r="431" spans="1:18">
      <c r="A431" t="s">
        <v>504</v>
      </c>
      <c r="R431" t="s">
        <v>1435</v>
      </c>
    </row>
    <row r="432" spans="1:18">
      <c r="A432" t="s">
        <v>505</v>
      </c>
      <c r="R432" t="s">
        <v>1436</v>
      </c>
    </row>
    <row r="433" spans="1:18">
      <c r="A433" t="s">
        <v>506</v>
      </c>
      <c r="R433" t="s">
        <v>1437</v>
      </c>
    </row>
    <row r="434" spans="1:18">
      <c r="A434" t="s">
        <v>507</v>
      </c>
      <c r="R434" t="s">
        <v>1438</v>
      </c>
    </row>
    <row r="435" spans="1:18">
      <c r="A435" t="s">
        <v>508</v>
      </c>
      <c r="R435" t="s">
        <v>1439</v>
      </c>
    </row>
    <row r="436" spans="1:18">
      <c r="A436" t="s">
        <v>509</v>
      </c>
      <c r="R436" t="s">
        <v>1440</v>
      </c>
    </row>
    <row r="437" spans="1:18">
      <c r="A437" t="s">
        <v>510</v>
      </c>
      <c r="R437" t="s">
        <v>1441</v>
      </c>
    </row>
    <row r="438" spans="1:18">
      <c r="A438" t="s">
        <v>511</v>
      </c>
      <c r="R438" t="s">
        <v>1442</v>
      </c>
    </row>
    <row r="439" spans="1:18">
      <c r="A439" t="s">
        <v>512</v>
      </c>
      <c r="R439" t="s">
        <v>1443</v>
      </c>
    </row>
    <row r="440" spans="1:18">
      <c r="A440" t="s">
        <v>513</v>
      </c>
      <c r="R440" t="s">
        <v>1444</v>
      </c>
    </row>
    <row r="441" spans="1:18">
      <c r="A441" t="s">
        <v>514</v>
      </c>
      <c r="R441" t="s">
        <v>1445</v>
      </c>
    </row>
    <row r="442" spans="1:18">
      <c r="A442" t="s">
        <v>515</v>
      </c>
      <c r="R442" t="s">
        <v>1446</v>
      </c>
    </row>
    <row r="443" spans="1:18">
      <c r="A443" t="s">
        <v>516</v>
      </c>
      <c r="R443" t="s">
        <v>1447</v>
      </c>
    </row>
    <row r="444" spans="1:18">
      <c r="A444" t="s">
        <v>517</v>
      </c>
      <c r="R444" t="s">
        <v>1448</v>
      </c>
    </row>
    <row r="445" spans="1:18">
      <c r="A445" t="s">
        <v>518</v>
      </c>
      <c r="R445" t="s">
        <v>1449</v>
      </c>
    </row>
    <row r="446" spans="1:18">
      <c r="A446" t="s">
        <v>519</v>
      </c>
      <c r="R446" t="s">
        <v>1450</v>
      </c>
    </row>
    <row r="447" spans="1:18">
      <c r="A447" t="s">
        <v>520</v>
      </c>
      <c r="R447" t="s">
        <v>1451</v>
      </c>
    </row>
    <row r="448" spans="1:18">
      <c r="A448" t="s">
        <v>521</v>
      </c>
      <c r="R448" t="s">
        <v>1452</v>
      </c>
    </row>
    <row r="449" spans="1:18">
      <c r="A449" t="s">
        <v>522</v>
      </c>
      <c r="R449" t="s">
        <v>1453</v>
      </c>
    </row>
    <row r="450" spans="1:18">
      <c r="A450" t="s">
        <v>523</v>
      </c>
      <c r="R450" t="s">
        <v>1454</v>
      </c>
    </row>
    <row r="451" spans="1:18">
      <c r="A451" t="s">
        <v>524</v>
      </c>
      <c r="R451" t="s">
        <v>1455</v>
      </c>
    </row>
    <row r="452" spans="1:18">
      <c r="A452" t="s">
        <v>525</v>
      </c>
      <c r="R452" t="s">
        <v>1456</v>
      </c>
    </row>
    <row r="453" spans="1:18">
      <c r="A453" t="s">
        <v>526</v>
      </c>
      <c r="R453" t="s">
        <v>1457</v>
      </c>
    </row>
    <row r="454" spans="1:18">
      <c r="A454" t="s">
        <v>527</v>
      </c>
      <c r="R454" t="s">
        <v>1458</v>
      </c>
    </row>
    <row r="455" spans="1:18">
      <c r="A455" t="s">
        <v>528</v>
      </c>
      <c r="R455" t="s">
        <v>1459</v>
      </c>
    </row>
    <row r="456" spans="1:18">
      <c r="A456" t="s">
        <v>529</v>
      </c>
      <c r="R456" t="s">
        <v>1460</v>
      </c>
    </row>
    <row r="457" spans="1:18">
      <c r="A457" t="s">
        <v>530</v>
      </c>
      <c r="R457" t="s">
        <v>1461</v>
      </c>
    </row>
    <row r="458" spans="1:18">
      <c r="A458" t="s">
        <v>531</v>
      </c>
      <c r="R458" t="s">
        <v>1462</v>
      </c>
    </row>
    <row r="459" spans="1:18">
      <c r="A459" t="s">
        <v>532</v>
      </c>
      <c r="R459" t="s">
        <v>1463</v>
      </c>
    </row>
    <row r="460" spans="1:18">
      <c r="A460" t="s">
        <v>533</v>
      </c>
      <c r="R460" t="s">
        <v>1464</v>
      </c>
    </row>
    <row r="461" spans="1:18">
      <c r="A461" t="s">
        <v>534</v>
      </c>
      <c r="R461" t="s">
        <v>1465</v>
      </c>
    </row>
    <row r="462" spans="1:18">
      <c r="A462" t="s">
        <v>535</v>
      </c>
      <c r="R462" t="s">
        <v>1466</v>
      </c>
    </row>
    <row r="463" spans="1:18">
      <c r="A463" t="s">
        <v>536</v>
      </c>
      <c r="R463" t="s">
        <v>1467</v>
      </c>
    </row>
    <row r="464" spans="1:18">
      <c r="A464" t="s">
        <v>537</v>
      </c>
      <c r="R464" t="s">
        <v>1468</v>
      </c>
    </row>
    <row r="465" spans="1:18">
      <c r="A465" t="s">
        <v>538</v>
      </c>
      <c r="R465" t="s">
        <v>1469</v>
      </c>
    </row>
    <row r="466" spans="1:18">
      <c r="A466" t="s">
        <v>539</v>
      </c>
      <c r="R466" t="s">
        <v>1470</v>
      </c>
    </row>
    <row r="467" spans="1:18">
      <c r="A467" t="s">
        <v>540</v>
      </c>
      <c r="R467" t="s">
        <v>1471</v>
      </c>
    </row>
    <row r="468" spans="1:18">
      <c r="A468" t="s">
        <v>541</v>
      </c>
      <c r="R468" t="s">
        <v>1472</v>
      </c>
    </row>
    <row r="469" spans="1:18">
      <c r="A469" t="s">
        <v>542</v>
      </c>
      <c r="R469" t="s">
        <v>1473</v>
      </c>
    </row>
    <row r="470" spans="1:18">
      <c r="A470" t="s">
        <v>543</v>
      </c>
      <c r="R470" t="s">
        <v>1474</v>
      </c>
    </row>
    <row r="471" spans="1:18">
      <c r="A471" t="s">
        <v>544</v>
      </c>
      <c r="R471" t="s">
        <v>1475</v>
      </c>
    </row>
    <row r="472" spans="1:18">
      <c r="A472" t="s">
        <v>545</v>
      </c>
      <c r="R472" t="s">
        <v>1476</v>
      </c>
    </row>
    <row r="473" spans="1:18">
      <c r="A473" t="s">
        <v>546</v>
      </c>
      <c r="R473" t="s">
        <v>1477</v>
      </c>
    </row>
    <row r="474" spans="1:18">
      <c r="A474" t="s">
        <v>547</v>
      </c>
      <c r="R474" t="s">
        <v>1478</v>
      </c>
    </row>
    <row r="475" spans="1:18">
      <c r="A475" t="s">
        <v>548</v>
      </c>
      <c r="R475" t="s">
        <v>1479</v>
      </c>
    </row>
    <row r="476" spans="1:18">
      <c r="A476" t="s">
        <v>549</v>
      </c>
      <c r="R476" t="s">
        <v>1480</v>
      </c>
    </row>
    <row r="477" spans="1:18">
      <c r="A477" t="s">
        <v>550</v>
      </c>
      <c r="R477" t="s">
        <v>1481</v>
      </c>
    </row>
    <row r="478" spans="1:18">
      <c r="A478" t="s">
        <v>551</v>
      </c>
      <c r="R478" t="s">
        <v>1482</v>
      </c>
    </row>
    <row r="479" spans="1:18">
      <c r="A479" t="s">
        <v>552</v>
      </c>
      <c r="R479" t="s">
        <v>1483</v>
      </c>
    </row>
    <row r="480" spans="1:18">
      <c r="A480" t="s">
        <v>553</v>
      </c>
      <c r="R480" t="s">
        <v>1484</v>
      </c>
    </row>
    <row r="481" spans="1:18">
      <c r="A481" t="s">
        <v>554</v>
      </c>
      <c r="R481" t="s">
        <v>1485</v>
      </c>
    </row>
    <row r="482" spans="1:18">
      <c r="A482" t="s">
        <v>555</v>
      </c>
      <c r="R482" t="s">
        <v>1486</v>
      </c>
    </row>
    <row r="483" spans="1:18">
      <c r="A483" t="s">
        <v>556</v>
      </c>
      <c r="R483" t="s">
        <v>1487</v>
      </c>
    </row>
    <row r="484" spans="1:18">
      <c r="A484" t="s">
        <v>557</v>
      </c>
      <c r="R484" t="s">
        <v>1488</v>
      </c>
    </row>
    <row r="485" spans="1:18">
      <c r="A485" t="s">
        <v>558</v>
      </c>
      <c r="R485" t="s">
        <v>1489</v>
      </c>
    </row>
    <row r="486" spans="1:18">
      <c r="A486" t="s">
        <v>559</v>
      </c>
      <c r="R486" t="s">
        <v>1490</v>
      </c>
    </row>
    <row r="487" spans="1:18">
      <c r="A487" t="s">
        <v>560</v>
      </c>
      <c r="R487" t="s">
        <v>1491</v>
      </c>
    </row>
    <row r="488" spans="1:18">
      <c r="A488" t="s">
        <v>561</v>
      </c>
      <c r="R488" t="s">
        <v>1492</v>
      </c>
    </row>
    <row r="489" spans="1:18">
      <c r="A489" t="s">
        <v>562</v>
      </c>
      <c r="R489" t="s">
        <v>1493</v>
      </c>
    </row>
    <row r="490" spans="1:18">
      <c r="A490" t="s">
        <v>563</v>
      </c>
      <c r="R490" t="s">
        <v>1494</v>
      </c>
    </row>
    <row r="491" spans="1:18">
      <c r="A491" t="s">
        <v>564</v>
      </c>
      <c r="R491" t="s">
        <v>1495</v>
      </c>
    </row>
    <row r="492" spans="1:18">
      <c r="A492" t="s">
        <v>565</v>
      </c>
      <c r="R492" t="s">
        <v>1496</v>
      </c>
    </row>
    <row r="493" spans="1:18">
      <c r="A493" t="s">
        <v>566</v>
      </c>
      <c r="R493" t="s">
        <v>1497</v>
      </c>
    </row>
    <row r="494" spans="1:18">
      <c r="A494" t="s">
        <v>567</v>
      </c>
      <c r="R494" t="s">
        <v>1498</v>
      </c>
    </row>
    <row r="495" spans="1:18">
      <c r="A495" t="s">
        <v>568</v>
      </c>
      <c r="R495" t="s">
        <v>1499</v>
      </c>
    </row>
    <row r="496" spans="1:18">
      <c r="A496" t="s">
        <v>569</v>
      </c>
      <c r="R496" t="s">
        <v>1500</v>
      </c>
    </row>
    <row r="497" spans="1:18">
      <c r="A497" t="s">
        <v>570</v>
      </c>
      <c r="R497" t="s">
        <v>1501</v>
      </c>
    </row>
    <row r="498" spans="1:18">
      <c r="A498" t="s">
        <v>571</v>
      </c>
      <c r="R498" t="s">
        <v>1502</v>
      </c>
    </row>
    <row r="499" spans="1:18">
      <c r="A499" t="s">
        <v>572</v>
      </c>
      <c r="R499" t="s">
        <v>1503</v>
      </c>
    </row>
    <row r="500" spans="1:18">
      <c r="A500" t="s">
        <v>573</v>
      </c>
      <c r="R500" t="s">
        <v>1504</v>
      </c>
    </row>
    <row r="501" spans="1:18">
      <c r="A501" t="s">
        <v>574</v>
      </c>
      <c r="R501" t="s">
        <v>1505</v>
      </c>
    </row>
    <row r="502" spans="1:18">
      <c r="A502" t="s">
        <v>575</v>
      </c>
      <c r="R502" t="s">
        <v>1506</v>
      </c>
    </row>
    <row r="503" spans="1:18">
      <c r="A503" t="s">
        <v>576</v>
      </c>
      <c r="R503" t="s">
        <v>1507</v>
      </c>
    </row>
    <row r="504" spans="1:18">
      <c r="A504" t="s">
        <v>577</v>
      </c>
      <c r="R504" t="s">
        <v>1508</v>
      </c>
    </row>
    <row r="505" spans="1:18">
      <c r="A505" t="s">
        <v>578</v>
      </c>
      <c r="R505" t="s">
        <v>1509</v>
      </c>
    </row>
    <row r="506" spans="1:18">
      <c r="A506" t="s">
        <v>579</v>
      </c>
      <c r="R506" t="s">
        <v>1510</v>
      </c>
    </row>
    <row r="507" spans="1:18">
      <c r="A507" t="s">
        <v>580</v>
      </c>
      <c r="R507" t="s">
        <v>1511</v>
      </c>
    </row>
    <row r="508" spans="1:18">
      <c r="A508" t="s">
        <v>581</v>
      </c>
      <c r="R508" t="s">
        <v>1512</v>
      </c>
    </row>
    <row r="509" spans="1:18">
      <c r="A509" t="s">
        <v>582</v>
      </c>
      <c r="R509" t="s">
        <v>1513</v>
      </c>
    </row>
    <row r="510" spans="1:18">
      <c r="A510" t="s">
        <v>583</v>
      </c>
      <c r="R510" t="s">
        <v>1514</v>
      </c>
    </row>
    <row r="511" spans="1:18">
      <c r="A511" t="s">
        <v>584</v>
      </c>
      <c r="R511" t="s">
        <v>1515</v>
      </c>
    </row>
    <row r="512" spans="1:18">
      <c r="A512" t="s">
        <v>585</v>
      </c>
      <c r="R512" t="s">
        <v>1516</v>
      </c>
    </row>
    <row r="513" spans="1:18">
      <c r="A513" t="s">
        <v>586</v>
      </c>
      <c r="R513" t="s">
        <v>1517</v>
      </c>
    </row>
    <row r="514" spans="1:18">
      <c r="A514" t="s">
        <v>587</v>
      </c>
      <c r="R514" t="s">
        <v>1518</v>
      </c>
    </row>
    <row r="515" spans="1:18">
      <c r="A515" t="s">
        <v>588</v>
      </c>
      <c r="R515" t="s">
        <v>1519</v>
      </c>
    </row>
    <row r="516" spans="1:18">
      <c r="A516" t="s">
        <v>589</v>
      </c>
      <c r="R516" t="s">
        <v>1520</v>
      </c>
    </row>
    <row r="517" spans="1:18">
      <c r="A517" t="s">
        <v>590</v>
      </c>
      <c r="R517" t="s">
        <v>1521</v>
      </c>
    </row>
    <row r="518" spans="1:18">
      <c r="A518" t="s">
        <v>591</v>
      </c>
      <c r="R518" t="s">
        <v>1522</v>
      </c>
    </row>
    <row r="519" spans="1:18">
      <c r="A519" t="s">
        <v>592</v>
      </c>
      <c r="R519" t="s">
        <v>1523</v>
      </c>
    </row>
    <row r="520" spans="1:18">
      <c r="A520" t="s">
        <v>593</v>
      </c>
      <c r="R520" t="s">
        <v>1524</v>
      </c>
    </row>
    <row r="521" spans="1:18">
      <c r="A521" t="s">
        <v>594</v>
      </c>
      <c r="R521" t="s">
        <v>1525</v>
      </c>
    </row>
    <row r="522" spans="1:18">
      <c r="A522" t="s">
        <v>595</v>
      </c>
      <c r="R522" t="s">
        <v>1526</v>
      </c>
    </row>
    <row r="523" spans="1:18">
      <c r="A523" t="s">
        <v>596</v>
      </c>
      <c r="R523" t="s">
        <v>1527</v>
      </c>
    </row>
    <row r="524" spans="1:18">
      <c r="A524" t="s">
        <v>597</v>
      </c>
      <c r="R524" t="s">
        <v>1528</v>
      </c>
    </row>
    <row r="525" spans="1:18">
      <c r="A525" t="s">
        <v>598</v>
      </c>
      <c r="R525" t="s">
        <v>1529</v>
      </c>
    </row>
    <row r="526" spans="1:18">
      <c r="A526" t="s">
        <v>599</v>
      </c>
      <c r="R526" t="s">
        <v>1530</v>
      </c>
    </row>
    <row r="527" spans="1:18">
      <c r="A527" t="s">
        <v>600</v>
      </c>
      <c r="R527" t="s">
        <v>1531</v>
      </c>
    </row>
    <row r="528" spans="1:18">
      <c r="A528" t="s">
        <v>601</v>
      </c>
      <c r="R528" t="s">
        <v>1532</v>
      </c>
    </row>
    <row r="529" spans="1:18">
      <c r="A529" t="s">
        <v>602</v>
      </c>
      <c r="R529" t="s">
        <v>1533</v>
      </c>
    </row>
    <row r="530" spans="1:18">
      <c r="A530" t="s">
        <v>603</v>
      </c>
      <c r="R530" t="s">
        <v>1534</v>
      </c>
    </row>
    <row r="531" spans="1:18">
      <c r="A531" t="s">
        <v>604</v>
      </c>
      <c r="R531" t="s">
        <v>1535</v>
      </c>
    </row>
    <row r="532" spans="1:18">
      <c r="A532" t="s">
        <v>605</v>
      </c>
      <c r="R532" t="s">
        <v>1536</v>
      </c>
    </row>
    <row r="533" spans="1:18">
      <c r="A533" t="s">
        <v>606</v>
      </c>
      <c r="R533" t="s">
        <v>1537</v>
      </c>
    </row>
    <row r="534" spans="1:18">
      <c r="A534" t="s">
        <v>607</v>
      </c>
      <c r="R534" t="s">
        <v>1538</v>
      </c>
    </row>
    <row r="535" spans="1:18">
      <c r="A535" t="s">
        <v>608</v>
      </c>
      <c r="R535" t="s">
        <v>1539</v>
      </c>
    </row>
    <row r="536" spans="1:18">
      <c r="A536" t="s">
        <v>609</v>
      </c>
      <c r="R536" t="s">
        <v>1540</v>
      </c>
    </row>
    <row r="537" spans="1:18">
      <c r="A537" t="s">
        <v>610</v>
      </c>
      <c r="R537" t="s">
        <v>1541</v>
      </c>
    </row>
    <row r="538" spans="1:18">
      <c r="A538" t="s">
        <v>611</v>
      </c>
      <c r="R538" t="s">
        <v>1542</v>
      </c>
    </row>
    <row r="539" spans="1:18">
      <c r="A539" t="s">
        <v>612</v>
      </c>
      <c r="R539" t="s">
        <v>1543</v>
      </c>
    </row>
    <row r="540" spans="1:18">
      <c r="A540" t="s">
        <v>613</v>
      </c>
      <c r="R540" t="s">
        <v>1544</v>
      </c>
    </row>
    <row r="541" spans="1:18">
      <c r="A541" t="s">
        <v>614</v>
      </c>
      <c r="R541" t="s">
        <v>1545</v>
      </c>
    </row>
    <row r="542" spans="1:18">
      <c r="A542" t="s">
        <v>615</v>
      </c>
      <c r="R542" t="s">
        <v>1546</v>
      </c>
    </row>
    <row r="543" spans="1:18">
      <c r="A543" t="s">
        <v>616</v>
      </c>
      <c r="R543" t="s">
        <v>1547</v>
      </c>
    </row>
    <row r="544" spans="1:18">
      <c r="A544" t="s">
        <v>617</v>
      </c>
      <c r="R544" t="s">
        <v>1548</v>
      </c>
    </row>
    <row r="545" spans="1:18">
      <c r="A545" t="s">
        <v>618</v>
      </c>
      <c r="R545" t="s">
        <v>1549</v>
      </c>
    </row>
    <row r="546" spans="1:18">
      <c r="A546" t="s">
        <v>619</v>
      </c>
      <c r="R546" t="s">
        <v>1550</v>
      </c>
    </row>
    <row r="547" spans="1:18">
      <c r="A547" t="s">
        <v>620</v>
      </c>
      <c r="R547" t="s">
        <v>1551</v>
      </c>
    </row>
    <row r="548" spans="1:18">
      <c r="A548" t="s">
        <v>621</v>
      </c>
      <c r="R548" t="s">
        <v>1552</v>
      </c>
    </row>
    <row r="549" spans="1:18">
      <c r="A549" t="s">
        <v>622</v>
      </c>
      <c r="R549" t="s">
        <v>1553</v>
      </c>
    </row>
    <row r="550" spans="1:18">
      <c r="A550" t="s">
        <v>623</v>
      </c>
      <c r="R550" t="s">
        <v>1554</v>
      </c>
    </row>
    <row r="551" spans="1:18">
      <c r="A551" t="s">
        <v>624</v>
      </c>
      <c r="R551" t="s">
        <v>1555</v>
      </c>
    </row>
    <row r="552" spans="1:18">
      <c r="A552" t="s">
        <v>625</v>
      </c>
      <c r="R552" t="s">
        <v>1556</v>
      </c>
    </row>
    <row r="553" spans="1:18">
      <c r="A553" t="s">
        <v>626</v>
      </c>
      <c r="R553" t="s">
        <v>1557</v>
      </c>
    </row>
    <row r="554" spans="1:18">
      <c r="A554" t="s">
        <v>627</v>
      </c>
      <c r="R554" t="s">
        <v>1558</v>
      </c>
    </row>
    <row r="555" spans="1:18">
      <c r="A555" t="s">
        <v>628</v>
      </c>
      <c r="R555" t="s">
        <v>1559</v>
      </c>
    </row>
    <row r="556" spans="1:18">
      <c r="A556" t="s">
        <v>629</v>
      </c>
      <c r="R556" t="s">
        <v>1560</v>
      </c>
    </row>
    <row r="557" spans="1:18">
      <c r="A557" t="s">
        <v>630</v>
      </c>
      <c r="R557" t="s">
        <v>1561</v>
      </c>
    </row>
    <row r="558" spans="1:18">
      <c r="A558" t="s">
        <v>631</v>
      </c>
      <c r="R558" t="s">
        <v>1562</v>
      </c>
    </row>
    <row r="559" spans="1:18">
      <c r="A559" t="s">
        <v>632</v>
      </c>
      <c r="R559" t="s">
        <v>1563</v>
      </c>
    </row>
    <row r="560" spans="1:18">
      <c r="A560" t="s">
        <v>633</v>
      </c>
      <c r="R560" t="s">
        <v>1564</v>
      </c>
    </row>
    <row r="561" spans="1:18">
      <c r="A561" t="s">
        <v>634</v>
      </c>
      <c r="R561" t="s">
        <v>1565</v>
      </c>
    </row>
    <row r="562" spans="1:18">
      <c r="A562" t="s">
        <v>635</v>
      </c>
      <c r="R562" t="s">
        <v>1566</v>
      </c>
    </row>
    <row r="563" spans="1:18">
      <c r="A563" t="s">
        <v>636</v>
      </c>
      <c r="R563" t="s">
        <v>1567</v>
      </c>
    </row>
    <row r="564" spans="1:18">
      <c r="A564" t="s">
        <v>637</v>
      </c>
      <c r="R564" t="s">
        <v>1568</v>
      </c>
    </row>
    <row r="565" spans="1:18">
      <c r="A565" t="s">
        <v>638</v>
      </c>
      <c r="R565" t="s">
        <v>1569</v>
      </c>
    </row>
    <row r="566" spans="1:18">
      <c r="A566" t="s">
        <v>639</v>
      </c>
      <c r="R566" t="s">
        <v>1570</v>
      </c>
    </row>
    <row r="567" spans="1:18">
      <c r="A567" t="s">
        <v>640</v>
      </c>
      <c r="R567" t="s">
        <v>1571</v>
      </c>
    </row>
    <row r="568" spans="1:18">
      <c r="A568" t="s">
        <v>641</v>
      </c>
      <c r="R568" t="s">
        <v>1572</v>
      </c>
    </row>
    <row r="569" spans="1:18">
      <c r="A569" t="s">
        <v>642</v>
      </c>
      <c r="R569" t="s">
        <v>1573</v>
      </c>
    </row>
    <row r="570" spans="1:18">
      <c r="A570" t="s">
        <v>643</v>
      </c>
      <c r="R570" t="s">
        <v>1574</v>
      </c>
    </row>
    <row r="571" spans="1:18">
      <c r="A571" t="s">
        <v>644</v>
      </c>
      <c r="R571" t="s">
        <v>1575</v>
      </c>
    </row>
    <row r="572" spans="1:18">
      <c r="A572" t="s">
        <v>645</v>
      </c>
      <c r="R572" t="s">
        <v>1576</v>
      </c>
    </row>
    <row r="573" spans="1:18">
      <c r="A573" t="s">
        <v>646</v>
      </c>
      <c r="R573" t="s">
        <v>1577</v>
      </c>
    </row>
    <row r="574" spans="1:18">
      <c r="A574" t="s">
        <v>647</v>
      </c>
      <c r="R574" t="s">
        <v>1578</v>
      </c>
    </row>
    <row r="575" spans="1:18">
      <c r="A575" t="s">
        <v>648</v>
      </c>
      <c r="R575" t="s">
        <v>1579</v>
      </c>
    </row>
    <row r="576" spans="1:18">
      <c r="A576" t="s">
        <v>649</v>
      </c>
      <c r="R576" t="s">
        <v>1580</v>
      </c>
    </row>
    <row r="577" spans="1:18">
      <c r="A577" t="s">
        <v>650</v>
      </c>
      <c r="R577" t="s">
        <v>1581</v>
      </c>
    </row>
    <row r="578" spans="1:18">
      <c r="A578" t="s">
        <v>651</v>
      </c>
      <c r="R578" t="s">
        <v>1582</v>
      </c>
    </row>
    <row r="579" spans="1:18">
      <c r="A579" t="s">
        <v>652</v>
      </c>
      <c r="R579" t="s">
        <v>1583</v>
      </c>
    </row>
    <row r="580" spans="1:18">
      <c r="A580" t="s">
        <v>653</v>
      </c>
      <c r="R580" t="s">
        <v>1584</v>
      </c>
    </row>
    <row r="581" spans="1:18">
      <c r="A581" t="s">
        <v>654</v>
      </c>
      <c r="R581" t="s">
        <v>1585</v>
      </c>
    </row>
    <row r="582" spans="1:18">
      <c r="A582" t="s">
        <v>655</v>
      </c>
      <c r="R582" t="s">
        <v>1586</v>
      </c>
    </row>
    <row r="583" spans="1:18">
      <c r="A583" t="s">
        <v>656</v>
      </c>
      <c r="R583" t="s">
        <v>1587</v>
      </c>
    </row>
    <row r="584" spans="1:18">
      <c r="A584" t="s">
        <v>657</v>
      </c>
      <c r="R584" t="s">
        <v>1588</v>
      </c>
    </row>
    <row r="585" spans="1:18">
      <c r="A585" t="s">
        <v>658</v>
      </c>
      <c r="R585" t="s">
        <v>1589</v>
      </c>
    </row>
    <row r="586" spans="1:18">
      <c r="A586" t="s">
        <v>659</v>
      </c>
      <c r="R586" t="s">
        <v>1590</v>
      </c>
    </row>
    <row r="587" spans="1:18">
      <c r="A587" t="s">
        <v>660</v>
      </c>
      <c r="R587" t="s">
        <v>1591</v>
      </c>
    </row>
    <row r="588" spans="1:18">
      <c r="A588" t="s">
        <v>661</v>
      </c>
      <c r="R588" t="s">
        <v>1592</v>
      </c>
    </row>
    <row r="589" spans="1:18">
      <c r="A589" t="s">
        <v>662</v>
      </c>
      <c r="R589" t="s">
        <v>1593</v>
      </c>
    </row>
    <row r="590" spans="1:18">
      <c r="A590" t="s">
        <v>663</v>
      </c>
      <c r="R590" t="s">
        <v>1594</v>
      </c>
    </row>
    <row r="591" spans="1:18">
      <c r="A591" t="s">
        <v>664</v>
      </c>
      <c r="R591" t="s">
        <v>1595</v>
      </c>
    </row>
    <row r="592" spans="1:18">
      <c r="A592" t="s">
        <v>665</v>
      </c>
      <c r="R592" t="s">
        <v>1596</v>
      </c>
    </row>
    <row r="593" spans="1:18">
      <c r="A593" t="s">
        <v>666</v>
      </c>
      <c r="R593" t="s">
        <v>1597</v>
      </c>
    </row>
    <row r="594" spans="1:18">
      <c r="A594" t="s">
        <v>667</v>
      </c>
      <c r="R594" t="s">
        <v>1598</v>
      </c>
    </row>
    <row r="595" spans="1:18">
      <c r="A595" t="s">
        <v>668</v>
      </c>
      <c r="R595" t="s">
        <v>1599</v>
      </c>
    </row>
    <row r="596" spans="1:18">
      <c r="A596" t="s">
        <v>669</v>
      </c>
      <c r="R596" t="s">
        <v>1600</v>
      </c>
    </row>
    <row r="597" spans="1:18">
      <c r="A597" t="s">
        <v>670</v>
      </c>
      <c r="R597" t="s">
        <v>1601</v>
      </c>
    </row>
    <row r="598" spans="1:18">
      <c r="A598" t="s">
        <v>671</v>
      </c>
      <c r="R598" t="s">
        <v>1602</v>
      </c>
    </row>
    <row r="599" spans="1:18">
      <c r="A599" t="s">
        <v>672</v>
      </c>
      <c r="R599" t="s">
        <v>1603</v>
      </c>
    </row>
    <row r="600" spans="1:18">
      <c r="A600" t="s">
        <v>673</v>
      </c>
      <c r="R600" t="s">
        <v>1604</v>
      </c>
    </row>
    <row r="601" spans="1:18">
      <c r="A601" t="s">
        <v>674</v>
      </c>
      <c r="R601" t="s">
        <v>1605</v>
      </c>
    </row>
    <row r="602" spans="1:18">
      <c r="A602" t="s">
        <v>675</v>
      </c>
      <c r="R602" t="s">
        <v>1606</v>
      </c>
    </row>
    <row r="603" spans="1:18">
      <c r="A603" t="s">
        <v>676</v>
      </c>
      <c r="R603" t="s">
        <v>1607</v>
      </c>
    </row>
    <row r="604" spans="1:18">
      <c r="A604" t="s">
        <v>677</v>
      </c>
      <c r="R604" t="s">
        <v>1608</v>
      </c>
    </row>
    <row r="605" spans="1:18">
      <c r="A605" t="s">
        <v>678</v>
      </c>
      <c r="R605" t="s">
        <v>1609</v>
      </c>
    </row>
    <row r="606" spans="1:18">
      <c r="A606" t="s">
        <v>679</v>
      </c>
      <c r="R606" t="s">
        <v>1610</v>
      </c>
    </row>
    <row r="607" spans="1:18">
      <c r="A607" t="s">
        <v>680</v>
      </c>
      <c r="R607" t="s">
        <v>1611</v>
      </c>
    </row>
    <row r="608" spans="1:18">
      <c r="A608" t="s">
        <v>681</v>
      </c>
      <c r="R608" t="s">
        <v>1612</v>
      </c>
    </row>
    <row r="609" spans="1:18">
      <c r="A609" t="s">
        <v>682</v>
      </c>
      <c r="R609" t="s">
        <v>1613</v>
      </c>
    </row>
    <row r="610" spans="1:18">
      <c r="A610" t="s">
        <v>683</v>
      </c>
      <c r="R610" t="s">
        <v>1614</v>
      </c>
    </row>
    <row r="611" spans="1:18">
      <c r="A611" t="s">
        <v>684</v>
      </c>
      <c r="R611" t="s">
        <v>1615</v>
      </c>
    </row>
    <row r="612" spans="1:18">
      <c r="A612" t="s">
        <v>685</v>
      </c>
      <c r="R612" t="s">
        <v>1616</v>
      </c>
    </row>
    <row r="613" spans="1:18">
      <c r="A613" t="s">
        <v>686</v>
      </c>
      <c r="R613" t="s">
        <v>1617</v>
      </c>
    </row>
    <row r="614" spans="1:18">
      <c r="A614" t="s">
        <v>687</v>
      </c>
      <c r="R614" t="s">
        <v>1618</v>
      </c>
    </row>
    <row r="615" spans="1:18">
      <c r="A615" t="s">
        <v>688</v>
      </c>
      <c r="R615" t="s">
        <v>1619</v>
      </c>
    </row>
    <row r="616" spans="1:18">
      <c r="A616" t="s">
        <v>689</v>
      </c>
      <c r="R616" t="s">
        <v>1620</v>
      </c>
    </row>
    <row r="617" spans="1:18">
      <c r="A617" t="s">
        <v>690</v>
      </c>
      <c r="R617" t="s">
        <v>1621</v>
      </c>
    </row>
    <row r="618" spans="1:18">
      <c r="A618" t="s">
        <v>691</v>
      </c>
      <c r="R618" t="s">
        <v>1622</v>
      </c>
    </row>
    <row r="619" spans="1:18">
      <c r="A619" t="s">
        <v>692</v>
      </c>
      <c r="R619" t="s">
        <v>1623</v>
      </c>
    </row>
    <row r="620" spans="1:18">
      <c r="A620" t="s">
        <v>693</v>
      </c>
      <c r="R620" t="s">
        <v>1624</v>
      </c>
    </row>
    <row r="621" spans="1:18">
      <c r="A621" t="s">
        <v>694</v>
      </c>
      <c r="R621" t="s">
        <v>1625</v>
      </c>
    </row>
    <row r="622" spans="1:18">
      <c r="A622" t="s">
        <v>695</v>
      </c>
      <c r="R622" t="s">
        <v>1626</v>
      </c>
    </row>
    <row r="623" spans="1:18">
      <c r="A623" t="s">
        <v>696</v>
      </c>
      <c r="R623" t="s">
        <v>1627</v>
      </c>
    </row>
    <row r="624" spans="1:18">
      <c r="A624" t="s">
        <v>697</v>
      </c>
      <c r="R624" t="s">
        <v>1628</v>
      </c>
    </row>
    <row r="625" spans="1:18">
      <c r="A625" t="s">
        <v>698</v>
      </c>
      <c r="R625" t="s">
        <v>1629</v>
      </c>
    </row>
    <row r="626" spans="1:18">
      <c r="A626" t="s">
        <v>699</v>
      </c>
      <c r="R626" t="s">
        <v>1630</v>
      </c>
    </row>
    <row r="627" spans="1:18">
      <c r="A627" t="s">
        <v>700</v>
      </c>
      <c r="R627" t="s">
        <v>1631</v>
      </c>
    </row>
    <row r="628" spans="1:18">
      <c r="A628" t="s">
        <v>701</v>
      </c>
      <c r="R628" t="s">
        <v>1632</v>
      </c>
    </row>
    <row r="629" spans="1:18">
      <c r="A629" t="s">
        <v>702</v>
      </c>
      <c r="R629" t="s">
        <v>1633</v>
      </c>
    </row>
    <row r="630" spans="1:18">
      <c r="A630" t="s">
        <v>703</v>
      </c>
      <c r="R630" t="s">
        <v>1634</v>
      </c>
    </row>
    <row r="631" spans="1:18">
      <c r="A631" t="s">
        <v>704</v>
      </c>
      <c r="R631" t="s">
        <v>1635</v>
      </c>
    </row>
    <row r="632" spans="1:18">
      <c r="A632" t="s">
        <v>705</v>
      </c>
      <c r="R632" t="s">
        <v>1636</v>
      </c>
    </row>
    <row r="633" spans="1:18">
      <c r="A633" t="s">
        <v>706</v>
      </c>
      <c r="R633" t="s">
        <v>1637</v>
      </c>
    </row>
    <row r="634" spans="1:18">
      <c r="A634" t="s">
        <v>707</v>
      </c>
      <c r="R634" t="s">
        <v>1638</v>
      </c>
    </row>
    <row r="635" spans="1:18">
      <c r="A635" t="s">
        <v>708</v>
      </c>
      <c r="R635" t="s">
        <v>1639</v>
      </c>
    </row>
    <row r="636" spans="1:18">
      <c r="A636" t="s">
        <v>709</v>
      </c>
      <c r="R636" t="s">
        <v>1640</v>
      </c>
    </row>
    <row r="637" spans="1:18">
      <c r="A637" t="s">
        <v>710</v>
      </c>
      <c r="R637" t="s">
        <v>1641</v>
      </c>
    </row>
    <row r="638" spans="1:18">
      <c r="A638" t="s">
        <v>711</v>
      </c>
      <c r="R638" t="s">
        <v>1642</v>
      </c>
    </row>
    <row r="639" spans="1:18">
      <c r="A639" t="s">
        <v>712</v>
      </c>
      <c r="R639" t="s">
        <v>1643</v>
      </c>
    </row>
    <row r="640" spans="1:18">
      <c r="A640" t="s">
        <v>713</v>
      </c>
      <c r="R640" t="s">
        <v>1644</v>
      </c>
    </row>
    <row r="641" spans="1:18">
      <c r="A641" t="s">
        <v>714</v>
      </c>
      <c r="R641" t="s">
        <v>1645</v>
      </c>
    </row>
    <row r="642" spans="1:18">
      <c r="A642" t="s">
        <v>715</v>
      </c>
      <c r="R642" t="s">
        <v>1646</v>
      </c>
    </row>
    <row r="643" spans="1:18">
      <c r="A643" t="s">
        <v>716</v>
      </c>
      <c r="R643" t="s">
        <v>1647</v>
      </c>
    </row>
    <row r="644" spans="1:18">
      <c r="A644" t="s">
        <v>717</v>
      </c>
      <c r="R644" t="s">
        <v>1648</v>
      </c>
    </row>
    <row r="645" spans="1:18">
      <c r="A645" t="s">
        <v>718</v>
      </c>
      <c r="R645" t="s">
        <v>1649</v>
      </c>
    </row>
    <row r="646" spans="1:18">
      <c r="A646" t="s">
        <v>719</v>
      </c>
      <c r="R646" t="s">
        <v>1650</v>
      </c>
    </row>
    <row r="647" spans="1:18">
      <c r="A647" t="s">
        <v>720</v>
      </c>
      <c r="R647" t="s">
        <v>1651</v>
      </c>
    </row>
    <row r="648" spans="1:18">
      <c r="A648" t="s">
        <v>721</v>
      </c>
      <c r="R648" t="s">
        <v>1652</v>
      </c>
    </row>
    <row r="649" spans="1:18">
      <c r="A649" t="s">
        <v>722</v>
      </c>
      <c r="R649" t="s">
        <v>1653</v>
      </c>
    </row>
    <row r="650" spans="1:18">
      <c r="A650" t="s">
        <v>723</v>
      </c>
      <c r="R650" t="s">
        <v>1654</v>
      </c>
    </row>
    <row r="651" spans="1:18">
      <c r="A651" t="s">
        <v>724</v>
      </c>
      <c r="R651" t="s">
        <v>1655</v>
      </c>
    </row>
    <row r="652" spans="1:18">
      <c r="A652" t="s">
        <v>725</v>
      </c>
      <c r="R652" t="s">
        <v>1656</v>
      </c>
    </row>
    <row r="653" spans="1:18">
      <c r="A653" t="s">
        <v>726</v>
      </c>
      <c r="R653" t="s">
        <v>1657</v>
      </c>
    </row>
    <row r="654" spans="1:18">
      <c r="A654" t="s">
        <v>727</v>
      </c>
      <c r="R654" t="s">
        <v>1658</v>
      </c>
    </row>
    <row r="655" spans="1:18">
      <c r="A655" t="s">
        <v>728</v>
      </c>
      <c r="R655" t="s">
        <v>1659</v>
      </c>
    </row>
    <row r="656" spans="1:18">
      <c r="A656" t="s">
        <v>729</v>
      </c>
      <c r="R656" t="s">
        <v>1660</v>
      </c>
    </row>
    <row r="657" spans="1:18">
      <c r="A657" t="s">
        <v>730</v>
      </c>
      <c r="R657" t="s">
        <v>1661</v>
      </c>
    </row>
    <row r="658" spans="1:18">
      <c r="A658" t="s">
        <v>731</v>
      </c>
      <c r="R658" t="s">
        <v>1662</v>
      </c>
    </row>
    <row r="659" spans="1:18">
      <c r="A659" t="s">
        <v>732</v>
      </c>
      <c r="R659" t="s">
        <v>1663</v>
      </c>
    </row>
    <row r="660" spans="1:18">
      <c r="A660" t="s">
        <v>733</v>
      </c>
      <c r="R660" t="s">
        <v>1664</v>
      </c>
    </row>
    <row r="661" spans="1:18">
      <c r="A661" t="s">
        <v>734</v>
      </c>
      <c r="R661" t="s">
        <v>1665</v>
      </c>
    </row>
    <row r="662" spans="1:18">
      <c r="A662" t="s">
        <v>735</v>
      </c>
      <c r="R662" t="s">
        <v>1666</v>
      </c>
    </row>
    <row r="663" spans="1:18">
      <c r="A663" t="s">
        <v>736</v>
      </c>
      <c r="R663" t="s">
        <v>1667</v>
      </c>
    </row>
    <row r="664" spans="1:18">
      <c r="A664" t="s">
        <v>737</v>
      </c>
      <c r="R664" t="s">
        <v>1668</v>
      </c>
    </row>
    <row r="665" spans="1:18">
      <c r="A665" t="s">
        <v>738</v>
      </c>
      <c r="R665" t="s">
        <v>1669</v>
      </c>
    </row>
    <row r="666" spans="1:18">
      <c r="A666" t="s">
        <v>739</v>
      </c>
      <c r="R666" t="s">
        <v>1670</v>
      </c>
    </row>
    <row r="667" spans="1:18">
      <c r="A667" t="s">
        <v>740</v>
      </c>
      <c r="R667" t="s">
        <v>1671</v>
      </c>
    </row>
    <row r="668" spans="1:18">
      <c r="A668" t="s">
        <v>741</v>
      </c>
      <c r="R668" t="s">
        <v>1672</v>
      </c>
    </row>
    <row r="669" spans="1:18">
      <c r="A669" t="s">
        <v>742</v>
      </c>
      <c r="R669" t="s">
        <v>1673</v>
      </c>
    </row>
    <row r="670" spans="1:18">
      <c r="A670" t="s">
        <v>743</v>
      </c>
      <c r="R670" t="s">
        <v>1674</v>
      </c>
    </row>
    <row r="671" spans="1:18">
      <c r="A671" t="s">
        <v>744</v>
      </c>
      <c r="R671" t="s">
        <v>1675</v>
      </c>
    </row>
    <row r="672" spans="1:18">
      <c r="A672" t="s">
        <v>745</v>
      </c>
      <c r="R672" t="s">
        <v>1676</v>
      </c>
    </row>
    <row r="673" spans="1:18">
      <c r="A673" t="s">
        <v>746</v>
      </c>
      <c r="R673" t="s">
        <v>1677</v>
      </c>
    </row>
    <row r="674" spans="1:18">
      <c r="A674" t="s">
        <v>747</v>
      </c>
      <c r="R674" t="s">
        <v>1678</v>
      </c>
    </row>
    <row r="675" spans="1:18">
      <c r="A675" t="s">
        <v>748</v>
      </c>
      <c r="R675" t="s">
        <v>1679</v>
      </c>
    </row>
    <row r="676" spans="1:18">
      <c r="A676" t="s">
        <v>749</v>
      </c>
      <c r="R676" t="s">
        <v>1680</v>
      </c>
    </row>
    <row r="677" spans="1:18">
      <c r="A677" t="s">
        <v>750</v>
      </c>
      <c r="R677" t="s">
        <v>1681</v>
      </c>
    </row>
    <row r="678" spans="1:18">
      <c r="A678" t="s">
        <v>751</v>
      </c>
      <c r="R678" t="s">
        <v>1682</v>
      </c>
    </row>
    <row r="679" spans="1:18">
      <c r="A679" t="s">
        <v>752</v>
      </c>
      <c r="R679" t="s">
        <v>1683</v>
      </c>
    </row>
    <row r="680" spans="1:18">
      <c r="A680" t="s">
        <v>753</v>
      </c>
      <c r="R680" t="s">
        <v>1684</v>
      </c>
    </row>
    <row r="681" spans="1:18">
      <c r="A681" t="s">
        <v>754</v>
      </c>
      <c r="R681" t="s">
        <v>1685</v>
      </c>
    </row>
    <row r="682" spans="1:18">
      <c r="A682" t="s">
        <v>755</v>
      </c>
      <c r="R682" t="s">
        <v>1686</v>
      </c>
    </row>
    <row r="683" spans="1:18">
      <c r="A683" t="s">
        <v>756</v>
      </c>
      <c r="R683" t="s">
        <v>1687</v>
      </c>
    </row>
    <row r="684" spans="1:18">
      <c r="A684" t="s">
        <v>757</v>
      </c>
      <c r="R684" t="s">
        <v>1688</v>
      </c>
    </row>
    <row r="685" spans="1:18">
      <c r="A685" t="s">
        <v>758</v>
      </c>
      <c r="R685" t="s">
        <v>1689</v>
      </c>
    </row>
    <row r="686" spans="1:18">
      <c r="A686" t="s">
        <v>759</v>
      </c>
      <c r="R686" t="s">
        <v>1690</v>
      </c>
    </row>
    <row r="687" spans="1:18">
      <c r="A687" t="s">
        <v>760</v>
      </c>
      <c r="R687" t="s">
        <v>1691</v>
      </c>
    </row>
    <row r="688" spans="1:18">
      <c r="A688" t="s">
        <v>761</v>
      </c>
      <c r="R688" t="s">
        <v>1692</v>
      </c>
    </row>
    <row r="689" spans="1:18">
      <c r="A689" t="s">
        <v>762</v>
      </c>
      <c r="R689" t="s">
        <v>1693</v>
      </c>
    </row>
    <row r="690" spans="1:18">
      <c r="A690" t="s">
        <v>763</v>
      </c>
      <c r="R690" t="s">
        <v>1694</v>
      </c>
    </row>
    <row r="691" spans="1:18">
      <c r="A691" t="s">
        <v>764</v>
      </c>
      <c r="R691" t="s">
        <v>1695</v>
      </c>
    </row>
    <row r="692" spans="1:18">
      <c r="A692" t="s">
        <v>765</v>
      </c>
      <c r="R692" t="s">
        <v>1696</v>
      </c>
    </row>
    <row r="693" spans="1:18">
      <c r="A693" t="s">
        <v>766</v>
      </c>
      <c r="R693" t="s">
        <v>1697</v>
      </c>
    </row>
    <row r="694" spans="1:18">
      <c r="A694" t="s">
        <v>767</v>
      </c>
      <c r="R694" t="s">
        <v>1698</v>
      </c>
    </row>
    <row r="695" spans="1:18">
      <c r="A695" t="s">
        <v>768</v>
      </c>
      <c r="R695" t="s">
        <v>1699</v>
      </c>
    </row>
    <row r="696" spans="1:18">
      <c r="A696" t="s">
        <v>769</v>
      </c>
      <c r="R696" t="s">
        <v>1700</v>
      </c>
    </row>
    <row r="697" spans="1:18">
      <c r="A697" t="s">
        <v>770</v>
      </c>
      <c r="R697" t="s">
        <v>1701</v>
      </c>
    </row>
    <row r="698" spans="1:18">
      <c r="A698" t="s">
        <v>771</v>
      </c>
      <c r="R698" t="s">
        <v>1702</v>
      </c>
    </row>
    <row r="699" spans="1:18">
      <c r="A699" t="s">
        <v>772</v>
      </c>
      <c r="R699" t="s">
        <v>1703</v>
      </c>
    </row>
    <row r="700" spans="1:18">
      <c r="A700" t="s">
        <v>773</v>
      </c>
      <c r="R700" t="s">
        <v>1704</v>
      </c>
    </row>
    <row r="701" spans="1:18">
      <c r="A701" t="s">
        <v>774</v>
      </c>
      <c r="R701" t="s">
        <v>1705</v>
      </c>
    </row>
    <row r="702" spans="1:18">
      <c r="A702" t="s">
        <v>775</v>
      </c>
      <c r="R702" t="s">
        <v>1706</v>
      </c>
    </row>
    <row r="703" spans="1:18">
      <c r="A703" t="s">
        <v>776</v>
      </c>
      <c r="R703" t="s">
        <v>1707</v>
      </c>
    </row>
    <row r="704" spans="1:18">
      <c r="A704" t="s">
        <v>777</v>
      </c>
      <c r="R704" t="s">
        <v>1708</v>
      </c>
    </row>
    <row r="705" spans="1:18">
      <c r="A705" t="s">
        <v>778</v>
      </c>
      <c r="R705" t="s">
        <v>1709</v>
      </c>
    </row>
    <row r="706" spans="1:18">
      <c r="A706" t="s">
        <v>779</v>
      </c>
      <c r="R706" t="s">
        <v>1710</v>
      </c>
    </row>
    <row r="707" spans="1:18">
      <c r="A707" t="s">
        <v>780</v>
      </c>
      <c r="R707" t="s">
        <v>1711</v>
      </c>
    </row>
    <row r="708" spans="1:18">
      <c r="A708" t="s">
        <v>781</v>
      </c>
      <c r="R708" t="s">
        <v>1712</v>
      </c>
    </row>
    <row r="709" spans="1:18">
      <c r="A709" t="s">
        <v>782</v>
      </c>
      <c r="R709" t="s">
        <v>1713</v>
      </c>
    </row>
    <row r="710" spans="1:18">
      <c r="A710" t="s">
        <v>783</v>
      </c>
      <c r="R710" t="s">
        <v>1714</v>
      </c>
    </row>
    <row r="711" spans="1:18">
      <c r="A711" t="s">
        <v>784</v>
      </c>
      <c r="R711" t="s">
        <v>1715</v>
      </c>
    </row>
    <row r="712" spans="1:18">
      <c r="A712" t="s">
        <v>785</v>
      </c>
      <c r="R712" t="s">
        <v>1716</v>
      </c>
    </row>
    <row r="713" spans="1:18">
      <c r="A713" t="s">
        <v>786</v>
      </c>
      <c r="R713" t="s">
        <v>1717</v>
      </c>
    </row>
    <row r="714" spans="1:18">
      <c r="A714" t="s">
        <v>787</v>
      </c>
      <c r="R714" t="s">
        <v>1718</v>
      </c>
    </row>
    <row r="715" spans="1:18">
      <c r="A715" t="s">
        <v>788</v>
      </c>
      <c r="R715" t="s">
        <v>1719</v>
      </c>
    </row>
    <row r="716" spans="1:18">
      <c r="A716" t="s">
        <v>789</v>
      </c>
      <c r="R716" t="s">
        <v>1720</v>
      </c>
    </row>
    <row r="717" spans="1:18">
      <c r="A717" t="s">
        <v>790</v>
      </c>
      <c r="R717" t="s">
        <v>1721</v>
      </c>
    </row>
    <row r="718" spans="1:18">
      <c r="A718" t="s">
        <v>791</v>
      </c>
      <c r="R718" t="s">
        <v>1722</v>
      </c>
    </row>
    <row r="719" spans="1:18">
      <c r="A719" t="s">
        <v>792</v>
      </c>
      <c r="R719" t="s">
        <v>1723</v>
      </c>
    </row>
    <row r="720" spans="1:18">
      <c r="A720" t="s">
        <v>793</v>
      </c>
      <c r="R720" t="s">
        <v>1724</v>
      </c>
    </row>
    <row r="721" spans="1:18">
      <c r="A721" t="s">
        <v>794</v>
      </c>
      <c r="R721" t="s">
        <v>1725</v>
      </c>
    </row>
    <row r="722" spans="1:18">
      <c r="A722" t="s">
        <v>795</v>
      </c>
      <c r="R722" t="s">
        <v>1726</v>
      </c>
    </row>
    <row r="723" spans="1:18">
      <c r="A723" t="s">
        <v>796</v>
      </c>
      <c r="R723" t="s">
        <v>1727</v>
      </c>
    </row>
    <row r="724" spans="1:18">
      <c r="A724" t="s">
        <v>797</v>
      </c>
      <c r="R724" t="s">
        <v>1728</v>
      </c>
    </row>
    <row r="725" spans="1:18">
      <c r="A725" t="s">
        <v>798</v>
      </c>
      <c r="R725" t="s">
        <v>1729</v>
      </c>
    </row>
    <row r="726" spans="1:18">
      <c r="A726" t="s">
        <v>799</v>
      </c>
      <c r="R726" t="s">
        <v>1730</v>
      </c>
    </row>
    <row r="727" spans="1:18">
      <c r="A727" t="s">
        <v>800</v>
      </c>
      <c r="R727" t="s">
        <v>1731</v>
      </c>
    </row>
    <row r="728" spans="1:18">
      <c r="A728" t="s">
        <v>801</v>
      </c>
      <c r="R728" t="s">
        <v>1732</v>
      </c>
    </row>
    <row r="729" spans="1:18">
      <c r="A729" t="s">
        <v>802</v>
      </c>
      <c r="R729" t="s">
        <v>1733</v>
      </c>
    </row>
    <row r="730" spans="1:18">
      <c r="A730" t="s">
        <v>803</v>
      </c>
      <c r="R730" t="s">
        <v>1734</v>
      </c>
    </row>
    <row r="731" spans="1:18">
      <c r="A731" t="s">
        <v>804</v>
      </c>
      <c r="R731" t="s">
        <v>1735</v>
      </c>
    </row>
    <row r="732" spans="1:18">
      <c r="A732" t="s">
        <v>805</v>
      </c>
      <c r="R732" t="s">
        <v>1736</v>
      </c>
    </row>
    <row r="733" spans="1:18">
      <c r="A733" t="s">
        <v>806</v>
      </c>
      <c r="R733" t="s">
        <v>1737</v>
      </c>
    </row>
    <row r="734" spans="1:18">
      <c r="A734" t="s">
        <v>807</v>
      </c>
      <c r="R734" t="s">
        <v>1738</v>
      </c>
    </row>
    <row r="735" spans="1:18">
      <c r="A735" t="s">
        <v>808</v>
      </c>
      <c r="R735" t="s">
        <v>1739</v>
      </c>
    </row>
    <row r="736" spans="1:18">
      <c r="A736" t="s">
        <v>809</v>
      </c>
      <c r="R736" t="s">
        <v>1740</v>
      </c>
    </row>
    <row r="737" spans="1:18">
      <c r="A737" t="s">
        <v>810</v>
      </c>
      <c r="R737" t="s">
        <v>1741</v>
      </c>
    </row>
    <row r="738" spans="1:18">
      <c r="A738" t="s">
        <v>811</v>
      </c>
      <c r="R738" t="s">
        <v>1742</v>
      </c>
    </row>
    <row r="739" spans="1:18">
      <c r="A739" t="s">
        <v>812</v>
      </c>
      <c r="R739" t="s">
        <v>1743</v>
      </c>
    </row>
    <row r="740" spans="1:18">
      <c r="A740" t="s">
        <v>813</v>
      </c>
      <c r="R740" t="s">
        <v>1744</v>
      </c>
    </row>
    <row r="741" spans="1:18">
      <c r="A741" t="s">
        <v>814</v>
      </c>
      <c r="R741" t="s">
        <v>1745</v>
      </c>
    </row>
    <row r="742" spans="1:18">
      <c r="A742" t="s">
        <v>815</v>
      </c>
      <c r="R742" t="s">
        <v>1746</v>
      </c>
    </row>
    <row r="743" spans="1:18">
      <c r="A743" t="s">
        <v>816</v>
      </c>
      <c r="R743" t="s">
        <v>1747</v>
      </c>
    </row>
    <row r="744" spans="1:18">
      <c r="A744" t="s">
        <v>817</v>
      </c>
      <c r="R744" t="s">
        <v>1748</v>
      </c>
    </row>
    <row r="745" spans="1:18">
      <c r="A745" t="s">
        <v>818</v>
      </c>
      <c r="R745" t="s">
        <v>1749</v>
      </c>
    </row>
    <row r="746" spans="1:18">
      <c r="A746" t="s">
        <v>819</v>
      </c>
      <c r="R746" t="s">
        <v>1750</v>
      </c>
    </row>
    <row r="747" spans="1:18">
      <c r="A747" t="s">
        <v>820</v>
      </c>
      <c r="R747" t="s">
        <v>1751</v>
      </c>
    </row>
    <row r="748" spans="1:18">
      <c r="A748" t="s">
        <v>821</v>
      </c>
      <c r="R748" t="s">
        <v>1752</v>
      </c>
    </row>
    <row r="749" spans="1:18">
      <c r="A749" t="s">
        <v>822</v>
      </c>
      <c r="R749" t="s">
        <v>1753</v>
      </c>
    </row>
    <row r="750" spans="1:18">
      <c r="A750" t="s">
        <v>823</v>
      </c>
      <c r="R750" t="s">
        <v>1754</v>
      </c>
    </row>
    <row r="751" spans="1:18">
      <c r="A751" t="s">
        <v>824</v>
      </c>
      <c r="R751" t="s">
        <v>1755</v>
      </c>
    </row>
    <row r="752" spans="1:18">
      <c r="A752" t="s">
        <v>825</v>
      </c>
      <c r="R752" t="s">
        <v>1756</v>
      </c>
    </row>
    <row r="753" spans="1:18">
      <c r="A753" t="s">
        <v>826</v>
      </c>
      <c r="R753" t="s">
        <v>1757</v>
      </c>
    </row>
    <row r="754" spans="1:18">
      <c r="A754" t="s">
        <v>827</v>
      </c>
      <c r="R754" t="s">
        <v>1758</v>
      </c>
    </row>
    <row r="755" spans="1:18">
      <c r="A755" t="s">
        <v>828</v>
      </c>
      <c r="R755" t="s">
        <v>1759</v>
      </c>
    </row>
    <row r="756" spans="1:18">
      <c r="A756" t="s">
        <v>829</v>
      </c>
      <c r="R756" t="s">
        <v>1760</v>
      </c>
    </row>
    <row r="757" spans="1:18">
      <c r="A757" t="s">
        <v>830</v>
      </c>
      <c r="R757" t="s">
        <v>1761</v>
      </c>
    </row>
    <row r="758" spans="1:18">
      <c r="A758" t="s">
        <v>831</v>
      </c>
      <c r="R758" t="s">
        <v>1762</v>
      </c>
    </row>
    <row r="759" spans="1:18">
      <c r="A759" t="s">
        <v>832</v>
      </c>
      <c r="R759" t="s">
        <v>1763</v>
      </c>
    </row>
    <row r="760" spans="1:18">
      <c r="A760" t="s">
        <v>833</v>
      </c>
      <c r="R760" t="s">
        <v>1764</v>
      </c>
    </row>
    <row r="761" spans="1:18">
      <c r="A761" t="s">
        <v>834</v>
      </c>
      <c r="R761" t="s">
        <v>1765</v>
      </c>
    </row>
    <row r="762" spans="1:18">
      <c r="A762" t="s">
        <v>835</v>
      </c>
      <c r="R762" t="s">
        <v>1766</v>
      </c>
    </row>
    <row r="763" spans="1:18">
      <c r="A763" t="s">
        <v>836</v>
      </c>
      <c r="R763" t="s">
        <v>1767</v>
      </c>
    </row>
    <row r="764" spans="1:18">
      <c r="A764" t="s">
        <v>837</v>
      </c>
      <c r="R764" t="s">
        <v>1768</v>
      </c>
    </row>
    <row r="765" spans="1:18">
      <c r="A765" t="s">
        <v>838</v>
      </c>
      <c r="R765" t="s">
        <v>1769</v>
      </c>
    </row>
    <row r="766" spans="1:18">
      <c r="A766" t="s">
        <v>839</v>
      </c>
      <c r="R766" t="s">
        <v>1770</v>
      </c>
    </row>
    <row r="767" spans="1:18">
      <c r="A767" t="s">
        <v>840</v>
      </c>
      <c r="R767" t="s">
        <v>1771</v>
      </c>
    </row>
    <row r="768" spans="1:18">
      <c r="A768" t="s">
        <v>841</v>
      </c>
      <c r="R768" t="s">
        <v>1772</v>
      </c>
    </row>
    <row r="769" spans="1:18">
      <c r="A769" t="s">
        <v>842</v>
      </c>
      <c r="R769" t="s">
        <v>1773</v>
      </c>
    </row>
    <row r="770" spans="1:18">
      <c r="A770" t="s">
        <v>843</v>
      </c>
      <c r="R770" t="s">
        <v>1774</v>
      </c>
    </row>
    <row r="771" spans="1:18">
      <c r="A771" t="s">
        <v>844</v>
      </c>
      <c r="R771" t="s">
        <v>1775</v>
      </c>
    </row>
    <row r="772" spans="1:18">
      <c r="A772" t="s">
        <v>845</v>
      </c>
      <c r="R772" t="s">
        <v>1776</v>
      </c>
    </row>
    <row r="773" spans="1:18">
      <c r="A773" t="s">
        <v>846</v>
      </c>
      <c r="R773" t="s">
        <v>1777</v>
      </c>
    </row>
    <row r="774" spans="1:18">
      <c r="A774" t="s">
        <v>847</v>
      </c>
      <c r="R774" t="s">
        <v>1778</v>
      </c>
    </row>
    <row r="775" spans="1:18">
      <c r="A775" t="s">
        <v>848</v>
      </c>
      <c r="R775" t="s">
        <v>1779</v>
      </c>
    </row>
    <row r="776" spans="1:18">
      <c r="A776" t="s">
        <v>849</v>
      </c>
      <c r="R776" t="s">
        <v>1780</v>
      </c>
    </row>
    <row r="777" spans="1:18">
      <c r="A777" t="s">
        <v>850</v>
      </c>
      <c r="R777" t="s">
        <v>1781</v>
      </c>
    </row>
    <row r="778" spans="1:18">
      <c r="A778" t="s">
        <v>851</v>
      </c>
      <c r="R778" t="s">
        <v>1782</v>
      </c>
    </row>
    <row r="779" spans="1:18">
      <c r="A779" t="s">
        <v>852</v>
      </c>
      <c r="R779" t="s">
        <v>1783</v>
      </c>
    </row>
    <row r="780" spans="1:18">
      <c r="A780" t="s">
        <v>853</v>
      </c>
      <c r="R780" t="s">
        <v>1784</v>
      </c>
    </row>
    <row r="781" spans="1:18">
      <c r="A781" t="s">
        <v>854</v>
      </c>
      <c r="R781" t="s">
        <v>1785</v>
      </c>
    </row>
    <row r="782" spans="1:18">
      <c r="A782" t="s">
        <v>855</v>
      </c>
      <c r="R782" t="s">
        <v>1786</v>
      </c>
    </row>
    <row r="783" spans="1:18">
      <c r="A783" t="s">
        <v>856</v>
      </c>
      <c r="R783" t="s">
        <v>1787</v>
      </c>
    </row>
    <row r="784" spans="1:18">
      <c r="A784" t="s">
        <v>857</v>
      </c>
      <c r="R784" t="s">
        <v>1788</v>
      </c>
    </row>
    <row r="785" spans="1:18">
      <c r="A785" t="s">
        <v>858</v>
      </c>
      <c r="R785" t="s">
        <v>1789</v>
      </c>
    </row>
    <row r="786" spans="1:18">
      <c r="A786" t="s">
        <v>859</v>
      </c>
      <c r="R786" t="s">
        <v>1790</v>
      </c>
    </row>
    <row r="787" spans="1:18">
      <c r="A787" t="s">
        <v>860</v>
      </c>
      <c r="R787" t="s">
        <v>1791</v>
      </c>
    </row>
    <row r="788" spans="1:18">
      <c r="A788" t="s">
        <v>861</v>
      </c>
      <c r="R788" t="s">
        <v>1792</v>
      </c>
    </row>
    <row r="789" spans="1:18">
      <c r="A789" t="s">
        <v>862</v>
      </c>
      <c r="R789" t="s">
        <v>1793</v>
      </c>
    </row>
    <row r="790" spans="1:18">
      <c r="A790" t="s">
        <v>863</v>
      </c>
      <c r="R790" t="s">
        <v>1794</v>
      </c>
    </row>
    <row r="791" spans="1:18">
      <c r="A791" t="s">
        <v>864</v>
      </c>
      <c r="R791" t="s">
        <v>1795</v>
      </c>
    </row>
    <row r="792" spans="1:18">
      <c r="A792" t="s">
        <v>865</v>
      </c>
      <c r="R792" t="s">
        <v>1796</v>
      </c>
    </row>
    <row r="793" spans="1:18">
      <c r="A793" t="s">
        <v>866</v>
      </c>
      <c r="R793" t="s">
        <v>1797</v>
      </c>
    </row>
    <row r="794" spans="1:18">
      <c r="A794" t="s">
        <v>867</v>
      </c>
      <c r="R794" t="s">
        <v>1798</v>
      </c>
    </row>
    <row r="795" spans="1:18">
      <c r="A795" t="s">
        <v>868</v>
      </c>
      <c r="R795" t="s">
        <v>1799</v>
      </c>
    </row>
    <row r="796" spans="1:18">
      <c r="A796" t="s">
        <v>869</v>
      </c>
      <c r="R796" t="s">
        <v>1800</v>
      </c>
    </row>
    <row r="797" spans="1:18">
      <c r="A797" t="s">
        <v>870</v>
      </c>
      <c r="R797" t="s">
        <v>1801</v>
      </c>
    </row>
    <row r="798" spans="1:18">
      <c r="A798" t="s">
        <v>871</v>
      </c>
      <c r="R798" t="s">
        <v>1802</v>
      </c>
    </row>
    <row r="799" spans="1:18">
      <c r="A799" t="s">
        <v>872</v>
      </c>
      <c r="R799" t="s">
        <v>1803</v>
      </c>
    </row>
    <row r="800" spans="1:18">
      <c r="A800" t="s">
        <v>873</v>
      </c>
      <c r="R800" t="s">
        <v>1804</v>
      </c>
    </row>
    <row r="801" spans="1:18">
      <c r="A801" t="s">
        <v>874</v>
      </c>
      <c r="R801" t="s">
        <v>1805</v>
      </c>
    </row>
    <row r="802" spans="1:18">
      <c r="A802" t="s">
        <v>875</v>
      </c>
      <c r="R802" t="s">
        <v>1806</v>
      </c>
    </row>
    <row r="803" spans="1:18">
      <c r="A803" t="s">
        <v>876</v>
      </c>
      <c r="R803" t="s">
        <v>1807</v>
      </c>
    </row>
    <row r="804" spans="1:18">
      <c r="A804" t="s">
        <v>877</v>
      </c>
      <c r="R804" t="s">
        <v>1808</v>
      </c>
    </row>
    <row r="805" spans="1:18">
      <c r="A805" t="s">
        <v>878</v>
      </c>
      <c r="R805" t="s">
        <v>1809</v>
      </c>
    </row>
    <row r="806" spans="1:18">
      <c r="A806" t="s">
        <v>879</v>
      </c>
      <c r="R806" t="s">
        <v>1810</v>
      </c>
    </row>
    <row r="807" spans="1:18">
      <c r="A807" t="s">
        <v>880</v>
      </c>
      <c r="R807" t="s">
        <v>1811</v>
      </c>
    </row>
    <row r="808" spans="1:18">
      <c r="A808" t="s">
        <v>881</v>
      </c>
      <c r="R808" t="s">
        <v>1812</v>
      </c>
    </row>
    <row r="809" spans="1:18">
      <c r="A809" t="s">
        <v>882</v>
      </c>
      <c r="R809" t="s">
        <v>1813</v>
      </c>
    </row>
    <row r="810" spans="1:18">
      <c r="A810" t="s">
        <v>883</v>
      </c>
      <c r="R810" t="s">
        <v>1814</v>
      </c>
    </row>
    <row r="811" spans="1:18">
      <c r="A811" t="s">
        <v>884</v>
      </c>
      <c r="R811" t="s">
        <v>1815</v>
      </c>
    </row>
    <row r="812" spans="1:18">
      <c r="A812" t="s">
        <v>885</v>
      </c>
      <c r="R812" t="s">
        <v>1816</v>
      </c>
    </row>
    <row r="813" spans="1:18">
      <c r="A813" t="s">
        <v>886</v>
      </c>
      <c r="R813" t="s">
        <v>1817</v>
      </c>
    </row>
    <row r="814" spans="1:18">
      <c r="A814" t="s">
        <v>887</v>
      </c>
      <c r="R814" t="s">
        <v>1818</v>
      </c>
    </row>
    <row r="815" spans="1:18">
      <c r="A815" t="s">
        <v>888</v>
      </c>
      <c r="R815" t="s">
        <v>1819</v>
      </c>
    </row>
    <row r="816" spans="1:18">
      <c r="A816" t="s">
        <v>889</v>
      </c>
      <c r="R816" t="s">
        <v>1820</v>
      </c>
    </row>
    <row r="817" spans="1:18">
      <c r="A817" t="s">
        <v>890</v>
      </c>
      <c r="R817" t="s">
        <v>1821</v>
      </c>
    </row>
    <row r="818" spans="1:18">
      <c r="A818" t="s">
        <v>891</v>
      </c>
      <c r="R818" t="s">
        <v>1822</v>
      </c>
    </row>
    <row r="819" spans="1:18">
      <c r="A819" t="s">
        <v>892</v>
      </c>
      <c r="R819" t="s">
        <v>1823</v>
      </c>
    </row>
    <row r="820" spans="1:18">
      <c r="A820" t="s">
        <v>893</v>
      </c>
      <c r="R820" t="s">
        <v>1824</v>
      </c>
    </row>
    <row r="821" spans="1:18">
      <c r="A821" t="s">
        <v>894</v>
      </c>
      <c r="R821" t="s">
        <v>1825</v>
      </c>
    </row>
    <row r="822" spans="1:18">
      <c r="A822" t="s">
        <v>895</v>
      </c>
      <c r="R822" t="s">
        <v>1826</v>
      </c>
    </row>
    <row r="823" spans="1:18">
      <c r="A823" t="s">
        <v>896</v>
      </c>
      <c r="R823" t="s">
        <v>1827</v>
      </c>
    </row>
    <row r="824" spans="1:18">
      <c r="A824" t="s">
        <v>897</v>
      </c>
      <c r="R824" t="s">
        <v>1828</v>
      </c>
    </row>
    <row r="825" spans="1:18">
      <c r="A825" t="s">
        <v>898</v>
      </c>
      <c r="R825" t="s">
        <v>1829</v>
      </c>
    </row>
    <row r="826" spans="1:18">
      <c r="A826" t="s">
        <v>899</v>
      </c>
      <c r="R826" t="s">
        <v>1830</v>
      </c>
    </row>
    <row r="827" spans="1:18">
      <c r="A827" t="s">
        <v>900</v>
      </c>
      <c r="R827" t="s">
        <v>1831</v>
      </c>
    </row>
    <row r="828" spans="1:18">
      <c r="A828" t="s">
        <v>901</v>
      </c>
      <c r="R828" t="s">
        <v>1832</v>
      </c>
    </row>
    <row r="829" spans="1:18">
      <c r="A829" t="s">
        <v>902</v>
      </c>
      <c r="R829" t="s">
        <v>1833</v>
      </c>
    </row>
    <row r="830" spans="1:18">
      <c r="A830" t="s">
        <v>903</v>
      </c>
      <c r="R830" t="s">
        <v>1834</v>
      </c>
    </row>
    <row r="831" spans="1:18">
      <c r="A831" t="s">
        <v>904</v>
      </c>
      <c r="R831" t="s">
        <v>1835</v>
      </c>
    </row>
    <row r="832" spans="1:18">
      <c r="A832" t="s">
        <v>905</v>
      </c>
      <c r="R832" t="s">
        <v>1836</v>
      </c>
    </row>
    <row r="833" spans="1:18">
      <c r="A833" t="s">
        <v>906</v>
      </c>
      <c r="R833" t="s">
        <v>1837</v>
      </c>
    </row>
    <row r="834" spans="1:18">
      <c r="A834" t="s">
        <v>907</v>
      </c>
      <c r="R834" t="s">
        <v>1838</v>
      </c>
    </row>
    <row r="835" spans="1:18">
      <c r="A835" t="s">
        <v>908</v>
      </c>
      <c r="R835" t="s">
        <v>1839</v>
      </c>
    </row>
    <row r="836" spans="1:18">
      <c r="A836" t="s">
        <v>909</v>
      </c>
      <c r="R836" t="s">
        <v>1840</v>
      </c>
    </row>
    <row r="837" spans="1:18">
      <c r="A837" t="s">
        <v>910</v>
      </c>
      <c r="R837" t="s">
        <v>1841</v>
      </c>
    </row>
    <row r="838" spans="1:18">
      <c r="A838" t="s">
        <v>911</v>
      </c>
      <c r="R838" t="s">
        <v>1842</v>
      </c>
    </row>
    <row r="839" spans="1:18">
      <c r="A839" t="s">
        <v>912</v>
      </c>
      <c r="R839" t="s">
        <v>1843</v>
      </c>
    </row>
    <row r="840" spans="1:18">
      <c r="A840" t="s">
        <v>913</v>
      </c>
      <c r="R840" t="s">
        <v>1844</v>
      </c>
    </row>
    <row r="841" spans="1:18">
      <c r="A841" t="s">
        <v>914</v>
      </c>
      <c r="R841" t="s">
        <v>1845</v>
      </c>
    </row>
    <row r="842" spans="1:18">
      <c r="A842" t="s">
        <v>915</v>
      </c>
      <c r="R842" t="s">
        <v>1846</v>
      </c>
    </row>
    <row r="843" spans="1:18">
      <c r="A843" t="s">
        <v>916</v>
      </c>
      <c r="R843" t="s">
        <v>1847</v>
      </c>
    </row>
    <row r="844" spans="1:18">
      <c r="A844" t="s">
        <v>917</v>
      </c>
      <c r="R844" t="s">
        <v>1848</v>
      </c>
    </row>
    <row r="845" spans="1:18">
      <c r="A845" t="s">
        <v>918</v>
      </c>
      <c r="R845" t="s">
        <v>1849</v>
      </c>
    </row>
    <row r="846" spans="1:18">
      <c r="A846" t="s">
        <v>919</v>
      </c>
      <c r="R846" t="s">
        <v>1850</v>
      </c>
    </row>
    <row r="847" spans="1:18">
      <c r="A847" t="s">
        <v>920</v>
      </c>
      <c r="R847" t="s">
        <v>1851</v>
      </c>
    </row>
    <row r="848" spans="1:18">
      <c r="A848" t="s">
        <v>921</v>
      </c>
      <c r="R848" t="s">
        <v>1852</v>
      </c>
    </row>
    <row r="849" spans="1:18">
      <c r="A849" t="s">
        <v>922</v>
      </c>
      <c r="R849" t="s">
        <v>1853</v>
      </c>
    </row>
    <row r="850" spans="1:18">
      <c r="A850" t="s">
        <v>923</v>
      </c>
      <c r="R850" t="s">
        <v>1854</v>
      </c>
    </row>
    <row r="851" spans="1:18">
      <c r="R851" t="s">
        <v>1855</v>
      </c>
    </row>
    <row r="852" spans="1:18">
      <c r="R852" t="s">
        <v>1856</v>
      </c>
    </row>
    <row r="853" spans="1:18">
      <c r="R853" t="s">
        <v>1857</v>
      </c>
    </row>
    <row r="854" spans="1:18">
      <c r="R854" t="s">
        <v>1858</v>
      </c>
    </row>
    <row r="855" spans="1:18">
      <c r="R855" t="s">
        <v>1859</v>
      </c>
    </row>
    <row r="856" spans="1:18">
      <c r="R856" t="s">
        <v>1860</v>
      </c>
    </row>
    <row r="857" spans="1:18">
      <c r="R857" t="s">
        <v>1861</v>
      </c>
    </row>
    <row r="858" spans="1:18">
      <c r="R858" t="s">
        <v>1862</v>
      </c>
    </row>
    <row r="859" spans="1:18">
      <c r="R859" t="s">
        <v>1863</v>
      </c>
    </row>
    <row r="860" spans="1:18">
      <c r="R860" t="s">
        <v>1864</v>
      </c>
    </row>
    <row r="861" spans="1:18">
      <c r="R861" t="s">
        <v>1865</v>
      </c>
    </row>
    <row r="862" spans="1:18">
      <c r="R862" t="s">
        <v>1866</v>
      </c>
    </row>
    <row r="863" spans="1:18">
      <c r="R863" t="s">
        <v>1867</v>
      </c>
    </row>
    <row r="864" spans="1:18">
      <c r="R864" t="s">
        <v>1868</v>
      </c>
    </row>
    <row r="865" spans="18:18">
      <c r="R865" t="s">
        <v>1869</v>
      </c>
    </row>
    <row r="866" spans="18:18">
      <c r="R866" t="s">
        <v>1870</v>
      </c>
    </row>
    <row r="867" spans="18:18">
      <c r="R867" t="s">
        <v>1871</v>
      </c>
    </row>
    <row r="868" spans="18:18">
      <c r="R868" t="s">
        <v>1872</v>
      </c>
    </row>
    <row r="869" spans="18:18">
      <c r="R869" t="s">
        <v>1873</v>
      </c>
    </row>
    <row r="870" spans="18:18">
      <c r="R870" t="s">
        <v>1874</v>
      </c>
    </row>
    <row r="871" spans="18:18">
      <c r="R871" t="s">
        <v>1875</v>
      </c>
    </row>
    <row r="872" spans="18:18">
      <c r="R872" t="s">
        <v>1876</v>
      </c>
    </row>
    <row r="873" spans="18:18">
      <c r="R873" t="s">
        <v>1877</v>
      </c>
    </row>
    <row r="874" spans="18:18">
      <c r="R874" t="s">
        <v>1878</v>
      </c>
    </row>
    <row r="875" spans="18:18">
      <c r="R875" t="s">
        <v>1879</v>
      </c>
    </row>
    <row r="876" spans="18:18">
      <c r="R876" t="s">
        <v>1880</v>
      </c>
    </row>
    <row r="877" spans="18:18">
      <c r="R877" t="s">
        <v>1881</v>
      </c>
    </row>
    <row r="878" spans="18:18">
      <c r="R878" t="s">
        <v>1882</v>
      </c>
    </row>
    <row r="879" spans="18:18">
      <c r="R879" t="s">
        <v>1883</v>
      </c>
    </row>
    <row r="880" spans="18:18">
      <c r="R880" t="s">
        <v>1884</v>
      </c>
    </row>
    <row r="881" spans="18:18">
      <c r="R881" t="s">
        <v>1885</v>
      </c>
    </row>
    <row r="882" spans="18:18">
      <c r="R882" t="s">
        <v>1886</v>
      </c>
    </row>
    <row r="883" spans="18:18">
      <c r="R883" t="s">
        <v>1887</v>
      </c>
    </row>
    <row r="884" spans="18:18">
      <c r="R884" t="s">
        <v>1888</v>
      </c>
    </row>
    <row r="885" spans="18:18">
      <c r="R885" t="s">
        <v>1889</v>
      </c>
    </row>
    <row r="886" spans="18:18">
      <c r="R886" t="s">
        <v>1890</v>
      </c>
    </row>
    <row r="887" spans="18:18">
      <c r="R887" t="s">
        <v>1891</v>
      </c>
    </row>
    <row r="888" spans="18:18">
      <c r="R888" t="s">
        <v>1892</v>
      </c>
    </row>
    <row r="889" spans="18:18">
      <c r="R889" t="s">
        <v>1893</v>
      </c>
    </row>
    <row r="890" spans="18:18">
      <c r="R890" t="s">
        <v>1894</v>
      </c>
    </row>
    <row r="891" spans="18:18">
      <c r="R891" t="s">
        <v>1895</v>
      </c>
    </row>
    <row r="892" spans="18:18">
      <c r="R892" t="s">
        <v>1896</v>
      </c>
    </row>
    <row r="893" spans="18:18">
      <c r="R893" t="s">
        <v>1897</v>
      </c>
    </row>
    <row r="894" spans="18:18">
      <c r="R894" t="s">
        <v>1898</v>
      </c>
    </row>
    <row r="895" spans="18:18">
      <c r="R895" t="s">
        <v>1899</v>
      </c>
    </row>
    <row r="896" spans="18:18">
      <c r="R896" t="s">
        <v>1900</v>
      </c>
    </row>
    <row r="897" spans="18:18">
      <c r="R897" t="s">
        <v>1901</v>
      </c>
    </row>
    <row r="898" spans="18:18">
      <c r="R898" t="s">
        <v>1902</v>
      </c>
    </row>
    <row r="899" spans="18:18">
      <c r="R899" t="s">
        <v>1903</v>
      </c>
    </row>
    <row r="900" spans="18:18">
      <c r="R900" t="s">
        <v>1904</v>
      </c>
    </row>
    <row r="901" spans="18:18">
      <c r="R901" t="s">
        <v>1905</v>
      </c>
    </row>
    <row r="902" spans="18:18">
      <c r="R902" t="s">
        <v>1906</v>
      </c>
    </row>
    <row r="903" spans="18:18">
      <c r="R903" t="s">
        <v>1907</v>
      </c>
    </row>
    <row r="904" spans="18:18">
      <c r="R904" t="s">
        <v>1908</v>
      </c>
    </row>
    <row r="905" spans="18:18">
      <c r="R905" t="s">
        <v>1909</v>
      </c>
    </row>
    <row r="906" spans="18:18">
      <c r="R906" t="s">
        <v>1910</v>
      </c>
    </row>
    <row r="907" spans="18:18">
      <c r="R907" t="s">
        <v>1911</v>
      </c>
    </row>
    <row r="908" spans="18:18">
      <c r="R908" t="s">
        <v>1912</v>
      </c>
    </row>
  </sheetData>
  <sheetProtection password="FBFF" sheet="1" objects="1" scenarios="1"/>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CO507"/>
  <sheetViews>
    <sheetView workbookViewId="0">
      <pane xSplit="2" topLeftCell="C1" activePane="topRight" state="frozen"/>
      <selection pane="topRight"/>
    </sheetView>
  </sheetViews>
  <sheetFormatPr defaultRowHeight="15"/>
  <cols>
    <col min="1" max="1" width="35.7109375" customWidth="1"/>
    <col min="2" max="2" width="25.7109375" style="22" customWidth="1"/>
    <col min="3" max="3" width="22.7109375" style="22" customWidth="1"/>
    <col min="4" max="4" width="10.7109375" style="22" customWidth="1"/>
    <col min="5" max="5" width="29.7109375" style="22" customWidth="1"/>
    <col min="6" max="6" width="27.7109375" style="22" customWidth="1"/>
    <col min="7" max="7" width="17.7109375" style="22" customWidth="1"/>
    <col min="8" max="8" width="20.7109375" style="22" customWidth="1"/>
    <col min="9" max="9" width="29.7109375" style="22" customWidth="1"/>
    <col min="10" max="10" width="17.7109375" style="22" customWidth="1"/>
    <col min="11" max="12" width="23.7109375" style="22" customWidth="1"/>
    <col min="13" max="13" width="37.7109375" style="22" customWidth="1"/>
    <col min="14" max="14" width="23.7109375" style="22" customWidth="1"/>
    <col min="15" max="15" width="37.7109375" style="22" customWidth="1"/>
    <col min="16" max="16" width="23.7109375" style="22" customWidth="1"/>
    <col min="17" max="17" width="37.7109375" style="22" customWidth="1"/>
    <col min="18" max="18" width="14.7109375" style="22" customWidth="1"/>
    <col min="19" max="19" width="29.7109375" style="22" customWidth="1"/>
    <col min="20" max="20" width="40.7109375" style="22" customWidth="1"/>
    <col min="21" max="21" width="31.7109375" style="22" customWidth="1"/>
    <col min="22" max="22" width="19.7109375" style="22" customWidth="1"/>
    <col min="23" max="27" width="21.7109375" style="22" customWidth="1"/>
    <col min="28" max="28" width="27.7109375" style="22" customWidth="1"/>
    <col min="29" max="29" width="30.7109375" style="22" customWidth="1"/>
    <col min="30" max="30" width="25.7109375" style="22" customWidth="1"/>
    <col min="31" max="31" width="19.7109375" style="22" customWidth="1"/>
    <col min="32" max="32" width="14.7109375" style="22" customWidth="1"/>
    <col min="33" max="33" width="18.7109375" style="22" customWidth="1"/>
    <col min="34" max="34" width="14.7109375" style="22" customWidth="1"/>
    <col min="35" max="35" width="26.7109375" style="22" customWidth="1"/>
    <col min="36" max="36" width="33.7109375" style="22" customWidth="1"/>
    <col min="37" max="37" width="14.7109375" style="22" customWidth="1"/>
    <col min="38" max="40" width="20.7109375" style="22" customWidth="1"/>
    <col min="41" max="42" width="19.7109375" style="22" customWidth="1"/>
    <col min="43" max="48" width="29.7109375" style="22" customWidth="1"/>
    <col min="49" max="49" width="32.7109375" style="22" customWidth="1"/>
    <col min="50" max="50" width="20.7109375" style="22" customWidth="1"/>
    <col min="51" max="51" width="26.7109375" style="22" customWidth="1"/>
    <col min="52" max="52" width="22.7109375" style="22" customWidth="1"/>
    <col min="53" max="53" width="32.7109375" style="22" customWidth="1"/>
    <col min="54" max="54" width="20.7109375" style="22" customWidth="1"/>
    <col min="55" max="55" width="26.7109375" style="22" customWidth="1"/>
    <col min="56" max="56" width="22.7109375" style="22" customWidth="1"/>
    <col min="57" max="57" width="32.7109375" style="22" customWidth="1"/>
    <col min="58" max="58" width="20.7109375" style="22" customWidth="1"/>
    <col min="59" max="59" width="26.7109375" style="22" customWidth="1"/>
    <col min="60" max="60" width="22.7109375" style="22" customWidth="1"/>
    <col min="61" max="61" width="17.7109375" style="22" customWidth="1"/>
    <col min="62" max="62" width="12.7109375" style="22" customWidth="1"/>
    <col min="63" max="63" width="17.7109375" style="22" customWidth="1"/>
    <col min="64" max="64" width="13.7109375" style="22" customWidth="1"/>
    <col min="65" max="65" width="24.7109375" style="22" customWidth="1"/>
    <col min="66" max="66" width="36.7109375" style="22" customWidth="1"/>
    <col min="67" max="67" width="13.7109375" style="22" customWidth="1"/>
    <col min="68" max="68" width="23.7109375" style="22" customWidth="1"/>
    <col min="69" max="69" width="43.7109375" style="22" customWidth="1"/>
    <col min="70" max="70" width="13.7109375" style="22" customWidth="1"/>
    <col min="71" max="71" width="30.7109375" style="22" customWidth="1"/>
    <col min="72" max="72" width="15.7109375" style="22" customWidth="1"/>
    <col min="73" max="73" width="27.7109375" style="22" customWidth="1"/>
    <col min="74" max="74" width="10.7109375" style="22" customWidth="1"/>
    <col min="75" max="75" width="36.7109375" style="22" customWidth="1"/>
    <col min="76" max="76" width="20.7109375" style="22" customWidth="1"/>
    <col min="77" max="77" width="29.7109375" style="22" customWidth="1"/>
    <col min="78" max="78" width="21.7109375" style="22" customWidth="1"/>
    <col min="79" max="79" width="14.7109375" style="22" customWidth="1"/>
    <col min="80" max="80" width="35.7109375" style="22" customWidth="1"/>
    <col min="81" max="81" width="33.7109375" style="22" customWidth="1"/>
    <col min="82" max="82" width="24.7109375" style="22" customWidth="1"/>
    <col min="83" max="83" width="31.7109375" style="22" customWidth="1"/>
    <col min="84" max="84" width="108.7109375" style="22" customWidth="1"/>
    <col min="85" max="85" width="64.7109375" style="22" customWidth="1"/>
    <col min="86" max="86" width="31.7109375" style="22" customWidth="1"/>
    <col min="87" max="87" width="27.7109375" style="22" customWidth="1"/>
    <col min="88" max="88" width="19.7109375" style="22" customWidth="1"/>
    <col min="89" max="89" width="79.7109375" style="22" customWidth="1"/>
    <col min="90" max="90" width="21.7109375" style="22" customWidth="1"/>
    <col min="91" max="92" width="15.7109375" style="22" customWidth="1"/>
    <col min="93" max="93" width="28.7109375" style="22" customWidth="1"/>
  </cols>
  <sheetData>
    <row r="1" spans="1:93" hidden="1">
      <c r="B1" s="22" t="s">
        <v>2221</v>
      </c>
      <c r="C1" s="22" t="s">
        <v>2225</v>
      </c>
      <c r="D1" s="22" t="s">
        <v>2229</v>
      </c>
      <c r="E1" s="22" t="s">
        <v>2233</v>
      </c>
      <c r="F1" s="22" t="s">
        <v>2236</v>
      </c>
      <c r="G1" s="22" t="s">
        <v>2239</v>
      </c>
      <c r="H1" s="22" t="s">
        <v>2242</v>
      </c>
      <c r="I1" s="22" t="s">
        <v>2245</v>
      </c>
      <c r="J1" s="22" t="s">
        <v>2248</v>
      </c>
      <c r="K1" s="22" t="s">
        <v>2251</v>
      </c>
      <c r="L1" s="22" t="s">
        <v>2254</v>
      </c>
      <c r="M1" s="22" t="s">
        <v>2257</v>
      </c>
      <c r="N1" s="22" t="s">
        <v>2254</v>
      </c>
      <c r="O1" s="22" t="s">
        <v>2257</v>
      </c>
      <c r="P1" s="22" t="s">
        <v>2254</v>
      </c>
      <c r="Q1" s="22" t="s">
        <v>2257</v>
      </c>
      <c r="R1" s="22" t="s">
        <v>2264</v>
      </c>
      <c r="S1" s="22" t="s">
        <v>2268</v>
      </c>
      <c r="T1" s="22" t="s">
        <v>2271</v>
      </c>
      <c r="U1" s="22" t="s">
        <v>2274</v>
      </c>
      <c r="V1" s="22" t="s">
        <v>2277</v>
      </c>
      <c r="W1" s="22" t="s">
        <v>2280</v>
      </c>
      <c r="X1" s="22" t="s">
        <v>2280</v>
      </c>
      <c r="Y1" s="22" t="s">
        <v>2280</v>
      </c>
      <c r="Z1" s="22" t="s">
        <v>2280</v>
      </c>
      <c r="AA1" s="22" t="s">
        <v>2280</v>
      </c>
      <c r="AB1" s="22" t="s">
        <v>2287</v>
      </c>
      <c r="AC1" s="22" t="s">
        <v>2291</v>
      </c>
      <c r="AD1" s="22" t="s">
        <v>2294</v>
      </c>
      <c r="AE1" s="22" t="s">
        <v>2297</v>
      </c>
      <c r="AF1" s="22" t="s">
        <v>2300</v>
      </c>
      <c r="AG1" s="22" t="s">
        <v>2303</v>
      </c>
      <c r="AH1" s="22" t="s">
        <v>2306</v>
      </c>
      <c r="AI1" s="22" t="s">
        <v>2309</v>
      </c>
      <c r="AJ1" s="22" t="s">
        <v>2312</v>
      </c>
      <c r="AK1" s="22" t="s">
        <v>2315</v>
      </c>
      <c r="AL1" s="22" t="s">
        <v>2318</v>
      </c>
      <c r="AM1" s="22" t="s">
        <v>2321</v>
      </c>
      <c r="AN1" s="22" t="s">
        <v>2324</v>
      </c>
      <c r="AO1" s="22" t="s">
        <v>2327</v>
      </c>
      <c r="AP1" s="22" t="s">
        <v>2330</v>
      </c>
      <c r="AQ1" s="22" t="s">
        <v>2333</v>
      </c>
      <c r="AR1" s="22" t="s">
        <v>2333</v>
      </c>
      <c r="AS1" s="22" t="s">
        <v>2333</v>
      </c>
      <c r="AT1" s="22" t="s">
        <v>2333</v>
      </c>
      <c r="AU1" s="22" t="s">
        <v>2333</v>
      </c>
      <c r="AV1" s="22" t="s">
        <v>2340</v>
      </c>
      <c r="AW1" s="22" t="s">
        <v>2343</v>
      </c>
      <c r="AX1" s="22" t="s">
        <v>2346</v>
      </c>
      <c r="AY1" s="22" t="s">
        <v>2350</v>
      </c>
      <c r="AZ1" s="22" t="s">
        <v>2354</v>
      </c>
      <c r="BA1" s="22" t="s">
        <v>2343</v>
      </c>
      <c r="BB1" s="22" t="s">
        <v>2346</v>
      </c>
      <c r="BC1" s="22" t="s">
        <v>2350</v>
      </c>
      <c r="BD1" s="22" t="s">
        <v>2354</v>
      </c>
      <c r="BE1" s="22" t="s">
        <v>2343</v>
      </c>
      <c r="BF1" s="22" t="s">
        <v>2346</v>
      </c>
      <c r="BG1" s="22" t="s">
        <v>2350</v>
      </c>
      <c r="BH1" s="22" t="s">
        <v>2354</v>
      </c>
      <c r="BI1" s="22" t="s">
        <v>2365</v>
      </c>
      <c r="BJ1" s="22" t="s">
        <v>2368</v>
      </c>
      <c r="BK1" s="22" t="s">
        <v>2372</v>
      </c>
      <c r="BL1" s="22" t="s">
        <v>2375</v>
      </c>
      <c r="BM1" s="22" t="s">
        <v>2379</v>
      </c>
      <c r="BN1" s="22" t="s">
        <v>2383</v>
      </c>
      <c r="BO1" s="22" t="s">
        <v>2386</v>
      </c>
      <c r="BP1" s="22" t="s">
        <v>2390</v>
      </c>
      <c r="BQ1" s="22" t="s">
        <v>2393</v>
      </c>
      <c r="BR1" s="22" t="s">
        <v>2397</v>
      </c>
      <c r="BS1" s="22" t="s">
        <v>2400</v>
      </c>
      <c r="BT1" s="22" t="s">
        <v>2403</v>
      </c>
      <c r="BU1" s="22" t="s">
        <v>2407</v>
      </c>
      <c r="BV1" s="22" t="s">
        <v>2411</v>
      </c>
      <c r="BW1" s="22" t="s">
        <v>2414</v>
      </c>
      <c r="BX1" s="22" t="s">
        <v>2417</v>
      </c>
      <c r="BY1" s="22" t="s">
        <v>2421</v>
      </c>
      <c r="BZ1" s="22" t="s">
        <v>2425</v>
      </c>
      <c r="CA1" s="22" t="s">
        <v>2429</v>
      </c>
      <c r="CB1" s="22" t="s">
        <v>2433</v>
      </c>
      <c r="CC1" s="22" t="s">
        <v>2436</v>
      </c>
      <c r="CD1" s="22" t="s">
        <v>2439</v>
      </c>
      <c r="CE1" s="22" t="s">
        <v>2442</v>
      </c>
      <c r="CF1" s="22" t="s">
        <v>2445</v>
      </c>
      <c r="CG1" s="22" t="s">
        <v>2448</v>
      </c>
      <c r="CH1" s="22" t="s">
        <v>2451</v>
      </c>
      <c r="CI1" s="22" t="s">
        <v>2454</v>
      </c>
      <c r="CJ1" s="22" t="s">
        <v>2458</v>
      </c>
      <c r="CK1" s="22" t="s">
        <v>2461</v>
      </c>
      <c r="CL1" s="22" t="s">
        <v>2464</v>
      </c>
      <c r="CM1" s="22" t="s">
        <v>2467</v>
      </c>
      <c r="CN1" s="22" t="s">
        <v>2470</v>
      </c>
      <c r="CO1" s="22" t="s">
        <v>2474</v>
      </c>
    </row>
    <row r="2" spans="1:93">
      <c r="B2" s="23" t="s">
        <v>2477</v>
      </c>
      <c r="J2" s="24" t="s">
        <v>2478</v>
      </c>
      <c r="R2" s="25" t="s">
        <v>2479</v>
      </c>
      <c r="V2" s="26" t="s">
        <v>2480</v>
      </c>
      <c r="AB2" s="27" t="s">
        <v>2481</v>
      </c>
      <c r="AM2" s="28" t="s">
        <v>2482</v>
      </c>
      <c r="AQ2" s="29" t="s">
        <v>2483</v>
      </c>
      <c r="BI2" s="30" t="s">
        <v>2484</v>
      </c>
      <c r="CL2" s="31" t="s">
        <v>2485</v>
      </c>
    </row>
    <row r="3" spans="1:93">
      <c r="B3" s="32" t="s">
        <v>58</v>
      </c>
      <c r="C3" s="32" t="s">
        <v>62</v>
      </c>
      <c r="D3" s="32" t="s">
        <v>58</v>
      </c>
      <c r="E3" s="32" t="s">
        <v>58</v>
      </c>
      <c r="F3" s="32" t="s">
        <v>60</v>
      </c>
      <c r="G3" s="32" t="s">
        <v>58</v>
      </c>
      <c r="H3" s="32" t="s">
        <v>62</v>
      </c>
      <c r="I3" s="32" t="s">
        <v>62</v>
      </c>
      <c r="J3" s="32" t="s">
        <v>58</v>
      </c>
      <c r="K3" s="32" t="s">
        <v>64</v>
      </c>
      <c r="L3" s="32" t="s">
        <v>60</v>
      </c>
      <c r="M3" s="32" t="s">
        <v>64</v>
      </c>
      <c r="N3" s="32" t="s">
        <v>60</v>
      </c>
      <c r="O3" s="32" t="s">
        <v>64</v>
      </c>
      <c r="P3" s="32" t="s">
        <v>60</v>
      </c>
      <c r="Q3" s="32" t="s">
        <v>64</v>
      </c>
      <c r="R3" s="32" t="s">
        <v>58</v>
      </c>
      <c r="S3" s="32" t="s">
        <v>62</v>
      </c>
      <c r="T3" s="32" t="s">
        <v>62</v>
      </c>
      <c r="U3" s="32" t="s">
        <v>62</v>
      </c>
      <c r="V3" s="32" t="s">
        <v>64</v>
      </c>
      <c r="W3" s="32" t="s">
        <v>64</v>
      </c>
      <c r="X3" s="32" t="s">
        <v>64</v>
      </c>
      <c r="Y3" s="32" t="s">
        <v>64</v>
      </c>
      <c r="Z3" s="32" t="s">
        <v>64</v>
      </c>
      <c r="AA3" s="32" t="s">
        <v>64</v>
      </c>
      <c r="AB3" s="32" t="s">
        <v>58</v>
      </c>
      <c r="AC3" s="32" t="s">
        <v>58</v>
      </c>
      <c r="AD3" s="32" t="s">
        <v>58</v>
      </c>
      <c r="AE3" s="32" t="s">
        <v>58</v>
      </c>
      <c r="AF3" s="32" t="s">
        <v>58</v>
      </c>
      <c r="AG3" s="32" t="s">
        <v>64</v>
      </c>
      <c r="AH3" s="32" t="s">
        <v>58</v>
      </c>
      <c r="AI3" s="32" t="s">
        <v>58</v>
      </c>
      <c r="AJ3" s="32" t="s">
        <v>62</v>
      </c>
      <c r="AK3" s="32" t="s">
        <v>62</v>
      </c>
      <c r="AL3" s="32" t="s">
        <v>62</v>
      </c>
      <c r="AM3" s="32" t="s">
        <v>58</v>
      </c>
      <c r="AN3" s="32" t="s">
        <v>58</v>
      </c>
      <c r="AO3" s="32" t="s">
        <v>58</v>
      </c>
      <c r="AP3" s="32" t="s">
        <v>58</v>
      </c>
      <c r="AQ3" s="32" t="s">
        <v>58</v>
      </c>
      <c r="AR3" s="32" t="s">
        <v>62</v>
      </c>
      <c r="AS3" s="32" t="s">
        <v>62</v>
      </c>
      <c r="AT3" s="32" t="s">
        <v>62</v>
      </c>
      <c r="AU3" s="32" t="s">
        <v>62</v>
      </c>
      <c r="AV3" s="32" t="s">
        <v>62</v>
      </c>
      <c r="AW3" s="32" t="s">
        <v>64</v>
      </c>
      <c r="AX3" s="32" t="s">
        <v>64</v>
      </c>
      <c r="AY3" s="32" t="s">
        <v>64</v>
      </c>
      <c r="AZ3" s="32" t="s">
        <v>64</v>
      </c>
      <c r="BA3" s="32" t="s">
        <v>64</v>
      </c>
      <c r="BB3" s="32" t="s">
        <v>64</v>
      </c>
      <c r="BC3" s="32" t="s">
        <v>64</v>
      </c>
      <c r="BD3" s="32" t="s">
        <v>64</v>
      </c>
      <c r="BE3" s="32" t="s">
        <v>64</v>
      </c>
      <c r="BF3" s="32" t="s">
        <v>64</v>
      </c>
      <c r="BG3" s="32" t="s">
        <v>64</v>
      </c>
      <c r="BH3" s="32" t="s">
        <v>64</v>
      </c>
      <c r="BI3" s="32" t="s">
        <v>58</v>
      </c>
      <c r="BJ3" s="32" t="s">
        <v>60</v>
      </c>
      <c r="BK3" s="32" t="s">
        <v>58</v>
      </c>
      <c r="BL3" s="32" t="s">
        <v>58</v>
      </c>
      <c r="BM3" s="32" t="s">
        <v>58</v>
      </c>
      <c r="BN3" s="32" t="s">
        <v>60</v>
      </c>
      <c r="BO3" s="32" t="s">
        <v>60</v>
      </c>
      <c r="BP3" s="32" t="s">
        <v>60</v>
      </c>
      <c r="BQ3" s="32" t="s">
        <v>62</v>
      </c>
      <c r="BR3" s="32" t="s">
        <v>58</v>
      </c>
      <c r="BS3" s="32" t="s">
        <v>60</v>
      </c>
      <c r="BT3" s="32" t="s">
        <v>60</v>
      </c>
      <c r="BU3" s="32" t="s">
        <v>60</v>
      </c>
      <c r="BV3" s="32" t="s">
        <v>58</v>
      </c>
      <c r="BW3" s="32" t="s">
        <v>60</v>
      </c>
      <c r="BX3" s="32" t="s">
        <v>58</v>
      </c>
      <c r="BY3" s="32" t="s">
        <v>60</v>
      </c>
      <c r="BZ3" s="32" t="s">
        <v>60</v>
      </c>
      <c r="CA3" s="32" t="s">
        <v>60</v>
      </c>
      <c r="CB3" s="32" t="s">
        <v>58</v>
      </c>
      <c r="CC3" s="32" t="s">
        <v>58</v>
      </c>
      <c r="CD3" s="32" t="s">
        <v>60</v>
      </c>
      <c r="CE3" s="32" t="s">
        <v>60</v>
      </c>
      <c r="CF3" s="32" t="s">
        <v>58</v>
      </c>
      <c r="CG3" s="32" t="s">
        <v>58</v>
      </c>
      <c r="CH3" s="32" t="s">
        <v>58</v>
      </c>
      <c r="CI3" s="32" t="s">
        <v>58</v>
      </c>
      <c r="CJ3" s="32" t="s">
        <v>60</v>
      </c>
      <c r="CK3" s="32" t="s">
        <v>60</v>
      </c>
      <c r="CL3" s="32" t="s">
        <v>58</v>
      </c>
      <c r="CM3" s="32" t="s">
        <v>64</v>
      </c>
      <c r="CN3" s="32" t="s">
        <v>64</v>
      </c>
      <c r="CO3" s="32" t="s">
        <v>58</v>
      </c>
    </row>
    <row r="4" spans="1:93" ht="50" customHeight="1">
      <c r="A4" s="19" t="s">
        <v>2218</v>
      </c>
      <c r="B4" s="19" t="s">
        <v>2222</v>
      </c>
      <c r="C4" s="19" t="s">
        <v>2226</v>
      </c>
      <c r="D4" s="19" t="s">
        <v>2230</v>
      </c>
      <c r="E4" s="19" t="s">
        <v>2234</v>
      </c>
      <c r="F4" s="19" t="s">
        <v>2237</v>
      </c>
      <c r="G4" s="19" t="s">
        <v>2240</v>
      </c>
      <c r="H4" s="19" t="s">
        <v>2243</v>
      </c>
      <c r="I4" s="19" t="s">
        <v>2246</v>
      </c>
      <c r="J4" s="19" t="s">
        <v>2249</v>
      </c>
      <c r="K4" s="19" t="s">
        <v>2252</v>
      </c>
      <c r="L4" s="19" t="s">
        <v>2255</v>
      </c>
      <c r="M4" s="19" t="s">
        <v>2258</v>
      </c>
      <c r="N4" s="19" t="s">
        <v>2260</v>
      </c>
      <c r="O4" s="19" t="s">
        <v>2261</v>
      </c>
      <c r="P4" s="19" t="s">
        <v>2262</v>
      </c>
      <c r="Q4" s="19" t="s">
        <v>2263</v>
      </c>
      <c r="R4" s="19" t="s">
        <v>2265</v>
      </c>
      <c r="S4" s="19" t="s">
        <v>2269</v>
      </c>
      <c r="T4" s="19" t="s">
        <v>2272</v>
      </c>
      <c r="U4" s="19" t="s">
        <v>2275</v>
      </c>
      <c r="V4" s="19" t="s">
        <v>2278</v>
      </c>
      <c r="W4" s="19" t="s">
        <v>2281</v>
      </c>
      <c r="X4" s="19" t="s">
        <v>2283</v>
      </c>
      <c r="Y4" s="19" t="s">
        <v>2284</v>
      </c>
      <c r="Z4" s="19" t="s">
        <v>2285</v>
      </c>
      <c r="AA4" s="19" t="s">
        <v>2286</v>
      </c>
      <c r="AB4" s="19" t="s">
        <v>2288</v>
      </c>
      <c r="AC4" s="19" t="s">
        <v>2292</v>
      </c>
      <c r="AD4" s="19" t="s">
        <v>2295</v>
      </c>
      <c r="AE4" s="19" t="s">
        <v>2298</v>
      </c>
      <c r="AF4" s="19" t="s">
        <v>2301</v>
      </c>
      <c r="AG4" s="19" t="s">
        <v>2304</v>
      </c>
      <c r="AH4" s="19" t="s">
        <v>2307</v>
      </c>
      <c r="AI4" s="19" t="s">
        <v>2310</v>
      </c>
      <c r="AJ4" s="19" t="s">
        <v>2313</v>
      </c>
      <c r="AK4" s="19" t="s">
        <v>2316</v>
      </c>
      <c r="AL4" s="19" t="s">
        <v>2319</v>
      </c>
      <c r="AM4" s="19" t="s">
        <v>2322</v>
      </c>
      <c r="AN4" s="19" t="s">
        <v>2325</v>
      </c>
      <c r="AO4" s="19" t="s">
        <v>2328</v>
      </c>
      <c r="AP4" s="19" t="s">
        <v>2331</v>
      </c>
      <c r="AQ4" s="19" t="s">
        <v>2334</v>
      </c>
      <c r="AR4" s="19" t="s">
        <v>2336</v>
      </c>
      <c r="AS4" s="19" t="s">
        <v>2337</v>
      </c>
      <c r="AT4" s="19" t="s">
        <v>2338</v>
      </c>
      <c r="AU4" s="19" t="s">
        <v>2339</v>
      </c>
      <c r="AV4" s="19" t="s">
        <v>2341</v>
      </c>
      <c r="AW4" s="19" t="s">
        <v>2344</v>
      </c>
      <c r="AX4" s="19" t="s">
        <v>2347</v>
      </c>
      <c r="AY4" s="19" t="s">
        <v>2351</v>
      </c>
      <c r="AZ4" s="19" t="s">
        <v>2355</v>
      </c>
      <c r="BA4" s="19" t="s">
        <v>2357</v>
      </c>
      <c r="BB4" s="19" t="s">
        <v>2358</v>
      </c>
      <c r="BC4" s="19" t="s">
        <v>2359</v>
      </c>
      <c r="BD4" s="19" t="s">
        <v>2360</v>
      </c>
      <c r="BE4" s="19" t="s">
        <v>2361</v>
      </c>
      <c r="BF4" s="19" t="s">
        <v>2362</v>
      </c>
      <c r="BG4" s="19" t="s">
        <v>2363</v>
      </c>
      <c r="BH4" s="19" t="s">
        <v>2364</v>
      </c>
      <c r="BI4" s="19" t="s">
        <v>2366</v>
      </c>
      <c r="BJ4" s="19" t="s">
        <v>2369</v>
      </c>
      <c r="BK4" s="19" t="s">
        <v>2373</v>
      </c>
      <c r="BL4" s="19" t="s">
        <v>2376</v>
      </c>
      <c r="BM4" s="19" t="s">
        <v>2380</v>
      </c>
      <c r="BN4" s="19" t="s">
        <v>2384</v>
      </c>
      <c r="BO4" s="19" t="s">
        <v>2387</v>
      </c>
      <c r="BP4" s="19" t="s">
        <v>2391</v>
      </c>
      <c r="BQ4" s="19" t="s">
        <v>2394</v>
      </c>
      <c r="BR4" s="19" t="s">
        <v>2398</v>
      </c>
      <c r="BS4" s="19" t="s">
        <v>2401</v>
      </c>
      <c r="BT4" s="19" t="s">
        <v>2404</v>
      </c>
      <c r="BU4" s="19" t="s">
        <v>2408</v>
      </c>
      <c r="BV4" s="19" t="s">
        <v>2200</v>
      </c>
      <c r="BW4" s="19" t="s">
        <v>2415</v>
      </c>
      <c r="BX4" s="19" t="s">
        <v>2418</v>
      </c>
      <c r="BY4" s="19" t="s">
        <v>2422</v>
      </c>
      <c r="BZ4" s="19" t="s">
        <v>2426</v>
      </c>
      <c r="CA4" s="19" t="s">
        <v>2430</v>
      </c>
      <c r="CB4" s="19" t="s">
        <v>2434</v>
      </c>
      <c r="CC4" s="19" t="s">
        <v>2437</v>
      </c>
      <c r="CD4" s="33" t="s">
        <v>2440</v>
      </c>
      <c r="CE4" s="34" t="s">
        <v>2443</v>
      </c>
      <c r="CF4" s="19" t="s">
        <v>2446</v>
      </c>
      <c r="CG4" s="19" t="s">
        <v>2449</v>
      </c>
      <c r="CH4" s="33" t="s">
        <v>2452</v>
      </c>
      <c r="CI4" s="34" t="s">
        <v>2455</v>
      </c>
      <c r="CJ4" s="19" t="s">
        <v>2459</v>
      </c>
      <c r="CK4" s="19" t="s">
        <v>2462</v>
      </c>
      <c r="CL4" s="19" t="s">
        <v>2465</v>
      </c>
      <c r="CM4" s="19" t="s">
        <v>2468</v>
      </c>
      <c r="CN4" s="19" t="s">
        <v>2471</v>
      </c>
      <c r="CO4" s="19" t="s">
        <v>2475</v>
      </c>
    </row>
    <row r="5" spans="1:93" ht="50" customHeight="1">
      <c r="A5" s="35" t="s">
        <v>2219</v>
      </c>
      <c r="B5" s="35" t="s">
        <v>2223</v>
      </c>
      <c r="C5" s="35" t="s">
        <v>2227</v>
      </c>
      <c r="D5" s="35" t="s">
        <v>2231</v>
      </c>
      <c r="E5" s="35" t="s">
        <v>2235</v>
      </c>
      <c r="F5" s="35" t="s">
        <v>2238</v>
      </c>
      <c r="G5" s="35" t="s">
        <v>2241</v>
      </c>
      <c r="H5" s="35" t="s">
        <v>2244</v>
      </c>
      <c r="I5" s="35" t="s">
        <v>2247</v>
      </c>
      <c r="J5" s="35" t="s">
        <v>2250</v>
      </c>
      <c r="K5" s="35" t="s">
        <v>2253</v>
      </c>
      <c r="L5" s="35" t="s">
        <v>2256</v>
      </c>
      <c r="M5" s="35" t="s">
        <v>2259</v>
      </c>
      <c r="N5" s="35" t="s">
        <v>2256</v>
      </c>
      <c r="O5" s="35" t="s">
        <v>2259</v>
      </c>
      <c r="P5" s="35" t="s">
        <v>2256</v>
      </c>
      <c r="Q5" s="35" t="s">
        <v>2259</v>
      </c>
      <c r="R5" s="35" t="s">
        <v>2266</v>
      </c>
      <c r="S5" s="35" t="s">
        <v>2270</v>
      </c>
      <c r="T5" s="35" t="s">
        <v>2273</v>
      </c>
      <c r="U5" s="35" t="s">
        <v>2276</v>
      </c>
      <c r="V5" s="35" t="s">
        <v>2279</v>
      </c>
      <c r="W5" s="35" t="s">
        <v>2282</v>
      </c>
      <c r="X5" s="35" t="s">
        <v>2282</v>
      </c>
      <c r="Y5" s="35" t="s">
        <v>2282</v>
      </c>
      <c r="Z5" s="35" t="s">
        <v>2282</v>
      </c>
      <c r="AA5" s="35" t="s">
        <v>2282</v>
      </c>
      <c r="AB5" s="35" t="s">
        <v>2289</v>
      </c>
      <c r="AC5" s="35" t="s">
        <v>2293</v>
      </c>
      <c r="AD5" s="35" t="s">
        <v>2296</v>
      </c>
      <c r="AE5" s="35" t="s">
        <v>2299</v>
      </c>
      <c r="AF5" s="35" t="s">
        <v>2302</v>
      </c>
      <c r="AG5" s="35" t="s">
        <v>2305</v>
      </c>
      <c r="AH5" s="35" t="s">
        <v>2308</v>
      </c>
      <c r="AI5" s="35" t="s">
        <v>2311</v>
      </c>
      <c r="AJ5" s="35" t="s">
        <v>2314</v>
      </c>
      <c r="AK5" s="35" t="s">
        <v>2317</v>
      </c>
      <c r="AL5" s="35" t="s">
        <v>2320</v>
      </c>
      <c r="AM5" s="35" t="s">
        <v>2323</v>
      </c>
      <c r="AN5" s="35" t="s">
        <v>2326</v>
      </c>
      <c r="AO5" s="35" t="s">
        <v>2329</v>
      </c>
      <c r="AP5" s="35" t="s">
        <v>2332</v>
      </c>
      <c r="AQ5" s="35" t="s">
        <v>2335</v>
      </c>
      <c r="AR5" s="35" t="s">
        <v>2335</v>
      </c>
      <c r="AS5" s="35" t="s">
        <v>2335</v>
      </c>
      <c r="AT5" s="35" t="s">
        <v>2335</v>
      </c>
      <c r="AU5" s="35" t="s">
        <v>2335</v>
      </c>
      <c r="AV5" s="35" t="s">
        <v>2342</v>
      </c>
      <c r="AW5" s="35" t="s">
        <v>2345</v>
      </c>
      <c r="AX5" s="35" t="s">
        <v>2348</v>
      </c>
      <c r="AY5" s="35" t="s">
        <v>2352</v>
      </c>
      <c r="AZ5" s="35" t="s">
        <v>2356</v>
      </c>
      <c r="BA5" s="35" t="s">
        <v>2345</v>
      </c>
      <c r="BB5" s="35" t="s">
        <v>2348</v>
      </c>
      <c r="BC5" s="35" t="s">
        <v>2352</v>
      </c>
      <c r="BD5" s="35" t="s">
        <v>2356</v>
      </c>
      <c r="BE5" s="35" t="s">
        <v>2345</v>
      </c>
      <c r="BF5" s="35" t="s">
        <v>2348</v>
      </c>
      <c r="BG5" s="35" t="s">
        <v>2352</v>
      </c>
      <c r="BH5" s="35" t="s">
        <v>2356</v>
      </c>
      <c r="BI5" s="35" t="s">
        <v>2367</v>
      </c>
      <c r="BJ5" s="35" t="s">
        <v>2370</v>
      </c>
      <c r="BK5" s="35" t="s">
        <v>2374</v>
      </c>
      <c r="BL5" s="35" t="s">
        <v>2377</v>
      </c>
      <c r="BM5" s="35" t="s">
        <v>2381</v>
      </c>
      <c r="BN5" s="35" t="s">
        <v>2385</v>
      </c>
      <c r="BO5" s="35" t="s">
        <v>2388</v>
      </c>
      <c r="BP5" s="35" t="s">
        <v>2392</v>
      </c>
      <c r="BQ5" s="35" t="s">
        <v>2395</v>
      </c>
      <c r="BR5" s="35" t="s">
        <v>2399</v>
      </c>
      <c r="BS5" s="35" t="s">
        <v>2402</v>
      </c>
      <c r="BT5" s="35" t="s">
        <v>2405</v>
      </c>
      <c r="BU5" s="35" t="s">
        <v>2409</v>
      </c>
      <c r="BV5" s="35" t="s">
        <v>2412</v>
      </c>
      <c r="BW5" s="35" t="s">
        <v>2416</v>
      </c>
      <c r="BX5" s="35" t="s">
        <v>2419</v>
      </c>
      <c r="BY5" s="35" t="s">
        <v>2423</v>
      </c>
      <c r="BZ5" s="35" t="s">
        <v>2427</v>
      </c>
      <c r="CA5" s="35" t="s">
        <v>2431</v>
      </c>
      <c r="CB5" s="35" t="s">
        <v>2435</v>
      </c>
      <c r="CC5" s="35" t="s">
        <v>2438</v>
      </c>
      <c r="CD5" s="35" t="s">
        <v>2441</v>
      </c>
      <c r="CE5" s="35" t="s">
        <v>2444</v>
      </c>
      <c r="CF5" s="35" t="s">
        <v>2447</v>
      </c>
      <c r="CG5" s="35" t="s">
        <v>2450</v>
      </c>
      <c r="CH5" s="35" t="s">
        <v>2453</v>
      </c>
      <c r="CI5" s="35" t="s">
        <v>2456</v>
      </c>
      <c r="CJ5" s="35" t="s">
        <v>2460</v>
      </c>
      <c r="CK5" s="35" t="s">
        <v>2463</v>
      </c>
      <c r="CL5" s="35" t="s">
        <v>2466</v>
      </c>
      <c r="CM5" s="35" t="s">
        <v>2469</v>
      </c>
      <c r="CN5" s="35" t="s">
        <v>2472</v>
      </c>
      <c r="CO5" s="35" t="s">
        <v>2476</v>
      </c>
    </row>
    <row r="6" spans="1:93" ht="50" customHeight="1">
      <c r="A6" s="35" t="s">
        <v>2220</v>
      </c>
      <c r="B6" s="35" t="s">
        <v>67</v>
      </c>
      <c r="C6" s="35" t="s">
        <v>67</v>
      </c>
      <c r="D6" s="36" t="s">
        <v>2232</v>
      </c>
      <c r="E6" s="35" t="s">
        <v>67</v>
      </c>
      <c r="F6" s="35" t="s">
        <v>67</v>
      </c>
      <c r="G6" s="35" t="s">
        <v>67</v>
      </c>
      <c r="H6" s="35" t="s">
        <v>67</v>
      </c>
      <c r="I6" s="35" t="s">
        <v>67</v>
      </c>
      <c r="J6" s="36" t="s">
        <v>2232</v>
      </c>
      <c r="K6" s="35" t="s">
        <v>67</v>
      </c>
      <c r="L6" s="36" t="s">
        <v>2232</v>
      </c>
      <c r="M6" s="35" t="s">
        <v>67</v>
      </c>
      <c r="N6" s="36" t="s">
        <v>2232</v>
      </c>
      <c r="O6" s="35" t="s">
        <v>67</v>
      </c>
      <c r="P6" s="36" t="s">
        <v>2232</v>
      </c>
      <c r="Q6" s="35" t="s">
        <v>67</v>
      </c>
      <c r="R6" s="35" t="s">
        <v>2267</v>
      </c>
      <c r="S6" s="35" t="s">
        <v>2267</v>
      </c>
      <c r="T6" s="35" t="s">
        <v>2267</v>
      </c>
      <c r="U6" s="35" t="s">
        <v>2267</v>
      </c>
      <c r="V6" s="35" t="s">
        <v>67</v>
      </c>
      <c r="W6" s="35" t="s">
        <v>67</v>
      </c>
      <c r="X6" s="35" t="s">
        <v>67</v>
      </c>
      <c r="Y6" s="35" t="s">
        <v>67</v>
      </c>
      <c r="Z6" s="35" t="s">
        <v>67</v>
      </c>
      <c r="AA6" s="35" t="s">
        <v>67</v>
      </c>
      <c r="AB6" s="35" t="s">
        <v>2290</v>
      </c>
      <c r="AC6" s="35" t="s">
        <v>2290</v>
      </c>
      <c r="AD6" s="35" t="s">
        <v>2290</v>
      </c>
      <c r="AE6" s="35" t="s">
        <v>2267</v>
      </c>
      <c r="AF6" s="36" t="s">
        <v>2232</v>
      </c>
      <c r="AG6" s="36" t="s">
        <v>2232</v>
      </c>
      <c r="AH6" s="36" t="s">
        <v>2232</v>
      </c>
      <c r="AI6" s="36" t="s">
        <v>2232</v>
      </c>
      <c r="AJ6" s="35" t="s">
        <v>67</v>
      </c>
      <c r="AK6" s="35" t="s">
        <v>77</v>
      </c>
      <c r="AL6" s="35" t="s">
        <v>77</v>
      </c>
      <c r="AM6" s="35" t="s">
        <v>2267</v>
      </c>
      <c r="AN6" s="35" t="s">
        <v>2267</v>
      </c>
      <c r="AO6" s="35" t="s">
        <v>2267</v>
      </c>
      <c r="AP6" s="35" t="s">
        <v>2267</v>
      </c>
      <c r="AQ6" s="35" t="s">
        <v>67</v>
      </c>
      <c r="AR6" s="35" t="s">
        <v>67</v>
      </c>
      <c r="AS6" s="35" t="s">
        <v>67</v>
      </c>
      <c r="AT6" s="35" t="s">
        <v>67</v>
      </c>
      <c r="AU6" s="35" t="s">
        <v>67</v>
      </c>
      <c r="AV6" s="35" t="s">
        <v>67</v>
      </c>
      <c r="AW6" s="35" t="s">
        <v>67</v>
      </c>
      <c r="AX6" s="36" t="s">
        <v>2349</v>
      </c>
      <c r="AY6" s="36" t="s">
        <v>3108</v>
      </c>
      <c r="AZ6" s="36" t="s">
        <v>2232</v>
      </c>
      <c r="BA6" s="35" t="s">
        <v>67</v>
      </c>
      <c r="BB6" s="36" t="s">
        <v>2349</v>
      </c>
      <c r="BC6" s="36" t="s">
        <v>3108</v>
      </c>
      <c r="BD6" s="36" t="s">
        <v>2232</v>
      </c>
      <c r="BE6" s="35" t="s">
        <v>67</v>
      </c>
      <c r="BF6" s="36" t="s">
        <v>2349</v>
      </c>
      <c r="BG6" s="36" t="s">
        <v>3108</v>
      </c>
      <c r="BH6" s="36" t="s">
        <v>2232</v>
      </c>
      <c r="BI6" s="36" t="s">
        <v>2232</v>
      </c>
      <c r="BJ6" s="36" t="s">
        <v>2371</v>
      </c>
      <c r="BK6" s="36" t="s">
        <v>2232</v>
      </c>
      <c r="BL6" s="36" t="s">
        <v>3358</v>
      </c>
      <c r="BM6" s="36" t="s">
        <v>2382</v>
      </c>
      <c r="BN6" s="35" t="s">
        <v>77</v>
      </c>
      <c r="BO6" s="36" t="s">
        <v>2389</v>
      </c>
      <c r="BP6" s="36" t="s">
        <v>2232</v>
      </c>
      <c r="BQ6" s="36" t="s">
        <v>2396</v>
      </c>
      <c r="BR6" s="35" t="s">
        <v>77</v>
      </c>
      <c r="BS6" s="36" t="s">
        <v>2232</v>
      </c>
      <c r="BT6" s="36" t="s">
        <v>2406</v>
      </c>
      <c r="BU6" s="36" t="s">
        <v>2410</v>
      </c>
      <c r="BV6" s="36" t="s">
        <v>2413</v>
      </c>
      <c r="BW6" s="35" t="s">
        <v>2290</v>
      </c>
      <c r="BX6" s="36" t="s">
        <v>2420</v>
      </c>
      <c r="BY6" s="36" t="s">
        <v>3645</v>
      </c>
      <c r="BZ6" s="36" t="s">
        <v>2428</v>
      </c>
      <c r="CA6" s="36" t="s">
        <v>2432</v>
      </c>
      <c r="CB6" s="35" t="s">
        <v>2267</v>
      </c>
      <c r="CC6" s="35" t="s">
        <v>2267</v>
      </c>
      <c r="CD6" s="35" t="s">
        <v>77</v>
      </c>
      <c r="CE6" s="36" t="s">
        <v>2232</v>
      </c>
      <c r="CF6" s="36" t="s">
        <v>2232</v>
      </c>
      <c r="CG6" s="36" t="s">
        <v>2232</v>
      </c>
      <c r="CH6" s="35" t="s">
        <v>77</v>
      </c>
      <c r="CI6" s="36" t="s">
        <v>2457</v>
      </c>
      <c r="CJ6" s="36" t="s">
        <v>2232</v>
      </c>
      <c r="CK6" s="35" t="s">
        <v>77</v>
      </c>
      <c r="CL6" s="35" t="s">
        <v>77</v>
      </c>
      <c r="CM6" s="36" t="s">
        <v>2232</v>
      </c>
      <c r="CN6" s="36" t="s">
        <v>2473</v>
      </c>
      <c r="CO6" s="36" t="s">
        <v>2232</v>
      </c>
    </row>
    <row r="7" spans="1:93">
      <c r="B7" s="37" t="s">
        <v>2224</v>
      </c>
      <c r="C7" s="37" t="s">
        <v>2228</v>
      </c>
      <c r="D7" s="38"/>
      <c r="E7" s="37" t="s">
        <v>2228</v>
      </c>
      <c r="F7" s="37" t="s">
        <v>2228</v>
      </c>
      <c r="G7" s="37" t="s">
        <v>2228</v>
      </c>
      <c r="H7" s="38"/>
      <c r="I7" s="37" t="s">
        <v>2228</v>
      </c>
      <c r="J7" s="37" t="s">
        <v>2228</v>
      </c>
      <c r="K7" s="37" t="s">
        <v>2228</v>
      </c>
      <c r="L7" s="37" t="s">
        <v>2228</v>
      </c>
      <c r="M7" s="37" t="s">
        <v>2228</v>
      </c>
      <c r="N7" s="37" t="s">
        <v>2228</v>
      </c>
      <c r="O7" s="37" t="s">
        <v>2228</v>
      </c>
      <c r="P7" s="37" t="s">
        <v>2228</v>
      </c>
      <c r="Q7" s="37" t="s">
        <v>2228</v>
      </c>
      <c r="R7" s="37" t="s">
        <v>2228</v>
      </c>
      <c r="S7" s="38"/>
      <c r="T7" s="38"/>
      <c r="U7" s="38"/>
      <c r="V7" s="38"/>
      <c r="W7" s="38"/>
      <c r="X7" s="38"/>
      <c r="Y7" s="38"/>
      <c r="Z7" s="38"/>
      <c r="AA7" s="38"/>
      <c r="AB7" s="38"/>
      <c r="AC7" s="38"/>
      <c r="AD7" s="38"/>
      <c r="AE7" s="38"/>
      <c r="AF7" s="38"/>
      <c r="AG7" s="38"/>
      <c r="AH7" s="38"/>
      <c r="AI7" s="38"/>
      <c r="AJ7" s="38"/>
      <c r="AK7" s="38"/>
      <c r="AL7" s="38"/>
      <c r="AM7" s="38"/>
      <c r="AN7" s="38"/>
      <c r="AO7" s="38"/>
      <c r="AP7" s="38"/>
      <c r="AQ7" s="37" t="s">
        <v>2228</v>
      </c>
      <c r="AR7" s="37" t="s">
        <v>2228</v>
      </c>
      <c r="AS7" s="37" t="s">
        <v>2228</v>
      </c>
      <c r="AT7" s="37" t="s">
        <v>2228</v>
      </c>
      <c r="AU7" s="37" t="s">
        <v>2228</v>
      </c>
      <c r="AV7" s="37" t="s">
        <v>2228</v>
      </c>
      <c r="AW7" s="38"/>
      <c r="AX7" s="38"/>
      <c r="AY7" s="38"/>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c r="CM7" s="38"/>
      <c r="CN7" s="38"/>
      <c r="CO7" s="38"/>
    </row>
    <row r="8" spans="1:93">
      <c r="A8" s="39">
        <f>IF('3757 - Wall Stickers'!B8 = "", "", IF('3757 - Wall Stickers-WUO_ERR'!A8 = "", "Validated", HYPERLINK("#" &amp; ADDRESS(8, '3757 - Wall Stickers-WUO_TRK'!A8),_xlfn.TEXTAFTER('3757 - Wall Stickers-WUO_ERR'!A8, ":"))))</f>
        <v>0</v>
      </c>
    </row>
    <row r="9" spans="1:93">
      <c r="A9" s="39">
        <f>IF('3757 - Wall Stickers'!B9 = "", "", IF('3757 - Wall Stickers-WUO_ERR'!A9 = "", "Validated", HYPERLINK("#" &amp; ADDRESS(9, '3757 - Wall Stickers-WUO_TRK'!A9),_xlfn.TEXTAFTER('3757 - Wall Stickers-WUO_ERR'!A9, ":"))))</f>
        <v>0</v>
      </c>
    </row>
    <row r="10" spans="1:93">
      <c r="A10" s="39">
        <f>IF('3757 - Wall Stickers'!B10 = "", "", IF('3757 - Wall Stickers-WUO_ERR'!A10 = "", "Validated", HYPERLINK("#" &amp; ADDRESS(10, '3757 - Wall Stickers-WUO_TRK'!A10),_xlfn.TEXTAFTER('3757 - Wall Stickers-WUO_ERR'!A10, ":"))))</f>
        <v>0</v>
      </c>
    </row>
    <row r="11" spans="1:93">
      <c r="A11" s="39">
        <f>IF('3757 - Wall Stickers'!B11 = "", "", IF('3757 - Wall Stickers-WUO_ERR'!A11 = "", "Validated", HYPERLINK("#" &amp; ADDRESS(11, '3757 - Wall Stickers-WUO_TRK'!A11),_xlfn.TEXTAFTER('3757 - Wall Stickers-WUO_ERR'!A11, ":"))))</f>
        <v>0</v>
      </c>
    </row>
    <row r="12" spans="1:93">
      <c r="A12" s="39">
        <f>IF('3757 - Wall Stickers'!B12 = "", "", IF('3757 - Wall Stickers-WUO_ERR'!A12 = "", "Validated", HYPERLINK("#" &amp; ADDRESS(12, '3757 - Wall Stickers-WUO_TRK'!A12),_xlfn.TEXTAFTER('3757 - Wall Stickers-WUO_ERR'!A12, ":"))))</f>
        <v>0</v>
      </c>
    </row>
    <row r="13" spans="1:93">
      <c r="A13" s="39">
        <f>IF('3757 - Wall Stickers'!B13 = "", "", IF('3757 - Wall Stickers-WUO_ERR'!A13 = "", "Validated", HYPERLINK("#" &amp; ADDRESS(13, '3757 - Wall Stickers-WUO_TRK'!A13),_xlfn.TEXTAFTER('3757 - Wall Stickers-WUO_ERR'!A13, ":"))))</f>
        <v>0</v>
      </c>
    </row>
    <row r="14" spans="1:93">
      <c r="A14" s="39">
        <f>IF('3757 - Wall Stickers'!B14 = "", "", IF('3757 - Wall Stickers-WUO_ERR'!A14 = "", "Validated", HYPERLINK("#" &amp; ADDRESS(14, '3757 - Wall Stickers-WUO_TRK'!A14),_xlfn.TEXTAFTER('3757 - Wall Stickers-WUO_ERR'!A14, ":"))))</f>
        <v>0</v>
      </c>
    </row>
    <row r="15" spans="1:93">
      <c r="A15" s="39">
        <f>IF('3757 - Wall Stickers'!B15 = "", "", IF('3757 - Wall Stickers-WUO_ERR'!A15 = "", "Validated", HYPERLINK("#" &amp; ADDRESS(15, '3757 - Wall Stickers-WUO_TRK'!A15),_xlfn.TEXTAFTER('3757 - Wall Stickers-WUO_ERR'!A15, ":"))))</f>
        <v>0</v>
      </c>
    </row>
    <row r="16" spans="1:93">
      <c r="A16" s="39">
        <f>IF('3757 - Wall Stickers'!B16 = "", "", IF('3757 - Wall Stickers-WUO_ERR'!A16 = "", "Validated", HYPERLINK("#" &amp; ADDRESS(16, '3757 - Wall Stickers-WUO_TRK'!A16),_xlfn.TEXTAFTER('3757 - Wall Stickers-WUO_ERR'!A16, ":"))))</f>
        <v>0</v>
      </c>
    </row>
    <row r="17" spans="1:1">
      <c r="A17" s="39">
        <f>IF('3757 - Wall Stickers'!B17 = "", "", IF('3757 - Wall Stickers-WUO_ERR'!A17 = "", "Validated", HYPERLINK("#" &amp; ADDRESS(17, '3757 - Wall Stickers-WUO_TRK'!A17),_xlfn.TEXTAFTER('3757 - Wall Stickers-WUO_ERR'!A17, ":"))))</f>
        <v>0</v>
      </c>
    </row>
    <row r="18" spans="1:1">
      <c r="A18" s="39">
        <f>IF('3757 - Wall Stickers'!B18 = "", "", IF('3757 - Wall Stickers-WUO_ERR'!A18 = "", "Validated", HYPERLINK("#" &amp; ADDRESS(18, '3757 - Wall Stickers-WUO_TRK'!A18),_xlfn.TEXTAFTER('3757 - Wall Stickers-WUO_ERR'!A18, ":"))))</f>
        <v>0</v>
      </c>
    </row>
    <row r="19" spans="1:1">
      <c r="A19" s="39">
        <f>IF('3757 - Wall Stickers'!B19 = "", "", IF('3757 - Wall Stickers-WUO_ERR'!A19 = "", "Validated", HYPERLINK("#" &amp; ADDRESS(19, '3757 - Wall Stickers-WUO_TRK'!A19),_xlfn.TEXTAFTER('3757 - Wall Stickers-WUO_ERR'!A19, ":"))))</f>
        <v>0</v>
      </c>
    </row>
    <row r="20" spans="1:1">
      <c r="A20" s="39">
        <f>IF('3757 - Wall Stickers'!B20 = "", "", IF('3757 - Wall Stickers-WUO_ERR'!A20 = "", "Validated", HYPERLINK("#" &amp; ADDRESS(20, '3757 - Wall Stickers-WUO_TRK'!A20),_xlfn.TEXTAFTER('3757 - Wall Stickers-WUO_ERR'!A20, ":"))))</f>
        <v>0</v>
      </c>
    </row>
    <row r="21" spans="1:1">
      <c r="A21" s="39">
        <f>IF('3757 - Wall Stickers'!B21 = "", "", IF('3757 - Wall Stickers-WUO_ERR'!A21 = "", "Validated", HYPERLINK("#" &amp; ADDRESS(21, '3757 - Wall Stickers-WUO_TRK'!A21),_xlfn.TEXTAFTER('3757 - Wall Stickers-WUO_ERR'!A21, ":"))))</f>
        <v>0</v>
      </c>
    </row>
    <row r="22" spans="1:1">
      <c r="A22" s="39">
        <f>IF('3757 - Wall Stickers'!B22 = "", "", IF('3757 - Wall Stickers-WUO_ERR'!A22 = "", "Validated", HYPERLINK("#" &amp; ADDRESS(22, '3757 - Wall Stickers-WUO_TRK'!A22),_xlfn.TEXTAFTER('3757 - Wall Stickers-WUO_ERR'!A22, ":"))))</f>
        <v>0</v>
      </c>
    </row>
    <row r="23" spans="1:1">
      <c r="A23" s="39">
        <f>IF('3757 - Wall Stickers'!B23 = "", "", IF('3757 - Wall Stickers-WUO_ERR'!A23 = "", "Validated", HYPERLINK("#" &amp; ADDRESS(23, '3757 - Wall Stickers-WUO_TRK'!A23),_xlfn.TEXTAFTER('3757 - Wall Stickers-WUO_ERR'!A23, ":"))))</f>
        <v>0</v>
      </c>
    </row>
    <row r="24" spans="1:1">
      <c r="A24" s="39">
        <f>IF('3757 - Wall Stickers'!B24 = "", "", IF('3757 - Wall Stickers-WUO_ERR'!A24 = "", "Validated", HYPERLINK("#" &amp; ADDRESS(24, '3757 - Wall Stickers-WUO_TRK'!A24),_xlfn.TEXTAFTER('3757 - Wall Stickers-WUO_ERR'!A24, ":"))))</f>
        <v>0</v>
      </c>
    </row>
    <row r="25" spans="1:1">
      <c r="A25" s="39">
        <f>IF('3757 - Wall Stickers'!B25 = "", "", IF('3757 - Wall Stickers-WUO_ERR'!A25 = "", "Validated", HYPERLINK("#" &amp; ADDRESS(25, '3757 - Wall Stickers-WUO_TRK'!A25),_xlfn.TEXTAFTER('3757 - Wall Stickers-WUO_ERR'!A25, ":"))))</f>
        <v>0</v>
      </c>
    </row>
    <row r="26" spans="1:1">
      <c r="A26" s="39">
        <f>IF('3757 - Wall Stickers'!B26 = "", "", IF('3757 - Wall Stickers-WUO_ERR'!A26 = "", "Validated", HYPERLINK("#" &amp; ADDRESS(26, '3757 - Wall Stickers-WUO_TRK'!A26),_xlfn.TEXTAFTER('3757 - Wall Stickers-WUO_ERR'!A26, ":"))))</f>
        <v>0</v>
      </c>
    </row>
    <row r="27" spans="1:1">
      <c r="A27" s="39">
        <f>IF('3757 - Wall Stickers'!B27 = "", "", IF('3757 - Wall Stickers-WUO_ERR'!A27 = "", "Validated", HYPERLINK("#" &amp; ADDRESS(27, '3757 - Wall Stickers-WUO_TRK'!A27),_xlfn.TEXTAFTER('3757 - Wall Stickers-WUO_ERR'!A27, ":"))))</f>
        <v>0</v>
      </c>
    </row>
    <row r="28" spans="1:1">
      <c r="A28" s="39">
        <f>IF('3757 - Wall Stickers'!B28 = "", "", IF('3757 - Wall Stickers-WUO_ERR'!A28 = "", "Validated", HYPERLINK("#" &amp; ADDRESS(28, '3757 - Wall Stickers-WUO_TRK'!A28),_xlfn.TEXTAFTER('3757 - Wall Stickers-WUO_ERR'!A28, ":"))))</f>
        <v>0</v>
      </c>
    </row>
    <row r="29" spans="1:1">
      <c r="A29" s="39">
        <f>IF('3757 - Wall Stickers'!B29 = "", "", IF('3757 - Wall Stickers-WUO_ERR'!A29 = "", "Validated", HYPERLINK("#" &amp; ADDRESS(29, '3757 - Wall Stickers-WUO_TRK'!A29),_xlfn.TEXTAFTER('3757 - Wall Stickers-WUO_ERR'!A29, ":"))))</f>
        <v>0</v>
      </c>
    </row>
    <row r="30" spans="1:1">
      <c r="A30" s="39">
        <f>IF('3757 - Wall Stickers'!B30 = "", "", IF('3757 - Wall Stickers-WUO_ERR'!A30 = "", "Validated", HYPERLINK("#" &amp; ADDRESS(30, '3757 - Wall Stickers-WUO_TRK'!A30),_xlfn.TEXTAFTER('3757 - Wall Stickers-WUO_ERR'!A30, ":"))))</f>
        <v>0</v>
      </c>
    </row>
    <row r="31" spans="1:1">
      <c r="A31" s="39">
        <f>IF('3757 - Wall Stickers'!B31 = "", "", IF('3757 - Wall Stickers-WUO_ERR'!A31 = "", "Validated", HYPERLINK("#" &amp; ADDRESS(31, '3757 - Wall Stickers-WUO_TRK'!A31),_xlfn.TEXTAFTER('3757 - Wall Stickers-WUO_ERR'!A31, ":"))))</f>
        <v>0</v>
      </c>
    </row>
    <row r="32" spans="1:1">
      <c r="A32" s="39">
        <f>IF('3757 - Wall Stickers'!B32 = "", "", IF('3757 - Wall Stickers-WUO_ERR'!A32 = "", "Validated", HYPERLINK("#" &amp; ADDRESS(32, '3757 - Wall Stickers-WUO_TRK'!A32),_xlfn.TEXTAFTER('3757 - Wall Stickers-WUO_ERR'!A32, ":"))))</f>
        <v>0</v>
      </c>
    </row>
    <row r="33" spans="1:1">
      <c r="A33" s="39">
        <f>IF('3757 - Wall Stickers'!B33 = "", "", IF('3757 - Wall Stickers-WUO_ERR'!A33 = "", "Validated", HYPERLINK("#" &amp; ADDRESS(33, '3757 - Wall Stickers-WUO_TRK'!A33),_xlfn.TEXTAFTER('3757 - Wall Stickers-WUO_ERR'!A33, ":"))))</f>
        <v>0</v>
      </c>
    </row>
    <row r="34" spans="1:1">
      <c r="A34" s="39">
        <f>IF('3757 - Wall Stickers'!B34 = "", "", IF('3757 - Wall Stickers-WUO_ERR'!A34 = "", "Validated", HYPERLINK("#" &amp; ADDRESS(34, '3757 - Wall Stickers-WUO_TRK'!A34),_xlfn.TEXTAFTER('3757 - Wall Stickers-WUO_ERR'!A34, ":"))))</f>
        <v>0</v>
      </c>
    </row>
    <row r="35" spans="1:1">
      <c r="A35" s="39">
        <f>IF('3757 - Wall Stickers'!B35 = "", "", IF('3757 - Wall Stickers-WUO_ERR'!A35 = "", "Validated", HYPERLINK("#" &amp; ADDRESS(35, '3757 - Wall Stickers-WUO_TRK'!A35),_xlfn.TEXTAFTER('3757 - Wall Stickers-WUO_ERR'!A35, ":"))))</f>
        <v>0</v>
      </c>
    </row>
    <row r="36" spans="1:1">
      <c r="A36" s="39">
        <f>IF('3757 - Wall Stickers'!B36 = "", "", IF('3757 - Wall Stickers-WUO_ERR'!A36 = "", "Validated", HYPERLINK("#" &amp; ADDRESS(36, '3757 - Wall Stickers-WUO_TRK'!A36),_xlfn.TEXTAFTER('3757 - Wall Stickers-WUO_ERR'!A36, ":"))))</f>
        <v>0</v>
      </c>
    </row>
    <row r="37" spans="1:1">
      <c r="A37" s="39">
        <f>IF('3757 - Wall Stickers'!B37 = "", "", IF('3757 - Wall Stickers-WUO_ERR'!A37 = "", "Validated", HYPERLINK("#" &amp; ADDRESS(37, '3757 - Wall Stickers-WUO_TRK'!A37),_xlfn.TEXTAFTER('3757 - Wall Stickers-WUO_ERR'!A37, ":"))))</f>
        <v>0</v>
      </c>
    </row>
    <row r="38" spans="1:1">
      <c r="A38" s="39">
        <f>IF('3757 - Wall Stickers'!B38 = "", "", IF('3757 - Wall Stickers-WUO_ERR'!A38 = "", "Validated", HYPERLINK("#" &amp; ADDRESS(38, '3757 - Wall Stickers-WUO_TRK'!A38),_xlfn.TEXTAFTER('3757 - Wall Stickers-WUO_ERR'!A38, ":"))))</f>
        <v>0</v>
      </c>
    </row>
    <row r="39" spans="1:1">
      <c r="A39" s="39">
        <f>IF('3757 - Wall Stickers'!B39 = "", "", IF('3757 - Wall Stickers-WUO_ERR'!A39 = "", "Validated", HYPERLINK("#" &amp; ADDRESS(39, '3757 - Wall Stickers-WUO_TRK'!A39),_xlfn.TEXTAFTER('3757 - Wall Stickers-WUO_ERR'!A39, ":"))))</f>
        <v>0</v>
      </c>
    </row>
    <row r="40" spans="1:1">
      <c r="A40" s="39">
        <f>IF('3757 - Wall Stickers'!B40 = "", "", IF('3757 - Wall Stickers-WUO_ERR'!A40 = "", "Validated", HYPERLINK("#" &amp; ADDRESS(40, '3757 - Wall Stickers-WUO_TRK'!A40),_xlfn.TEXTAFTER('3757 - Wall Stickers-WUO_ERR'!A40, ":"))))</f>
        <v>0</v>
      </c>
    </row>
    <row r="41" spans="1:1">
      <c r="A41" s="39">
        <f>IF('3757 - Wall Stickers'!B41 = "", "", IF('3757 - Wall Stickers-WUO_ERR'!A41 = "", "Validated", HYPERLINK("#" &amp; ADDRESS(41, '3757 - Wall Stickers-WUO_TRK'!A41),_xlfn.TEXTAFTER('3757 - Wall Stickers-WUO_ERR'!A41, ":"))))</f>
        <v>0</v>
      </c>
    </row>
    <row r="42" spans="1:1">
      <c r="A42" s="39">
        <f>IF('3757 - Wall Stickers'!B42 = "", "", IF('3757 - Wall Stickers-WUO_ERR'!A42 = "", "Validated", HYPERLINK("#" &amp; ADDRESS(42, '3757 - Wall Stickers-WUO_TRK'!A42),_xlfn.TEXTAFTER('3757 - Wall Stickers-WUO_ERR'!A42, ":"))))</f>
        <v>0</v>
      </c>
    </row>
    <row r="43" spans="1:1">
      <c r="A43" s="39">
        <f>IF('3757 - Wall Stickers'!B43 = "", "", IF('3757 - Wall Stickers-WUO_ERR'!A43 = "", "Validated", HYPERLINK("#" &amp; ADDRESS(43, '3757 - Wall Stickers-WUO_TRK'!A43),_xlfn.TEXTAFTER('3757 - Wall Stickers-WUO_ERR'!A43, ":"))))</f>
        <v>0</v>
      </c>
    </row>
    <row r="44" spans="1:1">
      <c r="A44" s="39">
        <f>IF('3757 - Wall Stickers'!B44 = "", "", IF('3757 - Wall Stickers-WUO_ERR'!A44 = "", "Validated", HYPERLINK("#" &amp; ADDRESS(44, '3757 - Wall Stickers-WUO_TRK'!A44),_xlfn.TEXTAFTER('3757 - Wall Stickers-WUO_ERR'!A44, ":"))))</f>
        <v>0</v>
      </c>
    </row>
    <row r="45" spans="1:1">
      <c r="A45" s="39">
        <f>IF('3757 - Wall Stickers'!B45 = "", "", IF('3757 - Wall Stickers-WUO_ERR'!A45 = "", "Validated", HYPERLINK("#" &amp; ADDRESS(45, '3757 - Wall Stickers-WUO_TRK'!A45),_xlfn.TEXTAFTER('3757 - Wall Stickers-WUO_ERR'!A45, ":"))))</f>
        <v>0</v>
      </c>
    </row>
    <row r="46" spans="1:1">
      <c r="A46" s="39">
        <f>IF('3757 - Wall Stickers'!B46 = "", "", IF('3757 - Wall Stickers-WUO_ERR'!A46 = "", "Validated", HYPERLINK("#" &amp; ADDRESS(46, '3757 - Wall Stickers-WUO_TRK'!A46),_xlfn.TEXTAFTER('3757 - Wall Stickers-WUO_ERR'!A46, ":"))))</f>
        <v>0</v>
      </c>
    </row>
    <row r="47" spans="1:1">
      <c r="A47" s="39">
        <f>IF('3757 - Wall Stickers'!B47 = "", "", IF('3757 - Wall Stickers-WUO_ERR'!A47 = "", "Validated", HYPERLINK("#" &amp; ADDRESS(47, '3757 - Wall Stickers-WUO_TRK'!A47),_xlfn.TEXTAFTER('3757 - Wall Stickers-WUO_ERR'!A47, ":"))))</f>
        <v>0</v>
      </c>
    </row>
    <row r="48" spans="1:1">
      <c r="A48" s="39">
        <f>IF('3757 - Wall Stickers'!B48 = "", "", IF('3757 - Wall Stickers-WUO_ERR'!A48 = "", "Validated", HYPERLINK("#" &amp; ADDRESS(48, '3757 - Wall Stickers-WUO_TRK'!A48),_xlfn.TEXTAFTER('3757 - Wall Stickers-WUO_ERR'!A48, ":"))))</f>
        <v>0</v>
      </c>
    </row>
    <row r="49" spans="1:1">
      <c r="A49" s="39">
        <f>IF('3757 - Wall Stickers'!B49 = "", "", IF('3757 - Wall Stickers-WUO_ERR'!A49 = "", "Validated", HYPERLINK("#" &amp; ADDRESS(49, '3757 - Wall Stickers-WUO_TRK'!A49),_xlfn.TEXTAFTER('3757 - Wall Stickers-WUO_ERR'!A49, ":"))))</f>
        <v>0</v>
      </c>
    </row>
    <row r="50" spans="1:1">
      <c r="A50" s="39">
        <f>IF('3757 - Wall Stickers'!B50 = "", "", IF('3757 - Wall Stickers-WUO_ERR'!A50 = "", "Validated", HYPERLINK("#" &amp; ADDRESS(50, '3757 - Wall Stickers-WUO_TRK'!A50),_xlfn.TEXTAFTER('3757 - Wall Stickers-WUO_ERR'!A50, ":"))))</f>
        <v>0</v>
      </c>
    </row>
    <row r="51" spans="1:1">
      <c r="A51" s="39">
        <f>IF('3757 - Wall Stickers'!B51 = "", "", IF('3757 - Wall Stickers-WUO_ERR'!A51 = "", "Validated", HYPERLINK("#" &amp; ADDRESS(51, '3757 - Wall Stickers-WUO_TRK'!A51),_xlfn.TEXTAFTER('3757 - Wall Stickers-WUO_ERR'!A51, ":"))))</f>
        <v>0</v>
      </c>
    </row>
    <row r="52" spans="1:1">
      <c r="A52" s="39">
        <f>IF('3757 - Wall Stickers'!B52 = "", "", IF('3757 - Wall Stickers-WUO_ERR'!A52 = "", "Validated", HYPERLINK("#" &amp; ADDRESS(52, '3757 - Wall Stickers-WUO_TRK'!A52),_xlfn.TEXTAFTER('3757 - Wall Stickers-WUO_ERR'!A52, ":"))))</f>
        <v>0</v>
      </c>
    </row>
    <row r="53" spans="1:1">
      <c r="A53" s="39">
        <f>IF('3757 - Wall Stickers'!B53 = "", "", IF('3757 - Wall Stickers-WUO_ERR'!A53 = "", "Validated", HYPERLINK("#" &amp; ADDRESS(53, '3757 - Wall Stickers-WUO_TRK'!A53),_xlfn.TEXTAFTER('3757 - Wall Stickers-WUO_ERR'!A53, ":"))))</f>
        <v>0</v>
      </c>
    </row>
    <row r="54" spans="1:1">
      <c r="A54" s="39">
        <f>IF('3757 - Wall Stickers'!B54 = "", "", IF('3757 - Wall Stickers-WUO_ERR'!A54 = "", "Validated", HYPERLINK("#" &amp; ADDRESS(54, '3757 - Wall Stickers-WUO_TRK'!A54),_xlfn.TEXTAFTER('3757 - Wall Stickers-WUO_ERR'!A54, ":"))))</f>
        <v>0</v>
      </c>
    </row>
    <row r="55" spans="1:1">
      <c r="A55" s="39">
        <f>IF('3757 - Wall Stickers'!B55 = "", "", IF('3757 - Wall Stickers-WUO_ERR'!A55 = "", "Validated", HYPERLINK("#" &amp; ADDRESS(55, '3757 - Wall Stickers-WUO_TRK'!A55),_xlfn.TEXTAFTER('3757 - Wall Stickers-WUO_ERR'!A55, ":"))))</f>
        <v>0</v>
      </c>
    </row>
    <row r="56" spans="1:1">
      <c r="A56" s="39">
        <f>IF('3757 - Wall Stickers'!B56 = "", "", IF('3757 - Wall Stickers-WUO_ERR'!A56 = "", "Validated", HYPERLINK("#" &amp; ADDRESS(56, '3757 - Wall Stickers-WUO_TRK'!A56),_xlfn.TEXTAFTER('3757 - Wall Stickers-WUO_ERR'!A56, ":"))))</f>
        <v>0</v>
      </c>
    </row>
    <row r="57" spans="1:1">
      <c r="A57" s="39">
        <f>IF('3757 - Wall Stickers'!B57 = "", "", IF('3757 - Wall Stickers-WUO_ERR'!A57 = "", "Validated", HYPERLINK("#" &amp; ADDRESS(57, '3757 - Wall Stickers-WUO_TRK'!A57),_xlfn.TEXTAFTER('3757 - Wall Stickers-WUO_ERR'!A57, ":"))))</f>
        <v>0</v>
      </c>
    </row>
    <row r="58" spans="1:1">
      <c r="A58" s="39">
        <f>IF('3757 - Wall Stickers'!B58 = "", "", IF('3757 - Wall Stickers-WUO_ERR'!A58 = "", "Validated", HYPERLINK("#" &amp; ADDRESS(58, '3757 - Wall Stickers-WUO_TRK'!A58),_xlfn.TEXTAFTER('3757 - Wall Stickers-WUO_ERR'!A58, ":"))))</f>
        <v>0</v>
      </c>
    </row>
    <row r="59" spans="1:1">
      <c r="A59" s="39">
        <f>IF('3757 - Wall Stickers'!B59 = "", "", IF('3757 - Wall Stickers-WUO_ERR'!A59 = "", "Validated", HYPERLINK("#" &amp; ADDRESS(59, '3757 - Wall Stickers-WUO_TRK'!A59),_xlfn.TEXTAFTER('3757 - Wall Stickers-WUO_ERR'!A59, ":"))))</f>
        <v>0</v>
      </c>
    </row>
    <row r="60" spans="1:1">
      <c r="A60" s="39">
        <f>IF('3757 - Wall Stickers'!B60 = "", "", IF('3757 - Wall Stickers-WUO_ERR'!A60 = "", "Validated", HYPERLINK("#" &amp; ADDRESS(60, '3757 - Wall Stickers-WUO_TRK'!A60),_xlfn.TEXTAFTER('3757 - Wall Stickers-WUO_ERR'!A60, ":"))))</f>
        <v>0</v>
      </c>
    </row>
    <row r="61" spans="1:1">
      <c r="A61" s="39">
        <f>IF('3757 - Wall Stickers'!B61 = "", "", IF('3757 - Wall Stickers-WUO_ERR'!A61 = "", "Validated", HYPERLINK("#" &amp; ADDRESS(61, '3757 - Wall Stickers-WUO_TRK'!A61),_xlfn.TEXTAFTER('3757 - Wall Stickers-WUO_ERR'!A61, ":"))))</f>
        <v>0</v>
      </c>
    </row>
    <row r="62" spans="1:1">
      <c r="A62" s="39">
        <f>IF('3757 - Wall Stickers'!B62 = "", "", IF('3757 - Wall Stickers-WUO_ERR'!A62 = "", "Validated", HYPERLINK("#" &amp; ADDRESS(62, '3757 - Wall Stickers-WUO_TRK'!A62),_xlfn.TEXTAFTER('3757 - Wall Stickers-WUO_ERR'!A62, ":"))))</f>
        <v>0</v>
      </c>
    </row>
    <row r="63" spans="1:1">
      <c r="A63" s="39">
        <f>IF('3757 - Wall Stickers'!B63 = "", "", IF('3757 - Wall Stickers-WUO_ERR'!A63 = "", "Validated", HYPERLINK("#" &amp; ADDRESS(63, '3757 - Wall Stickers-WUO_TRK'!A63),_xlfn.TEXTAFTER('3757 - Wall Stickers-WUO_ERR'!A63, ":"))))</f>
        <v>0</v>
      </c>
    </row>
    <row r="64" spans="1:1">
      <c r="A64" s="39">
        <f>IF('3757 - Wall Stickers'!B64 = "", "", IF('3757 - Wall Stickers-WUO_ERR'!A64 = "", "Validated", HYPERLINK("#" &amp; ADDRESS(64, '3757 - Wall Stickers-WUO_TRK'!A64),_xlfn.TEXTAFTER('3757 - Wall Stickers-WUO_ERR'!A64, ":"))))</f>
        <v>0</v>
      </c>
    </row>
    <row r="65" spans="1:1">
      <c r="A65" s="39">
        <f>IF('3757 - Wall Stickers'!B65 = "", "", IF('3757 - Wall Stickers-WUO_ERR'!A65 = "", "Validated", HYPERLINK("#" &amp; ADDRESS(65, '3757 - Wall Stickers-WUO_TRK'!A65),_xlfn.TEXTAFTER('3757 - Wall Stickers-WUO_ERR'!A65, ":"))))</f>
        <v>0</v>
      </c>
    </row>
    <row r="66" spans="1:1">
      <c r="A66" s="39">
        <f>IF('3757 - Wall Stickers'!B66 = "", "", IF('3757 - Wall Stickers-WUO_ERR'!A66 = "", "Validated", HYPERLINK("#" &amp; ADDRESS(66, '3757 - Wall Stickers-WUO_TRK'!A66),_xlfn.TEXTAFTER('3757 - Wall Stickers-WUO_ERR'!A66, ":"))))</f>
        <v>0</v>
      </c>
    </row>
    <row r="67" spans="1:1">
      <c r="A67" s="39">
        <f>IF('3757 - Wall Stickers'!B67 = "", "", IF('3757 - Wall Stickers-WUO_ERR'!A67 = "", "Validated", HYPERLINK("#" &amp; ADDRESS(67, '3757 - Wall Stickers-WUO_TRK'!A67),_xlfn.TEXTAFTER('3757 - Wall Stickers-WUO_ERR'!A67, ":"))))</f>
        <v>0</v>
      </c>
    </row>
    <row r="68" spans="1:1">
      <c r="A68" s="39">
        <f>IF('3757 - Wall Stickers'!B68 = "", "", IF('3757 - Wall Stickers-WUO_ERR'!A68 = "", "Validated", HYPERLINK("#" &amp; ADDRESS(68, '3757 - Wall Stickers-WUO_TRK'!A68),_xlfn.TEXTAFTER('3757 - Wall Stickers-WUO_ERR'!A68, ":"))))</f>
        <v>0</v>
      </c>
    </row>
    <row r="69" spans="1:1">
      <c r="A69" s="39">
        <f>IF('3757 - Wall Stickers'!B69 = "", "", IF('3757 - Wall Stickers-WUO_ERR'!A69 = "", "Validated", HYPERLINK("#" &amp; ADDRESS(69, '3757 - Wall Stickers-WUO_TRK'!A69),_xlfn.TEXTAFTER('3757 - Wall Stickers-WUO_ERR'!A69, ":"))))</f>
        <v>0</v>
      </c>
    </row>
    <row r="70" spans="1:1">
      <c r="A70" s="39">
        <f>IF('3757 - Wall Stickers'!B70 = "", "", IF('3757 - Wall Stickers-WUO_ERR'!A70 = "", "Validated", HYPERLINK("#" &amp; ADDRESS(70, '3757 - Wall Stickers-WUO_TRK'!A70),_xlfn.TEXTAFTER('3757 - Wall Stickers-WUO_ERR'!A70, ":"))))</f>
        <v>0</v>
      </c>
    </row>
    <row r="71" spans="1:1">
      <c r="A71" s="39">
        <f>IF('3757 - Wall Stickers'!B71 = "", "", IF('3757 - Wall Stickers-WUO_ERR'!A71 = "", "Validated", HYPERLINK("#" &amp; ADDRESS(71, '3757 - Wall Stickers-WUO_TRK'!A71),_xlfn.TEXTAFTER('3757 - Wall Stickers-WUO_ERR'!A71, ":"))))</f>
        <v>0</v>
      </c>
    </row>
    <row r="72" spans="1:1">
      <c r="A72" s="39">
        <f>IF('3757 - Wall Stickers'!B72 = "", "", IF('3757 - Wall Stickers-WUO_ERR'!A72 = "", "Validated", HYPERLINK("#" &amp; ADDRESS(72, '3757 - Wall Stickers-WUO_TRK'!A72),_xlfn.TEXTAFTER('3757 - Wall Stickers-WUO_ERR'!A72, ":"))))</f>
        <v>0</v>
      </c>
    </row>
    <row r="73" spans="1:1">
      <c r="A73" s="39">
        <f>IF('3757 - Wall Stickers'!B73 = "", "", IF('3757 - Wall Stickers-WUO_ERR'!A73 = "", "Validated", HYPERLINK("#" &amp; ADDRESS(73, '3757 - Wall Stickers-WUO_TRK'!A73),_xlfn.TEXTAFTER('3757 - Wall Stickers-WUO_ERR'!A73, ":"))))</f>
        <v>0</v>
      </c>
    </row>
    <row r="74" spans="1:1">
      <c r="A74" s="39">
        <f>IF('3757 - Wall Stickers'!B74 = "", "", IF('3757 - Wall Stickers-WUO_ERR'!A74 = "", "Validated", HYPERLINK("#" &amp; ADDRESS(74, '3757 - Wall Stickers-WUO_TRK'!A74),_xlfn.TEXTAFTER('3757 - Wall Stickers-WUO_ERR'!A74, ":"))))</f>
        <v>0</v>
      </c>
    </row>
    <row r="75" spans="1:1">
      <c r="A75" s="39">
        <f>IF('3757 - Wall Stickers'!B75 = "", "", IF('3757 - Wall Stickers-WUO_ERR'!A75 = "", "Validated", HYPERLINK("#" &amp; ADDRESS(75, '3757 - Wall Stickers-WUO_TRK'!A75),_xlfn.TEXTAFTER('3757 - Wall Stickers-WUO_ERR'!A75, ":"))))</f>
        <v>0</v>
      </c>
    </row>
    <row r="76" spans="1:1">
      <c r="A76" s="39">
        <f>IF('3757 - Wall Stickers'!B76 = "", "", IF('3757 - Wall Stickers-WUO_ERR'!A76 = "", "Validated", HYPERLINK("#" &amp; ADDRESS(76, '3757 - Wall Stickers-WUO_TRK'!A76),_xlfn.TEXTAFTER('3757 - Wall Stickers-WUO_ERR'!A76, ":"))))</f>
        <v>0</v>
      </c>
    </row>
    <row r="77" spans="1:1">
      <c r="A77" s="39">
        <f>IF('3757 - Wall Stickers'!B77 = "", "", IF('3757 - Wall Stickers-WUO_ERR'!A77 = "", "Validated", HYPERLINK("#" &amp; ADDRESS(77, '3757 - Wall Stickers-WUO_TRK'!A77),_xlfn.TEXTAFTER('3757 - Wall Stickers-WUO_ERR'!A77, ":"))))</f>
        <v>0</v>
      </c>
    </row>
    <row r="78" spans="1:1">
      <c r="A78" s="39">
        <f>IF('3757 - Wall Stickers'!B78 = "", "", IF('3757 - Wall Stickers-WUO_ERR'!A78 = "", "Validated", HYPERLINK("#" &amp; ADDRESS(78, '3757 - Wall Stickers-WUO_TRK'!A78),_xlfn.TEXTAFTER('3757 - Wall Stickers-WUO_ERR'!A78, ":"))))</f>
        <v>0</v>
      </c>
    </row>
    <row r="79" spans="1:1">
      <c r="A79" s="39">
        <f>IF('3757 - Wall Stickers'!B79 = "", "", IF('3757 - Wall Stickers-WUO_ERR'!A79 = "", "Validated", HYPERLINK("#" &amp; ADDRESS(79, '3757 - Wall Stickers-WUO_TRK'!A79),_xlfn.TEXTAFTER('3757 - Wall Stickers-WUO_ERR'!A79, ":"))))</f>
        <v>0</v>
      </c>
    </row>
    <row r="80" spans="1:1">
      <c r="A80" s="39">
        <f>IF('3757 - Wall Stickers'!B80 = "", "", IF('3757 - Wall Stickers-WUO_ERR'!A80 = "", "Validated", HYPERLINK("#" &amp; ADDRESS(80, '3757 - Wall Stickers-WUO_TRK'!A80),_xlfn.TEXTAFTER('3757 - Wall Stickers-WUO_ERR'!A80, ":"))))</f>
        <v>0</v>
      </c>
    </row>
    <row r="81" spans="1:1">
      <c r="A81" s="39">
        <f>IF('3757 - Wall Stickers'!B81 = "", "", IF('3757 - Wall Stickers-WUO_ERR'!A81 = "", "Validated", HYPERLINK("#" &amp; ADDRESS(81, '3757 - Wall Stickers-WUO_TRK'!A81),_xlfn.TEXTAFTER('3757 - Wall Stickers-WUO_ERR'!A81, ":"))))</f>
        <v>0</v>
      </c>
    </row>
    <row r="82" spans="1:1">
      <c r="A82" s="39">
        <f>IF('3757 - Wall Stickers'!B82 = "", "", IF('3757 - Wall Stickers-WUO_ERR'!A82 = "", "Validated", HYPERLINK("#" &amp; ADDRESS(82, '3757 - Wall Stickers-WUO_TRK'!A82),_xlfn.TEXTAFTER('3757 - Wall Stickers-WUO_ERR'!A82, ":"))))</f>
        <v>0</v>
      </c>
    </row>
    <row r="83" spans="1:1">
      <c r="A83" s="39">
        <f>IF('3757 - Wall Stickers'!B83 = "", "", IF('3757 - Wall Stickers-WUO_ERR'!A83 = "", "Validated", HYPERLINK("#" &amp; ADDRESS(83, '3757 - Wall Stickers-WUO_TRK'!A83),_xlfn.TEXTAFTER('3757 - Wall Stickers-WUO_ERR'!A83, ":"))))</f>
        <v>0</v>
      </c>
    </row>
    <row r="84" spans="1:1">
      <c r="A84" s="39">
        <f>IF('3757 - Wall Stickers'!B84 = "", "", IF('3757 - Wall Stickers-WUO_ERR'!A84 = "", "Validated", HYPERLINK("#" &amp; ADDRESS(84, '3757 - Wall Stickers-WUO_TRK'!A84),_xlfn.TEXTAFTER('3757 - Wall Stickers-WUO_ERR'!A84, ":"))))</f>
        <v>0</v>
      </c>
    </row>
    <row r="85" spans="1:1">
      <c r="A85" s="39">
        <f>IF('3757 - Wall Stickers'!B85 = "", "", IF('3757 - Wall Stickers-WUO_ERR'!A85 = "", "Validated", HYPERLINK("#" &amp; ADDRESS(85, '3757 - Wall Stickers-WUO_TRK'!A85),_xlfn.TEXTAFTER('3757 - Wall Stickers-WUO_ERR'!A85, ":"))))</f>
        <v>0</v>
      </c>
    </row>
    <row r="86" spans="1:1">
      <c r="A86" s="39">
        <f>IF('3757 - Wall Stickers'!B86 = "", "", IF('3757 - Wall Stickers-WUO_ERR'!A86 = "", "Validated", HYPERLINK("#" &amp; ADDRESS(86, '3757 - Wall Stickers-WUO_TRK'!A86),_xlfn.TEXTAFTER('3757 - Wall Stickers-WUO_ERR'!A86, ":"))))</f>
        <v>0</v>
      </c>
    </row>
    <row r="87" spans="1:1">
      <c r="A87" s="39">
        <f>IF('3757 - Wall Stickers'!B87 = "", "", IF('3757 - Wall Stickers-WUO_ERR'!A87 = "", "Validated", HYPERLINK("#" &amp; ADDRESS(87, '3757 - Wall Stickers-WUO_TRK'!A87),_xlfn.TEXTAFTER('3757 - Wall Stickers-WUO_ERR'!A87, ":"))))</f>
        <v>0</v>
      </c>
    </row>
    <row r="88" spans="1:1">
      <c r="A88" s="39">
        <f>IF('3757 - Wall Stickers'!B88 = "", "", IF('3757 - Wall Stickers-WUO_ERR'!A88 = "", "Validated", HYPERLINK("#" &amp; ADDRESS(88, '3757 - Wall Stickers-WUO_TRK'!A88),_xlfn.TEXTAFTER('3757 - Wall Stickers-WUO_ERR'!A88, ":"))))</f>
        <v>0</v>
      </c>
    </row>
    <row r="89" spans="1:1">
      <c r="A89" s="39">
        <f>IF('3757 - Wall Stickers'!B89 = "", "", IF('3757 - Wall Stickers-WUO_ERR'!A89 = "", "Validated", HYPERLINK("#" &amp; ADDRESS(89, '3757 - Wall Stickers-WUO_TRK'!A89),_xlfn.TEXTAFTER('3757 - Wall Stickers-WUO_ERR'!A89, ":"))))</f>
        <v>0</v>
      </c>
    </row>
    <row r="90" spans="1:1">
      <c r="A90" s="39">
        <f>IF('3757 - Wall Stickers'!B90 = "", "", IF('3757 - Wall Stickers-WUO_ERR'!A90 = "", "Validated", HYPERLINK("#" &amp; ADDRESS(90, '3757 - Wall Stickers-WUO_TRK'!A90),_xlfn.TEXTAFTER('3757 - Wall Stickers-WUO_ERR'!A90, ":"))))</f>
        <v>0</v>
      </c>
    </row>
    <row r="91" spans="1:1">
      <c r="A91" s="39">
        <f>IF('3757 - Wall Stickers'!B91 = "", "", IF('3757 - Wall Stickers-WUO_ERR'!A91 = "", "Validated", HYPERLINK("#" &amp; ADDRESS(91, '3757 - Wall Stickers-WUO_TRK'!A91),_xlfn.TEXTAFTER('3757 - Wall Stickers-WUO_ERR'!A91, ":"))))</f>
        <v>0</v>
      </c>
    </row>
    <row r="92" spans="1:1">
      <c r="A92" s="39">
        <f>IF('3757 - Wall Stickers'!B92 = "", "", IF('3757 - Wall Stickers-WUO_ERR'!A92 = "", "Validated", HYPERLINK("#" &amp; ADDRESS(92, '3757 - Wall Stickers-WUO_TRK'!A92),_xlfn.TEXTAFTER('3757 - Wall Stickers-WUO_ERR'!A92, ":"))))</f>
        <v>0</v>
      </c>
    </row>
    <row r="93" spans="1:1">
      <c r="A93" s="39">
        <f>IF('3757 - Wall Stickers'!B93 = "", "", IF('3757 - Wall Stickers-WUO_ERR'!A93 = "", "Validated", HYPERLINK("#" &amp; ADDRESS(93, '3757 - Wall Stickers-WUO_TRK'!A93),_xlfn.TEXTAFTER('3757 - Wall Stickers-WUO_ERR'!A93, ":"))))</f>
        <v>0</v>
      </c>
    </row>
    <row r="94" spans="1:1">
      <c r="A94" s="39">
        <f>IF('3757 - Wall Stickers'!B94 = "", "", IF('3757 - Wall Stickers-WUO_ERR'!A94 = "", "Validated", HYPERLINK("#" &amp; ADDRESS(94, '3757 - Wall Stickers-WUO_TRK'!A94),_xlfn.TEXTAFTER('3757 - Wall Stickers-WUO_ERR'!A94, ":"))))</f>
        <v>0</v>
      </c>
    </row>
    <row r="95" spans="1:1">
      <c r="A95" s="39">
        <f>IF('3757 - Wall Stickers'!B95 = "", "", IF('3757 - Wall Stickers-WUO_ERR'!A95 = "", "Validated", HYPERLINK("#" &amp; ADDRESS(95, '3757 - Wall Stickers-WUO_TRK'!A95),_xlfn.TEXTAFTER('3757 - Wall Stickers-WUO_ERR'!A95, ":"))))</f>
        <v>0</v>
      </c>
    </row>
    <row r="96" spans="1:1">
      <c r="A96" s="39">
        <f>IF('3757 - Wall Stickers'!B96 = "", "", IF('3757 - Wall Stickers-WUO_ERR'!A96 = "", "Validated", HYPERLINK("#" &amp; ADDRESS(96, '3757 - Wall Stickers-WUO_TRK'!A96),_xlfn.TEXTAFTER('3757 - Wall Stickers-WUO_ERR'!A96, ":"))))</f>
        <v>0</v>
      </c>
    </row>
    <row r="97" spans="1:1">
      <c r="A97" s="39">
        <f>IF('3757 - Wall Stickers'!B97 = "", "", IF('3757 - Wall Stickers-WUO_ERR'!A97 = "", "Validated", HYPERLINK("#" &amp; ADDRESS(97, '3757 - Wall Stickers-WUO_TRK'!A97),_xlfn.TEXTAFTER('3757 - Wall Stickers-WUO_ERR'!A97, ":"))))</f>
        <v>0</v>
      </c>
    </row>
    <row r="98" spans="1:1">
      <c r="A98" s="39">
        <f>IF('3757 - Wall Stickers'!B98 = "", "", IF('3757 - Wall Stickers-WUO_ERR'!A98 = "", "Validated", HYPERLINK("#" &amp; ADDRESS(98, '3757 - Wall Stickers-WUO_TRK'!A98),_xlfn.TEXTAFTER('3757 - Wall Stickers-WUO_ERR'!A98, ":"))))</f>
        <v>0</v>
      </c>
    </row>
    <row r="99" spans="1:1">
      <c r="A99" s="39">
        <f>IF('3757 - Wall Stickers'!B99 = "", "", IF('3757 - Wall Stickers-WUO_ERR'!A99 = "", "Validated", HYPERLINK("#" &amp; ADDRESS(99, '3757 - Wall Stickers-WUO_TRK'!A99),_xlfn.TEXTAFTER('3757 - Wall Stickers-WUO_ERR'!A99, ":"))))</f>
        <v>0</v>
      </c>
    </row>
    <row r="100" spans="1:1">
      <c r="A100" s="39">
        <f>IF('3757 - Wall Stickers'!B100 = "", "", IF('3757 - Wall Stickers-WUO_ERR'!A100 = "", "Validated", HYPERLINK("#" &amp; ADDRESS(100, '3757 - Wall Stickers-WUO_TRK'!A100),_xlfn.TEXTAFTER('3757 - Wall Stickers-WUO_ERR'!A100, ":"))))</f>
        <v>0</v>
      </c>
    </row>
    <row r="101" spans="1:1">
      <c r="A101" s="39">
        <f>IF('3757 - Wall Stickers'!B101 = "", "", IF('3757 - Wall Stickers-WUO_ERR'!A101 = "", "Validated", HYPERLINK("#" &amp; ADDRESS(101, '3757 - Wall Stickers-WUO_TRK'!A101),_xlfn.TEXTAFTER('3757 - Wall Stickers-WUO_ERR'!A101, ":"))))</f>
        <v>0</v>
      </c>
    </row>
    <row r="102" spans="1:1">
      <c r="A102" s="39">
        <f>IF('3757 - Wall Stickers'!B102 = "", "", IF('3757 - Wall Stickers-WUO_ERR'!A102 = "", "Validated", HYPERLINK("#" &amp; ADDRESS(102, '3757 - Wall Stickers-WUO_TRK'!A102),_xlfn.TEXTAFTER('3757 - Wall Stickers-WUO_ERR'!A102, ":"))))</f>
        <v>0</v>
      </c>
    </row>
    <row r="103" spans="1:1">
      <c r="A103" s="39">
        <f>IF('3757 - Wall Stickers'!B103 = "", "", IF('3757 - Wall Stickers-WUO_ERR'!A103 = "", "Validated", HYPERLINK("#" &amp; ADDRESS(103, '3757 - Wall Stickers-WUO_TRK'!A103),_xlfn.TEXTAFTER('3757 - Wall Stickers-WUO_ERR'!A103, ":"))))</f>
        <v>0</v>
      </c>
    </row>
    <row r="104" spans="1:1">
      <c r="A104" s="39">
        <f>IF('3757 - Wall Stickers'!B104 = "", "", IF('3757 - Wall Stickers-WUO_ERR'!A104 = "", "Validated", HYPERLINK("#" &amp; ADDRESS(104, '3757 - Wall Stickers-WUO_TRK'!A104),_xlfn.TEXTAFTER('3757 - Wall Stickers-WUO_ERR'!A104, ":"))))</f>
        <v>0</v>
      </c>
    </row>
    <row r="105" spans="1:1">
      <c r="A105" s="39">
        <f>IF('3757 - Wall Stickers'!B105 = "", "", IF('3757 - Wall Stickers-WUO_ERR'!A105 = "", "Validated", HYPERLINK("#" &amp; ADDRESS(105, '3757 - Wall Stickers-WUO_TRK'!A105),_xlfn.TEXTAFTER('3757 - Wall Stickers-WUO_ERR'!A105, ":"))))</f>
        <v>0</v>
      </c>
    </row>
    <row r="106" spans="1:1">
      <c r="A106" s="39">
        <f>IF('3757 - Wall Stickers'!B106 = "", "", IF('3757 - Wall Stickers-WUO_ERR'!A106 = "", "Validated", HYPERLINK("#" &amp; ADDRESS(106, '3757 - Wall Stickers-WUO_TRK'!A106),_xlfn.TEXTAFTER('3757 - Wall Stickers-WUO_ERR'!A106, ":"))))</f>
        <v>0</v>
      </c>
    </row>
    <row r="107" spans="1:1">
      <c r="A107" s="39">
        <f>IF('3757 - Wall Stickers'!B107 = "", "", IF('3757 - Wall Stickers-WUO_ERR'!A107 = "", "Validated", HYPERLINK("#" &amp; ADDRESS(107, '3757 - Wall Stickers-WUO_TRK'!A107),_xlfn.TEXTAFTER('3757 - Wall Stickers-WUO_ERR'!A107, ":"))))</f>
        <v>0</v>
      </c>
    </row>
    <row r="108" spans="1:1">
      <c r="A108" s="39">
        <f>IF('3757 - Wall Stickers'!B108 = "", "", IF('3757 - Wall Stickers-WUO_ERR'!A108 = "", "Validated", HYPERLINK("#" &amp; ADDRESS(108, '3757 - Wall Stickers-WUO_TRK'!A108),_xlfn.TEXTAFTER('3757 - Wall Stickers-WUO_ERR'!A108, ":"))))</f>
        <v>0</v>
      </c>
    </row>
    <row r="109" spans="1:1">
      <c r="A109" s="39">
        <f>IF('3757 - Wall Stickers'!B109 = "", "", IF('3757 - Wall Stickers-WUO_ERR'!A109 = "", "Validated", HYPERLINK("#" &amp; ADDRESS(109, '3757 - Wall Stickers-WUO_TRK'!A109),_xlfn.TEXTAFTER('3757 - Wall Stickers-WUO_ERR'!A109, ":"))))</f>
        <v>0</v>
      </c>
    </row>
    <row r="110" spans="1:1">
      <c r="A110" s="39">
        <f>IF('3757 - Wall Stickers'!B110 = "", "", IF('3757 - Wall Stickers-WUO_ERR'!A110 = "", "Validated", HYPERLINK("#" &amp; ADDRESS(110, '3757 - Wall Stickers-WUO_TRK'!A110),_xlfn.TEXTAFTER('3757 - Wall Stickers-WUO_ERR'!A110, ":"))))</f>
        <v>0</v>
      </c>
    </row>
    <row r="111" spans="1:1">
      <c r="A111" s="39">
        <f>IF('3757 - Wall Stickers'!B111 = "", "", IF('3757 - Wall Stickers-WUO_ERR'!A111 = "", "Validated", HYPERLINK("#" &amp; ADDRESS(111, '3757 - Wall Stickers-WUO_TRK'!A111),_xlfn.TEXTAFTER('3757 - Wall Stickers-WUO_ERR'!A111, ":"))))</f>
        <v>0</v>
      </c>
    </row>
    <row r="112" spans="1:1">
      <c r="A112" s="39">
        <f>IF('3757 - Wall Stickers'!B112 = "", "", IF('3757 - Wall Stickers-WUO_ERR'!A112 = "", "Validated", HYPERLINK("#" &amp; ADDRESS(112, '3757 - Wall Stickers-WUO_TRK'!A112),_xlfn.TEXTAFTER('3757 - Wall Stickers-WUO_ERR'!A112, ":"))))</f>
        <v>0</v>
      </c>
    </row>
    <row r="113" spans="1:1">
      <c r="A113" s="39">
        <f>IF('3757 - Wall Stickers'!B113 = "", "", IF('3757 - Wall Stickers-WUO_ERR'!A113 = "", "Validated", HYPERLINK("#" &amp; ADDRESS(113, '3757 - Wall Stickers-WUO_TRK'!A113),_xlfn.TEXTAFTER('3757 - Wall Stickers-WUO_ERR'!A113, ":"))))</f>
        <v>0</v>
      </c>
    </row>
    <row r="114" spans="1:1">
      <c r="A114" s="39">
        <f>IF('3757 - Wall Stickers'!B114 = "", "", IF('3757 - Wall Stickers-WUO_ERR'!A114 = "", "Validated", HYPERLINK("#" &amp; ADDRESS(114, '3757 - Wall Stickers-WUO_TRK'!A114),_xlfn.TEXTAFTER('3757 - Wall Stickers-WUO_ERR'!A114, ":"))))</f>
        <v>0</v>
      </c>
    </row>
    <row r="115" spans="1:1">
      <c r="A115" s="39">
        <f>IF('3757 - Wall Stickers'!B115 = "", "", IF('3757 - Wall Stickers-WUO_ERR'!A115 = "", "Validated", HYPERLINK("#" &amp; ADDRESS(115, '3757 - Wall Stickers-WUO_TRK'!A115),_xlfn.TEXTAFTER('3757 - Wall Stickers-WUO_ERR'!A115, ":"))))</f>
        <v>0</v>
      </c>
    </row>
    <row r="116" spans="1:1">
      <c r="A116" s="39">
        <f>IF('3757 - Wall Stickers'!B116 = "", "", IF('3757 - Wall Stickers-WUO_ERR'!A116 = "", "Validated", HYPERLINK("#" &amp; ADDRESS(116, '3757 - Wall Stickers-WUO_TRK'!A116),_xlfn.TEXTAFTER('3757 - Wall Stickers-WUO_ERR'!A116, ":"))))</f>
        <v>0</v>
      </c>
    </row>
    <row r="117" spans="1:1">
      <c r="A117" s="39">
        <f>IF('3757 - Wall Stickers'!B117 = "", "", IF('3757 - Wall Stickers-WUO_ERR'!A117 = "", "Validated", HYPERLINK("#" &amp; ADDRESS(117, '3757 - Wall Stickers-WUO_TRK'!A117),_xlfn.TEXTAFTER('3757 - Wall Stickers-WUO_ERR'!A117, ":"))))</f>
        <v>0</v>
      </c>
    </row>
    <row r="118" spans="1:1">
      <c r="A118" s="39">
        <f>IF('3757 - Wall Stickers'!B118 = "", "", IF('3757 - Wall Stickers-WUO_ERR'!A118 = "", "Validated", HYPERLINK("#" &amp; ADDRESS(118, '3757 - Wall Stickers-WUO_TRK'!A118),_xlfn.TEXTAFTER('3757 - Wall Stickers-WUO_ERR'!A118, ":"))))</f>
        <v>0</v>
      </c>
    </row>
    <row r="119" spans="1:1">
      <c r="A119" s="39">
        <f>IF('3757 - Wall Stickers'!B119 = "", "", IF('3757 - Wall Stickers-WUO_ERR'!A119 = "", "Validated", HYPERLINK("#" &amp; ADDRESS(119, '3757 - Wall Stickers-WUO_TRK'!A119),_xlfn.TEXTAFTER('3757 - Wall Stickers-WUO_ERR'!A119, ":"))))</f>
        <v>0</v>
      </c>
    </row>
    <row r="120" spans="1:1">
      <c r="A120" s="39">
        <f>IF('3757 - Wall Stickers'!B120 = "", "", IF('3757 - Wall Stickers-WUO_ERR'!A120 = "", "Validated", HYPERLINK("#" &amp; ADDRESS(120, '3757 - Wall Stickers-WUO_TRK'!A120),_xlfn.TEXTAFTER('3757 - Wall Stickers-WUO_ERR'!A120, ":"))))</f>
        <v>0</v>
      </c>
    </row>
    <row r="121" spans="1:1">
      <c r="A121" s="39">
        <f>IF('3757 - Wall Stickers'!B121 = "", "", IF('3757 - Wall Stickers-WUO_ERR'!A121 = "", "Validated", HYPERLINK("#" &amp; ADDRESS(121, '3757 - Wall Stickers-WUO_TRK'!A121),_xlfn.TEXTAFTER('3757 - Wall Stickers-WUO_ERR'!A121, ":"))))</f>
        <v>0</v>
      </c>
    </row>
    <row r="122" spans="1:1">
      <c r="A122" s="39">
        <f>IF('3757 - Wall Stickers'!B122 = "", "", IF('3757 - Wall Stickers-WUO_ERR'!A122 = "", "Validated", HYPERLINK("#" &amp; ADDRESS(122, '3757 - Wall Stickers-WUO_TRK'!A122),_xlfn.TEXTAFTER('3757 - Wall Stickers-WUO_ERR'!A122, ":"))))</f>
        <v>0</v>
      </c>
    </row>
    <row r="123" spans="1:1">
      <c r="A123" s="39">
        <f>IF('3757 - Wall Stickers'!B123 = "", "", IF('3757 - Wall Stickers-WUO_ERR'!A123 = "", "Validated", HYPERLINK("#" &amp; ADDRESS(123, '3757 - Wall Stickers-WUO_TRK'!A123),_xlfn.TEXTAFTER('3757 - Wall Stickers-WUO_ERR'!A123, ":"))))</f>
        <v>0</v>
      </c>
    </row>
    <row r="124" spans="1:1">
      <c r="A124" s="39">
        <f>IF('3757 - Wall Stickers'!B124 = "", "", IF('3757 - Wall Stickers-WUO_ERR'!A124 = "", "Validated", HYPERLINK("#" &amp; ADDRESS(124, '3757 - Wall Stickers-WUO_TRK'!A124),_xlfn.TEXTAFTER('3757 - Wall Stickers-WUO_ERR'!A124, ":"))))</f>
        <v>0</v>
      </c>
    </row>
    <row r="125" spans="1:1">
      <c r="A125" s="39">
        <f>IF('3757 - Wall Stickers'!B125 = "", "", IF('3757 - Wall Stickers-WUO_ERR'!A125 = "", "Validated", HYPERLINK("#" &amp; ADDRESS(125, '3757 - Wall Stickers-WUO_TRK'!A125),_xlfn.TEXTAFTER('3757 - Wall Stickers-WUO_ERR'!A125, ":"))))</f>
        <v>0</v>
      </c>
    </row>
    <row r="126" spans="1:1">
      <c r="A126" s="39">
        <f>IF('3757 - Wall Stickers'!B126 = "", "", IF('3757 - Wall Stickers-WUO_ERR'!A126 = "", "Validated", HYPERLINK("#" &amp; ADDRESS(126, '3757 - Wall Stickers-WUO_TRK'!A126),_xlfn.TEXTAFTER('3757 - Wall Stickers-WUO_ERR'!A126, ":"))))</f>
        <v>0</v>
      </c>
    </row>
    <row r="127" spans="1:1">
      <c r="A127" s="39">
        <f>IF('3757 - Wall Stickers'!B127 = "", "", IF('3757 - Wall Stickers-WUO_ERR'!A127 = "", "Validated", HYPERLINK("#" &amp; ADDRESS(127, '3757 - Wall Stickers-WUO_TRK'!A127),_xlfn.TEXTAFTER('3757 - Wall Stickers-WUO_ERR'!A127, ":"))))</f>
        <v>0</v>
      </c>
    </row>
    <row r="128" spans="1:1">
      <c r="A128" s="39">
        <f>IF('3757 - Wall Stickers'!B128 = "", "", IF('3757 - Wall Stickers-WUO_ERR'!A128 = "", "Validated", HYPERLINK("#" &amp; ADDRESS(128, '3757 - Wall Stickers-WUO_TRK'!A128),_xlfn.TEXTAFTER('3757 - Wall Stickers-WUO_ERR'!A128, ":"))))</f>
        <v>0</v>
      </c>
    </row>
    <row r="129" spans="1:1">
      <c r="A129" s="39">
        <f>IF('3757 - Wall Stickers'!B129 = "", "", IF('3757 - Wall Stickers-WUO_ERR'!A129 = "", "Validated", HYPERLINK("#" &amp; ADDRESS(129, '3757 - Wall Stickers-WUO_TRK'!A129),_xlfn.TEXTAFTER('3757 - Wall Stickers-WUO_ERR'!A129, ":"))))</f>
        <v>0</v>
      </c>
    </row>
    <row r="130" spans="1:1">
      <c r="A130" s="39">
        <f>IF('3757 - Wall Stickers'!B130 = "", "", IF('3757 - Wall Stickers-WUO_ERR'!A130 = "", "Validated", HYPERLINK("#" &amp; ADDRESS(130, '3757 - Wall Stickers-WUO_TRK'!A130),_xlfn.TEXTAFTER('3757 - Wall Stickers-WUO_ERR'!A130, ":"))))</f>
        <v>0</v>
      </c>
    </row>
    <row r="131" spans="1:1">
      <c r="A131" s="39">
        <f>IF('3757 - Wall Stickers'!B131 = "", "", IF('3757 - Wall Stickers-WUO_ERR'!A131 = "", "Validated", HYPERLINK("#" &amp; ADDRESS(131, '3757 - Wall Stickers-WUO_TRK'!A131),_xlfn.TEXTAFTER('3757 - Wall Stickers-WUO_ERR'!A131, ":"))))</f>
        <v>0</v>
      </c>
    </row>
    <row r="132" spans="1:1">
      <c r="A132" s="39">
        <f>IF('3757 - Wall Stickers'!B132 = "", "", IF('3757 - Wall Stickers-WUO_ERR'!A132 = "", "Validated", HYPERLINK("#" &amp; ADDRESS(132, '3757 - Wall Stickers-WUO_TRK'!A132),_xlfn.TEXTAFTER('3757 - Wall Stickers-WUO_ERR'!A132, ":"))))</f>
        <v>0</v>
      </c>
    </row>
    <row r="133" spans="1:1">
      <c r="A133" s="39">
        <f>IF('3757 - Wall Stickers'!B133 = "", "", IF('3757 - Wall Stickers-WUO_ERR'!A133 = "", "Validated", HYPERLINK("#" &amp; ADDRESS(133, '3757 - Wall Stickers-WUO_TRK'!A133),_xlfn.TEXTAFTER('3757 - Wall Stickers-WUO_ERR'!A133, ":"))))</f>
        <v>0</v>
      </c>
    </row>
    <row r="134" spans="1:1">
      <c r="A134" s="39">
        <f>IF('3757 - Wall Stickers'!B134 = "", "", IF('3757 - Wall Stickers-WUO_ERR'!A134 = "", "Validated", HYPERLINK("#" &amp; ADDRESS(134, '3757 - Wall Stickers-WUO_TRK'!A134),_xlfn.TEXTAFTER('3757 - Wall Stickers-WUO_ERR'!A134, ":"))))</f>
        <v>0</v>
      </c>
    </row>
    <row r="135" spans="1:1">
      <c r="A135" s="39">
        <f>IF('3757 - Wall Stickers'!B135 = "", "", IF('3757 - Wall Stickers-WUO_ERR'!A135 = "", "Validated", HYPERLINK("#" &amp; ADDRESS(135, '3757 - Wall Stickers-WUO_TRK'!A135),_xlfn.TEXTAFTER('3757 - Wall Stickers-WUO_ERR'!A135, ":"))))</f>
        <v>0</v>
      </c>
    </row>
    <row r="136" spans="1:1">
      <c r="A136" s="39">
        <f>IF('3757 - Wall Stickers'!B136 = "", "", IF('3757 - Wall Stickers-WUO_ERR'!A136 = "", "Validated", HYPERLINK("#" &amp; ADDRESS(136, '3757 - Wall Stickers-WUO_TRK'!A136),_xlfn.TEXTAFTER('3757 - Wall Stickers-WUO_ERR'!A136, ":"))))</f>
        <v>0</v>
      </c>
    </row>
    <row r="137" spans="1:1">
      <c r="A137" s="39">
        <f>IF('3757 - Wall Stickers'!B137 = "", "", IF('3757 - Wall Stickers-WUO_ERR'!A137 = "", "Validated", HYPERLINK("#" &amp; ADDRESS(137, '3757 - Wall Stickers-WUO_TRK'!A137),_xlfn.TEXTAFTER('3757 - Wall Stickers-WUO_ERR'!A137, ":"))))</f>
        <v>0</v>
      </c>
    </row>
    <row r="138" spans="1:1">
      <c r="A138" s="39">
        <f>IF('3757 - Wall Stickers'!B138 = "", "", IF('3757 - Wall Stickers-WUO_ERR'!A138 = "", "Validated", HYPERLINK("#" &amp; ADDRESS(138, '3757 - Wall Stickers-WUO_TRK'!A138),_xlfn.TEXTAFTER('3757 - Wall Stickers-WUO_ERR'!A138, ":"))))</f>
        <v>0</v>
      </c>
    </row>
    <row r="139" spans="1:1">
      <c r="A139" s="39">
        <f>IF('3757 - Wall Stickers'!B139 = "", "", IF('3757 - Wall Stickers-WUO_ERR'!A139 = "", "Validated", HYPERLINK("#" &amp; ADDRESS(139, '3757 - Wall Stickers-WUO_TRK'!A139),_xlfn.TEXTAFTER('3757 - Wall Stickers-WUO_ERR'!A139, ":"))))</f>
        <v>0</v>
      </c>
    </row>
    <row r="140" spans="1:1">
      <c r="A140" s="39">
        <f>IF('3757 - Wall Stickers'!B140 = "", "", IF('3757 - Wall Stickers-WUO_ERR'!A140 = "", "Validated", HYPERLINK("#" &amp; ADDRESS(140, '3757 - Wall Stickers-WUO_TRK'!A140),_xlfn.TEXTAFTER('3757 - Wall Stickers-WUO_ERR'!A140, ":"))))</f>
        <v>0</v>
      </c>
    </row>
    <row r="141" spans="1:1">
      <c r="A141" s="39">
        <f>IF('3757 - Wall Stickers'!B141 = "", "", IF('3757 - Wall Stickers-WUO_ERR'!A141 = "", "Validated", HYPERLINK("#" &amp; ADDRESS(141, '3757 - Wall Stickers-WUO_TRK'!A141),_xlfn.TEXTAFTER('3757 - Wall Stickers-WUO_ERR'!A141, ":"))))</f>
        <v>0</v>
      </c>
    </row>
    <row r="142" spans="1:1">
      <c r="A142" s="39">
        <f>IF('3757 - Wall Stickers'!B142 = "", "", IF('3757 - Wall Stickers-WUO_ERR'!A142 = "", "Validated", HYPERLINK("#" &amp; ADDRESS(142, '3757 - Wall Stickers-WUO_TRK'!A142),_xlfn.TEXTAFTER('3757 - Wall Stickers-WUO_ERR'!A142, ":"))))</f>
        <v>0</v>
      </c>
    </row>
    <row r="143" spans="1:1">
      <c r="A143" s="39">
        <f>IF('3757 - Wall Stickers'!B143 = "", "", IF('3757 - Wall Stickers-WUO_ERR'!A143 = "", "Validated", HYPERLINK("#" &amp; ADDRESS(143, '3757 - Wall Stickers-WUO_TRK'!A143),_xlfn.TEXTAFTER('3757 - Wall Stickers-WUO_ERR'!A143, ":"))))</f>
        <v>0</v>
      </c>
    </row>
    <row r="144" spans="1:1">
      <c r="A144" s="39">
        <f>IF('3757 - Wall Stickers'!B144 = "", "", IF('3757 - Wall Stickers-WUO_ERR'!A144 = "", "Validated", HYPERLINK("#" &amp; ADDRESS(144, '3757 - Wall Stickers-WUO_TRK'!A144),_xlfn.TEXTAFTER('3757 - Wall Stickers-WUO_ERR'!A144, ":"))))</f>
        <v>0</v>
      </c>
    </row>
    <row r="145" spans="1:1">
      <c r="A145" s="39">
        <f>IF('3757 - Wall Stickers'!B145 = "", "", IF('3757 - Wall Stickers-WUO_ERR'!A145 = "", "Validated", HYPERLINK("#" &amp; ADDRESS(145, '3757 - Wall Stickers-WUO_TRK'!A145),_xlfn.TEXTAFTER('3757 - Wall Stickers-WUO_ERR'!A145, ":"))))</f>
        <v>0</v>
      </c>
    </row>
    <row r="146" spans="1:1">
      <c r="A146" s="39">
        <f>IF('3757 - Wall Stickers'!B146 = "", "", IF('3757 - Wall Stickers-WUO_ERR'!A146 = "", "Validated", HYPERLINK("#" &amp; ADDRESS(146, '3757 - Wall Stickers-WUO_TRK'!A146),_xlfn.TEXTAFTER('3757 - Wall Stickers-WUO_ERR'!A146, ":"))))</f>
        <v>0</v>
      </c>
    </row>
    <row r="147" spans="1:1">
      <c r="A147" s="39">
        <f>IF('3757 - Wall Stickers'!B147 = "", "", IF('3757 - Wall Stickers-WUO_ERR'!A147 = "", "Validated", HYPERLINK("#" &amp; ADDRESS(147, '3757 - Wall Stickers-WUO_TRK'!A147),_xlfn.TEXTAFTER('3757 - Wall Stickers-WUO_ERR'!A147, ":"))))</f>
        <v>0</v>
      </c>
    </row>
    <row r="148" spans="1:1">
      <c r="A148" s="39">
        <f>IF('3757 - Wall Stickers'!B148 = "", "", IF('3757 - Wall Stickers-WUO_ERR'!A148 = "", "Validated", HYPERLINK("#" &amp; ADDRESS(148, '3757 - Wall Stickers-WUO_TRK'!A148),_xlfn.TEXTAFTER('3757 - Wall Stickers-WUO_ERR'!A148, ":"))))</f>
        <v>0</v>
      </c>
    </row>
    <row r="149" spans="1:1">
      <c r="A149" s="39">
        <f>IF('3757 - Wall Stickers'!B149 = "", "", IF('3757 - Wall Stickers-WUO_ERR'!A149 = "", "Validated", HYPERLINK("#" &amp; ADDRESS(149, '3757 - Wall Stickers-WUO_TRK'!A149),_xlfn.TEXTAFTER('3757 - Wall Stickers-WUO_ERR'!A149, ":"))))</f>
        <v>0</v>
      </c>
    </row>
    <row r="150" spans="1:1">
      <c r="A150" s="39">
        <f>IF('3757 - Wall Stickers'!B150 = "", "", IF('3757 - Wall Stickers-WUO_ERR'!A150 = "", "Validated", HYPERLINK("#" &amp; ADDRESS(150, '3757 - Wall Stickers-WUO_TRK'!A150),_xlfn.TEXTAFTER('3757 - Wall Stickers-WUO_ERR'!A150, ":"))))</f>
        <v>0</v>
      </c>
    </row>
    <row r="151" spans="1:1">
      <c r="A151" s="39">
        <f>IF('3757 - Wall Stickers'!B151 = "", "", IF('3757 - Wall Stickers-WUO_ERR'!A151 = "", "Validated", HYPERLINK("#" &amp; ADDRESS(151, '3757 - Wall Stickers-WUO_TRK'!A151),_xlfn.TEXTAFTER('3757 - Wall Stickers-WUO_ERR'!A151, ":"))))</f>
        <v>0</v>
      </c>
    </row>
    <row r="152" spans="1:1">
      <c r="A152" s="39">
        <f>IF('3757 - Wall Stickers'!B152 = "", "", IF('3757 - Wall Stickers-WUO_ERR'!A152 = "", "Validated", HYPERLINK("#" &amp; ADDRESS(152, '3757 - Wall Stickers-WUO_TRK'!A152),_xlfn.TEXTAFTER('3757 - Wall Stickers-WUO_ERR'!A152, ":"))))</f>
        <v>0</v>
      </c>
    </row>
    <row r="153" spans="1:1">
      <c r="A153" s="39">
        <f>IF('3757 - Wall Stickers'!B153 = "", "", IF('3757 - Wall Stickers-WUO_ERR'!A153 = "", "Validated", HYPERLINK("#" &amp; ADDRESS(153, '3757 - Wall Stickers-WUO_TRK'!A153),_xlfn.TEXTAFTER('3757 - Wall Stickers-WUO_ERR'!A153, ":"))))</f>
        <v>0</v>
      </c>
    </row>
    <row r="154" spans="1:1">
      <c r="A154" s="39">
        <f>IF('3757 - Wall Stickers'!B154 = "", "", IF('3757 - Wall Stickers-WUO_ERR'!A154 = "", "Validated", HYPERLINK("#" &amp; ADDRESS(154, '3757 - Wall Stickers-WUO_TRK'!A154),_xlfn.TEXTAFTER('3757 - Wall Stickers-WUO_ERR'!A154, ":"))))</f>
        <v>0</v>
      </c>
    </row>
    <row r="155" spans="1:1">
      <c r="A155" s="39">
        <f>IF('3757 - Wall Stickers'!B155 = "", "", IF('3757 - Wall Stickers-WUO_ERR'!A155 = "", "Validated", HYPERLINK("#" &amp; ADDRESS(155, '3757 - Wall Stickers-WUO_TRK'!A155),_xlfn.TEXTAFTER('3757 - Wall Stickers-WUO_ERR'!A155, ":"))))</f>
        <v>0</v>
      </c>
    </row>
    <row r="156" spans="1:1">
      <c r="A156" s="39">
        <f>IF('3757 - Wall Stickers'!B156 = "", "", IF('3757 - Wall Stickers-WUO_ERR'!A156 = "", "Validated", HYPERLINK("#" &amp; ADDRESS(156, '3757 - Wall Stickers-WUO_TRK'!A156),_xlfn.TEXTAFTER('3757 - Wall Stickers-WUO_ERR'!A156, ":"))))</f>
        <v>0</v>
      </c>
    </row>
    <row r="157" spans="1:1">
      <c r="A157" s="39">
        <f>IF('3757 - Wall Stickers'!B157 = "", "", IF('3757 - Wall Stickers-WUO_ERR'!A157 = "", "Validated", HYPERLINK("#" &amp; ADDRESS(157, '3757 - Wall Stickers-WUO_TRK'!A157),_xlfn.TEXTAFTER('3757 - Wall Stickers-WUO_ERR'!A157, ":"))))</f>
        <v>0</v>
      </c>
    </row>
    <row r="158" spans="1:1">
      <c r="A158" s="39">
        <f>IF('3757 - Wall Stickers'!B158 = "", "", IF('3757 - Wall Stickers-WUO_ERR'!A158 = "", "Validated", HYPERLINK("#" &amp; ADDRESS(158, '3757 - Wall Stickers-WUO_TRK'!A158),_xlfn.TEXTAFTER('3757 - Wall Stickers-WUO_ERR'!A158, ":"))))</f>
        <v>0</v>
      </c>
    </row>
    <row r="159" spans="1:1">
      <c r="A159" s="39">
        <f>IF('3757 - Wall Stickers'!B159 = "", "", IF('3757 - Wall Stickers-WUO_ERR'!A159 = "", "Validated", HYPERLINK("#" &amp; ADDRESS(159, '3757 - Wall Stickers-WUO_TRK'!A159),_xlfn.TEXTAFTER('3757 - Wall Stickers-WUO_ERR'!A159, ":"))))</f>
        <v>0</v>
      </c>
    </row>
    <row r="160" spans="1:1">
      <c r="A160" s="39">
        <f>IF('3757 - Wall Stickers'!B160 = "", "", IF('3757 - Wall Stickers-WUO_ERR'!A160 = "", "Validated", HYPERLINK("#" &amp; ADDRESS(160, '3757 - Wall Stickers-WUO_TRK'!A160),_xlfn.TEXTAFTER('3757 - Wall Stickers-WUO_ERR'!A160, ":"))))</f>
        <v>0</v>
      </c>
    </row>
    <row r="161" spans="1:1">
      <c r="A161" s="39">
        <f>IF('3757 - Wall Stickers'!B161 = "", "", IF('3757 - Wall Stickers-WUO_ERR'!A161 = "", "Validated", HYPERLINK("#" &amp; ADDRESS(161, '3757 - Wall Stickers-WUO_TRK'!A161),_xlfn.TEXTAFTER('3757 - Wall Stickers-WUO_ERR'!A161, ":"))))</f>
        <v>0</v>
      </c>
    </row>
    <row r="162" spans="1:1">
      <c r="A162" s="39">
        <f>IF('3757 - Wall Stickers'!B162 = "", "", IF('3757 - Wall Stickers-WUO_ERR'!A162 = "", "Validated", HYPERLINK("#" &amp; ADDRESS(162, '3757 - Wall Stickers-WUO_TRK'!A162),_xlfn.TEXTAFTER('3757 - Wall Stickers-WUO_ERR'!A162, ":"))))</f>
        <v>0</v>
      </c>
    </row>
    <row r="163" spans="1:1">
      <c r="A163" s="39">
        <f>IF('3757 - Wall Stickers'!B163 = "", "", IF('3757 - Wall Stickers-WUO_ERR'!A163 = "", "Validated", HYPERLINK("#" &amp; ADDRESS(163, '3757 - Wall Stickers-WUO_TRK'!A163),_xlfn.TEXTAFTER('3757 - Wall Stickers-WUO_ERR'!A163, ":"))))</f>
        <v>0</v>
      </c>
    </row>
    <row r="164" spans="1:1">
      <c r="A164" s="39">
        <f>IF('3757 - Wall Stickers'!B164 = "", "", IF('3757 - Wall Stickers-WUO_ERR'!A164 = "", "Validated", HYPERLINK("#" &amp; ADDRESS(164, '3757 - Wall Stickers-WUO_TRK'!A164),_xlfn.TEXTAFTER('3757 - Wall Stickers-WUO_ERR'!A164, ":"))))</f>
        <v>0</v>
      </c>
    </row>
    <row r="165" spans="1:1">
      <c r="A165" s="39">
        <f>IF('3757 - Wall Stickers'!B165 = "", "", IF('3757 - Wall Stickers-WUO_ERR'!A165 = "", "Validated", HYPERLINK("#" &amp; ADDRESS(165, '3757 - Wall Stickers-WUO_TRK'!A165),_xlfn.TEXTAFTER('3757 - Wall Stickers-WUO_ERR'!A165, ":"))))</f>
        <v>0</v>
      </c>
    </row>
    <row r="166" spans="1:1">
      <c r="A166" s="39">
        <f>IF('3757 - Wall Stickers'!B166 = "", "", IF('3757 - Wall Stickers-WUO_ERR'!A166 = "", "Validated", HYPERLINK("#" &amp; ADDRESS(166, '3757 - Wall Stickers-WUO_TRK'!A166),_xlfn.TEXTAFTER('3757 - Wall Stickers-WUO_ERR'!A166, ":"))))</f>
        <v>0</v>
      </c>
    </row>
    <row r="167" spans="1:1">
      <c r="A167" s="39">
        <f>IF('3757 - Wall Stickers'!B167 = "", "", IF('3757 - Wall Stickers-WUO_ERR'!A167 = "", "Validated", HYPERLINK("#" &amp; ADDRESS(167, '3757 - Wall Stickers-WUO_TRK'!A167),_xlfn.TEXTAFTER('3757 - Wall Stickers-WUO_ERR'!A167, ":"))))</f>
        <v>0</v>
      </c>
    </row>
    <row r="168" spans="1:1">
      <c r="A168" s="39">
        <f>IF('3757 - Wall Stickers'!B168 = "", "", IF('3757 - Wall Stickers-WUO_ERR'!A168 = "", "Validated", HYPERLINK("#" &amp; ADDRESS(168, '3757 - Wall Stickers-WUO_TRK'!A168),_xlfn.TEXTAFTER('3757 - Wall Stickers-WUO_ERR'!A168, ":"))))</f>
        <v>0</v>
      </c>
    </row>
    <row r="169" spans="1:1">
      <c r="A169" s="39">
        <f>IF('3757 - Wall Stickers'!B169 = "", "", IF('3757 - Wall Stickers-WUO_ERR'!A169 = "", "Validated", HYPERLINK("#" &amp; ADDRESS(169, '3757 - Wall Stickers-WUO_TRK'!A169),_xlfn.TEXTAFTER('3757 - Wall Stickers-WUO_ERR'!A169, ":"))))</f>
        <v>0</v>
      </c>
    </row>
    <row r="170" spans="1:1">
      <c r="A170" s="39">
        <f>IF('3757 - Wall Stickers'!B170 = "", "", IF('3757 - Wall Stickers-WUO_ERR'!A170 = "", "Validated", HYPERLINK("#" &amp; ADDRESS(170, '3757 - Wall Stickers-WUO_TRK'!A170),_xlfn.TEXTAFTER('3757 - Wall Stickers-WUO_ERR'!A170, ":"))))</f>
        <v>0</v>
      </c>
    </row>
    <row r="171" spans="1:1">
      <c r="A171" s="39">
        <f>IF('3757 - Wall Stickers'!B171 = "", "", IF('3757 - Wall Stickers-WUO_ERR'!A171 = "", "Validated", HYPERLINK("#" &amp; ADDRESS(171, '3757 - Wall Stickers-WUO_TRK'!A171),_xlfn.TEXTAFTER('3757 - Wall Stickers-WUO_ERR'!A171, ":"))))</f>
        <v>0</v>
      </c>
    </row>
    <row r="172" spans="1:1">
      <c r="A172" s="39">
        <f>IF('3757 - Wall Stickers'!B172 = "", "", IF('3757 - Wall Stickers-WUO_ERR'!A172 = "", "Validated", HYPERLINK("#" &amp; ADDRESS(172, '3757 - Wall Stickers-WUO_TRK'!A172),_xlfn.TEXTAFTER('3757 - Wall Stickers-WUO_ERR'!A172, ":"))))</f>
        <v>0</v>
      </c>
    </row>
    <row r="173" spans="1:1">
      <c r="A173" s="39">
        <f>IF('3757 - Wall Stickers'!B173 = "", "", IF('3757 - Wall Stickers-WUO_ERR'!A173 = "", "Validated", HYPERLINK("#" &amp; ADDRESS(173, '3757 - Wall Stickers-WUO_TRK'!A173),_xlfn.TEXTAFTER('3757 - Wall Stickers-WUO_ERR'!A173, ":"))))</f>
        <v>0</v>
      </c>
    </row>
    <row r="174" spans="1:1">
      <c r="A174" s="39">
        <f>IF('3757 - Wall Stickers'!B174 = "", "", IF('3757 - Wall Stickers-WUO_ERR'!A174 = "", "Validated", HYPERLINK("#" &amp; ADDRESS(174, '3757 - Wall Stickers-WUO_TRK'!A174),_xlfn.TEXTAFTER('3757 - Wall Stickers-WUO_ERR'!A174, ":"))))</f>
        <v>0</v>
      </c>
    </row>
    <row r="175" spans="1:1">
      <c r="A175" s="39">
        <f>IF('3757 - Wall Stickers'!B175 = "", "", IF('3757 - Wall Stickers-WUO_ERR'!A175 = "", "Validated", HYPERLINK("#" &amp; ADDRESS(175, '3757 - Wall Stickers-WUO_TRK'!A175),_xlfn.TEXTAFTER('3757 - Wall Stickers-WUO_ERR'!A175, ":"))))</f>
        <v>0</v>
      </c>
    </row>
    <row r="176" spans="1:1">
      <c r="A176" s="39">
        <f>IF('3757 - Wall Stickers'!B176 = "", "", IF('3757 - Wall Stickers-WUO_ERR'!A176 = "", "Validated", HYPERLINK("#" &amp; ADDRESS(176, '3757 - Wall Stickers-WUO_TRK'!A176),_xlfn.TEXTAFTER('3757 - Wall Stickers-WUO_ERR'!A176, ":"))))</f>
        <v>0</v>
      </c>
    </row>
    <row r="177" spans="1:1">
      <c r="A177" s="39">
        <f>IF('3757 - Wall Stickers'!B177 = "", "", IF('3757 - Wall Stickers-WUO_ERR'!A177 = "", "Validated", HYPERLINK("#" &amp; ADDRESS(177, '3757 - Wall Stickers-WUO_TRK'!A177),_xlfn.TEXTAFTER('3757 - Wall Stickers-WUO_ERR'!A177, ":"))))</f>
        <v>0</v>
      </c>
    </row>
    <row r="178" spans="1:1">
      <c r="A178" s="39">
        <f>IF('3757 - Wall Stickers'!B178 = "", "", IF('3757 - Wall Stickers-WUO_ERR'!A178 = "", "Validated", HYPERLINK("#" &amp; ADDRESS(178, '3757 - Wall Stickers-WUO_TRK'!A178),_xlfn.TEXTAFTER('3757 - Wall Stickers-WUO_ERR'!A178, ":"))))</f>
        <v>0</v>
      </c>
    </row>
    <row r="179" spans="1:1">
      <c r="A179" s="39">
        <f>IF('3757 - Wall Stickers'!B179 = "", "", IF('3757 - Wall Stickers-WUO_ERR'!A179 = "", "Validated", HYPERLINK("#" &amp; ADDRESS(179, '3757 - Wall Stickers-WUO_TRK'!A179),_xlfn.TEXTAFTER('3757 - Wall Stickers-WUO_ERR'!A179, ":"))))</f>
        <v>0</v>
      </c>
    </row>
    <row r="180" spans="1:1">
      <c r="A180" s="39">
        <f>IF('3757 - Wall Stickers'!B180 = "", "", IF('3757 - Wall Stickers-WUO_ERR'!A180 = "", "Validated", HYPERLINK("#" &amp; ADDRESS(180, '3757 - Wall Stickers-WUO_TRK'!A180),_xlfn.TEXTAFTER('3757 - Wall Stickers-WUO_ERR'!A180, ":"))))</f>
        <v>0</v>
      </c>
    </row>
    <row r="181" spans="1:1">
      <c r="A181" s="39">
        <f>IF('3757 - Wall Stickers'!B181 = "", "", IF('3757 - Wall Stickers-WUO_ERR'!A181 = "", "Validated", HYPERLINK("#" &amp; ADDRESS(181, '3757 - Wall Stickers-WUO_TRK'!A181),_xlfn.TEXTAFTER('3757 - Wall Stickers-WUO_ERR'!A181, ":"))))</f>
        <v>0</v>
      </c>
    </row>
    <row r="182" spans="1:1">
      <c r="A182" s="39">
        <f>IF('3757 - Wall Stickers'!B182 = "", "", IF('3757 - Wall Stickers-WUO_ERR'!A182 = "", "Validated", HYPERLINK("#" &amp; ADDRESS(182, '3757 - Wall Stickers-WUO_TRK'!A182),_xlfn.TEXTAFTER('3757 - Wall Stickers-WUO_ERR'!A182, ":"))))</f>
        <v>0</v>
      </c>
    </row>
    <row r="183" spans="1:1">
      <c r="A183" s="39">
        <f>IF('3757 - Wall Stickers'!B183 = "", "", IF('3757 - Wall Stickers-WUO_ERR'!A183 = "", "Validated", HYPERLINK("#" &amp; ADDRESS(183, '3757 - Wall Stickers-WUO_TRK'!A183),_xlfn.TEXTAFTER('3757 - Wall Stickers-WUO_ERR'!A183, ":"))))</f>
        <v>0</v>
      </c>
    </row>
    <row r="184" spans="1:1">
      <c r="A184" s="39">
        <f>IF('3757 - Wall Stickers'!B184 = "", "", IF('3757 - Wall Stickers-WUO_ERR'!A184 = "", "Validated", HYPERLINK("#" &amp; ADDRESS(184, '3757 - Wall Stickers-WUO_TRK'!A184),_xlfn.TEXTAFTER('3757 - Wall Stickers-WUO_ERR'!A184, ":"))))</f>
        <v>0</v>
      </c>
    </row>
    <row r="185" spans="1:1">
      <c r="A185" s="39">
        <f>IF('3757 - Wall Stickers'!B185 = "", "", IF('3757 - Wall Stickers-WUO_ERR'!A185 = "", "Validated", HYPERLINK("#" &amp; ADDRESS(185, '3757 - Wall Stickers-WUO_TRK'!A185),_xlfn.TEXTAFTER('3757 - Wall Stickers-WUO_ERR'!A185, ":"))))</f>
        <v>0</v>
      </c>
    </row>
    <row r="186" spans="1:1">
      <c r="A186" s="39">
        <f>IF('3757 - Wall Stickers'!B186 = "", "", IF('3757 - Wall Stickers-WUO_ERR'!A186 = "", "Validated", HYPERLINK("#" &amp; ADDRESS(186, '3757 - Wall Stickers-WUO_TRK'!A186),_xlfn.TEXTAFTER('3757 - Wall Stickers-WUO_ERR'!A186, ":"))))</f>
        <v>0</v>
      </c>
    </row>
    <row r="187" spans="1:1">
      <c r="A187" s="39">
        <f>IF('3757 - Wall Stickers'!B187 = "", "", IF('3757 - Wall Stickers-WUO_ERR'!A187 = "", "Validated", HYPERLINK("#" &amp; ADDRESS(187, '3757 - Wall Stickers-WUO_TRK'!A187),_xlfn.TEXTAFTER('3757 - Wall Stickers-WUO_ERR'!A187, ":"))))</f>
        <v>0</v>
      </c>
    </row>
    <row r="188" spans="1:1">
      <c r="A188" s="39">
        <f>IF('3757 - Wall Stickers'!B188 = "", "", IF('3757 - Wall Stickers-WUO_ERR'!A188 = "", "Validated", HYPERLINK("#" &amp; ADDRESS(188, '3757 - Wall Stickers-WUO_TRK'!A188),_xlfn.TEXTAFTER('3757 - Wall Stickers-WUO_ERR'!A188, ":"))))</f>
        <v>0</v>
      </c>
    </row>
    <row r="189" spans="1:1">
      <c r="A189" s="39">
        <f>IF('3757 - Wall Stickers'!B189 = "", "", IF('3757 - Wall Stickers-WUO_ERR'!A189 = "", "Validated", HYPERLINK("#" &amp; ADDRESS(189, '3757 - Wall Stickers-WUO_TRK'!A189),_xlfn.TEXTAFTER('3757 - Wall Stickers-WUO_ERR'!A189, ":"))))</f>
        <v>0</v>
      </c>
    </row>
    <row r="190" spans="1:1">
      <c r="A190" s="39">
        <f>IF('3757 - Wall Stickers'!B190 = "", "", IF('3757 - Wall Stickers-WUO_ERR'!A190 = "", "Validated", HYPERLINK("#" &amp; ADDRESS(190, '3757 - Wall Stickers-WUO_TRK'!A190),_xlfn.TEXTAFTER('3757 - Wall Stickers-WUO_ERR'!A190, ":"))))</f>
        <v>0</v>
      </c>
    </row>
    <row r="191" spans="1:1">
      <c r="A191" s="39">
        <f>IF('3757 - Wall Stickers'!B191 = "", "", IF('3757 - Wall Stickers-WUO_ERR'!A191 = "", "Validated", HYPERLINK("#" &amp; ADDRESS(191, '3757 - Wall Stickers-WUO_TRK'!A191),_xlfn.TEXTAFTER('3757 - Wall Stickers-WUO_ERR'!A191, ":"))))</f>
        <v>0</v>
      </c>
    </row>
    <row r="192" spans="1:1">
      <c r="A192" s="39">
        <f>IF('3757 - Wall Stickers'!B192 = "", "", IF('3757 - Wall Stickers-WUO_ERR'!A192 = "", "Validated", HYPERLINK("#" &amp; ADDRESS(192, '3757 - Wall Stickers-WUO_TRK'!A192),_xlfn.TEXTAFTER('3757 - Wall Stickers-WUO_ERR'!A192, ":"))))</f>
        <v>0</v>
      </c>
    </row>
    <row r="193" spans="1:1">
      <c r="A193" s="39">
        <f>IF('3757 - Wall Stickers'!B193 = "", "", IF('3757 - Wall Stickers-WUO_ERR'!A193 = "", "Validated", HYPERLINK("#" &amp; ADDRESS(193, '3757 - Wall Stickers-WUO_TRK'!A193),_xlfn.TEXTAFTER('3757 - Wall Stickers-WUO_ERR'!A193, ":"))))</f>
        <v>0</v>
      </c>
    </row>
    <row r="194" spans="1:1">
      <c r="A194" s="39">
        <f>IF('3757 - Wall Stickers'!B194 = "", "", IF('3757 - Wall Stickers-WUO_ERR'!A194 = "", "Validated", HYPERLINK("#" &amp; ADDRESS(194, '3757 - Wall Stickers-WUO_TRK'!A194),_xlfn.TEXTAFTER('3757 - Wall Stickers-WUO_ERR'!A194, ":"))))</f>
        <v>0</v>
      </c>
    </row>
    <row r="195" spans="1:1">
      <c r="A195" s="39">
        <f>IF('3757 - Wall Stickers'!B195 = "", "", IF('3757 - Wall Stickers-WUO_ERR'!A195 = "", "Validated", HYPERLINK("#" &amp; ADDRESS(195, '3757 - Wall Stickers-WUO_TRK'!A195),_xlfn.TEXTAFTER('3757 - Wall Stickers-WUO_ERR'!A195, ":"))))</f>
        <v>0</v>
      </c>
    </row>
    <row r="196" spans="1:1">
      <c r="A196" s="39">
        <f>IF('3757 - Wall Stickers'!B196 = "", "", IF('3757 - Wall Stickers-WUO_ERR'!A196 = "", "Validated", HYPERLINK("#" &amp; ADDRESS(196, '3757 - Wall Stickers-WUO_TRK'!A196),_xlfn.TEXTAFTER('3757 - Wall Stickers-WUO_ERR'!A196, ":"))))</f>
        <v>0</v>
      </c>
    </row>
    <row r="197" spans="1:1">
      <c r="A197" s="39">
        <f>IF('3757 - Wall Stickers'!B197 = "", "", IF('3757 - Wall Stickers-WUO_ERR'!A197 = "", "Validated", HYPERLINK("#" &amp; ADDRESS(197, '3757 - Wall Stickers-WUO_TRK'!A197),_xlfn.TEXTAFTER('3757 - Wall Stickers-WUO_ERR'!A197, ":"))))</f>
        <v>0</v>
      </c>
    </row>
    <row r="198" spans="1:1">
      <c r="A198" s="39">
        <f>IF('3757 - Wall Stickers'!B198 = "", "", IF('3757 - Wall Stickers-WUO_ERR'!A198 = "", "Validated", HYPERLINK("#" &amp; ADDRESS(198, '3757 - Wall Stickers-WUO_TRK'!A198),_xlfn.TEXTAFTER('3757 - Wall Stickers-WUO_ERR'!A198, ":"))))</f>
        <v>0</v>
      </c>
    </row>
    <row r="199" spans="1:1">
      <c r="A199" s="39">
        <f>IF('3757 - Wall Stickers'!B199 = "", "", IF('3757 - Wall Stickers-WUO_ERR'!A199 = "", "Validated", HYPERLINK("#" &amp; ADDRESS(199, '3757 - Wall Stickers-WUO_TRK'!A199),_xlfn.TEXTAFTER('3757 - Wall Stickers-WUO_ERR'!A199, ":"))))</f>
        <v>0</v>
      </c>
    </row>
    <row r="200" spans="1:1">
      <c r="A200" s="39">
        <f>IF('3757 - Wall Stickers'!B200 = "", "", IF('3757 - Wall Stickers-WUO_ERR'!A200 = "", "Validated", HYPERLINK("#" &amp; ADDRESS(200, '3757 - Wall Stickers-WUO_TRK'!A200),_xlfn.TEXTAFTER('3757 - Wall Stickers-WUO_ERR'!A200, ":"))))</f>
        <v>0</v>
      </c>
    </row>
    <row r="201" spans="1:1">
      <c r="A201" s="39">
        <f>IF('3757 - Wall Stickers'!B201 = "", "", IF('3757 - Wall Stickers-WUO_ERR'!A201 = "", "Validated", HYPERLINK("#" &amp; ADDRESS(201, '3757 - Wall Stickers-WUO_TRK'!A201),_xlfn.TEXTAFTER('3757 - Wall Stickers-WUO_ERR'!A201, ":"))))</f>
        <v>0</v>
      </c>
    </row>
    <row r="202" spans="1:1">
      <c r="A202" s="39">
        <f>IF('3757 - Wall Stickers'!B202 = "", "", IF('3757 - Wall Stickers-WUO_ERR'!A202 = "", "Validated", HYPERLINK("#" &amp; ADDRESS(202, '3757 - Wall Stickers-WUO_TRK'!A202),_xlfn.TEXTAFTER('3757 - Wall Stickers-WUO_ERR'!A202, ":"))))</f>
        <v>0</v>
      </c>
    </row>
    <row r="203" spans="1:1">
      <c r="A203" s="39">
        <f>IF('3757 - Wall Stickers'!B203 = "", "", IF('3757 - Wall Stickers-WUO_ERR'!A203 = "", "Validated", HYPERLINK("#" &amp; ADDRESS(203, '3757 - Wall Stickers-WUO_TRK'!A203),_xlfn.TEXTAFTER('3757 - Wall Stickers-WUO_ERR'!A203, ":"))))</f>
        <v>0</v>
      </c>
    </row>
    <row r="204" spans="1:1">
      <c r="A204" s="39">
        <f>IF('3757 - Wall Stickers'!B204 = "", "", IF('3757 - Wall Stickers-WUO_ERR'!A204 = "", "Validated", HYPERLINK("#" &amp; ADDRESS(204, '3757 - Wall Stickers-WUO_TRK'!A204),_xlfn.TEXTAFTER('3757 - Wall Stickers-WUO_ERR'!A204, ":"))))</f>
        <v>0</v>
      </c>
    </row>
    <row r="205" spans="1:1">
      <c r="A205" s="39">
        <f>IF('3757 - Wall Stickers'!B205 = "", "", IF('3757 - Wall Stickers-WUO_ERR'!A205 = "", "Validated", HYPERLINK("#" &amp; ADDRESS(205, '3757 - Wall Stickers-WUO_TRK'!A205),_xlfn.TEXTAFTER('3757 - Wall Stickers-WUO_ERR'!A205, ":"))))</f>
        <v>0</v>
      </c>
    </row>
    <row r="206" spans="1:1">
      <c r="A206" s="39">
        <f>IF('3757 - Wall Stickers'!B206 = "", "", IF('3757 - Wall Stickers-WUO_ERR'!A206 = "", "Validated", HYPERLINK("#" &amp; ADDRESS(206, '3757 - Wall Stickers-WUO_TRK'!A206),_xlfn.TEXTAFTER('3757 - Wall Stickers-WUO_ERR'!A206, ":"))))</f>
        <v>0</v>
      </c>
    </row>
    <row r="207" spans="1:1">
      <c r="A207" s="39">
        <f>IF('3757 - Wall Stickers'!B207 = "", "", IF('3757 - Wall Stickers-WUO_ERR'!A207 = "", "Validated", HYPERLINK("#" &amp; ADDRESS(207, '3757 - Wall Stickers-WUO_TRK'!A207),_xlfn.TEXTAFTER('3757 - Wall Stickers-WUO_ERR'!A207, ":"))))</f>
        <v>0</v>
      </c>
    </row>
    <row r="208" spans="1:1">
      <c r="A208" s="39">
        <f>IF('3757 - Wall Stickers'!B208 = "", "", IF('3757 - Wall Stickers-WUO_ERR'!A208 = "", "Validated", HYPERLINK("#" &amp; ADDRESS(208, '3757 - Wall Stickers-WUO_TRK'!A208),_xlfn.TEXTAFTER('3757 - Wall Stickers-WUO_ERR'!A208, ":"))))</f>
        <v>0</v>
      </c>
    </row>
    <row r="209" spans="1:1">
      <c r="A209" s="39">
        <f>IF('3757 - Wall Stickers'!B209 = "", "", IF('3757 - Wall Stickers-WUO_ERR'!A209 = "", "Validated", HYPERLINK("#" &amp; ADDRESS(209, '3757 - Wall Stickers-WUO_TRK'!A209),_xlfn.TEXTAFTER('3757 - Wall Stickers-WUO_ERR'!A209, ":"))))</f>
        <v>0</v>
      </c>
    </row>
    <row r="210" spans="1:1">
      <c r="A210" s="39">
        <f>IF('3757 - Wall Stickers'!B210 = "", "", IF('3757 - Wall Stickers-WUO_ERR'!A210 = "", "Validated", HYPERLINK("#" &amp; ADDRESS(210, '3757 - Wall Stickers-WUO_TRK'!A210),_xlfn.TEXTAFTER('3757 - Wall Stickers-WUO_ERR'!A210, ":"))))</f>
        <v>0</v>
      </c>
    </row>
    <row r="211" spans="1:1">
      <c r="A211" s="39">
        <f>IF('3757 - Wall Stickers'!B211 = "", "", IF('3757 - Wall Stickers-WUO_ERR'!A211 = "", "Validated", HYPERLINK("#" &amp; ADDRESS(211, '3757 - Wall Stickers-WUO_TRK'!A211),_xlfn.TEXTAFTER('3757 - Wall Stickers-WUO_ERR'!A211, ":"))))</f>
        <v>0</v>
      </c>
    </row>
    <row r="212" spans="1:1">
      <c r="A212" s="39">
        <f>IF('3757 - Wall Stickers'!B212 = "", "", IF('3757 - Wall Stickers-WUO_ERR'!A212 = "", "Validated", HYPERLINK("#" &amp; ADDRESS(212, '3757 - Wall Stickers-WUO_TRK'!A212),_xlfn.TEXTAFTER('3757 - Wall Stickers-WUO_ERR'!A212, ":"))))</f>
        <v>0</v>
      </c>
    </row>
    <row r="213" spans="1:1">
      <c r="A213" s="39">
        <f>IF('3757 - Wall Stickers'!B213 = "", "", IF('3757 - Wall Stickers-WUO_ERR'!A213 = "", "Validated", HYPERLINK("#" &amp; ADDRESS(213, '3757 - Wall Stickers-WUO_TRK'!A213),_xlfn.TEXTAFTER('3757 - Wall Stickers-WUO_ERR'!A213, ":"))))</f>
        <v>0</v>
      </c>
    </row>
    <row r="214" spans="1:1">
      <c r="A214" s="39">
        <f>IF('3757 - Wall Stickers'!B214 = "", "", IF('3757 - Wall Stickers-WUO_ERR'!A214 = "", "Validated", HYPERLINK("#" &amp; ADDRESS(214, '3757 - Wall Stickers-WUO_TRK'!A214),_xlfn.TEXTAFTER('3757 - Wall Stickers-WUO_ERR'!A214, ":"))))</f>
        <v>0</v>
      </c>
    </row>
    <row r="215" spans="1:1">
      <c r="A215" s="39">
        <f>IF('3757 - Wall Stickers'!B215 = "", "", IF('3757 - Wall Stickers-WUO_ERR'!A215 = "", "Validated", HYPERLINK("#" &amp; ADDRESS(215, '3757 - Wall Stickers-WUO_TRK'!A215),_xlfn.TEXTAFTER('3757 - Wall Stickers-WUO_ERR'!A215, ":"))))</f>
        <v>0</v>
      </c>
    </row>
    <row r="216" spans="1:1">
      <c r="A216" s="39">
        <f>IF('3757 - Wall Stickers'!B216 = "", "", IF('3757 - Wall Stickers-WUO_ERR'!A216 = "", "Validated", HYPERLINK("#" &amp; ADDRESS(216, '3757 - Wall Stickers-WUO_TRK'!A216),_xlfn.TEXTAFTER('3757 - Wall Stickers-WUO_ERR'!A216, ":"))))</f>
        <v>0</v>
      </c>
    </row>
    <row r="217" spans="1:1">
      <c r="A217" s="39">
        <f>IF('3757 - Wall Stickers'!B217 = "", "", IF('3757 - Wall Stickers-WUO_ERR'!A217 = "", "Validated", HYPERLINK("#" &amp; ADDRESS(217, '3757 - Wall Stickers-WUO_TRK'!A217),_xlfn.TEXTAFTER('3757 - Wall Stickers-WUO_ERR'!A217, ":"))))</f>
        <v>0</v>
      </c>
    </row>
    <row r="218" spans="1:1">
      <c r="A218" s="39">
        <f>IF('3757 - Wall Stickers'!B218 = "", "", IF('3757 - Wall Stickers-WUO_ERR'!A218 = "", "Validated", HYPERLINK("#" &amp; ADDRESS(218, '3757 - Wall Stickers-WUO_TRK'!A218),_xlfn.TEXTAFTER('3757 - Wall Stickers-WUO_ERR'!A218, ":"))))</f>
        <v>0</v>
      </c>
    </row>
    <row r="219" spans="1:1">
      <c r="A219" s="39">
        <f>IF('3757 - Wall Stickers'!B219 = "", "", IF('3757 - Wall Stickers-WUO_ERR'!A219 = "", "Validated", HYPERLINK("#" &amp; ADDRESS(219, '3757 - Wall Stickers-WUO_TRK'!A219),_xlfn.TEXTAFTER('3757 - Wall Stickers-WUO_ERR'!A219, ":"))))</f>
        <v>0</v>
      </c>
    </row>
    <row r="220" spans="1:1">
      <c r="A220" s="39">
        <f>IF('3757 - Wall Stickers'!B220 = "", "", IF('3757 - Wall Stickers-WUO_ERR'!A220 = "", "Validated", HYPERLINK("#" &amp; ADDRESS(220, '3757 - Wall Stickers-WUO_TRK'!A220),_xlfn.TEXTAFTER('3757 - Wall Stickers-WUO_ERR'!A220, ":"))))</f>
        <v>0</v>
      </c>
    </row>
    <row r="221" spans="1:1">
      <c r="A221" s="39">
        <f>IF('3757 - Wall Stickers'!B221 = "", "", IF('3757 - Wall Stickers-WUO_ERR'!A221 = "", "Validated", HYPERLINK("#" &amp; ADDRESS(221, '3757 - Wall Stickers-WUO_TRK'!A221),_xlfn.TEXTAFTER('3757 - Wall Stickers-WUO_ERR'!A221, ":"))))</f>
        <v>0</v>
      </c>
    </row>
    <row r="222" spans="1:1">
      <c r="A222" s="39">
        <f>IF('3757 - Wall Stickers'!B222 = "", "", IF('3757 - Wall Stickers-WUO_ERR'!A222 = "", "Validated", HYPERLINK("#" &amp; ADDRESS(222, '3757 - Wall Stickers-WUO_TRK'!A222),_xlfn.TEXTAFTER('3757 - Wall Stickers-WUO_ERR'!A222, ":"))))</f>
        <v>0</v>
      </c>
    </row>
    <row r="223" spans="1:1">
      <c r="A223" s="39">
        <f>IF('3757 - Wall Stickers'!B223 = "", "", IF('3757 - Wall Stickers-WUO_ERR'!A223 = "", "Validated", HYPERLINK("#" &amp; ADDRESS(223, '3757 - Wall Stickers-WUO_TRK'!A223),_xlfn.TEXTAFTER('3757 - Wall Stickers-WUO_ERR'!A223, ":"))))</f>
        <v>0</v>
      </c>
    </row>
    <row r="224" spans="1:1">
      <c r="A224" s="39">
        <f>IF('3757 - Wall Stickers'!B224 = "", "", IF('3757 - Wall Stickers-WUO_ERR'!A224 = "", "Validated", HYPERLINK("#" &amp; ADDRESS(224, '3757 - Wall Stickers-WUO_TRK'!A224),_xlfn.TEXTAFTER('3757 - Wall Stickers-WUO_ERR'!A224, ":"))))</f>
        <v>0</v>
      </c>
    </row>
    <row r="225" spans="1:1">
      <c r="A225" s="39">
        <f>IF('3757 - Wall Stickers'!B225 = "", "", IF('3757 - Wall Stickers-WUO_ERR'!A225 = "", "Validated", HYPERLINK("#" &amp; ADDRESS(225, '3757 - Wall Stickers-WUO_TRK'!A225),_xlfn.TEXTAFTER('3757 - Wall Stickers-WUO_ERR'!A225, ":"))))</f>
        <v>0</v>
      </c>
    </row>
    <row r="226" spans="1:1">
      <c r="A226" s="39">
        <f>IF('3757 - Wall Stickers'!B226 = "", "", IF('3757 - Wall Stickers-WUO_ERR'!A226 = "", "Validated", HYPERLINK("#" &amp; ADDRESS(226, '3757 - Wall Stickers-WUO_TRK'!A226),_xlfn.TEXTAFTER('3757 - Wall Stickers-WUO_ERR'!A226, ":"))))</f>
        <v>0</v>
      </c>
    </row>
    <row r="227" spans="1:1">
      <c r="A227" s="39">
        <f>IF('3757 - Wall Stickers'!B227 = "", "", IF('3757 - Wall Stickers-WUO_ERR'!A227 = "", "Validated", HYPERLINK("#" &amp; ADDRESS(227, '3757 - Wall Stickers-WUO_TRK'!A227),_xlfn.TEXTAFTER('3757 - Wall Stickers-WUO_ERR'!A227, ":"))))</f>
        <v>0</v>
      </c>
    </row>
    <row r="228" spans="1:1">
      <c r="A228" s="39">
        <f>IF('3757 - Wall Stickers'!B228 = "", "", IF('3757 - Wall Stickers-WUO_ERR'!A228 = "", "Validated", HYPERLINK("#" &amp; ADDRESS(228, '3757 - Wall Stickers-WUO_TRK'!A228),_xlfn.TEXTAFTER('3757 - Wall Stickers-WUO_ERR'!A228, ":"))))</f>
        <v>0</v>
      </c>
    </row>
    <row r="229" spans="1:1">
      <c r="A229" s="39">
        <f>IF('3757 - Wall Stickers'!B229 = "", "", IF('3757 - Wall Stickers-WUO_ERR'!A229 = "", "Validated", HYPERLINK("#" &amp; ADDRESS(229, '3757 - Wall Stickers-WUO_TRK'!A229),_xlfn.TEXTAFTER('3757 - Wall Stickers-WUO_ERR'!A229, ":"))))</f>
        <v>0</v>
      </c>
    </row>
    <row r="230" spans="1:1">
      <c r="A230" s="39">
        <f>IF('3757 - Wall Stickers'!B230 = "", "", IF('3757 - Wall Stickers-WUO_ERR'!A230 = "", "Validated", HYPERLINK("#" &amp; ADDRESS(230, '3757 - Wall Stickers-WUO_TRK'!A230),_xlfn.TEXTAFTER('3757 - Wall Stickers-WUO_ERR'!A230, ":"))))</f>
        <v>0</v>
      </c>
    </row>
    <row r="231" spans="1:1">
      <c r="A231" s="39">
        <f>IF('3757 - Wall Stickers'!B231 = "", "", IF('3757 - Wall Stickers-WUO_ERR'!A231 = "", "Validated", HYPERLINK("#" &amp; ADDRESS(231, '3757 - Wall Stickers-WUO_TRK'!A231),_xlfn.TEXTAFTER('3757 - Wall Stickers-WUO_ERR'!A231, ":"))))</f>
        <v>0</v>
      </c>
    </row>
    <row r="232" spans="1:1">
      <c r="A232" s="39">
        <f>IF('3757 - Wall Stickers'!B232 = "", "", IF('3757 - Wall Stickers-WUO_ERR'!A232 = "", "Validated", HYPERLINK("#" &amp; ADDRESS(232, '3757 - Wall Stickers-WUO_TRK'!A232),_xlfn.TEXTAFTER('3757 - Wall Stickers-WUO_ERR'!A232, ":"))))</f>
        <v>0</v>
      </c>
    </row>
    <row r="233" spans="1:1">
      <c r="A233" s="39">
        <f>IF('3757 - Wall Stickers'!B233 = "", "", IF('3757 - Wall Stickers-WUO_ERR'!A233 = "", "Validated", HYPERLINK("#" &amp; ADDRESS(233, '3757 - Wall Stickers-WUO_TRK'!A233),_xlfn.TEXTAFTER('3757 - Wall Stickers-WUO_ERR'!A233, ":"))))</f>
        <v>0</v>
      </c>
    </row>
    <row r="234" spans="1:1">
      <c r="A234" s="39">
        <f>IF('3757 - Wall Stickers'!B234 = "", "", IF('3757 - Wall Stickers-WUO_ERR'!A234 = "", "Validated", HYPERLINK("#" &amp; ADDRESS(234, '3757 - Wall Stickers-WUO_TRK'!A234),_xlfn.TEXTAFTER('3757 - Wall Stickers-WUO_ERR'!A234, ":"))))</f>
        <v>0</v>
      </c>
    </row>
    <row r="235" spans="1:1">
      <c r="A235" s="39">
        <f>IF('3757 - Wall Stickers'!B235 = "", "", IF('3757 - Wall Stickers-WUO_ERR'!A235 = "", "Validated", HYPERLINK("#" &amp; ADDRESS(235, '3757 - Wall Stickers-WUO_TRK'!A235),_xlfn.TEXTAFTER('3757 - Wall Stickers-WUO_ERR'!A235, ":"))))</f>
        <v>0</v>
      </c>
    </row>
    <row r="236" spans="1:1">
      <c r="A236" s="39">
        <f>IF('3757 - Wall Stickers'!B236 = "", "", IF('3757 - Wall Stickers-WUO_ERR'!A236 = "", "Validated", HYPERLINK("#" &amp; ADDRESS(236, '3757 - Wall Stickers-WUO_TRK'!A236),_xlfn.TEXTAFTER('3757 - Wall Stickers-WUO_ERR'!A236, ":"))))</f>
        <v>0</v>
      </c>
    </row>
    <row r="237" spans="1:1">
      <c r="A237" s="39">
        <f>IF('3757 - Wall Stickers'!B237 = "", "", IF('3757 - Wall Stickers-WUO_ERR'!A237 = "", "Validated", HYPERLINK("#" &amp; ADDRESS(237, '3757 - Wall Stickers-WUO_TRK'!A237),_xlfn.TEXTAFTER('3757 - Wall Stickers-WUO_ERR'!A237, ":"))))</f>
        <v>0</v>
      </c>
    </row>
    <row r="238" spans="1:1">
      <c r="A238" s="39">
        <f>IF('3757 - Wall Stickers'!B238 = "", "", IF('3757 - Wall Stickers-WUO_ERR'!A238 = "", "Validated", HYPERLINK("#" &amp; ADDRESS(238, '3757 - Wall Stickers-WUO_TRK'!A238),_xlfn.TEXTAFTER('3757 - Wall Stickers-WUO_ERR'!A238, ":"))))</f>
        <v>0</v>
      </c>
    </row>
    <row r="239" spans="1:1">
      <c r="A239" s="39">
        <f>IF('3757 - Wall Stickers'!B239 = "", "", IF('3757 - Wall Stickers-WUO_ERR'!A239 = "", "Validated", HYPERLINK("#" &amp; ADDRESS(239, '3757 - Wall Stickers-WUO_TRK'!A239),_xlfn.TEXTAFTER('3757 - Wall Stickers-WUO_ERR'!A239, ":"))))</f>
        <v>0</v>
      </c>
    </row>
    <row r="240" spans="1:1">
      <c r="A240" s="39">
        <f>IF('3757 - Wall Stickers'!B240 = "", "", IF('3757 - Wall Stickers-WUO_ERR'!A240 = "", "Validated", HYPERLINK("#" &amp; ADDRESS(240, '3757 - Wall Stickers-WUO_TRK'!A240),_xlfn.TEXTAFTER('3757 - Wall Stickers-WUO_ERR'!A240, ":"))))</f>
        <v>0</v>
      </c>
    </row>
    <row r="241" spans="1:1">
      <c r="A241" s="39">
        <f>IF('3757 - Wall Stickers'!B241 = "", "", IF('3757 - Wall Stickers-WUO_ERR'!A241 = "", "Validated", HYPERLINK("#" &amp; ADDRESS(241, '3757 - Wall Stickers-WUO_TRK'!A241),_xlfn.TEXTAFTER('3757 - Wall Stickers-WUO_ERR'!A241, ":"))))</f>
        <v>0</v>
      </c>
    </row>
    <row r="242" spans="1:1">
      <c r="A242" s="39">
        <f>IF('3757 - Wall Stickers'!B242 = "", "", IF('3757 - Wall Stickers-WUO_ERR'!A242 = "", "Validated", HYPERLINK("#" &amp; ADDRESS(242, '3757 - Wall Stickers-WUO_TRK'!A242),_xlfn.TEXTAFTER('3757 - Wall Stickers-WUO_ERR'!A242, ":"))))</f>
        <v>0</v>
      </c>
    </row>
    <row r="243" spans="1:1">
      <c r="A243" s="39">
        <f>IF('3757 - Wall Stickers'!B243 = "", "", IF('3757 - Wall Stickers-WUO_ERR'!A243 = "", "Validated", HYPERLINK("#" &amp; ADDRESS(243, '3757 - Wall Stickers-WUO_TRK'!A243),_xlfn.TEXTAFTER('3757 - Wall Stickers-WUO_ERR'!A243, ":"))))</f>
        <v>0</v>
      </c>
    </row>
    <row r="244" spans="1:1">
      <c r="A244" s="39">
        <f>IF('3757 - Wall Stickers'!B244 = "", "", IF('3757 - Wall Stickers-WUO_ERR'!A244 = "", "Validated", HYPERLINK("#" &amp; ADDRESS(244, '3757 - Wall Stickers-WUO_TRK'!A244),_xlfn.TEXTAFTER('3757 - Wall Stickers-WUO_ERR'!A244, ":"))))</f>
        <v>0</v>
      </c>
    </row>
    <row r="245" spans="1:1">
      <c r="A245" s="39">
        <f>IF('3757 - Wall Stickers'!B245 = "", "", IF('3757 - Wall Stickers-WUO_ERR'!A245 = "", "Validated", HYPERLINK("#" &amp; ADDRESS(245, '3757 - Wall Stickers-WUO_TRK'!A245),_xlfn.TEXTAFTER('3757 - Wall Stickers-WUO_ERR'!A245, ":"))))</f>
        <v>0</v>
      </c>
    </row>
    <row r="246" spans="1:1">
      <c r="A246" s="39">
        <f>IF('3757 - Wall Stickers'!B246 = "", "", IF('3757 - Wall Stickers-WUO_ERR'!A246 = "", "Validated", HYPERLINK("#" &amp; ADDRESS(246, '3757 - Wall Stickers-WUO_TRK'!A246),_xlfn.TEXTAFTER('3757 - Wall Stickers-WUO_ERR'!A246, ":"))))</f>
        <v>0</v>
      </c>
    </row>
    <row r="247" spans="1:1">
      <c r="A247" s="39">
        <f>IF('3757 - Wall Stickers'!B247 = "", "", IF('3757 - Wall Stickers-WUO_ERR'!A247 = "", "Validated", HYPERLINK("#" &amp; ADDRESS(247, '3757 - Wall Stickers-WUO_TRK'!A247),_xlfn.TEXTAFTER('3757 - Wall Stickers-WUO_ERR'!A247, ":"))))</f>
        <v>0</v>
      </c>
    </row>
    <row r="248" spans="1:1">
      <c r="A248" s="39">
        <f>IF('3757 - Wall Stickers'!B248 = "", "", IF('3757 - Wall Stickers-WUO_ERR'!A248 = "", "Validated", HYPERLINK("#" &amp; ADDRESS(248, '3757 - Wall Stickers-WUO_TRK'!A248),_xlfn.TEXTAFTER('3757 - Wall Stickers-WUO_ERR'!A248, ":"))))</f>
        <v>0</v>
      </c>
    </row>
    <row r="249" spans="1:1">
      <c r="A249" s="39">
        <f>IF('3757 - Wall Stickers'!B249 = "", "", IF('3757 - Wall Stickers-WUO_ERR'!A249 = "", "Validated", HYPERLINK("#" &amp; ADDRESS(249, '3757 - Wall Stickers-WUO_TRK'!A249),_xlfn.TEXTAFTER('3757 - Wall Stickers-WUO_ERR'!A249, ":"))))</f>
        <v>0</v>
      </c>
    </row>
    <row r="250" spans="1:1">
      <c r="A250" s="39">
        <f>IF('3757 - Wall Stickers'!B250 = "", "", IF('3757 - Wall Stickers-WUO_ERR'!A250 = "", "Validated", HYPERLINK("#" &amp; ADDRESS(250, '3757 - Wall Stickers-WUO_TRK'!A250),_xlfn.TEXTAFTER('3757 - Wall Stickers-WUO_ERR'!A250, ":"))))</f>
        <v>0</v>
      </c>
    </row>
    <row r="251" spans="1:1">
      <c r="A251" s="39">
        <f>IF('3757 - Wall Stickers'!B251 = "", "", IF('3757 - Wall Stickers-WUO_ERR'!A251 = "", "Validated", HYPERLINK("#" &amp; ADDRESS(251, '3757 - Wall Stickers-WUO_TRK'!A251),_xlfn.TEXTAFTER('3757 - Wall Stickers-WUO_ERR'!A251, ":"))))</f>
        <v>0</v>
      </c>
    </row>
    <row r="252" spans="1:1">
      <c r="A252" s="39">
        <f>IF('3757 - Wall Stickers'!B252 = "", "", IF('3757 - Wall Stickers-WUO_ERR'!A252 = "", "Validated", HYPERLINK("#" &amp; ADDRESS(252, '3757 - Wall Stickers-WUO_TRK'!A252),_xlfn.TEXTAFTER('3757 - Wall Stickers-WUO_ERR'!A252, ":"))))</f>
        <v>0</v>
      </c>
    </row>
    <row r="253" spans="1:1">
      <c r="A253" s="39">
        <f>IF('3757 - Wall Stickers'!B253 = "", "", IF('3757 - Wall Stickers-WUO_ERR'!A253 = "", "Validated", HYPERLINK("#" &amp; ADDRESS(253, '3757 - Wall Stickers-WUO_TRK'!A253),_xlfn.TEXTAFTER('3757 - Wall Stickers-WUO_ERR'!A253, ":"))))</f>
        <v>0</v>
      </c>
    </row>
    <row r="254" spans="1:1">
      <c r="A254" s="39">
        <f>IF('3757 - Wall Stickers'!B254 = "", "", IF('3757 - Wall Stickers-WUO_ERR'!A254 = "", "Validated", HYPERLINK("#" &amp; ADDRESS(254, '3757 - Wall Stickers-WUO_TRK'!A254),_xlfn.TEXTAFTER('3757 - Wall Stickers-WUO_ERR'!A254, ":"))))</f>
        <v>0</v>
      </c>
    </row>
    <row r="255" spans="1:1">
      <c r="A255" s="39">
        <f>IF('3757 - Wall Stickers'!B255 = "", "", IF('3757 - Wall Stickers-WUO_ERR'!A255 = "", "Validated", HYPERLINK("#" &amp; ADDRESS(255, '3757 - Wall Stickers-WUO_TRK'!A255),_xlfn.TEXTAFTER('3757 - Wall Stickers-WUO_ERR'!A255, ":"))))</f>
        <v>0</v>
      </c>
    </row>
    <row r="256" spans="1:1">
      <c r="A256" s="39">
        <f>IF('3757 - Wall Stickers'!B256 = "", "", IF('3757 - Wall Stickers-WUO_ERR'!A256 = "", "Validated", HYPERLINK("#" &amp; ADDRESS(256, '3757 - Wall Stickers-WUO_TRK'!A256),_xlfn.TEXTAFTER('3757 - Wall Stickers-WUO_ERR'!A256, ":"))))</f>
        <v>0</v>
      </c>
    </row>
    <row r="257" spans="1:1">
      <c r="A257" s="39">
        <f>IF('3757 - Wall Stickers'!B257 = "", "", IF('3757 - Wall Stickers-WUO_ERR'!A257 = "", "Validated", HYPERLINK("#" &amp; ADDRESS(257, '3757 - Wall Stickers-WUO_TRK'!A257),_xlfn.TEXTAFTER('3757 - Wall Stickers-WUO_ERR'!A257, ":"))))</f>
        <v>0</v>
      </c>
    </row>
    <row r="258" spans="1:1">
      <c r="A258" s="39">
        <f>IF('3757 - Wall Stickers'!B258 = "", "", IF('3757 - Wall Stickers-WUO_ERR'!A258 = "", "Validated", HYPERLINK("#" &amp; ADDRESS(258, '3757 - Wall Stickers-WUO_TRK'!A258),_xlfn.TEXTAFTER('3757 - Wall Stickers-WUO_ERR'!A258, ":"))))</f>
        <v>0</v>
      </c>
    </row>
    <row r="259" spans="1:1">
      <c r="A259" s="39">
        <f>IF('3757 - Wall Stickers'!B259 = "", "", IF('3757 - Wall Stickers-WUO_ERR'!A259 = "", "Validated", HYPERLINK("#" &amp; ADDRESS(259, '3757 - Wall Stickers-WUO_TRK'!A259),_xlfn.TEXTAFTER('3757 - Wall Stickers-WUO_ERR'!A259, ":"))))</f>
        <v>0</v>
      </c>
    </row>
    <row r="260" spans="1:1">
      <c r="A260" s="39">
        <f>IF('3757 - Wall Stickers'!B260 = "", "", IF('3757 - Wall Stickers-WUO_ERR'!A260 = "", "Validated", HYPERLINK("#" &amp; ADDRESS(260, '3757 - Wall Stickers-WUO_TRK'!A260),_xlfn.TEXTAFTER('3757 - Wall Stickers-WUO_ERR'!A260, ":"))))</f>
        <v>0</v>
      </c>
    </row>
    <row r="261" spans="1:1">
      <c r="A261" s="39">
        <f>IF('3757 - Wall Stickers'!B261 = "", "", IF('3757 - Wall Stickers-WUO_ERR'!A261 = "", "Validated", HYPERLINK("#" &amp; ADDRESS(261, '3757 - Wall Stickers-WUO_TRK'!A261),_xlfn.TEXTAFTER('3757 - Wall Stickers-WUO_ERR'!A261, ":"))))</f>
        <v>0</v>
      </c>
    </row>
    <row r="262" spans="1:1">
      <c r="A262" s="39">
        <f>IF('3757 - Wall Stickers'!B262 = "", "", IF('3757 - Wall Stickers-WUO_ERR'!A262 = "", "Validated", HYPERLINK("#" &amp; ADDRESS(262, '3757 - Wall Stickers-WUO_TRK'!A262),_xlfn.TEXTAFTER('3757 - Wall Stickers-WUO_ERR'!A262, ":"))))</f>
        <v>0</v>
      </c>
    </row>
    <row r="263" spans="1:1">
      <c r="A263" s="39">
        <f>IF('3757 - Wall Stickers'!B263 = "", "", IF('3757 - Wall Stickers-WUO_ERR'!A263 = "", "Validated", HYPERLINK("#" &amp; ADDRESS(263, '3757 - Wall Stickers-WUO_TRK'!A263),_xlfn.TEXTAFTER('3757 - Wall Stickers-WUO_ERR'!A263, ":"))))</f>
        <v>0</v>
      </c>
    </row>
    <row r="264" spans="1:1">
      <c r="A264" s="39">
        <f>IF('3757 - Wall Stickers'!B264 = "", "", IF('3757 - Wall Stickers-WUO_ERR'!A264 = "", "Validated", HYPERLINK("#" &amp; ADDRESS(264, '3757 - Wall Stickers-WUO_TRK'!A264),_xlfn.TEXTAFTER('3757 - Wall Stickers-WUO_ERR'!A264, ":"))))</f>
        <v>0</v>
      </c>
    </row>
    <row r="265" spans="1:1">
      <c r="A265" s="39">
        <f>IF('3757 - Wall Stickers'!B265 = "", "", IF('3757 - Wall Stickers-WUO_ERR'!A265 = "", "Validated", HYPERLINK("#" &amp; ADDRESS(265, '3757 - Wall Stickers-WUO_TRK'!A265),_xlfn.TEXTAFTER('3757 - Wall Stickers-WUO_ERR'!A265, ":"))))</f>
        <v>0</v>
      </c>
    </row>
    <row r="266" spans="1:1">
      <c r="A266" s="39">
        <f>IF('3757 - Wall Stickers'!B266 = "", "", IF('3757 - Wall Stickers-WUO_ERR'!A266 = "", "Validated", HYPERLINK("#" &amp; ADDRESS(266, '3757 - Wall Stickers-WUO_TRK'!A266),_xlfn.TEXTAFTER('3757 - Wall Stickers-WUO_ERR'!A266, ":"))))</f>
        <v>0</v>
      </c>
    </row>
    <row r="267" spans="1:1">
      <c r="A267" s="39">
        <f>IF('3757 - Wall Stickers'!B267 = "", "", IF('3757 - Wall Stickers-WUO_ERR'!A267 = "", "Validated", HYPERLINK("#" &amp; ADDRESS(267, '3757 - Wall Stickers-WUO_TRK'!A267),_xlfn.TEXTAFTER('3757 - Wall Stickers-WUO_ERR'!A267, ":"))))</f>
        <v>0</v>
      </c>
    </row>
    <row r="268" spans="1:1">
      <c r="A268" s="39">
        <f>IF('3757 - Wall Stickers'!B268 = "", "", IF('3757 - Wall Stickers-WUO_ERR'!A268 = "", "Validated", HYPERLINK("#" &amp; ADDRESS(268, '3757 - Wall Stickers-WUO_TRK'!A268),_xlfn.TEXTAFTER('3757 - Wall Stickers-WUO_ERR'!A268, ":"))))</f>
        <v>0</v>
      </c>
    </row>
    <row r="269" spans="1:1">
      <c r="A269" s="39">
        <f>IF('3757 - Wall Stickers'!B269 = "", "", IF('3757 - Wall Stickers-WUO_ERR'!A269 = "", "Validated", HYPERLINK("#" &amp; ADDRESS(269, '3757 - Wall Stickers-WUO_TRK'!A269),_xlfn.TEXTAFTER('3757 - Wall Stickers-WUO_ERR'!A269, ":"))))</f>
        <v>0</v>
      </c>
    </row>
    <row r="270" spans="1:1">
      <c r="A270" s="39">
        <f>IF('3757 - Wall Stickers'!B270 = "", "", IF('3757 - Wall Stickers-WUO_ERR'!A270 = "", "Validated", HYPERLINK("#" &amp; ADDRESS(270, '3757 - Wall Stickers-WUO_TRK'!A270),_xlfn.TEXTAFTER('3757 - Wall Stickers-WUO_ERR'!A270, ":"))))</f>
        <v>0</v>
      </c>
    </row>
    <row r="271" spans="1:1">
      <c r="A271" s="39">
        <f>IF('3757 - Wall Stickers'!B271 = "", "", IF('3757 - Wall Stickers-WUO_ERR'!A271 = "", "Validated", HYPERLINK("#" &amp; ADDRESS(271, '3757 - Wall Stickers-WUO_TRK'!A271),_xlfn.TEXTAFTER('3757 - Wall Stickers-WUO_ERR'!A271, ":"))))</f>
        <v>0</v>
      </c>
    </row>
    <row r="272" spans="1:1">
      <c r="A272" s="39">
        <f>IF('3757 - Wall Stickers'!B272 = "", "", IF('3757 - Wall Stickers-WUO_ERR'!A272 = "", "Validated", HYPERLINK("#" &amp; ADDRESS(272, '3757 - Wall Stickers-WUO_TRK'!A272),_xlfn.TEXTAFTER('3757 - Wall Stickers-WUO_ERR'!A272, ":"))))</f>
        <v>0</v>
      </c>
    </row>
    <row r="273" spans="1:1">
      <c r="A273" s="39">
        <f>IF('3757 - Wall Stickers'!B273 = "", "", IF('3757 - Wall Stickers-WUO_ERR'!A273 = "", "Validated", HYPERLINK("#" &amp; ADDRESS(273, '3757 - Wall Stickers-WUO_TRK'!A273),_xlfn.TEXTAFTER('3757 - Wall Stickers-WUO_ERR'!A273, ":"))))</f>
        <v>0</v>
      </c>
    </row>
    <row r="274" spans="1:1">
      <c r="A274" s="39">
        <f>IF('3757 - Wall Stickers'!B274 = "", "", IF('3757 - Wall Stickers-WUO_ERR'!A274 = "", "Validated", HYPERLINK("#" &amp; ADDRESS(274, '3757 - Wall Stickers-WUO_TRK'!A274),_xlfn.TEXTAFTER('3757 - Wall Stickers-WUO_ERR'!A274, ":"))))</f>
        <v>0</v>
      </c>
    </row>
    <row r="275" spans="1:1">
      <c r="A275" s="39">
        <f>IF('3757 - Wall Stickers'!B275 = "", "", IF('3757 - Wall Stickers-WUO_ERR'!A275 = "", "Validated", HYPERLINK("#" &amp; ADDRESS(275, '3757 - Wall Stickers-WUO_TRK'!A275),_xlfn.TEXTAFTER('3757 - Wall Stickers-WUO_ERR'!A275, ":"))))</f>
        <v>0</v>
      </c>
    </row>
    <row r="276" spans="1:1">
      <c r="A276" s="39">
        <f>IF('3757 - Wall Stickers'!B276 = "", "", IF('3757 - Wall Stickers-WUO_ERR'!A276 = "", "Validated", HYPERLINK("#" &amp; ADDRESS(276, '3757 - Wall Stickers-WUO_TRK'!A276),_xlfn.TEXTAFTER('3757 - Wall Stickers-WUO_ERR'!A276, ":"))))</f>
        <v>0</v>
      </c>
    </row>
    <row r="277" spans="1:1">
      <c r="A277" s="39">
        <f>IF('3757 - Wall Stickers'!B277 = "", "", IF('3757 - Wall Stickers-WUO_ERR'!A277 = "", "Validated", HYPERLINK("#" &amp; ADDRESS(277, '3757 - Wall Stickers-WUO_TRK'!A277),_xlfn.TEXTAFTER('3757 - Wall Stickers-WUO_ERR'!A277, ":"))))</f>
        <v>0</v>
      </c>
    </row>
    <row r="278" spans="1:1">
      <c r="A278" s="39">
        <f>IF('3757 - Wall Stickers'!B278 = "", "", IF('3757 - Wall Stickers-WUO_ERR'!A278 = "", "Validated", HYPERLINK("#" &amp; ADDRESS(278, '3757 - Wall Stickers-WUO_TRK'!A278),_xlfn.TEXTAFTER('3757 - Wall Stickers-WUO_ERR'!A278, ":"))))</f>
        <v>0</v>
      </c>
    </row>
    <row r="279" spans="1:1">
      <c r="A279" s="39">
        <f>IF('3757 - Wall Stickers'!B279 = "", "", IF('3757 - Wall Stickers-WUO_ERR'!A279 = "", "Validated", HYPERLINK("#" &amp; ADDRESS(279, '3757 - Wall Stickers-WUO_TRK'!A279),_xlfn.TEXTAFTER('3757 - Wall Stickers-WUO_ERR'!A279, ":"))))</f>
        <v>0</v>
      </c>
    </row>
    <row r="280" spans="1:1">
      <c r="A280" s="39">
        <f>IF('3757 - Wall Stickers'!B280 = "", "", IF('3757 - Wall Stickers-WUO_ERR'!A280 = "", "Validated", HYPERLINK("#" &amp; ADDRESS(280, '3757 - Wall Stickers-WUO_TRK'!A280),_xlfn.TEXTAFTER('3757 - Wall Stickers-WUO_ERR'!A280, ":"))))</f>
        <v>0</v>
      </c>
    </row>
    <row r="281" spans="1:1">
      <c r="A281" s="39">
        <f>IF('3757 - Wall Stickers'!B281 = "", "", IF('3757 - Wall Stickers-WUO_ERR'!A281 = "", "Validated", HYPERLINK("#" &amp; ADDRESS(281, '3757 - Wall Stickers-WUO_TRK'!A281),_xlfn.TEXTAFTER('3757 - Wall Stickers-WUO_ERR'!A281, ":"))))</f>
        <v>0</v>
      </c>
    </row>
    <row r="282" spans="1:1">
      <c r="A282" s="39">
        <f>IF('3757 - Wall Stickers'!B282 = "", "", IF('3757 - Wall Stickers-WUO_ERR'!A282 = "", "Validated", HYPERLINK("#" &amp; ADDRESS(282, '3757 - Wall Stickers-WUO_TRK'!A282),_xlfn.TEXTAFTER('3757 - Wall Stickers-WUO_ERR'!A282, ":"))))</f>
        <v>0</v>
      </c>
    </row>
    <row r="283" spans="1:1">
      <c r="A283" s="39">
        <f>IF('3757 - Wall Stickers'!B283 = "", "", IF('3757 - Wall Stickers-WUO_ERR'!A283 = "", "Validated", HYPERLINK("#" &amp; ADDRESS(283, '3757 - Wall Stickers-WUO_TRK'!A283),_xlfn.TEXTAFTER('3757 - Wall Stickers-WUO_ERR'!A283, ":"))))</f>
        <v>0</v>
      </c>
    </row>
    <row r="284" spans="1:1">
      <c r="A284" s="39">
        <f>IF('3757 - Wall Stickers'!B284 = "", "", IF('3757 - Wall Stickers-WUO_ERR'!A284 = "", "Validated", HYPERLINK("#" &amp; ADDRESS(284, '3757 - Wall Stickers-WUO_TRK'!A284),_xlfn.TEXTAFTER('3757 - Wall Stickers-WUO_ERR'!A284, ":"))))</f>
        <v>0</v>
      </c>
    </row>
    <row r="285" spans="1:1">
      <c r="A285" s="39">
        <f>IF('3757 - Wall Stickers'!B285 = "", "", IF('3757 - Wall Stickers-WUO_ERR'!A285 = "", "Validated", HYPERLINK("#" &amp; ADDRESS(285, '3757 - Wall Stickers-WUO_TRK'!A285),_xlfn.TEXTAFTER('3757 - Wall Stickers-WUO_ERR'!A285, ":"))))</f>
        <v>0</v>
      </c>
    </row>
    <row r="286" spans="1:1">
      <c r="A286" s="39">
        <f>IF('3757 - Wall Stickers'!B286 = "", "", IF('3757 - Wall Stickers-WUO_ERR'!A286 = "", "Validated", HYPERLINK("#" &amp; ADDRESS(286, '3757 - Wall Stickers-WUO_TRK'!A286),_xlfn.TEXTAFTER('3757 - Wall Stickers-WUO_ERR'!A286, ":"))))</f>
        <v>0</v>
      </c>
    </row>
    <row r="287" spans="1:1">
      <c r="A287" s="39">
        <f>IF('3757 - Wall Stickers'!B287 = "", "", IF('3757 - Wall Stickers-WUO_ERR'!A287 = "", "Validated", HYPERLINK("#" &amp; ADDRESS(287, '3757 - Wall Stickers-WUO_TRK'!A287),_xlfn.TEXTAFTER('3757 - Wall Stickers-WUO_ERR'!A287, ":"))))</f>
        <v>0</v>
      </c>
    </row>
    <row r="288" spans="1:1">
      <c r="A288" s="39">
        <f>IF('3757 - Wall Stickers'!B288 = "", "", IF('3757 - Wall Stickers-WUO_ERR'!A288 = "", "Validated", HYPERLINK("#" &amp; ADDRESS(288, '3757 - Wall Stickers-WUO_TRK'!A288),_xlfn.TEXTAFTER('3757 - Wall Stickers-WUO_ERR'!A288, ":"))))</f>
        <v>0</v>
      </c>
    </row>
    <row r="289" spans="1:1">
      <c r="A289" s="39">
        <f>IF('3757 - Wall Stickers'!B289 = "", "", IF('3757 - Wall Stickers-WUO_ERR'!A289 = "", "Validated", HYPERLINK("#" &amp; ADDRESS(289, '3757 - Wall Stickers-WUO_TRK'!A289),_xlfn.TEXTAFTER('3757 - Wall Stickers-WUO_ERR'!A289, ":"))))</f>
        <v>0</v>
      </c>
    </row>
    <row r="290" spans="1:1">
      <c r="A290" s="39">
        <f>IF('3757 - Wall Stickers'!B290 = "", "", IF('3757 - Wall Stickers-WUO_ERR'!A290 = "", "Validated", HYPERLINK("#" &amp; ADDRESS(290, '3757 - Wall Stickers-WUO_TRK'!A290),_xlfn.TEXTAFTER('3757 - Wall Stickers-WUO_ERR'!A290, ":"))))</f>
        <v>0</v>
      </c>
    </row>
    <row r="291" spans="1:1">
      <c r="A291" s="39">
        <f>IF('3757 - Wall Stickers'!B291 = "", "", IF('3757 - Wall Stickers-WUO_ERR'!A291 = "", "Validated", HYPERLINK("#" &amp; ADDRESS(291, '3757 - Wall Stickers-WUO_TRK'!A291),_xlfn.TEXTAFTER('3757 - Wall Stickers-WUO_ERR'!A291, ":"))))</f>
        <v>0</v>
      </c>
    </row>
    <row r="292" spans="1:1">
      <c r="A292" s="39">
        <f>IF('3757 - Wall Stickers'!B292 = "", "", IF('3757 - Wall Stickers-WUO_ERR'!A292 = "", "Validated", HYPERLINK("#" &amp; ADDRESS(292, '3757 - Wall Stickers-WUO_TRK'!A292),_xlfn.TEXTAFTER('3757 - Wall Stickers-WUO_ERR'!A292, ":"))))</f>
        <v>0</v>
      </c>
    </row>
    <row r="293" spans="1:1">
      <c r="A293" s="39">
        <f>IF('3757 - Wall Stickers'!B293 = "", "", IF('3757 - Wall Stickers-WUO_ERR'!A293 = "", "Validated", HYPERLINK("#" &amp; ADDRESS(293, '3757 - Wall Stickers-WUO_TRK'!A293),_xlfn.TEXTAFTER('3757 - Wall Stickers-WUO_ERR'!A293, ":"))))</f>
        <v>0</v>
      </c>
    </row>
    <row r="294" spans="1:1">
      <c r="A294" s="39">
        <f>IF('3757 - Wall Stickers'!B294 = "", "", IF('3757 - Wall Stickers-WUO_ERR'!A294 = "", "Validated", HYPERLINK("#" &amp; ADDRESS(294, '3757 - Wall Stickers-WUO_TRK'!A294),_xlfn.TEXTAFTER('3757 - Wall Stickers-WUO_ERR'!A294, ":"))))</f>
        <v>0</v>
      </c>
    </row>
    <row r="295" spans="1:1">
      <c r="A295" s="39">
        <f>IF('3757 - Wall Stickers'!B295 = "", "", IF('3757 - Wall Stickers-WUO_ERR'!A295 = "", "Validated", HYPERLINK("#" &amp; ADDRESS(295, '3757 - Wall Stickers-WUO_TRK'!A295),_xlfn.TEXTAFTER('3757 - Wall Stickers-WUO_ERR'!A295, ":"))))</f>
        <v>0</v>
      </c>
    </row>
    <row r="296" spans="1:1">
      <c r="A296" s="39">
        <f>IF('3757 - Wall Stickers'!B296 = "", "", IF('3757 - Wall Stickers-WUO_ERR'!A296 = "", "Validated", HYPERLINK("#" &amp; ADDRESS(296, '3757 - Wall Stickers-WUO_TRK'!A296),_xlfn.TEXTAFTER('3757 - Wall Stickers-WUO_ERR'!A296, ":"))))</f>
        <v>0</v>
      </c>
    </row>
    <row r="297" spans="1:1">
      <c r="A297" s="39">
        <f>IF('3757 - Wall Stickers'!B297 = "", "", IF('3757 - Wall Stickers-WUO_ERR'!A297 = "", "Validated", HYPERLINK("#" &amp; ADDRESS(297, '3757 - Wall Stickers-WUO_TRK'!A297),_xlfn.TEXTAFTER('3757 - Wall Stickers-WUO_ERR'!A297, ":"))))</f>
        <v>0</v>
      </c>
    </row>
    <row r="298" spans="1:1">
      <c r="A298" s="39">
        <f>IF('3757 - Wall Stickers'!B298 = "", "", IF('3757 - Wall Stickers-WUO_ERR'!A298 = "", "Validated", HYPERLINK("#" &amp; ADDRESS(298, '3757 - Wall Stickers-WUO_TRK'!A298),_xlfn.TEXTAFTER('3757 - Wall Stickers-WUO_ERR'!A298, ":"))))</f>
        <v>0</v>
      </c>
    </row>
    <row r="299" spans="1:1">
      <c r="A299" s="39">
        <f>IF('3757 - Wall Stickers'!B299 = "", "", IF('3757 - Wall Stickers-WUO_ERR'!A299 = "", "Validated", HYPERLINK("#" &amp; ADDRESS(299, '3757 - Wall Stickers-WUO_TRK'!A299),_xlfn.TEXTAFTER('3757 - Wall Stickers-WUO_ERR'!A299, ":"))))</f>
        <v>0</v>
      </c>
    </row>
    <row r="300" spans="1:1">
      <c r="A300" s="39">
        <f>IF('3757 - Wall Stickers'!B300 = "", "", IF('3757 - Wall Stickers-WUO_ERR'!A300 = "", "Validated", HYPERLINK("#" &amp; ADDRESS(300, '3757 - Wall Stickers-WUO_TRK'!A300),_xlfn.TEXTAFTER('3757 - Wall Stickers-WUO_ERR'!A300, ":"))))</f>
        <v>0</v>
      </c>
    </row>
    <row r="301" spans="1:1">
      <c r="A301" s="39">
        <f>IF('3757 - Wall Stickers'!B301 = "", "", IF('3757 - Wall Stickers-WUO_ERR'!A301 = "", "Validated", HYPERLINK("#" &amp; ADDRESS(301, '3757 - Wall Stickers-WUO_TRK'!A301),_xlfn.TEXTAFTER('3757 - Wall Stickers-WUO_ERR'!A301, ":"))))</f>
        <v>0</v>
      </c>
    </row>
    <row r="302" spans="1:1">
      <c r="A302" s="39">
        <f>IF('3757 - Wall Stickers'!B302 = "", "", IF('3757 - Wall Stickers-WUO_ERR'!A302 = "", "Validated", HYPERLINK("#" &amp; ADDRESS(302, '3757 - Wall Stickers-WUO_TRK'!A302),_xlfn.TEXTAFTER('3757 - Wall Stickers-WUO_ERR'!A302, ":"))))</f>
        <v>0</v>
      </c>
    </row>
    <row r="303" spans="1:1">
      <c r="A303" s="39">
        <f>IF('3757 - Wall Stickers'!B303 = "", "", IF('3757 - Wall Stickers-WUO_ERR'!A303 = "", "Validated", HYPERLINK("#" &amp; ADDRESS(303, '3757 - Wall Stickers-WUO_TRK'!A303),_xlfn.TEXTAFTER('3757 - Wall Stickers-WUO_ERR'!A303, ":"))))</f>
        <v>0</v>
      </c>
    </row>
    <row r="304" spans="1:1">
      <c r="A304" s="39">
        <f>IF('3757 - Wall Stickers'!B304 = "", "", IF('3757 - Wall Stickers-WUO_ERR'!A304 = "", "Validated", HYPERLINK("#" &amp; ADDRESS(304, '3757 - Wall Stickers-WUO_TRK'!A304),_xlfn.TEXTAFTER('3757 - Wall Stickers-WUO_ERR'!A304, ":"))))</f>
        <v>0</v>
      </c>
    </row>
    <row r="305" spans="1:1">
      <c r="A305" s="39">
        <f>IF('3757 - Wall Stickers'!B305 = "", "", IF('3757 - Wall Stickers-WUO_ERR'!A305 = "", "Validated", HYPERLINK("#" &amp; ADDRESS(305, '3757 - Wall Stickers-WUO_TRK'!A305),_xlfn.TEXTAFTER('3757 - Wall Stickers-WUO_ERR'!A305, ":"))))</f>
        <v>0</v>
      </c>
    </row>
    <row r="306" spans="1:1">
      <c r="A306" s="39">
        <f>IF('3757 - Wall Stickers'!B306 = "", "", IF('3757 - Wall Stickers-WUO_ERR'!A306 = "", "Validated", HYPERLINK("#" &amp; ADDRESS(306, '3757 - Wall Stickers-WUO_TRK'!A306),_xlfn.TEXTAFTER('3757 - Wall Stickers-WUO_ERR'!A306, ":"))))</f>
        <v>0</v>
      </c>
    </row>
    <row r="307" spans="1:1">
      <c r="A307" s="39">
        <f>IF('3757 - Wall Stickers'!B307 = "", "", IF('3757 - Wall Stickers-WUO_ERR'!A307 = "", "Validated", HYPERLINK("#" &amp; ADDRESS(307, '3757 - Wall Stickers-WUO_TRK'!A307),_xlfn.TEXTAFTER('3757 - Wall Stickers-WUO_ERR'!A307, ":"))))</f>
        <v>0</v>
      </c>
    </row>
    <row r="308" spans="1:1">
      <c r="A308" s="39">
        <f>IF('3757 - Wall Stickers'!B308 = "", "", IF('3757 - Wall Stickers-WUO_ERR'!A308 = "", "Validated", HYPERLINK("#" &amp; ADDRESS(308, '3757 - Wall Stickers-WUO_TRK'!A308),_xlfn.TEXTAFTER('3757 - Wall Stickers-WUO_ERR'!A308, ":"))))</f>
        <v>0</v>
      </c>
    </row>
    <row r="309" spans="1:1">
      <c r="A309" s="39">
        <f>IF('3757 - Wall Stickers'!B309 = "", "", IF('3757 - Wall Stickers-WUO_ERR'!A309 = "", "Validated", HYPERLINK("#" &amp; ADDRESS(309, '3757 - Wall Stickers-WUO_TRK'!A309),_xlfn.TEXTAFTER('3757 - Wall Stickers-WUO_ERR'!A309, ":"))))</f>
        <v>0</v>
      </c>
    </row>
    <row r="310" spans="1:1">
      <c r="A310" s="39">
        <f>IF('3757 - Wall Stickers'!B310 = "", "", IF('3757 - Wall Stickers-WUO_ERR'!A310 = "", "Validated", HYPERLINK("#" &amp; ADDRESS(310, '3757 - Wall Stickers-WUO_TRK'!A310),_xlfn.TEXTAFTER('3757 - Wall Stickers-WUO_ERR'!A310, ":"))))</f>
        <v>0</v>
      </c>
    </row>
    <row r="311" spans="1:1">
      <c r="A311" s="39">
        <f>IF('3757 - Wall Stickers'!B311 = "", "", IF('3757 - Wall Stickers-WUO_ERR'!A311 = "", "Validated", HYPERLINK("#" &amp; ADDRESS(311, '3757 - Wall Stickers-WUO_TRK'!A311),_xlfn.TEXTAFTER('3757 - Wall Stickers-WUO_ERR'!A311, ":"))))</f>
        <v>0</v>
      </c>
    </row>
    <row r="312" spans="1:1">
      <c r="A312" s="39">
        <f>IF('3757 - Wall Stickers'!B312 = "", "", IF('3757 - Wall Stickers-WUO_ERR'!A312 = "", "Validated", HYPERLINK("#" &amp; ADDRESS(312, '3757 - Wall Stickers-WUO_TRK'!A312),_xlfn.TEXTAFTER('3757 - Wall Stickers-WUO_ERR'!A312, ":"))))</f>
        <v>0</v>
      </c>
    </row>
    <row r="313" spans="1:1">
      <c r="A313" s="39">
        <f>IF('3757 - Wall Stickers'!B313 = "", "", IF('3757 - Wall Stickers-WUO_ERR'!A313 = "", "Validated", HYPERLINK("#" &amp; ADDRESS(313, '3757 - Wall Stickers-WUO_TRK'!A313),_xlfn.TEXTAFTER('3757 - Wall Stickers-WUO_ERR'!A313, ":"))))</f>
        <v>0</v>
      </c>
    </row>
    <row r="314" spans="1:1">
      <c r="A314" s="39">
        <f>IF('3757 - Wall Stickers'!B314 = "", "", IF('3757 - Wall Stickers-WUO_ERR'!A314 = "", "Validated", HYPERLINK("#" &amp; ADDRESS(314, '3757 - Wall Stickers-WUO_TRK'!A314),_xlfn.TEXTAFTER('3757 - Wall Stickers-WUO_ERR'!A314, ":"))))</f>
        <v>0</v>
      </c>
    </row>
    <row r="315" spans="1:1">
      <c r="A315" s="39">
        <f>IF('3757 - Wall Stickers'!B315 = "", "", IF('3757 - Wall Stickers-WUO_ERR'!A315 = "", "Validated", HYPERLINK("#" &amp; ADDRESS(315, '3757 - Wall Stickers-WUO_TRK'!A315),_xlfn.TEXTAFTER('3757 - Wall Stickers-WUO_ERR'!A315, ":"))))</f>
        <v>0</v>
      </c>
    </row>
    <row r="316" spans="1:1">
      <c r="A316" s="39">
        <f>IF('3757 - Wall Stickers'!B316 = "", "", IF('3757 - Wall Stickers-WUO_ERR'!A316 = "", "Validated", HYPERLINK("#" &amp; ADDRESS(316, '3757 - Wall Stickers-WUO_TRK'!A316),_xlfn.TEXTAFTER('3757 - Wall Stickers-WUO_ERR'!A316, ":"))))</f>
        <v>0</v>
      </c>
    </row>
    <row r="317" spans="1:1">
      <c r="A317" s="39">
        <f>IF('3757 - Wall Stickers'!B317 = "", "", IF('3757 - Wall Stickers-WUO_ERR'!A317 = "", "Validated", HYPERLINK("#" &amp; ADDRESS(317, '3757 - Wall Stickers-WUO_TRK'!A317),_xlfn.TEXTAFTER('3757 - Wall Stickers-WUO_ERR'!A317, ":"))))</f>
        <v>0</v>
      </c>
    </row>
    <row r="318" spans="1:1">
      <c r="A318" s="39">
        <f>IF('3757 - Wall Stickers'!B318 = "", "", IF('3757 - Wall Stickers-WUO_ERR'!A318 = "", "Validated", HYPERLINK("#" &amp; ADDRESS(318, '3757 - Wall Stickers-WUO_TRK'!A318),_xlfn.TEXTAFTER('3757 - Wall Stickers-WUO_ERR'!A318, ":"))))</f>
        <v>0</v>
      </c>
    </row>
    <row r="319" spans="1:1">
      <c r="A319" s="39">
        <f>IF('3757 - Wall Stickers'!B319 = "", "", IF('3757 - Wall Stickers-WUO_ERR'!A319 = "", "Validated", HYPERLINK("#" &amp; ADDRESS(319, '3757 - Wall Stickers-WUO_TRK'!A319),_xlfn.TEXTAFTER('3757 - Wall Stickers-WUO_ERR'!A319, ":"))))</f>
        <v>0</v>
      </c>
    </row>
    <row r="320" spans="1:1">
      <c r="A320" s="39">
        <f>IF('3757 - Wall Stickers'!B320 = "", "", IF('3757 - Wall Stickers-WUO_ERR'!A320 = "", "Validated", HYPERLINK("#" &amp; ADDRESS(320, '3757 - Wall Stickers-WUO_TRK'!A320),_xlfn.TEXTAFTER('3757 - Wall Stickers-WUO_ERR'!A320, ":"))))</f>
        <v>0</v>
      </c>
    </row>
    <row r="321" spans="1:1">
      <c r="A321" s="39">
        <f>IF('3757 - Wall Stickers'!B321 = "", "", IF('3757 - Wall Stickers-WUO_ERR'!A321 = "", "Validated", HYPERLINK("#" &amp; ADDRESS(321, '3757 - Wall Stickers-WUO_TRK'!A321),_xlfn.TEXTAFTER('3757 - Wall Stickers-WUO_ERR'!A321, ":"))))</f>
        <v>0</v>
      </c>
    </row>
    <row r="322" spans="1:1">
      <c r="A322" s="39">
        <f>IF('3757 - Wall Stickers'!B322 = "", "", IF('3757 - Wall Stickers-WUO_ERR'!A322 = "", "Validated", HYPERLINK("#" &amp; ADDRESS(322, '3757 - Wall Stickers-WUO_TRK'!A322),_xlfn.TEXTAFTER('3757 - Wall Stickers-WUO_ERR'!A322, ":"))))</f>
        <v>0</v>
      </c>
    </row>
    <row r="323" spans="1:1">
      <c r="A323" s="39">
        <f>IF('3757 - Wall Stickers'!B323 = "", "", IF('3757 - Wall Stickers-WUO_ERR'!A323 = "", "Validated", HYPERLINK("#" &amp; ADDRESS(323, '3757 - Wall Stickers-WUO_TRK'!A323),_xlfn.TEXTAFTER('3757 - Wall Stickers-WUO_ERR'!A323, ":"))))</f>
        <v>0</v>
      </c>
    </row>
    <row r="324" spans="1:1">
      <c r="A324" s="39">
        <f>IF('3757 - Wall Stickers'!B324 = "", "", IF('3757 - Wall Stickers-WUO_ERR'!A324 = "", "Validated", HYPERLINK("#" &amp; ADDRESS(324, '3757 - Wall Stickers-WUO_TRK'!A324),_xlfn.TEXTAFTER('3757 - Wall Stickers-WUO_ERR'!A324, ":"))))</f>
        <v>0</v>
      </c>
    </row>
    <row r="325" spans="1:1">
      <c r="A325" s="39">
        <f>IF('3757 - Wall Stickers'!B325 = "", "", IF('3757 - Wall Stickers-WUO_ERR'!A325 = "", "Validated", HYPERLINK("#" &amp; ADDRESS(325, '3757 - Wall Stickers-WUO_TRK'!A325),_xlfn.TEXTAFTER('3757 - Wall Stickers-WUO_ERR'!A325, ":"))))</f>
        <v>0</v>
      </c>
    </row>
    <row r="326" spans="1:1">
      <c r="A326" s="39">
        <f>IF('3757 - Wall Stickers'!B326 = "", "", IF('3757 - Wall Stickers-WUO_ERR'!A326 = "", "Validated", HYPERLINK("#" &amp; ADDRESS(326, '3757 - Wall Stickers-WUO_TRK'!A326),_xlfn.TEXTAFTER('3757 - Wall Stickers-WUO_ERR'!A326, ":"))))</f>
        <v>0</v>
      </c>
    </row>
    <row r="327" spans="1:1">
      <c r="A327" s="39">
        <f>IF('3757 - Wall Stickers'!B327 = "", "", IF('3757 - Wall Stickers-WUO_ERR'!A327 = "", "Validated", HYPERLINK("#" &amp; ADDRESS(327, '3757 - Wall Stickers-WUO_TRK'!A327),_xlfn.TEXTAFTER('3757 - Wall Stickers-WUO_ERR'!A327, ":"))))</f>
        <v>0</v>
      </c>
    </row>
    <row r="328" spans="1:1">
      <c r="A328" s="39">
        <f>IF('3757 - Wall Stickers'!B328 = "", "", IF('3757 - Wall Stickers-WUO_ERR'!A328 = "", "Validated", HYPERLINK("#" &amp; ADDRESS(328, '3757 - Wall Stickers-WUO_TRK'!A328),_xlfn.TEXTAFTER('3757 - Wall Stickers-WUO_ERR'!A328, ":"))))</f>
        <v>0</v>
      </c>
    </row>
    <row r="329" spans="1:1">
      <c r="A329" s="39">
        <f>IF('3757 - Wall Stickers'!B329 = "", "", IF('3757 - Wall Stickers-WUO_ERR'!A329 = "", "Validated", HYPERLINK("#" &amp; ADDRESS(329, '3757 - Wall Stickers-WUO_TRK'!A329),_xlfn.TEXTAFTER('3757 - Wall Stickers-WUO_ERR'!A329, ":"))))</f>
        <v>0</v>
      </c>
    </row>
    <row r="330" spans="1:1">
      <c r="A330" s="39">
        <f>IF('3757 - Wall Stickers'!B330 = "", "", IF('3757 - Wall Stickers-WUO_ERR'!A330 = "", "Validated", HYPERLINK("#" &amp; ADDRESS(330, '3757 - Wall Stickers-WUO_TRK'!A330),_xlfn.TEXTAFTER('3757 - Wall Stickers-WUO_ERR'!A330, ":"))))</f>
        <v>0</v>
      </c>
    </row>
    <row r="331" spans="1:1">
      <c r="A331" s="39">
        <f>IF('3757 - Wall Stickers'!B331 = "", "", IF('3757 - Wall Stickers-WUO_ERR'!A331 = "", "Validated", HYPERLINK("#" &amp; ADDRESS(331, '3757 - Wall Stickers-WUO_TRK'!A331),_xlfn.TEXTAFTER('3757 - Wall Stickers-WUO_ERR'!A331, ":"))))</f>
        <v>0</v>
      </c>
    </row>
    <row r="332" spans="1:1">
      <c r="A332" s="39">
        <f>IF('3757 - Wall Stickers'!B332 = "", "", IF('3757 - Wall Stickers-WUO_ERR'!A332 = "", "Validated", HYPERLINK("#" &amp; ADDRESS(332, '3757 - Wall Stickers-WUO_TRK'!A332),_xlfn.TEXTAFTER('3757 - Wall Stickers-WUO_ERR'!A332, ":"))))</f>
        <v>0</v>
      </c>
    </row>
    <row r="333" spans="1:1">
      <c r="A333" s="39">
        <f>IF('3757 - Wall Stickers'!B333 = "", "", IF('3757 - Wall Stickers-WUO_ERR'!A333 = "", "Validated", HYPERLINK("#" &amp; ADDRESS(333, '3757 - Wall Stickers-WUO_TRK'!A333),_xlfn.TEXTAFTER('3757 - Wall Stickers-WUO_ERR'!A333, ":"))))</f>
        <v>0</v>
      </c>
    </row>
    <row r="334" spans="1:1">
      <c r="A334" s="39">
        <f>IF('3757 - Wall Stickers'!B334 = "", "", IF('3757 - Wall Stickers-WUO_ERR'!A334 = "", "Validated", HYPERLINK("#" &amp; ADDRESS(334, '3757 - Wall Stickers-WUO_TRK'!A334),_xlfn.TEXTAFTER('3757 - Wall Stickers-WUO_ERR'!A334, ":"))))</f>
        <v>0</v>
      </c>
    </row>
    <row r="335" spans="1:1">
      <c r="A335" s="39">
        <f>IF('3757 - Wall Stickers'!B335 = "", "", IF('3757 - Wall Stickers-WUO_ERR'!A335 = "", "Validated", HYPERLINK("#" &amp; ADDRESS(335, '3757 - Wall Stickers-WUO_TRK'!A335),_xlfn.TEXTAFTER('3757 - Wall Stickers-WUO_ERR'!A335, ":"))))</f>
        <v>0</v>
      </c>
    </row>
    <row r="336" spans="1:1">
      <c r="A336" s="39">
        <f>IF('3757 - Wall Stickers'!B336 = "", "", IF('3757 - Wall Stickers-WUO_ERR'!A336 = "", "Validated", HYPERLINK("#" &amp; ADDRESS(336, '3757 - Wall Stickers-WUO_TRK'!A336),_xlfn.TEXTAFTER('3757 - Wall Stickers-WUO_ERR'!A336, ":"))))</f>
        <v>0</v>
      </c>
    </row>
    <row r="337" spans="1:1">
      <c r="A337" s="39">
        <f>IF('3757 - Wall Stickers'!B337 = "", "", IF('3757 - Wall Stickers-WUO_ERR'!A337 = "", "Validated", HYPERLINK("#" &amp; ADDRESS(337, '3757 - Wall Stickers-WUO_TRK'!A337),_xlfn.TEXTAFTER('3757 - Wall Stickers-WUO_ERR'!A337, ":"))))</f>
        <v>0</v>
      </c>
    </row>
    <row r="338" spans="1:1">
      <c r="A338" s="39">
        <f>IF('3757 - Wall Stickers'!B338 = "", "", IF('3757 - Wall Stickers-WUO_ERR'!A338 = "", "Validated", HYPERLINK("#" &amp; ADDRESS(338, '3757 - Wall Stickers-WUO_TRK'!A338),_xlfn.TEXTAFTER('3757 - Wall Stickers-WUO_ERR'!A338, ":"))))</f>
        <v>0</v>
      </c>
    </row>
    <row r="339" spans="1:1">
      <c r="A339" s="39">
        <f>IF('3757 - Wall Stickers'!B339 = "", "", IF('3757 - Wall Stickers-WUO_ERR'!A339 = "", "Validated", HYPERLINK("#" &amp; ADDRESS(339, '3757 - Wall Stickers-WUO_TRK'!A339),_xlfn.TEXTAFTER('3757 - Wall Stickers-WUO_ERR'!A339, ":"))))</f>
        <v>0</v>
      </c>
    </row>
    <row r="340" spans="1:1">
      <c r="A340" s="39">
        <f>IF('3757 - Wall Stickers'!B340 = "", "", IF('3757 - Wall Stickers-WUO_ERR'!A340 = "", "Validated", HYPERLINK("#" &amp; ADDRESS(340, '3757 - Wall Stickers-WUO_TRK'!A340),_xlfn.TEXTAFTER('3757 - Wall Stickers-WUO_ERR'!A340, ":"))))</f>
        <v>0</v>
      </c>
    </row>
    <row r="341" spans="1:1">
      <c r="A341" s="39">
        <f>IF('3757 - Wall Stickers'!B341 = "", "", IF('3757 - Wall Stickers-WUO_ERR'!A341 = "", "Validated", HYPERLINK("#" &amp; ADDRESS(341, '3757 - Wall Stickers-WUO_TRK'!A341),_xlfn.TEXTAFTER('3757 - Wall Stickers-WUO_ERR'!A341, ":"))))</f>
        <v>0</v>
      </c>
    </row>
    <row r="342" spans="1:1">
      <c r="A342" s="39">
        <f>IF('3757 - Wall Stickers'!B342 = "", "", IF('3757 - Wall Stickers-WUO_ERR'!A342 = "", "Validated", HYPERLINK("#" &amp; ADDRESS(342, '3757 - Wall Stickers-WUO_TRK'!A342),_xlfn.TEXTAFTER('3757 - Wall Stickers-WUO_ERR'!A342, ":"))))</f>
        <v>0</v>
      </c>
    </row>
    <row r="343" spans="1:1">
      <c r="A343" s="39">
        <f>IF('3757 - Wall Stickers'!B343 = "", "", IF('3757 - Wall Stickers-WUO_ERR'!A343 = "", "Validated", HYPERLINK("#" &amp; ADDRESS(343, '3757 - Wall Stickers-WUO_TRK'!A343),_xlfn.TEXTAFTER('3757 - Wall Stickers-WUO_ERR'!A343, ":"))))</f>
        <v>0</v>
      </c>
    </row>
    <row r="344" spans="1:1">
      <c r="A344" s="39">
        <f>IF('3757 - Wall Stickers'!B344 = "", "", IF('3757 - Wall Stickers-WUO_ERR'!A344 = "", "Validated", HYPERLINK("#" &amp; ADDRESS(344, '3757 - Wall Stickers-WUO_TRK'!A344),_xlfn.TEXTAFTER('3757 - Wall Stickers-WUO_ERR'!A344, ":"))))</f>
        <v>0</v>
      </c>
    </row>
    <row r="345" spans="1:1">
      <c r="A345" s="39">
        <f>IF('3757 - Wall Stickers'!B345 = "", "", IF('3757 - Wall Stickers-WUO_ERR'!A345 = "", "Validated", HYPERLINK("#" &amp; ADDRESS(345, '3757 - Wall Stickers-WUO_TRK'!A345),_xlfn.TEXTAFTER('3757 - Wall Stickers-WUO_ERR'!A345, ":"))))</f>
        <v>0</v>
      </c>
    </row>
    <row r="346" spans="1:1">
      <c r="A346" s="39">
        <f>IF('3757 - Wall Stickers'!B346 = "", "", IF('3757 - Wall Stickers-WUO_ERR'!A346 = "", "Validated", HYPERLINK("#" &amp; ADDRESS(346, '3757 - Wall Stickers-WUO_TRK'!A346),_xlfn.TEXTAFTER('3757 - Wall Stickers-WUO_ERR'!A346, ":"))))</f>
        <v>0</v>
      </c>
    </row>
    <row r="347" spans="1:1">
      <c r="A347" s="39">
        <f>IF('3757 - Wall Stickers'!B347 = "", "", IF('3757 - Wall Stickers-WUO_ERR'!A347 = "", "Validated", HYPERLINK("#" &amp; ADDRESS(347, '3757 - Wall Stickers-WUO_TRK'!A347),_xlfn.TEXTAFTER('3757 - Wall Stickers-WUO_ERR'!A347, ":"))))</f>
        <v>0</v>
      </c>
    </row>
    <row r="348" spans="1:1">
      <c r="A348" s="39">
        <f>IF('3757 - Wall Stickers'!B348 = "", "", IF('3757 - Wall Stickers-WUO_ERR'!A348 = "", "Validated", HYPERLINK("#" &amp; ADDRESS(348, '3757 - Wall Stickers-WUO_TRK'!A348),_xlfn.TEXTAFTER('3757 - Wall Stickers-WUO_ERR'!A348, ":"))))</f>
        <v>0</v>
      </c>
    </row>
    <row r="349" spans="1:1">
      <c r="A349" s="39">
        <f>IF('3757 - Wall Stickers'!B349 = "", "", IF('3757 - Wall Stickers-WUO_ERR'!A349 = "", "Validated", HYPERLINK("#" &amp; ADDRESS(349, '3757 - Wall Stickers-WUO_TRK'!A349),_xlfn.TEXTAFTER('3757 - Wall Stickers-WUO_ERR'!A349, ":"))))</f>
        <v>0</v>
      </c>
    </row>
    <row r="350" spans="1:1">
      <c r="A350" s="39">
        <f>IF('3757 - Wall Stickers'!B350 = "", "", IF('3757 - Wall Stickers-WUO_ERR'!A350 = "", "Validated", HYPERLINK("#" &amp; ADDRESS(350, '3757 - Wall Stickers-WUO_TRK'!A350),_xlfn.TEXTAFTER('3757 - Wall Stickers-WUO_ERR'!A350, ":"))))</f>
        <v>0</v>
      </c>
    </row>
    <row r="351" spans="1:1">
      <c r="A351" s="39">
        <f>IF('3757 - Wall Stickers'!B351 = "", "", IF('3757 - Wall Stickers-WUO_ERR'!A351 = "", "Validated", HYPERLINK("#" &amp; ADDRESS(351, '3757 - Wall Stickers-WUO_TRK'!A351),_xlfn.TEXTAFTER('3757 - Wall Stickers-WUO_ERR'!A351, ":"))))</f>
        <v>0</v>
      </c>
    </row>
    <row r="352" spans="1:1">
      <c r="A352" s="39">
        <f>IF('3757 - Wall Stickers'!B352 = "", "", IF('3757 - Wall Stickers-WUO_ERR'!A352 = "", "Validated", HYPERLINK("#" &amp; ADDRESS(352, '3757 - Wall Stickers-WUO_TRK'!A352),_xlfn.TEXTAFTER('3757 - Wall Stickers-WUO_ERR'!A352, ":"))))</f>
        <v>0</v>
      </c>
    </row>
    <row r="353" spans="1:1">
      <c r="A353" s="39">
        <f>IF('3757 - Wall Stickers'!B353 = "", "", IF('3757 - Wall Stickers-WUO_ERR'!A353 = "", "Validated", HYPERLINK("#" &amp; ADDRESS(353, '3757 - Wall Stickers-WUO_TRK'!A353),_xlfn.TEXTAFTER('3757 - Wall Stickers-WUO_ERR'!A353, ":"))))</f>
        <v>0</v>
      </c>
    </row>
    <row r="354" spans="1:1">
      <c r="A354" s="39">
        <f>IF('3757 - Wall Stickers'!B354 = "", "", IF('3757 - Wall Stickers-WUO_ERR'!A354 = "", "Validated", HYPERLINK("#" &amp; ADDRESS(354, '3757 - Wall Stickers-WUO_TRK'!A354),_xlfn.TEXTAFTER('3757 - Wall Stickers-WUO_ERR'!A354, ":"))))</f>
        <v>0</v>
      </c>
    </row>
    <row r="355" spans="1:1">
      <c r="A355" s="39">
        <f>IF('3757 - Wall Stickers'!B355 = "", "", IF('3757 - Wall Stickers-WUO_ERR'!A355 = "", "Validated", HYPERLINK("#" &amp; ADDRESS(355, '3757 - Wall Stickers-WUO_TRK'!A355),_xlfn.TEXTAFTER('3757 - Wall Stickers-WUO_ERR'!A355, ":"))))</f>
        <v>0</v>
      </c>
    </row>
    <row r="356" spans="1:1">
      <c r="A356" s="39">
        <f>IF('3757 - Wall Stickers'!B356 = "", "", IF('3757 - Wall Stickers-WUO_ERR'!A356 = "", "Validated", HYPERLINK("#" &amp; ADDRESS(356, '3757 - Wall Stickers-WUO_TRK'!A356),_xlfn.TEXTAFTER('3757 - Wall Stickers-WUO_ERR'!A356, ":"))))</f>
        <v>0</v>
      </c>
    </row>
    <row r="357" spans="1:1">
      <c r="A357" s="39">
        <f>IF('3757 - Wall Stickers'!B357 = "", "", IF('3757 - Wall Stickers-WUO_ERR'!A357 = "", "Validated", HYPERLINK("#" &amp; ADDRESS(357, '3757 - Wall Stickers-WUO_TRK'!A357),_xlfn.TEXTAFTER('3757 - Wall Stickers-WUO_ERR'!A357, ":"))))</f>
        <v>0</v>
      </c>
    </row>
    <row r="358" spans="1:1">
      <c r="A358" s="39">
        <f>IF('3757 - Wall Stickers'!B358 = "", "", IF('3757 - Wall Stickers-WUO_ERR'!A358 = "", "Validated", HYPERLINK("#" &amp; ADDRESS(358, '3757 - Wall Stickers-WUO_TRK'!A358),_xlfn.TEXTAFTER('3757 - Wall Stickers-WUO_ERR'!A358, ":"))))</f>
        <v>0</v>
      </c>
    </row>
    <row r="359" spans="1:1">
      <c r="A359" s="39">
        <f>IF('3757 - Wall Stickers'!B359 = "", "", IF('3757 - Wall Stickers-WUO_ERR'!A359 = "", "Validated", HYPERLINK("#" &amp; ADDRESS(359, '3757 - Wall Stickers-WUO_TRK'!A359),_xlfn.TEXTAFTER('3757 - Wall Stickers-WUO_ERR'!A359, ":"))))</f>
        <v>0</v>
      </c>
    </row>
    <row r="360" spans="1:1">
      <c r="A360" s="39">
        <f>IF('3757 - Wall Stickers'!B360 = "", "", IF('3757 - Wall Stickers-WUO_ERR'!A360 = "", "Validated", HYPERLINK("#" &amp; ADDRESS(360, '3757 - Wall Stickers-WUO_TRK'!A360),_xlfn.TEXTAFTER('3757 - Wall Stickers-WUO_ERR'!A360, ":"))))</f>
        <v>0</v>
      </c>
    </row>
    <row r="361" spans="1:1">
      <c r="A361" s="39">
        <f>IF('3757 - Wall Stickers'!B361 = "", "", IF('3757 - Wall Stickers-WUO_ERR'!A361 = "", "Validated", HYPERLINK("#" &amp; ADDRESS(361, '3757 - Wall Stickers-WUO_TRK'!A361),_xlfn.TEXTAFTER('3757 - Wall Stickers-WUO_ERR'!A361, ":"))))</f>
        <v>0</v>
      </c>
    </row>
    <row r="362" spans="1:1">
      <c r="A362" s="39">
        <f>IF('3757 - Wall Stickers'!B362 = "", "", IF('3757 - Wall Stickers-WUO_ERR'!A362 = "", "Validated", HYPERLINK("#" &amp; ADDRESS(362, '3757 - Wall Stickers-WUO_TRK'!A362),_xlfn.TEXTAFTER('3757 - Wall Stickers-WUO_ERR'!A362, ":"))))</f>
        <v>0</v>
      </c>
    </row>
    <row r="363" spans="1:1">
      <c r="A363" s="39">
        <f>IF('3757 - Wall Stickers'!B363 = "", "", IF('3757 - Wall Stickers-WUO_ERR'!A363 = "", "Validated", HYPERLINK("#" &amp; ADDRESS(363, '3757 - Wall Stickers-WUO_TRK'!A363),_xlfn.TEXTAFTER('3757 - Wall Stickers-WUO_ERR'!A363, ":"))))</f>
        <v>0</v>
      </c>
    </row>
    <row r="364" spans="1:1">
      <c r="A364" s="39">
        <f>IF('3757 - Wall Stickers'!B364 = "", "", IF('3757 - Wall Stickers-WUO_ERR'!A364 = "", "Validated", HYPERLINK("#" &amp; ADDRESS(364, '3757 - Wall Stickers-WUO_TRK'!A364),_xlfn.TEXTAFTER('3757 - Wall Stickers-WUO_ERR'!A364, ":"))))</f>
        <v>0</v>
      </c>
    </row>
    <row r="365" spans="1:1">
      <c r="A365" s="39">
        <f>IF('3757 - Wall Stickers'!B365 = "", "", IF('3757 - Wall Stickers-WUO_ERR'!A365 = "", "Validated", HYPERLINK("#" &amp; ADDRESS(365, '3757 - Wall Stickers-WUO_TRK'!A365),_xlfn.TEXTAFTER('3757 - Wall Stickers-WUO_ERR'!A365, ":"))))</f>
        <v>0</v>
      </c>
    </row>
    <row r="366" spans="1:1">
      <c r="A366" s="39">
        <f>IF('3757 - Wall Stickers'!B366 = "", "", IF('3757 - Wall Stickers-WUO_ERR'!A366 = "", "Validated", HYPERLINK("#" &amp; ADDRESS(366, '3757 - Wall Stickers-WUO_TRK'!A366),_xlfn.TEXTAFTER('3757 - Wall Stickers-WUO_ERR'!A366, ":"))))</f>
        <v>0</v>
      </c>
    </row>
    <row r="367" spans="1:1">
      <c r="A367" s="39">
        <f>IF('3757 - Wall Stickers'!B367 = "", "", IF('3757 - Wall Stickers-WUO_ERR'!A367 = "", "Validated", HYPERLINK("#" &amp; ADDRESS(367, '3757 - Wall Stickers-WUO_TRK'!A367),_xlfn.TEXTAFTER('3757 - Wall Stickers-WUO_ERR'!A367, ":"))))</f>
        <v>0</v>
      </c>
    </row>
    <row r="368" spans="1:1">
      <c r="A368" s="39">
        <f>IF('3757 - Wall Stickers'!B368 = "", "", IF('3757 - Wall Stickers-WUO_ERR'!A368 = "", "Validated", HYPERLINK("#" &amp; ADDRESS(368, '3757 - Wall Stickers-WUO_TRK'!A368),_xlfn.TEXTAFTER('3757 - Wall Stickers-WUO_ERR'!A368, ":"))))</f>
        <v>0</v>
      </c>
    </row>
    <row r="369" spans="1:1">
      <c r="A369" s="39">
        <f>IF('3757 - Wall Stickers'!B369 = "", "", IF('3757 - Wall Stickers-WUO_ERR'!A369 = "", "Validated", HYPERLINK("#" &amp; ADDRESS(369, '3757 - Wall Stickers-WUO_TRK'!A369),_xlfn.TEXTAFTER('3757 - Wall Stickers-WUO_ERR'!A369, ":"))))</f>
        <v>0</v>
      </c>
    </row>
    <row r="370" spans="1:1">
      <c r="A370" s="39">
        <f>IF('3757 - Wall Stickers'!B370 = "", "", IF('3757 - Wall Stickers-WUO_ERR'!A370 = "", "Validated", HYPERLINK("#" &amp; ADDRESS(370, '3757 - Wall Stickers-WUO_TRK'!A370),_xlfn.TEXTAFTER('3757 - Wall Stickers-WUO_ERR'!A370, ":"))))</f>
        <v>0</v>
      </c>
    </row>
    <row r="371" spans="1:1">
      <c r="A371" s="39">
        <f>IF('3757 - Wall Stickers'!B371 = "", "", IF('3757 - Wall Stickers-WUO_ERR'!A371 = "", "Validated", HYPERLINK("#" &amp; ADDRESS(371, '3757 - Wall Stickers-WUO_TRK'!A371),_xlfn.TEXTAFTER('3757 - Wall Stickers-WUO_ERR'!A371, ":"))))</f>
        <v>0</v>
      </c>
    </row>
    <row r="372" spans="1:1">
      <c r="A372" s="39">
        <f>IF('3757 - Wall Stickers'!B372 = "", "", IF('3757 - Wall Stickers-WUO_ERR'!A372 = "", "Validated", HYPERLINK("#" &amp; ADDRESS(372, '3757 - Wall Stickers-WUO_TRK'!A372),_xlfn.TEXTAFTER('3757 - Wall Stickers-WUO_ERR'!A372, ":"))))</f>
        <v>0</v>
      </c>
    </row>
    <row r="373" spans="1:1">
      <c r="A373" s="39">
        <f>IF('3757 - Wall Stickers'!B373 = "", "", IF('3757 - Wall Stickers-WUO_ERR'!A373 = "", "Validated", HYPERLINK("#" &amp; ADDRESS(373, '3757 - Wall Stickers-WUO_TRK'!A373),_xlfn.TEXTAFTER('3757 - Wall Stickers-WUO_ERR'!A373, ":"))))</f>
        <v>0</v>
      </c>
    </row>
    <row r="374" spans="1:1">
      <c r="A374" s="39">
        <f>IF('3757 - Wall Stickers'!B374 = "", "", IF('3757 - Wall Stickers-WUO_ERR'!A374 = "", "Validated", HYPERLINK("#" &amp; ADDRESS(374, '3757 - Wall Stickers-WUO_TRK'!A374),_xlfn.TEXTAFTER('3757 - Wall Stickers-WUO_ERR'!A374, ":"))))</f>
        <v>0</v>
      </c>
    </row>
    <row r="375" spans="1:1">
      <c r="A375" s="39">
        <f>IF('3757 - Wall Stickers'!B375 = "", "", IF('3757 - Wall Stickers-WUO_ERR'!A375 = "", "Validated", HYPERLINK("#" &amp; ADDRESS(375, '3757 - Wall Stickers-WUO_TRK'!A375),_xlfn.TEXTAFTER('3757 - Wall Stickers-WUO_ERR'!A375, ":"))))</f>
        <v>0</v>
      </c>
    </row>
    <row r="376" spans="1:1">
      <c r="A376" s="39">
        <f>IF('3757 - Wall Stickers'!B376 = "", "", IF('3757 - Wall Stickers-WUO_ERR'!A376 = "", "Validated", HYPERLINK("#" &amp; ADDRESS(376, '3757 - Wall Stickers-WUO_TRK'!A376),_xlfn.TEXTAFTER('3757 - Wall Stickers-WUO_ERR'!A376, ":"))))</f>
        <v>0</v>
      </c>
    </row>
    <row r="377" spans="1:1">
      <c r="A377" s="39">
        <f>IF('3757 - Wall Stickers'!B377 = "", "", IF('3757 - Wall Stickers-WUO_ERR'!A377 = "", "Validated", HYPERLINK("#" &amp; ADDRESS(377, '3757 - Wall Stickers-WUO_TRK'!A377),_xlfn.TEXTAFTER('3757 - Wall Stickers-WUO_ERR'!A377, ":"))))</f>
        <v>0</v>
      </c>
    </row>
    <row r="378" spans="1:1">
      <c r="A378" s="39">
        <f>IF('3757 - Wall Stickers'!B378 = "", "", IF('3757 - Wall Stickers-WUO_ERR'!A378 = "", "Validated", HYPERLINK("#" &amp; ADDRESS(378, '3757 - Wall Stickers-WUO_TRK'!A378),_xlfn.TEXTAFTER('3757 - Wall Stickers-WUO_ERR'!A378, ":"))))</f>
        <v>0</v>
      </c>
    </row>
    <row r="379" spans="1:1">
      <c r="A379" s="39">
        <f>IF('3757 - Wall Stickers'!B379 = "", "", IF('3757 - Wall Stickers-WUO_ERR'!A379 = "", "Validated", HYPERLINK("#" &amp; ADDRESS(379, '3757 - Wall Stickers-WUO_TRK'!A379),_xlfn.TEXTAFTER('3757 - Wall Stickers-WUO_ERR'!A379, ":"))))</f>
        <v>0</v>
      </c>
    </row>
    <row r="380" spans="1:1">
      <c r="A380" s="39">
        <f>IF('3757 - Wall Stickers'!B380 = "", "", IF('3757 - Wall Stickers-WUO_ERR'!A380 = "", "Validated", HYPERLINK("#" &amp; ADDRESS(380, '3757 - Wall Stickers-WUO_TRK'!A380),_xlfn.TEXTAFTER('3757 - Wall Stickers-WUO_ERR'!A380, ":"))))</f>
        <v>0</v>
      </c>
    </row>
    <row r="381" spans="1:1">
      <c r="A381" s="39">
        <f>IF('3757 - Wall Stickers'!B381 = "", "", IF('3757 - Wall Stickers-WUO_ERR'!A381 = "", "Validated", HYPERLINK("#" &amp; ADDRESS(381, '3757 - Wall Stickers-WUO_TRK'!A381),_xlfn.TEXTAFTER('3757 - Wall Stickers-WUO_ERR'!A381, ":"))))</f>
        <v>0</v>
      </c>
    </row>
    <row r="382" spans="1:1">
      <c r="A382" s="39">
        <f>IF('3757 - Wall Stickers'!B382 = "", "", IF('3757 - Wall Stickers-WUO_ERR'!A382 = "", "Validated", HYPERLINK("#" &amp; ADDRESS(382, '3757 - Wall Stickers-WUO_TRK'!A382),_xlfn.TEXTAFTER('3757 - Wall Stickers-WUO_ERR'!A382, ":"))))</f>
        <v>0</v>
      </c>
    </row>
    <row r="383" spans="1:1">
      <c r="A383" s="39">
        <f>IF('3757 - Wall Stickers'!B383 = "", "", IF('3757 - Wall Stickers-WUO_ERR'!A383 = "", "Validated", HYPERLINK("#" &amp; ADDRESS(383, '3757 - Wall Stickers-WUO_TRK'!A383),_xlfn.TEXTAFTER('3757 - Wall Stickers-WUO_ERR'!A383, ":"))))</f>
        <v>0</v>
      </c>
    </row>
    <row r="384" spans="1:1">
      <c r="A384" s="39">
        <f>IF('3757 - Wall Stickers'!B384 = "", "", IF('3757 - Wall Stickers-WUO_ERR'!A384 = "", "Validated", HYPERLINK("#" &amp; ADDRESS(384, '3757 - Wall Stickers-WUO_TRK'!A384),_xlfn.TEXTAFTER('3757 - Wall Stickers-WUO_ERR'!A384, ":"))))</f>
        <v>0</v>
      </c>
    </row>
    <row r="385" spans="1:1">
      <c r="A385" s="39">
        <f>IF('3757 - Wall Stickers'!B385 = "", "", IF('3757 - Wall Stickers-WUO_ERR'!A385 = "", "Validated", HYPERLINK("#" &amp; ADDRESS(385, '3757 - Wall Stickers-WUO_TRK'!A385),_xlfn.TEXTAFTER('3757 - Wall Stickers-WUO_ERR'!A385, ":"))))</f>
        <v>0</v>
      </c>
    </row>
    <row r="386" spans="1:1">
      <c r="A386" s="39">
        <f>IF('3757 - Wall Stickers'!B386 = "", "", IF('3757 - Wall Stickers-WUO_ERR'!A386 = "", "Validated", HYPERLINK("#" &amp; ADDRESS(386, '3757 - Wall Stickers-WUO_TRK'!A386),_xlfn.TEXTAFTER('3757 - Wall Stickers-WUO_ERR'!A386, ":"))))</f>
        <v>0</v>
      </c>
    </row>
    <row r="387" spans="1:1">
      <c r="A387" s="39">
        <f>IF('3757 - Wall Stickers'!B387 = "", "", IF('3757 - Wall Stickers-WUO_ERR'!A387 = "", "Validated", HYPERLINK("#" &amp; ADDRESS(387, '3757 - Wall Stickers-WUO_TRK'!A387),_xlfn.TEXTAFTER('3757 - Wall Stickers-WUO_ERR'!A387, ":"))))</f>
        <v>0</v>
      </c>
    </row>
    <row r="388" spans="1:1">
      <c r="A388" s="39">
        <f>IF('3757 - Wall Stickers'!B388 = "", "", IF('3757 - Wall Stickers-WUO_ERR'!A388 = "", "Validated", HYPERLINK("#" &amp; ADDRESS(388, '3757 - Wall Stickers-WUO_TRK'!A388),_xlfn.TEXTAFTER('3757 - Wall Stickers-WUO_ERR'!A388, ":"))))</f>
        <v>0</v>
      </c>
    </row>
    <row r="389" spans="1:1">
      <c r="A389" s="39">
        <f>IF('3757 - Wall Stickers'!B389 = "", "", IF('3757 - Wall Stickers-WUO_ERR'!A389 = "", "Validated", HYPERLINK("#" &amp; ADDRESS(389, '3757 - Wall Stickers-WUO_TRK'!A389),_xlfn.TEXTAFTER('3757 - Wall Stickers-WUO_ERR'!A389, ":"))))</f>
        <v>0</v>
      </c>
    </row>
    <row r="390" spans="1:1">
      <c r="A390" s="39">
        <f>IF('3757 - Wall Stickers'!B390 = "", "", IF('3757 - Wall Stickers-WUO_ERR'!A390 = "", "Validated", HYPERLINK("#" &amp; ADDRESS(390, '3757 - Wall Stickers-WUO_TRK'!A390),_xlfn.TEXTAFTER('3757 - Wall Stickers-WUO_ERR'!A390, ":"))))</f>
        <v>0</v>
      </c>
    </row>
    <row r="391" spans="1:1">
      <c r="A391" s="39">
        <f>IF('3757 - Wall Stickers'!B391 = "", "", IF('3757 - Wall Stickers-WUO_ERR'!A391 = "", "Validated", HYPERLINK("#" &amp; ADDRESS(391, '3757 - Wall Stickers-WUO_TRK'!A391),_xlfn.TEXTAFTER('3757 - Wall Stickers-WUO_ERR'!A391, ":"))))</f>
        <v>0</v>
      </c>
    </row>
    <row r="392" spans="1:1">
      <c r="A392" s="39">
        <f>IF('3757 - Wall Stickers'!B392 = "", "", IF('3757 - Wall Stickers-WUO_ERR'!A392 = "", "Validated", HYPERLINK("#" &amp; ADDRESS(392, '3757 - Wall Stickers-WUO_TRK'!A392),_xlfn.TEXTAFTER('3757 - Wall Stickers-WUO_ERR'!A392, ":"))))</f>
        <v>0</v>
      </c>
    </row>
    <row r="393" spans="1:1">
      <c r="A393" s="39">
        <f>IF('3757 - Wall Stickers'!B393 = "", "", IF('3757 - Wall Stickers-WUO_ERR'!A393 = "", "Validated", HYPERLINK("#" &amp; ADDRESS(393, '3757 - Wall Stickers-WUO_TRK'!A393),_xlfn.TEXTAFTER('3757 - Wall Stickers-WUO_ERR'!A393, ":"))))</f>
        <v>0</v>
      </c>
    </row>
    <row r="394" spans="1:1">
      <c r="A394" s="39">
        <f>IF('3757 - Wall Stickers'!B394 = "", "", IF('3757 - Wall Stickers-WUO_ERR'!A394 = "", "Validated", HYPERLINK("#" &amp; ADDRESS(394, '3757 - Wall Stickers-WUO_TRK'!A394),_xlfn.TEXTAFTER('3757 - Wall Stickers-WUO_ERR'!A394, ":"))))</f>
        <v>0</v>
      </c>
    </row>
    <row r="395" spans="1:1">
      <c r="A395" s="39">
        <f>IF('3757 - Wall Stickers'!B395 = "", "", IF('3757 - Wall Stickers-WUO_ERR'!A395 = "", "Validated", HYPERLINK("#" &amp; ADDRESS(395, '3757 - Wall Stickers-WUO_TRK'!A395),_xlfn.TEXTAFTER('3757 - Wall Stickers-WUO_ERR'!A395, ":"))))</f>
        <v>0</v>
      </c>
    </row>
    <row r="396" spans="1:1">
      <c r="A396" s="39">
        <f>IF('3757 - Wall Stickers'!B396 = "", "", IF('3757 - Wall Stickers-WUO_ERR'!A396 = "", "Validated", HYPERLINK("#" &amp; ADDRESS(396, '3757 - Wall Stickers-WUO_TRK'!A396),_xlfn.TEXTAFTER('3757 - Wall Stickers-WUO_ERR'!A396, ":"))))</f>
        <v>0</v>
      </c>
    </row>
    <row r="397" spans="1:1">
      <c r="A397" s="39">
        <f>IF('3757 - Wall Stickers'!B397 = "", "", IF('3757 - Wall Stickers-WUO_ERR'!A397 = "", "Validated", HYPERLINK("#" &amp; ADDRESS(397, '3757 - Wall Stickers-WUO_TRK'!A397),_xlfn.TEXTAFTER('3757 - Wall Stickers-WUO_ERR'!A397, ":"))))</f>
        <v>0</v>
      </c>
    </row>
    <row r="398" spans="1:1">
      <c r="A398" s="39">
        <f>IF('3757 - Wall Stickers'!B398 = "", "", IF('3757 - Wall Stickers-WUO_ERR'!A398 = "", "Validated", HYPERLINK("#" &amp; ADDRESS(398, '3757 - Wall Stickers-WUO_TRK'!A398),_xlfn.TEXTAFTER('3757 - Wall Stickers-WUO_ERR'!A398, ":"))))</f>
        <v>0</v>
      </c>
    </row>
    <row r="399" spans="1:1">
      <c r="A399" s="39">
        <f>IF('3757 - Wall Stickers'!B399 = "", "", IF('3757 - Wall Stickers-WUO_ERR'!A399 = "", "Validated", HYPERLINK("#" &amp; ADDRESS(399, '3757 - Wall Stickers-WUO_TRK'!A399),_xlfn.TEXTAFTER('3757 - Wall Stickers-WUO_ERR'!A399, ":"))))</f>
        <v>0</v>
      </c>
    </row>
    <row r="400" spans="1:1">
      <c r="A400" s="39">
        <f>IF('3757 - Wall Stickers'!B400 = "", "", IF('3757 - Wall Stickers-WUO_ERR'!A400 = "", "Validated", HYPERLINK("#" &amp; ADDRESS(400, '3757 - Wall Stickers-WUO_TRK'!A400),_xlfn.TEXTAFTER('3757 - Wall Stickers-WUO_ERR'!A400, ":"))))</f>
        <v>0</v>
      </c>
    </row>
    <row r="401" spans="1:1">
      <c r="A401" s="39">
        <f>IF('3757 - Wall Stickers'!B401 = "", "", IF('3757 - Wall Stickers-WUO_ERR'!A401 = "", "Validated", HYPERLINK("#" &amp; ADDRESS(401, '3757 - Wall Stickers-WUO_TRK'!A401),_xlfn.TEXTAFTER('3757 - Wall Stickers-WUO_ERR'!A401, ":"))))</f>
        <v>0</v>
      </c>
    </row>
    <row r="402" spans="1:1">
      <c r="A402" s="39">
        <f>IF('3757 - Wall Stickers'!B402 = "", "", IF('3757 - Wall Stickers-WUO_ERR'!A402 = "", "Validated", HYPERLINK("#" &amp; ADDRESS(402, '3757 - Wall Stickers-WUO_TRK'!A402),_xlfn.TEXTAFTER('3757 - Wall Stickers-WUO_ERR'!A402, ":"))))</f>
        <v>0</v>
      </c>
    </row>
    <row r="403" spans="1:1">
      <c r="A403" s="39">
        <f>IF('3757 - Wall Stickers'!B403 = "", "", IF('3757 - Wall Stickers-WUO_ERR'!A403 = "", "Validated", HYPERLINK("#" &amp; ADDRESS(403, '3757 - Wall Stickers-WUO_TRK'!A403),_xlfn.TEXTAFTER('3757 - Wall Stickers-WUO_ERR'!A403, ":"))))</f>
        <v>0</v>
      </c>
    </row>
    <row r="404" spans="1:1">
      <c r="A404" s="39">
        <f>IF('3757 - Wall Stickers'!B404 = "", "", IF('3757 - Wall Stickers-WUO_ERR'!A404 = "", "Validated", HYPERLINK("#" &amp; ADDRESS(404, '3757 - Wall Stickers-WUO_TRK'!A404),_xlfn.TEXTAFTER('3757 - Wall Stickers-WUO_ERR'!A404, ":"))))</f>
        <v>0</v>
      </c>
    </row>
    <row r="405" spans="1:1">
      <c r="A405" s="39">
        <f>IF('3757 - Wall Stickers'!B405 = "", "", IF('3757 - Wall Stickers-WUO_ERR'!A405 = "", "Validated", HYPERLINK("#" &amp; ADDRESS(405, '3757 - Wall Stickers-WUO_TRK'!A405),_xlfn.TEXTAFTER('3757 - Wall Stickers-WUO_ERR'!A405, ":"))))</f>
        <v>0</v>
      </c>
    </row>
    <row r="406" spans="1:1">
      <c r="A406" s="39">
        <f>IF('3757 - Wall Stickers'!B406 = "", "", IF('3757 - Wall Stickers-WUO_ERR'!A406 = "", "Validated", HYPERLINK("#" &amp; ADDRESS(406, '3757 - Wall Stickers-WUO_TRK'!A406),_xlfn.TEXTAFTER('3757 - Wall Stickers-WUO_ERR'!A406, ":"))))</f>
        <v>0</v>
      </c>
    </row>
    <row r="407" spans="1:1">
      <c r="A407" s="39">
        <f>IF('3757 - Wall Stickers'!B407 = "", "", IF('3757 - Wall Stickers-WUO_ERR'!A407 = "", "Validated", HYPERLINK("#" &amp; ADDRESS(407, '3757 - Wall Stickers-WUO_TRK'!A407),_xlfn.TEXTAFTER('3757 - Wall Stickers-WUO_ERR'!A407, ":"))))</f>
        <v>0</v>
      </c>
    </row>
    <row r="408" spans="1:1">
      <c r="A408" s="39">
        <f>IF('3757 - Wall Stickers'!B408 = "", "", IF('3757 - Wall Stickers-WUO_ERR'!A408 = "", "Validated", HYPERLINK("#" &amp; ADDRESS(408, '3757 - Wall Stickers-WUO_TRK'!A408),_xlfn.TEXTAFTER('3757 - Wall Stickers-WUO_ERR'!A408, ":"))))</f>
        <v>0</v>
      </c>
    </row>
    <row r="409" spans="1:1">
      <c r="A409" s="39">
        <f>IF('3757 - Wall Stickers'!B409 = "", "", IF('3757 - Wall Stickers-WUO_ERR'!A409 = "", "Validated", HYPERLINK("#" &amp; ADDRESS(409, '3757 - Wall Stickers-WUO_TRK'!A409),_xlfn.TEXTAFTER('3757 - Wall Stickers-WUO_ERR'!A409, ":"))))</f>
        <v>0</v>
      </c>
    </row>
    <row r="410" spans="1:1">
      <c r="A410" s="39">
        <f>IF('3757 - Wall Stickers'!B410 = "", "", IF('3757 - Wall Stickers-WUO_ERR'!A410 = "", "Validated", HYPERLINK("#" &amp; ADDRESS(410, '3757 - Wall Stickers-WUO_TRK'!A410),_xlfn.TEXTAFTER('3757 - Wall Stickers-WUO_ERR'!A410, ":"))))</f>
        <v>0</v>
      </c>
    </row>
    <row r="411" spans="1:1">
      <c r="A411" s="39">
        <f>IF('3757 - Wall Stickers'!B411 = "", "", IF('3757 - Wall Stickers-WUO_ERR'!A411 = "", "Validated", HYPERLINK("#" &amp; ADDRESS(411, '3757 - Wall Stickers-WUO_TRK'!A411),_xlfn.TEXTAFTER('3757 - Wall Stickers-WUO_ERR'!A411, ":"))))</f>
        <v>0</v>
      </c>
    </row>
    <row r="412" spans="1:1">
      <c r="A412" s="39">
        <f>IF('3757 - Wall Stickers'!B412 = "", "", IF('3757 - Wall Stickers-WUO_ERR'!A412 = "", "Validated", HYPERLINK("#" &amp; ADDRESS(412, '3757 - Wall Stickers-WUO_TRK'!A412),_xlfn.TEXTAFTER('3757 - Wall Stickers-WUO_ERR'!A412, ":"))))</f>
        <v>0</v>
      </c>
    </row>
    <row r="413" spans="1:1">
      <c r="A413" s="39">
        <f>IF('3757 - Wall Stickers'!B413 = "", "", IF('3757 - Wall Stickers-WUO_ERR'!A413 = "", "Validated", HYPERLINK("#" &amp; ADDRESS(413, '3757 - Wall Stickers-WUO_TRK'!A413),_xlfn.TEXTAFTER('3757 - Wall Stickers-WUO_ERR'!A413, ":"))))</f>
        <v>0</v>
      </c>
    </row>
    <row r="414" spans="1:1">
      <c r="A414" s="39">
        <f>IF('3757 - Wall Stickers'!B414 = "", "", IF('3757 - Wall Stickers-WUO_ERR'!A414 = "", "Validated", HYPERLINK("#" &amp; ADDRESS(414, '3757 - Wall Stickers-WUO_TRK'!A414),_xlfn.TEXTAFTER('3757 - Wall Stickers-WUO_ERR'!A414, ":"))))</f>
        <v>0</v>
      </c>
    </row>
    <row r="415" spans="1:1">
      <c r="A415" s="39">
        <f>IF('3757 - Wall Stickers'!B415 = "", "", IF('3757 - Wall Stickers-WUO_ERR'!A415 = "", "Validated", HYPERLINK("#" &amp; ADDRESS(415, '3757 - Wall Stickers-WUO_TRK'!A415),_xlfn.TEXTAFTER('3757 - Wall Stickers-WUO_ERR'!A415, ":"))))</f>
        <v>0</v>
      </c>
    </row>
    <row r="416" spans="1:1">
      <c r="A416" s="39">
        <f>IF('3757 - Wall Stickers'!B416 = "", "", IF('3757 - Wall Stickers-WUO_ERR'!A416 = "", "Validated", HYPERLINK("#" &amp; ADDRESS(416, '3757 - Wall Stickers-WUO_TRK'!A416),_xlfn.TEXTAFTER('3757 - Wall Stickers-WUO_ERR'!A416, ":"))))</f>
        <v>0</v>
      </c>
    </row>
    <row r="417" spans="1:1">
      <c r="A417" s="39">
        <f>IF('3757 - Wall Stickers'!B417 = "", "", IF('3757 - Wall Stickers-WUO_ERR'!A417 = "", "Validated", HYPERLINK("#" &amp; ADDRESS(417, '3757 - Wall Stickers-WUO_TRK'!A417),_xlfn.TEXTAFTER('3757 - Wall Stickers-WUO_ERR'!A417, ":"))))</f>
        <v>0</v>
      </c>
    </row>
    <row r="418" spans="1:1">
      <c r="A418" s="39">
        <f>IF('3757 - Wall Stickers'!B418 = "", "", IF('3757 - Wall Stickers-WUO_ERR'!A418 = "", "Validated", HYPERLINK("#" &amp; ADDRESS(418, '3757 - Wall Stickers-WUO_TRK'!A418),_xlfn.TEXTAFTER('3757 - Wall Stickers-WUO_ERR'!A418, ":"))))</f>
        <v>0</v>
      </c>
    </row>
    <row r="419" spans="1:1">
      <c r="A419" s="39">
        <f>IF('3757 - Wall Stickers'!B419 = "", "", IF('3757 - Wall Stickers-WUO_ERR'!A419 = "", "Validated", HYPERLINK("#" &amp; ADDRESS(419, '3757 - Wall Stickers-WUO_TRK'!A419),_xlfn.TEXTAFTER('3757 - Wall Stickers-WUO_ERR'!A419, ":"))))</f>
        <v>0</v>
      </c>
    </row>
    <row r="420" spans="1:1">
      <c r="A420" s="39">
        <f>IF('3757 - Wall Stickers'!B420 = "", "", IF('3757 - Wall Stickers-WUO_ERR'!A420 = "", "Validated", HYPERLINK("#" &amp; ADDRESS(420, '3757 - Wall Stickers-WUO_TRK'!A420),_xlfn.TEXTAFTER('3757 - Wall Stickers-WUO_ERR'!A420, ":"))))</f>
        <v>0</v>
      </c>
    </row>
    <row r="421" spans="1:1">
      <c r="A421" s="39">
        <f>IF('3757 - Wall Stickers'!B421 = "", "", IF('3757 - Wall Stickers-WUO_ERR'!A421 = "", "Validated", HYPERLINK("#" &amp; ADDRESS(421, '3757 - Wall Stickers-WUO_TRK'!A421),_xlfn.TEXTAFTER('3757 - Wall Stickers-WUO_ERR'!A421, ":"))))</f>
        <v>0</v>
      </c>
    </row>
    <row r="422" spans="1:1">
      <c r="A422" s="39">
        <f>IF('3757 - Wall Stickers'!B422 = "", "", IF('3757 - Wall Stickers-WUO_ERR'!A422 = "", "Validated", HYPERLINK("#" &amp; ADDRESS(422, '3757 - Wall Stickers-WUO_TRK'!A422),_xlfn.TEXTAFTER('3757 - Wall Stickers-WUO_ERR'!A422, ":"))))</f>
        <v>0</v>
      </c>
    </row>
    <row r="423" spans="1:1">
      <c r="A423" s="39">
        <f>IF('3757 - Wall Stickers'!B423 = "", "", IF('3757 - Wall Stickers-WUO_ERR'!A423 = "", "Validated", HYPERLINK("#" &amp; ADDRESS(423, '3757 - Wall Stickers-WUO_TRK'!A423),_xlfn.TEXTAFTER('3757 - Wall Stickers-WUO_ERR'!A423, ":"))))</f>
        <v>0</v>
      </c>
    </row>
    <row r="424" spans="1:1">
      <c r="A424" s="39">
        <f>IF('3757 - Wall Stickers'!B424 = "", "", IF('3757 - Wall Stickers-WUO_ERR'!A424 = "", "Validated", HYPERLINK("#" &amp; ADDRESS(424, '3757 - Wall Stickers-WUO_TRK'!A424),_xlfn.TEXTAFTER('3757 - Wall Stickers-WUO_ERR'!A424, ":"))))</f>
        <v>0</v>
      </c>
    </row>
    <row r="425" spans="1:1">
      <c r="A425" s="39">
        <f>IF('3757 - Wall Stickers'!B425 = "", "", IF('3757 - Wall Stickers-WUO_ERR'!A425 = "", "Validated", HYPERLINK("#" &amp; ADDRESS(425, '3757 - Wall Stickers-WUO_TRK'!A425),_xlfn.TEXTAFTER('3757 - Wall Stickers-WUO_ERR'!A425, ":"))))</f>
        <v>0</v>
      </c>
    </row>
    <row r="426" spans="1:1">
      <c r="A426" s="39">
        <f>IF('3757 - Wall Stickers'!B426 = "", "", IF('3757 - Wall Stickers-WUO_ERR'!A426 = "", "Validated", HYPERLINK("#" &amp; ADDRESS(426, '3757 - Wall Stickers-WUO_TRK'!A426),_xlfn.TEXTAFTER('3757 - Wall Stickers-WUO_ERR'!A426, ":"))))</f>
        <v>0</v>
      </c>
    </row>
    <row r="427" spans="1:1">
      <c r="A427" s="39">
        <f>IF('3757 - Wall Stickers'!B427 = "", "", IF('3757 - Wall Stickers-WUO_ERR'!A427 = "", "Validated", HYPERLINK("#" &amp; ADDRESS(427, '3757 - Wall Stickers-WUO_TRK'!A427),_xlfn.TEXTAFTER('3757 - Wall Stickers-WUO_ERR'!A427, ":"))))</f>
        <v>0</v>
      </c>
    </row>
    <row r="428" spans="1:1">
      <c r="A428" s="39">
        <f>IF('3757 - Wall Stickers'!B428 = "", "", IF('3757 - Wall Stickers-WUO_ERR'!A428 = "", "Validated", HYPERLINK("#" &amp; ADDRESS(428, '3757 - Wall Stickers-WUO_TRK'!A428),_xlfn.TEXTAFTER('3757 - Wall Stickers-WUO_ERR'!A428, ":"))))</f>
        <v>0</v>
      </c>
    </row>
    <row r="429" spans="1:1">
      <c r="A429" s="39">
        <f>IF('3757 - Wall Stickers'!B429 = "", "", IF('3757 - Wall Stickers-WUO_ERR'!A429 = "", "Validated", HYPERLINK("#" &amp; ADDRESS(429, '3757 - Wall Stickers-WUO_TRK'!A429),_xlfn.TEXTAFTER('3757 - Wall Stickers-WUO_ERR'!A429, ":"))))</f>
        <v>0</v>
      </c>
    </row>
    <row r="430" spans="1:1">
      <c r="A430" s="39">
        <f>IF('3757 - Wall Stickers'!B430 = "", "", IF('3757 - Wall Stickers-WUO_ERR'!A430 = "", "Validated", HYPERLINK("#" &amp; ADDRESS(430, '3757 - Wall Stickers-WUO_TRK'!A430),_xlfn.TEXTAFTER('3757 - Wall Stickers-WUO_ERR'!A430, ":"))))</f>
        <v>0</v>
      </c>
    </row>
    <row r="431" spans="1:1">
      <c r="A431" s="39">
        <f>IF('3757 - Wall Stickers'!B431 = "", "", IF('3757 - Wall Stickers-WUO_ERR'!A431 = "", "Validated", HYPERLINK("#" &amp; ADDRESS(431, '3757 - Wall Stickers-WUO_TRK'!A431),_xlfn.TEXTAFTER('3757 - Wall Stickers-WUO_ERR'!A431, ":"))))</f>
        <v>0</v>
      </c>
    </row>
    <row r="432" spans="1:1">
      <c r="A432" s="39">
        <f>IF('3757 - Wall Stickers'!B432 = "", "", IF('3757 - Wall Stickers-WUO_ERR'!A432 = "", "Validated", HYPERLINK("#" &amp; ADDRESS(432, '3757 - Wall Stickers-WUO_TRK'!A432),_xlfn.TEXTAFTER('3757 - Wall Stickers-WUO_ERR'!A432, ":"))))</f>
        <v>0</v>
      </c>
    </row>
    <row r="433" spans="1:1">
      <c r="A433" s="39">
        <f>IF('3757 - Wall Stickers'!B433 = "", "", IF('3757 - Wall Stickers-WUO_ERR'!A433 = "", "Validated", HYPERLINK("#" &amp; ADDRESS(433, '3757 - Wall Stickers-WUO_TRK'!A433),_xlfn.TEXTAFTER('3757 - Wall Stickers-WUO_ERR'!A433, ":"))))</f>
        <v>0</v>
      </c>
    </row>
    <row r="434" spans="1:1">
      <c r="A434" s="39">
        <f>IF('3757 - Wall Stickers'!B434 = "", "", IF('3757 - Wall Stickers-WUO_ERR'!A434 = "", "Validated", HYPERLINK("#" &amp; ADDRESS(434, '3757 - Wall Stickers-WUO_TRK'!A434),_xlfn.TEXTAFTER('3757 - Wall Stickers-WUO_ERR'!A434, ":"))))</f>
        <v>0</v>
      </c>
    </row>
    <row r="435" spans="1:1">
      <c r="A435" s="39">
        <f>IF('3757 - Wall Stickers'!B435 = "", "", IF('3757 - Wall Stickers-WUO_ERR'!A435 = "", "Validated", HYPERLINK("#" &amp; ADDRESS(435, '3757 - Wall Stickers-WUO_TRK'!A435),_xlfn.TEXTAFTER('3757 - Wall Stickers-WUO_ERR'!A435, ":"))))</f>
        <v>0</v>
      </c>
    </row>
    <row r="436" spans="1:1">
      <c r="A436" s="39">
        <f>IF('3757 - Wall Stickers'!B436 = "", "", IF('3757 - Wall Stickers-WUO_ERR'!A436 = "", "Validated", HYPERLINK("#" &amp; ADDRESS(436, '3757 - Wall Stickers-WUO_TRK'!A436),_xlfn.TEXTAFTER('3757 - Wall Stickers-WUO_ERR'!A436, ":"))))</f>
        <v>0</v>
      </c>
    </row>
    <row r="437" spans="1:1">
      <c r="A437" s="39">
        <f>IF('3757 - Wall Stickers'!B437 = "", "", IF('3757 - Wall Stickers-WUO_ERR'!A437 = "", "Validated", HYPERLINK("#" &amp; ADDRESS(437, '3757 - Wall Stickers-WUO_TRK'!A437),_xlfn.TEXTAFTER('3757 - Wall Stickers-WUO_ERR'!A437, ":"))))</f>
        <v>0</v>
      </c>
    </row>
    <row r="438" spans="1:1">
      <c r="A438" s="39">
        <f>IF('3757 - Wall Stickers'!B438 = "", "", IF('3757 - Wall Stickers-WUO_ERR'!A438 = "", "Validated", HYPERLINK("#" &amp; ADDRESS(438, '3757 - Wall Stickers-WUO_TRK'!A438),_xlfn.TEXTAFTER('3757 - Wall Stickers-WUO_ERR'!A438, ":"))))</f>
        <v>0</v>
      </c>
    </row>
    <row r="439" spans="1:1">
      <c r="A439" s="39">
        <f>IF('3757 - Wall Stickers'!B439 = "", "", IF('3757 - Wall Stickers-WUO_ERR'!A439 = "", "Validated", HYPERLINK("#" &amp; ADDRESS(439, '3757 - Wall Stickers-WUO_TRK'!A439),_xlfn.TEXTAFTER('3757 - Wall Stickers-WUO_ERR'!A439, ":"))))</f>
        <v>0</v>
      </c>
    </row>
    <row r="440" spans="1:1">
      <c r="A440" s="39">
        <f>IF('3757 - Wall Stickers'!B440 = "", "", IF('3757 - Wall Stickers-WUO_ERR'!A440 = "", "Validated", HYPERLINK("#" &amp; ADDRESS(440, '3757 - Wall Stickers-WUO_TRK'!A440),_xlfn.TEXTAFTER('3757 - Wall Stickers-WUO_ERR'!A440, ":"))))</f>
        <v>0</v>
      </c>
    </row>
    <row r="441" spans="1:1">
      <c r="A441" s="39">
        <f>IF('3757 - Wall Stickers'!B441 = "", "", IF('3757 - Wall Stickers-WUO_ERR'!A441 = "", "Validated", HYPERLINK("#" &amp; ADDRESS(441, '3757 - Wall Stickers-WUO_TRK'!A441),_xlfn.TEXTAFTER('3757 - Wall Stickers-WUO_ERR'!A441, ":"))))</f>
        <v>0</v>
      </c>
    </row>
    <row r="442" spans="1:1">
      <c r="A442" s="39">
        <f>IF('3757 - Wall Stickers'!B442 = "", "", IF('3757 - Wall Stickers-WUO_ERR'!A442 = "", "Validated", HYPERLINK("#" &amp; ADDRESS(442, '3757 - Wall Stickers-WUO_TRK'!A442),_xlfn.TEXTAFTER('3757 - Wall Stickers-WUO_ERR'!A442, ":"))))</f>
        <v>0</v>
      </c>
    </row>
    <row r="443" spans="1:1">
      <c r="A443" s="39">
        <f>IF('3757 - Wall Stickers'!B443 = "", "", IF('3757 - Wall Stickers-WUO_ERR'!A443 = "", "Validated", HYPERLINK("#" &amp; ADDRESS(443, '3757 - Wall Stickers-WUO_TRK'!A443),_xlfn.TEXTAFTER('3757 - Wall Stickers-WUO_ERR'!A443, ":"))))</f>
        <v>0</v>
      </c>
    </row>
    <row r="444" spans="1:1">
      <c r="A444" s="39">
        <f>IF('3757 - Wall Stickers'!B444 = "", "", IF('3757 - Wall Stickers-WUO_ERR'!A444 = "", "Validated", HYPERLINK("#" &amp; ADDRESS(444, '3757 - Wall Stickers-WUO_TRK'!A444),_xlfn.TEXTAFTER('3757 - Wall Stickers-WUO_ERR'!A444, ":"))))</f>
        <v>0</v>
      </c>
    </row>
    <row r="445" spans="1:1">
      <c r="A445" s="39">
        <f>IF('3757 - Wall Stickers'!B445 = "", "", IF('3757 - Wall Stickers-WUO_ERR'!A445 = "", "Validated", HYPERLINK("#" &amp; ADDRESS(445, '3757 - Wall Stickers-WUO_TRK'!A445),_xlfn.TEXTAFTER('3757 - Wall Stickers-WUO_ERR'!A445, ":"))))</f>
        <v>0</v>
      </c>
    </row>
    <row r="446" spans="1:1">
      <c r="A446" s="39">
        <f>IF('3757 - Wall Stickers'!B446 = "", "", IF('3757 - Wall Stickers-WUO_ERR'!A446 = "", "Validated", HYPERLINK("#" &amp; ADDRESS(446, '3757 - Wall Stickers-WUO_TRK'!A446),_xlfn.TEXTAFTER('3757 - Wall Stickers-WUO_ERR'!A446, ":"))))</f>
        <v>0</v>
      </c>
    </row>
    <row r="447" spans="1:1">
      <c r="A447" s="39">
        <f>IF('3757 - Wall Stickers'!B447 = "", "", IF('3757 - Wall Stickers-WUO_ERR'!A447 = "", "Validated", HYPERLINK("#" &amp; ADDRESS(447, '3757 - Wall Stickers-WUO_TRK'!A447),_xlfn.TEXTAFTER('3757 - Wall Stickers-WUO_ERR'!A447, ":"))))</f>
        <v>0</v>
      </c>
    </row>
    <row r="448" spans="1:1">
      <c r="A448" s="39">
        <f>IF('3757 - Wall Stickers'!B448 = "", "", IF('3757 - Wall Stickers-WUO_ERR'!A448 = "", "Validated", HYPERLINK("#" &amp; ADDRESS(448, '3757 - Wall Stickers-WUO_TRK'!A448),_xlfn.TEXTAFTER('3757 - Wall Stickers-WUO_ERR'!A448, ":"))))</f>
        <v>0</v>
      </c>
    </row>
    <row r="449" spans="1:1">
      <c r="A449" s="39">
        <f>IF('3757 - Wall Stickers'!B449 = "", "", IF('3757 - Wall Stickers-WUO_ERR'!A449 = "", "Validated", HYPERLINK("#" &amp; ADDRESS(449, '3757 - Wall Stickers-WUO_TRK'!A449),_xlfn.TEXTAFTER('3757 - Wall Stickers-WUO_ERR'!A449, ":"))))</f>
        <v>0</v>
      </c>
    </row>
    <row r="450" spans="1:1">
      <c r="A450" s="39">
        <f>IF('3757 - Wall Stickers'!B450 = "", "", IF('3757 - Wall Stickers-WUO_ERR'!A450 = "", "Validated", HYPERLINK("#" &amp; ADDRESS(450, '3757 - Wall Stickers-WUO_TRK'!A450),_xlfn.TEXTAFTER('3757 - Wall Stickers-WUO_ERR'!A450, ":"))))</f>
        <v>0</v>
      </c>
    </row>
    <row r="451" spans="1:1">
      <c r="A451" s="39">
        <f>IF('3757 - Wall Stickers'!B451 = "", "", IF('3757 - Wall Stickers-WUO_ERR'!A451 = "", "Validated", HYPERLINK("#" &amp; ADDRESS(451, '3757 - Wall Stickers-WUO_TRK'!A451),_xlfn.TEXTAFTER('3757 - Wall Stickers-WUO_ERR'!A451, ":"))))</f>
        <v>0</v>
      </c>
    </row>
    <row r="452" spans="1:1">
      <c r="A452" s="39">
        <f>IF('3757 - Wall Stickers'!B452 = "", "", IF('3757 - Wall Stickers-WUO_ERR'!A452 = "", "Validated", HYPERLINK("#" &amp; ADDRESS(452, '3757 - Wall Stickers-WUO_TRK'!A452),_xlfn.TEXTAFTER('3757 - Wall Stickers-WUO_ERR'!A452, ":"))))</f>
        <v>0</v>
      </c>
    </row>
    <row r="453" spans="1:1">
      <c r="A453" s="39">
        <f>IF('3757 - Wall Stickers'!B453 = "", "", IF('3757 - Wall Stickers-WUO_ERR'!A453 = "", "Validated", HYPERLINK("#" &amp; ADDRESS(453, '3757 - Wall Stickers-WUO_TRK'!A453),_xlfn.TEXTAFTER('3757 - Wall Stickers-WUO_ERR'!A453, ":"))))</f>
        <v>0</v>
      </c>
    </row>
    <row r="454" spans="1:1">
      <c r="A454" s="39">
        <f>IF('3757 - Wall Stickers'!B454 = "", "", IF('3757 - Wall Stickers-WUO_ERR'!A454 = "", "Validated", HYPERLINK("#" &amp; ADDRESS(454, '3757 - Wall Stickers-WUO_TRK'!A454),_xlfn.TEXTAFTER('3757 - Wall Stickers-WUO_ERR'!A454, ":"))))</f>
        <v>0</v>
      </c>
    </row>
    <row r="455" spans="1:1">
      <c r="A455" s="39">
        <f>IF('3757 - Wall Stickers'!B455 = "", "", IF('3757 - Wall Stickers-WUO_ERR'!A455 = "", "Validated", HYPERLINK("#" &amp; ADDRESS(455, '3757 - Wall Stickers-WUO_TRK'!A455),_xlfn.TEXTAFTER('3757 - Wall Stickers-WUO_ERR'!A455, ":"))))</f>
        <v>0</v>
      </c>
    </row>
    <row r="456" spans="1:1">
      <c r="A456" s="39">
        <f>IF('3757 - Wall Stickers'!B456 = "", "", IF('3757 - Wall Stickers-WUO_ERR'!A456 = "", "Validated", HYPERLINK("#" &amp; ADDRESS(456, '3757 - Wall Stickers-WUO_TRK'!A456),_xlfn.TEXTAFTER('3757 - Wall Stickers-WUO_ERR'!A456, ":"))))</f>
        <v>0</v>
      </c>
    </row>
    <row r="457" spans="1:1">
      <c r="A457" s="39">
        <f>IF('3757 - Wall Stickers'!B457 = "", "", IF('3757 - Wall Stickers-WUO_ERR'!A457 = "", "Validated", HYPERLINK("#" &amp; ADDRESS(457, '3757 - Wall Stickers-WUO_TRK'!A457),_xlfn.TEXTAFTER('3757 - Wall Stickers-WUO_ERR'!A457, ":"))))</f>
        <v>0</v>
      </c>
    </row>
    <row r="458" spans="1:1">
      <c r="A458" s="39">
        <f>IF('3757 - Wall Stickers'!B458 = "", "", IF('3757 - Wall Stickers-WUO_ERR'!A458 = "", "Validated", HYPERLINK("#" &amp; ADDRESS(458, '3757 - Wall Stickers-WUO_TRK'!A458),_xlfn.TEXTAFTER('3757 - Wall Stickers-WUO_ERR'!A458, ":"))))</f>
        <v>0</v>
      </c>
    </row>
    <row r="459" spans="1:1">
      <c r="A459" s="39">
        <f>IF('3757 - Wall Stickers'!B459 = "", "", IF('3757 - Wall Stickers-WUO_ERR'!A459 = "", "Validated", HYPERLINK("#" &amp; ADDRESS(459, '3757 - Wall Stickers-WUO_TRK'!A459),_xlfn.TEXTAFTER('3757 - Wall Stickers-WUO_ERR'!A459, ":"))))</f>
        <v>0</v>
      </c>
    </row>
    <row r="460" spans="1:1">
      <c r="A460" s="39">
        <f>IF('3757 - Wall Stickers'!B460 = "", "", IF('3757 - Wall Stickers-WUO_ERR'!A460 = "", "Validated", HYPERLINK("#" &amp; ADDRESS(460, '3757 - Wall Stickers-WUO_TRK'!A460),_xlfn.TEXTAFTER('3757 - Wall Stickers-WUO_ERR'!A460, ":"))))</f>
        <v>0</v>
      </c>
    </row>
    <row r="461" spans="1:1">
      <c r="A461" s="39">
        <f>IF('3757 - Wall Stickers'!B461 = "", "", IF('3757 - Wall Stickers-WUO_ERR'!A461 = "", "Validated", HYPERLINK("#" &amp; ADDRESS(461, '3757 - Wall Stickers-WUO_TRK'!A461),_xlfn.TEXTAFTER('3757 - Wall Stickers-WUO_ERR'!A461, ":"))))</f>
        <v>0</v>
      </c>
    </row>
    <row r="462" spans="1:1">
      <c r="A462" s="39">
        <f>IF('3757 - Wall Stickers'!B462 = "", "", IF('3757 - Wall Stickers-WUO_ERR'!A462 = "", "Validated", HYPERLINK("#" &amp; ADDRESS(462, '3757 - Wall Stickers-WUO_TRK'!A462),_xlfn.TEXTAFTER('3757 - Wall Stickers-WUO_ERR'!A462, ":"))))</f>
        <v>0</v>
      </c>
    </row>
    <row r="463" spans="1:1">
      <c r="A463" s="39">
        <f>IF('3757 - Wall Stickers'!B463 = "", "", IF('3757 - Wall Stickers-WUO_ERR'!A463 = "", "Validated", HYPERLINK("#" &amp; ADDRESS(463, '3757 - Wall Stickers-WUO_TRK'!A463),_xlfn.TEXTAFTER('3757 - Wall Stickers-WUO_ERR'!A463, ":"))))</f>
        <v>0</v>
      </c>
    </row>
    <row r="464" spans="1:1">
      <c r="A464" s="39">
        <f>IF('3757 - Wall Stickers'!B464 = "", "", IF('3757 - Wall Stickers-WUO_ERR'!A464 = "", "Validated", HYPERLINK("#" &amp; ADDRESS(464, '3757 - Wall Stickers-WUO_TRK'!A464),_xlfn.TEXTAFTER('3757 - Wall Stickers-WUO_ERR'!A464, ":"))))</f>
        <v>0</v>
      </c>
    </row>
    <row r="465" spans="1:1">
      <c r="A465" s="39">
        <f>IF('3757 - Wall Stickers'!B465 = "", "", IF('3757 - Wall Stickers-WUO_ERR'!A465 = "", "Validated", HYPERLINK("#" &amp; ADDRESS(465, '3757 - Wall Stickers-WUO_TRK'!A465),_xlfn.TEXTAFTER('3757 - Wall Stickers-WUO_ERR'!A465, ":"))))</f>
        <v>0</v>
      </c>
    </row>
    <row r="466" spans="1:1">
      <c r="A466" s="39">
        <f>IF('3757 - Wall Stickers'!B466 = "", "", IF('3757 - Wall Stickers-WUO_ERR'!A466 = "", "Validated", HYPERLINK("#" &amp; ADDRESS(466, '3757 - Wall Stickers-WUO_TRK'!A466),_xlfn.TEXTAFTER('3757 - Wall Stickers-WUO_ERR'!A466, ":"))))</f>
        <v>0</v>
      </c>
    </row>
    <row r="467" spans="1:1">
      <c r="A467" s="39">
        <f>IF('3757 - Wall Stickers'!B467 = "", "", IF('3757 - Wall Stickers-WUO_ERR'!A467 = "", "Validated", HYPERLINK("#" &amp; ADDRESS(467, '3757 - Wall Stickers-WUO_TRK'!A467),_xlfn.TEXTAFTER('3757 - Wall Stickers-WUO_ERR'!A467, ":"))))</f>
        <v>0</v>
      </c>
    </row>
    <row r="468" spans="1:1">
      <c r="A468" s="39">
        <f>IF('3757 - Wall Stickers'!B468 = "", "", IF('3757 - Wall Stickers-WUO_ERR'!A468 = "", "Validated", HYPERLINK("#" &amp; ADDRESS(468, '3757 - Wall Stickers-WUO_TRK'!A468),_xlfn.TEXTAFTER('3757 - Wall Stickers-WUO_ERR'!A468, ":"))))</f>
        <v>0</v>
      </c>
    </row>
    <row r="469" spans="1:1">
      <c r="A469" s="39">
        <f>IF('3757 - Wall Stickers'!B469 = "", "", IF('3757 - Wall Stickers-WUO_ERR'!A469 = "", "Validated", HYPERLINK("#" &amp; ADDRESS(469, '3757 - Wall Stickers-WUO_TRK'!A469),_xlfn.TEXTAFTER('3757 - Wall Stickers-WUO_ERR'!A469, ":"))))</f>
        <v>0</v>
      </c>
    </row>
    <row r="470" spans="1:1">
      <c r="A470" s="39">
        <f>IF('3757 - Wall Stickers'!B470 = "", "", IF('3757 - Wall Stickers-WUO_ERR'!A470 = "", "Validated", HYPERLINK("#" &amp; ADDRESS(470, '3757 - Wall Stickers-WUO_TRK'!A470),_xlfn.TEXTAFTER('3757 - Wall Stickers-WUO_ERR'!A470, ":"))))</f>
        <v>0</v>
      </c>
    </row>
    <row r="471" spans="1:1">
      <c r="A471" s="39">
        <f>IF('3757 - Wall Stickers'!B471 = "", "", IF('3757 - Wall Stickers-WUO_ERR'!A471 = "", "Validated", HYPERLINK("#" &amp; ADDRESS(471, '3757 - Wall Stickers-WUO_TRK'!A471),_xlfn.TEXTAFTER('3757 - Wall Stickers-WUO_ERR'!A471, ":"))))</f>
        <v>0</v>
      </c>
    </row>
    <row r="472" spans="1:1">
      <c r="A472" s="39">
        <f>IF('3757 - Wall Stickers'!B472 = "", "", IF('3757 - Wall Stickers-WUO_ERR'!A472 = "", "Validated", HYPERLINK("#" &amp; ADDRESS(472, '3757 - Wall Stickers-WUO_TRK'!A472),_xlfn.TEXTAFTER('3757 - Wall Stickers-WUO_ERR'!A472, ":"))))</f>
        <v>0</v>
      </c>
    </row>
    <row r="473" spans="1:1">
      <c r="A473" s="39">
        <f>IF('3757 - Wall Stickers'!B473 = "", "", IF('3757 - Wall Stickers-WUO_ERR'!A473 = "", "Validated", HYPERLINK("#" &amp; ADDRESS(473, '3757 - Wall Stickers-WUO_TRK'!A473),_xlfn.TEXTAFTER('3757 - Wall Stickers-WUO_ERR'!A473, ":"))))</f>
        <v>0</v>
      </c>
    </row>
    <row r="474" spans="1:1">
      <c r="A474" s="39">
        <f>IF('3757 - Wall Stickers'!B474 = "", "", IF('3757 - Wall Stickers-WUO_ERR'!A474 = "", "Validated", HYPERLINK("#" &amp; ADDRESS(474, '3757 - Wall Stickers-WUO_TRK'!A474),_xlfn.TEXTAFTER('3757 - Wall Stickers-WUO_ERR'!A474, ":"))))</f>
        <v>0</v>
      </c>
    </row>
    <row r="475" spans="1:1">
      <c r="A475" s="39">
        <f>IF('3757 - Wall Stickers'!B475 = "", "", IF('3757 - Wall Stickers-WUO_ERR'!A475 = "", "Validated", HYPERLINK("#" &amp; ADDRESS(475, '3757 - Wall Stickers-WUO_TRK'!A475),_xlfn.TEXTAFTER('3757 - Wall Stickers-WUO_ERR'!A475, ":"))))</f>
        <v>0</v>
      </c>
    </row>
    <row r="476" spans="1:1">
      <c r="A476" s="39">
        <f>IF('3757 - Wall Stickers'!B476 = "", "", IF('3757 - Wall Stickers-WUO_ERR'!A476 = "", "Validated", HYPERLINK("#" &amp; ADDRESS(476, '3757 - Wall Stickers-WUO_TRK'!A476),_xlfn.TEXTAFTER('3757 - Wall Stickers-WUO_ERR'!A476, ":"))))</f>
        <v>0</v>
      </c>
    </row>
    <row r="477" spans="1:1">
      <c r="A477" s="39">
        <f>IF('3757 - Wall Stickers'!B477 = "", "", IF('3757 - Wall Stickers-WUO_ERR'!A477 = "", "Validated", HYPERLINK("#" &amp; ADDRESS(477, '3757 - Wall Stickers-WUO_TRK'!A477),_xlfn.TEXTAFTER('3757 - Wall Stickers-WUO_ERR'!A477, ":"))))</f>
        <v>0</v>
      </c>
    </row>
    <row r="478" spans="1:1">
      <c r="A478" s="39">
        <f>IF('3757 - Wall Stickers'!B478 = "", "", IF('3757 - Wall Stickers-WUO_ERR'!A478 = "", "Validated", HYPERLINK("#" &amp; ADDRESS(478, '3757 - Wall Stickers-WUO_TRK'!A478),_xlfn.TEXTAFTER('3757 - Wall Stickers-WUO_ERR'!A478, ":"))))</f>
        <v>0</v>
      </c>
    </row>
    <row r="479" spans="1:1">
      <c r="A479" s="39">
        <f>IF('3757 - Wall Stickers'!B479 = "", "", IF('3757 - Wall Stickers-WUO_ERR'!A479 = "", "Validated", HYPERLINK("#" &amp; ADDRESS(479, '3757 - Wall Stickers-WUO_TRK'!A479),_xlfn.TEXTAFTER('3757 - Wall Stickers-WUO_ERR'!A479, ":"))))</f>
        <v>0</v>
      </c>
    </row>
    <row r="480" spans="1:1">
      <c r="A480" s="39">
        <f>IF('3757 - Wall Stickers'!B480 = "", "", IF('3757 - Wall Stickers-WUO_ERR'!A480 = "", "Validated", HYPERLINK("#" &amp; ADDRESS(480, '3757 - Wall Stickers-WUO_TRK'!A480),_xlfn.TEXTAFTER('3757 - Wall Stickers-WUO_ERR'!A480, ":"))))</f>
        <v>0</v>
      </c>
    </row>
    <row r="481" spans="1:1">
      <c r="A481" s="39">
        <f>IF('3757 - Wall Stickers'!B481 = "", "", IF('3757 - Wall Stickers-WUO_ERR'!A481 = "", "Validated", HYPERLINK("#" &amp; ADDRESS(481, '3757 - Wall Stickers-WUO_TRK'!A481),_xlfn.TEXTAFTER('3757 - Wall Stickers-WUO_ERR'!A481, ":"))))</f>
        <v>0</v>
      </c>
    </row>
    <row r="482" spans="1:1">
      <c r="A482" s="39">
        <f>IF('3757 - Wall Stickers'!B482 = "", "", IF('3757 - Wall Stickers-WUO_ERR'!A482 = "", "Validated", HYPERLINK("#" &amp; ADDRESS(482, '3757 - Wall Stickers-WUO_TRK'!A482),_xlfn.TEXTAFTER('3757 - Wall Stickers-WUO_ERR'!A482, ":"))))</f>
        <v>0</v>
      </c>
    </row>
    <row r="483" spans="1:1">
      <c r="A483" s="39">
        <f>IF('3757 - Wall Stickers'!B483 = "", "", IF('3757 - Wall Stickers-WUO_ERR'!A483 = "", "Validated", HYPERLINK("#" &amp; ADDRESS(483, '3757 - Wall Stickers-WUO_TRK'!A483),_xlfn.TEXTAFTER('3757 - Wall Stickers-WUO_ERR'!A483, ":"))))</f>
        <v>0</v>
      </c>
    </row>
    <row r="484" spans="1:1">
      <c r="A484" s="39">
        <f>IF('3757 - Wall Stickers'!B484 = "", "", IF('3757 - Wall Stickers-WUO_ERR'!A484 = "", "Validated", HYPERLINK("#" &amp; ADDRESS(484, '3757 - Wall Stickers-WUO_TRK'!A484),_xlfn.TEXTAFTER('3757 - Wall Stickers-WUO_ERR'!A484, ":"))))</f>
        <v>0</v>
      </c>
    </row>
    <row r="485" spans="1:1">
      <c r="A485" s="39">
        <f>IF('3757 - Wall Stickers'!B485 = "", "", IF('3757 - Wall Stickers-WUO_ERR'!A485 = "", "Validated", HYPERLINK("#" &amp; ADDRESS(485, '3757 - Wall Stickers-WUO_TRK'!A485),_xlfn.TEXTAFTER('3757 - Wall Stickers-WUO_ERR'!A485, ":"))))</f>
        <v>0</v>
      </c>
    </row>
    <row r="486" spans="1:1">
      <c r="A486" s="39">
        <f>IF('3757 - Wall Stickers'!B486 = "", "", IF('3757 - Wall Stickers-WUO_ERR'!A486 = "", "Validated", HYPERLINK("#" &amp; ADDRESS(486, '3757 - Wall Stickers-WUO_TRK'!A486),_xlfn.TEXTAFTER('3757 - Wall Stickers-WUO_ERR'!A486, ":"))))</f>
        <v>0</v>
      </c>
    </row>
    <row r="487" spans="1:1">
      <c r="A487" s="39">
        <f>IF('3757 - Wall Stickers'!B487 = "", "", IF('3757 - Wall Stickers-WUO_ERR'!A487 = "", "Validated", HYPERLINK("#" &amp; ADDRESS(487, '3757 - Wall Stickers-WUO_TRK'!A487),_xlfn.TEXTAFTER('3757 - Wall Stickers-WUO_ERR'!A487, ":"))))</f>
        <v>0</v>
      </c>
    </row>
    <row r="488" spans="1:1">
      <c r="A488" s="39">
        <f>IF('3757 - Wall Stickers'!B488 = "", "", IF('3757 - Wall Stickers-WUO_ERR'!A488 = "", "Validated", HYPERLINK("#" &amp; ADDRESS(488, '3757 - Wall Stickers-WUO_TRK'!A488),_xlfn.TEXTAFTER('3757 - Wall Stickers-WUO_ERR'!A488, ":"))))</f>
        <v>0</v>
      </c>
    </row>
    <row r="489" spans="1:1">
      <c r="A489" s="39">
        <f>IF('3757 - Wall Stickers'!B489 = "", "", IF('3757 - Wall Stickers-WUO_ERR'!A489 = "", "Validated", HYPERLINK("#" &amp; ADDRESS(489, '3757 - Wall Stickers-WUO_TRK'!A489),_xlfn.TEXTAFTER('3757 - Wall Stickers-WUO_ERR'!A489, ":"))))</f>
        <v>0</v>
      </c>
    </row>
    <row r="490" spans="1:1">
      <c r="A490" s="39">
        <f>IF('3757 - Wall Stickers'!B490 = "", "", IF('3757 - Wall Stickers-WUO_ERR'!A490 = "", "Validated", HYPERLINK("#" &amp; ADDRESS(490, '3757 - Wall Stickers-WUO_TRK'!A490),_xlfn.TEXTAFTER('3757 - Wall Stickers-WUO_ERR'!A490, ":"))))</f>
        <v>0</v>
      </c>
    </row>
    <row r="491" spans="1:1">
      <c r="A491" s="39">
        <f>IF('3757 - Wall Stickers'!B491 = "", "", IF('3757 - Wall Stickers-WUO_ERR'!A491 = "", "Validated", HYPERLINK("#" &amp; ADDRESS(491, '3757 - Wall Stickers-WUO_TRK'!A491),_xlfn.TEXTAFTER('3757 - Wall Stickers-WUO_ERR'!A491, ":"))))</f>
        <v>0</v>
      </c>
    </row>
    <row r="492" spans="1:1">
      <c r="A492" s="39">
        <f>IF('3757 - Wall Stickers'!B492 = "", "", IF('3757 - Wall Stickers-WUO_ERR'!A492 = "", "Validated", HYPERLINK("#" &amp; ADDRESS(492, '3757 - Wall Stickers-WUO_TRK'!A492),_xlfn.TEXTAFTER('3757 - Wall Stickers-WUO_ERR'!A492, ":"))))</f>
        <v>0</v>
      </c>
    </row>
    <row r="493" spans="1:1">
      <c r="A493" s="39">
        <f>IF('3757 - Wall Stickers'!B493 = "", "", IF('3757 - Wall Stickers-WUO_ERR'!A493 = "", "Validated", HYPERLINK("#" &amp; ADDRESS(493, '3757 - Wall Stickers-WUO_TRK'!A493),_xlfn.TEXTAFTER('3757 - Wall Stickers-WUO_ERR'!A493, ":"))))</f>
        <v>0</v>
      </c>
    </row>
    <row r="494" spans="1:1">
      <c r="A494" s="39">
        <f>IF('3757 - Wall Stickers'!B494 = "", "", IF('3757 - Wall Stickers-WUO_ERR'!A494 = "", "Validated", HYPERLINK("#" &amp; ADDRESS(494, '3757 - Wall Stickers-WUO_TRK'!A494),_xlfn.TEXTAFTER('3757 - Wall Stickers-WUO_ERR'!A494, ":"))))</f>
        <v>0</v>
      </c>
    </row>
    <row r="495" spans="1:1">
      <c r="A495" s="39">
        <f>IF('3757 - Wall Stickers'!B495 = "", "", IF('3757 - Wall Stickers-WUO_ERR'!A495 = "", "Validated", HYPERLINK("#" &amp; ADDRESS(495, '3757 - Wall Stickers-WUO_TRK'!A495),_xlfn.TEXTAFTER('3757 - Wall Stickers-WUO_ERR'!A495, ":"))))</f>
        <v>0</v>
      </c>
    </row>
    <row r="496" spans="1:1">
      <c r="A496" s="39">
        <f>IF('3757 - Wall Stickers'!B496 = "", "", IF('3757 - Wall Stickers-WUO_ERR'!A496 = "", "Validated", HYPERLINK("#" &amp; ADDRESS(496, '3757 - Wall Stickers-WUO_TRK'!A496),_xlfn.TEXTAFTER('3757 - Wall Stickers-WUO_ERR'!A496, ":"))))</f>
        <v>0</v>
      </c>
    </row>
    <row r="497" spans="1:1">
      <c r="A497" s="39">
        <f>IF('3757 - Wall Stickers'!B497 = "", "", IF('3757 - Wall Stickers-WUO_ERR'!A497 = "", "Validated", HYPERLINK("#" &amp; ADDRESS(497, '3757 - Wall Stickers-WUO_TRK'!A497),_xlfn.TEXTAFTER('3757 - Wall Stickers-WUO_ERR'!A497, ":"))))</f>
        <v>0</v>
      </c>
    </row>
    <row r="498" spans="1:1">
      <c r="A498" s="39">
        <f>IF('3757 - Wall Stickers'!B498 = "", "", IF('3757 - Wall Stickers-WUO_ERR'!A498 = "", "Validated", HYPERLINK("#" &amp; ADDRESS(498, '3757 - Wall Stickers-WUO_TRK'!A498),_xlfn.TEXTAFTER('3757 - Wall Stickers-WUO_ERR'!A498, ":"))))</f>
        <v>0</v>
      </c>
    </row>
    <row r="499" spans="1:1">
      <c r="A499" s="39">
        <f>IF('3757 - Wall Stickers'!B499 = "", "", IF('3757 - Wall Stickers-WUO_ERR'!A499 = "", "Validated", HYPERLINK("#" &amp; ADDRESS(499, '3757 - Wall Stickers-WUO_TRK'!A499),_xlfn.TEXTAFTER('3757 - Wall Stickers-WUO_ERR'!A499, ":"))))</f>
        <v>0</v>
      </c>
    </row>
    <row r="500" spans="1:1">
      <c r="A500" s="39">
        <f>IF('3757 - Wall Stickers'!B500 = "", "", IF('3757 - Wall Stickers-WUO_ERR'!A500 = "", "Validated", HYPERLINK("#" &amp; ADDRESS(500, '3757 - Wall Stickers-WUO_TRK'!A500),_xlfn.TEXTAFTER('3757 - Wall Stickers-WUO_ERR'!A500, ":"))))</f>
        <v>0</v>
      </c>
    </row>
    <row r="501" spans="1:1">
      <c r="A501" s="39">
        <f>IF('3757 - Wall Stickers'!B501 = "", "", IF('3757 - Wall Stickers-WUO_ERR'!A501 = "", "Validated", HYPERLINK("#" &amp; ADDRESS(501, '3757 - Wall Stickers-WUO_TRK'!A501),_xlfn.TEXTAFTER('3757 - Wall Stickers-WUO_ERR'!A501, ":"))))</f>
        <v>0</v>
      </c>
    </row>
    <row r="502" spans="1:1">
      <c r="A502" s="39">
        <f>IF('3757 - Wall Stickers'!B502 = "", "", IF('3757 - Wall Stickers-WUO_ERR'!A502 = "", "Validated", HYPERLINK("#" &amp; ADDRESS(502, '3757 - Wall Stickers-WUO_TRK'!A502),_xlfn.TEXTAFTER('3757 - Wall Stickers-WUO_ERR'!A502, ":"))))</f>
        <v>0</v>
      </c>
    </row>
    <row r="503" spans="1:1">
      <c r="A503" s="39">
        <f>IF('3757 - Wall Stickers'!B503 = "", "", IF('3757 - Wall Stickers-WUO_ERR'!A503 = "", "Validated", HYPERLINK("#" &amp; ADDRESS(503, '3757 - Wall Stickers-WUO_TRK'!A503),_xlfn.TEXTAFTER('3757 - Wall Stickers-WUO_ERR'!A503, ":"))))</f>
        <v>0</v>
      </c>
    </row>
    <row r="504" spans="1:1">
      <c r="A504" s="39">
        <f>IF('3757 - Wall Stickers'!B504 = "", "", IF('3757 - Wall Stickers-WUO_ERR'!A504 = "", "Validated", HYPERLINK("#" &amp; ADDRESS(504, '3757 - Wall Stickers-WUO_TRK'!A504),_xlfn.TEXTAFTER('3757 - Wall Stickers-WUO_ERR'!A504, ":"))))</f>
        <v>0</v>
      </c>
    </row>
    <row r="505" spans="1:1">
      <c r="A505" s="39">
        <f>IF('3757 - Wall Stickers'!B505 = "", "", IF('3757 - Wall Stickers-WUO_ERR'!A505 = "", "Validated", HYPERLINK("#" &amp; ADDRESS(505, '3757 - Wall Stickers-WUO_TRK'!A505),_xlfn.TEXTAFTER('3757 - Wall Stickers-WUO_ERR'!A505, ":"))))</f>
        <v>0</v>
      </c>
    </row>
    <row r="506" spans="1:1">
      <c r="A506" s="39">
        <f>IF('3757 - Wall Stickers'!B506 = "", "", IF('3757 - Wall Stickers-WUO_ERR'!A506 = "", "Validated", HYPERLINK("#" &amp; ADDRESS(506, '3757 - Wall Stickers-WUO_TRK'!A506),_xlfn.TEXTAFTER('3757 - Wall Stickers-WUO_ERR'!A506, ":"))))</f>
        <v>0</v>
      </c>
    </row>
    <row r="507" spans="1:1">
      <c r="A507" s="39">
        <f>IF('3757 - Wall Stickers'!B507 = "", "", IF('3757 - Wall Stickers-WUO_ERR'!A507 = "", "Validated", HYPERLINK("#" &amp; ADDRESS(507, '3757 - Wall Stickers-WUO_TRK'!A507),_xlfn.TEXTAFTER('3757 - Wall Stickers-WUO_ERR'!A507, ":"))))</f>
        <v>0</v>
      </c>
    </row>
  </sheetData>
  <sheetProtection password="FD38" sheet="1" objects="1" scenarios="1" formatColumns="0" formatRows="0"/>
  <protectedRanges>
    <protectedRange sqref="B8:CP10000" name="Range1"/>
  </protectedRanges>
  <mergeCells count="9">
    <mergeCell ref="B2:I2"/>
    <mergeCell ref="J2:Q2"/>
    <mergeCell ref="R2:U2"/>
    <mergeCell ref="V2:AA2"/>
    <mergeCell ref="AB2:AL2"/>
    <mergeCell ref="AM2:AP2"/>
    <mergeCell ref="AQ2:BH2"/>
    <mergeCell ref="BI2:CK2"/>
    <mergeCell ref="CL2:CO2"/>
  </mergeCells>
  <conditionalFormatting sqref="A8:A507">
    <cfRule type="expression" dxfId="4" priority="5">
      <formula>A8="Validated"</formula>
    </cfRule>
    <cfRule type="expression" dxfId="5" priority="6">
      <formula>OR(COUNTIF('3757 - Wall Stickers-WUO_TRK'!B8:CP8,"Error"),COUNTIF('3757 - Wall Stickers-WUO_TRK'!B8:CP8,"Required"))</formula>
    </cfRule>
    <cfRule type="expression" dxfId="6" priority="7">
      <formula>COUNTIF('3757 - Wall Stickers-WUO_TRK'!B8:CP8,"Warning")</formula>
    </cfRule>
  </conditionalFormatting>
  <conditionalFormatting sqref="AA7">
    <cfRule type="notContainsBlanks" dxfId="7" priority="38">
      <formula>LEN(TRIM(AA7))&gt;0</formula>
    </cfRule>
    <cfRule type="containsBlanks" dxfId="8" priority="39">
      <formula>LEN(TRIM(AA7))=0</formula>
    </cfRule>
  </conditionalFormatting>
  <conditionalFormatting sqref="AA8:AA2501">
    <cfRule type="expression" dxfId="7" priority="40">
      <formula>AND($AA$7&lt;&gt;"", AA8="")</formula>
    </cfRule>
  </conditionalFormatting>
  <conditionalFormatting sqref="AB7">
    <cfRule type="notContainsBlanks" dxfId="7" priority="41">
      <formula>LEN(TRIM(AB7))&gt;0</formula>
    </cfRule>
    <cfRule type="containsBlanks" dxfId="8" priority="42">
      <formula>LEN(TRIM(AB7))=0</formula>
    </cfRule>
  </conditionalFormatting>
  <conditionalFormatting sqref="AB8:AB2501">
    <cfRule type="expression" dxfId="7" priority="43">
      <formula>AND($AB$7&lt;&gt;"", AB8="")</formula>
    </cfRule>
  </conditionalFormatting>
  <conditionalFormatting sqref="AC7">
    <cfRule type="notContainsBlanks" dxfId="7" priority="44">
      <formula>LEN(TRIM(AC7))&gt;0</formula>
    </cfRule>
    <cfRule type="containsBlanks" dxfId="8" priority="45">
      <formula>LEN(TRIM(AC7))=0</formula>
    </cfRule>
  </conditionalFormatting>
  <conditionalFormatting sqref="AC8:AC2501">
    <cfRule type="expression" dxfId="7" priority="46">
      <formula>AND($AC$7&lt;&gt;"", AC8="")</formula>
    </cfRule>
  </conditionalFormatting>
  <conditionalFormatting sqref="AD7">
    <cfRule type="notContainsBlanks" dxfId="7" priority="47">
      <formula>LEN(TRIM(AD7))&gt;0</formula>
    </cfRule>
    <cfRule type="containsBlanks" dxfId="8" priority="48">
      <formula>LEN(TRIM(AD7))=0</formula>
    </cfRule>
  </conditionalFormatting>
  <conditionalFormatting sqref="AD8:AD2501">
    <cfRule type="expression" dxfId="7" priority="49">
      <formula>AND($AD$7&lt;&gt;"", AD8="")</formula>
    </cfRule>
  </conditionalFormatting>
  <conditionalFormatting sqref="AE7">
    <cfRule type="notContainsBlanks" dxfId="7" priority="50">
      <formula>LEN(TRIM(AE7))&gt;0</formula>
    </cfRule>
    <cfRule type="containsBlanks" dxfId="8" priority="51">
      <formula>LEN(TRIM(AE7))=0</formula>
    </cfRule>
  </conditionalFormatting>
  <conditionalFormatting sqref="AE8:AE2501">
    <cfRule type="expression" dxfId="7" priority="52">
      <formula>AND($AE$7&lt;&gt;"", AE8="")</formula>
    </cfRule>
  </conditionalFormatting>
  <conditionalFormatting sqref="AF7">
    <cfRule type="notContainsBlanks" dxfId="7" priority="53">
      <formula>LEN(TRIM(AF7))&gt;0</formula>
    </cfRule>
    <cfRule type="containsBlanks" dxfId="8" priority="54">
      <formula>LEN(TRIM(AF7))=0</formula>
    </cfRule>
  </conditionalFormatting>
  <conditionalFormatting sqref="AF8:AF2501">
    <cfRule type="expression" dxfId="7" priority="55">
      <formula>AND($AF$7&lt;&gt;"", AF8="")</formula>
    </cfRule>
  </conditionalFormatting>
  <conditionalFormatting sqref="AG7">
    <cfRule type="notContainsBlanks" dxfId="7" priority="56">
      <formula>LEN(TRIM(AG7))&gt;0</formula>
    </cfRule>
    <cfRule type="containsBlanks" dxfId="8" priority="57">
      <formula>LEN(TRIM(AG7))=0</formula>
    </cfRule>
  </conditionalFormatting>
  <conditionalFormatting sqref="AG8:AG2501">
    <cfRule type="expression" dxfId="7" priority="58">
      <formula>AND($AG$7&lt;&gt;"", AG8="")</formula>
    </cfRule>
  </conditionalFormatting>
  <conditionalFormatting sqref="AH7">
    <cfRule type="notContainsBlanks" dxfId="7" priority="59">
      <formula>LEN(TRIM(AH7))&gt;0</formula>
    </cfRule>
    <cfRule type="containsBlanks" dxfId="8" priority="60">
      <formula>LEN(TRIM(AH7))=0</formula>
    </cfRule>
  </conditionalFormatting>
  <conditionalFormatting sqref="AH8:AH2501">
    <cfRule type="expression" dxfId="7" priority="61">
      <formula>AND($AH$7&lt;&gt;"", AH8="")</formula>
    </cfRule>
  </conditionalFormatting>
  <conditionalFormatting sqref="AI7">
    <cfRule type="notContainsBlanks" dxfId="7" priority="62">
      <formula>LEN(TRIM(AI7))&gt;0</formula>
    </cfRule>
    <cfRule type="containsBlanks" dxfId="8" priority="63">
      <formula>LEN(TRIM(AI7))=0</formula>
    </cfRule>
  </conditionalFormatting>
  <conditionalFormatting sqref="AI8:AI2501">
    <cfRule type="expression" dxfId="7" priority="64">
      <formula>AND($AI$7&lt;&gt;"", AI8="")</formula>
    </cfRule>
  </conditionalFormatting>
  <conditionalFormatting sqref="AJ7">
    <cfRule type="notContainsBlanks" dxfId="7" priority="65">
      <formula>LEN(TRIM(AJ7))&gt;0</formula>
    </cfRule>
    <cfRule type="containsBlanks" dxfId="8" priority="66">
      <formula>LEN(TRIM(AJ7))=0</formula>
    </cfRule>
  </conditionalFormatting>
  <conditionalFormatting sqref="AJ8:AJ2501">
    <cfRule type="expression" dxfId="7" priority="67">
      <formula>AND($AJ$7&lt;&gt;"", AJ8="")</formula>
    </cfRule>
  </conditionalFormatting>
  <conditionalFormatting sqref="AK7">
    <cfRule type="notContainsBlanks" dxfId="7" priority="68">
      <formula>LEN(TRIM(AK7))&gt;0</formula>
    </cfRule>
    <cfRule type="containsBlanks" dxfId="8" priority="69">
      <formula>LEN(TRIM(AK7))=0</formula>
    </cfRule>
  </conditionalFormatting>
  <conditionalFormatting sqref="AK8:AK2501">
    <cfRule type="expression" dxfId="7" priority="70">
      <formula>AND($AK$7&lt;&gt;"", AK8="")</formula>
    </cfRule>
  </conditionalFormatting>
  <conditionalFormatting sqref="AL7">
    <cfRule type="notContainsBlanks" dxfId="7" priority="71">
      <formula>LEN(TRIM(AL7))&gt;0</formula>
    </cfRule>
    <cfRule type="containsBlanks" dxfId="8" priority="72">
      <formula>LEN(TRIM(AL7))=0</formula>
    </cfRule>
  </conditionalFormatting>
  <conditionalFormatting sqref="AL8:AL2501">
    <cfRule type="expression" dxfId="7" priority="73">
      <formula>AND($AL$7&lt;&gt;"", AL8="")</formula>
    </cfRule>
  </conditionalFormatting>
  <conditionalFormatting sqref="AM7">
    <cfRule type="notContainsBlanks" dxfId="7" priority="74">
      <formula>LEN(TRIM(AM7))&gt;0</formula>
    </cfRule>
    <cfRule type="containsBlanks" dxfId="8" priority="75">
      <formula>LEN(TRIM(AM7))=0</formula>
    </cfRule>
  </conditionalFormatting>
  <conditionalFormatting sqref="AM8:AM2501">
    <cfRule type="expression" dxfId="7" priority="76">
      <formula>AND($AM$7&lt;&gt;"", AM8="")</formula>
    </cfRule>
  </conditionalFormatting>
  <conditionalFormatting sqref="AN7">
    <cfRule type="notContainsBlanks" dxfId="7" priority="77">
      <formula>LEN(TRIM(AN7))&gt;0</formula>
    </cfRule>
    <cfRule type="containsBlanks" dxfId="8" priority="78">
      <formula>LEN(TRIM(AN7))=0</formula>
    </cfRule>
  </conditionalFormatting>
  <conditionalFormatting sqref="AN8:AN2501">
    <cfRule type="expression" dxfId="7" priority="79">
      <formula>AND($AN$7&lt;&gt;"", AN8="")</formula>
    </cfRule>
  </conditionalFormatting>
  <conditionalFormatting sqref="AO7">
    <cfRule type="notContainsBlanks" dxfId="7" priority="80">
      <formula>LEN(TRIM(AO7))&gt;0</formula>
    </cfRule>
    <cfRule type="containsBlanks" dxfId="8" priority="81">
      <formula>LEN(TRIM(AO7))=0</formula>
    </cfRule>
  </conditionalFormatting>
  <conditionalFormatting sqref="AO8:AO2501">
    <cfRule type="expression" dxfId="7" priority="82">
      <formula>AND($AO$7&lt;&gt;"", AO8="")</formula>
    </cfRule>
  </conditionalFormatting>
  <conditionalFormatting sqref="AP7">
    <cfRule type="notContainsBlanks" dxfId="7" priority="83">
      <formula>LEN(TRIM(AP7))&gt;0</formula>
    </cfRule>
    <cfRule type="containsBlanks" dxfId="8" priority="84">
      <formula>LEN(TRIM(AP7))=0</formula>
    </cfRule>
  </conditionalFormatting>
  <conditionalFormatting sqref="AP8:AP2501">
    <cfRule type="expression" dxfId="7" priority="85">
      <formula>AND($AP$7&lt;&gt;"", AP8="")</formula>
    </cfRule>
  </conditionalFormatting>
  <conditionalFormatting sqref="AW7">
    <cfRule type="notContainsBlanks" dxfId="7" priority="86">
      <formula>LEN(TRIM(AW7))&gt;0</formula>
    </cfRule>
    <cfRule type="containsBlanks" dxfId="8" priority="87">
      <formula>LEN(TRIM(AW7))=0</formula>
    </cfRule>
  </conditionalFormatting>
  <conditionalFormatting sqref="AW8:AW2501">
    <cfRule type="expression" dxfId="7" priority="88">
      <formula>AND($AW$7&lt;&gt;"", AW8="")</formula>
    </cfRule>
  </conditionalFormatting>
  <conditionalFormatting sqref="AX7">
    <cfRule type="notContainsBlanks" dxfId="7" priority="89">
      <formula>LEN(TRIM(AX7))&gt;0</formula>
    </cfRule>
    <cfRule type="containsBlanks" dxfId="8" priority="90">
      <formula>LEN(TRIM(AX7))=0</formula>
    </cfRule>
  </conditionalFormatting>
  <conditionalFormatting sqref="AX8:AX2501">
    <cfRule type="expression" dxfId="7" priority="91">
      <formula>AND($AX$7&lt;&gt;"", AX8="")</formula>
    </cfRule>
  </conditionalFormatting>
  <conditionalFormatting sqref="AY7">
    <cfRule type="notContainsBlanks" dxfId="7" priority="92">
      <formula>LEN(TRIM(AY7))&gt;0</formula>
    </cfRule>
    <cfRule type="containsBlanks" dxfId="8" priority="93">
      <formula>LEN(TRIM(AY7))=0</formula>
    </cfRule>
  </conditionalFormatting>
  <conditionalFormatting sqref="AY8:AY2501">
    <cfRule type="expression" dxfId="7" priority="94">
      <formula>AND($AY$7&lt;&gt;"", AY8="")</formula>
    </cfRule>
  </conditionalFormatting>
  <conditionalFormatting sqref="AZ7">
    <cfRule type="notContainsBlanks" dxfId="7" priority="95">
      <formula>LEN(TRIM(AZ7))&gt;0</formula>
    </cfRule>
    <cfRule type="containsBlanks" dxfId="8" priority="96">
      <formula>LEN(TRIM(AZ7))=0</formula>
    </cfRule>
  </conditionalFormatting>
  <conditionalFormatting sqref="AZ8:AZ2501">
    <cfRule type="expression" dxfId="7" priority="97">
      <formula>AND($AZ$7&lt;&gt;"", AZ8="")</formula>
    </cfRule>
  </conditionalFormatting>
  <conditionalFormatting sqref="B8:CP507">
    <cfRule type="expression" dxfId="0" priority="1">
      <formula>'3757 - Wall Stickers-WUO_TRK'!B8="Error"</formula>
    </cfRule>
    <cfRule type="expression" dxfId="1" priority="2">
      <formula>'3757 - Wall Stickers-WUO_TRK'!B8="Required"</formula>
    </cfRule>
    <cfRule type="expression" dxfId="2" priority="3">
      <formula>'3757 - Wall Stickers-WUO_TRK'!B8="Warning"</formula>
    </cfRule>
    <cfRule type="expression" dxfId="3" priority="4">
      <formula>'3757 - Wall Stickers-WUO_TRK'!B8="Disabled"</formula>
    </cfRule>
  </conditionalFormatting>
  <conditionalFormatting sqref="BA7">
    <cfRule type="notContainsBlanks" dxfId="7" priority="98">
      <formula>LEN(TRIM(BA7))&gt;0</formula>
    </cfRule>
    <cfRule type="containsBlanks" dxfId="8" priority="99">
      <formula>LEN(TRIM(BA7))=0</formula>
    </cfRule>
  </conditionalFormatting>
  <conditionalFormatting sqref="BA8:BA2501">
    <cfRule type="expression" dxfId="7" priority="100">
      <formula>AND($BA$7&lt;&gt;"", BA8="")</formula>
    </cfRule>
  </conditionalFormatting>
  <conditionalFormatting sqref="BB7">
    <cfRule type="notContainsBlanks" dxfId="7" priority="101">
      <formula>LEN(TRIM(BB7))&gt;0</formula>
    </cfRule>
    <cfRule type="containsBlanks" dxfId="8" priority="102">
      <formula>LEN(TRIM(BB7))=0</formula>
    </cfRule>
  </conditionalFormatting>
  <conditionalFormatting sqref="BB8:BB2501">
    <cfRule type="expression" dxfId="7" priority="103">
      <formula>AND($BB$7&lt;&gt;"", BB8="")</formula>
    </cfRule>
  </conditionalFormatting>
  <conditionalFormatting sqref="BC7">
    <cfRule type="notContainsBlanks" dxfId="7" priority="104">
      <formula>LEN(TRIM(BC7))&gt;0</formula>
    </cfRule>
    <cfRule type="containsBlanks" dxfId="8" priority="105">
      <formula>LEN(TRIM(BC7))=0</formula>
    </cfRule>
  </conditionalFormatting>
  <conditionalFormatting sqref="BC8:BC2501">
    <cfRule type="expression" dxfId="7" priority="106">
      <formula>AND($BC$7&lt;&gt;"", BC8="")</formula>
    </cfRule>
  </conditionalFormatting>
  <conditionalFormatting sqref="BD7">
    <cfRule type="notContainsBlanks" dxfId="7" priority="107">
      <formula>LEN(TRIM(BD7))&gt;0</formula>
    </cfRule>
    <cfRule type="containsBlanks" dxfId="8" priority="108">
      <formula>LEN(TRIM(BD7))=0</formula>
    </cfRule>
  </conditionalFormatting>
  <conditionalFormatting sqref="BD8:BD2501">
    <cfRule type="expression" dxfId="7" priority="109">
      <formula>AND($BD$7&lt;&gt;"", BD8="")</formula>
    </cfRule>
  </conditionalFormatting>
  <conditionalFormatting sqref="BE7">
    <cfRule type="notContainsBlanks" dxfId="7" priority="110">
      <formula>LEN(TRIM(BE7))&gt;0</formula>
    </cfRule>
    <cfRule type="containsBlanks" dxfId="8" priority="111">
      <formula>LEN(TRIM(BE7))=0</formula>
    </cfRule>
  </conditionalFormatting>
  <conditionalFormatting sqref="BE8:BE2501">
    <cfRule type="expression" dxfId="7" priority="112">
      <formula>AND($BE$7&lt;&gt;"", BE8="")</formula>
    </cfRule>
  </conditionalFormatting>
  <conditionalFormatting sqref="BF7">
    <cfRule type="notContainsBlanks" dxfId="7" priority="113">
      <formula>LEN(TRIM(BF7))&gt;0</formula>
    </cfRule>
    <cfRule type="containsBlanks" dxfId="8" priority="114">
      <formula>LEN(TRIM(BF7))=0</formula>
    </cfRule>
  </conditionalFormatting>
  <conditionalFormatting sqref="BF8:BF2501">
    <cfRule type="expression" dxfId="7" priority="115">
      <formula>AND($BF$7&lt;&gt;"", BF8="")</formula>
    </cfRule>
  </conditionalFormatting>
  <conditionalFormatting sqref="BG7">
    <cfRule type="notContainsBlanks" dxfId="7" priority="116">
      <formula>LEN(TRIM(BG7))&gt;0</formula>
    </cfRule>
    <cfRule type="containsBlanks" dxfId="8" priority="117">
      <formula>LEN(TRIM(BG7))=0</formula>
    </cfRule>
  </conditionalFormatting>
  <conditionalFormatting sqref="BG8:BG2501">
    <cfRule type="expression" dxfId="7" priority="118">
      <formula>AND($BG$7&lt;&gt;"", BG8="")</formula>
    </cfRule>
  </conditionalFormatting>
  <conditionalFormatting sqref="BH7">
    <cfRule type="notContainsBlanks" dxfId="7" priority="119">
      <formula>LEN(TRIM(BH7))&gt;0</formula>
    </cfRule>
    <cfRule type="containsBlanks" dxfId="8" priority="120">
      <formula>LEN(TRIM(BH7))=0</formula>
    </cfRule>
  </conditionalFormatting>
  <conditionalFormatting sqref="BH8:BH2501">
    <cfRule type="expression" dxfId="7" priority="121">
      <formula>AND($BH$7&lt;&gt;"", BH8="")</formula>
    </cfRule>
  </conditionalFormatting>
  <conditionalFormatting sqref="BI7">
    <cfRule type="notContainsBlanks" dxfId="7" priority="122">
      <formula>LEN(TRIM(BI7))&gt;0</formula>
    </cfRule>
    <cfRule type="containsBlanks" dxfId="8" priority="123">
      <formula>LEN(TRIM(BI7))=0</formula>
    </cfRule>
  </conditionalFormatting>
  <conditionalFormatting sqref="BI8:BI2501">
    <cfRule type="expression" dxfId="7" priority="124">
      <formula>AND($BI$7&lt;&gt;"", BI8="")</formula>
    </cfRule>
  </conditionalFormatting>
  <conditionalFormatting sqref="BJ7">
    <cfRule type="notContainsBlanks" dxfId="7" priority="125">
      <formula>LEN(TRIM(BJ7))&gt;0</formula>
    </cfRule>
    <cfRule type="containsBlanks" dxfId="8" priority="126">
      <formula>LEN(TRIM(BJ7))=0</formula>
    </cfRule>
  </conditionalFormatting>
  <conditionalFormatting sqref="BJ8:BJ2501">
    <cfRule type="expression" dxfId="7" priority="127">
      <formula>AND($BJ$7&lt;&gt;"", BJ8="")</formula>
    </cfRule>
  </conditionalFormatting>
  <conditionalFormatting sqref="BK7">
    <cfRule type="notContainsBlanks" dxfId="7" priority="128">
      <formula>LEN(TRIM(BK7))&gt;0</formula>
    </cfRule>
    <cfRule type="containsBlanks" dxfId="8" priority="129">
      <formula>LEN(TRIM(BK7))=0</formula>
    </cfRule>
  </conditionalFormatting>
  <conditionalFormatting sqref="BK8:BK2501">
    <cfRule type="expression" dxfId="7" priority="130">
      <formula>AND($BK$7&lt;&gt;"", BK8="")</formula>
    </cfRule>
  </conditionalFormatting>
  <conditionalFormatting sqref="BL7">
    <cfRule type="notContainsBlanks" dxfId="7" priority="131">
      <formula>LEN(TRIM(BL7))&gt;0</formula>
    </cfRule>
    <cfRule type="containsBlanks" dxfId="8" priority="132">
      <formula>LEN(TRIM(BL7))=0</formula>
    </cfRule>
  </conditionalFormatting>
  <conditionalFormatting sqref="BL8:BL2501">
    <cfRule type="expression" dxfId="7" priority="133">
      <formula>AND($BL$7&lt;&gt;"", BL8="")</formula>
    </cfRule>
  </conditionalFormatting>
  <conditionalFormatting sqref="BM7">
    <cfRule type="notContainsBlanks" dxfId="7" priority="134">
      <formula>LEN(TRIM(BM7))&gt;0</formula>
    </cfRule>
    <cfRule type="containsBlanks" dxfId="8" priority="135">
      <formula>LEN(TRIM(BM7))=0</formula>
    </cfRule>
  </conditionalFormatting>
  <conditionalFormatting sqref="BM8:BM2501">
    <cfRule type="expression" dxfId="7" priority="136">
      <formula>AND($BM$7&lt;&gt;"", BM8="")</formula>
    </cfRule>
  </conditionalFormatting>
  <conditionalFormatting sqref="BN7">
    <cfRule type="notContainsBlanks" dxfId="7" priority="137">
      <formula>LEN(TRIM(BN7))&gt;0</formula>
    </cfRule>
    <cfRule type="containsBlanks" dxfId="8" priority="138">
      <formula>LEN(TRIM(BN7))=0</formula>
    </cfRule>
  </conditionalFormatting>
  <conditionalFormatting sqref="BN8:BN2501">
    <cfRule type="expression" dxfId="7" priority="139">
      <formula>AND($BN$7&lt;&gt;"", BN8="")</formula>
    </cfRule>
  </conditionalFormatting>
  <conditionalFormatting sqref="BO7">
    <cfRule type="notContainsBlanks" dxfId="7" priority="140">
      <formula>LEN(TRIM(BO7))&gt;0</formula>
    </cfRule>
    <cfRule type="containsBlanks" dxfId="8" priority="141">
      <formula>LEN(TRIM(BO7))=0</formula>
    </cfRule>
  </conditionalFormatting>
  <conditionalFormatting sqref="BO8:BO2501">
    <cfRule type="expression" dxfId="7" priority="142">
      <formula>AND($BO$7&lt;&gt;"", BO8="")</formula>
    </cfRule>
  </conditionalFormatting>
  <conditionalFormatting sqref="BP7">
    <cfRule type="notContainsBlanks" dxfId="7" priority="143">
      <formula>LEN(TRIM(BP7))&gt;0</formula>
    </cfRule>
    <cfRule type="containsBlanks" dxfId="8" priority="144">
      <formula>LEN(TRIM(BP7))=0</formula>
    </cfRule>
  </conditionalFormatting>
  <conditionalFormatting sqref="BP8:BP2501">
    <cfRule type="expression" dxfId="7" priority="145">
      <formula>AND($BP$7&lt;&gt;"", BP8="")</formula>
    </cfRule>
  </conditionalFormatting>
  <conditionalFormatting sqref="BQ7">
    <cfRule type="notContainsBlanks" dxfId="7" priority="146">
      <formula>LEN(TRIM(BQ7))&gt;0</formula>
    </cfRule>
    <cfRule type="containsBlanks" dxfId="8" priority="147">
      <formula>LEN(TRIM(BQ7))=0</formula>
    </cfRule>
  </conditionalFormatting>
  <conditionalFormatting sqref="BQ8:BQ2501">
    <cfRule type="expression" dxfId="7" priority="148">
      <formula>AND($BQ$7&lt;&gt;"", BQ8="")</formula>
    </cfRule>
  </conditionalFormatting>
  <conditionalFormatting sqref="BR7">
    <cfRule type="notContainsBlanks" dxfId="7" priority="149">
      <formula>LEN(TRIM(BR7))&gt;0</formula>
    </cfRule>
    <cfRule type="containsBlanks" dxfId="8" priority="150">
      <formula>LEN(TRIM(BR7))=0</formula>
    </cfRule>
  </conditionalFormatting>
  <conditionalFormatting sqref="BR8:BR2501">
    <cfRule type="expression" dxfId="7" priority="151">
      <formula>AND($BR$7&lt;&gt;"", BR8="")</formula>
    </cfRule>
  </conditionalFormatting>
  <conditionalFormatting sqref="BS7">
    <cfRule type="notContainsBlanks" dxfId="7" priority="152">
      <formula>LEN(TRIM(BS7))&gt;0</formula>
    </cfRule>
    <cfRule type="containsBlanks" dxfId="8" priority="153">
      <formula>LEN(TRIM(BS7))=0</formula>
    </cfRule>
  </conditionalFormatting>
  <conditionalFormatting sqref="BS8:BS2501">
    <cfRule type="expression" dxfId="7" priority="154">
      <formula>AND($BS$7&lt;&gt;"", BS8="")</formula>
    </cfRule>
  </conditionalFormatting>
  <conditionalFormatting sqref="BT7">
    <cfRule type="notContainsBlanks" dxfId="7" priority="155">
      <formula>LEN(TRIM(BT7))&gt;0</formula>
    </cfRule>
    <cfRule type="containsBlanks" dxfId="8" priority="156">
      <formula>LEN(TRIM(BT7))=0</formula>
    </cfRule>
  </conditionalFormatting>
  <conditionalFormatting sqref="BT8:BT2501">
    <cfRule type="expression" dxfId="7" priority="157">
      <formula>AND($BT$7&lt;&gt;"", BT8="")</formula>
    </cfRule>
  </conditionalFormatting>
  <conditionalFormatting sqref="BU7">
    <cfRule type="notContainsBlanks" dxfId="7" priority="158">
      <formula>LEN(TRIM(BU7))&gt;0</formula>
    </cfRule>
    <cfRule type="containsBlanks" dxfId="8" priority="159">
      <formula>LEN(TRIM(BU7))=0</formula>
    </cfRule>
  </conditionalFormatting>
  <conditionalFormatting sqref="BU8:BU2501">
    <cfRule type="expression" dxfId="7" priority="160">
      <formula>AND($BU$7&lt;&gt;"", BU8="")</formula>
    </cfRule>
  </conditionalFormatting>
  <conditionalFormatting sqref="BV7">
    <cfRule type="notContainsBlanks" dxfId="7" priority="161">
      <formula>LEN(TRIM(BV7))&gt;0</formula>
    </cfRule>
    <cfRule type="containsBlanks" dxfId="8" priority="162">
      <formula>LEN(TRIM(BV7))=0</formula>
    </cfRule>
  </conditionalFormatting>
  <conditionalFormatting sqref="BV8:BV2501">
    <cfRule type="expression" dxfId="7" priority="163">
      <formula>AND($BV$7&lt;&gt;"", BV8="")</formula>
    </cfRule>
  </conditionalFormatting>
  <conditionalFormatting sqref="BW7">
    <cfRule type="notContainsBlanks" dxfId="7" priority="164">
      <formula>LEN(TRIM(BW7))&gt;0</formula>
    </cfRule>
    <cfRule type="containsBlanks" dxfId="8" priority="165">
      <formula>LEN(TRIM(BW7))=0</formula>
    </cfRule>
  </conditionalFormatting>
  <conditionalFormatting sqref="BW8:BW2501">
    <cfRule type="expression" dxfId="7" priority="166">
      <formula>AND($BW$7&lt;&gt;"", BW8="")</formula>
    </cfRule>
  </conditionalFormatting>
  <conditionalFormatting sqref="BX7">
    <cfRule type="notContainsBlanks" dxfId="7" priority="167">
      <formula>LEN(TRIM(BX7))&gt;0</formula>
    </cfRule>
    <cfRule type="containsBlanks" dxfId="8" priority="168">
      <formula>LEN(TRIM(BX7))=0</formula>
    </cfRule>
  </conditionalFormatting>
  <conditionalFormatting sqref="BX8:BX2501">
    <cfRule type="expression" dxfId="7" priority="169">
      <formula>AND($BX$7&lt;&gt;"", BX8="")</formula>
    </cfRule>
  </conditionalFormatting>
  <conditionalFormatting sqref="BY7">
    <cfRule type="notContainsBlanks" dxfId="7" priority="170">
      <formula>LEN(TRIM(BY7))&gt;0</formula>
    </cfRule>
    <cfRule type="containsBlanks" dxfId="8" priority="171">
      <formula>LEN(TRIM(BY7))=0</formula>
    </cfRule>
  </conditionalFormatting>
  <conditionalFormatting sqref="BY8:BY2501">
    <cfRule type="expression" dxfId="7" priority="172">
      <formula>AND($BY$7&lt;&gt;"", BY8="")</formula>
    </cfRule>
  </conditionalFormatting>
  <conditionalFormatting sqref="BZ7">
    <cfRule type="notContainsBlanks" dxfId="7" priority="173">
      <formula>LEN(TRIM(BZ7))&gt;0</formula>
    </cfRule>
    <cfRule type="containsBlanks" dxfId="8" priority="174">
      <formula>LEN(TRIM(BZ7))=0</formula>
    </cfRule>
  </conditionalFormatting>
  <conditionalFormatting sqref="BZ8:BZ2501">
    <cfRule type="expression" dxfId="7" priority="175">
      <formula>AND($BZ$7&lt;&gt;"", BZ8="")</formula>
    </cfRule>
  </conditionalFormatting>
  <conditionalFormatting sqref="CA7">
    <cfRule type="notContainsBlanks" dxfId="7" priority="176">
      <formula>LEN(TRIM(CA7))&gt;0</formula>
    </cfRule>
    <cfRule type="containsBlanks" dxfId="8" priority="177">
      <formula>LEN(TRIM(CA7))=0</formula>
    </cfRule>
  </conditionalFormatting>
  <conditionalFormatting sqref="CA8:CA2501">
    <cfRule type="expression" dxfId="7" priority="178">
      <formula>AND($CA$7&lt;&gt;"", CA8="")</formula>
    </cfRule>
  </conditionalFormatting>
  <conditionalFormatting sqref="CB7">
    <cfRule type="notContainsBlanks" dxfId="7" priority="179">
      <formula>LEN(TRIM(CB7))&gt;0</formula>
    </cfRule>
    <cfRule type="containsBlanks" dxfId="8" priority="180">
      <formula>LEN(TRIM(CB7))=0</formula>
    </cfRule>
  </conditionalFormatting>
  <conditionalFormatting sqref="CB8:CB2501">
    <cfRule type="expression" dxfId="7" priority="181">
      <formula>AND($CB$7&lt;&gt;"", CB8="")</formula>
    </cfRule>
  </conditionalFormatting>
  <conditionalFormatting sqref="CC7">
    <cfRule type="notContainsBlanks" dxfId="7" priority="182">
      <formula>LEN(TRIM(CC7))&gt;0</formula>
    </cfRule>
    <cfRule type="containsBlanks" dxfId="8" priority="183">
      <formula>LEN(TRIM(CC7))=0</formula>
    </cfRule>
  </conditionalFormatting>
  <conditionalFormatting sqref="CC8:CC2501">
    <cfRule type="expression" dxfId="7" priority="184">
      <formula>AND($CC$7&lt;&gt;"", CC8="")</formula>
    </cfRule>
  </conditionalFormatting>
  <conditionalFormatting sqref="CD7">
    <cfRule type="notContainsBlanks" dxfId="7" priority="185">
      <formula>LEN(TRIM(CD7))&gt;0</formula>
    </cfRule>
    <cfRule type="containsBlanks" dxfId="8" priority="186">
      <formula>LEN(TRIM(CD7))=0</formula>
    </cfRule>
  </conditionalFormatting>
  <conditionalFormatting sqref="CD8:CD2501">
    <cfRule type="expression" dxfId="7" priority="187">
      <formula>AND($CD$7&lt;&gt;"", CD8="")</formula>
    </cfRule>
  </conditionalFormatting>
  <conditionalFormatting sqref="CE7">
    <cfRule type="notContainsBlanks" dxfId="7" priority="188">
      <formula>LEN(TRIM(CE7))&gt;0</formula>
    </cfRule>
    <cfRule type="containsBlanks" dxfId="8" priority="189">
      <formula>LEN(TRIM(CE7))=0</formula>
    </cfRule>
  </conditionalFormatting>
  <conditionalFormatting sqref="CE8:CE2501">
    <cfRule type="expression" dxfId="7" priority="190">
      <formula>AND($CE$7&lt;&gt;"", CE8="")</formula>
    </cfRule>
  </conditionalFormatting>
  <conditionalFormatting sqref="CF7">
    <cfRule type="notContainsBlanks" dxfId="7" priority="191">
      <formula>LEN(TRIM(CF7))&gt;0</formula>
    </cfRule>
    <cfRule type="containsBlanks" dxfId="8" priority="192">
      <formula>LEN(TRIM(CF7))=0</formula>
    </cfRule>
  </conditionalFormatting>
  <conditionalFormatting sqref="CF8:CF2501">
    <cfRule type="expression" dxfId="7" priority="193">
      <formula>AND($CF$7&lt;&gt;"", CF8="")</formula>
    </cfRule>
  </conditionalFormatting>
  <conditionalFormatting sqref="CG7">
    <cfRule type="notContainsBlanks" dxfId="7" priority="194">
      <formula>LEN(TRIM(CG7))&gt;0</formula>
    </cfRule>
    <cfRule type="containsBlanks" dxfId="8" priority="195">
      <formula>LEN(TRIM(CG7))=0</formula>
    </cfRule>
  </conditionalFormatting>
  <conditionalFormatting sqref="CG8:CG2501">
    <cfRule type="expression" dxfId="7" priority="196">
      <formula>AND($CG$7&lt;&gt;"", CG8="")</formula>
    </cfRule>
  </conditionalFormatting>
  <conditionalFormatting sqref="CH7">
    <cfRule type="notContainsBlanks" dxfId="7" priority="197">
      <formula>LEN(TRIM(CH7))&gt;0</formula>
    </cfRule>
    <cfRule type="containsBlanks" dxfId="8" priority="198">
      <formula>LEN(TRIM(CH7))=0</formula>
    </cfRule>
  </conditionalFormatting>
  <conditionalFormatting sqref="CH8:CH2501">
    <cfRule type="expression" dxfId="7" priority="199">
      <formula>AND($CH$7&lt;&gt;"", CH8="")</formula>
    </cfRule>
  </conditionalFormatting>
  <conditionalFormatting sqref="CI7">
    <cfRule type="notContainsBlanks" dxfId="7" priority="200">
      <formula>LEN(TRIM(CI7))&gt;0</formula>
    </cfRule>
    <cfRule type="containsBlanks" dxfId="8" priority="201">
      <formula>LEN(TRIM(CI7))=0</formula>
    </cfRule>
  </conditionalFormatting>
  <conditionalFormatting sqref="CI8:CI2501">
    <cfRule type="expression" dxfId="7" priority="202">
      <formula>AND($CI$7&lt;&gt;"", CI8="")</formula>
    </cfRule>
  </conditionalFormatting>
  <conditionalFormatting sqref="CJ7">
    <cfRule type="notContainsBlanks" dxfId="7" priority="203">
      <formula>LEN(TRIM(CJ7))&gt;0</formula>
    </cfRule>
    <cfRule type="containsBlanks" dxfId="8" priority="204">
      <formula>LEN(TRIM(CJ7))=0</formula>
    </cfRule>
  </conditionalFormatting>
  <conditionalFormatting sqref="CJ8:CJ2501">
    <cfRule type="expression" dxfId="7" priority="205">
      <formula>AND($CJ$7&lt;&gt;"", CJ8="")</formula>
    </cfRule>
  </conditionalFormatting>
  <conditionalFormatting sqref="CK7">
    <cfRule type="notContainsBlanks" dxfId="7" priority="206">
      <formula>LEN(TRIM(CK7))&gt;0</formula>
    </cfRule>
    <cfRule type="containsBlanks" dxfId="8" priority="207">
      <formula>LEN(TRIM(CK7))=0</formula>
    </cfRule>
  </conditionalFormatting>
  <conditionalFormatting sqref="CK8:CK2501">
    <cfRule type="expression" dxfId="7" priority="208">
      <formula>AND($CK$7&lt;&gt;"", CK8="")</formula>
    </cfRule>
  </conditionalFormatting>
  <conditionalFormatting sqref="CL7">
    <cfRule type="notContainsBlanks" dxfId="7" priority="209">
      <formula>LEN(TRIM(CL7))&gt;0</formula>
    </cfRule>
    <cfRule type="containsBlanks" dxfId="8" priority="210">
      <formula>LEN(TRIM(CL7))=0</formula>
    </cfRule>
  </conditionalFormatting>
  <conditionalFormatting sqref="CL8:CL2501">
    <cfRule type="expression" dxfId="7" priority="211">
      <formula>AND($CL$7&lt;&gt;"", CL8="")</formula>
    </cfRule>
  </conditionalFormatting>
  <conditionalFormatting sqref="CM7">
    <cfRule type="notContainsBlanks" dxfId="7" priority="212">
      <formula>LEN(TRIM(CM7))&gt;0</formula>
    </cfRule>
    <cfRule type="containsBlanks" dxfId="8" priority="213">
      <formula>LEN(TRIM(CM7))=0</formula>
    </cfRule>
  </conditionalFormatting>
  <conditionalFormatting sqref="CM8:CM2501">
    <cfRule type="expression" dxfId="7" priority="214">
      <formula>AND($CM$7&lt;&gt;"", CM8="")</formula>
    </cfRule>
  </conditionalFormatting>
  <conditionalFormatting sqref="CN7">
    <cfRule type="notContainsBlanks" dxfId="7" priority="215">
      <formula>LEN(TRIM(CN7))&gt;0</formula>
    </cfRule>
    <cfRule type="containsBlanks" dxfId="8" priority="216">
      <formula>LEN(TRIM(CN7))=0</formula>
    </cfRule>
  </conditionalFormatting>
  <conditionalFormatting sqref="CN8:CN2501">
    <cfRule type="expression" dxfId="7" priority="217">
      <formula>AND($CN$7&lt;&gt;"", CN8="")</formula>
    </cfRule>
  </conditionalFormatting>
  <conditionalFormatting sqref="CO7">
    <cfRule type="notContainsBlanks" dxfId="7" priority="218">
      <formula>LEN(TRIM(CO7))&gt;0</formula>
    </cfRule>
    <cfRule type="containsBlanks" dxfId="8" priority="219">
      <formula>LEN(TRIM(CO7))=0</formula>
    </cfRule>
  </conditionalFormatting>
  <conditionalFormatting sqref="CO8:CO2501">
    <cfRule type="expression" dxfId="7" priority="220">
      <formula>AND($CO$7&lt;&gt;"", CO8="")</formula>
    </cfRule>
  </conditionalFormatting>
  <conditionalFormatting sqref="D7">
    <cfRule type="notContainsBlanks" dxfId="7" priority="8">
      <formula>LEN(TRIM(D7))&gt;0</formula>
    </cfRule>
    <cfRule type="containsBlanks" dxfId="8" priority="9">
      <formula>LEN(TRIM(D7))=0</formula>
    </cfRule>
  </conditionalFormatting>
  <conditionalFormatting sqref="D8:D2501">
    <cfRule type="expression" dxfId="7" priority="10">
      <formula>AND($D$7&lt;&gt;"", D8="")</formula>
    </cfRule>
  </conditionalFormatting>
  <conditionalFormatting sqref="H7">
    <cfRule type="notContainsBlanks" dxfId="7" priority="11">
      <formula>LEN(TRIM(H7))&gt;0</formula>
    </cfRule>
    <cfRule type="containsBlanks" dxfId="8" priority="12">
      <formula>LEN(TRIM(H7))=0</formula>
    </cfRule>
  </conditionalFormatting>
  <conditionalFormatting sqref="H8:H2501">
    <cfRule type="expression" dxfId="7" priority="13">
      <formula>AND($H$7&lt;&gt;"", H8="")</formula>
    </cfRule>
  </conditionalFormatting>
  <conditionalFormatting sqref="S7">
    <cfRule type="notContainsBlanks" dxfId="7" priority="14">
      <formula>LEN(TRIM(S7))&gt;0</formula>
    </cfRule>
    <cfRule type="containsBlanks" dxfId="8" priority="15">
      <formula>LEN(TRIM(S7))=0</formula>
    </cfRule>
  </conditionalFormatting>
  <conditionalFormatting sqref="S8:S2501">
    <cfRule type="expression" dxfId="7" priority="16">
      <formula>AND($S$7&lt;&gt;"", S8="")</formula>
    </cfRule>
  </conditionalFormatting>
  <conditionalFormatting sqref="T7">
    <cfRule type="notContainsBlanks" dxfId="7" priority="17">
      <formula>LEN(TRIM(T7))&gt;0</formula>
    </cfRule>
    <cfRule type="containsBlanks" dxfId="8" priority="18">
      <formula>LEN(TRIM(T7))=0</formula>
    </cfRule>
  </conditionalFormatting>
  <conditionalFormatting sqref="T8:T2501">
    <cfRule type="expression" dxfId="7" priority="19">
      <formula>AND($T$7&lt;&gt;"", T8="")</formula>
    </cfRule>
  </conditionalFormatting>
  <conditionalFormatting sqref="U7">
    <cfRule type="notContainsBlanks" dxfId="7" priority="20">
      <formula>LEN(TRIM(U7))&gt;0</formula>
    </cfRule>
    <cfRule type="containsBlanks" dxfId="8" priority="21">
      <formula>LEN(TRIM(U7))=0</formula>
    </cfRule>
  </conditionalFormatting>
  <conditionalFormatting sqref="U8:U2501">
    <cfRule type="expression" dxfId="7" priority="22">
      <formula>AND($U$7&lt;&gt;"", U8="")</formula>
    </cfRule>
  </conditionalFormatting>
  <conditionalFormatting sqref="V7">
    <cfRule type="notContainsBlanks" dxfId="7" priority="23">
      <formula>LEN(TRIM(V7))&gt;0</formula>
    </cfRule>
    <cfRule type="containsBlanks" dxfId="8" priority="24">
      <formula>LEN(TRIM(V7))=0</formula>
    </cfRule>
  </conditionalFormatting>
  <conditionalFormatting sqref="V8:V2501">
    <cfRule type="expression" dxfId="7" priority="25">
      <formula>AND($V$7&lt;&gt;"", V8="")</formula>
    </cfRule>
  </conditionalFormatting>
  <conditionalFormatting sqref="W7">
    <cfRule type="notContainsBlanks" dxfId="7" priority="26">
      <formula>LEN(TRIM(W7))&gt;0</formula>
    </cfRule>
    <cfRule type="containsBlanks" dxfId="8" priority="27">
      <formula>LEN(TRIM(W7))=0</formula>
    </cfRule>
  </conditionalFormatting>
  <conditionalFormatting sqref="W8:W2501">
    <cfRule type="expression" dxfId="7" priority="28">
      <formula>AND($W$7&lt;&gt;"", W8="")</formula>
    </cfRule>
  </conditionalFormatting>
  <conditionalFormatting sqref="X7">
    <cfRule type="notContainsBlanks" dxfId="7" priority="29">
      <formula>LEN(TRIM(X7))&gt;0</formula>
    </cfRule>
    <cfRule type="containsBlanks" dxfId="8" priority="30">
      <formula>LEN(TRIM(X7))=0</formula>
    </cfRule>
  </conditionalFormatting>
  <conditionalFormatting sqref="X8:X2501">
    <cfRule type="expression" dxfId="7" priority="31">
      <formula>AND($X$7&lt;&gt;"", X8="")</formula>
    </cfRule>
  </conditionalFormatting>
  <conditionalFormatting sqref="Y7">
    <cfRule type="notContainsBlanks" dxfId="7" priority="32">
      <formula>LEN(TRIM(Y7))&gt;0</formula>
    </cfRule>
    <cfRule type="containsBlanks" dxfId="8" priority="33">
      <formula>LEN(TRIM(Y7))=0</formula>
    </cfRule>
  </conditionalFormatting>
  <conditionalFormatting sqref="Y8:Y2501">
    <cfRule type="expression" dxfId="7" priority="34">
      <formula>AND($Y$7&lt;&gt;"", Y8="")</formula>
    </cfRule>
  </conditionalFormatting>
  <conditionalFormatting sqref="Z7">
    <cfRule type="notContainsBlanks" dxfId="7" priority="35">
      <formula>LEN(TRIM(Z7))&gt;0</formula>
    </cfRule>
    <cfRule type="containsBlanks" dxfId="8" priority="36">
      <formula>LEN(TRIM(Z7))=0</formula>
    </cfRule>
  </conditionalFormatting>
  <conditionalFormatting sqref="Z8:Z2501">
    <cfRule type="expression" dxfId="7" priority="37">
      <formula>AND($Z$7&lt;&gt;"", Z8="")</formula>
    </cfRule>
  </conditionalFormatting>
  <dataValidations count="145">
    <dataValidation type="custom" allowBlank="1" showInputMessage="1" showErrorMessage="1" errorTitle="Duplicate supplier part number" error="The providedsupplier part number is invalid due to having a duplicate value provided elsewhere in the sheet. Please provide a unique value here or remove the original value from the sheet." promptTitle="Supplier Part Number" prompt="Please enter Text" sqref="B8:B2500">
      <formula1>AND(LEN(B8)&lt;32767, IF(B8&lt;&gt;"",COUNTIF($B$8:$B$2500,B8)=1,""))</formula1>
    </dataValidation>
    <dataValidation type="textLength" operator="lessThanOrEqual" errorStyle="warning" showInputMessage="1" showErrorMessage="1" errorTitle="Invalid Text" error="The value provided is not a valid Text." promptTitle="Amazon Seller SKU" prompt="Please enter Text" sqref="C8:C2500">
      <formula1>32767</formula1>
    </dataValidation>
    <dataValidation type="list" allowBlank="1" showInputMessage="1" showErrorMessage="1" errorTitle="Invalid Brand" error="The value provided is not a valid Brand." promptTitle="Brand" prompt="Please select a valid Brand" sqref="D8:D2500">
      <formula1>'WAYFAIR_USE_ONLY'!$O$7:$O8</formula1>
    </dataValidation>
    <dataValidation type="list" allowBlank="1" showInputMessage="1" showErrorMessage="1" errorTitle="Invalid Brand" error="The value provided is not a valid Brand." promptTitle="" prompt="If all products in this class consistently have the same answer, you can set a default value to apply automatically. For any exceptions, you can modify the answer for specific products without changing the default." sqref="D7">
      <formula1>'WAYFAIR_USE_ONLY'!$O$7:$O8</formula1>
    </dataValidation>
    <dataValidation type="custom" allowBlank="1" showInputMessage="1" showErrorMessage="1" errorTitle="Duplicate manufacturer part numb" error="The providedmanufacturer part number is invalid due to having a duplicate value provided elsewhere in the sheet. Please provide a unique value here or remove the original value from the sheet." promptTitle="Manufacturer Part Number" prompt="Please enter Text" sqref="E8:E2500">
      <formula1>AND(LEN(E8)&lt;32767, IF(E8&lt;&gt;"",COUNTIF($E$8:$E$2500,E8)=1,""))</formula1>
    </dataValidation>
    <dataValidation type="custom" allowBlank="1" showInputMessage="1" showErrorMessage="1" errorTitle="Duplicate universal product code" error="The provideduniversal product code is invalid due to having a duplicate value provided elsewhere in the sheet. Please provide a unique value here or remove the original value from the sheet." promptTitle="Universal Product Code" prompt="Please enter Text" sqref="F8:F2500">
      <formula1>AND(LEN(F8)&lt;32767, IF(F8&lt;&gt;"",COUNTIF($F$8:$F$2500,F8)=1,""))</formula1>
    </dataValidation>
    <dataValidation type="textLength" operator="lessThanOrEqual" errorStyle="warning" showInputMessage="1" showErrorMessage="1" errorTitle="Invalid Text" error="The value provided is not a valid Text." promptTitle="Product Name" prompt="Please enter Text" sqref="G8:G2500">
      <formula1>32767</formula1>
    </dataValidation>
    <dataValidation type="textLength" operator="lessThanOrEqual" errorStyle="warning" showInputMessage="1" showErrorMessage="1" errorTitle="Invalid Text" error="The value provided is not a valid Text." promptTitle="Collection Name" prompt="Please enter Text" sqref="H8:H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H7">
      <formula1>32767</formula1>
    </dataValidation>
    <dataValidation type="textLength" operator="lessThanOrEqual" errorStyle="warning" showInputMessage="1" showErrorMessage="1" errorTitle="Invalid Text" error="The value provided is not a valid Text." promptTitle="Manufacturer Product URL" prompt="Please enter Text" sqref="I8:I2500">
      <formula1>32767</formula1>
    </dataValidation>
    <dataValidation type="list" allowBlank="1" showInputMessage="1" showErrorMessage="1" errorTitle="Invalid Variant Type" error="The value provided is not a valid Variant Type." promptTitle="Variant Type" prompt="Please select a valid Variant Type" sqref="J8:J2500">
      <formula1>'WAYFAIR_USE_ONLY'!$Z$7:$Z10</formula1>
    </dataValidation>
    <dataValidation type="textLength" operator="lessThanOrEqual" errorStyle="warning" showInputMessage="1" showErrorMessage="1" errorTitle="Invalid Text" error="The value provided is not a valid Text." promptTitle="Group Reference ID" prompt="Please enter Text" sqref="K8:K2500">
      <formula1>32767</formula1>
    </dataValidation>
    <dataValidation type="list" errorStyle="warning" allowBlank="1" showInputMessage="1" showErrorMessage="1" errorTitle="Invalid Variant Grouping" error="The value provided is not a valid Variant Grouping. Would you like to provide a custom answer?" promptTitle="Variant Grouping" prompt="Please select a valid Variant Grouping" sqref="L8:L2500">
      <formula1>'WAYFAIR_USE_ONLY'!$AA$7:$AA9</formula1>
    </dataValidation>
    <dataValidation type="textLength" operator="lessThanOrEqual" errorStyle="warning" showInputMessage="1" showErrorMessage="1" errorTitle="Invalid Text" error="The value provided is not a valid Text." promptTitle="Variant Attribute Name On Site" prompt="Please enter Text" sqref="M8:M2500">
      <formula1>32767</formula1>
    </dataValidation>
    <dataValidation type="list" errorStyle="warning" allowBlank="1" showInputMessage="1" showErrorMessage="1" errorTitle="Invalid Variant Grouping" error="The value provided is not a valid Variant Grouping. Would you like to provide a custom answer?" promptTitle="Variant Grouping" prompt="Please select a valid Variant Grouping" sqref="N8:N2500">
      <formula1>'WAYFAIR_USE_ONLY'!$AA$7:$AA9</formula1>
    </dataValidation>
    <dataValidation type="textLength" operator="lessThanOrEqual" errorStyle="warning" showInputMessage="1" showErrorMessage="1" errorTitle="Invalid Text" error="The value provided is not a valid Text." promptTitle="Variant Attribute Name On Site" prompt="Please enter Text" sqref="O8:O2500">
      <formula1>32767</formula1>
    </dataValidation>
    <dataValidation type="list" errorStyle="warning" allowBlank="1" showInputMessage="1" showErrorMessage="1" errorTitle="Invalid Variant Grouping" error="The value provided is not a valid Variant Grouping. Would you like to provide a custom answer?" promptTitle="Variant Grouping" prompt="Please select a valid Variant Grouping" sqref="P8:P2500">
      <formula1>'WAYFAIR_USE_ONLY'!$AA$7:$AA9</formula1>
    </dataValidation>
    <dataValidation type="textLength" operator="lessThanOrEqual" errorStyle="warning" showInputMessage="1" showErrorMessage="1" errorTitle="Invalid Text" error="The value provided is not a valid Text." promptTitle="Variant Attribute Name On Site" prompt="Please enter Text" sqref="Q8:Q2500">
      <formula1>32767</formula1>
    </dataValidation>
    <dataValidation type="textLength" operator="lessThanOrEqual" errorStyle="warning" showInputMessage="1" showErrorMessage="1" errorTitle="Invalid Number" error="The value provided is not a valid Number." promptTitle="Base Cost" prompt="Please enter Number" sqref="R8:R2500">
      <formula1>32767</formula1>
    </dataValidation>
    <dataValidation type="textLength" operator="lessThanOrEqual" errorStyle="warning" showInputMessage="1" showErrorMessage="1" errorTitle="Invalid Number" error="The value provided is not a valid Number." promptTitle="Minimum Advertised Price" prompt="Please enter Number" sqref="S8:S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S7">
      <formula1>32767</formula1>
    </dataValidation>
    <dataValidation type="textLength" operator="lessThanOrEqual" errorStyle="warning" showInputMessage="1" showErrorMessage="1" errorTitle="Invalid Number" error="The value provided is not a valid Number." promptTitle="Manufacturer Suggested Retail Pr" prompt="Please enter Number" sqref="T8:T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T7">
      <formula1>32767</formula1>
    </dataValidation>
    <dataValidation type="textLength" operator="lessThanOrEqual" errorStyle="warning" showInputMessage="1" showErrorMessage="1" errorTitle="Invalid Number" error="The value provided is not a valid Number." promptTitle="Everyday B2B Discount Rate" prompt="Please enter Number" sqref="U8:U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U7">
      <formula1>32767</formula1>
    </dataValidation>
    <dataValidation type="textLength" operator="lessThanOrEqual" errorStyle="warning" showInputMessage="1" showErrorMessage="1" errorTitle="Invalid Text" error="The value provided is not a valid Text." promptTitle="Marketing Copy" prompt="Please enter Text" sqref="V8:V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V7">
      <formula1>32767</formula1>
    </dataValidation>
    <dataValidation type="textLength" operator="lessThanOrEqual" errorStyle="warning" showInputMessage="1" showErrorMessage="1" errorTitle="Invalid Text" error="The value provided is not a valid Text." promptTitle="Feature Bullet" prompt="Please enter Text" sqref="W8:W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W7">
      <formula1>32767</formula1>
    </dataValidation>
    <dataValidation type="textLength" operator="lessThanOrEqual" errorStyle="warning" showInputMessage="1" showErrorMessage="1" errorTitle="Invalid Text" error="The value provided is not a valid Text." promptTitle="Feature Bullet" prompt="Please enter Text" sqref="X8:X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X7">
      <formula1>32767</formula1>
    </dataValidation>
    <dataValidation type="textLength" operator="lessThanOrEqual" errorStyle="warning" showInputMessage="1" showErrorMessage="1" errorTitle="Invalid Text" error="The value provided is not a valid Text." promptTitle="Feature Bullet" prompt="Please enter Text" sqref="Y8:Y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Y7">
      <formula1>32767</formula1>
    </dataValidation>
    <dataValidation type="textLength" operator="lessThanOrEqual" errorStyle="warning" showInputMessage="1" showErrorMessage="1" errorTitle="Invalid Text" error="The value provided is not a valid Text." promptTitle="Feature Bullet" prompt="Please enter Text" sqref="Z8:Z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Z7">
      <formula1>32767</formula1>
    </dataValidation>
    <dataValidation type="textLength" operator="lessThanOrEqual" errorStyle="warning" showInputMessage="1" showErrorMessage="1" errorTitle="Invalid Text" error="The value provided is not a valid Text." promptTitle="Feature Bullet" prompt="Please enter Text" sqref="AA8:AA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A7">
      <formula1>32767</formula1>
    </dataValidation>
    <dataValidation type="textLength" operator="lessThanOrEqual" errorStyle="warning" showInputMessage="1" showErrorMessage="1" errorTitle="Invalid Whole Number" error="The value provided is not a valid Whole Number." promptTitle="Minimum Order Quantity" prompt="Please enter Whole Number" sqref="AB8:AB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B7">
      <formula1>32767</formula1>
    </dataValidation>
    <dataValidation type="textLength" operator="lessThanOrEqual" errorStyle="warning" showInputMessage="1" showErrorMessage="1" errorTitle="Invalid Whole Number" error="The value provided is not a valid Whole Number." promptTitle="Force Quantity Multiplier" prompt="Please enter Whole Number" sqref="AC8:AC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C7">
      <formula1>32767</formula1>
    </dataValidation>
    <dataValidation type="textLength" operator="lessThanOrEqual" errorStyle="warning" showInputMessage="1" showErrorMessage="1" errorTitle="Invalid Whole Number" error="The value provided is not a valid Whole Number." promptTitle="Display Set Quantity" prompt="Please enter Whole Number" sqref="AD8:AD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D7">
      <formula1>32767</formula1>
    </dataValidation>
    <dataValidation type="textLength" operator="lessThanOrEqual" errorStyle="warning" showInputMessage="1" showErrorMessage="1" errorTitle="Invalid Number" error="The value provided is not a valid Number." promptTitle="Product Weight" prompt="Please enter Number" sqref="AE8:AE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E7">
      <formula1>32767</formula1>
    </dataValidation>
    <dataValidation type="list" allowBlank="1" showInputMessage="1" showErrorMessage="1" errorTitle="Invalid Ship Type" error="The value provided is not a valid Ship Type." promptTitle="Ship Type" prompt="Please select a valid Ship Type" sqref="AF8:AF2500">
      <formula1>'WAYFAIR_USE_ONLY'!$T$7:$T9</formula1>
    </dataValidation>
    <dataValidation type="list" allowBlank="1" showInputMessage="1" showErrorMessage="1" errorTitle="Invalid Ship Type" error="The value provided is not a valid Ship Type." promptTitle="" prompt="If all products in this class consistently have the same answer, you can set a default value to apply automatically. For any exceptions, you can modify the answer for specific products without changing the default." sqref="AF7">
      <formula1>'WAYFAIR_USE_ONLY'!$T$7:$T9</formula1>
    </dataValidation>
    <dataValidation type="list" allowBlank="1" showInputMessage="1" showErrorMessage="1" errorTitle="Invalid Freight Class" error="The value provided is not a valid Freight Class." promptTitle="Freight Class" prompt="Please select a valid Freight Class" sqref="AG8:AG2500">
      <formula1>'WAYFAIR_USE_ONLY'!$U$7:$U25</formula1>
    </dataValidation>
    <dataValidation type="list" allowBlank="1" showInputMessage="1" showErrorMessage="1" errorTitle="Invalid Freight Class" error="The value provided is not a valid Freight Class." promptTitle="" prompt="If all products in this class consistently have the same answer, you can set a default value to apply automatically. For any exceptions, you can modify the answer for specific products without changing the default." sqref="AG7">
      <formula1>'WAYFAIR_USE_ONLY'!$U$7:$U25</formula1>
    </dataValidation>
    <dataValidation type="list" allowBlank="1" showInputMessage="1" showErrorMessage="1" errorTitle="Invalid Lead Time" error="The value provided is not a valid Lead Time." promptTitle="Lead Time" prompt="Please select a valid Lead Time" sqref="AH8:AH2500">
      <formula1>'WAYFAIR_USE_ONLY'!$V$7:$V24</formula1>
    </dataValidation>
    <dataValidation type="list" allowBlank="1" showInputMessage="1" showErrorMessage="1" errorTitle="Invalid Lead Time" error="The value provided is not a valid Lead Time." promptTitle="" prompt="If all products in this class consistently have the same answer, you can set a default value to apply automatically. For any exceptions, you can modify the answer for specific products without changing the default." sqref="AH7">
      <formula1>'WAYFAIR_USE_ONLY'!$V$7:$V24</formula1>
    </dataValidation>
    <dataValidation type="list" allowBlank="1" showInputMessage="1" showErrorMessage="1" errorTitle="Invalid Replacement Lead Time" error="The value provided is not a valid Replacement Lead Time." promptTitle="Replacement Lead Time" prompt="Please select a valid Replacement Lead Time" sqref="AI8:AI2500">
      <formula1>'WAYFAIR_USE_ONLY'!$W$7:$W13</formula1>
    </dataValidation>
    <dataValidation type="list" allowBlank="1" showInputMessage="1" showErrorMessage="1" errorTitle="Invalid Replacement Lead Time" error="The value provided is not a valid Replacement Lead Time." promptTitle="" prompt="If all products in this class consistently have the same answer, you can set a default value to apply automatically. For any exceptions, you can modify the answer for specific products without changing the default." sqref="AI7">
      <formula1>'WAYFAIR_USE_ONLY'!$W$7:$W13</formula1>
    </dataValidation>
    <dataValidation type="textLength" operator="lessThanOrEqual" errorStyle="warning" showInputMessage="1" showErrorMessage="1" errorTitle="Invalid Text" error="The value provided is not a valid Text." promptTitle="National Motor Freight Class" prompt="Please enter Text" sqref="AJ8:AJ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J7">
      <formula1>32767</formula1>
    </dataValidation>
    <dataValidation type="list" allowBlank="1" showInputMessage="1" showErrorMessage="1" errorTitle="Invalid Flat Pack" error="The value provided is not a valid Flat Pack." promptTitle="Flat Pack" prompt="Please select a valid Flat Pack" sqref="AK8:AK2500">
      <formula1>'WAYFAIR_USE_ONLY'!$X$7:$X9</formula1>
    </dataValidation>
    <dataValidation type="list" allowBlank="1" showInputMessage="1" showErrorMessage="1" errorTitle="Invalid Flat Pack" error="The value provided is not a valid Flat Pack." promptTitle="" prompt="If all products in this class consistently have the same answer, you can set a default value to apply automatically. For any exceptions, you can modify the answer for specific products without changing the default." sqref="AK7">
      <formula1>'WAYFAIR_USE_ONLY'!$X$7:$X9</formula1>
    </dataValidation>
    <dataValidation type="list" allowBlank="1" showInputMessage="1" showErrorMessage="1" errorTitle="Invalid Ship Palletized" error="The value provided is not a valid Ship Palletized." promptTitle="Ship Palletized" prompt="Please select a valid Ship Palletized" sqref="AL8:AL2500">
      <formula1>'WAYFAIR_USE_ONLY'!$Y$7:$Y9</formula1>
    </dataValidation>
    <dataValidation type="list" allowBlank="1" showInputMessage="1" showErrorMessage="1" errorTitle="Invalid Ship Palletized" error="The value provided is not a valid Ship Palletized." promptTitle="" prompt="If all products in this class consistently have the same answer, you can set a default value to apply automatically. For any exceptions, you can modify the answer for specific products without changing the default." sqref="AL7">
      <formula1>'WAYFAIR_USE_ONLY'!$Y$7:$Y9</formula1>
    </dataValidation>
    <dataValidation type="textLength" operator="lessThanOrEqual" errorStyle="warning" showInputMessage="1" showErrorMessage="1" errorTitle="Invalid Number" error="The value provided is not a valid Number." promptTitle="Carton Weight" prompt="Please enter Number" sqref="AM8:AM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M7">
      <formula1>32767</formula1>
    </dataValidation>
    <dataValidation type="textLength" operator="lessThanOrEqual" errorStyle="warning" showInputMessage="1" showErrorMessage="1" errorTitle="Invalid Number" error="The value provided is not a valid Number." promptTitle="Carton Height" prompt="Please enter Number" sqref="AN8:AN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N7">
      <formula1>32767</formula1>
    </dataValidation>
    <dataValidation type="textLength" operator="lessThanOrEqual" errorStyle="warning" showInputMessage="1" showErrorMessage="1" errorTitle="Invalid Number" error="The value provided is not a valid Number." promptTitle="Carton Width" prompt="Please enter Number" sqref="AO8:AO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O7">
      <formula1>32767</formula1>
    </dataValidation>
    <dataValidation type="textLength" operator="lessThanOrEqual" errorStyle="warning" showInputMessage="1" showErrorMessage="1" errorTitle="Invalid Number" error="The value provided is not a valid Number." promptTitle="Carton Depth" prompt="Please enter Number" sqref="AP8:AP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P7">
      <formula1>32767</formula1>
    </dataValidation>
    <dataValidation type="textLength" operator="lessThanOrEqual" errorStyle="warning" showInputMessage="1" showErrorMessage="1" errorTitle="Invalid Text" error="The value provided is not a valid Text." promptTitle="Image File Name or URL" prompt="Please enter Text" sqref="AQ8:AQ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R8:AR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S8:AS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T8:AT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U8:AU2500">
      <formula1>32767</formula1>
    </dataValidation>
    <dataValidation type="textLength" operator="lessThanOrEqual" errorStyle="warning" showInputMessage="1" showErrorMessage="1" errorTitle="Invalid Text" error="The value provided is not a valid Text." promptTitle="Video File Name or URL" prompt="Please enter Text" sqref="AV8:AV2500">
      <formula1>32767</formula1>
    </dataValidation>
    <dataValidation type="textLength" operator="lessThanOrEqual" errorStyle="warning" showInputMessage="1" showErrorMessage="1" errorTitle="Invalid Text" error="The value provided is not a valid Text." promptTitle="Document File Name or URL" prompt="Please enter Text" sqref="AW8:AW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W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Y7"/>
    <dataValidation type="list" allowBlank="1" showInputMessage="1" showErrorMessage="1" errorTitle="Invalid Document Region" error="The value provided is not a valid Document Region." promptTitle="Document Region" prompt="Please select a valid Document Region" sqref="AZ8:AZ2500">
      <formula1>'WAYFAIR_USE_ONLY'!$P$7:$P11</formula1>
    </dataValidation>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AZ7">
      <formula1>'WAYFAIR_USE_ONLY'!$P$7:$P11</formula1>
    </dataValidation>
    <dataValidation type="textLength" operator="lessThanOrEqual" errorStyle="warning" showInputMessage="1" showErrorMessage="1" errorTitle="Invalid Text" error="The value provided is not a valid Text." promptTitle="Document File Name or URL" prompt="Please enter Text" sqref="BA8:BA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A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C7"/>
    <dataValidation type="list" allowBlank="1" showInputMessage="1" showErrorMessage="1" errorTitle="Invalid Document Region" error="The value provided is not a valid Document Region." promptTitle="Document Region" prompt="Please select a valid Document Region" sqref="BD8:BD2500">
      <formula1>'WAYFAIR_USE_ONLY'!$P$7:$P11</formula1>
    </dataValidation>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D7">
      <formula1>'WAYFAIR_USE_ONLY'!$P$7:$P11</formula1>
    </dataValidation>
    <dataValidation type="textLength" operator="lessThanOrEqual" errorStyle="warning" showInputMessage="1" showErrorMessage="1" errorTitle="Invalid Text" error="The value provided is not a valid Text." promptTitle="Document File Name or URL" prompt="Please enter Text" sqref="BE8:BE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E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F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G7"/>
    <dataValidation type="list" allowBlank="1" showInputMessage="1" showErrorMessage="1" errorTitle="Invalid Document Region" error="The value provided is not a valid Document Region." promptTitle="Document Region" prompt="Please select a valid Document Region" sqref="BH8:BH2500">
      <formula1>'WAYFAIR_USE_ONLY'!$P$7:$P11</formula1>
    </dataValidation>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H7">
      <formula1>'WAYFAIR_USE_ONLY'!$P$7:$P11</formula1>
    </dataValidation>
    <dataValidation type="list" errorStyle="warning" allowBlank="1" showInputMessage="1" showErrorMessage="1" errorTitle="Invalid Product Type" error="The value provided is not a valid Product Type. Would you like to provide a custom answer?" promptTitle="Product Type" prompt="Please select a valid Product Type" sqref="BI8:BI2500">
      <formula1>'WAYFAIR_USE_ONLY'!$B$7:$B21</formula1>
    </dataValidation>
    <dataValidation type="list" errorStyle="warning" allowBlank="1" showInputMessage="1" showErrorMessage="1" errorTitle="Invalid Product Type" error="The value provided is not a valid Product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I7">
      <formula1>'WAYFAIR_USE_ONLY'!$B$7:$B21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J7"/>
    <dataValidation type="list" errorStyle="warning" allowBlank="1" showInputMessage="1" showErrorMessage="1" errorTitle="Invalid Surface Type" error="The value provided is not a valid Surface Type. Would you like to provide a custom answer?" promptTitle="Surface Type" prompt="Please select a valid Surface Type" sqref="BK8:BK2500">
      <formula1>'WAYFAIR_USE_ONLY'!$C$7:$C17</formula1>
    </dataValidation>
    <dataValidation type="list" errorStyle="warning" allowBlank="1" showInputMessage="1" showErrorMessage="1" errorTitle="Invalid Surface Type" error="The value provided is not a valid Surface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K7">
      <formula1>'WAYFAIR_USE_ONLY'!$C$7:$C17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L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M7"/>
    <dataValidation type="list" allowBlank="1" showInputMessage="1" showErrorMessage="1" errorTitle="Invalid Personalization or Monog" error="The value provided is not a valid Personalization or Monogramming." promptTitle="Personalization or Monogramming" prompt="Please select a valid Personalization or Monogramming" sqref="BN8:BN2500">
      <formula1>'WAYFAIR_USE_ONLY'!$D$7:$D11</formula1>
    </dataValidation>
    <dataValidation type="list" allowBlank="1" showInputMessage="1" showErrorMessage="1" errorTitle="Invalid Personalization or Monog" error="The value provided is not a valid Personalization or Monogramming." promptTitle="" prompt="If all products in this class consistently have the same answer, you can set a default value to apply automatically. For any exceptions, you can modify the answer for specific products without changing the default." sqref="BN7">
      <formula1>'WAYFAIR_USE_ONLY'!$D$7:$D11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O7"/>
    <dataValidation type="list" allowBlank="1" showInputMessage="1" showErrorMessage="1" errorTitle="Invalid Holiday / Occasion" error="The value provided is not a valid Holiday / Occasion." promptTitle="Holiday / Occasion" prompt="Please select a valid Holiday / Occasion" sqref="BP8:BP2500">
      <formula1>'WAYFAIR_USE_ONLY'!$E$7:$E33</formula1>
    </dataValidation>
    <dataValidation type="list" allowBlank="1" showInputMessage="1" showErrorMessage="1" errorTitle="Invalid Holiday / Occasion" error="The value provided is not a valid Holiday / Occasion." promptTitle="" prompt="If all products in this class consistently have the same answer, you can set a default value to apply automatically. For any exceptions, you can modify the answer for specific products without changing the default." sqref="BP7">
      <formula1>'WAYFAIR_USE_ONLY'!$E$7:$E33</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Q7"/>
    <dataValidation type="list" allowBlank="1" showInputMessage="1" showErrorMessage="1" errorTitle="Invalid BPA Free" error="The value provided is not a valid BPA Free." promptTitle="BPA Free" prompt="Please select a valid BPA Free" sqref="BR8:BR2500">
      <formula1>'WAYFAIR_USE_ONLY'!$F$7:$F11</formula1>
    </dataValidation>
    <dataValidation type="list" allowBlank="1" showInputMessage="1" showErrorMessage="1" errorTitle="Invalid BPA Free" error="The value provided is not a valid BPA Free." promptTitle="" prompt="If all products in this class consistently have the same answer, you can set a default value to apply automatically. For any exceptions, you can modify the answer for specific products without changing the default." sqref="BR7">
      <formula1>'WAYFAIR_USE_ONLY'!$F$7:$F11</formula1>
    </dataValidation>
    <dataValidation type="list" errorStyle="warning" allowBlank="1" showInputMessage="1" showErrorMessage="1" errorTitle="Invalid Licensed Product Categor" error="The value provided is not a valid Licensed Product Category. Would you like to provide a custom answer?" promptTitle="Licensed Product Category" prompt="Please select a valid Licensed Product Category" sqref="BS8:BS2500">
      <formula1>'WAYFAIR_USE_ONLY'!$G$7:$G14</formula1>
    </dataValidation>
    <dataValidation type="list" errorStyle="warning" allowBlank="1" showInputMessage="1" showErrorMessage="1" errorTitle="Invalid Licensed Product Categor" error="The value provided is not a valid Licensed Product Category. Would you like to provide a custom answer?" promptTitle="" prompt="If all products in this class consistently have the same answer, you can set a default value to apply automatically. For any exceptions, you can modify the answer for specific products without changing the default." sqref="BS7">
      <formula1>'WAYFAIR_USE_ONLY'!$G$7:$G14</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T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U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V7"/>
    <dataValidation type="textLength" operator="lessThanOrEqual" errorStyle="warning" showInputMessage="1" showErrorMessage="1" errorTitle="Invalid Whole Number" error="The value provided is not a valid Whole Number." promptTitle="Total Number of Pieces Included" prompt="Please enter Whole Number" sqref="BW8:BW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BW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Y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Z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A7"/>
    <dataValidation type="textLength" operator="lessThanOrEqual" errorStyle="warning" showInputMessage="1" showErrorMessage="1" errorTitle="Invalid Number" error="The value provided is not a valid Number." promptTitle="Overall Height - Top to Bottom" prompt="Please enter Number" sqref="CB8:CB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B7">
      <formula1>32767</formula1>
    </dataValidation>
    <dataValidation type="textLength" operator="lessThanOrEqual" errorStyle="warning" showInputMessage="1" showErrorMessage="1" errorTitle="Invalid Number" error="The value provided is not a valid Number." promptTitle="Overall Width - Side to Side" prompt="Please enter Number" sqref="CC8:CC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C7">
      <formula1>32767</formula1>
    </dataValidation>
    <dataValidation type="list" allowBlank="1" showInputMessage="1" showErrorMessage="1" errorTitle="Invalid Commercial Warranty" error="The value provided is not a valid Commercial Warranty." promptTitle="Commercial Warranty" prompt="Please select a valid Commercial Warranty" sqref="CD8:CD2500">
      <formula1>'WAYFAIR_USE_ONLY'!$I$7:$I10</formula1>
    </dataValidation>
    <dataValidation type="list" allowBlank="1" showInputMessage="1" showErrorMessage="1" errorTitle="Invalid Commercial Warranty" error="The value provided is not a valid Commercial Warranty." promptTitle="" prompt="If all products in this class consistently have the same answer, you can set a default value to apply automatically. For any exceptions, you can modify the answer for specific products without changing the default." sqref="CD7">
      <formula1>'WAYFAIR_USE_ONLY'!$I$7:$I10</formula1>
    </dataValidation>
    <dataValidation allowBlank="1" showInputMessage="1" showErrorMessage="1" promptTitle="Class Specific Child Question" prompt="This Question is directly related to the tag &quot;Commercial Warranty Your answer to the related question may influence which answers are accepted here." sqref="CE4"/>
    <dataValidation type="list" allowBlank="1" showInputMessage="1" showErrorMessage="1" errorTitle="Invalid Commercial Warranty Leng" error="The value provided is not a valid Commercial Warranty Length." promptTitle="Commercial Warranty Length" prompt="Please select a valid Commercial Warranty Length" sqref="CE8:CE2500">
      <formula1>'WAYFAIR_USE_ONLY'!$H$7:$H32</formula1>
    </dataValidation>
    <dataValidation type="list" allowBlank="1" showInputMessage="1" showErrorMessage="1" errorTitle="Invalid Commercial Warranty Leng" error="The value provided is not a valid Commercial Warranty Length." promptTitle="" prompt="If all products in this class consistently have the same answer, you can set a default value to apply automatically. For any exceptions, you can modify the answer for specific products without changing the default." sqref="CE7">
      <formula1>'WAYFAIR_USE_ONLY'!$H$7:$H32</formula1>
    </dataValidation>
    <dataValidation type="list" allowBlank="1" showInputMessage="1" showErrorMessage="1" errorTitle="Invalid Wayfair Compliance Verif" error="The value provided is not a valid Wayfair Compliance Verified Program (including Baby Safety Alliance fka JPMA) for this product category." promptTitle="Wayfair Compliance Verified Prog" prompt="Please select a valid Wayfair Compliance Verified Program (including Baby Safety Alliance fka JPMA) for this product category" sqref="CF8:CF2500">
      <formula1>'WAYFAIR_USE_ONLY'!$J$7:$J9</formula1>
    </dataValidation>
    <dataValidation type="list" allowBlank="1" showInputMessage="1" showErrorMessage="1" errorTitle="Invalid Wayfair Compliance Verif" error="The value provided is not a valid Wayfair Compliance Verified Program (including Baby Safety Alliance fka JPMA) for this product category." promptTitle="" prompt="If all products in this class consistently have the same answer, you can set a default value to apply automatically. For any exceptions, you can modify the answer for specific products without changing the default." sqref="CF7">
      <formula1>'WAYFAIR_USE_ONLY'!$J$7:$J9</formula1>
    </dataValidation>
    <dataValidation type="list" allowBlank="1" showInputMessage="1" showErrorMessage="1" errorTitle="Invalid Uniform Packaging and La" error="The value provided is not a valid Uniform Packaging and Labeling Regulations (UPLR) Compliant." promptTitle="Uniform Packaging and Labeling R" prompt="Please select a valid Uniform Packaging and Labeling Regulations (UPLR) Compliant" sqref="CG8:CG2500">
      <formula1>'WAYFAIR_USE_ONLY'!$K$7:$K9</formula1>
    </dataValidation>
    <dataValidation type="list" allowBlank="1" showInputMessage="1" showErrorMessage="1" errorTitle="Invalid Uniform Packaging and La" error="The value provided is not a valid Uniform Packaging and Labeling Regulations (UPLR) Compliant." promptTitle="" prompt="If all products in this class consistently have the same answer, you can set a default value to apply automatically. For any exceptions, you can modify the answer for specific products without changing the default." sqref="CG7">
      <formula1>'WAYFAIR_USE_ONLY'!$K$7:$K9</formula1>
    </dataValidation>
    <dataValidation type="list" allowBlank="1" showInputMessage="1" showErrorMessage="1" errorTitle="Invalid Canada Product Restricti" error="The value provided is not a valid Canada Product Restriction." promptTitle="Canada Product Restriction" prompt="Please select a valid Canada Product Restriction" sqref="CH8:CH2500">
      <formula1>'WAYFAIR_USE_ONLY'!$L$7:$L9</formula1>
    </dataValidation>
    <dataValidation type="list" allowBlank="1" showInputMessage="1" showErrorMessage="1" errorTitle="Invalid Canada Product Restricti" error="The value provided is not a valid Canada Product Restriction." promptTitle="" prompt="If all products in this class consistently have the same answer, you can set a default value to apply automatically. For any exceptions, you can modify the answer for specific products without changing the default." sqref="CH7">
      <formula1>'WAYFAIR_USE_ONLY'!$L$7:$L9</formula1>
    </dataValidation>
    <dataValidation allowBlank="1" showInputMessage="1" showErrorMessage="1" promptTitle="Class Specific Child Question" prompt="This Question is directly related to the tag &quot;Canada Product Restriction Your answer to the related question may influence which answers are accepted here." sqref="CI4"/>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I7"/>
    <dataValidation type="list" allowBlank="1" showInputMessage="1" showErrorMessage="1" errorTitle="Invalid ISTA Certified" error="The value provided is not a valid ISTA Certified." promptTitle="ISTA Certified" prompt="Please select a valid ISTA Certified" sqref="CJ8:CJ2500">
      <formula1>'WAYFAIR_USE_ONLY'!$M$7:$M10</formula1>
    </dataValidation>
    <dataValidation type="list" allowBlank="1" showInputMessage="1" showErrorMessage="1" errorTitle="Invalid ISTA Certified" error="The value provided is not a valid ISTA Certified." promptTitle="" prompt="If all products in this class consistently have the same answer, you can set a default value to apply automatically. For any exceptions, you can modify the answer for specific products without changing the default." sqref="CJ7">
      <formula1>'WAYFAIR_USE_ONLY'!$M$7:$M10</formula1>
    </dataValidation>
    <dataValidation type="list" allowBlank="1" showInputMessage="1" showErrorMessage="1" errorTitle="Invalid Sustainability &amp; Social " error="The value provided is not a valid Sustainability &amp; Social Responsibility Certifications (North America Only)." promptTitle="Sustainability &amp; Social Responsi" prompt="Please select a valid Sustainability &amp; Social Responsibility Certifications (North America Only)" sqref="CK8:CK2500">
      <formula1>'WAYFAIR_USE_ONLY'!$N$7:$N10</formula1>
    </dataValidation>
    <dataValidation type="list" allowBlank="1" showInputMessage="1" showErrorMessage="1" errorTitle="Invalid Sustainability &amp; Social " error="The value provided is not a valid Sustainability &amp; Social Responsibility Certifications (North America Only)." promptTitle="" prompt="If all products in this class consistently have the same answer, you can set a default value to apply automatically. For any exceptions, you can modify the answer for specific products without changing the default." sqref="CK7">
      <formula1>'WAYFAIR_USE_ONLY'!$N$7:$N10</formula1>
    </dataValidation>
    <dataValidation type="list" allowBlank="1" showInputMessage="1" showErrorMessage="1" errorTitle="Invalid Warning Required" error="The value provided is not a valid Warning Required." promptTitle="Warning Required" prompt="Please select a valid Warning Required" sqref="CL8:CL2500">
      <formula1>'WAYFAIR_USE_ONLY'!$Q$7:$Q9</formula1>
    </dataValidation>
    <dataValidation type="list" allowBlank="1" showInputMessage="1" showErrorMessage="1" errorTitle="Invalid Warning Required" error="The value provided is not a valid Warning Required." promptTitle="" prompt="If all products in this class consistently have the same answer, you can set a default value to apply automatically. For any exceptions, you can modify the answer for specific products without changing the default." sqref="CL7">
      <formula1>'WAYFAIR_USE_ONLY'!$Q$7:$Q9</formula1>
    </dataValidation>
    <dataValidation type="list" allowBlank="1" showInputMessage="1" showErrorMessage="1" errorTitle="Invalid Chemical" error="The value provided is not a valid Chemical." promptTitle="Chemical" prompt="Please select a valid Chemical" sqref="CM8:CM2500">
      <formula1>'WAYFAIR_USE_ONLY'!$R$7:$R908</formula1>
    </dataValidation>
    <dataValidation type="list" allowBlank="1" showInputMessage="1" showErrorMessage="1" errorTitle="Invalid Chemical" error="The value provided is not a valid Chemical." promptTitle="" prompt="If all products in this class consistently have the same answer, you can set a default value to apply automatically. For any exceptions, you can modify the answer for specific products without changing the default." sqref="CM7">
      <formula1>'WAYFAIR_USE_ONLY'!$R$7:$R908</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N7"/>
    <dataValidation type="list" allowBlank="1" showInputMessage="1" showErrorMessage="1" errorTitle="Invalid Country Of Manufacturer" error="The value provided is not a valid Country Of Manufacturer." promptTitle="Country Of Manufacturer" prompt="Please select a valid Country Of Manufacturer" sqref="CO8:CO2500">
      <formula1>'WAYFAIR_USE_ONLY'!$S$7:$S254</formula1>
    </dataValidation>
    <dataValidation type="list" allowBlank="1" showInputMessage="1" showErrorMessage="1" errorTitle="Invalid Country Of Manufacturer" error="The value provided is not a valid Country Of Manufacturer." promptTitle="" prompt="If all products in this class consistently have the same answer, you can set a default value to apply automatically. For any exceptions, you can modify the answer for specific products without changing the default." sqref="CO7">
      <formula1>'WAYFAIR_USE_ONLY'!$S$7:$S254</formula1>
    </dataValidation>
  </dataValidations>
  <hyperlinks>
    <hyperlink ref="D6" location="'Valid Values'!A1" display="Select"/>
    <hyperlink ref="J6" location="'Valid Values'!B1" display="Select"/>
    <hyperlink ref="L6" location="'Valid Values'!C1" display="Select"/>
    <hyperlink ref="N6" location="'Valid Values'!C1" display="Select"/>
    <hyperlink ref="P6" location="'Valid Values'!C1" display="Select"/>
    <hyperlink ref="AF6" location="'Valid Values'!E1" display="Select"/>
    <hyperlink ref="AG6" location="'Valid Values'!F1" display="Select"/>
    <hyperlink ref="AH6" location="'Valid Values'!G1" display="Select"/>
    <hyperlink ref="AI6" location="'Valid Values'!H1" display="Select"/>
    <hyperlink ref="AX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AY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AZ6" location="'Valid Values'!K1" display="Select"/>
    <hyperlink ref="BB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C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D6" location="'Valid Values'!K1" display="Select"/>
    <hyperlink ref="BF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G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H6" location="'Valid Values'!K1" display="Select"/>
    <hyperlink ref="BI6" location="'Valid Values'!L1" display="Select"/>
    <hyperlink ref="BJ6" location="'Valid Values'!M1" display="Please choose one or more from the following, using a semicolon (;) to separate each value: Insects; Religious &amp; Spiritual; Scenic &amp; Cityscapes; Animals; Furniture; Novelty &amp; Humor; Plants &amp; Flowers; STEM; Fashion; Geography; Buildings &amp; Architecture; Transportation; Nautical &amp; Beach; Abstract; Patriotic; Food &amp; Beverage; Fantasy &amp; Sci-Fi; Bath &amp; Laundry; History &amp; Language; Entertainment; Astrology &amp; Stars; Cities &amp; Countries; Disney/Pixar; No Subject; People; Sports; Landscape &amp; Nature; Text &amp; Numbers; Education; Birds; U.S. States &amp; Territories; Unavailable"/>
    <hyperlink ref="BK6" location="'Valid Values'!N1" display="Select"/>
    <hyperlink ref="BL6" location="'Valid Values'!O1" display="Please choose one or more from the following, using a semicolon (;) to separate each value: Polycarbonate (PC); Polyethylene Plastic; Glass; Silicone; Stainless Steel; Melamine; Polypropylene; Cane; Raffia; Mango Wood; Aluminum; Linen Blend; Acrylic; Limestone; Artificial Grass; Antler; HDPE; Jersey; Linen; Foam; Cowhide; Copper / Copper Plated; Engineered Wood; Cast Aluminum; Flat Wire; Crystal; Fleece / Microfiber; Cardboard / Paper; Chenille; Cherry Wood; Handblown Glass; Cement; Flannel; Chrome; Enamelware; Enameled Cast Iron; Agate / Geode; Fiberglass; Bronze; Cast Iron; Bamboo Slat / Seagrass; Beaded; Alpaca; Felt; Denim; Clay; Gel; Coir; Cardboard; Leather; Cashmere; Galvanized Steel; Hemp; Fireclay; Anodized Aluminum; Blended Fabric; Bamboo; Brass; Burlap; Ceramic; Canvas; Composite; Carbon Steel; Compressed Polyester; Ceramic / Porcelain; Bone China; Cedar; Concrete; Cotton; Earthenware; Engineered Stone; Concrete / Cement; Corrugated; Enamel / Lacquer; Cotton Blend; Compressed Stone; Copper; Faux Leather; Fabric; Faux Sheepskin; Fiberstone; Fine Silver; Hard-Anodized Aluminum; Granite; Heavy Gauge Wire; Faux Fur; Faux Mohair; Faux Cowhide; Iron; High Leaded Crystal; Marble; Lead Crystal; Ironstone; Leather / Faux Leather; Latex; Jute; Lead Free Crystal; Lace; Jute / Sisal; Laminate; Marble / Granite; Mercury Glass; Medium Density Fiberboard (MDF); Mesh; Merino Wool; Memory Foam; Natural Stone; Microfiber / Polyester; Natural Fiber; Microfiber; Natural Fibers; Magnet; Muslin; Metal; Microfiber / Microsuede; Paper; Olefin; Nickel; PEVA; Nylon; Oak; Oxford Fabric; Polyamide; Plywood; Pinecones; Plastic / Acrylic; Pewter; Polycarbonate Plastic; Nickel Plated; Plastic; Polyester; Polymer; Polyester Fill; Polystyrene; Polyvinyl Chloride (PVC); Polyurethane; Porcelain China; Powder Coated Steel; Polypropylene Plastic; Porcelain Enameled Steel; Porcelain; Powder Coated Aluminum; Polyester Blend; Polyresin; Polymarble; Polyurethane (PU); Sandstone; Silver; Sheepskin; Sateen; Rayon / Viscose; Rayon from Bamboo; Silver Plated; Sherpa; Quartz; S"/>
    <hyperlink ref="BM6" location="'Valid Values'!P1" display="Please choose one or more from the following, using a semicolon (;) to separate each value: Acrylic Panel; Glass Wall; Orange Peel Wall; Brick Wall; Gypsum Wall; Laminate; Plywood Wall; Textured Wall; Drywall; Existing Tile; Cement Wall; Solid Wood; Wallpaper; Stucco Wall; Ceramic Tile Wall; Stainless Steel; Painted Gypsum; Concrete; Mirror; Stone Wall; Medium Density Fiberboard; Chalkboard; Flat Surface; Appliance; Multi-Surface; Unavailable"/>
    <hyperlink ref="BO6" location="'Valid Values'!Q1" display="Please choose one or more from the following, using a semicolon (;) to separate each value: Bedroom; Dining Room; Kitchen; Living Room; Bathroom; Laundry Room; Nursery; Pantry; Home Office; Game Room; Foyer; Playroom; Patio; Closet; Restaurant Dining Room; Basement; Garage/Shop; Commercial Office; Backyard; Mudroom/Deck; School Classroom; Hotel Room; Lobby/Reception; Hallway; Studio; Art School; Commercial Kitchen; Unavailable; Does Not Apply"/>
    <hyperlink ref="BP6" location="'Valid Values'!R1" display="Select"/>
    <hyperlink ref="BQ6" location="'Valid Values'!S1" display="Please choose one or more from the following, using a semicolon (;) to separate each value: Made in USA; Made in USA of Imported Materials; Product of Canada; Made In Canada; Does Not Apply"/>
    <hyperlink ref="BS6" location="'Valid Values'!T1" display="Select"/>
    <hyperlink ref="BT6" location="'Valid Values'!U1" display="Please choose one or more from the following, using a semicolon (;) to separate each value: Mold / Mildew Resistant; Water Resistant; No Durability Features; Fade Resistant; Heat Resistant; Stain Resistant; Shatter Resistant; Tip Resistant; Waterproof; Weather Resistant; Rust Resistant; Antimicrobial; Anodic Protection; Condensation Free; Predator Resistant; Drill Resistant; Pry Resistant; Fray Resistant; Non-Staining"/>
    <hyperlink ref="BU6" location="'Valid Values'!V1" display="Please choose one or more from the following, using a semicolon (;) to separate each value: Foldable / Folding; Ergonomic; Reversible; Collapsible; Extendable; Tilt; Configurable / Modular; Swivel; Trimmable; Removable; Convertible; Rotating; Lift Assist; Reclining; Double Sided; Retractable; Glider; Wall Recline; Adjustable; Swing Arm; Temperature; Stackable; Tilt Lock; Tilt Out; Tilting; Unavailable; Does Not Apply"/>
    <hyperlink ref="BV6" location="'Valid Values'!W1" display="Please choose one or more from the following, using a semicolon (;) to separate each value: Blue; Black; Brown; Red; Beige; Yellow; Pink; Purple; Gold; White; Ivory; Tan; Teal; Navy; Orange; Silver; Gray; Green; Cream; Clear"/>
    <hyperlink ref="BX6" location="'Valid Values'!X1" display="Please choose one or more from the following, using a semicolon (;) to separate each value: Handle(s); Paste; Unavailable; Does Not Apply"/>
    <hyperlink ref="BY6" location="'Valid Values'!Y1" display="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hyperlink ref="BZ6" location="'Valid Values'!Z1" display="Please choose one or more from the following, using a semicolon (;) to separate each value: Breathable; Dual Sided; Animated; Double Sided; Non-Wall Damaging; Reusable; Vintage; Window Clinging"/>
    <hyperlink ref="CA6" location="'Valid Values'!AA1" display="Please choose one or more from the following, using a semicolon (;) to separate each value: Newborn (Birth - 6 months old); Infant (6 - 12 Months); Toddler (1 - 3 Years); Pre-school (3 - 5 Years); Youth (5 - 8 Years); Pre-teen (9 - 12 Years); Teen (13+); Adult (18+); All Ages; Adult; Baby; Kid; Teen; Toddler; Unavailable"/>
    <hyperlink ref="CE6" location="'Valid Values'!AB1" display="Select"/>
    <hyperlink ref="CF6" location="'Valid Values'!AC1" display="Select"/>
    <hyperlink ref="CG6" location="'Valid Values'!AD1" display="Select"/>
    <hyperlink ref="CI6" location="'Valid Values'!AE1" display="Please choose one or more from the following, using a semicolon (;) to separate each value: Dual Language; Distribution Conflict; Logistics; Does Not Apply"/>
    <hyperlink ref="CJ6" location="'Valid Values'!AF1" display="Select"/>
    <hyperlink ref="CM6" location="'Valid Values'!AG1" display="Select"/>
    <hyperlink ref="CN6" location="'Valid Values'!AH1" display="Please choose one or more from the following, using a semicolon (;) to separate each value: Cancer; Developmental"/>
    <hyperlink ref="CO6" location="'Valid Values'!AI1" display="Select"/>
  </hyperlink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dimension ref="A1:CO8"/>
  <sheetViews>
    <sheetView workbookViewId="0"/>
  </sheetViews>
  <sheetFormatPr defaultRowHeight="15"/>
  <cols>
    <col min="2" max="2" width="25.7109375" style="22" customWidth="1"/>
    <col min="3" max="3" width="22.7109375" style="22" customWidth="1"/>
    <col min="4" max="4" width="10.7109375" style="22" customWidth="1"/>
    <col min="5" max="5" width="29.7109375" style="22" customWidth="1"/>
    <col min="6" max="6" width="27.7109375" style="22" customWidth="1"/>
    <col min="7" max="7" width="17.7109375" style="22" customWidth="1"/>
    <col min="8" max="8" width="20.7109375" style="22" customWidth="1"/>
    <col min="9" max="9" width="29.7109375" style="22" customWidth="1"/>
    <col min="10" max="10" width="17.7109375" style="22" customWidth="1"/>
    <col min="11" max="12" width="23.7109375" style="22" customWidth="1"/>
    <col min="13" max="13" width="37.7109375" style="22" customWidth="1"/>
    <col min="14" max="14" width="23.7109375" style="22" customWidth="1"/>
    <col min="15" max="15" width="37.7109375" style="22" customWidth="1"/>
    <col min="16" max="16" width="23.7109375" style="22" customWidth="1"/>
    <col min="17" max="17" width="37.7109375" style="22" customWidth="1"/>
    <col min="18" max="18" width="14.7109375" style="22" customWidth="1"/>
    <col min="19" max="19" width="29.7109375" style="22" customWidth="1"/>
    <col min="20" max="20" width="40.7109375" style="22" customWidth="1"/>
    <col min="21" max="21" width="31.7109375" style="22" customWidth="1"/>
    <col min="22" max="22" width="19.7109375" style="22" customWidth="1"/>
    <col min="23" max="27" width="21.7109375" style="22" customWidth="1"/>
    <col min="28" max="28" width="27.7109375" style="22" customWidth="1"/>
    <col min="29" max="29" width="30.7109375" style="22" customWidth="1"/>
    <col min="30" max="30" width="25.7109375" style="22" customWidth="1"/>
    <col min="31" max="31" width="19.7109375" style="22" customWidth="1"/>
    <col min="32" max="32" width="14.7109375" style="22" customWidth="1"/>
    <col min="33" max="33" width="18.7109375" style="22" customWidth="1"/>
    <col min="34" max="34" width="14.7109375" style="22" customWidth="1"/>
    <col min="35" max="35" width="26.7109375" style="22" customWidth="1"/>
    <col min="36" max="36" width="33.7109375" style="22" customWidth="1"/>
    <col min="37" max="37" width="14.7109375" style="22" customWidth="1"/>
    <col min="38" max="40" width="20.7109375" style="22" customWidth="1"/>
    <col min="41" max="42" width="19.7109375" style="22" customWidth="1"/>
    <col min="43" max="48" width="29.7109375" style="22" customWidth="1"/>
    <col min="49" max="49" width="32.7109375" style="22" customWidth="1"/>
    <col min="50" max="50" width="20.7109375" style="22" customWidth="1"/>
    <col min="51" max="51" width="26.7109375" style="22" customWidth="1"/>
    <col min="52" max="52" width="22.7109375" style="22" customWidth="1"/>
    <col min="53" max="53" width="32.7109375" style="22" customWidth="1"/>
    <col min="54" max="54" width="20.7109375" style="22" customWidth="1"/>
    <col min="55" max="55" width="26.7109375" style="22" customWidth="1"/>
    <col min="56" max="56" width="22.7109375" style="22" customWidth="1"/>
    <col min="57" max="57" width="32.7109375" style="22" customWidth="1"/>
    <col min="58" max="58" width="20.7109375" style="22" customWidth="1"/>
    <col min="59" max="59" width="26.7109375" style="22" customWidth="1"/>
    <col min="60" max="60" width="22.7109375" style="22" customWidth="1"/>
    <col min="61" max="61" width="17.7109375" style="22" customWidth="1"/>
    <col min="62" max="62" width="12.7109375" style="22" customWidth="1"/>
    <col min="63" max="63" width="17.7109375" style="22" customWidth="1"/>
    <col min="64" max="64" width="13.7109375" style="22" customWidth="1"/>
    <col min="65" max="65" width="24.7109375" style="22" customWidth="1"/>
    <col min="66" max="66" width="36.7109375" style="22" customWidth="1"/>
    <col min="67" max="67" width="13.7109375" style="22" customWidth="1"/>
    <col min="68" max="68" width="23.7109375" style="22" customWidth="1"/>
    <col min="69" max="69" width="43.7109375" style="22" customWidth="1"/>
    <col min="70" max="70" width="13.7109375" style="22" customWidth="1"/>
    <col min="71" max="71" width="30.7109375" style="22" customWidth="1"/>
    <col min="72" max="72" width="15.7109375" style="22" customWidth="1"/>
    <col min="73" max="73" width="27.7109375" style="22" customWidth="1"/>
    <col min="74" max="74" width="10.7109375" style="22" customWidth="1"/>
    <col min="75" max="75" width="36.7109375" style="22" customWidth="1"/>
    <col min="76" max="76" width="20.7109375" style="22" customWidth="1"/>
    <col min="77" max="77" width="29.7109375" style="22" customWidth="1"/>
    <col min="78" max="78" width="21.7109375" style="22" customWidth="1"/>
    <col min="79" max="79" width="14.7109375" style="22" customWidth="1"/>
    <col min="80" max="80" width="35.7109375" style="22" customWidth="1"/>
    <col min="81" max="81" width="33.7109375" style="22" customWidth="1"/>
    <col min="82" max="82" width="24.7109375" style="22" customWidth="1"/>
    <col min="83" max="83" width="31.7109375" style="22" customWidth="1"/>
    <col min="84" max="84" width="108.7109375" style="22" customWidth="1"/>
    <col min="85" max="85" width="64.7109375" style="22" customWidth="1"/>
    <col min="86" max="86" width="31.7109375" style="22" customWidth="1"/>
    <col min="87" max="87" width="27.7109375" style="22" customWidth="1"/>
    <col min="88" max="88" width="19.7109375" style="22" customWidth="1"/>
    <col min="89" max="89" width="79.7109375" style="22" customWidth="1"/>
    <col min="90" max="90" width="21.7109375" style="22" customWidth="1"/>
    <col min="91" max="92" width="15.7109375" style="22" customWidth="1"/>
    <col min="93" max="93" width="28.7109375" style="22" customWidth="1"/>
  </cols>
  <sheetData>
    <row r="1" spans="1:93" hidden="1">
      <c r="B1" s="22" t="s">
        <v>2221</v>
      </c>
      <c r="C1" s="22" t="s">
        <v>2225</v>
      </c>
      <c r="D1" s="22" t="s">
        <v>2229</v>
      </c>
      <c r="E1" s="22" t="s">
        <v>2233</v>
      </c>
      <c r="F1" s="22" t="s">
        <v>2236</v>
      </c>
      <c r="G1" s="22" t="s">
        <v>2239</v>
      </c>
      <c r="H1" s="22" t="s">
        <v>2242</v>
      </c>
      <c r="I1" s="22" t="s">
        <v>2245</v>
      </c>
      <c r="J1" s="22" t="s">
        <v>2248</v>
      </c>
      <c r="K1" s="22" t="s">
        <v>2251</v>
      </c>
      <c r="L1" s="22" t="s">
        <v>2254</v>
      </c>
      <c r="M1" s="22" t="s">
        <v>2257</v>
      </c>
      <c r="N1" s="22" t="s">
        <v>2254</v>
      </c>
      <c r="O1" s="22" t="s">
        <v>2257</v>
      </c>
      <c r="P1" s="22" t="s">
        <v>2254</v>
      </c>
      <c r="Q1" s="22" t="s">
        <v>2257</v>
      </c>
      <c r="R1" s="22" t="s">
        <v>2264</v>
      </c>
      <c r="S1" s="22" t="s">
        <v>2268</v>
      </c>
      <c r="T1" s="22" t="s">
        <v>2271</v>
      </c>
      <c r="U1" s="22" t="s">
        <v>2274</v>
      </c>
      <c r="V1" s="22" t="s">
        <v>2277</v>
      </c>
      <c r="W1" s="22" t="s">
        <v>2280</v>
      </c>
      <c r="X1" s="22" t="s">
        <v>2280</v>
      </c>
      <c r="Y1" s="22" t="s">
        <v>2280</v>
      </c>
      <c r="Z1" s="22" t="s">
        <v>2280</v>
      </c>
      <c r="AA1" s="22" t="s">
        <v>2280</v>
      </c>
      <c r="AB1" s="22" t="s">
        <v>2287</v>
      </c>
      <c r="AC1" s="22" t="s">
        <v>2291</v>
      </c>
      <c r="AD1" s="22" t="s">
        <v>2294</v>
      </c>
      <c r="AE1" s="22" t="s">
        <v>2297</v>
      </c>
      <c r="AF1" s="22" t="s">
        <v>2300</v>
      </c>
      <c r="AG1" s="22" t="s">
        <v>2303</v>
      </c>
      <c r="AH1" s="22" t="s">
        <v>2306</v>
      </c>
      <c r="AI1" s="22" t="s">
        <v>2309</v>
      </c>
      <c r="AJ1" s="22" t="s">
        <v>2312</v>
      </c>
      <c r="AK1" s="22" t="s">
        <v>2315</v>
      </c>
      <c r="AL1" s="22" t="s">
        <v>2318</v>
      </c>
      <c r="AM1" s="22" t="s">
        <v>2321</v>
      </c>
      <c r="AN1" s="22" t="s">
        <v>2324</v>
      </c>
      <c r="AO1" s="22" t="s">
        <v>2327</v>
      </c>
      <c r="AP1" s="22" t="s">
        <v>2330</v>
      </c>
      <c r="AQ1" s="22" t="s">
        <v>2333</v>
      </c>
      <c r="AR1" s="22" t="s">
        <v>2333</v>
      </c>
      <c r="AS1" s="22" t="s">
        <v>2333</v>
      </c>
      <c r="AT1" s="22" t="s">
        <v>2333</v>
      </c>
      <c r="AU1" s="22" t="s">
        <v>2333</v>
      </c>
      <c r="AV1" s="22" t="s">
        <v>2340</v>
      </c>
      <c r="AW1" s="22" t="s">
        <v>2343</v>
      </c>
      <c r="AX1" s="22" t="s">
        <v>2346</v>
      </c>
      <c r="AY1" s="22" t="s">
        <v>2350</v>
      </c>
      <c r="AZ1" s="22" t="s">
        <v>2354</v>
      </c>
      <c r="BA1" s="22" t="s">
        <v>2343</v>
      </c>
      <c r="BB1" s="22" t="s">
        <v>2346</v>
      </c>
      <c r="BC1" s="22" t="s">
        <v>2350</v>
      </c>
      <c r="BD1" s="22" t="s">
        <v>2354</v>
      </c>
      <c r="BE1" s="22" t="s">
        <v>2343</v>
      </c>
      <c r="BF1" s="22" t="s">
        <v>2346</v>
      </c>
      <c r="BG1" s="22" t="s">
        <v>2350</v>
      </c>
      <c r="BH1" s="22" t="s">
        <v>2354</v>
      </c>
      <c r="BI1" s="22" t="s">
        <v>2365</v>
      </c>
      <c r="BJ1" s="22" t="s">
        <v>2368</v>
      </c>
      <c r="BK1" s="22" t="s">
        <v>2372</v>
      </c>
      <c r="BL1" s="22" t="s">
        <v>2375</v>
      </c>
      <c r="BM1" s="22" t="s">
        <v>2379</v>
      </c>
      <c r="BN1" s="22" t="s">
        <v>2383</v>
      </c>
      <c r="BO1" s="22" t="s">
        <v>2386</v>
      </c>
      <c r="BP1" s="22" t="s">
        <v>2390</v>
      </c>
      <c r="BQ1" s="22" t="s">
        <v>2393</v>
      </c>
      <c r="BR1" s="22" t="s">
        <v>2397</v>
      </c>
      <c r="BS1" s="22" t="s">
        <v>2400</v>
      </c>
      <c r="BT1" s="22" t="s">
        <v>2403</v>
      </c>
      <c r="BU1" s="22" t="s">
        <v>2407</v>
      </c>
      <c r="BV1" s="22" t="s">
        <v>2411</v>
      </c>
      <c r="BW1" s="22" t="s">
        <v>2414</v>
      </c>
      <c r="BX1" s="22" t="s">
        <v>2417</v>
      </c>
      <c r="BY1" s="22" t="s">
        <v>2421</v>
      </c>
      <c r="BZ1" s="22" t="s">
        <v>2425</v>
      </c>
      <c r="CA1" s="22" t="s">
        <v>2429</v>
      </c>
      <c r="CB1" s="22" t="s">
        <v>2433</v>
      </c>
      <c r="CC1" s="22" t="s">
        <v>2436</v>
      </c>
      <c r="CD1" s="22" t="s">
        <v>2439</v>
      </c>
      <c r="CE1" s="22" t="s">
        <v>2442</v>
      </c>
      <c r="CF1" s="22" t="s">
        <v>2445</v>
      </c>
      <c r="CG1" s="22" t="s">
        <v>2448</v>
      </c>
      <c r="CH1" s="22" t="s">
        <v>2451</v>
      </c>
      <c r="CI1" s="22" t="s">
        <v>2454</v>
      </c>
      <c r="CJ1" s="22" t="s">
        <v>2458</v>
      </c>
      <c r="CK1" s="22" t="s">
        <v>2461</v>
      </c>
      <c r="CL1" s="22" t="s">
        <v>2464</v>
      </c>
      <c r="CM1" s="22" t="s">
        <v>2467</v>
      </c>
      <c r="CN1" s="22" t="s">
        <v>2470</v>
      </c>
      <c r="CO1" s="22" t="s">
        <v>2474</v>
      </c>
    </row>
    <row r="2" spans="1:93">
      <c r="B2" s="23" t="s">
        <v>2477</v>
      </c>
      <c r="J2" s="24" t="s">
        <v>2478</v>
      </c>
      <c r="R2" s="25" t="s">
        <v>2479</v>
      </c>
      <c r="V2" s="26" t="s">
        <v>2480</v>
      </c>
      <c r="AB2" s="27" t="s">
        <v>2481</v>
      </c>
      <c r="AM2" s="28" t="s">
        <v>2482</v>
      </c>
      <c r="AQ2" s="29" t="s">
        <v>2483</v>
      </c>
      <c r="BI2" s="30" t="s">
        <v>2484</v>
      </c>
      <c r="CL2" s="31" t="s">
        <v>2485</v>
      </c>
    </row>
    <row r="3" spans="1:93">
      <c r="B3" s="32" t="s">
        <v>58</v>
      </c>
      <c r="C3" s="32" t="s">
        <v>62</v>
      </c>
      <c r="D3" s="32" t="s">
        <v>58</v>
      </c>
      <c r="E3" s="32" t="s">
        <v>58</v>
      </c>
      <c r="F3" s="32" t="s">
        <v>60</v>
      </c>
      <c r="G3" s="32" t="s">
        <v>58</v>
      </c>
      <c r="H3" s="32" t="s">
        <v>62</v>
      </c>
      <c r="I3" s="32" t="s">
        <v>62</v>
      </c>
      <c r="J3" s="32" t="s">
        <v>58</v>
      </c>
      <c r="K3" s="32" t="s">
        <v>64</v>
      </c>
      <c r="L3" s="32" t="s">
        <v>60</v>
      </c>
      <c r="M3" s="32" t="s">
        <v>64</v>
      </c>
      <c r="N3" s="32" t="s">
        <v>60</v>
      </c>
      <c r="O3" s="32" t="s">
        <v>64</v>
      </c>
      <c r="P3" s="32" t="s">
        <v>60</v>
      </c>
      <c r="Q3" s="32" t="s">
        <v>64</v>
      </c>
      <c r="R3" s="32" t="s">
        <v>58</v>
      </c>
      <c r="S3" s="32" t="s">
        <v>62</v>
      </c>
      <c r="T3" s="32" t="s">
        <v>62</v>
      </c>
      <c r="U3" s="32" t="s">
        <v>62</v>
      </c>
      <c r="V3" s="32" t="s">
        <v>64</v>
      </c>
      <c r="W3" s="32" t="s">
        <v>64</v>
      </c>
      <c r="X3" s="32" t="s">
        <v>64</v>
      </c>
      <c r="Y3" s="32" t="s">
        <v>64</v>
      </c>
      <c r="Z3" s="32" t="s">
        <v>64</v>
      </c>
      <c r="AA3" s="32" t="s">
        <v>64</v>
      </c>
      <c r="AB3" s="32" t="s">
        <v>58</v>
      </c>
      <c r="AC3" s="32" t="s">
        <v>58</v>
      </c>
      <c r="AD3" s="32" t="s">
        <v>58</v>
      </c>
      <c r="AE3" s="32" t="s">
        <v>58</v>
      </c>
      <c r="AF3" s="32" t="s">
        <v>58</v>
      </c>
      <c r="AG3" s="32" t="s">
        <v>64</v>
      </c>
      <c r="AH3" s="32" t="s">
        <v>58</v>
      </c>
      <c r="AI3" s="32" t="s">
        <v>58</v>
      </c>
      <c r="AJ3" s="32" t="s">
        <v>62</v>
      </c>
      <c r="AK3" s="32" t="s">
        <v>62</v>
      </c>
      <c r="AL3" s="32" t="s">
        <v>62</v>
      </c>
      <c r="AM3" s="32" t="s">
        <v>58</v>
      </c>
      <c r="AN3" s="32" t="s">
        <v>58</v>
      </c>
      <c r="AO3" s="32" t="s">
        <v>58</v>
      </c>
      <c r="AP3" s="32" t="s">
        <v>58</v>
      </c>
      <c r="AQ3" s="32" t="s">
        <v>58</v>
      </c>
      <c r="AR3" s="32" t="s">
        <v>62</v>
      </c>
      <c r="AS3" s="32" t="s">
        <v>62</v>
      </c>
      <c r="AT3" s="32" t="s">
        <v>62</v>
      </c>
      <c r="AU3" s="32" t="s">
        <v>62</v>
      </c>
      <c r="AV3" s="32" t="s">
        <v>62</v>
      </c>
      <c r="AW3" s="32" t="s">
        <v>64</v>
      </c>
      <c r="AX3" s="32" t="s">
        <v>64</v>
      </c>
      <c r="AY3" s="32" t="s">
        <v>64</v>
      </c>
      <c r="AZ3" s="32" t="s">
        <v>64</v>
      </c>
      <c r="BA3" s="32" t="s">
        <v>64</v>
      </c>
      <c r="BB3" s="32" t="s">
        <v>64</v>
      </c>
      <c r="BC3" s="32" t="s">
        <v>64</v>
      </c>
      <c r="BD3" s="32" t="s">
        <v>64</v>
      </c>
      <c r="BE3" s="32" t="s">
        <v>64</v>
      </c>
      <c r="BF3" s="32" t="s">
        <v>64</v>
      </c>
      <c r="BG3" s="32" t="s">
        <v>64</v>
      </c>
      <c r="BH3" s="32" t="s">
        <v>64</v>
      </c>
      <c r="BI3" s="32" t="s">
        <v>58</v>
      </c>
      <c r="BJ3" s="32" t="s">
        <v>60</v>
      </c>
      <c r="BK3" s="32" t="s">
        <v>58</v>
      </c>
      <c r="BL3" s="32" t="s">
        <v>58</v>
      </c>
      <c r="BM3" s="32" t="s">
        <v>58</v>
      </c>
      <c r="BN3" s="32" t="s">
        <v>60</v>
      </c>
      <c r="BO3" s="32" t="s">
        <v>60</v>
      </c>
      <c r="BP3" s="32" t="s">
        <v>60</v>
      </c>
      <c r="BQ3" s="32" t="s">
        <v>62</v>
      </c>
      <c r="BR3" s="32" t="s">
        <v>58</v>
      </c>
      <c r="BS3" s="32" t="s">
        <v>60</v>
      </c>
      <c r="BT3" s="32" t="s">
        <v>60</v>
      </c>
      <c r="BU3" s="32" t="s">
        <v>60</v>
      </c>
      <c r="BV3" s="32" t="s">
        <v>58</v>
      </c>
      <c r="BW3" s="32" t="s">
        <v>60</v>
      </c>
      <c r="BX3" s="32" t="s">
        <v>58</v>
      </c>
      <c r="BY3" s="32" t="s">
        <v>60</v>
      </c>
      <c r="BZ3" s="32" t="s">
        <v>60</v>
      </c>
      <c r="CA3" s="32" t="s">
        <v>60</v>
      </c>
      <c r="CB3" s="32" t="s">
        <v>58</v>
      </c>
      <c r="CC3" s="32" t="s">
        <v>58</v>
      </c>
      <c r="CD3" s="32" t="s">
        <v>60</v>
      </c>
      <c r="CE3" s="32" t="s">
        <v>60</v>
      </c>
      <c r="CF3" s="32" t="s">
        <v>58</v>
      </c>
      <c r="CG3" s="32" t="s">
        <v>58</v>
      </c>
      <c r="CH3" s="32" t="s">
        <v>58</v>
      </c>
      <c r="CI3" s="32" t="s">
        <v>58</v>
      </c>
      <c r="CJ3" s="32" t="s">
        <v>60</v>
      </c>
      <c r="CK3" s="32" t="s">
        <v>60</v>
      </c>
      <c r="CL3" s="32" t="s">
        <v>58</v>
      </c>
      <c r="CM3" s="32" t="s">
        <v>64</v>
      </c>
      <c r="CN3" s="32" t="s">
        <v>64</v>
      </c>
      <c r="CO3" s="32" t="s">
        <v>58</v>
      </c>
    </row>
    <row r="4" spans="1:93" ht="50" customHeight="1">
      <c r="B4" s="19" t="s">
        <v>2222</v>
      </c>
      <c r="C4" s="19" t="s">
        <v>2226</v>
      </c>
      <c r="D4" s="19" t="s">
        <v>2230</v>
      </c>
      <c r="E4" s="19" t="s">
        <v>2234</v>
      </c>
      <c r="F4" s="19" t="s">
        <v>2237</v>
      </c>
      <c r="G4" s="19" t="s">
        <v>2240</v>
      </c>
      <c r="H4" s="19" t="s">
        <v>2243</v>
      </c>
      <c r="I4" s="19" t="s">
        <v>2246</v>
      </c>
      <c r="J4" s="19" t="s">
        <v>2249</v>
      </c>
      <c r="K4" s="19" t="s">
        <v>2252</v>
      </c>
      <c r="L4" s="19" t="s">
        <v>2255</v>
      </c>
      <c r="M4" s="19" t="s">
        <v>2258</v>
      </c>
      <c r="N4" s="19" t="s">
        <v>2260</v>
      </c>
      <c r="O4" s="19" t="s">
        <v>2261</v>
      </c>
      <c r="P4" s="19" t="s">
        <v>2262</v>
      </c>
      <c r="Q4" s="19" t="s">
        <v>2263</v>
      </c>
      <c r="R4" s="19" t="s">
        <v>2265</v>
      </c>
      <c r="S4" s="19" t="s">
        <v>2269</v>
      </c>
      <c r="T4" s="19" t="s">
        <v>2272</v>
      </c>
      <c r="U4" s="19" t="s">
        <v>2275</v>
      </c>
      <c r="V4" s="19" t="s">
        <v>2278</v>
      </c>
      <c r="W4" s="19" t="s">
        <v>2281</v>
      </c>
      <c r="X4" s="19" t="s">
        <v>2283</v>
      </c>
      <c r="Y4" s="19" t="s">
        <v>2284</v>
      </c>
      <c r="Z4" s="19" t="s">
        <v>2285</v>
      </c>
      <c r="AA4" s="19" t="s">
        <v>2286</v>
      </c>
      <c r="AB4" s="19" t="s">
        <v>2288</v>
      </c>
      <c r="AC4" s="19" t="s">
        <v>2292</v>
      </c>
      <c r="AD4" s="19" t="s">
        <v>2295</v>
      </c>
      <c r="AE4" s="19" t="s">
        <v>2298</v>
      </c>
      <c r="AF4" s="19" t="s">
        <v>2301</v>
      </c>
      <c r="AG4" s="19" t="s">
        <v>2304</v>
      </c>
      <c r="AH4" s="19" t="s">
        <v>2307</v>
      </c>
      <c r="AI4" s="19" t="s">
        <v>2310</v>
      </c>
      <c r="AJ4" s="19" t="s">
        <v>2313</v>
      </c>
      <c r="AK4" s="19" t="s">
        <v>2316</v>
      </c>
      <c r="AL4" s="19" t="s">
        <v>2319</v>
      </c>
      <c r="AM4" s="19" t="s">
        <v>2322</v>
      </c>
      <c r="AN4" s="19" t="s">
        <v>2325</v>
      </c>
      <c r="AO4" s="19" t="s">
        <v>2328</v>
      </c>
      <c r="AP4" s="19" t="s">
        <v>2331</v>
      </c>
      <c r="AQ4" s="19" t="s">
        <v>2334</v>
      </c>
      <c r="AR4" s="19" t="s">
        <v>2336</v>
      </c>
      <c r="AS4" s="19" t="s">
        <v>2337</v>
      </c>
      <c r="AT4" s="19" t="s">
        <v>2338</v>
      </c>
      <c r="AU4" s="19" t="s">
        <v>2339</v>
      </c>
      <c r="AV4" s="19" t="s">
        <v>2341</v>
      </c>
      <c r="AW4" s="19" t="s">
        <v>2344</v>
      </c>
      <c r="AX4" s="19" t="s">
        <v>2347</v>
      </c>
      <c r="AY4" s="19" t="s">
        <v>2351</v>
      </c>
      <c r="AZ4" s="19" t="s">
        <v>2355</v>
      </c>
      <c r="BA4" s="19" t="s">
        <v>2357</v>
      </c>
      <c r="BB4" s="19" t="s">
        <v>2358</v>
      </c>
      <c r="BC4" s="19" t="s">
        <v>2359</v>
      </c>
      <c r="BD4" s="19" t="s">
        <v>2360</v>
      </c>
      <c r="BE4" s="19" t="s">
        <v>2361</v>
      </c>
      <c r="BF4" s="19" t="s">
        <v>2362</v>
      </c>
      <c r="BG4" s="19" t="s">
        <v>2363</v>
      </c>
      <c r="BH4" s="19" t="s">
        <v>2364</v>
      </c>
      <c r="BI4" s="19" t="s">
        <v>2366</v>
      </c>
      <c r="BJ4" s="19" t="s">
        <v>2369</v>
      </c>
      <c r="BK4" s="19" t="s">
        <v>2373</v>
      </c>
      <c r="BL4" s="19" t="s">
        <v>2376</v>
      </c>
      <c r="BM4" s="19" t="s">
        <v>2380</v>
      </c>
      <c r="BN4" s="19" t="s">
        <v>2384</v>
      </c>
      <c r="BO4" s="19" t="s">
        <v>2387</v>
      </c>
      <c r="BP4" s="19" t="s">
        <v>2391</v>
      </c>
      <c r="BQ4" s="19" t="s">
        <v>2394</v>
      </c>
      <c r="BR4" s="19" t="s">
        <v>2398</v>
      </c>
      <c r="BS4" s="19" t="s">
        <v>2401</v>
      </c>
      <c r="BT4" s="19" t="s">
        <v>2404</v>
      </c>
      <c r="BU4" s="19" t="s">
        <v>2408</v>
      </c>
      <c r="BV4" s="19" t="s">
        <v>2200</v>
      </c>
      <c r="BW4" s="19" t="s">
        <v>2415</v>
      </c>
      <c r="BX4" s="19" t="s">
        <v>2418</v>
      </c>
      <c r="BY4" s="19" t="s">
        <v>2422</v>
      </c>
      <c r="BZ4" s="19" t="s">
        <v>2426</v>
      </c>
      <c r="CA4" s="19" t="s">
        <v>2430</v>
      </c>
      <c r="CB4" s="19" t="s">
        <v>2434</v>
      </c>
      <c r="CC4" s="19" t="s">
        <v>2437</v>
      </c>
      <c r="CD4" s="33" t="s">
        <v>2440</v>
      </c>
      <c r="CE4" s="34" t="s">
        <v>2443</v>
      </c>
      <c r="CF4" s="19" t="s">
        <v>2446</v>
      </c>
      <c r="CG4" s="19" t="s">
        <v>2449</v>
      </c>
      <c r="CH4" s="33" t="s">
        <v>2452</v>
      </c>
      <c r="CI4" s="34" t="s">
        <v>2455</v>
      </c>
      <c r="CJ4" s="19" t="s">
        <v>2459</v>
      </c>
      <c r="CK4" s="19" t="s">
        <v>2462</v>
      </c>
      <c r="CL4" s="19" t="s">
        <v>2465</v>
      </c>
      <c r="CM4" s="19" t="s">
        <v>2468</v>
      </c>
      <c r="CN4" s="19" t="s">
        <v>2471</v>
      </c>
      <c r="CO4" s="19" t="s">
        <v>2475</v>
      </c>
    </row>
    <row r="5" spans="1:93" ht="50" customHeight="1">
      <c r="B5" s="35" t="s">
        <v>2223</v>
      </c>
      <c r="C5" s="35" t="s">
        <v>2227</v>
      </c>
      <c r="D5" s="35" t="s">
        <v>2231</v>
      </c>
      <c r="E5" s="35" t="s">
        <v>2235</v>
      </c>
      <c r="F5" s="35" t="s">
        <v>2238</v>
      </c>
      <c r="G5" s="35" t="s">
        <v>2241</v>
      </c>
      <c r="H5" s="35" t="s">
        <v>2244</v>
      </c>
      <c r="I5" s="35" t="s">
        <v>2247</v>
      </c>
      <c r="J5" s="35" t="s">
        <v>2250</v>
      </c>
      <c r="K5" s="35" t="s">
        <v>2253</v>
      </c>
      <c r="L5" s="35" t="s">
        <v>2256</v>
      </c>
      <c r="M5" s="35" t="s">
        <v>2259</v>
      </c>
      <c r="N5" s="35" t="s">
        <v>2256</v>
      </c>
      <c r="O5" s="35" t="s">
        <v>2259</v>
      </c>
      <c r="P5" s="35" t="s">
        <v>2256</v>
      </c>
      <c r="Q5" s="35" t="s">
        <v>2259</v>
      </c>
      <c r="R5" s="35" t="s">
        <v>2266</v>
      </c>
      <c r="S5" s="35" t="s">
        <v>2270</v>
      </c>
      <c r="T5" s="35" t="s">
        <v>2273</v>
      </c>
      <c r="U5" s="35" t="s">
        <v>2276</v>
      </c>
      <c r="V5" s="35" t="s">
        <v>2279</v>
      </c>
      <c r="W5" s="35" t="s">
        <v>2282</v>
      </c>
      <c r="X5" s="35" t="s">
        <v>2282</v>
      </c>
      <c r="Y5" s="35" t="s">
        <v>2282</v>
      </c>
      <c r="Z5" s="35" t="s">
        <v>2282</v>
      </c>
      <c r="AA5" s="35" t="s">
        <v>2282</v>
      </c>
      <c r="AB5" s="35" t="s">
        <v>2289</v>
      </c>
      <c r="AC5" s="35" t="s">
        <v>2293</v>
      </c>
      <c r="AD5" s="35" t="s">
        <v>2296</v>
      </c>
      <c r="AE5" s="35" t="s">
        <v>2299</v>
      </c>
      <c r="AF5" s="35" t="s">
        <v>2302</v>
      </c>
      <c r="AG5" s="35" t="s">
        <v>2305</v>
      </c>
      <c r="AH5" s="35" t="s">
        <v>2308</v>
      </c>
      <c r="AI5" s="35" t="s">
        <v>2311</v>
      </c>
      <c r="AJ5" s="35" t="s">
        <v>2314</v>
      </c>
      <c r="AK5" s="35" t="s">
        <v>2317</v>
      </c>
      <c r="AL5" s="35" t="s">
        <v>2320</v>
      </c>
      <c r="AM5" s="35" t="s">
        <v>2323</v>
      </c>
      <c r="AN5" s="35" t="s">
        <v>2326</v>
      </c>
      <c r="AO5" s="35" t="s">
        <v>2329</v>
      </c>
      <c r="AP5" s="35" t="s">
        <v>2332</v>
      </c>
      <c r="AQ5" s="35" t="s">
        <v>2335</v>
      </c>
      <c r="AR5" s="35" t="s">
        <v>2335</v>
      </c>
      <c r="AS5" s="35" t="s">
        <v>2335</v>
      </c>
      <c r="AT5" s="35" t="s">
        <v>2335</v>
      </c>
      <c r="AU5" s="35" t="s">
        <v>2335</v>
      </c>
      <c r="AV5" s="35" t="s">
        <v>2342</v>
      </c>
      <c r="AW5" s="35" t="s">
        <v>2345</v>
      </c>
      <c r="AX5" s="35" t="s">
        <v>2348</v>
      </c>
      <c r="AY5" s="35" t="s">
        <v>2352</v>
      </c>
      <c r="AZ5" s="35" t="s">
        <v>2356</v>
      </c>
      <c r="BA5" s="35" t="s">
        <v>2345</v>
      </c>
      <c r="BB5" s="35" t="s">
        <v>2348</v>
      </c>
      <c r="BC5" s="35" t="s">
        <v>2352</v>
      </c>
      <c r="BD5" s="35" t="s">
        <v>2356</v>
      </c>
      <c r="BE5" s="35" t="s">
        <v>2345</v>
      </c>
      <c r="BF5" s="35" t="s">
        <v>2348</v>
      </c>
      <c r="BG5" s="35" t="s">
        <v>2352</v>
      </c>
      <c r="BH5" s="35" t="s">
        <v>2356</v>
      </c>
      <c r="BI5" s="35" t="s">
        <v>2367</v>
      </c>
      <c r="BJ5" s="35" t="s">
        <v>2370</v>
      </c>
      <c r="BK5" s="35" t="s">
        <v>2374</v>
      </c>
      <c r="BL5" s="35" t="s">
        <v>2377</v>
      </c>
      <c r="BM5" s="35" t="s">
        <v>2381</v>
      </c>
      <c r="BN5" s="35" t="s">
        <v>2385</v>
      </c>
      <c r="BO5" s="35" t="s">
        <v>2388</v>
      </c>
      <c r="BP5" s="35" t="s">
        <v>2392</v>
      </c>
      <c r="BQ5" s="35" t="s">
        <v>2395</v>
      </c>
      <c r="BR5" s="35" t="s">
        <v>2399</v>
      </c>
      <c r="BS5" s="35" t="s">
        <v>2402</v>
      </c>
      <c r="BT5" s="35" t="s">
        <v>2405</v>
      </c>
      <c r="BU5" s="35" t="s">
        <v>2409</v>
      </c>
      <c r="BV5" s="35" t="s">
        <v>2412</v>
      </c>
      <c r="BW5" s="35" t="s">
        <v>2416</v>
      </c>
      <c r="BX5" s="35" t="s">
        <v>2419</v>
      </c>
      <c r="BY5" s="35" t="s">
        <v>2423</v>
      </c>
      <c r="BZ5" s="35" t="s">
        <v>2427</v>
      </c>
      <c r="CA5" s="35" t="s">
        <v>2431</v>
      </c>
      <c r="CB5" s="35" t="s">
        <v>2435</v>
      </c>
      <c r="CC5" s="35" t="s">
        <v>2438</v>
      </c>
      <c r="CD5" s="35" t="s">
        <v>2441</v>
      </c>
      <c r="CE5" s="35" t="s">
        <v>2444</v>
      </c>
      <c r="CF5" s="35" t="s">
        <v>2447</v>
      </c>
      <c r="CG5" s="35" t="s">
        <v>2450</v>
      </c>
      <c r="CH5" s="35" t="s">
        <v>2453</v>
      </c>
      <c r="CI5" s="35" t="s">
        <v>2456</v>
      </c>
      <c r="CJ5" s="35" t="s">
        <v>2460</v>
      </c>
      <c r="CK5" s="35" t="s">
        <v>2463</v>
      </c>
      <c r="CL5" s="35" t="s">
        <v>2466</v>
      </c>
      <c r="CM5" s="35" t="s">
        <v>2469</v>
      </c>
      <c r="CN5" s="35" t="s">
        <v>2472</v>
      </c>
      <c r="CO5" s="35" t="s">
        <v>2476</v>
      </c>
    </row>
    <row r="6" spans="1:93" ht="50" customHeight="1">
      <c r="B6" s="35" t="s">
        <v>67</v>
      </c>
      <c r="C6" s="35" t="s">
        <v>67</v>
      </c>
      <c r="D6" s="36" t="s">
        <v>2232</v>
      </c>
      <c r="E6" s="35" t="s">
        <v>67</v>
      </c>
      <c r="F6" s="35" t="s">
        <v>67</v>
      </c>
      <c r="G6" s="35" t="s">
        <v>67</v>
      </c>
      <c r="H6" s="35" t="s">
        <v>67</v>
      </c>
      <c r="I6" s="35" t="s">
        <v>67</v>
      </c>
      <c r="J6" s="36" t="s">
        <v>2232</v>
      </c>
      <c r="K6" s="35" t="s">
        <v>67</v>
      </c>
      <c r="L6" s="36" t="s">
        <v>2232</v>
      </c>
      <c r="M6" s="35" t="s">
        <v>67</v>
      </c>
      <c r="N6" s="36" t="s">
        <v>2232</v>
      </c>
      <c r="O6" s="35" t="s">
        <v>67</v>
      </c>
      <c r="P6" s="36" t="s">
        <v>2232</v>
      </c>
      <c r="Q6" s="35" t="s">
        <v>67</v>
      </c>
      <c r="R6" s="35" t="s">
        <v>2267</v>
      </c>
      <c r="S6" s="35" t="s">
        <v>2267</v>
      </c>
      <c r="T6" s="35" t="s">
        <v>2267</v>
      </c>
      <c r="U6" s="35" t="s">
        <v>2267</v>
      </c>
      <c r="V6" s="35" t="s">
        <v>67</v>
      </c>
      <c r="W6" s="35" t="s">
        <v>67</v>
      </c>
      <c r="X6" s="35" t="s">
        <v>67</v>
      </c>
      <c r="Y6" s="35" t="s">
        <v>67</v>
      </c>
      <c r="Z6" s="35" t="s">
        <v>67</v>
      </c>
      <c r="AA6" s="35" t="s">
        <v>67</v>
      </c>
      <c r="AB6" s="35" t="s">
        <v>2290</v>
      </c>
      <c r="AC6" s="35" t="s">
        <v>2290</v>
      </c>
      <c r="AD6" s="35" t="s">
        <v>2290</v>
      </c>
      <c r="AE6" s="35" t="s">
        <v>2267</v>
      </c>
      <c r="AF6" s="36" t="s">
        <v>2232</v>
      </c>
      <c r="AG6" s="36" t="s">
        <v>2232</v>
      </c>
      <c r="AH6" s="36" t="s">
        <v>2232</v>
      </c>
      <c r="AI6" s="36" t="s">
        <v>2232</v>
      </c>
      <c r="AJ6" s="35" t="s">
        <v>67</v>
      </c>
      <c r="AK6" s="35" t="s">
        <v>77</v>
      </c>
      <c r="AL6" s="35" t="s">
        <v>77</v>
      </c>
      <c r="AM6" s="35" t="s">
        <v>2267</v>
      </c>
      <c r="AN6" s="35" t="s">
        <v>2267</v>
      </c>
      <c r="AO6" s="35" t="s">
        <v>2267</v>
      </c>
      <c r="AP6" s="35" t="s">
        <v>2267</v>
      </c>
      <c r="AQ6" s="35" t="s">
        <v>67</v>
      </c>
      <c r="AR6" s="35" t="s">
        <v>67</v>
      </c>
      <c r="AS6" s="35" t="s">
        <v>67</v>
      </c>
      <c r="AT6" s="35" t="s">
        <v>67</v>
      </c>
      <c r="AU6" s="35" t="s">
        <v>67</v>
      </c>
      <c r="AV6" s="35" t="s">
        <v>67</v>
      </c>
      <c r="AW6" s="35" t="s">
        <v>67</v>
      </c>
      <c r="AX6" s="36" t="s">
        <v>2349</v>
      </c>
      <c r="AY6" s="36" t="s">
        <v>3108</v>
      </c>
      <c r="AZ6" s="36" t="s">
        <v>2232</v>
      </c>
      <c r="BA6" s="35" t="s">
        <v>67</v>
      </c>
      <c r="BB6" s="36" t="s">
        <v>2349</v>
      </c>
      <c r="BC6" s="36" t="s">
        <v>3108</v>
      </c>
      <c r="BD6" s="36" t="s">
        <v>2232</v>
      </c>
      <c r="BE6" s="35" t="s">
        <v>67</v>
      </c>
      <c r="BF6" s="36" t="s">
        <v>2349</v>
      </c>
      <c r="BG6" s="36" t="s">
        <v>3108</v>
      </c>
      <c r="BH6" s="36" t="s">
        <v>2232</v>
      </c>
      <c r="BI6" s="36" t="s">
        <v>2232</v>
      </c>
      <c r="BJ6" s="36" t="s">
        <v>2371</v>
      </c>
      <c r="BK6" s="36" t="s">
        <v>2232</v>
      </c>
      <c r="BL6" s="36" t="s">
        <v>3358</v>
      </c>
      <c r="BM6" s="36" t="s">
        <v>2382</v>
      </c>
      <c r="BN6" s="35" t="s">
        <v>77</v>
      </c>
      <c r="BO6" s="36" t="s">
        <v>2389</v>
      </c>
      <c r="BP6" s="36" t="s">
        <v>2232</v>
      </c>
      <c r="BQ6" s="36" t="s">
        <v>2396</v>
      </c>
      <c r="BR6" s="35" t="s">
        <v>77</v>
      </c>
      <c r="BS6" s="36" t="s">
        <v>2232</v>
      </c>
      <c r="BT6" s="36" t="s">
        <v>2406</v>
      </c>
      <c r="BU6" s="36" t="s">
        <v>2410</v>
      </c>
      <c r="BV6" s="36" t="s">
        <v>2413</v>
      </c>
      <c r="BW6" s="35" t="s">
        <v>2290</v>
      </c>
      <c r="BX6" s="36" t="s">
        <v>2420</v>
      </c>
      <c r="BY6" s="36" t="s">
        <v>3645</v>
      </c>
      <c r="BZ6" s="36" t="s">
        <v>2428</v>
      </c>
      <c r="CA6" s="36" t="s">
        <v>2432</v>
      </c>
      <c r="CB6" s="35" t="s">
        <v>2267</v>
      </c>
      <c r="CC6" s="35" t="s">
        <v>2267</v>
      </c>
      <c r="CD6" s="35" t="s">
        <v>77</v>
      </c>
      <c r="CE6" s="36" t="s">
        <v>2232</v>
      </c>
      <c r="CF6" s="36" t="s">
        <v>2232</v>
      </c>
      <c r="CG6" s="36" t="s">
        <v>2232</v>
      </c>
      <c r="CH6" s="35" t="s">
        <v>77</v>
      </c>
      <c r="CI6" s="36" t="s">
        <v>2457</v>
      </c>
      <c r="CJ6" s="36" t="s">
        <v>2232</v>
      </c>
      <c r="CK6" s="35" t="s">
        <v>77</v>
      </c>
      <c r="CL6" s="35" t="s">
        <v>77</v>
      </c>
      <c r="CM6" s="36" t="s">
        <v>2232</v>
      </c>
      <c r="CN6" s="36" t="s">
        <v>2473</v>
      </c>
      <c r="CO6" s="36" t="s">
        <v>2232</v>
      </c>
    </row>
    <row r="7" spans="1:93">
      <c r="B7" s="37" t="s">
        <v>2224</v>
      </c>
      <c r="C7" s="37" t="s">
        <v>2228</v>
      </c>
      <c r="D7" s="38"/>
      <c r="E7" s="37" t="s">
        <v>2228</v>
      </c>
      <c r="F7" s="37" t="s">
        <v>2228</v>
      </c>
      <c r="G7" s="37" t="s">
        <v>2228</v>
      </c>
      <c r="H7" s="38"/>
      <c r="I7" s="37" t="s">
        <v>2228</v>
      </c>
      <c r="J7" s="37" t="s">
        <v>2228</v>
      </c>
      <c r="K7" s="37" t="s">
        <v>2228</v>
      </c>
      <c r="L7" s="37" t="s">
        <v>2228</v>
      </c>
      <c r="M7" s="37" t="s">
        <v>2228</v>
      </c>
      <c r="N7" s="37" t="s">
        <v>2228</v>
      </c>
      <c r="O7" s="37" t="s">
        <v>2228</v>
      </c>
      <c r="P7" s="37" t="s">
        <v>2228</v>
      </c>
      <c r="Q7" s="37" t="s">
        <v>2228</v>
      </c>
      <c r="R7" s="37" t="s">
        <v>2228</v>
      </c>
      <c r="S7" s="38"/>
      <c r="T7" s="38"/>
      <c r="U7" s="38"/>
      <c r="V7" s="38"/>
      <c r="W7" s="38"/>
      <c r="X7" s="38"/>
      <c r="Y7" s="38"/>
      <c r="Z7" s="38"/>
      <c r="AA7" s="38"/>
      <c r="AB7" s="38"/>
      <c r="AC7" s="38"/>
      <c r="AD7" s="38"/>
      <c r="AE7" s="38"/>
      <c r="AF7" s="38"/>
      <c r="AG7" s="38"/>
      <c r="AH7" s="38"/>
      <c r="AI7" s="38"/>
      <c r="AJ7" s="38"/>
      <c r="AK7" s="38"/>
      <c r="AL7" s="38"/>
      <c r="AM7" s="38"/>
      <c r="AN7" s="38"/>
      <c r="AO7" s="38"/>
      <c r="AP7" s="38"/>
      <c r="AQ7" s="37" t="s">
        <v>2228</v>
      </c>
      <c r="AR7" s="37" t="s">
        <v>2228</v>
      </c>
      <c r="AS7" s="37" t="s">
        <v>2228</v>
      </c>
      <c r="AT7" s="37" t="s">
        <v>2228</v>
      </c>
      <c r="AU7" s="37" t="s">
        <v>2228</v>
      </c>
      <c r="AV7" s="37" t="s">
        <v>2228</v>
      </c>
      <c r="AW7" s="38"/>
      <c r="AX7" s="38"/>
      <c r="AY7" s="38"/>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c r="CM7" s="38"/>
      <c r="CN7" s="38"/>
      <c r="CO7" s="38"/>
    </row>
    <row r="8" spans="1:93">
      <c r="A8" cm="1">
        <f t="array" ref="A8">_xlfn.BYROW(B8:CP507, _xlfn.LAMBDA(_xlpm.r, _xlfn.LET(_xlpm.high_priority, IFERROR(INDEX(_xlpm.r, MATCH(TRUE, (_xlpm.r &lt;&gt; "") * ((LEFT(_xlpm.r, 2) = "1:") + (LEFT(_xlpm.r, 2) = "3:")) &gt; 0, 0)), ""), IF(_xlpm.high_priority &lt;&gt; "", _xlpm.high_priority, IFERROR(INDEX(_xlpm.r, MATCH(TRUE, (_xlpm.r &lt;&gt; "") * (LEFT(_xlpm.r, 2) = "4:") &gt; 0, 0)), "")))))</f>
        <v>0</v>
      </c>
      <c r="B8" s="22" cm="1">
        <f t="array" ref="B8">_xlfn.MAP('3757 - Wall Stickers'!B8:B507, '3757 - Wall Stickers'!B8:B507,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IF(OR('3757 - Wall Stickers'!B$7 = "", '3757 - Wall Stickers'!B$7 = "N/A"), "3:Supplier Part Number - Value is required", ""), ""))))))))</f>
        <v>0</v>
      </c>
      <c r="C8" s="22" cm="1">
        <f t="array" ref="C8">_xlfn.MAP('3757 - Wall Stickers'!B8:B507, '3757 - Wall Stickers'!C8:C507, _xlfn.LAMBDA(_xlpm.part, _xlpm.val, IF(_xlpm.part = "", "", IF(AND(_xlpm.val = "", C$3="Required"), IF(OR('3757 - Wall Stickers'!C$7 = "", '3757 - Wall Stickers'!C$7 = "N/A"), "3:Amazon Seller SKU - Value is required", ""), ""))))</f>
        <v>0</v>
      </c>
      <c r="D8" s="22" cm="1">
        <f t="array" ref="D8">_xlfn.MAP('3757 - Wall Stickers'!B8:B507, '3757 - Wall Stickers'!D8:D507, '3757 - Wall Stickers'!J8:J507, _xlfn.LAMBDA(_xlpm.part, _xlpm.val, _xlpm.dep1, IF(_xlpm.part = "", "", _xlfn.LET(_xlpm.check1, IF(AND(_xlpm.val = "", _xlpm.dep1 = "NON-PRIMARY VARIANT"), "2:Autofill", ""), IF(LEN(_xlpm.check1) &gt; 0, _xlpm.check1, IF(AND(_xlpm.val = "", D$3="Required"), IF(OR('3757 - Wall Stickers'!D$7 = "", '3757 - Wall Stickers'!D$7 = "N/A"), "3:Brand - Value is required", ""), ""))))))</f>
        <v>0</v>
      </c>
      <c r="E8" s="22" cm="1">
        <f t="array" ref="E8">_xlfn.MAP('3757 - Wall Stickers'!B8:B507, '3757 - Wall Stickers'!E8:E507, _xlfn.LAMBDA(_xlpm.part, _xlpm.val, IF(_xlpm.part = "", "", _xlfn.LET(_xlpm.check1, IF(OR(ISNUMBER(SEARCH({","}, _xlpm.val))), "1:Please enter a single value with no commas for the Manufacturer Part Number column", ""), IF(LEN(_xlpm.check1) &gt; 0, _xlpm.check1, _xlfn.LET(_xlpm.check2, IF(OR(ISNUMBER(SEARCH({"&lt;","&gt;","^","Ø","•","‣","⁃","⁌","™","∙","⌀","◦"}, _xlpm.val))), "1:Manufacturer Part Number cannot contain special characters ([™Ø⌀•‣◦⁃⁌⁍∙&lt;&gt;])", ""), IF(LEN(_xlpm.check2) &gt; 0, _xlpm.check2, _xlfn.LET(_xlpm.check3, IF(AND(_xlpm.val &lt;&gt; "" ,LEN(_xlpm.val)&gt;64), "1:Manufacturer Part Number should not be more than 64 characters", ""), IF(LEN(_xlpm.check3) &gt; 0, _xlpm.check3, IF(AND(_xlpm.val = "", E$3="Required"), IF(OR('3757 - Wall Stickers'!E$7 = "", '3757 - Wall Stickers'!E$7 = "N/A"), "3:Manufacturer Part Number - Value is required", ""), ""))))))))))</f>
        <v>0</v>
      </c>
      <c r="F8" s="22" cm="1">
        <f t="array" ref="F8">_xlfn.MAP('3757 - Wall Stickers'!B8:B507, '3757 - Wall Stickers'!F8:F507, _xlfn.LAMBDA(_xlpm.part, _xlpm.val, IF(_xlpm.part = "", "", _xlfn.LET(_xlpm.check1, IF(OR(ISNUMBER(SEARCH({"&lt;","&gt;","^","Ø","•","‣","⁃","⁌","™","∙","⌀","◦"}, _xlpm.val))), "1:Universal Product Code cannot contain special characters ([™Ø⌀•‣◦⁃⁌⁍∙&lt;&gt;])", ""), IF(LEN(_xlpm.check1) &gt; 0, _xlpm.check1, _xlfn.LET(_xlpm.check2, IF(AND(_xlpm.val &lt;&gt; "" ,NOT(OR(LEN(_xlpm.val)=8,LEN(_xlpm.val)=12,LEN(_xlpm.val)=13,LEN(_xlpm.val)=14))), "1:The UPC provided is invalid. UPCs must be 8, 12, 13, or 14 digits long and contain only numbers.", ""), IF(LEN(_xlpm.check2) &gt; 0, _xlpm.check2, IF(AND(_xlpm.val = "", F$3="Required"), IF(OR('3757 - Wall Stickers'!F$7 = "", '3757 - Wall Stickers'!F$7 = "N/A"), "3:Universal Product Code - Value is required", ""), ""))))))))</f>
        <v>0</v>
      </c>
      <c r="G8" s="22" cm="1">
        <f t="array" ref="G8">_xlfn.MAP('3757 - Wall Stickers'!B8:B507, '3757 - Wall Stickers'!G8:G507, _xlfn.LAMBDA(_xlpm.part, _xlpm.val, IF(_xlpm.part = "", "", _xlfn.LET(_xlpm.check1, IF(OR(ISNUMBER(SEARCH({"&lt;","&gt;","^","Ø","•","‣","⁃","⁌","™","∙","⌀","◦"}, _xlpm.val))), "1:Product name cannot contain special characters ([™Ø⌀•‣◦⁃⁌⁍∙&lt;&gt;])", ""), IF(LEN(_xlpm.check1) &gt; 0, _xlpm.check1, IF(AND(_xlpm.val = "", G$3="Required"), IF(OR('3757 - Wall Stickers'!G$7 = "", '3757 - Wall Stickers'!G$7 = "N/A"), "3:Product Name - Value is required", ""), ""))))))</f>
        <v>0</v>
      </c>
      <c r="H8" s="22" cm="1">
        <f t="array" ref="H8">_xlfn.MAP('3757 - Wall Stickers'!B8:B507, '3757 - Wall Stickers'!H8:H507, '3757 - Wall Stickers'!J8:J507, _xlfn.LAMBDA(_xlpm.part, _xlpm.val, _xlpm.dep1, IF(_xlpm.part = "", "", _xlfn.LET(_xlpm.check1, IF(AND(_xlpm.val = "", _xlpm.dep1 = "NON-PRIMARY VARIANT"), "2:Autofill", ""), IF(LEN(_xlpm.check1) &gt; 0, _xlpm.check1, IF(AND(_xlpm.val = "", H$3="Required"), IF(OR('3757 - Wall Stickers'!H$7 = "", '3757 - Wall Stickers'!H$7 = "N/A"), "3:Collection Name - Value is required", ""), ""))))))</f>
        <v>0</v>
      </c>
      <c r="I8" s="22" cm="1">
        <f t="array" ref="I8">_xlfn.MAP('3757 - Wall Stickers'!B8:B507, '3757 - Wall Stickers'!I8:I507, _xlfn.LAMBDA(_xlpm.part, _xlpm.val, IF(_xlpm.part = "", "", IF(AND(_xlpm.val = "", I$3="Required"), IF(OR('3757 - Wall Stickers'!I$7 = "", '3757 - Wall Stickers'!I$7 = "N/A"), "3:Manufacturer Product URL - Value is required", ""), ""))))</f>
        <v>0</v>
      </c>
      <c r="J8" s="22" cm="1">
        <f t="array" ref="J8">_xlfn.MAP('3757 - Wall Stickers'!B8:B507, '3757 - Wall Stickers'!J8:J507, _xlfn.LAMBDA(_xlpm.part, _xlpm.val, IF(_xlpm.part = "", "", IF(AND(_xlpm.val = "", J$3="Required"), IF(OR('3757 - Wall Stickers'!J$7 = "", '3757 - Wall Stickers'!J$7 = "N/A"), "3:Variant Type - Value is required", ""), ""))))</f>
        <v>0</v>
      </c>
      <c r="K8" s="22" cm="1">
        <f t="array" ref="K8">_xlfn.MAP('3757 - Wall Stickers'!B8:B507, '3757 - Wall Stickers'!K8:K507, '3757 - Wall Stickers'!J8:J507, _xlfn.LAMBDA(_xlpm.part, _xlpm.val, _xlpm.dep1, IF(_xlpm.part = "", "", _xlfn.LET(_xlpm.check1, IF(OR(_xlpm.dep1 = "NOT VARIANT", _xlpm.dep1 = ""), IF(_xlpm.val = "", "2:Disable", "1:Variant fields are not accepted when Variant Type is 'Not Variant' or blank. Please remove variant data or set a valid Variant Type."), ""), IF(LEN(_xlpm.check1) &gt; 0, _xlpm.check1, _xlfn.LET(_xlpm.check2, IF(AND(_xlpm.val = "", K$3="Required"), IF(OR('3757 - Wall Stickers'!K$7 = "", '3757 - Wall Stickers'!K$7 = "N/A"), "3:Group Reference ID - Value is required", ""), ""), IF(LEN(_xlpm.check2) &gt; 0, _xlpm.check2, _xlfn.LET(_xlpm.check3, IF(_xlpm.dep1 = "PRIMARY VARIANT", IF(_xlpm.val = "", IF(OR('3757 - Wall Stickers'!K$7 = "", '3757 - Wall Stickers'!K$7 = "N/A"), "3:Variant Group Reference Id is required for primary-variant", ""), ""), ""), IF(LEN(_xlpm.check3) &gt; 0, _xlpm.check3, IF(_xlpm.dep1 = "NON-PRIMARY VARIANT", IF(_xlpm.val = "", IF(OR('3757 - Wall Stickers'!K$7 = "", '3757 - Wall Stickers'!K$7 = "N/A"), "3:Variant Group Reference Id is required for non-primary variant", ""), ""), ""))))))))))</f>
        <v>0</v>
      </c>
      <c r="L8" s="22" cm="1">
        <f t="array" ref="L8">_xlfn.MAP('3757 - Wall Stickers'!B8:B507, '3757 - Wall Stickers'!L8:L507, '3757 - Wall Stickers'!J8:J507, _xlfn.LAMBDA(_xlpm.part, _xlpm.val, _xlpm.dep1, IF(_xlpm.part = "", "", _xlfn.LET(_xlpm.check1, IF(AND(_xlpm.val = "", _xlpm.dep1 = "NON-PRIMARY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L$3="Required"), IF(OR('3757 - Wall Stickers'!L$7 = "", '3757 - Wall Stickers'!L$7 = "N/A"), "3:Variant Grouping - Value is required", ""), ""), IF(LEN(_xlpm.check3) &gt; 0, _xlpm.check3, IF(_xlpm.dep1 = "PRIMARY VARIANT", IF(_xlpm.val = "", IF(OR('3757 - Wall Stickers'!L$7 = "", '3757 - Wall Stickers'!L$7 = "N/A"), "3:Variant grouping value must be specified for primary variant", ""), ""), ""))))))))))</f>
        <v>0</v>
      </c>
      <c r="M8" s="22" cm="1">
        <f t="array" ref="M8">_xlfn.MAP('3757 - Wall Stickers'!B8:B507, '3757 - Wall Stickers'!M8:M507, '3757 - Wall Stickers'!J8:J507, '3757 - Wall Stickers'!L8:L507, _xlfn.LAMBDA(_xlpm.part, _xlpm.val, _xlpm.dep1, _xlpm.dep2, IF(_xlpm.part = "", "", _xlfn.LET(_xlpm.check1, IF(AND(_xlpm.val = "", OR(AND(OR(_xlpm.dep2 = "Color", _xlpm.dep2 = "Size"), _xlpm.dep1 &lt;&gt; "NOT VARIANT"), AND(_xlpm.dep2 = "Color", _xlpm.dep1 &lt;&gt; "NOT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M$3="Required"), IF(OR('3757 - Wall Stickers'!M$7 = "", '3757 - Wall Stickers'!M$7 = "N/A"), "3:Variant Attribute Name On Site - Value is required", ""), ""), IF(LEN(_xlpm.check3) &gt; 0, _xlpm.check3, _xlfn.LET(_xlpm.check4, IF(AND(_xlpm.dep2 &lt;&gt; "", _xlpm.dep2 &lt;&gt; "Color", _xlpm.dep2 &lt;&gt; "Size"), IF(_xlpm.val = "", IF(OR('3757 - Wall Stickers'!M$7 = "", '3757 - Wall Stickers'!M$7 = "N/A"), "3:Name on site is required when variant grouping value is provided", ""), ""), ""), IF(LEN(_xlpm.check4) &gt; 0, _xlpm.check4, IF(AND(_xlpm.dep2 &lt;&gt; "", _xlpm.dep2 &lt;&gt; "Color"), IF(_xlpm.val = "", IF(OR('3757 - Wall Stickers'!M$7 = "", '3757 - Wall Stickers'!M$7 = "N/A"), "3:Name on site is required when variant grouping value is provided", ""), ""), ""))))))))))))</f>
        <v>0</v>
      </c>
      <c r="N8" s="22" cm="1">
        <f t="array" ref="N8">_xlfn.MAP('3757 - Wall Stickers'!B8:B507, '3757 - Wall Stickers'!N8:N507, '3757 - Wall Stickers'!J8:J507, _xlfn.LAMBDA(_xlpm.part, _xlpm.val, _xlpm.dep1, IF(_xlpm.part = "", "", _xlfn.LET(_xlpm.check1, IF(AND(_xlpm.val = "", _xlpm.dep1 = "NON-PRIMARY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IF(AND(_xlpm.val = "", N$3="Required"), IF(OR('3757 - Wall Stickers'!N$7 = "", '3757 - Wall Stickers'!N$7 = "N/A"), "3:Variant Grouping - Value is required", ""), ""))))))))</f>
        <v>0</v>
      </c>
      <c r="O8" s="22" cm="1">
        <f t="array" ref="O8">_xlfn.MAP('3757 - Wall Stickers'!B8:B507, '3757 - Wall Stickers'!O8:O507, '3757 - Wall Stickers'!J8:J507, '3757 - Wall Stickers'!N8:N507, _xlfn.LAMBDA(_xlpm.part, _xlpm.val, _xlpm.dep1, _xlpm.dep2, IF(_xlpm.part = "", "", _xlfn.LET(_xlpm.check1, IF(AND(_xlpm.val = "", OR(AND(OR(_xlpm.dep2 = "Color", _xlpm.dep2 = "Size"), _xlpm.dep1 &lt;&gt; "NOT VARIANT"), AND(_xlpm.dep2 = "Color", _xlpm.dep1 &lt;&gt; "NOT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O$3="Required"), IF(OR('3757 - Wall Stickers'!O$7 = "", '3757 - Wall Stickers'!O$7 = "N/A"), "3:Variant Attribute Name On Site - Value is required", ""), ""), IF(LEN(_xlpm.check3) &gt; 0, _xlpm.check3, _xlfn.LET(_xlpm.check4, IF(AND(_xlpm.dep2 &lt;&gt; "", _xlpm.dep2 &lt;&gt; "Color", _xlpm.dep2 &lt;&gt; "Size"), IF(_xlpm.val = "", IF(OR('3757 - Wall Stickers'!O$7 = "", '3757 - Wall Stickers'!O$7 = "N/A"), "3:Name on site is required when variant grouping value is provided", ""), ""), ""), IF(LEN(_xlpm.check4) &gt; 0, _xlpm.check4, IF(AND(_xlpm.dep2 &lt;&gt; "", _xlpm.dep2 &lt;&gt; "Color"), IF(_xlpm.val = "", IF(OR('3757 - Wall Stickers'!O$7 = "", '3757 - Wall Stickers'!O$7 = "N/A"), "3:Name on site is required when variant grouping value is provided", ""), ""), ""))))))))))))</f>
        <v>0</v>
      </c>
      <c r="P8" s="22" cm="1">
        <f t="array" ref="P8">_xlfn.MAP('3757 - Wall Stickers'!B8:B507, '3757 - Wall Stickers'!P8:P507, '3757 - Wall Stickers'!J8:J507, _xlfn.LAMBDA(_xlpm.part, _xlpm.val, _xlpm.dep1, IF(_xlpm.part = "", "", _xlfn.LET(_xlpm.check1, IF(AND(_xlpm.val = "", _xlpm.dep1 = "NON-PRIMARY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IF(AND(_xlpm.val = "", P$3="Required"), IF(OR('3757 - Wall Stickers'!P$7 = "", '3757 - Wall Stickers'!P$7 = "N/A"), "3:Variant Grouping - Value is required", ""), ""))))))))</f>
        <v>0</v>
      </c>
      <c r="Q8" s="22" cm="1">
        <f t="array" ref="Q8">_xlfn.MAP('3757 - Wall Stickers'!B8:B507, '3757 - Wall Stickers'!Q8:Q507, '3757 - Wall Stickers'!J8:J507, '3757 - Wall Stickers'!P8:P507, _xlfn.LAMBDA(_xlpm.part, _xlpm.val, _xlpm.dep1, _xlpm.dep2, IF(_xlpm.part = "", "", _xlfn.LET(_xlpm.check1, IF(AND(_xlpm.val = "", OR(AND(OR(_xlpm.dep2 = "Color", _xlpm.dep2 = "Size"), _xlpm.dep1 &lt;&gt; "NOT VARIANT"), AND(_xlpm.dep2 = "Color", _xlpm.dep1 &lt;&gt; "NOT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Q$3="Required"), IF(OR('3757 - Wall Stickers'!Q$7 = "", '3757 - Wall Stickers'!Q$7 = "N/A"), "3:Variant Attribute Name On Site - Value is required", ""), ""), IF(LEN(_xlpm.check3) &gt; 0, _xlpm.check3, _xlfn.LET(_xlpm.check4, IF(AND(_xlpm.dep2 &lt;&gt; "", _xlpm.dep2 &lt;&gt; "Color", _xlpm.dep2 &lt;&gt; "Size"), IF(_xlpm.val = "", IF(OR('3757 - Wall Stickers'!Q$7 = "", '3757 - Wall Stickers'!Q$7 = "N/A"), "3:Name on site is required when variant grouping value is provided", ""), ""), ""), IF(LEN(_xlpm.check4) &gt; 0, _xlpm.check4, IF(AND(_xlpm.dep2 &lt;&gt; "", _xlpm.dep2 &lt;&gt; "Color"), IF(_xlpm.val = "", IF(OR('3757 - Wall Stickers'!Q$7 = "", '3757 - Wall Stickers'!Q$7 = "N/A"), "3:Name on site is required when variant grouping value is provided", ""), ""), ""))))))))))))</f>
        <v>0</v>
      </c>
      <c r="R8" s="22" cm="1">
        <f t="array" ref="R8">_xlfn.MAP('3757 - Wall Stickers'!B8:B507, '3757 - Wall Stickers'!R8:R507, _xlfn.LAMBDA(_xlpm.part, _xlpm.val, IF(_xlpm.part = "", "", _xlfn.LET(_xlpm.check1, IF(AND(NOT(ISBLANK(_xlpm.val)),OR(NOT(ISNUMBER(IFERROR(VALUE(_xlpm.val), ""))), IFERROR(VALUE(_xlpm.val), -1) &lt; 0)), "1:Base Cost - Value should be numeric", ""), IF(LEN(_xlpm.check1) &gt; 0, _xlpm.check1, IF(AND(_xlpm.val = "", R$3="Required"), IF(OR('3757 - Wall Stickers'!R$7 = "", '3757 - Wall Stickers'!R$7 = "N/A"), "3:Base Cost - Value is required", ""), ""))))))</f>
        <v>0</v>
      </c>
      <c r="S8" s="22" cm="1">
        <f t="array" ref="S8">_xlfn.MAP('3757 - Wall Stickers'!B8:B507, '3757 - Wall Stickers'!S8:S507, _xlfn.LAMBDA(_xlpm.part, _xlpm.val, IF(_xlpm.part = "", "", _xlfn.LET(_xlpm.check1, IF(AND(NOT(ISBLANK(_xlpm.val)),OR(NOT(ISNUMBER(IFERROR(VALUE(_xlpm.val), ""))), IFERROR(VALUE(_xlpm.val), -1) &lt; 0)), "1:Minimum Advertised Price - Value should be numeric", ""), IF(LEN(_xlpm.check1) &gt; 0, _xlpm.check1, IF(AND(_xlpm.val = "", S$3="Required"), IF(OR('3757 - Wall Stickers'!S$7 = "", '3757 - Wall Stickers'!S$7 = "N/A"), "3:Minimum Advertised Price - Value is required", ""), ""))))))</f>
        <v>0</v>
      </c>
      <c r="T8" s="22" cm="1">
        <f t="array" ref="T8">_xlfn.MAP('3757 - Wall Stickers'!B8:B507, '3757 - Wall Stickers'!T8:T507, _xlfn.LAMBDA(_xlpm.part, _xlpm.val, IF(_xlpm.part = "", "", _xlfn.LET(_xlpm.check1, IF(AND(NOT(ISBLANK(_xlpm.val)),OR(NOT(ISNUMBER(IFERROR(VALUE(_xlpm.val), ""))), IFERROR(VALUE(_xlpm.val), -1) &lt; 0)), "1:Manufacturer Suggested Retail Price - Value should be numeric", ""), IF(LEN(_xlpm.check1) &gt; 0, _xlpm.check1, IF(AND(_xlpm.val = "", T$3="Required"), IF(OR('3757 - Wall Stickers'!T$7 = "", '3757 - Wall Stickers'!T$7 = "N/A"), "3:Manufacturer Suggested Retail Price - Value is required", ""), ""))))))</f>
        <v>0</v>
      </c>
      <c r="U8" s="22" cm="1">
        <f t="array" ref="U8">_xlfn.MAP('3757 - Wall Stickers'!B8:B507, '3757 - Wall Stickers'!U8:U507, _xlfn.LAMBDA(_xlpm.part, _xlpm.val, IF(_xlpm.part = "", "", _xlfn.LET(_xlpm.check1, IF(AND(NOT(ISBLANK(_xlpm.val)),OR(NOT(ISNUMBER(IFERROR(VALUE(_xlpm.val), ""))), IFERROR(VALUE(_xlpm.val), -1) &lt; 0)), "1:Everyday B2B Discount Rate - Value should be numeric", ""), IF(LEN(_xlpm.check1) &gt; 0, _xlpm.check1, IF(AND(_xlpm.val = "", U$3="Required"), IF(OR('3757 - Wall Stickers'!U$7 = "", '3757 - Wall Stickers'!U$7 = "N/A"), "3:Everyday B2B Discount Rate - Value is required", ""), ""))))))</f>
        <v>0</v>
      </c>
      <c r="V8" s="22" cm="1">
        <f t="array" ref="V8">_xlfn.MAP('3757 - Wall Stickers'!B8:B507, '3757 - Wall Stickers'!V8:V507, '3757 - Wall Stickers'!J8:J507, '3757 - Wall Stickers'!W8:W507, '3757 - Wall Stickers'!X8:X507, '3757 - Wall Stickers'!Y8:Y507, _xlfn.LAMBDA(_xlpm.part, _xlpm.val, _xlpm.dep1, _xlpm.dep2, _xlpm.dep3, _xlpm.dep4, IF(_xlpm.part = "", "", _xlfn.LET(_xlpm.check1, IF(AND(_xlpm.val = "", _xlpm.dep1 = "NON-PRIMARY VARIANT"), "2:Autofill", ""), IF(LEN(_xlpm.check1) &gt; 0, _xlpm.check1, _xlfn.LET(_xlpm.check2, IF(OR(ISNUMBER(SEARCH({"&lt;","&gt;","^","Ø","•","‣","⁃","⁌","™","∙","⌀","◦"}, _xlpm.val))), "1:Marketing Copy cannot contain special characters ([™Ø⌀•‣◦⁃⁌⁍∙&lt;&gt;])", ""), IF(LEN(_xlpm.check2) &gt; 0, _xlpm.check2, _xlfn.LET(_xlpm.check3, IF(AND(_xlpm.val &lt;&gt; "", LEN(_xlpm.val) &lt; 16), "1:Marketing Copy should be more than 15 characters", ""), IF(LEN(_xlpm.check3) &gt; 0, _xlpm.check3, _xlfn.LET(_xlpm.check4, IF(AND(_xlpm.val = "", V$3="Required"), IF(OR('3757 - Wall Stickers'!V$7 = "", '3757 - Wall Stickers'!V$7 = "N/A"), "3:Marketing Copy - Value is required", ""), ""), IF(LEN(_xlpm.check4) &gt; 0, _xlpm.check4, IF(OR(_xlpm.dep2 = "", _xlpm.dep3 = "", _xlpm.dep4 = ""), IF(_xlpm.val = "", IF(OR('3757 - Wall Stickers'!V$7 = "", '3757 - Wall Stickers'!V$7 = "N/A"), "3:Either the Marketing Copy or at least three Feature Bullets are required for this part.", ""), ""), ""))))))))))))</f>
        <v>0</v>
      </c>
      <c r="W8" s="22" cm="1">
        <f t="array" ref="W8">_xlfn.MAP('3757 - Wall Stickers'!B8:B507, '3757 - Wall Stickers'!W8:W507, '3757 - Wall Stickers'!J8:J507, '3757 - Wall Stickers'!X8:X507, '3757 - Wall Stickers'!Y8:Y507, '3757 - Wall Stickers'!V8:V507, _xlfn.LAMBDA(_xlpm.part, _xlpm.val, _xlpm.dep1, _xlpm.dep2, _xlpm.dep3, _xlpm.dep4, IF(_xlpm.part = "", "", _xlfn.LET(_xlpm.check1, IF(AND(_xlpm.val = "", _xlpm.dep1 = "NON-PRIMARY VARIANT"), "2:Autofill", ""), IF(LEN(_xlpm.check1) &gt; 0, _xlpm.check1, _xlfn.LET(_xlpm.check2, IF(OR(ISNUMBER(SEARCH({"&lt;","&gt;","^","Ø","•","‣","⁃","⁌","™","∙","⌀","◦"}, _xlpm.val))), "1:Feature Bullet cannot contain special characters ([™Ø⌀•‣◦⁃⁌⁍∙&lt;&gt;])", ""), IF(LEN(_xlpm.check2) &gt; 0, _xlpm.check2, _xlfn.LET(_xlpm.check3, IF(AND(_xlpm.val = "", W$3="Required"), IF(OR('3757 - Wall Stickers'!W$7 = "", '3757 - Wall Stickers'!W$7 = "N/A"), "3:Feature Bullet - Value is required", ""), ""), IF(LEN(_xlpm.check3) &gt; 0, _xlpm.check3, _xlfn.LET(_xlpm.check4, IF(AND(AND(_xlpm.dep2 = "", _xlpm.dep3 = ""), _xlpm.dep4 = ""), IF(_xlpm.val = "", IF(OR('3757 - Wall Stickers'!W$7 = "", '3757 - Wall Stickers'!W$7 = "N/A"), "3:Either the Marketing Copy or at least three Feature Bullets are required for this part.", ""), ""), ""), IF(LEN(_xlpm.check4) &gt; 0, _xlpm.check4, IF(_xlpm.dep4 = "", IF(_xlpm.val = "", IF(OR('3757 - Wall Stickers'!W$7 = "", '3757 - Wall Stickers'!W$7 = "N/A"), "3:Three feature bullets must be filled", ""), ""), ""))))))))))))</f>
        <v>0</v>
      </c>
      <c r="X8" s="22" cm="1">
        <f t="array" ref="X8">_xlfn.MAP('3757 - Wall Stickers'!B8:B507, '3757 - Wall Stickers'!X8:X507, '3757 - Wall Stickers'!J8:J507, '3757 - Wall Stickers'!W8:W507, '3757 - Wall Stickers'!Y8:Y507, '3757 - Wall Stickers'!V8:V507, _xlfn.LAMBDA(_xlpm.part, _xlpm.val, _xlpm.dep1, _xlpm.dep2, _xlpm.dep3, _xlpm.dep4, IF(_xlpm.part = "", "", _xlfn.LET(_xlpm.check1, IF(AND(_xlpm.val = "", _xlpm.dep1 = "NON-PRIMARY VARIANT"), "2:Autofill", ""), IF(LEN(_xlpm.check1) &gt; 0, _xlpm.check1, _xlfn.LET(_xlpm.check2, IF(OR(ISNUMBER(SEARCH({"&lt;","&gt;","^","Ø","•","‣","⁃","⁌","™","∙","⌀","◦"}, _xlpm.val))), "1:Feature Bullet cannot contain special characters ([™Ø⌀•‣◦⁃⁌⁍∙&lt;&gt;])", ""), IF(LEN(_xlpm.check2) &gt; 0, _xlpm.check2, _xlfn.LET(_xlpm.check3, IF(AND(_xlpm.val = "", X$3="Required"), IF(OR('3757 - Wall Stickers'!X$7 = "", '3757 - Wall Stickers'!X$7 = "N/A"), "3:Feature Bullet - Value is required", ""), ""), IF(LEN(_xlpm.check3) &gt; 0, _xlpm.check3, _xlfn.LET(_xlpm.check4, IF(AND(AND(_xlpm.dep2 = "", _xlpm.dep3 = ""), _xlpm.dep4 = ""), IF(_xlpm.val = "", IF(OR('3757 - Wall Stickers'!X$7 = "", '3757 - Wall Stickers'!X$7 = "N/A"), "3:Either the Marketing Copy or at least three Feature Bullets are required for this part.", ""), ""), ""), IF(LEN(_xlpm.check4) &gt; 0, _xlpm.check4, IF(_xlpm.dep4 = "", IF(_xlpm.val = "", IF(OR('3757 - Wall Stickers'!X$7 = "", '3757 - Wall Stickers'!X$7 = "N/A"), "3:Three feature bullets must be filled", ""), ""), ""))))))))))))</f>
        <v>0</v>
      </c>
      <c r="Y8" s="22" cm="1">
        <f t="array" ref="Y8">_xlfn.MAP('3757 - Wall Stickers'!B8:B507, '3757 - Wall Stickers'!Y8:Y507, '3757 - Wall Stickers'!J8:J507, '3757 - Wall Stickers'!W8:W507, '3757 - Wall Stickers'!X8:X507, '3757 - Wall Stickers'!V8:V507, _xlfn.LAMBDA(_xlpm.part, _xlpm.val, _xlpm.dep1, _xlpm.dep2, _xlpm.dep3, _xlpm.dep4, IF(_xlpm.part = "", "", _xlfn.LET(_xlpm.check1, IF(AND(_xlpm.val = "", _xlpm.dep1 = "NON-PRIMARY VARIANT"), "2:Autofill", ""), IF(LEN(_xlpm.check1) &gt; 0, _xlpm.check1, _xlfn.LET(_xlpm.check2, IF(OR(ISNUMBER(SEARCH({"&lt;","&gt;","^","Ø","•","‣","⁃","⁌","™","∙","⌀","◦"}, _xlpm.val))), "1:Feature Bullet cannot contain special characters ([™Ø⌀•‣◦⁃⁌⁍∙&lt;&gt;])", ""), IF(LEN(_xlpm.check2) &gt; 0, _xlpm.check2, _xlfn.LET(_xlpm.check3, IF(AND(_xlpm.val = "", Y$3="Required"), IF(OR('3757 - Wall Stickers'!Y$7 = "", '3757 - Wall Stickers'!Y$7 = "N/A"), "3:Feature Bullet - Value is required", ""), ""), IF(LEN(_xlpm.check3) &gt; 0, _xlpm.check3, _xlfn.LET(_xlpm.check4, IF(AND(AND(_xlpm.dep2 = "", _xlpm.dep3 = ""), _xlpm.dep4 = ""), IF(_xlpm.val = "", IF(OR('3757 - Wall Stickers'!Y$7 = "", '3757 - Wall Stickers'!Y$7 = "N/A"), "3:Either the Marketing Copy or at least three Feature Bullets are required for this part.", ""), ""), ""), IF(LEN(_xlpm.check4) &gt; 0, _xlpm.check4, IF(_xlpm.dep4 = "", IF(_xlpm.val = "", IF(OR('3757 - Wall Stickers'!Y$7 = "", '3757 - Wall Stickers'!Y$7 = "N/A"), "3:Three feature bullets must be filled", ""), ""), ""))))))))))))</f>
        <v>0</v>
      </c>
      <c r="Z8" s="22" cm="1">
        <f t="array" ref="Z8">_xlfn.MAP('3757 - Wall Stickers'!B8:B507, '3757 - Wall Stickers'!Z8:Z507, '3757 - Wall Stickers'!J8:J507, _xlfn.LAMBDA(_xlpm.part, _xlpm.val, _xlpm.dep1, IF(_xlpm.part = "", "", _xlfn.LET(_xlpm.check1, IF(AND(_xlpm.val = "", _xlpm.dep1 = "NON-PRIMARY VARIANT"), "2:Autofill", ""), IF(LEN(_xlpm.check1) &gt; 0, _xlpm.check1, _xlfn.LET(_xlpm.check2, IF(OR(ISNUMBER(SEARCH({"&lt;","&gt;","^","Ø","•","‣","⁃","⁌","™","∙","⌀","◦"}, _xlpm.val))), "1:Feature Bullet cannot contain special characters ([™Ø⌀•‣◦⁃⁌⁍∙&lt;&gt;])", ""), IF(LEN(_xlpm.check2) &gt; 0, _xlpm.check2, IF(AND(_xlpm.val = "", Z$3="Required"), IF(OR('3757 - Wall Stickers'!Z$7 = "", '3757 - Wall Stickers'!Z$7 = "N/A"), "3:Feature Bullet - Value is required", ""), ""))))))))</f>
        <v>0</v>
      </c>
      <c r="AA8" s="22" cm="1">
        <f t="array" ref="AA8">_xlfn.MAP('3757 - Wall Stickers'!B8:B507, '3757 - Wall Stickers'!AA8:AA507, '3757 - Wall Stickers'!J8:J507, _xlfn.LAMBDA(_xlpm.part, _xlpm.val, _xlpm.dep1, IF(_xlpm.part = "", "", _xlfn.LET(_xlpm.check1, IF(AND(_xlpm.val = "", _xlpm.dep1 = "NON-PRIMARY VARIANT"), "2:Autofill", ""), IF(LEN(_xlpm.check1) &gt; 0, _xlpm.check1, _xlfn.LET(_xlpm.check2, IF(OR(ISNUMBER(SEARCH({"&lt;","&gt;","^","Ø","•","‣","⁃","⁌","™","∙","⌀","◦"}, _xlpm.val))), "1:Feature Bullet cannot contain special characters ([™Ø⌀•‣◦⁃⁌⁍∙&lt;&gt;])", ""), IF(LEN(_xlpm.check2) &gt; 0, _xlpm.check2, IF(AND(_xlpm.val = "", AA$3="Required"), IF(OR('3757 - Wall Stickers'!AA$7 = "", '3757 - Wall Stickers'!AA$7 = "N/A"), "3:Feature Bullet - Value is required", ""), ""))))))))</f>
        <v>0</v>
      </c>
      <c r="AB8" s="22" cm="1">
        <f t="array" ref="AB8">_xlfn.MAP('3757 - Wall Stickers'!B8:B507, '3757 - Wall Stickers'!AB8:AB507, '3757 - Wall Stickers'!J8:J507,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"1:Minimum Order Quantity - Value should be numeric", ""), IF(LEN(_xlpm.check2) &gt; 0, _xlpm.check2, _xlfn.LET(_xlpm.check3, IF(AND(_xlpm.val &lt;&gt; "" ,IFERROR(VALUE(_xlpm.val), _xlpm.val)&lt;1), "1:Product quantities must be greater than 0", ""), IF(LEN(_xlpm.check3) &gt; 0, _xlpm.check3, _xlfn.LET(_xlpm.check4, IF(AND(_xlpm.val &lt;&gt; "" , IFERROR(VALUE(_xlpm.val), _xlpm.val)&gt;32767), "1:Product quantities must be less than 32767", ""), IF(LEN(_xlpm.check4) &gt; 0, _xlpm.check4, IF(AND(_xlpm.val = "", AB$3="Required"), IF(OR('3757 - Wall Stickers'!AB$7 = "", '3757 - Wall Stickers'!AB$7 = "N/A"), "3:Minimum Order Quantity - Value is required", ""), ""))))))))))))</f>
        <v>0</v>
      </c>
      <c r="AC8" s="22" cm="1">
        <f t="array" ref="AC8">_xlfn.MAP('3757 - Wall Stickers'!B8:B507, '3757 - Wall Stickers'!AC8:AC507, '3757 - Wall Stickers'!J8:J507,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"1:Force Quantity Multiplier - Value should be numeric", ""), IF(LEN(_xlpm.check2) &gt; 0, _xlpm.check2, _xlfn.LET(_xlpm.check3, IF(AND(_xlpm.val &lt;&gt; "" ,IFERROR(VALUE(_xlpm.val), _xlpm.val)&lt;1), "1:Product quantities must be greater than 0", ""), IF(LEN(_xlpm.check3) &gt; 0, _xlpm.check3, _xlfn.LET(_xlpm.check4, IF(AND(_xlpm.val &lt;&gt; "" , IFERROR(VALUE(_xlpm.val), _xlpm.val)&gt;32767), "1:Product quantities must be less than 32767", ""), IF(LEN(_xlpm.check4) &gt; 0, _xlpm.check4, IF(AND(_xlpm.val = "", AC$3="Required"), IF(OR('3757 - Wall Stickers'!AC$7 = "", '3757 - Wall Stickers'!AC$7 = "N/A"), "3:Force Quantity Multiplier - Value is required", ""), ""))))))))))))</f>
        <v>0</v>
      </c>
      <c r="AD8" s="22" cm="1">
        <f t="array" ref="AD8">_xlfn.MAP('3757 - Wall Stickers'!B8:B507, '3757 - Wall Stickers'!AD8:AD507, '3757 - Wall Stickers'!J8:J507,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"1:Display Set Quantity - Value should be numeric", ""), IF(LEN(_xlpm.check2) &gt; 0, _xlpm.check2, _xlfn.LET(_xlpm.check3, IF(AND(_xlpm.val &lt;&gt; "" ,IFERROR(VALUE(_xlpm.val), _xlpm.val)&lt;1), "1:Product quantities must be greater than 0", ""), IF(LEN(_xlpm.check3) &gt; 0, _xlpm.check3, _xlfn.LET(_xlpm.check4, IF(AND(_xlpm.val &lt;&gt; "" , IFERROR(VALUE(_xlpm.val), _xlpm.val)&gt;32767), "1:Product quantities must be less than 32767", ""), IF(LEN(_xlpm.check4) &gt; 0, _xlpm.check4, IF(AND(_xlpm.val = "", AD$3="Required"), IF(OR('3757 - Wall Stickers'!AD$7 = "", '3757 - Wall Stickers'!AD$7 = "N/A"), "3:Display Set Quantity - Value is required", ""), ""))))))))))))</f>
        <v>0</v>
      </c>
      <c r="AE8" s="22" cm="1">
        <f t="array" ref="AE8">_xlfn.MAP('3757 - Wall Stickers'!B8:B507, '3757 - Wall Stickers'!AE8:AE507, '3757 - Wall Stickers'!J8:J507,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"1:Product Weight - Value should be numeric", ""), IF(LEN(_xlpm.check2) &gt; 0, _xlpm.check2, _xlfn.LET(_xlpm.check3, IF(AND(_xlpm.val &lt;&gt; "" ,IFERROR(VALUE(_xlpm.val), _xlpm.val)&lt;0), "1:Product weight must be a positive number", ""), IF(LEN(_xlpm.check3) &gt; 0, _xlpm.check3, IF(AND(_xlpm.val = "", AE$3="Required"), IF(OR('3757 - Wall Stickers'!AE$7 = "", '3757 - Wall Stickers'!AE$7 = "N/A"), "3:Product Weight - Value is required", ""), ""))))))))))</f>
        <v>0</v>
      </c>
      <c r="AF8" s="22" cm="1">
        <f t="array" ref="AF8">_xlfn.MAP('3757 - Wall Stickers'!B8:B507, '3757 - Wall Stickers'!AF8:AF507, '3757 - Wall Stickers'!J8:J507, _xlfn.LAMBDA(_xlpm.part, _xlpm.val, _xlpm.dep1, IF(_xlpm.part = "", "", _xlfn.LET(_xlpm.check1, IF(AND(_xlpm.val = "", _xlpm.dep1 = "NON-PRIMARY VARIANT"), "2:Autofill", ""), IF(LEN(_xlpm.check1) &gt; 0, _xlpm.check1, IF(AND(_xlpm.val = "", AF$3="Required"), IF(OR('3757 - Wall Stickers'!AF$7 = "", '3757 - Wall Stickers'!AF$7 = "N/A"), "3:Ship Type - Value is required", ""), ""))))))</f>
        <v>0</v>
      </c>
      <c r="AG8" s="22" cm="1">
        <f t="array" ref="AG8">_xlfn.MAP('3757 - Wall Stickers'!B8:B507, '3757 - Wall Stickers'!AG8:AG507, '3757 - Wall Stickers'!J8:J507, _xlfn.LAMBDA(_xlpm.part, _xlpm.val, _xlpm.dep1, IF(_xlpm.part = "", "", _xlfn.LET(_xlpm.check1, IF(AND(_xlpm.val = "", _xlpm.dep1 = "NON-PRIMARY VARIANT"), "2:Autofill", ""), IF(LEN(_xlpm.check1) &gt; 0, _xlpm.check1, IF(AND(_xlpm.val = "", AG$3="Required"), IF(OR('3757 - Wall Stickers'!AG$7 = "", '3757 - Wall Stickers'!AG$7 = "N/A"), "3:Freight Class - Value is required", ""), ""))))))</f>
        <v>0</v>
      </c>
      <c r="AH8" s="22" cm="1">
        <f t="array" ref="AH8">_xlfn.MAP('3757 - Wall Stickers'!B8:B507, '3757 - Wall Stickers'!AH8:AH507, '3757 - Wall Stickers'!J8:J507, _xlfn.LAMBDA(_xlpm.part, _xlpm.val, _xlpm.dep1, IF(_xlpm.part = "", "", _xlfn.LET(_xlpm.check1, IF(AND(_xlpm.val = "", _xlpm.dep1 = "NON-PRIMARY VARIANT"), "2:Autofill", ""), IF(LEN(_xlpm.check1) &gt; 0, _xlpm.check1, IF(AND(_xlpm.val = "", AH$3="Required"), IF(OR('3757 - Wall Stickers'!AH$7 = "", '3757 - Wall Stickers'!AH$7 = "N/A"), "3:Lead Time - Value is required", ""), ""))))))</f>
        <v>0</v>
      </c>
      <c r="AI8" s="22" cm="1">
        <f t="array" ref="AI8">_xlfn.MAP('3757 - Wall Stickers'!B8:B507, '3757 - Wall Stickers'!AI8:AI507, '3757 - Wall Stickers'!J8:J507, _xlfn.LAMBDA(_xlpm.part, _xlpm.val, _xlpm.dep1, IF(_xlpm.part = "", "", _xlfn.LET(_xlpm.check1, IF(AND(_xlpm.val = "", _xlpm.dep1 = "NON-PRIMARY VARIANT"), "2:Autofill", ""), IF(LEN(_xlpm.check1) &gt; 0, _xlpm.check1, IF(AND(_xlpm.val = "", AI$3="Required"), IF(OR('3757 - Wall Stickers'!AI$7 = "", '3757 - Wall Stickers'!AI$7 = "N/A"), "3:Replacement Lead Time - Value is required", ""), ""))))))</f>
        <v>0</v>
      </c>
      <c r="AJ8" s="22" cm="1">
        <f t="array" ref="AJ8">_xlfn.MAP('3757 - Wall Stickers'!B8:B507, '3757 - Wall Stickers'!AJ8:AJ507, '3757 - Wall Stickers'!J8:J507, _xlfn.LAMBDA(_xlpm.part, _xlpm.val, _xlpm.dep1, IF(_xlpm.part = "", "", _xlfn.LET(_xlpm.check1, IF(AND(_xlpm.val = "", _xlpm.dep1 = "NON-PRIMARY VARIANT"), "2:Autofill", ""), IF(LEN(_xlpm.check1) &gt; 0, _xlpm.check1, _xlfn.LET(_xlpm.check2, IF(AND(_xlpm.val &lt;&gt; "", LEN(_xlpm.val) &lt; 5), "1:NMFC must contain at least 5 digits", ""), IF(LEN(_xlpm.check2) &gt; 0, _xlpm.check2, IF(AND(_xlpm.val = "", AJ$3="Required"), IF(OR('3757 - Wall Stickers'!AJ$7 = "", '3757 - Wall Stickers'!AJ$7 = "N/A"), "3:National Motor Freight Class - Value is required", ""), ""))))))))</f>
        <v>0</v>
      </c>
      <c r="AK8" s="22" cm="1">
        <f t="array" ref="AK8">_xlfn.MAP('3757 - Wall Stickers'!B8:B507, '3757 - Wall Stickers'!AK8:AK507, '3757 - Wall Stickers'!J8:J507, _xlfn.LAMBDA(_xlpm.part, _xlpm.val, _xlpm.dep1, IF(_xlpm.part = "", "", _xlfn.LET(_xlpm.check1, IF(AND(_xlpm.val = "", _xlpm.dep1 = "NON-PRIMARY VARIANT"), "2:Autofill", ""), IF(LEN(_xlpm.check1) &gt; 0, _xlpm.check1, IF(AND(_xlpm.val = "", AK$3="Required"), IF(OR('3757 - Wall Stickers'!AK$7 = "", '3757 - Wall Stickers'!AK$7 = "N/A"), "3:Flat Pack - Value is required", ""), ""))))))</f>
        <v>0</v>
      </c>
      <c r="AL8" s="22" cm="1">
        <f t="array" ref="AL8">_xlfn.MAP('3757 - Wall Stickers'!B8:B507, '3757 - Wall Stickers'!AL8:AL507, '3757 - Wall Stickers'!J8:J507, _xlfn.LAMBDA(_xlpm.part, _xlpm.val, _xlpm.dep1, IF(_xlpm.part = "", "", _xlfn.LET(_xlpm.check1, IF(AND(_xlpm.val = "", _xlpm.dep1 = "NON-PRIMARY VARIANT"), "2:Autofill", ""), IF(LEN(_xlpm.check1) &gt; 0, _xlpm.check1, IF(AND(_xlpm.val = "", AL$3="Required"), IF(OR('3757 - Wall Stickers'!AL$7 = "", '3757 - Wall Stickers'!AL$7 = "N/A"), "3:Ship Palletized - Value is required", ""), ""))))))</f>
        <v>0</v>
      </c>
      <c r="AM8" s="22" cm="1">
        <f t="array" ref="AM8">_xlfn.MAP('3757 - Wall Stickers'!B8:B507, '3757 - Wall Stickers'!AM8:AM507, '3757 - Wall Stickers'!AN8:AN507, '3757 - Wall Stickers'!AO8:AO507, '3757 - Wall Stickers'!AP8:AP507, _xlfn.LAMBDA(_xlpm.part, _xlpm.val, _xlpm.dep1, _xlpm.dep2, _xlpm.dep3, IF(_xlpm.part = "", "", _xlfn.LET(_xlpm.check1, IF(AND(NOT(ISBLANK(_xlpm.val)),OR(NOT(ISNUMBER(IFERROR(VALUE(_xlpm.val), ""))), IFERROR(VALUE(_xlpm.val), -1) &lt; 0)), "1:Carton Weight - Value should be numeric", ""), IF(LEN(_xlpm.check1) &gt; 0, _xlpm.check1, _xlfn.LET(_xlpm.check2, IF(AND(_xlpm.val &lt;&gt; "" ,IFERROR(VALUE(_xlpm.val), _xlpm.val)&lt;0), "1:Shipping weight must be a positive number", ""), IF(LEN(_xlpm.check2) &gt; 0, _xlpm.check2, _xlfn.LET(_xlpm.check3, IF(AND(_xlpm.val = "", AM$3="Required"), IF(OR('3757 - Wall Stickers'!AM$7 = "", '3757 - Wall Stickers'!AM$7 = "N/A"), "3:Carton Weight - Value is required", ""), ""), IF(LEN(_xlpm.check3) &gt; 0, _xlpm.check3, _xlfn.LET(_xlpm.check4, IF(OR(_xlpm.dep1 &lt;&gt; "", _xlpm.dep2 &lt;&gt; "", _xlpm.dep3 &lt;&gt; ""), IF(_xlpm.val = "", IF(OR('3757 - Wall Stickers'!AM$7 = "", '3757 - Wall Stickers'!AM$7 = "N/A"), "3:Shipping weight is required", ""), ""), ""), IF(LEN(_xlpm.check4) &gt; 0, _xlpm.check4, IF(AND(_xlpm.dep3 = "", _xlpm.dep1 = "", _xlpm.dep2 = ""), IF(_xlpm.val = "", IF(OR('3757 - Wall Stickers'!AM$7 = "", '3757 - Wall Stickers'!AM$7 = "N/A"), "3:Shipping weight is required", ""), ""), ""))))))))))))</f>
        <v>0</v>
      </c>
      <c r="AN8" s="22" cm="1">
        <f t="array" ref="AN8">_xlfn.MAP('3757 - Wall Stickers'!B8:B507, '3757 - Wall Stickers'!AN8:AN507, '3757 - Wall Stickers'!AM8:AM507, '3757 - Wall Stickers'!AO8:AO507, '3757 - Wall Stickers'!AP8:AP507, _xlfn.LAMBDA(_xlpm.part, _xlpm.val, _xlpm.dep1, _xlpm.dep2, _xlpm.dep3, IF(_xlpm.part = "", "", _xlfn.LET(_xlpm.check1, IF(AND(NOT(ISBLANK(_xlpm.val)),OR(NOT(ISNUMBER(IFERROR(VALUE(_xlpm.val), ""))), IFERROR(VALUE(_xlpm.val), -1) &lt; 0)), "1:Carton Height - Value should be numeric", ""), IF(LEN(_xlpm.check1) &gt; 0, _xlpm.check1, _xlfn.LET(_xlpm.check2, IF(AND(_xlpm.val &lt;&gt; "" ,IFERROR(VALUE(_xlpm.val), _xlpm.val)&lt;0), "1:Carton height must be a positive number", ""), IF(LEN(_xlpm.check2) &gt; 0, _xlpm.check2, _xlfn.LET(_xlpm.check3, IF(AND(_xlpm.val = "", AN$3="Required"), IF(OR('3757 - Wall Stickers'!AN$7 = "", '3757 - Wall Stickers'!AN$7 = "N/A"), "3:Carton Height - Value is required", ""), ""), IF(LEN(_xlpm.check3) &gt; 0, _xlpm.check3, _xlfn.LET(_xlpm.check4, IF(OR(_xlpm.dep1 &lt;&gt; "", _xlpm.dep2 &lt;&gt; "", _xlpm.dep3 &lt;&gt; ""), IF(_xlpm.val = "", IF(OR('3757 - Wall Stickers'!AN$7 = "", '3757 - Wall Stickers'!AN$7 = "N/A"), "3:Carton height is required", ""), ""), ""), IF(LEN(_xlpm.check4) &gt; 0, _xlpm.check4, IF(AND(_xlpm.dep1 = "", _xlpm.dep3 = "", _xlpm.dep2 = ""), IF(_xlpm.val = "", IF(OR('3757 - Wall Stickers'!AN$7 = "", '3757 - Wall Stickers'!AN$7 = "N/A"), "3:Carton height is required", ""), ""), ""))))))))))))</f>
        <v>0</v>
      </c>
      <c r="AO8" s="22" cm="1">
        <f t="array" ref="AO8">_xlfn.MAP('3757 - Wall Stickers'!B8:B507, '3757 - Wall Stickers'!AO8:AO507, '3757 - Wall Stickers'!AM8:AM507, '3757 - Wall Stickers'!AN8:AN507, '3757 - Wall Stickers'!AP8:AP507, _xlfn.LAMBDA(_xlpm.part, _xlpm.val, _xlpm.dep1, _xlpm.dep2, _xlpm.dep3, IF(_xlpm.part = "", "", _xlfn.LET(_xlpm.check1, IF(AND(NOT(ISBLANK(_xlpm.val)),OR(NOT(ISNUMBER(IFERROR(VALUE(_xlpm.val), ""))), IFERROR(VALUE(_xlpm.val), -1) &lt; 0)), "1:Carton Width - Value should be numeric", ""), IF(LEN(_xlpm.check1) &gt; 0, _xlpm.check1, _xlfn.LET(_xlpm.check2, IF(AND(_xlpm.val &lt;&gt; "" ,IFERROR(VALUE(_xlpm.val), _xlpm.val)&lt;0), "1:Carton width must be a positive number", ""), IF(LEN(_xlpm.check2) &gt; 0, _xlpm.check2, _xlfn.LET(_xlpm.check3, IF(AND(_xlpm.val = "", AO$3="Required"), IF(OR('3757 - Wall Stickers'!AO$7 = "", '3757 - Wall Stickers'!AO$7 = "N/A"), "3:Carton Width - Value is required", ""), ""), IF(LEN(_xlpm.check3) &gt; 0, _xlpm.check3, _xlfn.LET(_xlpm.check4, IF(OR(_xlpm.dep1 &lt;&gt; "", _xlpm.dep2 &lt;&gt; "", _xlpm.dep3 &lt;&gt; ""), IF(_xlpm.val = "", IF(OR('3757 - Wall Stickers'!AO$7 = "", '3757 - Wall Stickers'!AO$7 = "N/A"), "3:Carton width is required", ""), ""), ""), IF(LEN(_xlpm.check4) &gt; 0, _xlpm.check4, IF(AND(_xlpm.dep1 = "", _xlpm.dep2 = "", _xlpm.dep3 = ""), IF(_xlpm.val = "", IF(OR('3757 - Wall Stickers'!AO$7 = "", '3757 - Wall Stickers'!AO$7 = "N/A"), "3:Carton width is required", ""), ""), ""))))))))))))</f>
        <v>0</v>
      </c>
      <c r="AP8" s="22" cm="1">
        <f t="array" ref="AP8">_xlfn.MAP('3757 - Wall Stickers'!B8:B507, '3757 - Wall Stickers'!AP8:AP507, '3757 - Wall Stickers'!AM8:AM507, '3757 - Wall Stickers'!AN8:AN507, '3757 - Wall Stickers'!AO8:AO507, _xlfn.LAMBDA(_xlpm.part, _xlpm.val, _xlpm.dep1, _xlpm.dep2, _xlpm.dep3, IF(_xlpm.part = "", "", _xlfn.LET(_xlpm.check1, IF(AND(NOT(ISBLANK(_xlpm.val)),OR(NOT(ISNUMBER(IFERROR(VALUE(_xlpm.val), ""))), IFERROR(VALUE(_xlpm.val), -1) &lt; 0)), "1:Carton Depth - Value should be numeric", ""), IF(LEN(_xlpm.check1) &gt; 0, _xlpm.check1, _xlfn.LET(_xlpm.check2, IF(AND(_xlpm.val &lt;&gt; "" ,IFERROR(VALUE(_xlpm.val), _xlpm.val)&lt;0), "1:Carton depth must be a positive number", ""), IF(LEN(_xlpm.check2) &gt; 0, _xlpm.check2, _xlfn.LET(_xlpm.check3, IF(AND(_xlpm.val = "", AP$3="Required"), IF(OR('3757 - Wall Stickers'!AP$7 = "", '3757 - Wall Stickers'!AP$7 = "N/A"), "3:Carton Depth - Value is required", ""), ""), IF(LEN(_xlpm.check3) &gt; 0, _xlpm.check3, _xlfn.LET(_xlpm.check4, IF(OR(_xlpm.dep1 &lt;&gt; "", _xlpm.dep2 &lt;&gt; "", _xlpm.dep3 &lt;&gt; ""), IF(_xlpm.val = "", IF(OR('3757 - Wall Stickers'!AP$7 = "", '3757 - Wall Stickers'!AP$7 = "N/A"), "3:Carton depth is required", ""), ""), ""), IF(LEN(_xlpm.check4) &gt; 0, _xlpm.check4, IF(AND(_xlpm.dep1 = "", _xlpm.dep2 = "", _xlpm.dep3 = ""), IF(_xlpm.val = "", IF(OR('3757 - Wall Stickers'!AP$7 = "", '3757 - Wall Stickers'!AP$7 = "N/A"), "3:Carton depth is required", ""), ""), ""))))))))))))</f>
        <v>0</v>
      </c>
      <c r="AQ8" s="22" cm="1">
        <f t="array" ref="AQ8">_xlfn.MAP('3757 - Wall Stickers'!B8:B507, '3757 - Wall Stickers'!AQ8:AQ507, _xlfn.LAMBDA(_xlpm.part, _xlpm.val, IF(_xlpm.part = "", "", IF(AND(_xlpm.val = "", AQ$3="Required"), IF(OR('3757 - Wall Stickers'!AQ$7 = "", '3757 - Wall Stickers'!AQ$7 = "N/A"), "3:Image File Name or URL - Value is required", ""), ""))))</f>
        <v>0</v>
      </c>
      <c r="AR8" s="22" cm="1">
        <f t="array" ref="AR8">_xlfn.MAP('3757 - Wall Stickers'!B8:B507, '3757 - Wall Stickers'!AR8:AR507, _xlfn.LAMBDA(_xlpm.part, _xlpm.val, IF(_xlpm.part = "", "", IF(AND(_xlpm.val = "", AR$3="Required"), IF(OR('3757 - Wall Stickers'!AR$7 = "", '3757 - Wall Stickers'!AR$7 = "N/A"), "3:Image File Name or URL - Value is required", ""), ""))))</f>
        <v>0</v>
      </c>
      <c r="AS8" s="22" cm="1">
        <f t="array" ref="AS8">_xlfn.MAP('3757 - Wall Stickers'!B8:B507, '3757 - Wall Stickers'!AS8:AS507, _xlfn.LAMBDA(_xlpm.part, _xlpm.val, IF(_xlpm.part = "", "", IF(AND(_xlpm.val = "", AS$3="Required"), IF(OR('3757 - Wall Stickers'!AS$7 = "", '3757 - Wall Stickers'!AS$7 = "N/A"), "3:Image File Name or URL - Value is required", ""), ""))))</f>
        <v>0</v>
      </c>
      <c r="AT8" s="22" cm="1">
        <f t="array" ref="AT8">_xlfn.MAP('3757 - Wall Stickers'!B8:B507, '3757 - Wall Stickers'!AT8:AT507, _xlfn.LAMBDA(_xlpm.part, _xlpm.val, IF(_xlpm.part = "", "", IF(AND(_xlpm.val = "", AT$3="Required"), IF(OR('3757 - Wall Stickers'!AT$7 = "", '3757 - Wall Stickers'!AT$7 = "N/A"), "3:Image File Name or URL - Value is required", ""), ""))))</f>
        <v>0</v>
      </c>
      <c r="AU8" s="22" cm="1">
        <f t="array" ref="AU8">_xlfn.MAP('3757 - Wall Stickers'!B8:B507, '3757 - Wall Stickers'!AU8:AU507, _xlfn.LAMBDA(_xlpm.part, _xlpm.val, IF(_xlpm.part = "", "", IF(AND(_xlpm.val = "", AU$3="Required"), IF(OR('3757 - Wall Stickers'!AU$7 = "", '3757 - Wall Stickers'!AU$7 = "N/A"), "3:Image File Name or URL - Value is required", ""), ""))))</f>
        <v>0</v>
      </c>
      <c r="AV8" s="22" cm="1">
        <f t="array" ref="AV8">_xlfn.MAP('3757 - Wall Stickers'!B8:B507, '3757 - Wall Stickers'!AV8:AV507, _xlfn.LAMBDA(_xlpm.part, _xlpm.val, IF(_xlpm.part = "", "", IF(AND(_xlpm.val = "", AV$3="Required"), IF(OR('3757 - Wall Stickers'!AV$7 = "", '3757 - Wall Stickers'!AV$7 = "N/A"), "3:Video File Name or URL - Value is required", ""), ""))))</f>
        <v>0</v>
      </c>
      <c r="AW8" s="22" cm="1">
        <f t="array" ref="AW8">_xlfn.MAP('3757 - Wall Stickers'!B8:B507, '3757 - Wall Stickers'!AW8:AW507, '3757 - Wall Stickers'!AX8:AX507, '3757 - Wall Stickers'!AY8:AY507, '3757 - Wall Stickers'!AZ8:AZ507, _xlfn.LAMBDA(_xlpm.part, _xlpm.val, _xlpm.dep1, _xlpm.dep2, _xlpm.dep3, IF(_xlpm.part = "", "", IF(AND(_xlpm.val = "", AW$3="Required"), IF(OR('3757 - Wall Stickers'!AW$7 = "", '3757 - Wall Stickers'!AW$7 = "N/A"), "3:Document File Name or URL - Value is required", ""), ""))))</f>
        <v>0</v>
      </c>
      <c r="AX8" s="22" cm="1">
        <f t="array" ref="AX8">_xlfn.MAP('3757 - Wall Stickers'!B8:B507, '3757 - Wall Stickers'!AX8:AX507,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AX$3="Required"), IF(OR('3757 - Wall Stickers'!AX$7 = "", '3757 - Wall Stickers'!AX$7 = "N/A"), "3:Document Type - Value is required", ""), ""))))))</f>
        <v>0</v>
      </c>
      <c r="AY8" s="22" cm="1">
        <f t="array" ref="AY8">_xlfn.MAP('3757 - Wall Stickers'!B8:B507, '3757 - Wall Stickers'!AY8:AY507,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AY$3="Required"), IF(OR('3757 - Wall Stickers'!AY$7 = "", '3757 - Wall Stickers'!AY$7 = "N/A"), "3:Legal Document Type - Value is required", ""), ""))))))</f>
        <v>0</v>
      </c>
      <c r="AZ8" s="22" cm="1">
        <f t="array" ref="AZ8">_xlfn.MAP('3757 - Wall Stickers'!B8:B507, '3757 - Wall Stickers'!AZ8:AZ507, _xlfn.LAMBDA(_xlpm.part, _xlpm.val, IF(_xlpm.part = "", "", IF(AND(_xlpm.val = "", AZ$3="Required"), IF(OR('3757 - Wall Stickers'!AZ$7 = "", '3757 - Wall Stickers'!AZ$7 = "N/A"), "3:Document Region - Value is required", ""), ""))))</f>
        <v>0</v>
      </c>
      <c r="BA8" s="22" cm="1">
        <f t="array" ref="BA8">_xlfn.MAP('3757 - Wall Stickers'!B8:B507, '3757 - Wall Stickers'!BA8:BA507, '3757 - Wall Stickers'!BB8:BB507, '3757 - Wall Stickers'!BC8:BC507, '3757 - Wall Stickers'!BD8:BD507, _xlfn.LAMBDA(_xlpm.part, _xlpm.val, _xlpm.dep1, _xlpm.dep2, _xlpm.dep3, IF(_xlpm.part = "", "", IF(AND(_xlpm.val = "", BA$3="Required"), IF(OR('3757 - Wall Stickers'!BA$7 = "", '3757 - Wall Stickers'!BA$7 = "N/A"), "3:Document File Name or URL - Value is required", ""), ""))))</f>
        <v>0</v>
      </c>
      <c r="BB8" s="22" cm="1">
        <f t="array" ref="BB8">_xlfn.MAP('3757 - Wall Stickers'!B8:B507, '3757 - Wall Stickers'!BB8:BB507,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BB$3="Required"), IF(OR('3757 - Wall Stickers'!BB$7 = "", '3757 - Wall Stickers'!BB$7 = "N/A"), "3:Document Type - Value is required", ""), ""))))))</f>
        <v>0</v>
      </c>
      <c r="BC8" s="22" cm="1">
        <f t="array" ref="BC8">_xlfn.MAP('3757 - Wall Stickers'!B8:B507, '3757 - Wall Stickers'!BC8:BC507,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BC$3="Required"), IF(OR('3757 - Wall Stickers'!BC$7 = "", '3757 - Wall Stickers'!BC$7 = "N/A"), "3:Legal Document Type - Value is required", ""), ""))))))</f>
        <v>0</v>
      </c>
      <c r="BD8" s="22" cm="1">
        <f t="array" ref="BD8">_xlfn.MAP('3757 - Wall Stickers'!B8:B507, '3757 - Wall Stickers'!BD8:BD507, _xlfn.LAMBDA(_xlpm.part, _xlpm.val, IF(_xlpm.part = "", "", IF(AND(_xlpm.val = "", BD$3="Required"), IF(OR('3757 - Wall Stickers'!BD$7 = "", '3757 - Wall Stickers'!BD$7 = "N/A"), "3:Document Region - Value is required", ""), ""))))</f>
        <v>0</v>
      </c>
      <c r="BE8" s="22" cm="1">
        <f t="array" ref="BE8">_xlfn.MAP('3757 - Wall Stickers'!B8:B507, '3757 - Wall Stickers'!BE8:BE507, '3757 - Wall Stickers'!BF8:BF507, '3757 - Wall Stickers'!BG8:BG507, '3757 - Wall Stickers'!BH8:BH507, _xlfn.LAMBDA(_xlpm.part, _xlpm.val, _xlpm.dep1, _xlpm.dep2, _xlpm.dep3, IF(_xlpm.part = "", "", IF(AND(_xlpm.val = "", BE$3="Required"), IF(OR('3757 - Wall Stickers'!BE$7 = "", '3757 - Wall Stickers'!BE$7 = "N/A"), "3:Document File Name or URL - Value is required", ""), ""))))</f>
        <v>0</v>
      </c>
      <c r="BF8" s="22" cm="1">
        <f t="array" ref="BF8">_xlfn.MAP('3757 - Wall Stickers'!B8:B507, '3757 - Wall Stickers'!BF8:BF507,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BF$3="Required"), IF(OR('3757 - Wall Stickers'!BF$7 = "", '3757 - Wall Stickers'!BF$7 = "N/A"), "3:Document Type - Value is required", ""), ""))))))</f>
        <v>0</v>
      </c>
      <c r="BG8" s="22" cm="1">
        <f t="array" ref="BG8">_xlfn.MAP('3757 - Wall Stickers'!B8:B507, '3757 - Wall Stickers'!BG8:BG507,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BG$3="Required"), IF(OR('3757 - Wall Stickers'!BG$7 = "", '3757 - Wall Stickers'!BG$7 = "N/A"), "3:Legal Document Type - Value is required", ""), ""))))))</f>
        <v>0</v>
      </c>
      <c r="BH8" s="22" cm="1">
        <f t="array" ref="BH8">_xlfn.MAP('3757 - Wall Stickers'!B8:B507, '3757 - Wall Stickers'!BH8:BH507, _xlfn.LAMBDA(_xlpm.part, _xlpm.val, IF(_xlpm.part = "", "", IF(AND(_xlpm.val = "", BH$3="Required"), IF(OR('3757 - Wall Stickers'!BH$7 = "", '3757 - Wall Stickers'!BH$7 = "N/A"), "3:Document Region - Value is required", ""), ""))))</f>
        <v>0</v>
      </c>
      <c r="BI8" s="22" cm="1">
        <f t="array" ref="BI8">_xlfn.MAP('3757 - Wall Stickers'!B8:B507, '3757 - Wall Stickers'!BI8:BI507, _xlfn.LAMBDA(_xlpm.part, _xlpm.val, IF(_xlpm.part = "", "", IF(AND(_xlpm.val = "", BI$3="Required"), IF(OR('3757 - Wall Stickers'!BI$7 = "", '3757 - Wall Stickers'!BI$7 = "N/A"), "3:Product Type - Value is required", ""), ""))))</f>
        <v>0</v>
      </c>
      <c r="BJ8" s="22" cm="1">
        <f t="array" ref="BJ8">_xlfn.MAP('3757 - Wall Stickers'!B8:B507, '3757 - Wall Stickers'!BJ8:BJ507, _xlfn.LAMBDA(_xlpm.part, _xlpm.val, IF(_xlpm.part = "", "", IF(AND(_xlpm.val = "", BJ$3="Required"), IF(OR('3757 - Wall Stickers'!BJ$7 = "", '3757 - Wall Stickers'!BJ$7 = "N/A"), "3:Subject - Value is required", ""), ""))))</f>
        <v>0</v>
      </c>
      <c r="BK8" s="22" cm="1">
        <f t="array" ref="BK8">_xlfn.MAP('3757 - Wall Stickers'!B8:B507, '3757 - Wall Stickers'!BK8:BK507, _xlfn.LAMBDA(_xlpm.part, _xlpm.val, IF(_xlpm.part = "", "", IF(AND(_xlpm.val = "", BK$3="Required"), IF(OR('3757 - Wall Stickers'!BK$7 = "", '3757 - Wall Stickers'!BK$7 = "N/A"), "3:Surface Type - Value is required", ""), ""))))</f>
        <v>0</v>
      </c>
      <c r="BL8" s="22" cm="1">
        <f t="array" ref="BL8">_xlfn.MAP('3757 - Wall Stickers'!B8:B507, '3757 - Wall Stickers'!BL8:BL507, _xlfn.LAMBDA(_xlpm.part, _xlpm.val, IF(_xlpm.part = "", "", IF(AND(_xlpm.val = "", BL$3="Required"), IF(OR('3757 - Wall Stickers'!BL$7 = "", '3757 - Wall Stickers'!BL$7 = "N/A"), "3:Material - Value is required", ""), ""))))</f>
        <v>0</v>
      </c>
      <c r="BM8" s="22" cm="1">
        <f t="array" ref="BM8">_xlfn.MAP('3757 - Wall Stickers'!B8:B507, '3757 - Wall Stickers'!BM8:BM507, _xlfn.LAMBDA(_xlpm.part, _xlpm.val, IF(_xlpm.part = "", "", IF(AND(_xlpm.val = "", BM$3="Required"), IF(OR('3757 - Wall Stickers'!BM$7 = "", '3757 - Wall Stickers'!BM$7 = "N/A"), "3:Compatible Surfaces - Value is required", ""), ""))))</f>
        <v>0</v>
      </c>
      <c r="BN8" s="22" cm="1">
        <f t="array" ref="BN8">_xlfn.MAP('3757 - Wall Stickers'!B8:B507, '3757 - Wall Stickers'!BN8:BN507, _xlfn.LAMBDA(_xlpm.part, _xlpm.val, IF(_xlpm.part = "", "", IF(AND(_xlpm.val = "", BN$3="Required"), IF(OR('3757 - Wall Stickers'!BN$7 = "", '3757 - Wall Stickers'!BN$7 = "N/A"), "3:Personalization or Monogramming - Value is required", ""), ""))))</f>
        <v>0</v>
      </c>
      <c r="BO8" s="22" cm="1">
        <f t="array" ref="BO8">_xlfn.MAP('3757 - Wall Stickers'!B8:B507, '3757 - Wall Stickers'!BO8:BO507, _xlfn.LAMBDA(_xlpm.part, _xlpm.val, IF(_xlpm.part = "", "", IF(AND(_xlpm.val = "", BO$3="Required"), IF(OR('3757 - Wall Stickers'!BO$7 = "", '3757 - Wall Stickers'!BO$7 = "N/A"), "3:Room Use - Value is required", ""), ""))))</f>
        <v>0</v>
      </c>
      <c r="BP8" s="22" cm="1">
        <f t="array" ref="BP8">_xlfn.MAP('3757 - Wall Stickers'!B8:B507, '3757 - Wall Stickers'!BP8:BP507, _xlfn.LAMBDA(_xlpm.part, _xlpm.val, IF(_xlpm.part = "", "", IF(AND(_xlpm.val = "", BP$3="Required"), IF(OR('3757 - Wall Stickers'!BP$7 = "", '3757 - Wall Stickers'!BP$7 = "N/A"), "3:Holiday / Occasion - Value is required", ""), ""))))</f>
        <v>0</v>
      </c>
      <c r="BQ8" s="22" cm="1">
        <f t="array" ref="BQ8">_xlfn.MAP('3757 - Wall Stickers'!B8:B507, '3757 - Wall Stickers'!BQ8:BQ507, _xlfn.LAMBDA(_xlpm.part, _xlpm.val, IF(_xlpm.part = "", "", IF(AND(_xlpm.val = "", BQ$3="Required"), IF(OR('3757 - Wall Stickers'!BQ$7 = "", '3757 - Wall Stickers'!BQ$7 = "N/A"), "3:Country of Origin - Additional Details - Value is required", ""), ""))))</f>
        <v>0</v>
      </c>
      <c r="BR8" s="22" cm="1">
        <f t="array" ref="BR8">_xlfn.MAP('3757 - Wall Stickers'!B8:B507, '3757 - Wall Stickers'!BR8:BR507, _xlfn.LAMBDA(_xlpm.part, _xlpm.val, IF(_xlpm.part = "", "", IF(AND(_xlpm.val = "", BR$3="Required"), IF(OR('3757 - Wall Stickers'!BR$7 = "", '3757 - Wall Stickers'!BR$7 = "N/A"), "3:BPA Free - Value is required", ""), ""))))</f>
        <v>0</v>
      </c>
      <c r="BS8" s="22" cm="1">
        <f t="array" ref="BS8">_xlfn.MAP('3757 - Wall Stickers'!B8:B507, '3757 - Wall Stickers'!BS8:BS507, _xlfn.LAMBDA(_xlpm.part, _xlpm.val, IF(_xlpm.part = "", "", IF(AND(_xlpm.val = "", BS$3="Required"), IF(OR('3757 - Wall Stickers'!BS$7 = "", '3757 - Wall Stickers'!BS$7 = "N/A"), "3:Licensed Product Category - Value is required", ""), ""))))</f>
        <v>0</v>
      </c>
      <c r="BT8" s="22" cm="1">
        <f t="array" ref="BT8">_xlfn.MAP('3757 - Wall Stickers'!B8:B507, '3757 - Wall Stickers'!BT8:BT507, _xlfn.LAMBDA(_xlpm.part, _xlpm.val, IF(_xlpm.part = "", "", IF(AND(_xlpm.val = "", BT$3="Required"), IF(OR('3757 - Wall Stickers'!BT$7 = "", '3757 - Wall Stickers'!BT$7 = "N/A"), "3:Durability - Value is required", ""), ""))))</f>
        <v>0</v>
      </c>
      <c r="BU8" s="22" cm="1">
        <f t="array" ref="BU8">_xlfn.MAP('3757 - Wall Stickers'!B8:B507, '3757 - Wall Stickers'!BU8:BU507, _xlfn.LAMBDA(_xlpm.part, _xlpm.val, IF(_xlpm.part = "", "", IF(AND(_xlpm.val = "", BU$3="Required"), IF(OR('3757 - Wall Stickers'!BU$7 = "", '3757 - Wall Stickers'!BU$7 = "N/A"), "3:Adjustability Features - Value is required", ""), ""))))</f>
        <v>0</v>
      </c>
      <c r="BV8" s="22" cm="1">
        <f t="array" ref="BV8">_xlfn.MAP('3757 - Wall Stickers'!B8:B507, '3757 - Wall Stickers'!BV8:BV507, _xlfn.LAMBDA(_xlpm.part, _xlpm.val, IF(_xlpm.part = "", "", IF(AND(_xlpm.val = "", BV$3="Required"), IF(OR('3757 - Wall Stickers'!BV$7 = "", '3757 - Wall Stickers'!BV$7 = "N/A"), "3:Color - Value is required", ""), ""))))</f>
        <v>0</v>
      </c>
      <c r="BW8" s="22" cm="1">
        <f t="array" ref="BW8">_xlfn.MAP('3757 - Wall Stickers'!B8:B507, '3757 - Wall Stickers'!BW8:BW507, _xlfn.LAMBDA(_xlpm.part, _xlpm.val, IF(_xlpm.part = "", "", _xlfn.LET(_xlpm.check1, IF(AND(NOT(ISBLANK(_xlpm.val)),OR(NOT(ISNUMBER(IFERROR(VALUE(_xlpm.val), ""))), IFERROR(VALUE(_xlpm.val), -1) &lt; 0)), "1:Total Number of Pieces Included - Value should be numeric", ""), IF(LEN(_xlpm.check1) &gt; 0, _xlpm.check1, IF(AND(_xlpm.val = "", BW$3="Required"), IF(OR('3757 - Wall Stickers'!BW$7 = "", '3757 - Wall Stickers'!BW$7 = "N/A"), "3:Total Number of Pieces Included - Value is required", ""), ""))))))</f>
        <v>0</v>
      </c>
      <c r="BX8" s="22" cm="1">
        <f t="array" ref="BX8">_xlfn.MAP('3757 - Wall Stickers'!B8:B507, '3757 - Wall Stickers'!BX8:BX507, _xlfn.LAMBDA(_xlpm.part, _xlpm.val, IF(_xlpm.part = "", "", _xlfn.LET(_xlpm.check1, IF(NOT(ISBLANK(_xlpm.val)),_xlfn.LET(_xlpm.items, _xlfn.TEXTSPLIT(_xlpm.val, ";"),_xlpm.trimmed, _xlfn.MAP(_xlpm.items, _xlfn.LAMBDA(_xlpm.x, TRIM(_xlpm.x))),_xlpm.invalid, _xlfn._xlws.FILTER(_xlpm.trimmed, ISNA(MATCH(_xlpm.trimmed, allowed421593, 0)), ""),IF(AND(_xlpm.invalid&lt;&gt;"", COUNTA(_xlpm.invalid)&gt;0),"1:Please select valid values from the provided list. Answers are case-sensitive and must be separated by a semicolon.","")), ""), IF(LEN(_xlpm.check1) &gt; 0, _xlpm.check1, IF(AND(_xlpm.val = "", BX$3="Required"), IF(OR('3757 - Wall Stickers'!BX$7 = "", '3757 - Wall Stickers'!BX$7 = "N/A"), "3:Pieces Included - Value is required", ""), ""))))))</f>
        <v>0</v>
      </c>
      <c r="BY8" s="22" cm="1">
        <f t="array" ref="BY8">_xlfn.MAP('3757 - Wall Stickers'!B8:B507, '3757 - Wall Stickers'!BY8:BY507, '3757 - Wall Stickers'!BS8:BS507, _xlfn.LAMBDA(_xlpm.part, _xlpm.val, _xlpm.dep1, IF(_xlpm.part = "", "", _xlfn.LET(_xlpm.check1, IF(AND(_xlpm.val = "", AND(NOT(ISNUMBER(SEARCH("Entertainment/Characters", _xlpm.dep1))), _xlpm.dep1 &lt;&gt; "")), "2:Autofill", ""), IF(LEN(_xlpm.check1) &gt; 0, _xlpm.check1, _xlfn.LET(_xlpm.check2, IF(AND(NOT(ISNUMBER(SEARCH("Entertainment/Characters", _xlpm.dep1))), _xlpm.dep1 &lt;&gt; ""), IF(_xlpm.val &lt;&gt; "Does Not Apply", "1:Based on Licensed Product Category, value should be Does Not Apply", ""), ""), IF(LEN(_xlpm.check2) &gt; 0, _xlpm.check2, IF(AND(_xlpm.val = "", BY$3="Required"), IF(OR('3757 - Wall Stickers'!BY$7 = "", '3757 - Wall Stickers'!BY$7 = "N/A"), "3:Movie / Show Series Name - Value is required", ""), ""))))))))</f>
        <v>0</v>
      </c>
      <c r="BZ8" s="22" cm="1">
        <f t="array" ref="BZ8">_xlfn.MAP('3757 - Wall Stickers'!B8:B507, '3757 - Wall Stickers'!BZ8:BZ507, _xlfn.LAMBDA(_xlpm.part, _xlpm.val, IF(_xlpm.part = "", "", IF(AND(_xlpm.val = "", BZ$3="Required"), IF(OR('3757 - Wall Stickers'!BZ$7 = "", '3757 - Wall Stickers'!BZ$7 = "N/A"), "3:General Features - Value is required", ""), ""))))</f>
        <v>0</v>
      </c>
      <c r="CA8" s="22" cm="1">
        <f t="array" ref="CA8">_xlfn.MAP('3757 - Wall Stickers'!B8:B507, '3757 - Wall Stickers'!CA8:CA507, _xlfn.LAMBDA(_xlpm.part, _xlpm.val, IF(_xlpm.part = "", "", IF(AND(_xlpm.val = "", CA$3="Required"), IF(OR('3757 - Wall Stickers'!CA$7 = "", '3757 - Wall Stickers'!CA$7 = "N/A"), "3:Age Group - Value is required", ""), ""))))</f>
        <v>0</v>
      </c>
      <c r="CB8" s="22" cm="1">
        <f t="array" ref="CB8">_xlfn.MAP('3757 - Wall Stickers'!B8:B507, '3757 - Wall Stickers'!CB8:CB507, _xlfn.LAMBDA(_xlpm.part, _xlpm.val, IF(_xlpm.part = "", "", IF(AND(_xlpm.val = "", CB$3="Required"), IF(OR('3757 - Wall Stickers'!CB$7 = "", '3757 - Wall Stickers'!CB$7 = "N/A"), "3:Overall Height - Top to Bottom - Value is required", ""), ""))))</f>
        <v>0</v>
      </c>
      <c r="CC8" s="22" cm="1">
        <f t="array" ref="CC8">_xlfn.MAP('3757 - Wall Stickers'!B8:B507, '3757 - Wall Stickers'!CC8:CC507, _xlfn.LAMBDA(_xlpm.part, _xlpm.val, IF(_xlpm.part = "", "", _xlfn.LET(_xlpm.check1, IF(AND(NOT(ISBLANK(_xlpm.val)),OR(NOT(ISNUMBER(IFERROR(VALUE(_xlpm.val), ""))), IFERROR(VALUE(_xlpm.val), -1) &lt; 0)), "1:Overall Width - Side to Side - Value should be numeric", ""), IF(LEN(_xlpm.check1) &gt; 0, _xlpm.check1, IF(AND(_xlpm.val = "", CC$3="Required"), IF(OR('3757 - Wall Stickers'!CC$7 = "", '3757 - Wall Stickers'!CC$7 = "N/A"), "3:Overall Width - Side to Side - Value is required", ""), ""))))))</f>
        <v>0</v>
      </c>
      <c r="CD8" s="22" cm="1">
        <f t="array" ref="CD8">_xlfn.MAP('3757 - Wall Stickers'!B8:B507, '3757 - Wall Stickers'!CD8:CD507, _xlfn.LAMBDA(_xlpm.part, _xlpm.val, IF(_xlpm.part = "", "", IF(AND(_xlpm.val = "", CD$3="Required"), IF(OR('3757 - Wall Stickers'!CD$7 = "", '3757 - Wall Stickers'!CD$7 = "N/A"), "3:Commercial Warranty - Value is required", ""), ""))))</f>
        <v>0</v>
      </c>
      <c r="CE8" s="22" cm="1">
        <f t="array" ref="CE8">_xlfn.MAP('3757 - Wall Stickers'!B8:B507, '3757 - Wall Stickers'!CE8:CE507, '3757 - Wall Stickers'!CD8:CD507, _xlfn.LAMBDA(_xlpm.part, _xlpm.val, _xlpm.dep1, IF(_xlpm.part = "", "", _xlfn.LET(_xlpm.check1, IF(AND(_xlpm.val = "", _xlpm.dep1 = "No"), "2:Autofill", ""), IF(LEN(_xlpm.check1) &gt; 0, _xlpm.check1, _xlfn.LET(_xlpm.check2, IF(_xlpm.dep1 = "No", IF(_xlpm.val &lt;&gt; "Does Not Apply", "1:Since Commercial Warranty equals 'No', this value should be 'Does Not Apply'", ""), ""), IF(LEN(_xlpm.check2) &gt; 0, _xlpm.check2, _xlfn.LET(_xlpm.check3, IF(_xlpm.dep1 = "Yes", IF(_xlpm.val = "", IF(OR('3757 - Wall Stickers'!CE$7 = "", '3757 - Wall Stickers'!CE$7 = "N/A"), "3:Since Commercial Warranty equals 'Yes', this field is required", ""), ""), ""), IF(LEN(_xlpm.check3) &gt; 0, _xlpm.check3, IF(AND(_xlpm.val = "", CE$3="Required"), IF(OR('3757 - Wall Stickers'!CE$7 = "", '3757 - Wall Stickers'!CE$7 = "N/A"), "3:Commercial Warranty Length - Value is required", ""), ""))))))))))</f>
        <v>0</v>
      </c>
      <c r="CF8" s="22" cm="1">
        <f t="array" ref="CF8">_xlfn.MAP('3757 - Wall Stickers'!B8:B507, '3757 - Wall Stickers'!CF8:CF507, _xlfn.LAMBDA(_xlpm.part, _xlpm.val, IF(_xlpm.part = "", "", IF(AND(_xlpm.val = "", CF$3="Required"), IF(OR('3757 - Wall Stickers'!CF$7 = "", '3757 - Wall Stickers'!CF$7 = "N/A"), "3:Wayfair Compliance Verified Program (including Baby Safety Alliance fka JPMA) for this product category - Value is required", ""), ""))))</f>
        <v>0</v>
      </c>
      <c r="CG8" s="22" cm="1">
        <f t="array" ref="CG8">_xlfn.MAP('3757 - Wall Stickers'!B8:B507, '3757 - Wall Stickers'!CG8:CG507, '3757 - Wall Stickers'!CF8:CF507, _xlfn.LAMBDA(_xlpm.part, _xlpm.val, _xlpm.dep1, IF(_xlpm.part = "", "", _xlfn.LET(_xlpm.check1, IF(AND(_xlpm.val = "", _xlpm.dep1 = "Yes"), "2:Autofill", ""), IF(LEN(_xlpm.check1) &gt; 0, _xlpm.check1, IF(AND(_xlpm.val = "", CG$3="Required"), IF(OR('3757 - Wall Stickers'!CG$7 = "", '3757 - Wall Stickers'!CG$7 = "N/A"), "3:Uniform Packaging and Labeling Regulations (UPLR) Compliant - Value is required", ""), ""))))))</f>
        <v>0</v>
      </c>
      <c r="CH8" s="22" cm="1">
        <f t="array" ref="CH8">_xlfn.MAP('3757 - Wall Stickers'!B8:B507, '3757 - Wall Stickers'!CH8:CH507, _xlfn.LAMBDA(_xlpm.part, _xlpm.val, IF(_xlpm.part = "", "", IF(AND(_xlpm.val = "", CH$3="Required"), IF(OR('3757 - Wall Stickers'!CH$7 = "", '3757 - Wall Stickers'!CH$7 = "N/A"), "3:Canada Product Restriction - Value is required", ""), ""))))</f>
        <v>0</v>
      </c>
      <c r="CI8" s="22" cm="1">
        <f t="array" ref="CI8">_xlfn.MAP('3757 - Wall Stickers'!B8:B507, '3757 - Wall Stickers'!CI8:CI507, '3757 - Wall Stickers'!CH8:CH507, _xlfn.LAMBDA(_xlpm.part, _xlpm.val, _xlpm.dep1, IF(_xlpm.part = "", "", _xlfn.LET(_xlpm.check1, IF(AND(_xlpm.val = "", _xlpm.dep1 = "No"), "2:Autofill", ""), IF(LEN(_xlpm.check1) &gt; 0, _xlpm.check1, _xlfn.LET(_xlpm.check2, IF(_xlpm.dep1 = "No", IF(_xlpm.val &lt;&gt; "Does Not Apply", "1:Since Canada Product Restriction equals 'No', this value should be 'Does Not Apply'", ""), ""), IF(LEN(_xlpm.check2) &gt; 0, _xlpm.check2, _xlfn.LET(_xlpm.check3, IF(NOT(ISBLANK(_xlpm.val)),_xlfn.LET(_xlpm.items, _xlfn.TEXTSPLIT(_xlpm.val, ";"),_xlpm.trimmed, _xlfn.MAP(_xlpm.items, _xlfn.LAMBDA(_xlpm.x, TRIM(_xlpm.x))),_xlpm.invalid, _xlfn._xlws.FILTER(_xlpm.trimmed, ISNA(MATCH(_xlpm.trimmed, allowed251777, 0)), ""),IF(AND(_xlpm.invalid&lt;&gt;"", COUNTA(_xlpm.invalid)&gt;0),"1:Please select valid values from the provided list. Answers are case-sensitive and must be separated by a semicolon.","")), ""), IF(LEN(_xlpm.check3) &gt; 0, _xlpm.check3, _xlfn.LET(_xlpm.check4, IF(_xlpm.dep1 = "Yes", IF(_xlpm.val = "", IF(OR('3757 - Wall Stickers'!CI$7 = "", '3757 - Wall Stickers'!CI$7 = "N/A"), "3:Since Canada Product Restriction equals 'Yes', this field is required", ""), ""), ""), IF(LEN(_xlpm.check4) &gt; 0, _xlpm.check4, IF(AND(_xlpm.val = "", CI$3="Required"), IF(OR('3757 - Wall Stickers'!CI$7 = "", '3757 - Wall Stickers'!CI$7 = "N/A"), "3:Reason for Restriction - Value is required", ""), ""))))))))))))</f>
        <v>0</v>
      </c>
      <c r="CJ8" s="22" cm="1">
        <f t="array" ref="CJ8">_xlfn.MAP('3757 - Wall Stickers'!B8:B507, '3757 - Wall Stickers'!CJ8:CJ507, _xlfn.LAMBDA(_xlpm.part, _xlpm.val, IF(_xlpm.part = "", "", IF(AND(_xlpm.val = "", CJ$3="Required"), IF(OR('3757 - Wall Stickers'!CJ$7 = "", '3757 - Wall Stickers'!CJ$7 = "N/A"), "3:ISTA Certified - Value is required", ""), ""))))</f>
        <v>0</v>
      </c>
      <c r="CK8" s="22" cm="1">
        <f t="array" ref="CK8">_xlfn.MAP('3757 - Wall Stickers'!B8:B507, '3757 - Wall Stickers'!CK8:CK507, _xlfn.LAMBDA(_xlpm.part, _xlpm.val, IF(_xlpm.part = "", "", IF(AND(_xlpm.val = "", CK$3="Required"), IF(OR('3757 - Wall Stickers'!CK$7 = "", '3757 - Wall Stickers'!CK$7 = "N/A"), "3:Sustainability &amp; Social Responsibility Certifications (North America Only) - Value is required", ""), ""))))</f>
        <v>0</v>
      </c>
      <c r="CL8" s="22" cm="1">
        <f t="array" ref="CL8">_xlfn.MAP('3757 - Wall Stickers'!B8:B507, '3757 - Wall Stickers'!CL8:CL507, _xlfn.LAMBDA(_xlpm.part, _xlpm.val, IF(_xlpm.part = "", "", IF(AND(_xlpm.val = "", CL$3="Required"), IF(OR('3757 - Wall Stickers'!CL$7 = "", '3757 - Wall Stickers'!CL$7 = "N/A"), "3:Warning Required - Value is required", ""), ""))))</f>
        <v>0</v>
      </c>
      <c r="CM8" s="22" cm="1">
        <f t="array" ref="CM8">_xlfn.MAP('3757 - Wall Stickers'!B8:B507, '3757 - Wall Stickers'!CM8:CM507, '3757 - Wall Stickers'!CN8:CN507, '3757 - Wall Stickers'!CL8:CL507, _xlfn.LAMBDA(_xlpm.part, _xlpm.val, _xlpm.dep1, _xlpm.dep2, IF(_xlpm.part = "", "", _xlfn.LET(_xlpm.check1, IF(AND(_xlpm.val = "", CM$3="Required"), IF(OR('3757 - Wall Stickers'!CM$7 = "", '3757 - Wall Stickers'!CM$7 = "N/A"), "3:Chemical - Value is required", ""), ""), IF(LEN(_xlpm.check1) &gt; 0, _xlpm.check1, _xlfn.LET(_xlpm.check2, IF(_xlpm.dep1 &lt;&gt; "", IF(_xlpm.val = "", IF(OR('3757 - Wall Stickers'!CM$7 = "", '3757 - Wall Stickers'!CM$7 = "N/A"), "3:Please provide a chemical", ""), ""), ""), IF(LEN(_xlpm.check2) &gt; 0, _xlpm.check2, IF(_xlpm.dep2 = "Yes", IF(_xlpm.val = "", IF(OR('3757 - Wall Stickers'!CM$7 = "", '3757 - Wall Stickers'!CM$7 = "N/A"), "3:If a warning is required, then a chemical must also be provided", ""), ""), ""))))))))</f>
        <v>0</v>
      </c>
      <c r="CN8" s="22" cm="1">
        <f t="array" ref="CN8">_xlfn.MAP('3757 - Wall Stickers'!B8:B507, '3757 - Wall Stickers'!CN8:CN507, '3757 - Wall Stickers'!CM8:CM507, '3757 - Wall Stickers'!CL8:CL507, _xlfn.LAMBDA(_xlpm.part, _xlpm.val, _xlpm.dep1, _xlpm.dep2, IF(_xlpm.part = "", "", _xlfn.LET(_xlpm.check1, IF(NOT(ISBLANK(_xlpm.val)),_xlfn.LET(_xlpm.items, _xlfn.TEXTSPLIT(_xlpm.val, ";"),_xlpm.trimmed, _xlfn.MAP(_xlpm.items, _xlfn.LAMBDA(_xlpm.x, TRIM(_xlpm.x))),_xlpm.invalid, _xlfn._xlws.FILTER(_xlpm.trimmed, ISNA(MATCH(_xlpm.trimmed, allowedpropSixtyFive__toxicity, 0)), ""),IF(AND(_xlpm.invalid&lt;&gt;"", COUNTA(_xlpm.invalid)&gt;0),"1:Please select valid values from the provided list. Answers are case-sensitive and must be separated by a semicolon.","")), ""), IF(LEN(_xlpm.check1) &gt; 0, _xlpm.check1, _xlfn.LET(_xlpm.check2, IF(AND(_xlpm.val = "", CN$3="Required"), IF(OR('3757 - Wall Stickers'!CN$7 = "", '3757 - Wall Stickers'!CN$7 = "N/A"), "3:Toxicity - Value is required", ""), ""), IF(LEN(_xlpm.check2) &gt; 0, _xlpm.check2, _xlfn.LET(_xlpm.check3, IF(_xlpm.dep1 &lt;&gt; "", IF(_xlpm.val = "", IF(OR('3757 - Wall Stickers'!CN$7 = "", '3757 - Wall Stickers'!CN$7 = "N/A"), "3:Please select a toxicity from the provided dropdown", ""), ""), ""), IF(LEN(_xlpm.check3) &gt; 0, _xlpm.check3, IF(_xlpm.dep2 = "Yes", IF(_xlpm.val = "", IF(OR('3757 - Wall Stickers'!CN$7 = "", '3757 - Wall Stickers'!CN$7 = "N/A"), "3:If a warning is required, then a chemical must also be provided", ""), ""), ""))))))))))</f>
        <v>0</v>
      </c>
      <c r="CO8" s="22" cm="1">
        <f t="array" ref="CO8">_xlfn.MAP('3757 - Wall Stickers'!B8:B507, '3757 - Wall Stickers'!CO8:CO507, '3757 - Wall Stickers'!J8:J507, _xlfn.LAMBDA(_xlpm.part, _xlpm.val, _xlpm.dep1, IF(_xlpm.part = "", "", _xlfn.LET(_xlpm.check1, IF(AND(_xlpm.val = "", _xlpm.dep1 = "NON-PRIMARY VARIANT"), "2:Autofill", ""), IF(LEN(_xlpm.check1) &gt; 0, _xlpm.check1, IF(AND(_xlpm.val = "", CO$3="Required"), IF(OR('3757 - Wall Stickers'!CO$7 = "", '3757 - Wall Stickers'!CO$7 = "N/A"), "3:Country Of Manufacturer - Value is required", ""), ""))))))</f>
        <v>0</v>
      </c>
    </row>
  </sheetData>
  <sheetProtection password="A2E9" sheet="1" objects="1" scenarios="1"/>
  <mergeCells count="9">
    <mergeCell ref="B2:I2"/>
    <mergeCell ref="J2:Q2"/>
    <mergeCell ref="R2:U2"/>
    <mergeCell ref="V2:AA2"/>
    <mergeCell ref="AB2:AL2"/>
    <mergeCell ref="AM2:AP2"/>
    <mergeCell ref="AQ2:BH2"/>
    <mergeCell ref="BI2:CK2"/>
    <mergeCell ref="CL2:CO2"/>
  </mergeCells>
  <dataValidations count="73">
    <dataValidation type="list" allowBlank="1" showInputMessage="1" showErrorMessage="1" errorTitle="Invalid Brand" error="The value provided is not a valid Brand." promptTitle="" prompt="If all products in this class consistently have the same answer, you can set a default value to apply automatically. For any exceptions, you can modify the answer for specific products without changing the default." sqref="D7">
      <formula1>'WAYFAIR_USE_ONLY'!$O$7:$O8</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H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S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T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U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V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W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X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Y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Z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A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B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C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D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E7">
      <formula1>32767</formula1>
    </dataValidation>
    <dataValidation type="list" allowBlank="1" showInputMessage="1" showErrorMessage="1" errorTitle="Invalid Ship Type" error="The value provided is not a valid Ship Type." promptTitle="" prompt="If all products in this class consistently have the same answer, you can set a default value to apply automatically. For any exceptions, you can modify the answer for specific products without changing the default." sqref="AF7">
      <formula1>'WAYFAIR_USE_ONLY'!$T$7:$T9</formula1>
    </dataValidation>
    <dataValidation type="list" allowBlank="1" showInputMessage="1" showErrorMessage="1" errorTitle="Invalid Freight Class" error="The value provided is not a valid Freight Class." promptTitle="" prompt="If all products in this class consistently have the same answer, you can set a default value to apply automatically. For any exceptions, you can modify the answer for specific products without changing the default." sqref="AG7">
      <formula1>'WAYFAIR_USE_ONLY'!$U$7:$U25</formula1>
    </dataValidation>
    <dataValidation type="list" allowBlank="1" showInputMessage="1" showErrorMessage="1" errorTitle="Invalid Lead Time" error="The value provided is not a valid Lead Time." promptTitle="" prompt="If all products in this class consistently have the same answer, you can set a default value to apply automatically. For any exceptions, you can modify the answer for specific products without changing the default." sqref="AH7">
      <formula1>'WAYFAIR_USE_ONLY'!$V$7:$V24</formula1>
    </dataValidation>
    <dataValidation type="list" allowBlank="1" showInputMessage="1" showErrorMessage="1" errorTitle="Invalid Replacement Lead Time" error="The value provided is not a valid Replacement Lead Time." promptTitle="" prompt="If all products in this class consistently have the same answer, you can set a default value to apply automatically. For any exceptions, you can modify the answer for specific products without changing the default." sqref="AI7">
      <formula1>'WAYFAIR_USE_ONLY'!$W$7:$W13</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J7">
      <formula1>32767</formula1>
    </dataValidation>
    <dataValidation type="list" allowBlank="1" showInputMessage="1" showErrorMessage="1" errorTitle="Invalid Flat Pack" error="The value provided is not a valid Flat Pack." promptTitle="" prompt="If all products in this class consistently have the same answer, you can set a default value to apply automatically. For any exceptions, you can modify the answer for specific products without changing the default." sqref="AK7">
      <formula1>'WAYFAIR_USE_ONLY'!$X$7:$X9</formula1>
    </dataValidation>
    <dataValidation type="list" allowBlank="1" showInputMessage="1" showErrorMessage="1" errorTitle="Invalid Ship Palletized" error="The value provided is not a valid Ship Palletized." promptTitle="" prompt="If all products in this class consistently have the same answer, you can set a default value to apply automatically. For any exceptions, you can modify the answer for specific products without changing the default." sqref="AL7">
      <formula1>'WAYFAIR_USE_ONLY'!$Y$7:$Y9</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M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N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O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P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W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Y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AZ7">
      <formula1>'WAYFAIR_USE_ONLY'!$P$7:$P11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A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C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D7">
      <formula1>'WAYFAIR_USE_ONLY'!$P$7:$P11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E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F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G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H7">
      <formula1>'WAYFAIR_USE_ONLY'!$P$7:$P11</formula1>
    </dataValidation>
    <dataValidation type="list" errorStyle="warning" allowBlank="1" showInputMessage="1" showErrorMessage="1" errorTitle="Invalid Product Type" error="The value provided is not a valid Product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I7">
      <formula1>'WAYFAIR_USE_ONLY'!$B$7:$B21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J7"/>
    <dataValidation type="list" errorStyle="warning" allowBlank="1" showInputMessage="1" showErrorMessage="1" errorTitle="Invalid Surface Type" error="The value provided is not a valid Surface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K7">
      <formula1>'WAYFAIR_USE_ONLY'!$C$7:$C17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L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M7"/>
    <dataValidation type="list" allowBlank="1" showInputMessage="1" showErrorMessage="1" errorTitle="Invalid Personalization or Monog" error="The value provided is not a valid Personalization or Monogramming." promptTitle="" prompt="If all products in this class consistently have the same answer, you can set a default value to apply automatically. For any exceptions, you can modify the answer for specific products without changing the default." sqref="BN7">
      <formula1>'WAYFAIR_USE_ONLY'!$D$7:$D11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O7"/>
    <dataValidation type="list" allowBlank="1" showInputMessage="1" showErrorMessage="1" errorTitle="Invalid Holiday / Occasion" error="The value provided is not a valid Holiday / Occasion." promptTitle="" prompt="If all products in this class consistently have the same answer, you can set a default value to apply automatically. For any exceptions, you can modify the answer for specific products without changing the default." sqref="BP7">
      <formula1>'WAYFAIR_USE_ONLY'!$E$7:$E33</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Q7"/>
    <dataValidation type="list" allowBlank="1" showInputMessage="1" showErrorMessage="1" errorTitle="Invalid BPA Free" error="The value provided is not a valid BPA Free." promptTitle="" prompt="If all products in this class consistently have the same answer, you can set a default value to apply automatically. For any exceptions, you can modify the answer for specific products without changing the default." sqref="BR7">
      <formula1>'WAYFAIR_USE_ONLY'!$F$7:$F11</formula1>
    </dataValidation>
    <dataValidation type="list" errorStyle="warning" allowBlank="1" showInputMessage="1" showErrorMessage="1" errorTitle="Invalid Licensed Product Categor" error="The value provided is not a valid Licensed Product Category. Would you like to provide a custom answer?" promptTitle="" prompt="If all products in this class consistently have the same answer, you can set a default value to apply automatically. For any exceptions, you can modify the answer for specific products without changing the default." sqref="BS7">
      <formula1>'WAYFAIR_USE_ONLY'!$G$7:$G14</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T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U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V7"/>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BW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Y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Z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A7"/>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B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C7">
      <formula1>32767</formula1>
    </dataValidation>
    <dataValidation type="list" allowBlank="1" showInputMessage="1" showErrorMessage="1" errorTitle="Invalid Commercial Warranty" error="The value provided is not a valid Commercial Warranty." promptTitle="" prompt="If all products in this class consistently have the same answer, you can set a default value to apply automatically. For any exceptions, you can modify the answer for specific products without changing the default." sqref="CD7">
      <formula1>'WAYFAIR_USE_ONLY'!$I$7:$I10</formula1>
    </dataValidation>
    <dataValidation allowBlank="1" showInputMessage="1" showErrorMessage="1" promptTitle="Class Specific Child Question" prompt="This Question is directly related to the tag &quot;Commercial Warranty Your answer to the related question may influence which answers are accepted here." sqref="CE4"/>
    <dataValidation type="list" allowBlank="1" showInputMessage="1" showErrorMessage="1" errorTitle="Invalid Commercial Warranty Leng" error="The value provided is not a valid Commercial Warranty Length." promptTitle="" prompt="If all products in this class consistently have the same answer, you can set a default value to apply automatically. For any exceptions, you can modify the answer for specific products without changing the default." sqref="CE7">
      <formula1>'WAYFAIR_USE_ONLY'!$H$7:$H32</formula1>
    </dataValidation>
    <dataValidation type="list" allowBlank="1" showInputMessage="1" showErrorMessage="1" errorTitle="Invalid Wayfair Compliance Verif" error="The value provided is not a valid Wayfair Compliance Verified Program (including Baby Safety Alliance fka JPMA) for this product category." promptTitle="" prompt="If all products in this class consistently have the same answer, you can set a default value to apply automatically. For any exceptions, you can modify the answer for specific products without changing the default." sqref="CF7">
      <formula1>'WAYFAIR_USE_ONLY'!$J$7:$J9</formula1>
    </dataValidation>
    <dataValidation type="list" allowBlank="1" showInputMessage="1" showErrorMessage="1" errorTitle="Invalid Uniform Packaging and La" error="The value provided is not a valid Uniform Packaging and Labeling Regulations (UPLR) Compliant." promptTitle="" prompt="If all products in this class consistently have the same answer, you can set a default value to apply automatically. For any exceptions, you can modify the answer for specific products without changing the default." sqref="CG7">
      <formula1>'WAYFAIR_USE_ONLY'!$K$7:$K9</formula1>
    </dataValidation>
    <dataValidation type="list" allowBlank="1" showInputMessage="1" showErrorMessage="1" errorTitle="Invalid Canada Product Restricti" error="The value provided is not a valid Canada Product Restriction." promptTitle="" prompt="If all products in this class consistently have the same answer, you can set a default value to apply automatically. For any exceptions, you can modify the answer for specific products without changing the default." sqref="CH7">
      <formula1>'WAYFAIR_USE_ONLY'!$L$7:$L9</formula1>
    </dataValidation>
    <dataValidation allowBlank="1" showInputMessage="1" showErrorMessage="1" promptTitle="Class Specific Child Question" prompt="This Question is directly related to the tag &quot;Canada Product Restriction Your answer to the related question may influence which answers are accepted here." sqref="CI4"/>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I7"/>
    <dataValidation type="list" allowBlank="1" showInputMessage="1" showErrorMessage="1" errorTitle="Invalid ISTA Certified" error="The value provided is not a valid ISTA Certified." promptTitle="" prompt="If all products in this class consistently have the same answer, you can set a default value to apply automatically. For any exceptions, you can modify the answer for specific products without changing the default." sqref="CJ7">
      <formula1>'WAYFAIR_USE_ONLY'!$M$7:$M10</formula1>
    </dataValidation>
    <dataValidation type="list" allowBlank="1" showInputMessage="1" showErrorMessage="1" errorTitle="Invalid Sustainability &amp; Social " error="The value provided is not a valid Sustainability &amp; Social Responsibility Certifications (North America Only)." promptTitle="" prompt="If all products in this class consistently have the same answer, you can set a default value to apply automatically. For any exceptions, you can modify the answer for specific products without changing the default." sqref="CK7">
      <formula1>'WAYFAIR_USE_ONLY'!$N$7:$N10</formula1>
    </dataValidation>
    <dataValidation type="list" allowBlank="1" showInputMessage="1" showErrorMessage="1" errorTitle="Invalid Warning Required" error="The value provided is not a valid Warning Required." promptTitle="" prompt="If all products in this class consistently have the same answer, you can set a default value to apply automatically. For any exceptions, you can modify the answer for specific products without changing the default." sqref="CL7">
      <formula1>'WAYFAIR_USE_ONLY'!$Q$7:$Q9</formula1>
    </dataValidation>
    <dataValidation type="list" allowBlank="1" showInputMessage="1" showErrorMessage="1" errorTitle="Invalid Chemical" error="The value provided is not a valid Chemical." promptTitle="" prompt="If all products in this class consistently have the same answer, you can set a default value to apply automatically. For any exceptions, you can modify the answer for specific products without changing the default." sqref="CM7">
      <formula1>'WAYFAIR_USE_ONLY'!$R$7:$R908</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N7"/>
    <dataValidation type="list" allowBlank="1" showInputMessage="1" showErrorMessage="1" errorTitle="Invalid Country Of Manufacturer" error="The value provided is not a valid Country Of Manufacturer." promptTitle="" prompt="If all products in this class consistently have the same answer, you can set a default value to apply automatically. For any exceptions, you can modify the answer for specific products without changing the default." sqref="CO7">
      <formula1>'WAYFAIR_USE_ONLY'!$S$7:$S254</formula1>
    </dataValidation>
  </dataValidations>
  <hyperlinks>
    <hyperlink ref="D6" location="'Valid Values'!A1" display="Select"/>
    <hyperlink ref="J6" location="'Valid Values'!B1" display="Select"/>
    <hyperlink ref="L6" location="'Valid Values'!C1" display="Select"/>
    <hyperlink ref="N6" location="'Valid Values'!C1" display="Select"/>
    <hyperlink ref="P6" location="'Valid Values'!C1" display="Select"/>
    <hyperlink ref="AF6" location="'Valid Values'!E1" display="Select"/>
    <hyperlink ref="AG6" location="'Valid Values'!F1" display="Select"/>
    <hyperlink ref="AH6" location="'Valid Values'!G1" display="Select"/>
    <hyperlink ref="AI6" location="'Valid Values'!H1" display="Select"/>
    <hyperlink ref="AX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AY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AZ6" location="'Valid Values'!K1" display="Select"/>
    <hyperlink ref="BB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C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D6" location="'Valid Values'!K1" display="Select"/>
    <hyperlink ref="BF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G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H6" location="'Valid Values'!K1" display="Select"/>
    <hyperlink ref="BI6" location="'Valid Values'!L1" display="Select"/>
    <hyperlink ref="BJ6" location="'Valid Values'!M1" display="Please choose one or more from the following, using a semicolon (;) to separate each value: Insects; Religious &amp; Spiritual; Scenic &amp; Cityscapes; Animals; Furniture; Novelty &amp; Humor; Plants &amp; Flowers; STEM; Fashion; Geography; Buildings &amp; Architecture; Transportation; Nautical &amp; Beach; Abstract; Patriotic; Food &amp; Beverage; Fantasy &amp; Sci-Fi; Bath &amp; Laundry; History &amp; Language; Entertainment; Astrology &amp; Stars; Cities &amp; Countries; Disney/Pixar; No Subject; People; Sports; Landscape &amp; Nature; Text &amp; Numbers; Education; Birds; U.S. States &amp; Territories; Unavailable"/>
    <hyperlink ref="BK6" location="'Valid Values'!N1" display="Select"/>
    <hyperlink ref="BL6" location="'Valid Values'!O1" display="Please choose one or more from the following, using a semicolon (;) to separate each value: Polycarbonate (PC); Polyethylene Plastic; Glass; Silicone; Stainless Steel; Melamine; Polypropylene; Cane; Raffia; Mango Wood; Aluminum; Linen Blend; Acrylic; Limestone; Artificial Grass; Antler; HDPE; Jersey; Linen; Foam; Cowhide; Copper / Copper Plated; Engineered Wood; Cast Aluminum; Flat Wire; Crystal; Fleece / Microfiber; Cardboard / Paper; Chenille; Cherry Wood; Handblown Glass; Cement; Flannel; Chrome; Enamelware; Enameled Cast Iron; Agate / Geode; Fiberglass; Bronze; Cast Iron; Bamboo Slat / Seagrass; Beaded; Alpaca; Felt; Denim; Clay; Gel; Coir; Cardboard; Leather; Cashmere; Galvanized Steel; Hemp; Fireclay; Anodized Aluminum; Blended Fabric; Bamboo; Brass; Burlap; Ceramic; Canvas; Composite; Carbon Steel; Compressed Polyester; Ceramic / Porcelain; Bone China; Cedar; Concrete; Cotton; Earthenware; Engineered Stone; Concrete / Cement; Corrugated; Enamel / Lacquer; Cotton Blend; Compressed Stone; Copper; Faux Leather; Fabric; Faux Sheepskin; Fiberstone; Fine Silver; Hard-Anodized Aluminum; Granite; Heavy Gauge Wire; Faux Fur; Faux Mohair; Faux Cowhide; Iron; High Leaded Crystal; Marble; Lead Crystal; Ironstone; Leather / Faux Leather; Latex; Jute; Lead Free Crystal; Lace; Jute / Sisal; Laminate; Marble / Granite; Mercury Glass; Medium Density Fiberboard (MDF); Mesh; Merino Wool; Memory Foam; Natural Stone; Microfiber / Polyester; Natural Fiber; Microfiber; Natural Fibers; Magnet; Muslin; Metal; Microfiber / Microsuede; Paper; Olefin; Nickel; PEVA; Nylon; Oak; Oxford Fabric; Polyamide; Plywood; Pinecones; Plastic / Acrylic; Pewter; Polycarbonate Plastic; Nickel Plated; Plastic; Polyester; Polymer; Polyester Fill; Polystyrene; Polyvinyl Chloride (PVC); Polyurethane; Porcelain China; Powder Coated Steel; Polypropylene Plastic; Porcelain Enameled Steel; Porcelain; Powder Coated Aluminum; Polyester Blend; Polyresin; Polymarble; Polyurethane (PU); Sandstone; Silver; Sheepskin; Sateen; Rayon / Viscose; Rayon from Bamboo; Silver Plated; Sherpa; Quartz; S"/>
    <hyperlink ref="BM6" location="'Valid Values'!P1" display="Please choose one or more from the following, using a semicolon (;) to separate each value: Acrylic Panel; Glass Wall; Orange Peel Wall; Brick Wall; Gypsum Wall; Laminate; Plywood Wall; Textured Wall; Drywall; Existing Tile; Cement Wall; Solid Wood; Wallpaper; Stucco Wall; Ceramic Tile Wall; Stainless Steel; Painted Gypsum; Concrete; Mirror; Stone Wall; Medium Density Fiberboard; Chalkboard; Flat Surface; Appliance; Multi-Surface; Unavailable"/>
    <hyperlink ref="BO6" location="'Valid Values'!Q1" display="Please choose one or more from the following, using a semicolon (;) to separate each value: Bedroom; Dining Room; Kitchen; Living Room; Bathroom; Laundry Room; Nursery; Pantry; Home Office; Game Room; Foyer; Playroom; Patio; Closet; Restaurant Dining Room; Basement; Garage/Shop; Commercial Office; Backyard; Mudroom/Deck; School Classroom; Hotel Room; Lobby/Reception; Hallway; Studio; Art School; Commercial Kitchen; Unavailable; Does Not Apply"/>
    <hyperlink ref="BP6" location="'Valid Values'!R1" display="Select"/>
    <hyperlink ref="BQ6" location="'Valid Values'!S1" display="Please choose one or more from the following, using a semicolon (;) to separate each value: Made in USA; Made in USA of Imported Materials; Product of Canada; Made In Canada; Does Not Apply"/>
    <hyperlink ref="BS6" location="'Valid Values'!T1" display="Select"/>
    <hyperlink ref="BT6" location="'Valid Values'!U1" display="Please choose one or more from the following, using a semicolon (;) to separate each value: Mold / Mildew Resistant; Water Resistant; No Durability Features; Fade Resistant; Heat Resistant; Stain Resistant; Shatter Resistant; Tip Resistant; Waterproof; Weather Resistant; Rust Resistant; Antimicrobial; Anodic Protection; Condensation Free; Predator Resistant; Drill Resistant; Pry Resistant; Fray Resistant; Non-Staining"/>
    <hyperlink ref="BU6" location="'Valid Values'!V1" display="Please choose one or more from the following, using a semicolon (;) to separate each value: Foldable / Folding; Ergonomic; Reversible; Collapsible; Extendable; Tilt; Configurable / Modular; Swivel; Trimmable; Removable; Convertible; Rotating; Lift Assist; Reclining; Double Sided; Retractable; Glider; Wall Recline; Adjustable; Swing Arm; Temperature; Stackable; Tilt Lock; Tilt Out; Tilting; Unavailable; Does Not Apply"/>
    <hyperlink ref="BV6" location="'Valid Values'!W1" display="Please choose one or more from the following, using a semicolon (;) to separate each value: Blue; Black; Brown; Red; Beige; Yellow; Pink; Purple; Gold; White; Ivory; Tan; Teal; Navy; Orange; Silver; Gray; Green; Cream; Clear"/>
    <hyperlink ref="BX6" location="'Valid Values'!X1" display="Please choose one or more from the following, using a semicolon (;) to separate each value: Handle(s); Paste; Unavailable; Does Not Apply"/>
    <hyperlink ref="BY6" location="'Valid Values'!Y1" display="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hyperlink ref="BZ6" location="'Valid Values'!Z1" display="Please choose one or more from the following, using a semicolon (;) to separate each value: Breathable; Dual Sided; Animated; Double Sided; Non-Wall Damaging; Reusable; Vintage; Window Clinging"/>
    <hyperlink ref="CA6" location="'Valid Values'!AA1" display="Please choose one or more from the following, using a semicolon (;) to separate each value: Newborn (Birth - 6 months old); Infant (6 - 12 Months); Toddler (1 - 3 Years); Pre-school (3 - 5 Years); Youth (5 - 8 Years); Pre-teen (9 - 12 Years); Teen (13+); Adult (18+); All Ages; Adult; Baby; Kid; Teen; Toddler; Unavailable"/>
    <hyperlink ref="CE6" location="'Valid Values'!AB1" display="Select"/>
    <hyperlink ref="CF6" location="'Valid Values'!AC1" display="Select"/>
    <hyperlink ref="CG6" location="'Valid Values'!AD1" display="Select"/>
    <hyperlink ref="CI6" location="'Valid Values'!AE1" display="Please choose one or more from the following, using a semicolon (;) to separate each value: Dual Language; Distribution Conflict; Logistics; Does Not Apply"/>
    <hyperlink ref="CJ6" location="'Valid Values'!AF1" display="Select"/>
    <hyperlink ref="CM6" location="'Valid Values'!AG1" display="Select"/>
    <hyperlink ref="CN6" location="'Valid Values'!AH1" display="Please choose one or more from the following, using a semicolon (;) to separate each value: Cancer; Developmental"/>
    <hyperlink ref="CO6" location="'Valid Values'!AI1" display="Select"/>
  </hyperlink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dimension ref="A1:CO8"/>
  <sheetViews>
    <sheetView workbookViewId="0"/>
  </sheetViews>
  <sheetFormatPr defaultRowHeight="15"/>
  <cols>
    <col min="2" max="2" width="25.7109375" style="22" customWidth="1"/>
    <col min="3" max="3" width="22.7109375" style="22" customWidth="1"/>
    <col min="4" max="4" width="10.7109375" style="22" customWidth="1"/>
    <col min="5" max="5" width="29.7109375" style="22" customWidth="1"/>
    <col min="6" max="6" width="27.7109375" style="22" customWidth="1"/>
    <col min="7" max="7" width="17.7109375" style="22" customWidth="1"/>
    <col min="8" max="8" width="20.7109375" style="22" customWidth="1"/>
    <col min="9" max="9" width="29.7109375" style="22" customWidth="1"/>
    <col min="10" max="10" width="17.7109375" style="22" customWidth="1"/>
    <col min="11" max="12" width="23.7109375" style="22" customWidth="1"/>
    <col min="13" max="13" width="37.7109375" style="22" customWidth="1"/>
    <col min="14" max="14" width="23.7109375" style="22" customWidth="1"/>
    <col min="15" max="15" width="37.7109375" style="22" customWidth="1"/>
    <col min="16" max="16" width="23.7109375" style="22" customWidth="1"/>
    <col min="17" max="17" width="37.7109375" style="22" customWidth="1"/>
    <col min="18" max="18" width="14.7109375" style="22" customWidth="1"/>
    <col min="19" max="19" width="29.7109375" style="22" customWidth="1"/>
    <col min="20" max="20" width="40.7109375" style="22" customWidth="1"/>
    <col min="21" max="21" width="31.7109375" style="22" customWidth="1"/>
    <col min="22" max="22" width="19.7109375" style="22" customWidth="1"/>
    <col min="23" max="27" width="21.7109375" style="22" customWidth="1"/>
    <col min="28" max="28" width="27.7109375" style="22" customWidth="1"/>
    <col min="29" max="29" width="30.7109375" style="22" customWidth="1"/>
    <col min="30" max="30" width="25.7109375" style="22" customWidth="1"/>
    <col min="31" max="31" width="19.7109375" style="22" customWidth="1"/>
    <col min="32" max="32" width="14.7109375" style="22" customWidth="1"/>
    <col min="33" max="33" width="18.7109375" style="22" customWidth="1"/>
    <col min="34" max="34" width="14.7109375" style="22" customWidth="1"/>
    <col min="35" max="35" width="26.7109375" style="22" customWidth="1"/>
    <col min="36" max="36" width="33.7109375" style="22" customWidth="1"/>
    <col min="37" max="37" width="14.7109375" style="22" customWidth="1"/>
    <col min="38" max="40" width="20.7109375" style="22" customWidth="1"/>
    <col min="41" max="42" width="19.7109375" style="22" customWidth="1"/>
    <col min="43" max="48" width="29.7109375" style="22" customWidth="1"/>
    <col min="49" max="49" width="32.7109375" style="22" customWidth="1"/>
    <col min="50" max="50" width="20.7109375" style="22" customWidth="1"/>
    <col min="51" max="51" width="26.7109375" style="22" customWidth="1"/>
    <col min="52" max="52" width="22.7109375" style="22" customWidth="1"/>
    <col min="53" max="53" width="32.7109375" style="22" customWidth="1"/>
    <col min="54" max="54" width="20.7109375" style="22" customWidth="1"/>
    <col min="55" max="55" width="26.7109375" style="22" customWidth="1"/>
    <col min="56" max="56" width="22.7109375" style="22" customWidth="1"/>
    <col min="57" max="57" width="32.7109375" style="22" customWidth="1"/>
    <col min="58" max="58" width="20.7109375" style="22" customWidth="1"/>
    <col min="59" max="59" width="26.7109375" style="22" customWidth="1"/>
    <col min="60" max="60" width="22.7109375" style="22" customWidth="1"/>
    <col min="61" max="61" width="17.7109375" style="22" customWidth="1"/>
    <col min="62" max="62" width="12.7109375" style="22" customWidth="1"/>
    <col min="63" max="63" width="17.7109375" style="22" customWidth="1"/>
    <col min="64" max="64" width="13.7109375" style="22" customWidth="1"/>
    <col min="65" max="65" width="24.7109375" style="22" customWidth="1"/>
    <col min="66" max="66" width="36.7109375" style="22" customWidth="1"/>
    <col min="67" max="67" width="13.7109375" style="22" customWidth="1"/>
    <col min="68" max="68" width="23.7109375" style="22" customWidth="1"/>
    <col min="69" max="69" width="43.7109375" style="22" customWidth="1"/>
    <col min="70" max="70" width="13.7109375" style="22" customWidth="1"/>
    <col min="71" max="71" width="30.7109375" style="22" customWidth="1"/>
    <col min="72" max="72" width="15.7109375" style="22" customWidth="1"/>
    <col min="73" max="73" width="27.7109375" style="22" customWidth="1"/>
    <col min="74" max="74" width="10.7109375" style="22" customWidth="1"/>
    <col min="75" max="75" width="36.7109375" style="22" customWidth="1"/>
    <col min="76" max="76" width="20.7109375" style="22" customWidth="1"/>
    <col min="77" max="77" width="29.7109375" style="22" customWidth="1"/>
    <col min="78" max="78" width="21.7109375" style="22" customWidth="1"/>
    <col min="79" max="79" width="14.7109375" style="22" customWidth="1"/>
    <col min="80" max="80" width="35.7109375" style="22" customWidth="1"/>
    <col min="81" max="81" width="33.7109375" style="22" customWidth="1"/>
    <col min="82" max="82" width="24.7109375" style="22" customWidth="1"/>
    <col min="83" max="83" width="31.7109375" style="22" customWidth="1"/>
    <col min="84" max="84" width="108.7109375" style="22" customWidth="1"/>
    <col min="85" max="85" width="64.7109375" style="22" customWidth="1"/>
    <col min="86" max="86" width="31.7109375" style="22" customWidth="1"/>
    <col min="87" max="87" width="27.7109375" style="22" customWidth="1"/>
    <col min="88" max="88" width="19.7109375" style="22" customWidth="1"/>
    <col min="89" max="89" width="79.7109375" style="22" customWidth="1"/>
    <col min="90" max="90" width="21.7109375" style="22" customWidth="1"/>
    <col min="91" max="92" width="15.7109375" style="22" customWidth="1"/>
    <col min="93" max="93" width="28.7109375" style="22" customWidth="1"/>
  </cols>
  <sheetData>
    <row r="1" spans="1:93" hidden="1">
      <c r="B1" s="22" t="s">
        <v>2221</v>
      </c>
      <c r="C1" s="22" t="s">
        <v>2225</v>
      </c>
      <c r="D1" s="22" t="s">
        <v>2229</v>
      </c>
      <c r="E1" s="22" t="s">
        <v>2233</v>
      </c>
      <c r="F1" s="22" t="s">
        <v>2236</v>
      </c>
      <c r="G1" s="22" t="s">
        <v>2239</v>
      </c>
      <c r="H1" s="22" t="s">
        <v>2242</v>
      </c>
      <c r="I1" s="22" t="s">
        <v>2245</v>
      </c>
      <c r="J1" s="22" t="s">
        <v>2248</v>
      </c>
      <c r="K1" s="22" t="s">
        <v>2251</v>
      </c>
      <c r="L1" s="22" t="s">
        <v>2254</v>
      </c>
      <c r="M1" s="22" t="s">
        <v>2257</v>
      </c>
      <c r="N1" s="22" t="s">
        <v>2254</v>
      </c>
      <c r="O1" s="22" t="s">
        <v>2257</v>
      </c>
      <c r="P1" s="22" t="s">
        <v>2254</v>
      </c>
      <c r="Q1" s="22" t="s">
        <v>2257</v>
      </c>
      <c r="R1" s="22" t="s">
        <v>2264</v>
      </c>
      <c r="S1" s="22" t="s">
        <v>2268</v>
      </c>
      <c r="T1" s="22" t="s">
        <v>2271</v>
      </c>
      <c r="U1" s="22" t="s">
        <v>2274</v>
      </c>
      <c r="V1" s="22" t="s">
        <v>2277</v>
      </c>
      <c r="W1" s="22" t="s">
        <v>2280</v>
      </c>
      <c r="X1" s="22" t="s">
        <v>2280</v>
      </c>
      <c r="Y1" s="22" t="s">
        <v>2280</v>
      </c>
      <c r="Z1" s="22" t="s">
        <v>2280</v>
      </c>
      <c r="AA1" s="22" t="s">
        <v>2280</v>
      </c>
      <c r="AB1" s="22" t="s">
        <v>2287</v>
      </c>
      <c r="AC1" s="22" t="s">
        <v>2291</v>
      </c>
      <c r="AD1" s="22" t="s">
        <v>2294</v>
      </c>
      <c r="AE1" s="22" t="s">
        <v>2297</v>
      </c>
      <c r="AF1" s="22" t="s">
        <v>2300</v>
      </c>
      <c r="AG1" s="22" t="s">
        <v>2303</v>
      </c>
      <c r="AH1" s="22" t="s">
        <v>2306</v>
      </c>
      <c r="AI1" s="22" t="s">
        <v>2309</v>
      </c>
      <c r="AJ1" s="22" t="s">
        <v>2312</v>
      </c>
      <c r="AK1" s="22" t="s">
        <v>2315</v>
      </c>
      <c r="AL1" s="22" t="s">
        <v>2318</v>
      </c>
      <c r="AM1" s="22" t="s">
        <v>2321</v>
      </c>
      <c r="AN1" s="22" t="s">
        <v>2324</v>
      </c>
      <c r="AO1" s="22" t="s">
        <v>2327</v>
      </c>
      <c r="AP1" s="22" t="s">
        <v>2330</v>
      </c>
      <c r="AQ1" s="22" t="s">
        <v>2333</v>
      </c>
      <c r="AR1" s="22" t="s">
        <v>2333</v>
      </c>
      <c r="AS1" s="22" t="s">
        <v>2333</v>
      </c>
      <c r="AT1" s="22" t="s">
        <v>2333</v>
      </c>
      <c r="AU1" s="22" t="s">
        <v>2333</v>
      </c>
      <c r="AV1" s="22" t="s">
        <v>2340</v>
      </c>
      <c r="AW1" s="22" t="s">
        <v>2343</v>
      </c>
      <c r="AX1" s="22" t="s">
        <v>2346</v>
      </c>
      <c r="AY1" s="22" t="s">
        <v>2350</v>
      </c>
      <c r="AZ1" s="22" t="s">
        <v>2354</v>
      </c>
      <c r="BA1" s="22" t="s">
        <v>2343</v>
      </c>
      <c r="BB1" s="22" t="s">
        <v>2346</v>
      </c>
      <c r="BC1" s="22" t="s">
        <v>2350</v>
      </c>
      <c r="BD1" s="22" t="s">
        <v>2354</v>
      </c>
      <c r="BE1" s="22" t="s">
        <v>2343</v>
      </c>
      <c r="BF1" s="22" t="s">
        <v>2346</v>
      </c>
      <c r="BG1" s="22" t="s">
        <v>2350</v>
      </c>
      <c r="BH1" s="22" t="s">
        <v>2354</v>
      </c>
      <c r="BI1" s="22" t="s">
        <v>2365</v>
      </c>
      <c r="BJ1" s="22" t="s">
        <v>2368</v>
      </c>
      <c r="BK1" s="22" t="s">
        <v>2372</v>
      </c>
      <c r="BL1" s="22" t="s">
        <v>2375</v>
      </c>
      <c r="BM1" s="22" t="s">
        <v>2379</v>
      </c>
      <c r="BN1" s="22" t="s">
        <v>2383</v>
      </c>
      <c r="BO1" s="22" t="s">
        <v>2386</v>
      </c>
      <c r="BP1" s="22" t="s">
        <v>2390</v>
      </c>
      <c r="BQ1" s="22" t="s">
        <v>2393</v>
      </c>
      <c r="BR1" s="22" t="s">
        <v>2397</v>
      </c>
      <c r="BS1" s="22" t="s">
        <v>2400</v>
      </c>
      <c r="BT1" s="22" t="s">
        <v>2403</v>
      </c>
      <c r="BU1" s="22" t="s">
        <v>2407</v>
      </c>
      <c r="BV1" s="22" t="s">
        <v>2411</v>
      </c>
      <c r="BW1" s="22" t="s">
        <v>2414</v>
      </c>
      <c r="BX1" s="22" t="s">
        <v>2417</v>
      </c>
      <c r="BY1" s="22" t="s">
        <v>2421</v>
      </c>
      <c r="BZ1" s="22" t="s">
        <v>2425</v>
      </c>
      <c r="CA1" s="22" t="s">
        <v>2429</v>
      </c>
      <c r="CB1" s="22" t="s">
        <v>2433</v>
      </c>
      <c r="CC1" s="22" t="s">
        <v>2436</v>
      </c>
      <c r="CD1" s="22" t="s">
        <v>2439</v>
      </c>
      <c r="CE1" s="22" t="s">
        <v>2442</v>
      </c>
      <c r="CF1" s="22" t="s">
        <v>2445</v>
      </c>
      <c r="CG1" s="22" t="s">
        <v>2448</v>
      </c>
      <c r="CH1" s="22" t="s">
        <v>2451</v>
      </c>
      <c r="CI1" s="22" t="s">
        <v>2454</v>
      </c>
      <c r="CJ1" s="22" t="s">
        <v>2458</v>
      </c>
      <c r="CK1" s="22" t="s">
        <v>2461</v>
      </c>
      <c r="CL1" s="22" t="s">
        <v>2464</v>
      </c>
      <c r="CM1" s="22" t="s">
        <v>2467</v>
      </c>
      <c r="CN1" s="22" t="s">
        <v>2470</v>
      </c>
      <c r="CO1" s="22" t="s">
        <v>2474</v>
      </c>
    </row>
    <row r="2" spans="1:93">
      <c r="B2" s="23" t="s">
        <v>2477</v>
      </c>
      <c r="J2" s="24" t="s">
        <v>2478</v>
      </c>
      <c r="R2" s="25" t="s">
        <v>2479</v>
      </c>
      <c r="V2" s="26" t="s">
        <v>2480</v>
      </c>
      <c r="AB2" s="27" t="s">
        <v>2481</v>
      </c>
      <c r="AM2" s="28" t="s">
        <v>2482</v>
      </c>
      <c r="AQ2" s="29" t="s">
        <v>2483</v>
      </c>
      <c r="BI2" s="30" t="s">
        <v>2484</v>
      </c>
      <c r="CL2" s="31" t="s">
        <v>2485</v>
      </c>
    </row>
    <row r="3" spans="1:93">
      <c r="B3" s="32" t="s">
        <v>58</v>
      </c>
      <c r="C3" s="32" t="s">
        <v>62</v>
      </c>
      <c r="D3" s="32" t="s">
        <v>58</v>
      </c>
      <c r="E3" s="32" t="s">
        <v>58</v>
      </c>
      <c r="F3" s="32" t="s">
        <v>60</v>
      </c>
      <c r="G3" s="32" t="s">
        <v>58</v>
      </c>
      <c r="H3" s="32" t="s">
        <v>62</v>
      </c>
      <c r="I3" s="32" t="s">
        <v>62</v>
      </c>
      <c r="J3" s="32" t="s">
        <v>58</v>
      </c>
      <c r="K3" s="32" t="s">
        <v>64</v>
      </c>
      <c r="L3" s="32" t="s">
        <v>60</v>
      </c>
      <c r="M3" s="32" t="s">
        <v>64</v>
      </c>
      <c r="N3" s="32" t="s">
        <v>60</v>
      </c>
      <c r="O3" s="32" t="s">
        <v>64</v>
      </c>
      <c r="P3" s="32" t="s">
        <v>60</v>
      </c>
      <c r="Q3" s="32" t="s">
        <v>64</v>
      </c>
      <c r="R3" s="32" t="s">
        <v>58</v>
      </c>
      <c r="S3" s="32" t="s">
        <v>62</v>
      </c>
      <c r="T3" s="32" t="s">
        <v>62</v>
      </c>
      <c r="U3" s="32" t="s">
        <v>62</v>
      </c>
      <c r="V3" s="32" t="s">
        <v>64</v>
      </c>
      <c r="W3" s="32" t="s">
        <v>64</v>
      </c>
      <c r="X3" s="32" t="s">
        <v>64</v>
      </c>
      <c r="Y3" s="32" t="s">
        <v>64</v>
      </c>
      <c r="Z3" s="32" t="s">
        <v>64</v>
      </c>
      <c r="AA3" s="32" t="s">
        <v>64</v>
      </c>
      <c r="AB3" s="32" t="s">
        <v>58</v>
      </c>
      <c r="AC3" s="32" t="s">
        <v>58</v>
      </c>
      <c r="AD3" s="32" t="s">
        <v>58</v>
      </c>
      <c r="AE3" s="32" t="s">
        <v>58</v>
      </c>
      <c r="AF3" s="32" t="s">
        <v>58</v>
      </c>
      <c r="AG3" s="32" t="s">
        <v>64</v>
      </c>
      <c r="AH3" s="32" t="s">
        <v>58</v>
      </c>
      <c r="AI3" s="32" t="s">
        <v>58</v>
      </c>
      <c r="AJ3" s="32" t="s">
        <v>62</v>
      </c>
      <c r="AK3" s="32" t="s">
        <v>62</v>
      </c>
      <c r="AL3" s="32" t="s">
        <v>62</v>
      </c>
      <c r="AM3" s="32" t="s">
        <v>58</v>
      </c>
      <c r="AN3" s="32" t="s">
        <v>58</v>
      </c>
      <c r="AO3" s="32" t="s">
        <v>58</v>
      </c>
      <c r="AP3" s="32" t="s">
        <v>58</v>
      </c>
      <c r="AQ3" s="32" t="s">
        <v>58</v>
      </c>
      <c r="AR3" s="32" t="s">
        <v>62</v>
      </c>
      <c r="AS3" s="32" t="s">
        <v>62</v>
      </c>
      <c r="AT3" s="32" t="s">
        <v>62</v>
      </c>
      <c r="AU3" s="32" t="s">
        <v>62</v>
      </c>
      <c r="AV3" s="32" t="s">
        <v>62</v>
      </c>
      <c r="AW3" s="32" t="s">
        <v>64</v>
      </c>
      <c r="AX3" s="32" t="s">
        <v>64</v>
      </c>
      <c r="AY3" s="32" t="s">
        <v>64</v>
      </c>
      <c r="AZ3" s="32" t="s">
        <v>64</v>
      </c>
      <c r="BA3" s="32" t="s">
        <v>64</v>
      </c>
      <c r="BB3" s="32" t="s">
        <v>64</v>
      </c>
      <c r="BC3" s="32" t="s">
        <v>64</v>
      </c>
      <c r="BD3" s="32" t="s">
        <v>64</v>
      </c>
      <c r="BE3" s="32" t="s">
        <v>64</v>
      </c>
      <c r="BF3" s="32" t="s">
        <v>64</v>
      </c>
      <c r="BG3" s="32" t="s">
        <v>64</v>
      </c>
      <c r="BH3" s="32" t="s">
        <v>64</v>
      </c>
      <c r="BI3" s="32" t="s">
        <v>58</v>
      </c>
      <c r="BJ3" s="32" t="s">
        <v>60</v>
      </c>
      <c r="BK3" s="32" t="s">
        <v>58</v>
      </c>
      <c r="BL3" s="32" t="s">
        <v>58</v>
      </c>
      <c r="BM3" s="32" t="s">
        <v>58</v>
      </c>
      <c r="BN3" s="32" t="s">
        <v>60</v>
      </c>
      <c r="BO3" s="32" t="s">
        <v>60</v>
      </c>
      <c r="BP3" s="32" t="s">
        <v>60</v>
      </c>
      <c r="BQ3" s="32" t="s">
        <v>62</v>
      </c>
      <c r="BR3" s="32" t="s">
        <v>58</v>
      </c>
      <c r="BS3" s="32" t="s">
        <v>60</v>
      </c>
      <c r="BT3" s="32" t="s">
        <v>60</v>
      </c>
      <c r="BU3" s="32" t="s">
        <v>60</v>
      </c>
      <c r="BV3" s="32" t="s">
        <v>58</v>
      </c>
      <c r="BW3" s="32" t="s">
        <v>60</v>
      </c>
      <c r="BX3" s="32" t="s">
        <v>58</v>
      </c>
      <c r="BY3" s="32" t="s">
        <v>60</v>
      </c>
      <c r="BZ3" s="32" t="s">
        <v>60</v>
      </c>
      <c r="CA3" s="32" t="s">
        <v>60</v>
      </c>
      <c r="CB3" s="32" t="s">
        <v>58</v>
      </c>
      <c r="CC3" s="32" t="s">
        <v>58</v>
      </c>
      <c r="CD3" s="32" t="s">
        <v>60</v>
      </c>
      <c r="CE3" s="32" t="s">
        <v>60</v>
      </c>
      <c r="CF3" s="32" t="s">
        <v>58</v>
      </c>
      <c r="CG3" s="32" t="s">
        <v>58</v>
      </c>
      <c r="CH3" s="32" t="s">
        <v>58</v>
      </c>
      <c r="CI3" s="32" t="s">
        <v>58</v>
      </c>
      <c r="CJ3" s="32" t="s">
        <v>60</v>
      </c>
      <c r="CK3" s="32" t="s">
        <v>60</v>
      </c>
      <c r="CL3" s="32" t="s">
        <v>58</v>
      </c>
      <c r="CM3" s="32" t="s">
        <v>64</v>
      </c>
      <c r="CN3" s="32" t="s">
        <v>64</v>
      </c>
      <c r="CO3" s="32" t="s">
        <v>58</v>
      </c>
    </row>
    <row r="4" spans="1:93" ht="50" customHeight="1">
      <c r="B4" s="19" t="s">
        <v>2222</v>
      </c>
      <c r="C4" s="19" t="s">
        <v>2226</v>
      </c>
      <c r="D4" s="19" t="s">
        <v>2230</v>
      </c>
      <c r="E4" s="19" t="s">
        <v>2234</v>
      </c>
      <c r="F4" s="19" t="s">
        <v>2237</v>
      </c>
      <c r="G4" s="19" t="s">
        <v>2240</v>
      </c>
      <c r="H4" s="19" t="s">
        <v>2243</v>
      </c>
      <c r="I4" s="19" t="s">
        <v>2246</v>
      </c>
      <c r="J4" s="19" t="s">
        <v>2249</v>
      </c>
      <c r="K4" s="19" t="s">
        <v>2252</v>
      </c>
      <c r="L4" s="19" t="s">
        <v>2255</v>
      </c>
      <c r="M4" s="19" t="s">
        <v>2258</v>
      </c>
      <c r="N4" s="19" t="s">
        <v>2260</v>
      </c>
      <c r="O4" s="19" t="s">
        <v>2261</v>
      </c>
      <c r="P4" s="19" t="s">
        <v>2262</v>
      </c>
      <c r="Q4" s="19" t="s">
        <v>2263</v>
      </c>
      <c r="R4" s="19" t="s">
        <v>2265</v>
      </c>
      <c r="S4" s="19" t="s">
        <v>2269</v>
      </c>
      <c r="T4" s="19" t="s">
        <v>2272</v>
      </c>
      <c r="U4" s="19" t="s">
        <v>2275</v>
      </c>
      <c r="V4" s="19" t="s">
        <v>2278</v>
      </c>
      <c r="W4" s="19" t="s">
        <v>2281</v>
      </c>
      <c r="X4" s="19" t="s">
        <v>2283</v>
      </c>
      <c r="Y4" s="19" t="s">
        <v>2284</v>
      </c>
      <c r="Z4" s="19" t="s">
        <v>2285</v>
      </c>
      <c r="AA4" s="19" t="s">
        <v>2286</v>
      </c>
      <c r="AB4" s="19" t="s">
        <v>2288</v>
      </c>
      <c r="AC4" s="19" t="s">
        <v>2292</v>
      </c>
      <c r="AD4" s="19" t="s">
        <v>2295</v>
      </c>
      <c r="AE4" s="19" t="s">
        <v>2298</v>
      </c>
      <c r="AF4" s="19" t="s">
        <v>2301</v>
      </c>
      <c r="AG4" s="19" t="s">
        <v>2304</v>
      </c>
      <c r="AH4" s="19" t="s">
        <v>2307</v>
      </c>
      <c r="AI4" s="19" t="s">
        <v>2310</v>
      </c>
      <c r="AJ4" s="19" t="s">
        <v>2313</v>
      </c>
      <c r="AK4" s="19" t="s">
        <v>2316</v>
      </c>
      <c r="AL4" s="19" t="s">
        <v>2319</v>
      </c>
      <c r="AM4" s="19" t="s">
        <v>2322</v>
      </c>
      <c r="AN4" s="19" t="s">
        <v>2325</v>
      </c>
      <c r="AO4" s="19" t="s">
        <v>2328</v>
      </c>
      <c r="AP4" s="19" t="s">
        <v>2331</v>
      </c>
      <c r="AQ4" s="19" t="s">
        <v>2334</v>
      </c>
      <c r="AR4" s="19" t="s">
        <v>2336</v>
      </c>
      <c r="AS4" s="19" t="s">
        <v>2337</v>
      </c>
      <c r="AT4" s="19" t="s">
        <v>2338</v>
      </c>
      <c r="AU4" s="19" t="s">
        <v>2339</v>
      </c>
      <c r="AV4" s="19" t="s">
        <v>2341</v>
      </c>
      <c r="AW4" s="19" t="s">
        <v>2344</v>
      </c>
      <c r="AX4" s="19" t="s">
        <v>2347</v>
      </c>
      <c r="AY4" s="19" t="s">
        <v>2351</v>
      </c>
      <c r="AZ4" s="19" t="s">
        <v>2355</v>
      </c>
      <c r="BA4" s="19" t="s">
        <v>2357</v>
      </c>
      <c r="BB4" s="19" t="s">
        <v>2358</v>
      </c>
      <c r="BC4" s="19" t="s">
        <v>2359</v>
      </c>
      <c r="BD4" s="19" t="s">
        <v>2360</v>
      </c>
      <c r="BE4" s="19" t="s">
        <v>2361</v>
      </c>
      <c r="BF4" s="19" t="s">
        <v>2362</v>
      </c>
      <c r="BG4" s="19" t="s">
        <v>2363</v>
      </c>
      <c r="BH4" s="19" t="s">
        <v>2364</v>
      </c>
      <c r="BI4" s="19" t="s">
        <v>2366</v>
      </c>
      <c r="BJ4" s="19" t="s">
        <v>2369</v>
      </c>
      <c r="BK4" s="19" t="s">
        <v>2373</v>
      </c>
      <c r="BL4" s="19" t="s">
        <v>2376</v>
      </c>
      <c r="BM4" s="19" t="s">
        <v>2380</v>
      </c>
      <c r="BN4" s="19" t="s">
        <v>2384</v>
      </c>
      <c r="BO4" s="19" t="s">
        <v>2387</v>
      </c>
      <c r="BP4" s="19" t="s">
        <v>2391</v>
      </c>
      <c r="BQ4" s="19" t="s">
        <v>2394</v>
      </c>
      <c r="BR4" s="19" t="s">
        <v>2398</v>
      </c>
      <c r="BS4" s="19" t="s">
        <v>2401</v>
      </c>
      <c r="BT4" s="19" t="s">
        <v>2404</v>
      </c>
      <c r="BU4" s="19" t="s">
        <v>2408</v>
      </c>
      <c r="BV4" s="19" t="s">
        <v>2200</v>
      </c>
      <c r="BW4" s="19" t="s">
        <v>2415</v>
      </c>
      <c r="BX4" s="19" t="s">
        <v>2418</v>
      </c>
      <c r="BY4" s="19" t="s">
        <v>2422</v>
      </c>
      <c r="BZ4" s="19" t="s">
        <v>2426</v>
      </c>
      <c r="CA4" s="19" t="s">
        <v>2430</v>
      </c>
      <c r="CB4" s="19" t="s">
        <v>2434</v>
      </c>
      <c r="CC4" s="19" t="s">
        <v>2437</v>
      </c>
      <c r="CD4" s="33" t="s">
        <v>2440</v>
      </c>
      <c r="CE4" s="34" t="s">
        <v>2443</v>
      </c>
      <c r="CF4" s="19" t="s">
        <v>2446</v>
      </c>
      <c r="CG4" s="19" t="s">
        <v>2449</v>
      </c>
      <c r="CH4" s="33" t="s">
        <v>2452</v>
      </c>
      <c r="CI4" s="34" t="s">
        <v>2455</v>
      </c>
      <c r="CJ4" s="19" t="s">
        <v>2459</v>
      </c>
      <c r="CK4" s="19" t="s">
        <v>2462</v>
      </c>
      <c r="CL4" s="19" t="s">
        <v>2465</v>
      </c>
      <c r="CM4" s="19" t="s">
        <v>2468</v>
      </c>
      <c r="CN4" s="19" t="s">
        <v>2471</v>
      </c>
      <c r="CO4" s="19" t="s">
        <v>2475</v>
      </c>
    </row>
    <row r="5" spans="1:93" ht="50" customHeight="1">
      <c r="B5" s="35" t="s">
        <v>2223</v>
      </c>
      <c r="C5" s="35" t="s">
        <v>2227</v>
      </c>
      <c r="D5" s="35" t="s">
        <v>2231</v>
      </c>
      <c r="E5" s="35" t="s">
        <v>2235</v>
      </c>
      <c r="F5" s="35" t="s">
        <v>2238</v>
      </c>
      <c r="G5" s="35" t="s">
        <v>2241</v>
      </c>
      <c r="H5" s="35" t="s">
        <v>2244</v>
      </c>
      <c r="I5" s="35" t="s">
        <v>2247</v>
      </c>
      <c r="J5" s="35" t="s">
        <v>2250</v>
      </c>
      <c r="K5" s="35" t="s">
        <v>2253</v>
      </c>
      <c r="L5" s="35" t="s">
        <v>2256</v>
      </c>
      <c r="M5" s="35" t="s">
        <v>2259</v>
      </c>
      <c r="N5" s="35" t="s">
        <v>2256</v>
      </c>
      <c r="O5" s="35" t="s">
        <v>2259</v>
      </c>
      <c r="P5" s="35" t="s">
        <v>2256</v>
      </c>
      <c r="Q5" s="35" t="s">
        <v>2259</v>
      </c>
      <c r="R5" s="35" t="s">
        <v>2266</v>
      </c>
      <c r="S5" s="35" t="s">
        <v>2270</v>
      </c>
      <c r="T5" s="35" t="s">
        <v>2273</v>
      </c>
      <c r="U5" s="35" t="s">
        <v>2276</v>
      </c>
      <c r="V5" s="35" t="s">
        <v>2279</v>
      </c>
      <c r="W5" s="35" t="s">
        <v>2282</v>
      </c>
      <c r="X5" s="35" t="s">
        <v>2282</v>
      </c>
      <c r="Y5" s="35" t="s">
        <v>2282</v>
      </c>
      <c r="Z5" s="35" t="s">
        <v>2282</v>
      </c>
      <c r="AA5" s="35" t="s">
        <v>2282</v>
      </c>
      <c r="AB5" s="35" t="s">
        <v>2289</v>
      </c>
      <c r="AC5" s="35" t="s">
        <v>2293</v>
      </c>
      <c r="AD5" s="35" t="s">
        <v>2296</v>
      </c>
      <c r="AE5" s="35" t="s">
        <v>2299</v>
      </c>
      <c r="AF5" s="35" t="s">
        <v>2302</v>
      </c>
      <c r="AG5" s="35" t="s">
        <v>2305</v>
      </c>
      <c r="AH5" s="35" t="s">
        <v>2308</v>
      </c>
      <c r="AI5" s="35" t="s">
        <v>2311</v>
      </c>
      <c r="AJ5" s="35" t="s">
        <v>2314</v>
      </c>
      <c r="AK5" s="35" t="s">
        <v>2317</v>
      </c>
      <c r="AL5" s="35" t="s">
        <v>2320</v>
      </c>
      <c r="AM5" s="35" t="s">
        <v>2323</v>
      </c>
      <c r="AN5" s="35" t="s">
        <v>2326</v>
      </c>
      <c r="AO5" s="35" t="s">
        <v>2329</v>
      </c>
      <c r="AP5" s="35" t="s">
        <v>2332</v>
      </c>
      <c r="AQ5" s="35" t="s">
        <v>2335</v>
      </c>
      <c r="AR5" s="35" t="s">
        <v>2335</v>
      </c>
      <c r="AS5" s="35" t="s">
        <v>2335</v>
      </c>
      <c r="AT5" s="35" t="s">
        <v>2335</v>
      </c>
      <c r="AU5" s="35" t="s">
        <v>2335</v>
      </c>
      <c r="AV5" s="35" t="s">
        <v>2342</v>
      </c>
      <c r="AW5" s="35" t="s">
        <v>2345</v>
      </c>
      <c r="AX5" s="35" t="s">
        <v>2348</v>
      </c>
      <c r="AY5" s="35" t="s">
        <v>2352</v>
      </c>
      <c r="AZ5" s="35" t="s">
        <v>2356</v>
      </c>
      <c r="BA5" s="35" t="s">
        <v>2345</v>
      </c>
      <c r="BB5" s="35" t="s">
        <v>2348</v>
      </c>
      <c r="BC5" s="35" t="s">
        <v>2352</v>
      </c>
      <c r="BD5" s="35" t="s">
        <v>2356</v>
      </c>
      <c r="BE5" s="35" t="s">
        <v>2345</v>
      </c>
      <c r="BF5" s="35" t="s">
        <v>2348</v>
      </c>
      <c r="BG5" s="35" t="s">
        <v>2352</v>
      </c>
      <c r="BH5" s="35" t="s">
        <v>2356</v>
      </c>
      <c r="BI5" s="35" t="s">
        <v>2367</v>
      </c>
      <c r="BJ5" s="35" t="s">
        <v>2370</v>
      </c>
      <c r="BK5" s="35" t="s">
        <v>2374</v>
      </c>
      <c r="BL5" s="35" t="s">
        <v>2377</v>
      </c>
      <c r="BM5" s="35" t="s">
        <v>2381</v>
      </c>
      <c r="BN5" s="35" t="s">
        <v>2385</v>
      </c>
      <c r="BO5" s="35" t="s">
        <v>2388</v>
      </c>
      <c r="BP5" s="35" t="s">
        <v>2392</v>
      </c>
      <c r="BQ5" s="35" t="s">
        <v>2395</v>
      </c>
      <c r="BR5" s="35" t="s">
        <v>2399</v>
      </c>
      <c r="BS5" s="35" t="s">
        <v>2402</v>
      </c>
      <c r="BT5" s="35" t="s">
        <v>2405</v>
      </c>
      <c r="BU5" s="35" t="s">
        <v>2409</v>
      </c>
      <c r="BV5" s="35" t="s">
        <v>2412</v>
      </c>
      <c r="BW5" s="35" t="s">
        <v>2416</v>
      </c>
      <c r="BX5" s="35" t="s">
        <v>2419</v>
      </c>
      <c r="BY5" s="35" t="s">
        <v>2423</v>
      </c>
      <c r="BZ5" s="35" t="s">
        <v>2427</v>
      </c>
      <c r="CA5" s="35" t="s">
        <v>2431</v>
      </c>
      <c r="CB5" s="35" t="s">
        <v>2435</v>
      </c>
      <c r="CC5" s="35" t="s">
        <v>2438</v>
      </c>
      <c r="CD5" s="35" t="s">
        <v>2441</v>
      </c>
      <c r="CE5" s="35" t="s">
        <v>2444</v>
      </c>
      <c r="CF5" s="35" t="s">
        <v>2447</v>
      </c>
      <c r="CG5" s="35" t="s">
        <v>2450</v>
      </c>
      <c r="CH5" s="35" t="s">
        <v>2453</v>
      </c>
      <c r="CI5" s="35" t="s">
        <v>2456</v>
      </c>
      <c r="CJ5" s="35" t="s">
        <v>2460</v>
      </c>
      <c r="CK5" s="35" t="s">
        <v>2463</v>
      </c>
      <c r="CL5" s="35" t="s">
        <v>2466</v>
      </c>
      <c r="CM5" s="35" t="s">
        <v>2469</v>
      </c>
      <c r="CN5" s="35" t="s">
        <v>2472</v>
      </c>
      <c r="CO5" s="35" t="s">
        <v>2476</v>
      </c>
    </row>
    <row r="6" spans="1:93" ht="50" customHeight="1">
      <c r="B6" s="35" t="s">
        <v>67</v>
      </c>
      <c r="C6" s="35" t="s">
        <v>67</v>
      </c>
      <c r="D6" s="36" t="s">
        <v>2232</v>
      </c>
      <c r="E6" s="35" t="s">
        <v>67</v>
      </c>
      <c r="F6" s="35" t="s">
        <v>67</v>
      </c>
      <c r="G6" s="35" t="s">
        <v>67</v>
      </c>
      <c r="H6" s="35" t="s">
        <v>67</v>
      </c>
      <c r="I6" s="35" t="s">
        <v>67</v>
      </c>
      <c r="J6" s="36" t="s">
        <v>2232</v>
      </c>
      <c r="K6" s="35" t="s">
        <v>67</v>
      </c>
      <c r="L6" s="36" t="s">
        <v>2232</v>
      </c>
      <c r="M6" s="35" t="s">
        <v>67</v>
      </c>
      <c r="N6" s="36" t="s">
        <v>2232</v>
      </c>
      <c r="O6" s="35" t="s">
        <v>67</v>
      </c>
      <c r="P6" s="36" t="s">
        <v>2232</v>
      </c>
      <c r="Q6" s="35" t="s">
        <v>67</v>
      </c>
      <c r="R6" s="35" t="s">
        <v>2267</v>
      </c>
      <c r="S6" s="35" t="s">
        <v>2267</v>
      </c>
      <c r="T6" s="35" t="s">
        <v>2267</v>
      </c>
      <c r="U6" s="35" t="s">
        <v>2267</v>
      </c>
      <c r="V6" s="35" t="s">
        <v>67</v>
      </c>
      <c r="W6" s="35" t="s">
        <v>67</v>
      </c>
      <c r="X6" s="35" t="s">
        <v>67</v>
      </c>
      <c r="Y6" s="35" t="s">
        <v>67</v>
      </c>
      <c r="Z6" s="35" t="s">
        <v>67</v>
      </c>
      <c r="AA6" s="35" t="s">
        <v>67</v>
      </c>
      <c r="AB6" s="35" t="s">
        <v>2290</v>
      </c>
      <c r="AC6" s="35" t="s">
        <v>2290</v>
      </c>
      <c r="AD6" s="35" t="s">
        <v>2290</v>
      </c>
      <c r="AE6" s="35" t="s">
        <v>2267</v>
      </c>
      <c r="AF6" s="36" t="s">
        <v>2232</v>
      </c>
      <c r="AG6" s="36" t="s">
        <v>2232</v>
      </c>
      <c r="AH6" s="36" t="s">
        <v>2232</v>
      </c>
      <c r="AI6" s="36" t="s">
        <v>2232</v>
      </c>
      <c r="AJ6" s="35" t="s">
        <v>67</v>
      </c>
      <c r="AK6" s="35" t="s">
        <v>77</v>
      </c>
      <c r="AL6" s="35" t="s">
        <v>77</v>
      </c>
      <c r="AM6" s="35" t="s">
        <v>2267</v>
      </c>
      <c r="AN6" s="35" t="s">
        <v>2267</v>
      </c>
      <c r="AO6" s="35" t="s">
        <v>2267</v>
      </c>
      <c r="AP6" s="35" t="s">
        <v>2267</v>
      </c>
      <c r="AQ6" s="35" t="s">
        <v>67</v>
      </c>
      <c r="AR6" s="35" t="s">
        <v>67</v>
      </c>
      <c r="AS6" s="35" t="s">
        <v>67</v>
      </c>
      <c r="AT6" s="35" t="s">
        <v>67</v>
      </c>
      <c r="AU6" s="35" t="s">
        <v>67</v>
      </c>
      <c r="AV6" s="35" t="s">
        <v>67</v>
      </c>
      <c r="AW6" s="35" t="s">
        <v>67</v>
      </c>
      <c r="AX6" s="36" t="s">
        <v>2349</v>
      </c>
      <c r="AY6" s="36" t="s">
        <v>3108</v>
      </c>
      <c r="AZ6" s="36" t="s">
        <v>2232</v>
      </c>
      <c r="BA6" s="35" t="s">
        <v>67</v>
      </c>
      <c r="BB6" s="36" t="s">
        <v>2349</v>
      </c>
      <c r="BC6" s="36" t="s">
        <v>3108</v>
      </c>
      <c r="BD6" s="36" t="s">
        <v>2232</v>
      </c>
      <c r="BE6" s="35" t="s">
        <v>67</v>
      </c>
      <c r="BF6" s="36" t="s">
        <v>2349</v>
      </c>
      <c r="BG6" s="36" t="s">
        <v>3108</v>
      </c>
      <c r="BH6" s="36" t="s">
        <v>2232</v>
      </c>
      <c r="BI6" s="36" t="s">
        <v>2232</v>
      </c>
      <c r="BJ6" s="36" t="s">
        <v>2371</v>
      </c>
      <c r="BK6" s="36" t="s">
        <v>2232</v>
      </c>
      <c r="BL6" s="36" t="s">
        <v>3358</v>
      </c>
      <c r="BM6" s="36" t="s">
        <v>2382</v>
      </c>
      <c r="BN6" s="35" t="s">
        <v>77</v>
      </c>
      <c r="BO6" s="36" t="s">
        <v>2389</v>
      </c>
      <c r="BP6" s="36" t="s">
        <v>2232</v>
      </c>
      <c r="BQ6" s="36" t="s">
        <v>2396</v>
      </c>
      <c r="BR6" s="35" t="s">
        <v>77</v>
      </c>
      <c r="BS6" s="36" t="s">
        <v>2232</v>
      </c>
      <c r="BT6" s="36" t="s">
        <v>2406</v>
      </c>
      <c r="BU6" s="36" t="s">
        <v>2410</v>
      </c>
      <c r="BV6" s="36" t="s">
        <v>2413</v>
      </c>
      <c r="BW6" s="35" t="s">
        <v>2290</v>
      </c>
      <c r="BX6" s="36" t="s">
        <v>2420</v>
      </c>
      <c r="BY6" s="36" t="s">
        <v>3645</v>
      </c>
      <c r="BZ6" s="36" t="s">
        <v>2428</v>
      </c>
      <c r="CA6" s="36" t="s">
        <v>2432</v>
      </c>
      <c r="CB6" s="35" t="s">
        <v>2267</v>
      </c>
      <c r="CC6" s="35" t="s">
        <v>2267</v>
      </c>
      <c r="CD6" s="35" t="s">
        <v>77</v>
      </c>
      <c r="CE6" s="36" t="s">
        <v>2232</v>
      </c>
      <c r="CF6" s="36" t="s">
        <v>2232</v>
      </c>
      <c r="CG6" s="36" t="s">
        <v>2232</v>
      </c>
      <c r="CH6" s="35" t="s">
        <v>77</v>
      </c>
      <c r="CI6" s="36" t="s">
        <v>2457</v>
      </c>
      <c r="CJ6" s="36" t="s">
        <v>2232</v>
      </c>
      <c r="CK6" s="35" t="s">
        <v>77</v>
      </c>
      <c r="CL6" s="35" t="s">
        <v>77</v>
      </c>
      <c r="CM6" s="36" t="s">
        <v>2232</v>
      </c>
      <c r="CN6" s="36" t="s">
        <v>2473</v>
      </c>
      <c r="CO6" s="36" t="s">
        <v>2232</v>
      </c>
    </row>
    <row r="7" spans="1:93">
      <c r="B7" s="37" t="s">
        <v>2224</v>
      </c>
      <c r="C7" s="37" t="s">
        <v>2228</v>
      </c>
      <c r="D7" s="38"/>
      <c r="E7" s="37" t="s">
        <v>2228</v>
      </c>
      <c r="F7" s="37" t="s">
        <v>2228</v>
      </c>
      <c r="G7" s="37" t="s">
        <v>2228</v>
      </c>
      <c r="H7" s="38"/>
      <c r="I7" s="37" t="s">
        <v>2228</v>
      </c>
      <c r="J7" s="37" t="s">
        <v>2228</v>
      </c>
      <c r="K7" s="37" t="s">
        <v>2228</v>
      </c>
      <c r="L7" s="37" t="s">
        <v>2228</v>
      </c>
      <c r="M7" s="37" t="s">
        <v>2228</v>
      </c>
      <c r="N7" s="37" t="s">
        <v>2228</v>
      </c>
      <c r="O7" s="37" t="s">
        <v>2228</v>
      </c>
      <c r="P7" s="37" t="s">
        <v>2228</v>
      </c>
      <c r="Q7" s="37" t="s">
        <v>2228</v>
      </c>
      <c r="R7" s="37" t="s">
        <v>2228</v>
      </c>
      <c r="S7" s="38"/>
      <c r="T7" s="38"/>
      <c r="U7" s="38"/>
      <c r="V7" s="38"/>
      <c r="W7" s="38"/>
      <c r="X7" s="38"/>
      <c r="Y7" s="38"/>
      <c r="Z7" s="38"/>
      <c r="AA7" s="38"/>
      <c r="AB7" s="38"/>
      <c r="AC7" s="38"/>
      <c r="AD7" s="38"/>
      <c r="AE7" s="38"/>
      <c r="AF7" s="38"/>
      <c r="AG7" s="38"/>
      <c r="AH7" s="38"/>
      <c r="AI7" s="38"/>
      <c r="AJ7" s="38"/>
      <c r="AK7" s="38"/>
      <c r="AL7" s="38"/>
      <c r="AM7" s="38"/>
      <c r="AN7" s="38"/>
      <c r="AO7" s="38"/>
      <c r="AP7" s="38"/>
      <c r="AQ7" s="37" t="s">
        <v>2228</v>
      </c>
      <c r="AR7" s="37" t="s">
        <v>2228</v>
      </c>
      <c r="AS7" s="37" t="s">
        <v>2228</v>
      </c>
      <c r="AT7" s="37" t="s">
        <v>2228</v>
      </c>
      <c r="AU7" s="37" t="s">
        <v>2228</v>
      </c>
      <c r="AV7" s="37" t="s">
        <v>2228</v>
      </c>
      <c r="AW7" s="38"/>
      <c r="AX7" s="38"/>
      <c r="AY7" s="38"/>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c r="CM7" s="38"/>
      <c r="CN7" s="38"/>
      <c r="CO7" s="38"/>
    </row>
    <row r="8" spans="1:93">
      <c r="A8" cm="1">
        <f t="array" ref="A8">_xlfn.BYROW(B8:CP507, _xlfn.LAMBDA(_xlpm.r, _xlfn.LET(_xlpm.high_priority_idx, IFERROR(MATCH(TRUE, (_xlpm.r = "Error") + (_xlpm.r = "Required") &gt; 0, 0), 0), IF(_xlpm.high_priority_idx &gt; 0, _xlpm.high_priority_idx + 1, IFERROR(MATCH(1, (_xlpm.r = "Warning") * 1, 0) + 1, "")))))</f>
        <v>0</v>
      </c>
      <c r="B8" s="22" cm="1">
        <f t="array" ref="B8">_xlfn.MAP('3757 - Wall Stickers'!B8:B507, '3757 - Wall Stickers'!B8:B507, '3757 - Wall Stickers-WUO_ERR'!B8:B507, _xlfn.LAMBDA(_xlpm.part, _xlpm.val, _xlpm.error, IF(_xlpm.part = "", "", IF(LEN(_xlpm.error), _xlfn.SWITCH(IFERROR(_xlfn.TEXTBEFORE(_xlpm.error,":"), ""), "1", "Error", "2", "Disabled", "3", "Required", "4", "Warning", "Valid"), "Valid"))))</f>
        <v>0</v>
      </c>
      <c r="C8" s="22" cm="1">
        <f t="array" ref="C8">_xlfn.MAP('3757 - Wall Stickers'!B8:B507, '3757 - Wall Stickers'!C8:C507, '3757 - Wall Stickers-WUO_ERR'!C8:C507, _xlfn.LAMBDA(_xlpm.part, _xlpm.val, _xlpm.error, IF(_xlpm.part = "", "", IF(LEN(_xlpm.error), _xlfn.SWITCH(IFERROR(_xlfn.TEXTBEFORE(_xlpm.error,":"), ""), "1", "Error", "2", "Disabled", "3", "Required", "4", "Warning", "Valid"), "Valid"))))</f>
        <v>0</v>
      </c>
      <c r="D8" s="22" cm="1">
        <f t="array" ref="D8">_xlfn.MAP('3757 - Wall Stickers'!B8:B507, '3757 - Wall Stickers'!D8:D507, '3757 - Wall Stickers-WUO_ERR'!D8:D507, _xlfn.LAMBDA(_xlpm.part, _xlpm.val, _xlpm.error, IF(_xlpm.part = "", "", IF(LEN(_xlpm.error), _xlfn.SWITCH(IFERROR(_xlfn.TEXTBEFORE(_xlpm.error,":"), ""), "1", "Error", "2", "Disabled", "3", "Required", "4", "Warning", "Valid"), "Valid"))))</f>
        <v>0</v>
      </c>
      <c r="E8" s="22" cm="1">
        <f t="array" ref="E8">_xlfn.MAP('3757 - Wall Stickers'!B8:B507, '3757 - Wall Stickers'!E8:E507, '3757 - Wall Stickers-WUO_ERR'!E8:E507, _xlfn.LAMBDA(_xlpm.part, _xlpm.val, _xlpm.error, IF(_xlpm.part = "", "", IF(LEN(_xlpm.error), _xlfn.SWITCH(IFERROR(_xlfn.TEXTBEFORE(_xlpm.error,":"), ""), "1", "Error", "2", "Disabled", "3", "Required", "4", "Warning", "Valid"), "Valid"))))</f>
        <v>0</v>
      </c>
      <c r="F8" s="22" cm="1">
        <f t="array" ref="F8">_xlfn.MAP('3757 - Wall Stickers'!B8:B507, '3757 - Wall Stickers'!F8:F507, '3757 - Wall Stickers-WUO_ERR'!F8:F507, _xlfn.LAMBDA(_xlpm.part, _xlpm.val, _xlpm.error, IF(_xlpm.part = "", "", IF(LEN(_xlpm.error), _xlfn.SWITCH(IFERROR(_xlfn.TEXTBEFORE(_xlpm.error,":"), ""), "1", "Error", "2", "Disabled", "3", "Required", "4", "Warning", "Valid"), "Valid"))))</f>
        <v>0</v>
      </c>
      <c r="G8" s="22" cm="1">
        <f t="array" ref="G8">_xlfn.MAP('3757 - Wall Stickers'!B8:B507, '3757 - Wall Stickers'!G8:G507, '3757 - Wall Stickers-WUO_ERR'!G8:G507, _xlfn.LAMBDA(_xlpm.part, _xlpm.val, _xlpm.error, IF(_xlpm.part = "", "", IF(LEN(_xlpm.error), _xlfn.SWITCH(IFERROR(_xlfn.TEXTBEFORE(_xlpm.error,":"), ""), "1", "Error", "2", "Disabled", "3", "Required", "4", "Warning", "Valid"), "Valid"))))</f>
        <v>0</v>
      </c>
      <c r="H8" s="22" cm="1">
        <f t="array" ref="H8">_xlfn.MAP('3757 - Wall Stickers'!B8:B507, '3757 - Wall Stickers'!H8:H507, '3757 - Wall Stickers-WUO_ERR'!H8:H507, _xlfn.LAMBDA(_xlpm.part, _xlpm.val, _xlpm.error, IF(_xlpm.part = "", "", IF(LEN(_xlpm.error), _xlfn.SWITCH(IFERROR(_xlfn.TEXTBEFORE(_xlpm.error,":"), ""), "1", "Error", "2", "Disabled", "3", "Required", "4", "Warning", "Valid"), "Valid"))))</f>
        <v>0</v>
      </c>
      <c r="I8" s="22" cm="1">
        <f t="array" ref="I8">_xlfn.MAP('3757 - Wall Stickers'!B8:B507, '3757 - Wall Stickers'!I8:I507, '3757 - Wall Stickers-WUO_ERR'!I8:I507, _xlfn.LAMBDA(_xlpm.part, _xlpm.val, _xlpm.error, IF(_xlpm.part = "", "", IF(LEN(_xlpm.error), _xlfn.SWITCH(IFERROR(_xlfn.TEXTBEFORE(_xlpm.error,":"), ""), "1", "Error", "2", "Disabled", "3", "Required", "4", "Warning", "Valid"), "Valid"))))</f>
        <v>0</v>
      </c>
      <c r="J8" s="22" cm="1">
        <f t="array" ref="J8">_xlfn.MAP('3757 - Wall Stickers'!B8:B507, '3757 - Wall Stickers'!J8:J507, '3757 - Wall Stickers-WUO_ERR'!J8:J507, _xlfn.LAMBDA(_xlpm.part, _xlpm.val, _xlpm.error, IF(_xlpm.part = "", "", IF(LEN(_xlpm.error), _xlfn.SWITCH(IFERROR(_xlfn.TEXTBEFORE(_xlpm.error,":"), ""), "1", "Error", "2", "Disabled", "3", "Required", "4", "Warning", "Valid"), "Valid"))))</f>
        <v>0</v>
      </c>
      <c r="K8" s="22" cm="1">
        <f t="array" ref="K8">_xlfn.MAP('3757 - Wall Stickers'!B8:B507, '3757 - Wall Stickers'!K8:K507, '3757 - Wall Stickers-WUO_ERR'!K8:K507, _xlfn.LAMBDA(_xlpm.part, _xlpm.val, _xlpm.error, IF(_xlpm.part = "", "", IF(LEN(_xlpm.error), _xlfn.SWITCH(IFERROR(_xlfn.TEXTBEFORE(_xlpm.error,":"), ""), "1", "Error", "2", "Disabled", "3", "Required", "4", "Warning", "Valid"), "Valid"))))</f>
        <v>0</v>
      </c>
      <c r="L8" s="22" cm="1">
        <f t="array" ref="L8">_xlfn.MAP('3757 - Wall Stickers'!B8:B507, '3757 - Wall Stickers'!L8:L507, '3757 - Wall Stickers-WUO_ERR'!L8:L507, _xlfn.LAMBDA(_xlpm.part, _xlpm.val, _xlpm.error, IF(_xlpm.part = "", "", IF(LEN(_xlpm.error), _xlfn.SWITCH(IFERROR(_xlfn.TEXTBEFORE(_xlpm.error,":"), ""), "1", "Error", "2", "Disabled", "3", "Required", "4", "Warning", "Valid"), "Valid"))))</f>
        <v>0</v>
      </c>
      <c r="M8" s="22" cm="1">
        <f t="array" ref="M8">_xlfn.MAP('3757 - Wall Stickers'!B8:B507, '3757 - Wall Stickers'!M8:M507, '3757 - Wall Stickers-WUO_ERR'!M8:M507, _xlfn.LAMBDA(_xlpm.part, _xlpm.val, _xlpm.error, IF(_xlpm.part = "", "", IF(LEN(_xlpm.error), _xlfn.SWITCH(IFERROR(_xlfn.TEXTBEFORE(_xlpm.error,":"), ""), "1", "Error", "2", "Disabled", "3", "Required", "4", "Warning", "Valid"), "Valid"))))</f>
        <v>0</v>
      </c>
      <c r="N8" s="22" cm="1">
        <f t="array" ref="N8">_xlfn.MAP('3757 - Wall Stickers'!B8:B507, '3757 - Wall Stickers'!N8:N507, '3757 - Wall Stickers-WUO_ERR'!N8:N507, _xlfn.LAMBDA(_xlpm.part, _xlpm.val, _xlpm.error, IF(_xlpm.part = "", "", IF(LEN(_xlpm.error), _xlfn.SWITCH(IFERROR(_xlfn.TEXTBEFORE(_xlpm.error,":"), ""), "1", "Error", "2", "Disabled", "3", "Required", "4", "Warning", "Valid"), "Valid"))))</f>
        <v>0</v>
      </c>
      <c r="O8" s="22" cm="1">
        <f t="array" ref="O8">_xlfn.MAP('3757 - Wall Stickers'!B8:B507, '3757 - Wall Stickers'!O8:O507, '3757 - Wall Stickers-WUO_ERR'!O8:O507, _xlfn.LAMBDA(_xlpm.part, _xlpm.val, _xlpm.error, IF(_xlpm.part = "", "", IF(LEN(_xlpm.error), _xlfn.SWITCH(IFERROR(_xlfn.TEXTBEFORE(_xlpm.error,":"), ""), "1", "Error", "2", "Disabled", "3", "Required", "4", "Warning", "Valid"), "Valid"))))</f>
        <v>0</v>
      </c>
      <c r="P8" s="22" cm="1">
        <f t="array" ref="P8">_xlfn.MAP('3757 - Wall Stickers'!B8:B507, '3757 - Wall Stickers'!P8:P507, '3757 - Wall Stickers-WUO_ERR'!P8:P507, _xlfn.LAMBDA(_xlpm.part, _xlpm.val, _xlpm.error, IF(_xlpm.part = "", "", IF(LEN(_xlpm.error), _xlfn.SWITCH(IFERROR(_xlfn.TEXTBEFORE(_xlpm.error,":"), ""), "1", "Error", "2", "Disabled", "3", "Required", "4", "Warning", "Valid"), "Valid"))))</f>
        <v>0</v>
      </c>
      <c r="Q8" s="22" cm="1">
        <f t="array" ref="Q8">_xlfn.MAP('3757 - Wall Stickers'!B8:B507, '3757 - Wall Stickers'!Q8:Q507, '3757 - Wall Stickers-WUO_ERR'!Q8:Q507, _xlfn.LAMBDA(_xlpm.part, _xlpm.val, _xlpm.error, IF(_xlpm.part = "", "", IF(LEN(_xlpm.error), _xlfn.SWITCH(IFERROR(_xlfn.TEXTBEFORE(_xlpm.error,":"), ""), "1", "Error", "2", "Disabled", "3", "Required", "4", "Warning", "Valid"), "Valid"))))</f>
        <v>0</v>
      </c>
      <c r="R8" s="22" cm="1">
        <f t="array" ref="R8">_xlfn.MAP('3757 - Wall Stickers'!B8:B507, '3757 - Wall Stickers'!R8:R507, '3757 - Wall Stickers-WUO_ERR'!R8:R507, _xlfn.LAMBDA(_xlpm.part, _xlpm.val, _xlpm.error, IF(_xlpm.part = "", "", IF(LEN(_xlpm.error), _xlfn.SWITCH(IFERROR(_xlfn.TEXTBEFORE(_xlpm.error,":"), ""), "1", "Error", "2", "Disabled", "3", "Required", "4", "Warning", "Valid"), "Valid"))))</f>
        <v>0</v>
      </c>
      <c r="S8" s="22" cm="1">
        <f t="array" ref="S8">_xlfn.MAP('3757 - Wall Stickers'!B8:B507, '3757 - Wall Stickers'!S8:S507, '3757 - Wall Stickers-WUO_ERR'!S8:S507, _xlfn.LAMBDA(_xlpm.part, _xlpm.val, _xlpm.error, IF(_xlpm.part = "", "", IF(LEN(_xlpm.error), _xlfn.SWITCH(IFERROR(_xlfn.TEXTBEFORE(_xlpm.error,":"), ""), "1", "Error", "2", "Disabled", "3", "Required", "4", "Warning", "Valid"), "Valid"))))</f>
        <v>0</v>
      </c>
      <c r="T8" s="22" cm="1">
        <f t="array" ref="T8">_xlfn.MAP('3757 - Wall Stickers'!B8:B507, '3757 - Wall Stickers'!T8:T507, '3757 - Wall Stickers-WUO_ERR'!T8:T507, _xlfn.LAMBDA(_xlpm.part, _xlpm.val, _xlpm.error, IF(_xlpm.part = "", "", IF(LEN(_xlpm.error), _xlfn.SWITCH(IFERROR(_xlfn.TEXTBEFORE(_xlpm.error,":"), ""), "1", "Error", "2", "Disabled", "3", "Required", "4", "Warning", "Valid"), "Valid"))))</f>
        <v>0</v>
      </c>
      <c r="U8" s="22" cm="1">
        <f t="array" ref="U8">_xlfn.MAP('3757 - Wall Stickers'!B8:B507, '3757 - Wall Stickers'!U8:U507, '3757 - Wall Stickers-WUO_ERR'!U8:U507, _xlfn.LAMBDA(_xlpm.part, _xlpm.val, _xlpm.error, IF(_xlpm.part = "", "", IF(LEN(_xlpm.error), _xlfn.SWITCH(IFERROR(_xlfn.TEXTBEFORE(_xlpm.error,":"), ""), "1", "Error", "2", "Disabled", "3", "Required", "4", "Warning", "Valid"), "Valid"))))</f>
        <v>0</v>
      </c>
      <c r="V8" s="22" cm="1">
        <f t="array" ref="V8">_xlfn.MAP('3757 - Wall Stickers'!B8:B507, '3757 - Wall Stickers'!V8:V507, '3757 - Wall Stickers-WUO_ERR'!V8:V507, _xlfn.LAMBDA(_xlpm.part, _xlpm.val, _xlpm.error, IF(_xlpm.part = "", "", IF(LEN(_xlpm.error), _xlfn.SWITCH(IFERROR(_xlfn.TEXTBEFORE(_xlpm.error,":"), ""), "1", "Error", "2", "Disabled", "3", "Required", "4", "Warning", "Valid"), "Valid"))))</f>
        <v>0</v>
      </c>
      <c r="W8" s="22" cm="1">
        <f t="array" ref="W8">_xlfn.MAP('3757 - Wall Stickers'!B8:B507, '3757 - Wall Stickers'!W8:W507, '3757 - Wall Stickers-WUO_ERR'!W8:W507, _xlfn.LAMBDA(_xlpm.part, _xlpm.val, _xlpm.error, IF(_xlpm.part = "", "", IF(LEN(_xlpm.error), _xlfn.SWITCH(IFERROR(_xlfn.TEXTBEFORE(_xlpm.error,":"), ""), "1", "Error", "2", "Disabled", "3", "Required", "4", "Warning", "Valid"), "Valid"))))</f>
        <v>0</v>
      </c>
      <c r="X8" s="22" cm="1">
        <f t="array" ref="X8">_xlfn.MAP('3757 - Wall Stickers'!B8:B507, '3757 - Wall Stickers'!X8:X507, '3757 - Wall Stickers-WUO_ERR'!X8:X507, _xlfn.LAMBDA(_xlpm.part, _xlpm.val, _xlpm.error, IF(_xlpm.part = "", "", IF(LEN(_xlpm.error), _xlfn.SWITCH(IFERROR(_xlfn.TEXTBEFORE(_xlpm.error,":"), ""), "1", "Error", "2", "Disabled", "3", "Required", "4", "Warning", "Valid"), "Valid"))))</f>
        <v>0</v>
      </c>
      <c r="Y8" s="22" cm="1">
        <f t="array" ref="Y8">_xlfn.MAP('3757 - Wall Stickers'!B8:B507, '3757 - Wall Stickers'!Y8:Y507, '3757 - Wall Stickers-WUO_ERR'!Y8:Y507, _xlfn.LAMBDA(_xlpm.part, _xlpm.val, _xlpm.error, IF(_xlpm.part = "", "", IF(LEN(_xlpm.error), _xlfn.SWITCH(IFERROR(_xlfn.TEXTBEFORE(_xlpm.error,":"), ""), "1", "Error", "2", "Disabled", "3", "Required", "4", "Warning", "Valid"), "Valid"))))</f>
        <v>0</v>
      </c>
      <c r="Z8" s="22" cm="1">
        <f t="array" ref="Z8">_xlfn.MAP('3757 - Wall Stickers'!B8:B507, '3757 - Wall Stickers'!Z8:Z507, '3757 - Wall Stickers-WUO_ERR'!Z8:Z507, _xlfn.LAMBDA(_xlpm.part, _xlpm.val, _xlpm.error, IF(_xlpm.part = "", "", IF(LEN(_xlpm.error), _xlfn.SWITCH(IFERROR(_xlfn.TEXTBEFORE(_xlpm.error,":"), ""), "1", "Error", "2", "Disabled", "3", "Required", "4", "Warning", "Valid"), "Valid"))))</f>
        <v>0</v>
      </c>
      <c r="AA8" s="22" cm="1">
        <f t="array" ref="AA8">_xlfn.MAP('3757 - Wall Stickers'!B8:B507, '3757 - Wall Stickers'!AA8:AA507, '3757 - Wall Stickers-WUO_ERR'!AA8:AA507, _xlfn.LAMBDA(_xlpm.part, _xlpm.val, _xlpm.error, IF(_xlpm.part = "", "", IF(LEN(_xlpm.error), _xlfn.SWITCH(IFERROR(_xlfn.TEXTBEFORE(_xlpm.error,":"), ""), "1", "Error", "2", "Disabled", "3", "Required", "4", "Warning", "Valid"), "Valid"))))</f>
        <v>0</v>
      </c>
      <c r="AB8" s="22" cm="1">
        <f t="array" ref="AB8">_xlfn.MAP('3757 - Wall Stickers'!B8:B507, '3757 - Wall Stickers'!AB8:AB507, '3757 - Wall Stickers-WUO_ERR'!AB8:AB507, _xlfn.LAMBDA(_xlpm.part, _xlpm.val, _xlpm.error, IF(_xlpm.part = "", "", IF(LEN(_xlpm.error), _xlfn.SWITCH(IFERROR(_xlfn.TEXTBEFORE(_xlpm.error,":"), ""), "1", "Error", "2", "Disabled", "3", "Required", "4", "Warning", "Valid"), "Valid"))))</f>
        <v>0</v>
      </c>
      <c r="AC8" s="22" cm="1">
        <f t="array" ref="AC8">_xlfn.MAP('3757 - Wall Stickers'!B8:B507, '3757 - Wall Stickers'!AC8:AC507, '3757 - Wall Stickers-WUO_ERR'!AC8:AC507, _xlfn.LAMBDA(_xlpm.part, _xlpm.val, _xlpm.error, IF(_xlpm.part = "", "", IF(LEN(_xlpm.error), _xlfn.SWITCH(IFERROR(_xlfn.TEXTBEFORE(_xlpm.error,":"), ""), "1", "Error", "2", "Disabled", "3", "Required", "4", "Warning", "Valid"), "Valid"))))</f>
        <v>0</v>
      </c>
      <c r="AD8" s="22" cm="1">
        <f t="array" ref="AD8">_xlfn.MAP('3757 - Wall Stickers'!B8:B507, '3757 - Wall Stickers'!AD8:AD507, '3757 - Wall Stickers-WUO_ERR'!AD8:AD507, _xlfn.LAMBDA(_xlpm.part, _xlpm.val, _xlpm.error, IF(_xlpm.part = "", "", IF(LEN(_xlpm.error), _xlfn.SWITCH(IFERROR(_xlfn.TEXTBEFORE(_xlpm.error,":"), ""), "1", "Error", "2", "Disabled", "3", "Required", "4", "Warning", "Valid"), "Valid"))))</f>
        <v>0</v>
      </c>
      <c r="AE8" s="22" cm="1">
        <f t="array" ref="AE8">_xlfn.MAP('3757 - Wall Stickers'!B8:B507, '3757 - Wall Stickers'!AE8:AE507, '3757 - Wall Stickers-WUO_ERR'!AE8:AE507, _xlfn.LAMBDA(_xlpm.part, _xlpm.val, _xlpm.error, IF(_xlpm.part = "", "", IF(LEN(_xlpm.error), _xlfn.SWITCH(IFERROR(_xlfn.TEXTBEFORE(_xlpm.error,":"), ""), "1", "Error", "2", "Disabled", "3", "Required", "4", "Warning", "Valid"), "Valid"))))</f>
        <v>0</v>
      </c>
      <c r="AF8" s="22" cm="1">
        <f t="array" ref="AF8">_xlfn.MAP('3757 - Wall Stickers'!B8:B507, '3757 - Wall Stickers'!AF8:AF507, '3757 - Wall Stickers-WUO_ERR'!AF8:AF507, _xlfn.LAMBDA(_xlpm.part, _xlpm.val, _xlpm.error, IF(_xlpm.part = "", "", IF(LEN(_xlpm.error), _xlfn.SWITCH(IFERROR(_xlfn.TEXTBEFORE(_xlpm.error,":"), ""), "1", "Error", "2", "Disabled", "3", "Required", "4", "Warning", "Valid"), "Valid"))))</f>
        <v>0</v>
      </c>
      <c r="AG8" s="22" cm="1">
        <f t="array" ref="AG8">_xlfn.MAP('3757 - Wall Stickers'!B8:B507, '3757 - Wall Stickers'!AG8:AG507, '3757 - Wall Stickers-WUO_ERR'!AG8:AG507, _xlfn.LAMBDA(_xlpm.part, _xlpm.val, _xlpm.error, IF(_xlpm.part = "", "", IF(LEN(_xlpm.error), _xlfn.SWITCH(IFERROR(_xlfn.TEXTBEFORE(_xlpm.error,":"), ""), "1", "Error", "2", "Disabled", "3", "Required", "4", "Warning", "Valid"), "Valid"))))</f>
        <v>0</v>
      </c>
      <c r="AH8" s="22" cm="1">
        <f t="array" ref="AH8">_xlfn.MAP('3757 - Wall Stickers'!B8:B507, '3757 - Wall Stickers'!AH8:AH507, '3757 - Wall Stickers-WUO_ERR'!AH8:AH507, _xlfn.LAMBDA(_xlpm.part, _xlpm.val, _xlpm.error, IF(_xlpm.part = "", "", IF(LEN(_xlpm.error), _xlfn.SWITCH(IFERROR(_xlfn.TEXTBEFORE(_xlpm.error,":"), ""), "1", "Error", "2", "Disabled", "3", "Required", "4", "Warning", "Valid"), "Valid"))))</f>
        <v>0</v>
      </c>
      <c r="AI8" s="22" cm="1">
        <f t="array" ref="AI8">_xlfn.MAP('3757 - Wall Stickers'!B8:B507, '3757 - Wall Stickers'!AI8:AI507, '3757 - Wall Stickers-WUO_ERR'!AI8:AI507, _xlfn.LAMBDA(_xlpm.part, _xlpm.val, _xlpm.error, IF(_xlpm.part = "", "", IF(LEN(_xlpm.error), _xlfn.SWITCH(IFERROR(_xlfn.TEXTBEFORE(_xlpm.error,":"), ""), "1", "Error", "2", "Disabled", "3", "Required", "4", "Warning", "Valid"), "Valid"))))</f>
        <v>0</v>
      </c>
      <c r="AJ8" s="22" cm="1">
        <f t="array" ref="AJ8">_xlfn.MAP('3757 - Wall Stickers'!B8:B507, '3757 - Wall Stickers'!AJ8:AJ507, '3757 - Wall Stickers-WUO_ERR'!AJ8:AJ507, _xlfn.LAMBDA(_xlpm.part, _xlpm.val, _xlpm.error, IF(_xlpm.part = "", "", IF(LEN(_xlpm.error), _xlfn.SWITCH(IFERROR(_xlfn.TEXTBEFORE(_xlpm.error,":"), ""), "1", "Error", "2", "Disabled", "3", "Required", "4", "Warning", "Valid"), "Valid"))))</f>
        <v>0</v>
      </c>
      <c r="AK8" s="22" cm="1">
        <f t="array" ref="AK8">_xlfn.MAP('3757 - Wall Stickers'!B8:B507, '3757 - Wall Stickers'!AK8:AK507, '3757 - Wall Stickers-WUO_ERR'!AK8:AK507, _xlfn.LAMBDA(_xlpm.part, _xlpm.val, _xlpm.error, IF(_xlpm.part = "", "", IF(LEN(_xlpm.error), _xlfn.SWITCH(IFERROR(_xlfn.TEXTBEFORE(_xlpm.error,":"), ""), "1", "Error", "2", "Disabled", "3", "Required", "4", "Warning", "Valid"), "Valid"))))</f>
        <v>0</v>
      </c>
      <c r="AL8" s="22" cm="1">
        <f t="array" ref="AL8">_xlfn.MAP('3757 - Wall Stickers'!B8:B507, '3757 - Wall Stickers'!AL8:AL507, '3757 - Wall Stickers-WUO_ERR'!AL8:AL507, _xlfn.LAMBDA(_xlpm.part, _xlpm.val, _xlpm.error, IF(_xlpm.part = "", "", IF(LEN(_xlpm.error), _xlfn.SWITCH(IFERROR(_xlfn.TEXTBEFORE(_xlpm.error,":"), ""), "1", "Error", "2", "Disabled", "3", "Required", "4", "Warning", "Valid"), "Valid"))))</f>
        <v>0</v>
      </c>
      <c r="AM8" s="22" cm="1">
        <f t="array" ref="AM8">_xlfn.MAP('3757 - Wall Stickers'!B8:B507, '3757 - Wall Stickers'!AM8:AM507, '3757 - Wall Stickers-WUO_ERR'!AM8:AM507, _xlfn.LAMBDA(_xlpm.part, _xlpm.val, _xlpm.error, IF(_xlpm.part = "", "", IF(LEN(_xlpm.error), _xlfn.SWITCH(IFERROR(_xlfn.TEXTBEFORE(_xlpm.error,":"), ""), "1", "Error", "2", "Disabled", "3", "Required", "4", "Warning", "Valid"), "Valid"))))</f>
        <v>0</v>
      </c>
      <c r="AN8" s="22" cm="1">
        <f t="array" ref="AN8">_xlfn.MAP('3757 - Wall Stickers'!B8:B507, '3757 - Wall Stickers'!AN8:AN507, '3757 - Wall Stickers-WUO_ERR'!AN8:AN507, _xlfn.LAMBDA(_xlpm.part, _xlpm.val, _xlpm.error, IF(_xlpm.part = "", "", IF(LEN(_xlpm.error), _xlfn.SWITCH(IFERROR(_xlfn.TEXTBEFORE(_xlpm.error,":"), ""), "1", "Error", "2", "Disabled", "3", "Required", "4", "Warning", "Valid"), "Valid"))))</f>
        <v>0</v>
      </c>
      <c r="AO8" s="22" cm="1">
        <f t="array" ref="AO8">_xlfn.MAP('3757 - Wall Stickers'!B8:B507, '3757 - Wall Stickers'!AO8:AO507, '3757 - Wall Stickers-WUO_ERR'!AO8:AO507, _xlfn.LAMBDA(_xlpm.part, _xlpm.val, _xlpm.error, IF(_xlpm.part = "", "", IF(LEN(_xlpm.error), _xlfn.SWITCH(IFERROR(_xlfn.TEXTBEFORE(_xlpm.error,":"), ""), "1", "Error", "2", "Disabled", "3", "Required", "4", "Warning", "Valid"), "Valid"))))</f>
        <v>0</v>
      </c>
      <c r="AP8" s="22" cm="1">
        <f t="array" ref="AP8">_xlfn.MAP('3757 - Wall Stickers'!B8:B507, '3757 - Wall Stickers'!AP8:AP507, '3757 - Wall Stickers-WUO_ERR'!AP8:AP507, _xlfn.LAMBDA(_xlpm.part, _xlpm.val, _xlpm.error, IF(_xlpm.part = "", "", IF(LEN(_xlpm.error), _xlfn.SWITCH(IFERROR(_xlfn.TEXTBEFORE(_xlpm.error,":"), ""), "1", "Error", "2", "Disabled", "3", "Required", "4", "Warning", "Valid"), "Valid"))))</f>
        <v>0</v>
      </c>
      <c r="AQ8" s="22" cm="1">
        <f t="array" ref="AQ8">_xlfn.MAP('3757 - Wall Stickers'!B8:B507, '3757 - Wall Stickers'!AQ8:AQ507, '3757 - Wall Stickers-WUO_ERR'!AQ8:AQ507, _xlfn.LAMBDA(_xlpm.part, _xlpm.val, _xlpm.error, IF(_xlpm.part = "", "", IF(LEN(_xlpm.error), _xlfn.SWITCH(IFERROR(_xlfn.TEXTBEFORE(_xlpm.error,":"), ""), "1", "Error", "2", "Disabled", "3", "Required", "4", "Warning", "Valid"), "Valid"))))</f>
        <v>0</v>
      </c>
      <c r="AR8" s="22" cm="1">
        <f t="array" ref="AR8">_xlfn.MAP('3757 - Wall Stickers'!B8:B507, '3757 - Wall Stickers'!AR8:AR507, '3757 - Wall Stickers-WUO_ERR'!AR8:AR507, _xlfn.LAMBDA(_xlpm.part, _xlpm.val, _xlpm.error, IF(_xlpm.part = "", "", IF(LEN(_xlpm.error), _xlfn.SWITCH(IFERROR(_xlfn.TEXTBEFORE(_xlpm.error,":"), ""), "1", "Error", "2", "Disabled", "3", "Required", "4", "Warning", "Valid"), "Valid"))))</f>
        <v>0</v>
      </c>
      <c r="AS8" s="22" cm="1">
        <f t="array" ref="AS8">_xlfn.MAP('3757 - Wall Stickers'!B8:B507, '3757 - Wall Stickers'!AS8:AS507, '3757 - Wall Stickers-WUO_ERR'!AS8:AS507, _xlfn.LAMBDA(_xlpm.part, _xlpm.val, _xlpm.error, IF(_xlpm.part = "", "", IF(LEN(_xlpm.error), _xlfn.SWITCH(IFERROR(_xlfn.TEXTBEFORE(_xlpm.error,":"), ""), "1", "Error", "2", "Disabled", "3", "Required", "4", "Warning", "Valid"), "Valid"))))</f>
        <v>0</v>
      </c>
      <c r="AT8" s="22" cm="1">
        <f t="array" ref="AT8">_xlfn.MAP('3757 - Wall Stickers'!B8:B507, '3757 - Wall Stickers'!AT8:AT507, '3757 - Wall Stickers-WUO_ERR'!AT8:AT507, _xlfn.LAMBDA(_xlpm.part, _xlpm.val, _xlpm.error, IF(_xlpm.part = "", "", IF(LEN(_xlpm.error), _xlfn.SWITCH(IFERROR(_xlfn.TEXTBEFORE(_xlpm.error,":"), ""), "1", "Error", "2", "Disabled", "3", "Required", "4", "Warning", "Valid"), "Valid"))))</f>
        <v>0</v>
      </c>
      <c r="AU8" s="22" cm="1">
        <f t="array" ref="AU8">_xlfn.MAP('3757 - Wall Stickers'!B8:B507, '3757 - Wall Stickers'!AU8:AU507, '3757 - Wall Stickers-WUO_ERR'!AU8:AU507, _xlfn.LAMBDA(_xlpm.part, _xlpm.val, _xlpm.error, IF(_xlpm.part = "", "", IF(LEN(_xlpm.error), _xlfn.SWITCH(IFERROR(_xlfn.TEXTBEFORE(_xlpm.error,":"), ""), "1", "Error", "2", "Disabled", "3", "Required", "4", "Warning", "Valid"), "Valid"))))</f>
        <v>0</v>
      </c>
      <c r="AV8" s="22" cm="1">
        <f t="array" ref="AV8">_xlfn.MAP('3757 - Wall Stickers'!B8:B507, '3757 - Wall Stickers'!AV8:AV507, '3757 - Wall Stickers-WUO_ERR'!AV8:AV507, _xlfn.LAMBDA(_xlpm.part, _xlpm.val, _xlpm.error, IF(_xlpm.part = "", "", IF(LEN(_xlpm.error), _xlfn.SWITCH(IFERROR(_xlfn.TEXTBEFORE(_xlpm.error,":"), ""), "1", "Error", "2", "Disabled", "3", "Required", "4", "Warning", "Valid"), "Valid"))))</f>
        <v>0</v>
      </c>
      <c r="AW8" s="22" cm="1">
        <f t="array" ref="AW8">_xlfn.MAP('3757 - Wall Stickers'!B8:B507, '3757 - Wall Stickers'!AW8:AW507, '3757 - Wall Stickers-WUO_ERR'!AW8:AW507, _xlfn.LAMBDA(_xlpm.part, _xlpm.val, _xlpm.error, IF(_xlpm.part = "", "", IF(LEN(_xlpm.error), _xlfn.SWITCH(IFERROR(_xlfn.TEXTBEFORE(_xlpm.error,":"), ""), "1", "Error", "2", "Disabled", "3", "Required", "4", "Warning", "Valid"), "Valid"))))</f>
        <v>0</v>
      </c>
      <c r="AX8" s="22" cm="1">
        <f t="array" ref="AX8">_xlfn.MAP('3757 - Wall Stickers'!B8:B507, '3757 - Wall Stickers'!AX8:AX507, '3757 - Wall Stickers-WUO_ERR'!AX8:AX507, _xlfn.LAMBDA(_xlpm.part, _xlpm.val, _xlpm.error, IF(_xlpm.part = "", "", IF(LEN(_xlpm.error), _xlfn.SWITCH(IFERROR(_xlfn.TEXTBEFORE(_xlpm.error,":"), ""), "1", "Error", "2", "Disabled", "3", "Required", "4", "Warning", "Valid"), "Valid"))))</f>
        <v>0</v>
      </c>
      <c r="AY8" s="22" cm="1">
        <f t="array" ref="AY8">_xlfn.MAP('3757 - Wall Stickers'!B8:B507, '3757 - Wall Stickers'!AY8:AY507, '3757 - Wall Stickers-WUO_ERR'!AY8:AY507, _xlfn.LAMBDA(_xlpm.part, _xlpm.val, _xlpm.error, IF(_xlpm.part = "", "", IF(LEN(_xlpm.error), _xlfn.SWITCH(IFERROR(_xlfn.TEXTBEFORE(_xlpm.error,":"), ""), "1", "Error", "2", "Disabled", "3", "Required", "4", "Warning", "Valid"), "Valid"))))</f>
        <v>0</v>
      </c>
      <c r="AZ8" s="22" cm="1">
        <f t="array" ref="AZ8">_xlfn.MAP('3757 - Wall Stickers'!B8:B507, '3757 - Wall Stickers'!AZ8:AZ507, '3757 - Wall Stickers-WUO_ERR'!AZ8:AZ507, _xlfn.LAMBDA(_xlpm.part, _xlpm.val, _xlpm.error, IF(_xlpm.part = "", "", IF(LEN(_xlpm.error), _xlfn.SWITCH(IFERROR(_xlfn.TEXTBEFORE(_xlpm.error,":"), ""), "1", "Error", "2", "Disabled", "3", "Required", "4", "Warning", "Valid"), "Valid"))))</f>
        <v>0</v>
      </c>
      <c r="BA8" s="22" cm="1">
        <f t="array" ref="BA8">_xlfn.MAP('3757 - Wall Stickers'!B8:B507, '3757 - Wall Stickers'!BA8:BA507, '3757 - Wall Stickers-WUO_ERR'!BA8:BA507, _xlfn.LAMBDA(_xlpm.part, _xlpm.val, _xlpm.error, IF(_xlpm.part = "", "", IF(LEN(_xlpm.error), _xlfn.SWITCH(IFERROR(_xlfn.TEXTBEFORE(_xlpm.error,":"), ""), "1", "Error", "2", "Disabled", "3", "Required", "4", "Warning", "Valid"), "Valid"))))</f>
        <v>0</v>
      </c>
      <c r="BB8" s="22" cm="1">
        <f t="array" ref="BB8">_xlfn.MAP('3757 - Wall Stickers'!B8:B507, '3757 - Wall Stickers'!BB8:BB507, '3757 - Wall Stickers-WUO_ERR'!BB8:BB507, _xlfn.LAMBDA(_xlpm.part, _xlpm.val, _xlpm.error, IF(_xlpm.part = "", "", IF(LEN(_xlpm.error), _xlfn.SWITCH(IFERROR(_xlfn.TEXTBEFORE(_xlpm.error,":"), ""), "1", "Error", "2", "Disabled", "3", "Required", "4", "Warning", "Valid"), "Valid"))))</f>
        <v>0</v>
      </c>
      <c r="BC8" s="22" cm="1">
        <f t="array" ref="BC8">_xlfn.MAP('3757 - Wall Stickers'!B8:B507, '3757 - Wall Stickers'!BC8:BC507, '3757 - Wall Stickers-WUO_ERR'!BC8:BC507, _xlfn.LAMBDA(_xlpm.part, _xlpm.val, _xlpm.error, IF(_xlpm.part = "", "", IF(LEN(_xlpm.error), _xlfn.SWITCH(IFERROR(_xlfn.TEXTBEFORE(_xlpm.error,":"), ""), "1", "Error", "2", "Disabled", "3", "Required", "4", "Warning", "Valid"), "Valid"))))</f>
        <v>0</v>
      </c>
      <c r="BD8" s="22" cm="1">
        <f t="array" ref="BD8">_xlfn.MAP('3757 - Wall Stickers'!B8:B507, '3757 - Wall Stickers'!BD8:BD507, '3757 - Wall Stickers-WUO_ERR'!BD8:BD507, _xlfn.LAMBDA(_xlpm.part, _xlpm.val, _xlpm.error, IF(_xlpm.part = "", "", IF(LEN(_xlpm.error), _xlfn.SWITCH(IFERROR(_xlfn.TEXTBEFORE(_xlpm.error,":"), ""), "1", "Error", "2", "Disabled", "3", "Required", "4", "Warning", "Valid"), "Valid"))))</f>
        <v>0</v>
      </c>
      <c r="BE8" s="22" cm="1">
        <f t="array" ref="BE8">_xlfn.MAP('3757 - Wall Stickers'!B8:B507, '3757 - Wall Stickers'!BE8:BE507, '3757 - Wall Stickers-WUO_ERR'!BE8:BE507, _xlfn.LAMBDA(_xlpm.part, _xlpm.val, _xlpm.error, IF(_xlpm.part = "", "", IF(LEN(_xlpm.error), _xlfn.SWITCH(IFERROR(_xlfn.TEXTBEFORE(_xlpm.error,":"), ""), "1", "Error", "2", "Disabled", "3", "Required", "4", "Warning", "Valid"), "Valid"))))</f>
        <v>0</v>
      </c>
      <c r="BF8" s="22" cm="1">
        <f t="array" ref="BF8">_xlfn.MAP('3757 - Wall Stickers'!B8:B507, '3757 - Wall Stickers'!BF8:BF507, '3757 - Wall Stickers-WUO_ERR'!BF8:BF507, _xlfn.LAMBDA(_xlpm.part, _xlpm.val, _xlpm.error, IF(_xlpm.part = "", "", IF(LEN(_xlpm.error), _xlfn.SWITCH(IFERROR(_xlfn.TEXTBEFORE(_xlpm.error,":"), ""), "1", "Error", "2", "Disabled", "3", "Required", "4", "Warning", "Valid"), "Valid"))))</f>
        <v>0</v>
      </c>
      <c r="BG8" s="22" cm="1">
        <f t="array" ref="BG8">_xlfn.MAP('3757 - Wall Stickers'!B8:B507, '3757 - Wall Stickers'!BG8:BG507, '3757 - Wall Stickers-WUO_ERR'!BG8:BG507, _xlfn.LAMBDA(_xlpm.part, _xlpm.val, _xlpm.error, IF(_xlpm.part = "", "", IF(LEN(_xlpm.error), _xlfn.SWITCH(IFERROR(_xlfn.TEXTBEFORE(_xlpm.error,":"), ""), "1", "Error", "2", "Disabled", "3", "Required", "4", "Warning", "Valid"), "Valid"))))</f>
        <v>0</v>
      </c>
      <c r="BH8" s="22" cm="1">
        <f t="array" ref="BH8">_xlfn.MAP('3757 - Wall Stickers'!B8:B507, '3757 - Wall Stickers'!BH8:BH507, '3757 - Wall Stickers-WUO_ERR'!BH8:BH507, _xlfn.LAMBDA(_xlpm.part, _xlpm.val, _xlpm.error, IF(_xlpm.part = "", "", IF(LEN(_xlpm.error), _xlfn.SWITCH(IFERROR(_xlfn.TEXTBEFORE(_xlpm.error,":"), ""), "1", "Error", "2", "Disabled", "3", "Required", "4", "Warning", "Valid"), "Valid"))))</f>
        <v>0</v>
      </c>
      <c r="BI8" s="22" cm="1">
        <f t="array" ref="BI8">_xlfn.MAP('3757 - Wall Stickers'!B8:B507, '3757 - Wall Stickers'!BI8:BI507, '3757 - Wall Stickers-WUO_ERR'!BI8:BI507, _xlfn.LAMBDA(_xlpm.part, _xlpm.val, _xlpm.error, IF(_xlpm.part = "", "", IF(LEN(_xlpm.error), _xlfn.SWITCH(IFERROR(_xlfn.TEXTBEFORE(_xlpm.error,":"), ""), "1", "Error", "2", "Disabled", "3", "Required", "4", "Warning", "Valid"), "Valid"))))</f>
        <v>0</v>
      </c>
      <c r="BJ8" s="22" cm="1">
        <f t="array" ref="BJ8">_xlfn.MAP('3757 - Wall Stickers'!B8:B507, '3757 - Wall Stickers'!BJ8:BJ507, '3757 - Wall Stickers-WUO_ERR'!BJ8:BJ507, _xlfn.LAMBDA(_xlpm.part, _xlpm.val, _xlpm.error, IF(_xlpm.part = "", "", IF(LEN(_xlpm.error), _xlfn.SWITCH(IFERROR(_xlfn.TEXTBEFORE(_xlpm.error,":"), ""), "1", "Error", "2", "Disabled", "3", "Required", "4", "Warning", "Valid"), "Valid"))))</f>
        <v>0</v>
      </c>
      <c r="BK8" s="22" cm="1">
        <f t="array" ref="BK8">_xlfn.MAP('3757 - Wall Stickers'!B8:B507, '3757 - Wall Stickers'!BK8:BK507, '3757 - Wall Stickers-WUO_ERR'!BK8:BK507, _xlfn.LAMBDA(_xlpm.part, _xlpm.val, _xlpm.error, IF(_xlpm.part = "", "", IF(LEN(_xlpm.error), _xlfn.SWITCH(IFERROR(_xlfn.TEXTBEFORE(_xlpm.error,":"), ""), "1", "Error", "2", "Disabled", "3", "Required", "4", "Warning", "Valid"), "Valid"))))</f>
        <v>0</v>
      </c>
      <c r="BL8" s="22" cm="1">
        <f t="array" ref="BL8">_xlfn.MAP('3757 - Wall Stickers'!B8:B507, '3757 - Wall Stickers'!BL8:BL507, '3757 - Wall Stickers-WUO_ERR'!BL8:BL507, _xlfn.LAMBDA(_xlpm.part, _xlpm.val, _xlpm.error, IF(_xlpm.part = "", "", IF(LEN(_xlpm.error), _xlfn.SWITCH(IFERROR(_xlfn.TEXTBEFORE(_xlpm.error,":"), ""), "1", "Error", "2", "Disabled", "3", "Required", "4", "Warning", "Valid"), "Valid"))))</f>
        <v>0</v>
      </c>
      <c r="BM8" s="22" cm="1">
        <f t="array" ref="BM8">_xlfn.MAP('3757 - Wall Stickers'!B8:B507, '3757 - Wall Stickers'!BM8:BM507, '3757 - Wall Stickers-WUO_ERR'!BM8:BM507, _xlfn.LAMBDA(_xlpm.part, _xlpm.val, _xlpm.error, IF(_xlpm.part = "", "", IF(LEN(_xlpm.error), _xlfn.SWITCH(IFERROR(_xlfn.TEXTBEFORE(_xlpm.error,":"), ""), "1", "Error", "2", "Disabled", "3", "Required", "4", "Warning", "Valid"), "Valid"))))</f>
        <v>0</v>
      </c>
      <c r="BN8" s="22" cm="1">
        <f t="array" ref="BN8">_xlfn.MAP('3757 - Wall Stickers'!B8:B507, '3757 - Wall Stickers'!BN8:BN507, '3757 - Wall Stickers-WUO_ERR'!BN8:BN507, _xlfn.LAMBDA(_xlpm.part, _xlpm.val, _xlpm.error, IF(_xlpm.part = "", "", IF(LEN(_xlpm.error), _xlfn.SWITCH(IFERROR(_xlfn.TEXTBEFORE(_xlpm.error,":"), ""), "1", "Error", "2", "Disabled", "3", "Required", "4", "Warning", "Valid"), "Valid"))))</f>
        <v>0</v>
      </c>
      <c r="BO8" s="22" cm="1">
        <f t="array" ref="BO8">_xlfn.MAP('3757 - Wall Stickers'!B8:B507, '3757 - Wall Stickers'!BO8:BO507, '3757 - Wall Stickers-WUO_ERR'!BO8:BO507, _xlfn.LAMBDA(_xlpm.part, _xlpm.val, _xlpm.error, IF(_xlpm.part = "", "", IF(LEN(_xlpm.error), _xlfn.SWITCH(IFERROR(_xlfn.TEXTBEFORE(_xlpm.error,":"), ""), "1", "Error", "2", "Disabled", "3", "Required", "4", "Warning", "Valid"), "Valid"))))</f>
        <v>0</v>
      </c>
      <c r="BP8" s="22" cm="1">
        <f t="array" ref="BP8">_xlfn.MAP('3757 - Wall Stickers'!B8:B507, '3757 - Wall Stickers'!BP8:BP507, '3757 - Wall Stickers-WUO_ERR'!BP8:BP507, _xlfn.LAMBDA(_xlpm.part, _xlpm.val, _xlpm.error, IF(_xlpm.part = "", "", IF(LEN(_xlpm.error), _xlfn.SWITCH(IFERROR(_xlfn.TEXTBEFORE(_xlpm.error,":"), ""), "1", "Error", "2", "Disabled", "3", "Required", "4", "Warning", "Valid"), "Valid"))))</f>
        <v>0</v>
      </c>
      <c r="BQ8" s="22" cm="1">
        <f t="array" ref="BQ8">_xlfn.MAP('3757 - Wall Stickers'!B8:B507, '3757 - Wall Stickers'!BQ8:BQ507, '3757 - Wall Stickers-WUO_ERR'!BQ8:BQ507, _xlfn.LAMBDA(_xlpm.part, _xlpm.val, _xlpm.error, IF(_xlpm.part = "", "", IF(LEN(_xlpm.error), _xlfn.SWITCH(IFERROR(_xlfn.TEXTBEFORE(_xlpm.error,":"), ""), "1", "Error", "2", "Disabled", "3", "Required", "4", "Warning", "Valid"), "Valid"))))</f>
        <v>0</v>
      </c>
      <c r="BR8" s="22" cm="1">
        <f t="array" ref="BR8">_xlfn.MAP('3757 - Wall Stickers'!B8:B507, '3757 - Wall Stickers'!BR8:BR507, '3757 - Wall Stickers-WUO_ERR'!BR8:BR507, _xlfn.LAMBDA(_xlpm.part, _xlpm.val, _xlpm.error, IF(_xlpm.part = "", "", IF(LEN(_xlpm.error), _xlfn.SWITCH(IFERROR(_xlfn.TEXTBEFORE(_xlpm.error,":"), ""), "1", "Error", "2", "Disabled", "3", "Required", "4", "Warning", "Valid"), "Valid"))))</f>
        <v>0</v>
      </c>
      <c r="BS8" s="22" cm="1">
        <f t="array" ref="BS8">_xlfn.MAP('3757 - Wall Stickers'!B8:B507, '3757 - Wall Stickers'!BS8:BS507, '3757 - Wall Stickers-WUO_ERR'!BS8:BS507, _xlfn.LAMBDA(_xlpm.part, _xlpm.val, _xlpm.error, IF(_xlpm.part = "", "", IF(LEN(_xlpm.error), _xlfn.SWITCH(IFERROR(_xlfn.TEXTBEFORE(_xlpm.error,":"), ""), "1", "Error", "2", "Disabled", "3", "Required", "4", "Warning", "Valid"), "Valid"))))</f>
        <v>0</v>
      </c>
      <c r="BT8" s="22" cm="1">
        <f t="array" ref="BT8">_xlfn.MAP('3757 - Wall Stickers'!B8:B507, '3757 - Wall Stickers'!BT8:BT507, '3757 - Wall Stickers-WUO_ERR'!BT8:BT507, _xlfn.LAMBDA(_xlpm.part, _xlpm.val, _xlpm.error, IF(_xlpm.part = "", "", IF(LEN(_xlpm.error), _xlfn.SWITCH(IFERROR(_xlfn.TEXTBEFORE(_xlpm.error,":"), ""), "1", "Error", "2", "Disabled", "3", "Required", "4", "Warning", "Valid"), "Valid"))))</f>
        <v>0</v>
      </c>
      <c r="BU8" s="22" cm="1">
        <f t="array" ref="BU8">_xlfn.MAP('3757 - Wall Stickers'!B8:B507, '3757 - Wall Stickers'!BU8:BU507, '3757 - Wall Stickers-WUO_ERR'!BU8:BU507, _xlfn.LAMBDA(_xlpm.part, _xlpm.val, _xlpm.error, IF(_xlpm.part = "", "", IF(LEN(_xlpm.error), _xlfn.SWITCH(IFERROR(_xlfn.TEXTBEFORE(_xlpm.error,":"), ""), "1", "Error", "2", "Disabled", "3", "Required", "4", "Warning", "Valid"), "Valid"))))</f>
        <v>0</v>
      </c>
      <c r="BV8" s="22" cm="1">
        <f t="array" ref="BV8">_xlfn.MAP('3757 - Wall Stickers'!B8:B507, '3757 - Wall Stickers'!BV8:BV507, '3757 - Wall Stickers-WUO_ERR'!BV8:BV507, _xlfn.LAMBDA(_xlpm.part, _xlpm.val, _xlpm.error, IF(_xlpm.part = "", "", IF(LEN(_xlpm.error), _xlfn.SWITCH(IFERROR(_xlfn.TEXTBEFORE(_xlpm.error,":"), ""), "1", "Error", "2", "Disabled", "3", "Required", "4", "Warning", "Valid"), "Valid"))))</f>
        <v>0</v>
      </c>
      <c r="BW8" s="22" cm="1">
        <f t="array" ref="BW8">_xlfn.MAP('3757 - Wall Stickers'!B8:B507, '3757 - Wall Stickers'!BW8:BW507, '3757 - Wall Stickers-WUO_ERR'!BW8:BW507, _xlfn.LAMBDA(_xlpm.part, _xlpm.val, _xlpm.error, IF(_xlpm.part = "", "", IF(LEN(_xlpm.error), _xlfn.SWITCH(IFERROR(_xlfn.TEXTBEFORE(_xlpm.error,":"), ""), "1", "Error", "2", "Disabled", "3", "Required", "4", "Warning", "Valid"), "Valid"))))</f>
        <v>0</v>
      </c>
      <c r="BX8" s="22" cm="1">
        <f t="array" ref="BX8">_xlfn.MAP('3757 - Wall Stickers'!B8:B507, '3757 - Wall Stickers'!BX8:BX507, '3757 - Wall Stickers-WUO_ERR'!BX8:BX507, _xlfn.LAMBDA(_xlpm.part, _xlpm.val, _xlpm.error, IF(_xlpm.part = "", "", IF(LEN(_xlpm.error), _xlfn.SWITCH(IFERROR(_xlfn.TEXTBEFORE(_xlpm.error,":"), ""), "1", "Error", "2", "Disabled", "3", "Required", "4", "Warning", "Valid"), "Valid"))))</f>
        <v>0</v>
      </c>
      <c r="BY8" s="22" cm="1">
        <f t="array" ref="BY8">_xlfn.MAP('3757 - Wall Stickers'!B8:B507, '3757 - Wall Stickers'!BY8:BY507, '3757 - Wall Stickers-WUO_ERR'!BY8:BY507, _xlfn.LAMBDA(_xlpm.part, _xlpm.val, _xlpm.error, IF(_xlpm.part = "", "", IF(LEN(_xlpm.error), _xlfn.SWITCH(IFERROR(_xlfn.TEXTBEFORE(_xlpm.error,":"), ""), "1", "Error", "2", "Disabled", "3", "Required", "4", "Warning", "Valid"), "Valid"))))</f>
        <v>0</v>
      </c>
      <c r="BZ8" s="22" cm="1">
        <f t="array" ref="BZ8">_xlfn.MAP('3757 - Wall Stickers'!B8:B507, '3757 - Wall Stickers'!BZ8:BZ507, '3757 - Wall Stickers-WUO_ERR'!BZ8:BZ507, _xlfn.LAMBDA(_xlpm.part, _xlpm.val, _xlpm.error, IF(_xlpm.part = "", "", IF(LEN(_xlpm.error), _xlfn.SWITCH(IFERROR(_xlfn.TEXTBEFORE(_xlpm.error,":"), ""), "1", "Error", "2", "Disabled", "3", "Required", "4", "Warning", "Valid"), "Valid"))))</f>
        <v>0</v>
      </c>
      <c r="CA8" s="22" cm="1">
        <f t="array" ref="CA8">_xlfn.MAP('3757 - Wall Stickers'!B8:B507, '3757 - Wall Stickers'!CA8:CA507, '3757 - Wall Stickers-WUO_ERR'!CA8:CA507, _xlfn.LAMBDA(_xlpm.part, _xlpm.val, _xlpm.error, IF(_xlpm.part = "", "", IF(LEN(_xlpm.error), _xlfn.SWITCH(IFERROR(_xlfn.TEXTBEFORE(_xlpm.error,":"), ""), "1", "Error", "2", "Disabled", "3", "Required", "4", "Warning", "Valid"), "Valid"))))</f>
        <v>0</v>
      </c>
      <c r="CB8" s="22" cm="1">
        <f t="array" ref="CB8">_xlfn.MAP('3757 - Wall Stickers'!B8:B507, '3757 - Wall Stickers'!CB8:CB507, '3757 - Wall Stickers-WUO_ERR'!CB8:CB507, _xlfn.LAMBDA(_xlpm.part, _xlpm.val, _xlpm.error, IF(_xlpm.part = "", "", IF(LEN(_xlpm.error), _xlfn.SWITCH(IFERROR(_xlfn.TEXTBEFORE(_xlpm.error,":"), ""), "1", "Error", "2", "Disabled", "3", "Required", "4", "Warning", "Valid"), "Valid"))))</f>
        <v>0</v>
      </c>
      <c r="CC8" s="22" cm="1">
        <f t="array" ref="CC8">_xlfn.MAP('3757 - Wall Stickers'!B8:B507, '3757 - Wall Stickers'!CC8:CC507, '3757 - Wall Stickers-WUO_ERR'!CC8:CC507, _xlfn.LAMBDA(_xlpm.part, _xlpm.val, _xlpm.error, IF(_xlpm.part = "", "", IF(LEN(_xlpm.error), _xlfn.SWITCH(IFERROR(_xlfn.TEXTBEFORE(_xlpm.error,":"), ""), "1", "Error", "2", "Disabled", "3", "Required", "4", "Warning", "Valid"), "Valid"))))</f>
        <v>0</v>
      </c>
      <c r="CD8" s="22" cm="1">
        <f t="array" ref="CD8">_xlfn.MAP('3757 - Wall Stickers'!B8:B507, '3757 - Wall Stickers'!CD8:CD507, '3757 - Wall Stickers-WUO_ERR'!CD8:CD507, _xlfn.LAMBDA(_xlpm.part, _xlpm.val, _xlpm.error, IF(_xlpm.part = "", "", IF(LEN(_xlpm.error), _xlfn.SWITCH(IFERROR(_xlfn.TEXTBEFORE(_xlpm.error,":"), ""), "1", "Error", "2", "Disabled", "3", "Required", "4", "Warning", "Valid"), "Valid"))))</f>
        <v>0</v>
      </c>
      <c r="CE8" s="22" cm="1">
        <f t="array" ref="CE8">_xlfn.MAP('3757 - Wall Stickers'!B8:B507, '3757 - Wall Stickers'!CE8:CE507, '3757 - Wall Stickers-WUO_ERR'!CE8:CE507, _xlfn.LAMBDA(_xlpm.part, _xlpm.val, _xlpm.error, IF(_xlpm.part = "", "", IF(LEN(_xlpm.error), _xlfn.SWITCH(IFERROR(_xlfn.TEXTBEFORE(_xlpm.error,":"), ""), "1", "Error", "2", "Disabled", "3", "Required", "4", "Warning", "Valid"), "Valid"))))</f>
        <v>0</v>
      </c>
      <c r="CF8" s="22" cm="1">
        <f t="array" ref="CF8">_xlfn.MAP('3757 - Wall Stickers'!B8:B507, '3757 - Wall Stickers'!CF8:CF507, '3757 - Wall Stickers-WUO_ERR'!CF8:CF507, _xlfn.LAMBDA(_xlpm.part, _xlpm.val, _xlpm.error, IF(_xlpm.part = "", "", IF(LEN(_xlpm.error), _xlfn.SWITCH(IFERROR(_xlfn.TEXTBEFORE(_xlpm.error,":"), ""), "1", "Error", "2", "Disabled", "3", "Required", "4", "Warning", "Valid"), "Valid"))))</f>
        <v>0</v>
      </c>
      <c r="CG8" s="22" cm="1">
        <f t="array" ref="CG8">_xlfn.MAP('3757 - Wall Stickers'!B8:B507, '3757 - Wall Stickers'!CG8:CG507, '3757 - Wall Stickers-WUO_ERR'!CG8:CG507, _xlfn.LAMBDA(_xlpm.part, _xlpm.val, _xlpm.error, IF(_xlpm.part = "", "", IF(LEN(_xlpm.error), _xlfn.SWITCH(IFERROR(_xlfn.TEXTBEFORE(_xlpm.error,":"), ""), "1", "Error", "2", "Disabled", "3", "Required", "4", "Warning", "Valid"), "Valid"))))</f>
        <v>0</v>
      </c>
      <c r="CH8" s="22" cm="1">
        <f t="array" ref="CH8">_xlfn.MAP('3757 - Wall Stickers'!B8:B507, '3757 - Wall Stickers'!CH8:CH507, '3757 - Wall Stickers-WUO_ERR'!CH8:CH507, _xlfn.LAMBDA(_xlpm.part, _xlpm.val, _xlpm.error, IF(_xlpm.part = "", "", IF(LEN(_xlpm.error), _xlfn.SWITCH(IFERROR(_xlfn.TEXTBEFORE(_xlpm.error,":"), ""), "1", "Error", "2", "Disabled", "3", "Required", "4", "Warning", "Valid"), "Valid"))))</f>
        <v>0</v>
      </c>
      <c r="CI8" s="22" cm="1">
        <f t="array" ref="CI8">_xlfn.MAP('3757 - Wall Stickers'!B8:B507, '3757 - Wall Stickers'!CI8:CI507, '3757 - Wall Stickers-WUO_ERR'!CI8:CI507, _xlfn.LAMBDA(_xlpm.part, _xlpm.val, _xlpm.error, IF(_xlpm.part = "", "", IF(LEN(_xlpm.error), _xlfn.SWITCH(IFERROR(_xlfn.TEXTBEFORE(_xlpm.error,":"), ""), "1", "Error", "2", "Disabled", "3", "Required", "4", "Warning", "Valid"), "Valid"))))</f>
        <v>0</v>
      </c>
      <c r="CJ8" s="22" cm="1">
        <f t="array" ref="CJ8">_xlfn.MAP('3757 - Wall Stickers'!B8:B507, '3757 - Wall Stickers'!CJ8:CJ507, '3757 - Wall Stickers-WUO_ERR'!CJ8:CJ507, _xlfn.LAMBDA(_xlpm.part, _xlpm.val, _xlpm.error, IF(_xlpm.part = "", "", IF(LEN(_xlpm.error), _xlfn.SWITCH(IFERROR(_xlfn.TEXTBEFORE(_xlpm.error,":"), ""), "1", "Error", "2", "Disabled", "3", "Required", "4", "Warning", "Valid"), "Valid"))))</f>
        <v>0</v>
      </c>
      <c r="CK8" s="22" cm="1">
        <f t="array" ref="CK8">_xlfn.MAP('3757 - Wall Stickers'!B8:B507, '3757 - Wall Stickers'!CK8:CK507, '3757 - Wall Stickers-WUO_ERR'!CK8:CK507, _xlfn.LAMBDA(_xlpm.part, _xlpm.val, _xlpm.error, IF(_xlpm.part = "", "", IF(LEN(_xlpm.error), _xlfn.SWITCH(IFERROR(_xlfn.TEXTBEFORE(_xlpm.error,":"), ""), "1", "Error", "2", "Disabled", "3", "Required", "4", "Warning", "Valid"), "Valid"))))</f>
        <v>0</v>
      </c>
      <c r="CL8" s="22" cm="1">
        <f t="array" ref="CL8">_xlfn.MAP('3757 - Wall Stickers'!B8:B507, '3757 - Wall Stickers'!CL8:CL507, '3757 - Wall Stickers-WUO_ERR'!CL8:CL507, _xlfn.LAMBDA(_xlpm.part, _xlpm.val, _xlpm.error, IF(_xlpm.part = "", "", IF(LEN(_xlpm.error), _xlfn.SWITCH(IFERROR(_xlfn.TEXTBEFORE(_xlpm.error,":"), ""), "1", "Error", "2", "Disabled", "3", "Required", "4", "Warning", "Valid"), "Valid"))))</f>
        <v>0</v>
      </c>
      <c r="CM8" s="22" cm="1">
        <f t="array" ref="CM8">_xlfn.MAP('3757 - Wall Stickers'!B8:B507, '3757 - Wall Stickers'!CM8:CM507, '3757 - Wall Stickers-WUO_ERR'!CM8:CM507, _xlfn.LAMBDA(_xlpm.part, _xlpm.val, _xlpm.error, IF(_xlpm.part = "", "", IF(LEN(_xlpm.error), _xlfn.SWITCH(IFERROR(_xlfn.TEXTBEFORE(_xlpm.error,":"), ""), "1", "Error", "2", "Disabled", "3", "Required", "4", "Warning", "Valid"), "Valid"))))</f>
        <v>0</v>
      </c>
      <c r="CN8" s="22" cm="1">
        <f t="array" ref="CN8">_xlfn.MAP('3757 - Wall Stickers'!B8:B507, '3757 - Wall Stickers'!CN8:CN507, '3757 - Wall Stickers-WUO_ERR'!CN8:CN507, _xlfn.LAMBDA(_xlpm.part, _xlpm.val, _xlpm.error, IF(_xlpm.part = "", "", IF(LEN(_xlpm.error), _xlfn.SWITCH(IFERROR(_xlfn.TEXTBEFORE(_xlpm.error,":"), ""), "1", "Error", "2", "Disabled", "3", "Required", "4", "Warning", "Valid"), "Valid"))))</f>
        <v>0</v>
      </c>
      <c r="CO8" s="22" cm="1">
        <f t="array" ref="CO8">_xlfn.MAP('3757 - Wall Stickers'!B8:B507, '3757 - Wall Stickers'!CO8:CO507, '3757 - Wall Stickers-WUO_ERR'!CO8:CO507, _xlfn.LAMBDA(_xlpm.part, _xlpm.val, _xlpm.error, IF(_xlpm.part = "", "", IF(LEN(_xlpm.error), _xlfn.SWITCH(IFERROR(_xlfn.TEXTBEFORE(_xlpm.error,":"), ""), "1", "Error", "2", "Disabled", "3", "Required", "4", "Warning", "Valid"), "Valid"))))</f>
        <v>0</v>
      </c>
    </row>
  </sheetData>
  <sheetProtection password="8AEE" sheet="1" objects="1" scenarios="1"/>
  <mergeCells count="9">
    <mergeCell ref="B2:I2"/>
    <mergeCell ref="J2:Q2"/>
    <mergeCell ref="R2:U2"/>
    <mergeCell ref="V2:AA2"/>
    <mergeCell ref="AB2:AL2"/>
    <mergeCell ref="AM2:AP2"/>
    <mergeCell ref="AQ2:BH2"/>
    <mergeCell ref="BI2:CK2"/>
    <mergeCell ref="CL2:CO2"/>
  </mergeCells>
  <dataValidations count="73">
    <dataValidation type="list" allowBlank="1" showInputMessage="1" showErrorMessage="1" errorTitle="Invalid Brand" error="The value provided is not a valid Brand." promptTitle="" prompt="If all products in this class consistently have the same answer, you can set a default value to apply automatically. For any exceptions, you can modify the answer for specific products without changing the default." sqref="D7">
      <formula1>'WAYFAIR_USE_ONLY'!$O$7:$O8</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H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S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T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U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V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W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X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Y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Z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A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B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C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D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E7">
      <formula1>32767</formula1>
    </dataValidation>
    <dataValidation type="list" allowBlank="1" showInputMessage="1" showErrorMessage="1" errorTitle="Invalid Ship Type" error="The value provided is not a valid Ship Type." promptTitle="" prompt="If all products in this class consistently have the same answer, you can set a default value to apply automatically. For any exceptions, you can modify the answer for specific products without changing the default." sqref="AF7">
      <formula1>'WAYFAIR_USE_ONLY'!$T$7:$T9</formula1>
    </dataValidation>
    <dataValidation type="list" allowBlank="1" showInputMessage="1" showErrorMessage="1" errorTitle="Invalid Freight Class" error="The value provided is not a valid Freight Class." promptTitle="" prompt="If all products in this class consistently have the same answer, you can set a default value to apply automatically. For any exceptions, you can modify the answer for specific products without changing the default." sqref="AG7">
      <formula1>'WAYFAIR_USE_ONLY'!$U$7:$U25</formula1>
    </dataValidation>
    <dataValidation type="list" allowBlank="1" showInputMessage="1" showErrorMessage="1" errorTitle="Invalid Lead Time" error="The value provided is not a valid Lead Time." promptTitle="" prompt="If all products in this class consistently have the same answer, you can set a default value to apply automatically. For any exceptions, you can modify the answer for specific products without changing the default." sqref="AH7">
      <formula1>'WAYFAIR_USE_ONLY'!$V$7:$V24</formula1>
    </dataValidation>
    <dataValidation type="list" allowBlank="1" showInputMessage="1" showErrorMessage="1" errorTitle="Invalid Replacement Lead Time" error="The value provided is not a valid Replacement Lead Time." promptTitle="" prompt="If all products in this class consistently have the same answer, you can set a default value to apply automatically. For any exceptions, you can modify the answer for specific products without changing the default." sqref="AI7">
      <formula1>'WAYFAIR_USE_ONLY'!$W$7:$W13</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J7">
      <formula1>32767</formula1>
    </dataValidation>
    <dataValidation type="list" allowBlank="1" showInputMessage="1" showErrorMessage="1" errorTitle="Invalid Flat Pack" error="The value provided is not a valid Flat Pack." promptTitle="" prompt="If all products in this class consistently have the same answer, you can set a default value to apply automatically. For any exceptions, you can modify the answer for specific products without changing the default." sqref="AK7">
      <formula1>'WAYFAIR_USE_ONLY'!$X$7:$X9</formula1>
    </dataValidation>
    <dataValidation type="list" allowBlank="1" showInputMessage="1" showErrorMessage="1" errorTitle="Invalid Ship Palletized" error="The value provided is not a valid Ship Palletized." promptTitle="" prompt="If all products in this class consistently have the same answer, you can set a default value to apply automatically. For any exceptions, you can modify the answer for specific products without changing the default." sqref="AL7">
      <formula1>'WAYFAIR_USE_ONLY'!$Y$7:$Y9</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M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N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O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P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W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Y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AZ7">
      <formula1>'WAYFAIR_USE_ONLY'!$P$7:$P11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A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C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D7">
      <formula1>'WAYFAIR_USE_ONLY'!$P$7:$P11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E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F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G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H7">
      <formula1>'WAYFAIR_USE_ONLY'!$P$7:$P11</formula1>
    </dataValidation>
    <dataValidation type="list" errorStyle="warning" allowBlank="1" showInputMessage="1" showErrorMessage="1" errorTitle="Invalid Product Type" error="The value provided is not a valid Product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I7">
      <formula1>'WAYFAIR_USE_ONLY'!$B$7:$B21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J7"/>
    <dataValidation type="list" errorStyle="warning" allowBlank="1" showInputMessage="1" showErrorMessage="1" errorTitle="Invalid Surface Type" error="The value provided is not a valid Surface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K7">
      <formula1>'WAYFAIR_USE_ONLY'!$C$7:$C17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L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M7"/>
    <dataValidation type="list" allowBlank="1" showInputMessage="1" showErrorMessage="1" errorTitle="Invalid Personalization or Monog" error="The value provided is not a valid Personalization or Monogramming." promptTitle="" prompt="If all products in this class consistently have the same answer, you can set a default value to apply automatically. For any exceptions, you can modify the answer for specific products without changing the default." sqref="BN7">
      <formula1>'WAYFAIR_USE_ONLY'!$D$7:$D11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O7"/>
    <dataValidation type="list" allowBlank="1" showInputMessage="1" showErrorMessage="1" errorTitle="Invalid Holiday / Occasion" error="The value provided is not a valid Holiday / Occasion." promptTitle="" prompt="If all products in this class consistently have the same answer, you can set a default value to apply automatically. For any exceptions, you can modify the answer for specific products without changing the default." sqref="BP7">
      <formula1>'WAYFAIR_USE_ONLY'!$E$7:$E33</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Q7"/>
    <dataValidation type="list" allowBlank="1" showInputMessage="1" showErrorMessage="1" errorTitle="Invalid BPA Free" error="The value provided is not a valid BPA Free." promptTitle="" prompt="If all products in this class consistently have the same answer, you can set a default value to apply automatically. For any exceptions, you can modify the answer for specific products without changing the default." sqref="BR7">
      <formula1>'WAYFAIR_USE_ONLY'!$F$7:$F11</formula1>
    </dataValidation>
    <dataValidation type="list" errorStyle="warning" allowBlank="1" showInputMessage="1" showErrorMessage="1" errorTitle="Invalid Licensed Product Categor" error="The value provided is not a valid Licensed Product Category. Would you like to provide a custom answer?" promptTitle="" prompt="If all products in this class consistently have the same answer, you can set a default value to apply automatically. For any exceptions, you can modify the answer for specific products without changing the default." sqref="BS7">
      <formula1>'WAYFAIR_USE_ONLY'!$G$7:$G14</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T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U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V7"/>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BW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Y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Z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A7"/>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B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C7">
      <formula1>32767</formula1>
    </dataValidation>
    <dataValidation type="list" allowBlank="1" showInputMessage="1" showErrorMessage="1" errorTitle="Invalid Commercial Warranty" error="The value provided is not a valid Commercial Warranty." promptTitle="" prompt="If all products in this class consistently have the same answer, you can set a default value to apply automatically. For any exceptions, you can modify the answer for specific products without changing the default." sqref="CD7">
      <formula1>'WAYFAIR_USE_ONLY'!$I$7:$I10</formula1>
    </dataValidation>
    <dataValidation allowBlank="1" showInputMessage="1" showErrorMessage="1" promptTitle="Class Specific Child Question" prompt="This Question is directly related to the tag &quot;Commercial Warranty Your answer to the related question may influence which answers are accepted here." sqref="CE4"/>
    <dataValidation type="list" allowBlank="1" showInputMessage="1" showErrorMessage="1" errorTitle="Invalid Commercial Warranty Leng" error="The value provided is not a valid Commercial Warranty Length." promptTitle="" prompt="If all products in this class consistently have the same answer, you can set a default value to apply automatically. For any exceptions, you can modify the answer for specific products without changing the default." sqref="CE7">
      <formula1>'WAYFAIR_USE_ONLY'!$H$7:$H32</formula1>
    </dataValidation>
    <dataValidation type="list" allowBlank="1" showInputMessage="1" showErrorMessage="1" errorTitle="Invalid Wayfair Compliance Verif" error="The value provided is not a valid Wayfair Compliance Verified Program (including Baby Safety Alliance fka JPMA) for this product category." promptTitle="" prompt="If all products in this class consistently have the same answer, you can set a default value to apply automatically. For any exceptions, you can modify the answer for specific products without changing the default." sqref="CF7">
      <formula1>'WAYFAIR_USE_ONLY'!$J$7:$J9</formula1>
    </dataValidation>
    <dataValidation type="list" allowBlank="1" showInputMessage="1" showErrorMessage="1" errorTitle="Invalid Uniform Packaging and La" error="The value provided is not a valid Uniform Packaging and Labeling Regulations (UPLR) Compliant." promptTitle="" prompt="If all products in this class consistently have the same answer, you can set a default value to apply automatically. For any exceptions, you can modify the answer for specific products without changing the default." sqref="CG7">
      <formula1>'WAYFAIR_USE_ONLY'!$K$7:$K9</formula1>
    </dataValidation>
    <dataValidation type="list" allowBlank="1" showInputMessage="1" showErrorMessage="1" errorTitle="Invalid Canada Product Restricti" error="The value provided is not a valid Canada Product Restriction." promptTitle="" prompt="If all products in this class consistently have the same answer, you can set a default value to apply automatically. For any exceptions, you can modify the answer for specific products without changing the default." sqref="CH7">
      <formula1>'WAYFAIR_USE_ONLY'!$L$7:$L9</formula1>
    </dataValidation>
    <dataValidation allowBlank="1" showInputMessage="1" showErrorMessage="1" promptTitle="Class Specific Child Question" prompt="This Question is directly related to the tag &quot;Canada Product Restriction Your answer to the related question may influence which answers are accepted here." sqref="CI4"/>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I7"/>
    <dataValidation type="list" allowBlank="1" showInputMessage="1" showErrorMessage="1" errorTitle="Invalid ISTA Certified" error="The value provided is not a valid ISTA Certified." promptTitle="" prompt="If all products in this class consistently have the same answer, you can set a default value to apply automatically. For any exceptions, you can modify the answer for specific products without changing the default." sqref="CJ7">
      <formula1>'WAYFAIR_USE_ONLY'!$M$7:$M10</formula1>
    </dataValidation>
    <dataValidation type="list" allowBlank="1" showInputMessage="1" showErrorMessage="1" errorTitle="Invalid Sustainability &amp; Social " error="The value provided is not a valid Sustainability &amp; Social Responsibility Certifications (North America Only)." promptTitle="" prompt="If all products in this class consistently have the same answer, you can set a default value to apply automatically. For any exceptions, you can modify the answer for specific products without changing the default." sqref="CK7">
      <formula1>'WAYFAIR_USE_ONLY'!$N$7:$N10</formula1>
    </dataValidation>
    <dataValidation type="list" allowBlank="1" showInputMessage="1" showErrorMessage="1" errorTitle="Invalid Warning Required" error="The value provided is not a valid Warning Required." promptTitle="" prompt="If all products in this class consistently have the same answer, you can set a default value to apply automatically. For any exceptions, you can modify the answer for specific products without changing the default." sqref="CL7">
      <formula1>'WAYFAIR_USE_ONLY'!$Q$7:$Q9</formula1>
    </dataValidation>
    <dataValidation type="list" allowBlank="1" showInputMessage="1" showErrorMessage="1" errorTitle="Invalid Chemical" error="The value provided is not a valid Chemical." promptTitle="" prompt="If all products in this class consistently have the same answer, you can set a default value to apply automatically. For any exceptions, you can modify the answer for specific products without changing the default." sqref="CM7">
      <formula1>'WAYFAIR_USE_ONLY'!$R$7:$R908</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N7"/>
    <dataValidation type="list" allowBlank="1" showInputMessage="1" showErrorMessage="1" errorTitle="Invalid Country Of Manufacturer" error="The value provided is not a valid Country Of Manufacturer." promptTitle="" prompt="If all products in this class consistently have the same answer, you can set a default value to apply automatically. For any exceptions, you can modify the answer for specific products without changing the default." sqref="CO7">
      <formula1>'WAYFAIR_USE_ONLY'!$S$7:$S254</formula1>
    </dataValidation>
  </dataValidations>
  <hyperlinks>
    <hyperlink ref="D6" location="'Valid Values'!A1" display="Select"/>
    <hyperlink ref="J6" location="'Valid Values'!B1" display="Select"/>
    <hyperlink ref="L6" location="'Valid Values'!C1" display="Select"/>
    <hyperlink ref="N6" location="'Valid Values'!C1" display="Select"/>
    <hyperlink ref="P6" location="'Valid Values'!C1" display="Select"/>
    <hyperlink ref="AF6" location="'Valid Values'!E1" display="Select"/>
    <hyperlink ref="AG6" location="'Valid Values'!F1" display="Select"/>
    <hyperlink ref="AH6" location="'Valid Values'!G1" display="Select"/>
    <hyperlink ref="AI6" location="'Valid Values'!H1" display="Select"/>
    <hyperlink ref="AX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AY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AZ6" location="'Valid Values'!K1" display="Select"/>
    <hyperlink ref="BB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C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D6" location="'Valid Values'!K1" display="Select"/>
    <hyperlink ref="BF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G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H6" location="'Valid Values'!K1" display="Select"/>
    <hyperlink ref="BI6" location="'Valid Values'!L1" display="Select"/>
    <hyperlink ref="BJ6" location="'Valid Values'!M1" display="Please choose one or more from the following, using a semicolon (;) to separate each value: Insects; Religious &amp; Spiritual; Scenic &amp; Cityscapes; Animals; Furniture; Novelty &amp; Humor; Plants &amp; Flowers; STEM; Fashion; Geography; Buildings &amp; Architecture; Transportation; Nautical &amp; Beach; Abstract; Patriotic; Food &amp; Beverage; Fantasy &amp; Sci-Fi; Bath &amp; Laundry; History &amp; Language; Entertainment; Astrology &amp; Stars; Cities &amp; Countries; Disney/Pixar; No Subject; People; Sports; Landscape &amp; Nature; Text &amp; Numbers; Education; Birds; U.S. States &amp; Territories; Unavailable"/>
    <hyperlink ref="BK6" location="'Valid Values'!N1" display="Select"/>
    <hyperlink ref="BL6" location="'Valid Values'!O1" display="Please choose one or more from the following, using a semicolon (;) to separate each value: Polycarbonate (PC); Polyethylene Plastic; Glass; Silicone; Stainless Steel; Melamine; Polypropylene; Cane; Raffia; Mango Wood; Aluminum; Linen Blend; Acrylic; Limestone; Artificial Grass; Antler; HDPE; Jersey; Linen; Foam; Cowhide; Copper / Copper Plated; Engineered Wood; Cast Aluminum; Flat Wire; Crystal; Fleece / Microfiber; Cardboard / Paper; Chenille; Cherry Wood; Handblown Glass; Cement; Flannel; Chrome; Enamelware; Enameled Cast Iron; Agate / Geode; Fiberglass; Bronze; Cast Iron; Bamboo Slat / Seagrass; Beaded; Alpaca; Felt; Denim; Clay; Gel; Coir; Cardboard; Leather; Cashmere; Galvanized Steel; Hemp; Fireclay; Anodized Aluminum; Blended Fabric; Bamboo; Brass; Burlap; Ceramic; Canvas; Composite; Carbon Steel; Compressed Polyester; Ceramic / Porcelain; Bone China; Cedar; Concrete; Cotton; Earthenware; Engineered Stone; Concrete / Cement; Corrugated; Enamel / Lacquer; Cotton Blend; Compressed Stone; Copper; Faux Leather; Fabric; Faux Sheepskin; Fiberstone; Fine Silver; Hard-Anodized Aluminum; Granite; Heavy Gauge Wire; Faux Fur; Faux Mohair; Faux Cowhide; Iron; High Leaded Crystal; Marble; Lead Crystal; Ironstone; Leather / Faux Leather; Latex; Jute; Lead Free Crystal; Lace; Jute / Sisal; Laminate; Marble / Granite; Mercury Glass; Medium Density Fiberboard (MDF); Mesh; Merino Wool; Memory Foam; Natural Stone; Microfiber / Polyester; Natural Fiber; Microfiber; Natural Fibers; Magnet; Muslin; Metal; Microfiber / Microsuede; Paper; Olefin; Nickel; PEVA; Nylon; Oak; Oxford Fabric; Polyamide; Plywood; Pinecones; Plastic / Acrylic; Pewter; Polycarbonate Plastic; Nickel Plated; Plastic; Polyester; Polymer; Polyester Fill; Polystyrene; Polyvinyl Chloride (PVC); Polyurethane; Porcelain China; Powder Coated Steel; Polypropylene Plastic; Porcelain Enameled Steel; Porcelain; Powder Coated Aluminum; Polyester Blend; Polyresin; Polymarble; Polyurethane (PU); Sandstone; Silver; Sheepskin; Sateen; Rayon / Viscose; Rayon from Bamboo; Silver Plated; Sherpa; Quartz; S"/>
    <hyperlink ref="BM6" location="'Valid Values'!P1" display="Please choose one or more from the following, using a semicolon (;) to separate each value: Acrylic Panel; Glass Wall; Orange Peel Wall; Brick Wall; Gypsum Wall; Laminate; Plywood Wall; Textured Wall; Drywall; Existing Tile; Cement Wall; Solid Wood; Wallpaper; Stucco Wall; Ceramic Tile Wall; Stainless Steel; Painted Gypsum; Concrete; Mirror; Stone Wall; Medium Density Fiberboard; Chalkboard; Flat Surface; Appliance; Multi-Surface; Unavailable"/>
    <hyperlink ref="BO6" location="'Valid Values'!Q1" display="Please choose one or more from the following, using a semicolon (;) to separate each value: Bedroom; Dining Room; Kitchen; Living Room; Bathroom; Laundry Room; Nursery; Pantry; Home Office; Game Room; Foyer; Playroom; Patio; Closet; Restaurant Dining Room; Basement; Garage/Shop; Commercial Office; Backyard; Mudroom/Deck; School Classroom; Hotel Room; Lobby/Reception; Hallway; Studio; Art School; Commercial Kitchen; Unavailable; Does Not Apply"/>
    <hyperlink ref="BP6" location="'Valid Values'!R1" display="Select"/>
    <hyperlink ref="BQ6" location="'Valid Values'!S1" display="Please choose one or more from the following, using a semicolon (;) to separate each value: Made in USA; Made in USA of Imported Materials; Product of Canada; Made In Canada; Does Not Apply"/>
    <hyperlink ref="BS6" location="'Valid Values'!T1" display="Select"/>
    <hyperlink ref="BT6" location="'Valid Values'!U1" display="Please choose one or more from the following, using a semicolon (;) to separate each value: Mold / Mildew Resistant; Water Resistant; No Durability Features; Fade Resistant; Heat Resistant; Stain Resistant; Shatter Resistant; Tip Resistant; Waterproof; Weather Resistant; Rust Resistant; Antimicrobial; Anodic Protection; Condensation Free; Predator Resistant; Drill Resistant; Pry Resistant; Fray Resistant; Non-Staining"/>
    <hyperlink ref="BU6" location="'Valid Values'!V1" display="Please choose one or more from the following, using a semicolon (;) to separate each value: Foldable / Folding; Ergonomic; Reversible; Collapsible; Extendable; Tilt; Configurable / Modular; Swivel; Trimmable; Removable; Convertible; Rotating; Lift Assist; Reclining; Double Sided; Retractable; Glider; Wall Recline; Adjustable; Swing Arm; Temperature; Stackable; Tilt Lock; Tilt Out; Tilting; Unavailable; Does Not Apply"/>
    <hyperlink ref="BV6" location="'Valid Values'!W1" display="Please choose one or more from the following, using a semicolon (;) to separate each value: Blue; Black; Brown; Red; Beige; Yellow; Pink; Purple; Gold; White; Ivory; Tan; Teal; Navy; Orange; Silver; Gray; Green; Cream; Clear"/>
    <hyperlink ref="BX6" location="'Valid Values'!X1" display="Please choose one or more from the following, using a semicolon (;) to separate each value: Handle(s); Paste; Unavailable; Does Not Apply"/>
    <hyperlink ref="BY6" location="'Valid Values'!Y1" display="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hyperlink ref="BZ6" location="'Valid Values'!Z1" display="Please choose one or more from the following, using a semicolon (;) to separate each value: Breathable; Dual Sided; Animated; Double Sided; Non-Wall Damaging; Reusable; Vintage; Window Clinging"/>
    <hyperlink ref="CA6" location="'Valid Values'!AA1" display="Please choose one or more from the following, using a semicolon (;) to separate each value: Newborn (Birth - 6 months old); Infant (6 - 12 Months); Toddler (1 - 3 Years); Pre-school (3 - 5 Years); Youth (5 - 8 Years); Pre-teen (9 - 12 Years); Teen (13+); Adult (18+); All Ages; Adult; Baby; Kid; Teen; Toddler; Unavailable"/>
    <hyperlink ref="CE6" location="'Valid Values'!AB1" display="Select"/>
    <hyperlink ref="CF6" location="'Valid Values'!AC1" display="Select"/>
    <hyperlink ref="CG6" location="'Valid Values'!AD1" display="Select"/>
    <hyperlink ref="CI6" location="'Valid Values'!AE1" display="Please choose one or more from the following, using a semicolon (;) to separate each value: Dual Language; Distribution Conflict; Logistics; Does Not Apply"/>
    <hyperlink ref="CJ6" location="'Valid Values'!AF1" display="Select"/>
    <hyperlink ref="CM6" location="'Valid Values'!AG1" display="Select"/>
    <hyperlink ref="CN6" location="'Valid Values'!AH1" display="Please choose one or more from the following, using a semicolon (;) to separate each value: Cancer; Developmental"/>
    <hyperlink ref="CO6" location="'Valid Values'!AI1" display="Select"/>
  </hyperlink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dimension ref="A1:CS507"/>
  <sheetViews>
    <sheetView workbookViewId="0">
      <pane xSplit="2" topLeftCell="C1" activePane="topRight" state="frozen"/>
      <selection pane="topRight"/>
    </sheetView>
  </sheetViews>
  <sheetFormatPr defaultRowHeight="15"/>
  <cols>
    <col min="1" max="1" width="35.7109375" customWidth="1"/>
    <col min="2" max="2" width="25.7109375" style="22" customWidth="1"/>
    <col min="3" max="3" width="22.7109375" style="22" customWidth="1"/>
    <col min="4" max="4" width="10.7109375" style="22" customWidth="1"/>
    <col min="5" max="5" width="29.7109375" style="22" customWidth="1"/>
    <col min="6" max="6" width="27.7109375" style="22" customWidth="1"/>
    <col min="7" max="7" width="17.7109375" style="22" customWidth="1"/>
    <col min="8" max="8" width="20.7109375" style="22" customWidth="1"/>
    <col min="9" max="9" width="29.7109375" style="22" customWidth="1"/>
    <col min="10" max="10" width="17.7109375" style="22" customWidth="1"/>
    <col min="11" max="12" width="23.7109375" style="22" customWidth="1"/>
    <col min="13" max="13" width="37.7109375" style="22" customWidth="1"/>
    <col min="14" max="14" width="23.7109375" style="22" customWidth="1"/>
    <col min="15" max="15" width="37.7109375" style="22" customWidth="1"/>
    <col min="16" max="16" width="23.7109375" style="22" customWidth="1"/>
    <col min="17" max="17" width="37.7109375" style="22" customWidth="1"/>
    <col min="18" max="18" width="14.7109375" style="22" customWidth="1"/>
    <col min="19" max="19" width="29.7109375" style="22" customWidth="1"/>
    <col min="20" max="20" width="40.7109375" style="22" customWidth="1"/>
    <col min="21" max="21" width="31.7109375" style="22" customWidth="1"/>
    <col min="22" max="22" width="19.7109375" style="22" customWidth="1"/>
    <col min="23" max="27" width="21.7109375" style="22" customWidth="1"/>
    <col min="28" max="28" width="27.7109375" style="22" customWidth="1"/>
    <col min="29" max="29" width="30.7109375" style="22" customWidth="1"/>
    <col min="30" max="30" width="25.7109375" style="22" customWidth="1"/>
    <col min="31" max="31" width="19.7109375" style="22" customWidth="1"/>
    <col min="32" max="32" width="14.7109375" style="22" customWidth="1"/>
    <col min="33" max="33" width="18.7109375" style="22" customWidth="1"/>
    <col min="34" max="34" width="14.7109375" style="22" customWidth="1"/>
    <col min="35" max="35" width="26.7109375" style="22" customWidth="1"/>
    <col min="36" max="36" width="33.7109375" style="22" customWidth="1"/>
    <col min="37" max="37" width="14.7109375" style="22" customWidth="1"/>
    <col min="38" max="40" width="20.7109375" style="22" customWidth="1"/>
    <col min="41" max="42" width="19.7109375" style="22" customWidth="1"/>
    <col min="43" max="48" width="29.7109375" style="22" customWidth="1"/>
    <col min="49" max="49" width="32.7109375" style="22" customWidth="1"/>
    <col min="50" max="50" width="20.7109375" style="22" customWidth="1"/>
    <col min="51" max="51" width="26.7109375" style="22" customWidth="1"/>
    <col min="52" max="52" width="22.7109375" style="22" customWidth="1"/>
    <col min="53" max="53" width="32.7109375" style="22" customWidth="1"/>
    <col min="54" max="54" width="20.7109375" style="22" customWidth="1"/>
    <col min="55" max="55" width="26.7109375" style="22" customWidth="1"/>
    <col min="56" max="56" width="22.7109375" style="22" customWidth="1"/>
    <col min="57" max="57" width="32.7109375" style="22" customWidth="1"/>
    <col min="58" max="58" width="20.7109375" style="22" customWidth="1"/>
    <col min="59" max="59" width="26.7109375" style="22" customWidth="1"/>
    <col min="60" max="60" width="22.7109375" style="22" customWidth="1"/>
    <col min="61" max="61" width="17.7109375" style="22" customWidth="1"/>
    <col min="62" max="62" width="12.7109375" style="22" customWidth="1"/>
    <col min="63" max="63" width="22.7109375" style="22" customWidth="1"/>
    <col min="64" max="64" width="21.7109375" style="22" customWidth="1"/>
    <col min="65" max="65" width="15.7109375" style="22" customWidth="1"/>
    <col min="66" max="66" width="17.7109375" style="22" customWidth="1"/>
    <col min="67" max="67" width="43.7109375" style="22" customWidth="1"/>
    <col min="68" max="68" width="39.7109375" style="22" customWidth="1"/>
    <col min="69" max="69" width="13.7109375" style="22" customWidth="1"/>
    <col min="70" max="70" width="15.7109375" style="22" customWidth="1"/>
    <col min="71" max="71" width="13.7109375" style="22" customWidth="1"/>
    <col min="72" max="72" width="17.7109375" style="22" customWidth="1"/>
    <col min="73" max="73" width="10.7109375" style="22" customWidth="1"/>
    <col min="74" max="74" width="29.7109375" style="22" customWidth="1"/>
    <col min="75" max="75" width="17.7109375" style="22" customWidth="1"/>
    <col min="76" max="76" width="21.7109375" style="22" customWidth="1"/>
    <col min="77" max="77" width="29.7109375" style="22" customWidth="1"/>
    <col min="78" max="79" width="21.7109375" style="22" customWidth="1"/>
    <col min="80" max="80" width="13.7109375" style="22" customWidth="1"/>
    <col min="81" max="81" width="14.7109375" style="22" customWidth="1"/>
    <col min="82" max="82" width="11.7109375" style="22" customWidth="1"/>
    <col min="83" max="83" width="40.7109375" style="22" customWidth="1"/>
    <col min="84" max="84" width="33.7109375" style="22" customWidth="1"/>
    <col min="85" max="85" width="28.7109375" style="22" customWidth="1"/>
    <col min="86" max="86" width="27.7109375" style="22" customWidth="1"/>
    <col min="87" max="87" width="24.7109375" style="22" customWidth="1"/>
    <col min="88" max="88" width="31.7109375" style="22" customWidth="1"/>
    <col min="89" max="89" width="108.7109375" style="22" customWidth="1"/>
    <col min="90" max="90" width="64.7109375" style="22" customWidth="1"/>
    <col min="91" max="91" width="31.7109375" style="22" customWidth="1"/>
    <col min="92" max="92" width="27.7109375" style="22" customWidth="1"/>
    <col min="93" max="93" width="79.7109375" style="22" customWidth="1"/>
    <col min="94" max="94" width="21.7109375" style="22" customWidth="1"/>
    <col min="95" max="96" width="15.7109375" style="22" customWidth="1"/>
    <col min="97" max="97" width="28.7109375" style="22" customWidth="1"/>
  </cols>
  <sheetData>
    <row r="1" spans="1:97" hidden="1">
      <c r="B1" s="22" t="s">
        <v>2221</v>
      </c>
      <c r="C1" s="22" t="s">
        <v>2225</v>
      </c>
      <c r="D1" s="22" t="s">
        <v>2229</v>
      </c>
      <c r="E1" s="22" t="s">
        <v>2233</v>
      </c>
      <c r="F1" s="22" t="s">
        <v>2236</v>
      </c>
      <c r="G1" s="22" t="s">
        <v>2239</v>
      </c>
      <c r="H1" s="22" t="s">
        <v>2242</v>
      </c>
      <c r="I1" s="22" t="s">
        <v>2245</v>
      </c>
      <c r="J1" s="22" t="s">
        <v>2248</v>
      </c>
      <c r="K1" s="22" t="s">
        <v>2251</v>
      </c>
      <c r="L1" s="22" t="s">
        <v>2254</v>
      </c>
      <c r="M1" s="22" t="s">
        <v>2257</v>
      </c>
      <c r="N1" s="22" t="s">
        <v>2254</v>
      </c>
      <c r="O1" s="22" t="s">
        <v>2257</v>
      </c>
      <c r="P1" s="22" t="s">
        <v>2254</v>
      </c>
      <c r="Q1" s="22" t="s">
        <v>2257</v>
      </c>
      <c r="R1" s="22" t="s">
        <v>2264</v>
      </c>
      <c r="S1" s="22" t="s">
        <v>2268</v>
      </c>
      <c r="T1" s="22" t="s">
        <v>2271</v>
      </c>
      <c r="U1" s="22" t="s">
        <v>2274</v>
      </c>
      <c r="V1" s="22" t="s">
        <v>2277</v>
      </c>
      <c r="W1" s="22" t="s">
        <v>2280</v>
      </c>
      <c r="X1" s="22" t="s">
        <v>2280</v>
      </c>
      <c r="Y1" s="22" t="s">
        <v>2280</v>
      </c>
      <c r="Z1" s="22" t="s">
        <v>2280</v>
      </c>
      <c r="AA1" s="22" t="s">
        <v>2280</v>
      </c>
      <c r="AB1" s="22" t="s">
        <v>2287</v>
      </c>
      <c r="AC1" s="22" t="s">
        <v>2291</v>
      </c>
      <c r="AD1" s="22" t="s">
        <v>2294</v>
      </c>
      <c r="AE1" s="22" t="s">
        <v>2297</v>
      </c>
      <c r="AF1" s="22" t="s">
        <v>2300</v>
      </c>
      <c r="AG1" s="22" t="s">
        <v>2303</v>
      </c>
      <c r="AH1" s="22" t="s">
        <v>2306</v>
      </c>
      <c r="AI1" s="22" t="s">
        <v>2309</v>
      </c>
      <c r="AJ1" s="22" t="s">
        <v>2312</v>
      </c>
      <c r="AK1" s="22" t="s">
        <v>2315</v>
      </c>
      <c r="AL1" s="22" t="s">
        <v>2318</v>
      </c>
      <c r="AM1" s="22" t="s">
        <v>2321</v>
      </c>
      <c r="AN1" s="22" t="s">
        <v>2324</v>
      </c>
      <c r="AO1" s="22" t="s">
        <v>2327</v>
      </c>
      <c r="AP1" s="22" t="s">
        <v>2330</v>
      </c>
      <c r="AQ1" s="22" t="s">
        <v>2333</v>
      </c>
      <c r="AR1" s="22" t="s">
        <v>2333</v>
      </c>
      <c r="AS1" s="22" t="s">
        <v>2333</v>
      </c>
      <c r="AT1" s="22" t="s">
        <v>2333</v>
      </c>
      <c r="AU1" s="22" t="s">
        <v>2333</v>
      </c>
      <c r="AV1" s="22" t="s">
        <v>2340</v>
      </c>
      <c r="AW1" s="22" t="s">
        <v>2343</v>
      </c>
      <c r="AX1" s="22" t="s">
        <v>2346</v>
      </c>
      <c r="AY1" s="22" t="s">
        <v>2350</v>
      </c>
      <c r="AZ1" s="22" t="s">
        <v>2354</v>
      </c>
      <c r="BA1" s="22" t="s">
        <v>2343</v>
      </c>
      <c r="BB1" s="22" t="s">
        <v>2346</v>
      </c>
      <c r="BC1" s="22" t="s">
        <v>2350</v>
      </c>
      <c r="BD1" s="22" t="s">
        <v>2354</v>
      </c>
      <c r="BE1" s="22" t="s">
        <v>2343</v>
      </c>
      <c r="BF1" s="22" t="s">
        <v>2346</v>
      </c>
      <c r="BG1" s="22" t="s">
        <v>2350</v>
      </c>
      <c r="BH1" s="22" t="s">
        <v>2354</v>
      </c>
      <c r="BI1" s="22" t="s">
        <v>2486</v>
      </c>
      <c r="BJ1" s="22" t="s">
        <v>2487</v>
      </c>
      <c r="BK1" s="22" t="s">
        <v>2491</v>
      </c>
      <c r="BL1" s="22" t="s">
        <v>2494</v>
      </c>
      <c r="BM1" s="22" t="s">
        <v>2497</v>
      </c>
      <c r="BN1" s="22" t="s">
        <v>2501</v>
      </c>
      <c r="BO1" s="22" t="s">
        <v>2505</v>
      </c>
      <c r="BP1" s="22" t="s">
        <v>2506</v>
      </c>
      <c r="BQ1" s="22" t="s">
        <v>2510</v>
      </c>
      <c r="BR1" s="22" t="s">
        <v>2511</v>
      </c>
      <c r="BS1" s="22" t="s">
        <v>2513</v>
      </c>
      <c r="BT1" s="22" t="s">
        <v>2517</v>
      </c>
      <c r="BU1" s="22" t="s">
        <v>2521</v>
      </c>
      <c r="BV1" s="22" t="s">
        <v>2522</v>
      </c>
      <c r="BW1" s="22" t="s">
        <v>2525</v>
      </c>
      <c r="BX1" s="22" t="s">
        <v>2529</v>
      </c>
      <c r="BY1" s="22" t="s">
        <v>2533</v>
      </c>
      <c r="BZ1" s="22" t="s">
        <v>2534</v>
      </c>
      <c r="CA1" s="22" t="s">
        <v>2537</v>
      </c>
      <c r="CB1" s="22" t="s">
        <v>2539</v>
      </c>
      <c r="CC1" s="22" t="s">
        <v>2541</v>
      </c>
      <c r="CD1" s="22" t="s">
        <v>2542</v>
      </c>
      <c r="CE1" s="22" t="s">
        <v>2546</v>
      </c>
      <c r="CF1" s="22" t="s">
        <v>2549</v>
      </c>
      <c r="CG1" s="22" t="s">
        <v>2550</v>
      </c>
      <c r="CH1" s="22" t="s">
        <v>2553</v>
      </c>
      <c r="CI1" s="22" t="s">
        <v>2556</v>
      </c>
      <c r="CJ1" s="22" t="s">
        <v>2557</v>
      </c>
      <c r="CK1" s="22" t="s">
        <v>2558</v>
      </c>
      <c r="CL1" s="22" t="s">
        <v>2559</v>
      </c>
      <c r="CM1" s="22" t="s">
        <v>2560</v>
      </c>
      <c r="CN1" s="22" t="s">
        <v>2561</v>
      </c>
      <c r="CO1" s="22" t="s">
        <v>2562</v>
      </c>
      <c r="CP1" s="22" t="s">
        <v>2464</v>
      </c>
      <c r="CQ1" s="22" t="s">
        <v>2467</v>
      </c>
      <c r="CR1" s="22" t="s">
        <v>2470</v>
      </c>
      <c r="CS1" s="22" t="s">
        <v>2474</v>
      </c>
    </row>
    <row r="2" spans="1:97">
      <c r="B2" s="23" t="s">
        <v>2477</v>
      </c>
      <c r="J2" s="24" t="s">
        <v>2478</v>
      </c>
      <c r="R2" s="25" t="s">
        <v>2479</v>
      </c>
      <c r="V2" s="26" t="s">
        <v>2480</v>
      </c>
      <c r="AB2" s="27" t="s">
        <v>2481</v>
      </c>
      <c r="AM2" s="28" t="s">
        <v>2482</v>
      </c>
      <c r="AQ2" s="29" t="s">
        <v>2483</v>
      </c>
      <c r="BI2" s="30" t="s">
        <v>2484</v>
      </c>
      <c r="CP2" s="31" t="s">
        <v>2485</v>
      </c>
    </row>
    <row r="3" spans="1:97">
      <c r="B3" s="32" t="s">
        <v>58</v>
      </c>
      <c r="C3" s="32" t="s">
        <v>62</v>
      </c>
      <c r="D3" s="32" t="s">
        <v>58</v>
      </c>
      <c r="E3" s="32" t="s">
        <v>58</v>
      </c>
      <c r="F3" s="32" t="s">
        <v>60</v>
      </c>
      <c r="G3" s="32" t="s">
        <v>58</v>
      </c>
      <c r="H3" s="32" t="s">
        <v>62</v>
      </c>
      <c r="I3" s="32" t="s">
        <v>62</v>
      </c>
      <c r="J3" s="32" t="s">
        <v>58</v>
      </c>
      <c r="K3" s="32" t="s">
        <v>64</v>
      </c>
      <c r="L3" s="32" t="s">
        <v>60</v>
      </c>
      <c r="M3" s="32" t="s">
        <v>64</v>
      </c>
      <c r="N3" s="32" t="s">
        <v>60</v>
      </c>
      <c r="O3" s="32" t="s">
        <v>64</v>
      </c>
      <c r="P3" s="32" t="s">
        <v>60</v>
      </c>
      <c r="Q3" s="32" t="s">
        <v>64</v>
      </c>
      <c r="R3" s="32" t="s">
        <v>58</v>
      </c>
      <c r="S3" s="32" t="s">
        <v>62</v>
      </c>
      <c r="T3" s="32" t="s">
        <v>62</v>
      </c>
      <c r="U3" s="32" t="s">
        <v>62</v>
      </c>
      <c r="V3" s="32" t="s">
        <v>64</v>
      </c>
      <c r="W3" s="32" t="s">
        <v>64</v>
      </c>
      <c r="X3" s="32" t="s">
        <v>64</v>
      </c>
      <c r="Y3" s="32" t="s">
        <v>64</v>
      </c>
      <c r="Z3" s="32" t="s">
        <v>64</v>
      </c>
      <c r="AA3" s="32" t="s">
        <v>64</v>
      </c>
      <c r="AB3" s="32" t="s">
        <v>58</v>
      </c>
      <c r="AC3" s="32" t="s">
        <v>58</v>
      </c>
      <c r="AD3" s="32" t="s">
        <v>58</v>
      </c>
      <c r="AE3" s="32" t="s">
        <v>58</v>
      </c>
      <c r="AF3" s="32" t="s">
        <v>58</v>
      </c>
      <c r="AG3" s="32" t="s">
        <v>64</v>
      </c>
      <c r="AH3" s="32" t="s">
        <v>58</v>
      </c>
      <c r="AI3" s="32" t="s">
        <v>58</v>
      </c>
      <c r="AJ3" s="32" t="s">
        <v>62</v>
      </c>
      <c r="AK3" s="32" t="s">
        <v>62</v>
      </c>
      <c r="AL3" s="32" t="s">
        <v>62</v>
      </c>
      <c r="AM3" s="32" t="s">
        <v>58</v>
      </c>
      <c r="AN3" s="32" t="s">
        <v>58</v>
      </c>
      <c r="AO3" s="32" t="s">
        <v>58</v>
      </c>
      <c r="AP3" s="32" t="s">
        <v>58</v>
      </c>
      <c r="AQ3" s="32" t="s">
        <v>58</v>
      </c>
      <c r="AR3" s="32" t="s">
        <v>62</v>
      </c>
      <c r="AS3" s="32" t="s">
        <v>62</v>
      </c>
      <c r="AT3" s="32" t="s">
        <v>62</v>
      </c>
      <c r="AU3" s="32" t="s">
        <v>62</v>
      </c>
      <c r="AV3" s="32" t="s">
        <v>62</v>
      </c>
      <c r="AW3" s="32" t="s">
        <v>64</v>
      </c>
      <c r="AX3" s="32" t="s">
        <v>64</v>
      </c>
      <c r="AY3" s="32" t="s">
        <v>64</v>
      </c>
      <c r="AZ3" s="32" t="s">
        <v>64</v>
      </c>
      <c r="BA3" s="32" t="s">
        <v>64</v>
      </c>
      <c r="BB3" s="32" t="s">
        <v>64</v>
      </c>
      <c r="BC3" s="32" t="s">
        <v>64</v>
      </c>
      <c r="BD3" s="32" t="s">
        <v>64</v>
      </c>
      <c r="BE3" s="32" t="s">
        <v>64</v>
      </c>
      <c r="BF3" s="32" t="s">
        <v>64</v>
      </c>
      <c r="BG3" s="32" t="s">
        <v>64</v>
      </c>
      <c r="BH3" s="32" t="s">
        <v>64</v>
      </c>
      <c r="BI3" s="32" t="s">
        <v>58</v>
      </c>
      <c r="BJ3" s="32" t="s">
        <v>60</v>
      </c>
      <c r="BK3" s="32" t="s">
        <v>60</v>
      </c>
      <c r="BL3" s="32" t="s">
        <v>60</v>
      </c>
      <c r="BM3" s="32" t="s">
        <v>60</v>
      </c>
      <c r="BN3" s="32" t="s">
        <v>60</v>
      </c>
      <c r="BO3" s="32" t="s">
        <v>62</v>
      </c>
      <c r="BP3" s="32" t="s">
        <v>58</v>
      </c>
      <c r="BQ3" s="32" t="s">
        <v>58</v>
      </c>
      <c r="BR3" s="32" t="s">
        <v>60</v>
      </c>
      <c r="BS3" s="32" t="s">
        <v>60</v>
      </c>
      <c r="BT3" s="32" t="s">
        <v>60</v>
      </c>
      <c r="BU3" s="32" t="s">
        <v>58</v>
      </c>
      <c r="BV3" s="32" t="s">
        <v>60</v>
      </c>
      <c r="BW3" s="32" t="s">
        <v>60</v>
      </c>
      <c r="BX3" s="32" t="s">
        <v>60</v>
      </c>
      <c r="BY3" s="32" t="s">
        <v>60</v>
      </c>
      <c r="BZ3" s="32" t="s">
        <v>60</v>
      </c>
      <c r="CA3" s="32" t="s">
        <v>60</v>
      </c>
      <c r="CB3" s="32" t="s">
        <v>58</v>
      </c>
      <c r="CC3" s="32" t="s">
        <v>60</v>
      </c>
      <c r="CD3" s="32" t="s">
        <v>58</v>
      </c>
      <c r="CE3" s="32" t="s">
        <v>58</v>
      </c>
      <c r="CF3" s="32" t="s">
        <v>58</v>
      </c>
      <c r="CG3" s="32" t="s">
        <v>58</v>
      </c>
      <c r="CH3" s="32" t="s">
        <v>60</v>
      </c>
      <c r="CI3" s="32" t="s">
        <v>58</v>
      </c>
      <c r="CJ3" s="32" t="s">
        <v>60</v>
      </c>
      <c r="CK3" s="32" t="s">
        <v>58</v>
      </c>
      <c r="CL3" s="32" t="s">
        <v>58</v>
      </c>
      <c r="CM3" s="32" t="s">
        <v>58</v>
      </c>
      <c r="CN3" s="32" t="s">
        <v>58</v>
      </c>
      <c r="CO3" s="32" t="s">
        <v>60</v>
      </c>
      <c r="CP3" s="32" t="s">
        <v>58</v>
      </c>
      <c r="CQ3" s="32" t="s">
        <v>64</v>
      </c>
      <c r="CR3" s="32" t="s">
        <v>64</v>
      </c>
      <c r="CS3" s="32" t="s">
        <v>58</v>
      </c>
    </row>
    <row r="4" spans="1:97" ht="50" customHeight="1">
      <c r="A4" s="19" t="s">
        <v>2218</v>
      </c>
      <c r="B4" s="19" t="s">
        <v>2222</v>
      </c>
      <c r="C4" s="19" t="s">
        <v>2226</v>
      </c>
      <c r="D4" s="19" t="s">
        <v>2230</v>
      </c>
      <c r="E4" s="19" t="s">
        <v>2234</v>
      </c>
      <c r="F4" s="19" t="s">
        <v>2237</v>
      </c>
      <c r="G4" s="19" t="s">
        <v>2240</v>
      </c>
      <c r="H4" s="19" t="s">
        <v>2243</v>
      </c>
      <c r="I4" s="19" t="s">
        <v>2246</v>
      </c>
      <c r="J4" s="19" t="s">
        <v>2249</v>
      </c>
      <c r="K4" s="19" t="s">
        <v>2252</v>
      </c>
      <c r="L4" s="19" t="s">
        <v>2255</v>
      </c>
      <c r="M4" s="19" t="s">
        <v>2258</v>
      </c>
      <c r="N4" s="19" t="s">
        <v>2260</v>
      </c>
      <c r="O4" s="19" t="s">
        <v>2261</v>
      </c>
      <c r="P4" s="19" t="s">
        <v>2262</v>
      </c>
      <c r="Q4" s="19" t="s">
        <v>2263</v>
      </c>
      <c r="R4" s="19" t="s">
        <v>2265</v>
      </c>
      <c r="S4" s="19" t="s">
        <v>2269</v>
      </c>
      <c r="T4" s="19" t="s">
        <v>2272</v>
      </c>
      <c r="U4" s="19" t="s">
        <v>2275</v>
      </c>
      <c r="V4" s="19" t="s">
        <v>2278</v>
      </c>
      <c r="W4" s="19" t="s">
        <v>2281</v>
      </c>
      <c r="X4" s="19" t="s">
        <v>2283</v>
      </c>
      <c r="Y4" s="19" t="s">
        <v>2284</v>
      </c>
      <c r="Z4" s="19" t="s">
        <v>2285</v>
      </c>
      <c r="AA4" s="19" t="s">
        <v>2286</v>
      </c>
      <c r="AB4" s="19" t="s">
        <v>2288</v>
      </c>
      <c r="AC4" s="19" t="s">
        <v>2292</v>
      </c>
      <c r="AD4" s="19" t="s">
        <v>2295</v>
      </c>
      <c r="AE4" s="19" t="s">
        <v>2298</v>
      </c>
      <c r="AF4" s="19" t="s">
        <v>2301</v>
      </c>
      <c r="AG4" s="19" t="s">
        <v>2304</v>
      </c>
      <c r="AH4" s="19" t="s">
        <v>2307</v>
      </c>
      <c r="AI4" s="19" t="s">
        <v>2310</v>
      </c>
      <c r="AJ4" s="19" t="s">
        <v>2313</v>
      </c>
      <c r="AK4" s="19" t="s">
        <v>2316</v>
      </c>
      <c r="AL4" s="19" t="s">
        <v>2319</v>
      </c>
      <c r="AM4" s="19" t="s">
        <v>2322</v>
      </c>
      <c r="AN4" s="19" t="s">
        <v>2325</v>
      </c>
      <c r="AO4" s="19" t="s">
        <v>2328</v>
      </c>
      <c r="AP4" s="19" t="s">
        <v>2331</v>
      </c>
      <c r="AQ4" s="19" t="s">
        <v>2334</v>
      </c>
      <c r="AR4" s="19" t="s">
        <v>2336</v>
      </c>
      <c r="AS4" s="19" t="s">
        <v>2337</v>
      </c>
      <c r="AT4" s="19" t="s">
        <v>2338</v>
      </c>
      <c r="AU4" s="19" t="s">
        <v>2339</v>
      </c>
      <c r="AV4" s="19" t="s">
        <v>2341</v>
      </c>
      <c r="AW4" s="19" t="s">
        <v>2344</v>
      </c>
      <c r="AX4" s="19" t="s">
        <v>2347</v>
      </c>
      <c r="AY4" s="19" t="s">
        <v>2351</v>
      </c>
      <c r="AZ4" s="19" t="s">
        <v>2355</v>
      </c>
      <c r="BA4" s="19" t="s">
        <v>2357</v>
      </c>
      <c r="BB4" s="19" t="s">
        <v>2358</v>
      </c>
      <c r="BC4" s="19" t="s">
        <v>2359</v>
      </c>
      <c r="BD4" s="19" t="s">
        <v>2360</v>
      </c>
      <c r="BE4" s="19" t="s">
        <v>2361</v>
      </c>
      <c r="BF4" s="19" t="s">
        <v>2362</v>
      </c>
      <c r="BG4" s="19" t="s">
        <v>2363</v>
      </c>
      <c r="BH4" s="19" t="s">
        <v>2364</v>
      </c>
      <c r="BI4" s="19" t="s">
        <v>2366</v>
      </c>
      <c r="BJ4" s="19" t="s">
        <v>2488</v>
      </c>
      <c r="BK4" s="19" t="s">
        <v>2492</v>
      </c>
      <c r="BL4" s="19" t="s">
        <v>2495</v>
      </c>
      <c r="BM4" s="19" t="s">
        <v>2498</v>
      </c>
      <c r="BN4" s="19" t="s">
        <v>2502</v>
      </c>
      <c r="BO4" s="19" t="s">
        <v>2394</v>
      </c>
      <c r="BP4" s="19" t="s">
        <v>2507</v>
      </c>
      <c r="BQ4" s="19" t="s">
        <v>2398</v>
      </c>
      <c r="BR4" s="19" t="s">
        <v>2404</v>
      </c>
      <c r="BS4" s="19" t="s">
        <v>2514</v>
      </c>
      <c r="BT4" s="19" t="s">
        <v>2518</v>
      </c>
      <c r="BU4" s="19" t="s">
        <v>2200</v>
      </c>
      <c r="BV4" s="19" t="s">
        <v>2523</v>
      </c>
      <c r="BW4" s="19" t="s">
        <v>2526</v>
      </c>
      <c r="BX4" s="19" t="s">
        <v>2530</v>
      </c>
      <c r="BY4" s="19" t="s">
        <v>2422</v>
      </c>
      <c r="BZ4" s="19" t="s">
        <v>2535</v>
      </c>
      <c r="CA4" s="19" t="s">
        <v>2426</v>
      </c>
      <c r="CB4" s="19" t="s">
        <v>2376</v>
      </c>
      <c r="CC4" s="19" t="s">
        <v>2430</v>
      </c>
      <c r="CD4" s="19" t="s">
        <v>2543</v>
      </c>
      <c r="CE4" s="19" t="s">
        <v>2547</v>
      </c>
      <c r="CF4" s="19" t="s">
        <v>2437</v>
      </c>
      <c r="CG4" s="19" t="s">
        <v>2551</v>
      </c>
      <c r="CH4" s="19" t="s">
        <v>2554</v>
      </c>
      <c r="CI4" s="33" t="s">
        <v>2440</v>
      </c>
      <c r="CJ4" s="34" t="s">
        <v>2443</v>
      </c>
      <c r="CK4" s="19" t="s">
        <v>2446</v>
      </c>
      <c r="CL4" s="19" t="s">
        <v>2449</v>
      </c>
      <c r="CM4" s="33" t="s">
        <v>2452</v>
      </c>
      <c r="CN4" s="34" t="s">
        <v>2455</v>
      </c>
      <c r="CO4" s="19" t="s">
        <v>2462</v>
      </c>
      <c r="CP4" s="19" t="s">
        <v>2465</v>
      </c>
      <c r="CQ4" s="19" t="s">
        <v>2468</v>
      </c>
      <c r="CR4" s="19" t="s">
        <v>2471</v>
      </c>
      <c r="CS4" s="19" t="s">
        <v>2475</v>
      </c>
    </row>
    <row r="5" spans="1:97" ht="50" customHeight="1">
      <c r="A5" s="35" t="s">
        <v>2219</v>
      </c>
      <c r="B5" s="35" t="s">
        <v>2223</v>
      </c>
      <c r="C5" s="35" t="s">
        <v>2227</v>
      </c>
      <c r="D5" s="35" t="s">
        <v>2231</v>
      </c>
      <c r="E5" s="35" t="s">
        <v>2235</v>
      </c>
      <c r="F5" s="35" t="s">
        <v>2238</v>
      </c>
      <c r="G5" s="35" t="s">
        <v>2241</v>
      </c>
      <c r="H5" s="35" t="s">
        <v>2244</v>
      </c>
      <c r="I5" s="35" t="s">
        <v>2247</v>
      </c>
      <c r="J5" s="35" t="s">
        <v>2250</v>
      </c>
      <c r="K5" s="35" t="s">
        <v>2253</v>
      </c>
      <c r="L5" s="35" t="s">
        <v>2256</v>
      </c>
      <c r="M5" s="35" t="s">
        <v>2259</v>
      </c>
      <c r="N5" s="35" t="s">
        <v>2256</v>
      </c>
      <c r="O5" s="35" t="s">
        <v>2259</v>
      </c>
      <c r="P5" s="35" t="s">
        <v>2256</v>
      </c>
      <c r="Q5" s="35" t="s">
        <v>2259</v>
      </c>
      <c r="R5" s="35" t="s">
        <v>2266</v>
      </c>
      <c r="S5" s="35" t="s">
        <v>2270</v>
      </c>
      <c r="T5" s="35" t="s">
        <v>2273</v>
      </c>
      <c r="U5" s="35" t="s">
        <v>2276</v>
      </c>
      <c r="V5" s="35" t="s">
        <v>2279</v>
      </c>
      <c r="W5" s="35" t="s">
        <v>2282</v>
      </c>
      <c r="X5" s="35" t="s">
        <v>2282</v>
      </c>
      <c r="Y5" s="35" t="s">
        <v>2282</v>
      </c>
      <c r="Z5" s="35" t="s">
        <v>2282</v>
      </c>
      <c r="AA5" s="35" t="s">
        <v>2282</v>
      </c>
      <c r="AB5" s="35" t="s">
        <v>2289</v>
      </c>
      <c r="AC5" s="35" t="s">
        <v>2293</v>
      </c>
      <c r="AD5" s="35" t="s">
        <v>2296</v>
      </c>
      <c r="AE5" s="35" t="s">
        <v>2299</v>
      </c>
      <c r="AF5" s="35" t="s">
        <v>2302</v>
      </c>
      <c r="AG5" s="35" t="s">
        <v>2305</v>
      </c>
      <c r="AH5" s="35" t="s">
        <v>2308</v>
      </c>
      <c r="AI5" s="35" t="s">
        <v>2311</v>
      </c>
      <c r="AJ5" s="35" t="s">
        <v>2314</v>
      </c>
      <c r="AK5" s="35" t="s">
        <v>2317</v>
      </c>
      <c r="AL5" s="35" t="s">
        <v>2320</v>
      </c>
      <c r="AM5" s="35" t="s">
        <v>2323</v>
      </c>
      <c r="AN5" s="35" t="s">
        <v>2326</v>
      </c>
      <c r="AO5" s="35" t="s">
        <v>2329</v>
      </c>
      <c r="AP5" s="35" t="s">
        <v>2332</v>
      </c>
      <c r="AQ5" s="35" t="s">
        <v>2335</v>
      </c>
      <c r="AR5" s="35" t="s">
        <v>2335</v>
      </c>
      <c r="AS5" s="35" t="s">
        <v>2335</v>
      </c>
      <c r="AT5" s="35" t="s">
        <v>2335</v>
      </c>
      <c r="AU5" s="35" t="s">
        <v>2335</v>
      </c>
      <c r="AV5" s="35" t="s">
        <v>2342</v>
      </c>
      <c r="AW5" s="35" t="s">
        <v>2345</v>
      </c>
      <c r="AX5" s="35" t="s">
        <v>2348</v>
      </c>
      <c r="AY5" s="35" t="s">
        <v>2352</v>
      </c>
      <c r="AZ5" s="35" t="s">
        <v>2356</v>
      </c>
      <c r="BA5" s="35" t="s">
        <v>2345</v>
      </c>
      <c r="BB5" s="35" t="s">
        <v>2348</v>
      </c>
      <c r="BC5" s="35" t="s">
        <v>2352</v>
      </c>
      <c r="BD5" s="35" t="s">
        <v>2356</v>
      </c>
      <c r="BE5" s="35" t="s">
        <v>2345</v>
      </c>
      <c r="BF5" s="35" t="s">
        <v>2348</v>
      </c>
      <c r="BG5" s="35" t="s">
        <v>2352</v>
      </c>
      <c r="BH5" s="35" t="s">
        <v>2356</v>
      </c>
      <c r="BI5" s="35" t="s">
        <v>2367</v>
      </c>
      <c r="BJ5" s="35" t="s">
        <v>2489</v>
      </c>
      <c r="BK5" s="35" t="s">
        <v>2493</v>
      </c>
      <c r="BL5" s="35" t="s">
        <v>2496</v>
      </c>
      <c r="BM5" s="35" t="s">
        <v>2499</v>
      </c>
      <c r="BN5" s="35" t="s">
        <v>2503</v>
      </c>
      <c r="BO5" s="35" t="s">
        <v>2395</v>
      </c>
      <c r="BP5" s="35" t="s">
        <v>2508</v>
      </c>
      <c r="BQ5" s="35" t="s">
        <v>2399</v>
      </c>
      <c r="BR5" s="35" t="s">
        <v>2405</v>
      </c>
      <c r="BS5" s="35" t="s">
        <v>2515</v>
      </c>
      <c r="BT5" s="35" t="s">
        <v>2519</v>
      </c>
      <c r="BU5" s="35" t="s">
        <v>2412</v>
      </c>
      <c r="BV5" s="35" t="s">
        <v>2524</v>
      </c>
      <c r="BW5" s="35" t="s">
        <v>2527</v>
      </c>
      <c r="BX5" s="35" t="s">
        <v>2531</v>
      </c>
      <c r="BY5" s="35" t="s">
        <v>2423</v>
      </c>
      <c r="BZ5" s="35" t="s">
        <v>2536</v>
      </c>
      <c r="CA5" s="35" t="s">
        <v>2427</v>
      </c>
      <c r="CB5" s="35" t="s">
        <v>2377</v>
      </c>
      <c r="CC5" s="35" t="s">
        <v>2431</v>
      </c>
      <c r="CD5" s="35" t="s">
        <v>2544</v>
      </c>
      <c r="CE5" s="35" t="s">
        <v>2548</v>
      </c>
      <c r="CF5" s="35" t="s">
        <v>2438</v>
      </c>
      <c r="CG5" s="35" t="s">
        <v>2552</v>
      </c>
      <c r="CH5" s="35" t="s">
        <v>2555</v>
      </c>
      <c r="CI5" s="35" t="s">
        <v>2441</v>
      </c>
      <c r="CJ5" s="35" t="s">
        <v>2444</v>
      </c>
      <c r="CK5" s="35" t="s">
        <v>2447</v>
      </c>
      <c r="CL5" s="35" t="s">
        <v>2450</v>
      </c>
      <c r="CM5" s="35" t="s">
        <v>2453</v>
      </c>
      <c r="CN5" s="35" t="s">
        <v>2456</v>
      </c>
      <c r="CO5" s="35" t="s">
        <v>2463</v>
      </c>
      <c r="CP5" s="35" t="s">
        <v>2466</v>
      </c>
      <c r="CQ5" s="35" t="s">
        <v>2469</v>
      </c>
      <c r="CR5" s="35" t="s">
        <v>2472</v>
      </c>
      <c r="CS5" s="35" t="s">
        <v>2476</v>
      </c>
    </row>
    <row r="6" spans="1:97" ht="50" customHeight="1">
      <c r="A6" s="35" t="s">
        <v>2220</v>
      </c>
      <c r="B6" s="35" t="s">
        <v>67</v>
      </c>
      <c r="C6" s="35" t="s">
        <v>67</v>
      </c>
      <c r="D6" s="36" t="s">
        <v>2232</v>
      </c>
      <c r="E6" s="35" t="s">
        <v>67</v>
      </c>
      <c r="F6" s="35" t="s">
        <v>67</v>
      </c>
      <c r="G6" s="35" t="s">
        <v>67</v>
      </c>
      <c r="H6" s="35" t="s">
        <v>67</v>
      </c>
      <c r="I6" s="35" t="s">
        <v>67</v>
      </c>
      <c r="J6" s="36" t="s">
        <v>2232</v>
      </c>
      <c r="K6" s="35" t="s">
        <v>67</v>
      </c>
      <c r="L6" s="36" t="s">
        <v>2232</v>
      </c>
      <c r="M6" s="35" t="s">
        <v>67</v>
      </c>
      <c r="N6" s="36" t="s">
        <v>2232</v>
      </c>
      <c r="O6" s="35" t="s">
        <v>67</v>
      </c>
      <c r="P6" s="36" t="s">
        <v>2232</v>
      </c>
      <c r="Q6" s="35" t="s">
        <v>67</v>
      </c>
      <c r="R6" s="35" t="s">
        <v>2267</v>
      </c>
      <c r="S6" s="35" t="s">
        <v>2267</v>
      </c>
      <c r="T6" s="35" t="s">
        <v>2267</v>
      </c>
      <c r="U6" s="35" t="s">
        <v>2267</v>
      </c>
      <c r="V6" s="35" t="s">
        <v>67</v>
      </c>
      <c r="W6" s="35" t="s">
        <v>67</v>
      </c>
      <c r="X6" s="35" t="s">
        <v>67</v>
      </c>
      <c r="Y6" s="35" t="s">
        <v>67</v>
      </c>
      <c r="Z6" s="35" t="s">
        <v>67</v>
      </c>
      <c r="AA6" s="35" t="s">
        <v>67</v>
      </c>
      <c r="AB6" s="35" t="s">
        <v>2290</v>
      </c>
      <c r="AC6" s="35" t="s">
        <v>2290</v>
      </c>
      <c r="AD6" s="35" t="s">
        <v>2290</v>
      </c>
      <c r="AE6" s="35" t="s">
        <v>2267</v>
      </c>
      <c r="AF6" s="36" t="s">
        <v>2232</v>
      </c>
      <c r="AG6" s="36" t="s">
        <v>2232</v>
      </c>
      <c r="AH6" s="36" t="s">
        <v>2232</v>
      </c>
      <c r="AI6" s="36" t="s">
        <v>2232</v>
      </c>
      <c r="AJ6" s="35" t="s">
        <v>67</v>
      </c>
      <c r="AK6" s="35" t="s">
        <v>77</v>
      </c>
      <c r="AL6" s="35" t="s">
        <v>77</v>
      </c>
      <c r="AM6" s="35" t="s">
        <v>2267</v>
      </c>
      <c r="AN6" s="35" t="s">
        <v>2267</v>
      </c>
      <c r="AO6" s="35" t="s">
        <v>2267</v>
      </c>
      <c r="AP6" s="35" t="s">
        <v>2267</v>
      </c>
      <c r="AQ6" s="35" t="s">
        <v>67</v>
      </c>
      <c r="AR6" s="35" t="s">
        <v>67</v>
      </c>
      <c r="AS6" s="35" t="s">
        <v>67</v>
      </c>
      <c r="AT6" s="35" t="s">
        <v>67</v>
      </c>
      <c r="AU6" s="35" t="s">
        <v>67</v>
      </c>
      <c r="AV6" s="35" t="s">
        <v>67</v>
      </c>
      <c r="AW6" s="35" t="s">
        <v>67</v>
      </c>
      <c r="AX6" s="36" t="s">
        <v>2349</v>
      </c>
      <c r="AY6" s="36" t="s">
        <v>3108</v>
      </c>
      <c r="AZ6" s="36" t="s">
        <v>2232</v>
      </c>
      <c r="BA6" s="35" t="s">
        <v>67</v>
      </c>
      <c r="BB6" s="36" t="s">
        <v>2349</v>
      </c>
      <c r="BC6" s="36" t="s">
        <v>3108</v>
      </c>
      <c r="BD6" s="36" t="s">
        <v>2232</v>
      </c>
      <c r="BE6" s="35" t="s">
        <v>67</v>
      </c>
      <c r="BF6" s="36" t="s">
        <v>2349</v>
      </c>
      <c r="BG6" s="36" t="s">
        <v>3108</v>
      </c>
      <c r="BH6" s="36" t="s">
        <v>2232</v>
      </c>
      <c r="BI6" s="36" t="s">
        <v>2232</v>
      </c>
      <c r="BJ6" s="36" t="s">
        <v>2490</v>
      </c>
      <c r="BK6" s="36" t="s">
        <v>2232</v>
      </c>
      <c r="BL6" s="36" t="s">
        <v>2232</v>
      </c>
      <c r="BM6" s="36" t="s">
        <v>2500</v>
      </c>
      <c r="BN6" s="36" t="s">
        <v>2504</v>
      </c>
      <c r="BO6" s="36" t="s">
        <v>2396</v>
      </c>
      <c r="BP6" s="36" t="s">
        <v>2509</v>
      </c>
      <c r="BQ6" s="35" t="s">
        <v>77</v>
      </c>
      <c r="BR6" s="36" t="s">
        <v>2512</v>
      </c>
      <c r="BS6" s="36" t="s">
        <v>4026</v>
      </c>
      <c r="BT6" s="36" t="s">
        <v>2520</v>
      </c>
      <c r="BU6" s="36" t="s">
        <v>2413</v>
      </c>
      <c r="BV6" s="35" t="s">
        <v>2290</v>
      </c>
      <c r="BW6" s="36" t="s">
        <v>2528</v>
      </c>
      <c r="BX6" s="36" t="s">
        <v>4686</v>
      </c>
      <c r="BY6" s="36" t="s">
        <v>3645</v>
      </c>
      <c r="BZ6" s="35" t="s">
        <v>2267</v>
      </c>
      <c r="CA6" s="36" t="s">
        <v>2538</v>
      </c>
      <c r="CB6" s="36" t="s">
        <v>2540</v>
      </c>
      <c r="CC6" s="36" t="s">
        <v>2432</v>
      </c>
      <c r="CD6" s="36" t="s">
        <v>2545</v>
      </c>
      <c r="CE6" s="35" t="s">
        <v>2267</v>
      </c>
      <c r="CF6" s="35" t="s">
        <v>2267</v>
      </c>
      <c r="CG6" s="35" t="s">
        <v>2267</v>
      </c>
      <c r="CH6" s="35" t="s">
        <v>2267</v>
      </c>
      <c r="CI6" s="35" t="s">
        <v>77</v>
      </c>
      <c r="CJ6" s="36" t="s">
        <v>2232</v>
      </c>
      <c r="CK6" s="36" t="s">
        <v>2232</v>
      </c>
      <c r="CL6" s="36" t="s">
        <v>2232</v>
      </c>
      <c r="CM6" s="35" t="s">
        <v>77</v>
      </c>
      <c r="CN6" s="36" t="s">
        <v>2457</v>
      </c>
      <c r="CO6" s="35" t="s">
        <v>77</v>
      </c>
      <c r="CP6" s="35" t="s">
        <v>77</v>
      </c>
      <c r="CQ6" s="36" t="s">
        <v>2232</v>
      </c>
      <c r="CR6" s="36" t="s">
        <v>2473</v>
      </c>
      <c r="CS6" s="36" t="s">
        <v>2232</v>
      </c>
    </row>
    <row r="7" spans="1:97">
      <c r="B7" s="37" t="s">
        <v>2224</v>
      </c>
      <c r="C7" s="37" t="s">
        <v>2228</v>
      </c>
      <c r="D7" s="38"/>
      <c r="E7" s="37" t="s">
        <v>2228</v>
      </c>
      <c r="F7" s="37" t="s">
        <v>2228</v>
      </c>
      <c r="G7" s="37" t="s">
        <v>2228</v>
      </c>
      <c r="H7" s="38"/>
      <c r="I7" s="37" t="s">
        <v>2228</v>
      </c>
      <c r="J7" s="37" t="s">
        <v>2228</v>
      </c>
      <c r="K7" s="37" t="s">
        <v>2228</v>
      </c>
      <c r="L7" s="37" t="s">
        <v>2228</v>
      </c>
      <c r="M7" s="37" t="s">
        <v>2228</v>
      </c>
      <c r="N7" s="37" t="s">
        <v>2228</v>
      </c>
      <c r="O7" s="37" t="s">
        <v>2228</v>
      </c>
      <c r="P7" s="37" t="s">
        <v>2228</v>
      </c>
      <c r="Q7" s="37" t="s">
        <v>2228</v>
      </c>
      <c r="R7" s="37" t="s">
        <v>2228</v>
      </c>
      <c r="S7" s="38"/>
      <c r="T7" s="38"/>
      <c r="U7" s="38"/>
      <c r="V7" s="38"/>
      <c r="W7" s="38"/>
      <c r="X7" s="38"/>
      <c r="Y7" s="38"/>
      <c r="Z7" s="38"/>
      <c r="AA7" s="38"/>
      <c r="AB7" s="38"/>
      <c r="AC7" s="38"/>
      <c r="AD7" s="38"/>
      <c r="AE7" s="38"/>
      <c r="AF7" s="38"/>
      <c r="AG7" s="38"/>
      <c r="AH7" s="38"/>
      <c r="AI7" s="38"/>
      <c r="AJ7" s="38"/>
      <c r="AK7" s="38"/>
      <c r="AL7" s="38"/>
      <c r="AM7" s="38"/>
      <c r="AN7" s="38"/>
      <c r="AO7" s="38"/>
      <c r="AP7" s="38"/>
      <c r="AQ7" s="37" t="s">
        <v>2228</v>
      </c>
      <c r="AR7" s="37" t="s">
        <v>2228</v>
      </c>
      <c r="AS7" s="37" t="s">
        <v>2228</v>
      </c>
      <c r="AT7" s="37" t="s">
        <v>2228</v>
      </c>
      <c r="AU7" s="37" t="s">
        <v>2228</v>
      </c>
      <c r="AV7" s="37" t="s">
        <v>2228</v>
      </c>
      <c r="AW7" s="38"/>
      <c r="AX7" s="38"/>
      <c r="AY7" s="38"/>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c r="CM7" s="38"/>
      <c r="CN7" s="38"/>
      <c r="CO7" s="38"/>
      <c r="CP7" s="38"/>
      <c r="CQ7" s="38"/>
      <c r="CR7" s="38"/>
      <c r="CS7" s="38"/>
    </row>
    <row r="8" spans="1:97">
      <c r="A8" s="39">
        <f>IF('6161 - Wallpaper'!B8 = "", "", IF('6161 - Wallpaper-WUO_ERR'!A8 = "", "Validated", HYPERLINK("#" &amp; ADDRESS(8, '6161 - Wallpaper-WUO_TRK'!A8),_xlfn.TEXTAFTER('6161 - Wallpaper-WUO_ERR'!A8, ":"))))</f>
        <v>0</v>
      </c>
    </row>
    <row r="9" spans="1:97">
      <c r="A9" s="39">
        <f>IF('6161 - Wallpaper'!B9 = "", "", IF('6161 - Wallpaper-WUO_ERR'!A9 = "", "Validated", HYPERLINK("#" &amp; ADDRESS(9, '6161 - Wallpaper-WUO_TRK'!A9),_xlfn.TEXTAFTER('6161 - Wallpaper-WUO_ERR'!A9, ":"))))</f>
        <v>0</v>
      </c>
    </row>
    <row r="10" spans="1:97">
      <c r="A10" s="39">
        <f>IF('6161 - Wallpaper'!B10 = "", "", IF('6161 - Wallpaper-WUO_ERR'!A10 = "", "Validated", HYPERLINK("#" &amp; ADDRESS(10, '6161 - Wallpaper-WUO_TRK'!A10),_xlfn.TEXTAFTER('6161 - Wallpaper-WUO_ERR'!A10, ":"))))</f>
        <v>0</v>
      </c>
    </row>
    <row r="11" spans="1:97">
      <c r="A11" s="39">
        <f>IF('6161 - Wallpaper'!B11 = "", "", IF('6161 - Wallpaper-WUO_ERR'!A11 = "", "Validated", HYPERLINK("#" &amp; ADDRESS(11, '6161 - Wallpaper-WUO_TRK'!A11),_xlfn.TEXTAFTER('6161 - Wallpaper-WUO_ERR'!A11, ":"))))</f>
        <v>0</v>
      </c>
    </row>
    <row r="12" spans="1:97">
      <c r="A12" s="39">
        <f>IF('6161 - Wallpaper'!B12 = "", "", IF('6161 - Wallpaper-WUO_ERR'!A12 = "", "Validated", HYPERLINK("#" &amp; ADDRESS(12, '6161 - Wallpaper-WUO_TRK'!A12),_xlfn.TEXTAFTER('6161 - Wallpaper-WUO_ERR'!A12, ":"))))</f>
        <v>0</v>
      </c>
    </row>
    <row r="13" spans="1:97">
      <c r="A13" s="39">
        <f>IF('6161 - Wallpaper'!B13 = "", "", IF('6161 - Wallpaper-WUO_ERR'!A13 = "", "Validated", HYPERLINK("#" &amp; ADDRESS(13, '6161 - Wallpaper-WUO_TRK'!A13),_xlfn.TEXTAFTER('6161 - Wallpaper-WUO_ERR'!A13, ":"))))</f>
        <v>0</v>
      </c>
    </row>
    <row r="14" spans="1:97">
      <c r="A14" s="39">
        <f>IF('6161 - Wallpaper'!B14 = "", "", IF('6161 - Wallpaper-WUO_ERR'!A14 = "", "Validated", HYPERLINK("#" &amp; ADDRESS(14, '6161 - Wallpaper-WUO_TRK'!A14),_xlfn.TEXTAFTER('6161 - Wallpaper-WUO_ERR'!A14, ":"))))</f>
        <v>0</v>
      </c>
    </row>
    <row r="15" spans="1:97">
      <c r="A15" s="39">
        <f>IF('6161 - Wallpaper'!B15 = "", "", IF('6161 - Wallpaper-WUO_ERR'!A15 = "", "Validated", HYPERLINK("#" &amp; ADDRESS(15, '6161 - Wallpaper-WUO_TRK'!A15),_xlfn.TEXTAFTER('6161 - Wallpaper-WUO_ERR'!A15, ":"))))</f>
        <v>0</v>
      </c>
    </row>
    <row r="16" spans="1:97">
      <c r="A16" s="39">
        <f>IF('6161 - Wallpaper'!B16 = "", "", IF('6161 - Wallpaper-WUO_ERR'!A16 = "", "Validated", HYPERLINK("#" &amp; ADDRESS(16, '6161 - Wallpaper-WUO_TRK'!A16),_xlfn.TEXTAFTER('6161 - Wallpaper-WUO_ERR'!A16, ":"))))</f>
        <v>0</v>
      </c>
    </row>
    <row r="17" spans="1:1">
      <c r="A17" s="39">
        <f>IF('6161 - Wallpaper'!B17 = "", "", IF('6161 - Wallpaper-WUO_ERR'!A17 = "", "Validated", HYPERLINK("#" &amp; ADDRESS(17, '6161 - Wallpaper-WUO_TRK'!A17),_xlfn.TEXTAFTER('6161 - Wallpaper-WUO_ERR'!A17, ":"))))</f>
        <v>0</v>
      </c>
    </row>
    <row r="18" spans="1:1">
      <c r="A18" s="39">
        <f>IF('6161 - Wallpaper'!B18 = "", "", IF('6161 - Wallpaper-WUO_ERR'!A18 = "", "Validated", HYPERLINK("#" &amp; ADDRESS(18, '6161 - Wallpaper-WUO_TRK'!A18),_xlfn.TEXTAFTER('6161 - Wallpaper-WUO_ERR'!A18, ":"))))</f>
        <v>0</v>
      </c>
    </row>
    <row r="19" spans="1:1">
      <c r="A19" s="39">
        <f>IF('6161 - Wallpaper'!B19 = "", "", IF('6161 - Wallpaper-WUO_ERR'!A19 = "", "Validated", HYPERLINK("#" &amp; ADDRESS(19, '6161 - Wallpaper-WUO_TRK'!A19),_xlfn.TEXTAFTER('6161 - Wallpaper-WUO_ERR'!A19, ":"))))</f>
        <v>0</v>
      </c>
    </row>
    <row r="20" spans="1:1">
      <c r="A20" s="39">
        <f>IF('6161 - Wallpaper'!B20 = "", "", IF('6161 - Wallpaper-WUO_ERR'!A20 = "", "Validated", HYPERLINK("#" &amp; ADDRESS(20, '6161 - Wallpaper-WUO_TRK'!A20),_xlfn.TEXTAFTER('6161 - Wallpaper-WUO_ERR'!A20, ":"))))</f>
        <v>0</v>
      </c>
    </row>
    <row r="21" spans="1:1">
      <c r="A21" s="39">
        <f>IF('6161 - Wallpaper'!B21 = "", "", IF('6161 - Wallpaper-WUO_ERR'!A21 = "", "Validated", HYPERLINK("#" &amp; ADDRESS(21, '6161 - Wallpaper-WUO_TRK'!A21),_xlfn.TEXTAFTER('6161 - Wallpaper-WUO_ERR'!A21, ":"))))</f>
        <v>0</v>
      </c>
    </row>
    <row r="22" spans="1:1">
      <c r="A22" s="39">
        <f>IF('6161 - Wallpaper'!B22 = "", "", IF('6161 - Wallpaper-WUO_ERR'!A22 = "", "Validated", HYPERLINK("#" &amp; ADDRESS(22, '6161 - Wallpaper-WUO_TRK'!A22),_xlfn.TEXTAFTER('6161 - Wallpaper-WUO_ERR'!A22, ":"))))</f>
        <v>0</v>
      </c>
    </row>
    <row r="23" spans="1:1">
      <c r="A23" s="39">
        <f>IF('6161 - Wallpaper'!B23 = "", "", IF('6161 - Wallpaper-WUO_ERR'!A23 = "", "Validated", HYPERLINK("#" &amp; ADDRESS(23, '6161 - Wallpaper-WUO_TRK'!A23),_xlfn.TEXTAFTER('6161 - Wallpaper-WUO_ERR'!A23, ":"))))</f>
        <v>0</v>
      </c>
    </row>
    <row r="24" spans="1:1">
      <c r="A24" s="39">
        <f>IF('6161 - Wallpaper'!B24 = "", "", IF('6161 - Wallpaper-WUO_ERR'!A24 = "", "Validated", HYPERLINK("#" &amp; ADDRESS(24, '6161 - Wallpaper-WUO_TRK'!A24),_xlfn.TEXTAFTER('6161 - Wallpaper-WUO_ERR'!A24, ":"))))</f>
        <v>0</v>
      </c>
    </row>
    <row r="25" spans="1:1">
      <c r="A25" s="39">
        <f>IF('6161 - Wallpaper'!B25 = "", "", IF('6161 - Wallpaper-WUO_ERR'!A25 = "", "Validated", HYPERLINK("#" &amp; ADDRESS(25, '6161 - Wallpaper-WUO_TRK'!A25),_xlfn.TEXTAFTER('6161 - Wallpaper-WUO_ERR'!A25, ":"))))</f>
        <v>0</v>
      </c>
    </row>
    <row r="26" spans="1:1">
      <c r="A26" s="39">
        <f>IF('6161 - Wallpaper'!B26 = "", "", IF('6161 - Wallpaper-WUO_ERR'!A26 = "", "Validated", HYPERLINK("#" &amp; ADDRESS(26, '6161 - Wallpaper-WUO_TRK'!A26),_xlfn.TEXTAFTER('6161 - Wallpaper-WUO_ERR'!A26, ":"))))</f>
        <v>0</v>
      </c>
    </row>
    <row r="27" spans="1:1">
      <c r="A27" s="39">
        <f>IF('6161 - Wallpaper'!B27 = "", "", IF('6161 - Wallpaper-WUO_ERR'!A27 = "", "Validated", HYPERLINK("#" &amp; ADDRESS(27, '6161 - Wallpaper-WUO_TRK'!A27),_xlfn.TEXTAFTER('6161 - Wallpaper-WUO_ERR'!A27, ":"))))</f>
        <v>0</v>
      </c>
    </row>
    <row r="28" spans="1:1">
      <c r="A28" s="39">
        <f>IF('6161 - Wallpaper'!B28 = "", "", IF('6161 - Wallpaper-WUO_ERR'!A28 = "", "Validated", HYPERLINK("#" &amp; ADDRESS(28, '6161 - Wallpaper-WUO_TRK'!A28),_xlfn.TEXTAFTER('6161 - Wallpaper-WUO_ERR'!A28, ":"))))</f>
        <v>0</v>
      </c>
    </row>
    <row r="29" spans="1:1">
      <c r="A29" s="39">
        <f>IF('6161 - Wallpaper'!B29 = "", "", IF('6161 - Wallpaper-WUO_ERR'!A29 = "", "Validated", HYPERLINK("#" &amp; ADDRESS(29, '6161 - Wallpaper-WUO_TRK'!A29),_xlfn.TEXTAFTER('6161 - Wallpaper-WUO_ERR'!A29, ":"))))</f>
        <v>0</v>
      </c>
    </row>
    <row r="30" spans="1:1">
      <c r="A30" s="39">
        <f>IF('6161 - Wallpaper'!B30 = "", "", IF('6161 - Wallpaper-WUO_ERR'!A30 = "", "Validated", HYPERLINK("#" &amp; ADDRESS(30, '6161 - Wallpaper-WUO_TRK'!A30),_xlfn.TEXTAFTER('6161 - Wallpaper-WUO_ERR'!A30, ":"))))</f>
        <v>0</v>
      </c>
    </row>
    <row r="31" spans="1:1">
      <c r="A31" s="39">
        <f>IF('6161 - Wallpaper'!B31 = "", "", IF('6161 - Wallpaper-WUO_ERR'!A31 = "", "Validated", HYPERLINK("#" &amp; ADDRESS(31, '6161 - Wallpaper-WUO_TRK'!A31),_xlfn.TEXTAFTER('6161 - Wallpaper-WUO_ERR'!A31, ":"))))</f>
        <v>0</v>
      </c>
    </row>
    <row r="32" spans="1:1">
      <c r="A32" s="39">
        <f>IF('6161 - Wallpaper'!B32 = "", "", IF('6161 - Wallpaper-WUO_ERR'!A32 = "", "Validated", HYPERLINK("#" &amp; ADDRESS(32, '6161 - Wallpaper-WUO_TRK'!A32),_xlfn.TEXTAFTER('6161 - Wallpaper-WUO_ERR'!A32, ":"))))</f>
        <v>0</v>
      </c>
    </row>
    <row r="33" spans="1:1">
      <c r="A33" s="39">
        <f>IF('6161 - Wallpaper'!B33 = "", "", IF('6161 - Wallpaper-WUO_ERR'!A33 = "", "Validated", HYPERLINK("#" &amp; ADDRESS(33, '6161 - Wallpaper-WUO_TRK'!A33),_xlfn.TEXTAFTER('6161 - Wallpaper-WUO_ERR'!A33, ":"))))</f>
        <v>0</v>
      </c>
    </row>
    <row r="34" spans="1:1">
      <c r="A34" s="39">
        <f>IF('6161 - Wallpaper'!B34 = "", "", IF('6161 - Wallpaper-WUO_ERR'!A34 = "", "Validated", HYPERLINK("#" &amp; ADDRESS(34, '6161 - Wallpaper-WUO_TRK'!A34),_xlfn.TEXTAFTER('6161 - Wallpaper-WUO_ERR'!A34, ":"))))</f>
        <v>0</v>
      </c>
    </row>
    <row r="35" spans="1:1">
      <c r="A35" s="39">
        <f>IF('6161 - Wallpaper'!B35 = "", "", IF('6161 - Wallpaper-WUO_ERR'!A35 = "", "Validated", HYPERLINK("#" &amp; ADDRESS(35, '6161 - Wallpaper-WUO_TRK'!A35),_xlfn.TEXTAFTER('6161 - Wallpaper-WUO_ERR'!A35, ":"))))</f>
        <v>0</v>
      </c>
    </row>
    <row r="36" spans="1:1">
      <c r="A36" s="39">
        <f>IF('6161 - Wallpaper'!B36 = "", "", IF('6161 - Wallpaper-WUO_ERR'!A36 = "", "Validated", HYPERLINK("#" &amp; ADDRESS(36, '6161 - Wallpaper-WUO_TRK'!A36),_xlfn.TEXTAFTER('6161 - Wallpaper-WUO_ERR'!A36, ":"))))</f>
        <v>0</v>
      </c>
    </row>
    <row r="37" spans="1:1">
      <c r="A37" s="39">
        <f>IF('6161 - Wallpaper'!B37 = "", "", IF('6161 - Wallpaper-WUO_ERR'!A37 = "", "Validated", HYPERLINK("#" &amp; ADDRESS(37, '6161 - Wallpaper-WUO_TRK'!A37),_xlfn.TEXTAFTER('6161 - Wallpaper-WUO_ERR'!A37, ":"))))</f>
        <v>0</v>
      </c>
    </row>
    <row r="38" spans="1:1">
      <c r="A38" s="39">
        <f>IF('6161 - Wallpaper'!B38 = "", "", IF('6161 - Wallpaper-WUO_ERR'!A38 = "", "Validated", HYPERLINK("#" &amp; ADDRESS(38, '6161 - Wallpaper-WUO_TRK'!A38),_xlfn.TEXTAFTER('6161 - Wallpaper-WUO_ERR'!A38, ":"))))</f>
        <v>0</v>
      </c>
    </row>
    <row r="39" spans="1:1">
      <c r="A39" s="39">
        <f>IF('6161 - Wallpaper'!B39 = "", "", IF('6161 - Wallpaper-WUO_ERR'!A39 = "", "Validated", HYPERLINK("#" &amp; ADDRESS(39, '6161 - Wallpaper-WUO_TRK'!A39),_xlfn.TEXTAFTER('6161 - Wallpaper-WUO_ERR'!A39, ":"))))</f>
        <v>0</v>
      </c>
    </row>
    <row r="40" spans="1:1">
      <c r="A40" s="39">
        <f>IF('6161 - Wallpaper'!B40 = "", "", IF('6161 - Wallpaper-WUO_ERR'!A40 = "", "Validated", HYPERLINK("#" &amp; ADDRESS(40, '6161 - Wallpaper-WUO_TRK'!A40),_xlfn.TEXTAFTER('6161 - Wallpaper-WUO_ERR'!A40, ":"))))</f>
        <v>0</v>
      </c>
    </row>
    <row r="41" spans="1:1">
      <c r="A41" s="39">
        <f>IF('6161 - Wallpaper'!B41 = "", "", IF('6161 - Wallpaper-WUO_ERR'!A41 = "", "Validated", HYPERLINK("#" &amp; ADDRESS(41, '6161 - Wallpaper-WUO_TRK'!A41),_xlfn.TEXTAFTER('6161 - Wallpaper-WUO_ERR'!A41, ":"))))</f>
        <v>0</v>
      </c>
    </row>
    <row r="42" spans="1:1">
      <c r="A42" s="39">
        <f>IF('6161 - Wallpaper'!B42 = "", "", IF('6161 - Wallpaper-WUO_ERR'!A42 = "", "Validated", HYPERLINK("#" &amp; ADDRESS(42, '6161 - Wallpaper-WUO_TRK'!A42),_xlfn.TEXTAFTER('6161 - Wallpaper-WUO_ERR'!A42, ":"))))</f>
        <v>0</v>
      </c>
    </row>
    <row r="43" spans="1:1">
      <c r="A43" s="39">
        <f>IF('6161 - Wallpaper'!B43 = "", "", IF('6161 - Wallpaper-WUO_ERR'!A43 = "", "Validated", HYPERLINK("#" &amp; ADDRESS(43, '6161 - Wallpaper-WUO_TRK'!A43),_xlfn.TEXTAFTER('6161 - Wallpaper-WUO_ERR'!A43, ":"))))</f>
        <v>0</v>
      </c>
    </row>
    <row r="44" spans="1:1">
      <c r="A44" s="39">
        <f>IF('6161 - Wallpaper'!B44 = "", "", IF('6161 - Wallpaper-WUO_ERR'!A44 = "", "Validated", HYPERLINK("#" &amp; ADDRESS(44, '6161 - Wallpaper-WUO_TRK'!A44),_xlfn.TEXTAFTER('6161 - Wallpaper-WUO_ERR'!A44, ":"))))</f>
        <v>0</v>
      </c>
    </row>
    <row r="45" spans="1:1">
      <c r="A45" s="39">
        <f>IF('6161 - Wallpaper'!B45 = "", "", IF('6161 - Wallpaper-WUO_ERR'!A45 = "", "Validated", HYPERLINK("#" &amp; ADDRESS(45, '6161 - Wallpaper-WUO_TRK'!A45),_xlfn.TEXTAFTER('6161 - Wallpaper-WUO_ERR'!A45, ":"))))</f>
        <v>0</v>
      </c>
    </row>
    <row r="46" spans="1:1">
      <c r="A46" s="39">
        <f>IF('6161 - Wallpaper'!B46 = "", "", IF('6161 - Wallpaper-WUO_ERR'!A46 = "", "Validated", HYPERLINK("#" &amp; ADDRESS(46, '6161 - Wallpaper-WUO_TRK'!A46),_xlfn.TEXTAFTER('6161 - Wallpaper-WUO_ERR'!A46, ":"))))</f>
        <v>0</v>
      </c>
    </row>
    <row r="47" spans="1:1">
      <c r="A47" s="39">
        <f>IF('6161 - Wallpaper'!B47 = "", "", IF('6161 - Wallpaper-WUO_ERR'!A47 = "", "Validated", HYPERLINK("#" &amp; ADDRESS(47, '6161 - Wallpaper-WUO_TRK'!A47),_xlfn.TEXTAFTER('6161 - Wallpaper-WUO_ERR'!A47, ":"))))</f>
        <v>0</v>
      </c>
    </row>
    <row r="48" spans="1:1">
      <c r="A48" s="39">
        <f>IF('6161 - Wallpaper'!B48 = "", "", IF('6161 - Wallpaper-WUO_ERR'!A48 = "", "Validated", HYPERLINK("#" &amp; ADDRESS(48, '6161 - Wallpaper-WUO_TRK'!A48),_xlfn.TEXTAFTER('6161 - Wallpaper-WUO_ERR'!A48, ":"))))</f>
        <v>0</v>
      </c>
    </row>
    <row r="49" spans="1:1">
      <c r="A49" s="39">
        <f>IF('6161 - Wallpaper'!B49 = "", "", IF('6161 - Wallpaper-WUO_ERR'!A49 = "", "Validated", HYPERLINK("#" &amp; ADDRESS(49, '6161 - Wallpaper-WUO_TRK'!A49),_xlfn.TEXTAFTER('6161 - Wallpaper-WUO_ERR'!A49, ":"))))</f>
        <v>0</v>
      </c>
    </row>
    <row r="50" spans="1:1">
      <c r="A50" s="39">
        <f>IF('6161 - Wallpaper'!B50 = "", "", IF('6161 - Wallpaper-WUO_ERR'!A50 = "", "Validated", HYPERLINK("#" &amp; ADDRESS(50, '6161 - Wallpaper-WUO_TRK'!A50),_xlfn.TEXTAFTER('6161 - Wallpaper-WUO_ERR'!A50, ":"))))</f>
        <v>0</v>
      </c>
    </row>
    <row r="51" spans="1:1">
      <c r="A51" s="39">
        <f>IF('6161 - Wallpaper'!B51 = "", "", IF('6161 - Wallpaper-WUO_ERR'!A51 = "", "Validated", HYPERLINK("#" &amp; ADDRESS(51, '6161 - Wallpaper-WUO_TRK'!A51),_xlfn.TEXTAFTER('6161 - Wallpaper-WUO_ERR'!A51, ":"))))</f>
        <v>0</v>
      </c>
    </row>
    <row r="52" spans="1:1">
      <c r="A52" s="39">
        <f>IF('6161 - Wallpaper'!B52 = "", "", IF('6161 - Wallpaper-WUO_ERR'!A52 = "", "Validated", HYPERLINK("#" &amp; ADDRESS(52, '6161 - Wallpaper-WUO_TRK'!A52),_xlfn.TEXTAFTER('6161 - Wallpaper-WUO_ERR'!A52, ":"))))</f>
        <v>0</v>
      </c>
    </row>
    <row r="53" spans="1:1">
      <c r="A53" s="39">
        <f>IF('6161 - Wallpaper'!B53 = "", "", IF('6161 - Wallpaper-WUO_ERR'!A53 = "", "Validated", HYPERLINK("#" &amp; ADDRESS(53, '6161 - Wallpaper-WUO_TRK'!A53),_xlfn.TEXTAFTER('6161 - Wallpaper-WUO_ERR'!A53, ":"))))</f>
        <v>0</v>
      </c>
    </row>
    <row r="54" spans="1:1">
      <c r="A54" s="39">
        <f>IF('6161 - Wallpaper'!B54 = "", "", IF('6161 - Wallpaper-WUO_ERR'!A54 = "", "Validated", HYPERLINK("#" &amp; ADDRESS(54, '6161 - Wallpaper-WUO_TRK'!A54),_xlfn.TEXTAFTER('6161 - Wallpaper-WUO_ERR'!A54, ":"))))</f>
        <v>0</v>
      </c>
    </row>
    <row r="55" spans="1:1">
      <c r="A55" s="39">
        <f>IF('6161 - Wallpaper'!B55 = "", "", IF('6161 - Wallpaper-WUO_ERR'!A55 = "", "Validated", HYPERLINK("#" &amp; ADDRESS(55, '6161 - Wallpaper-WUO_TRK'!A55),_xlfn.TEXTAFTER('6161 - Wallpaper-WUO_ERR'!A55, ":"))))</f>
        <v>0</v>
      </c>
    </row>
    <row r="56" spans="1:1">
      <c r="A56" s="39">
        <f>IF('6161 - Wallpaper'!B56 = "", "", IF('6161 - Wallpaper-WUO_ERR'!A56 = "", "Validated", HYPERLINK("#" &amp; ADDRESS(56, '6161 - Wallpaper-WUO_TRK'!A56),_xlfn.TEXTAFTER('6161 - Wallpaper-WUO_ERR'!A56, ":"))))</f>
        <v>0</v>
      </c>
    </row>
    <row r="57" spans="1:1">
      <c r="A57" s="39">
        <f>IF('6161 - Wallpaper'!B57 = "", "", IF('6161 - Wallpaper-WUO_ERR'!A57 = "", "Validated", HYPERLINK("#" &amp; ADDRESS(57, '6161 - Wallpaper-WUO_TRK'!A57),_xlfn.TEXTAFTER('6161 - Wallpaper-WUO_ERR'!A57, ":"))))</f>
        <v>0</v>
      </c>
    </row>
    <row r="58" spans="1:1">
      <c r="A58" s="39">
        <f>IF('6161 - Wallpaper'!B58 = "", "", IF('6161 - Wallpaper-WUO_ERR'!A58 = "", "Validated", HYPERLINK("#" &amp; ADDRESS(58, '6161 - Wallpaper-WUO_TRK'!A58),_xlfn.TEXTAFTER('6161 - Wallpaper-WUO_ERR'!A58, ":"))))</f>
        <v>0</v>
      </c>
    </row>
    <row r="59" spans="1:1">
      <c r="A59" s="39">
        <f>IF('6161 - Wallpaper'!B59 = "", "", IF('6161 - Wallpaper-WUO_ERR'!A59 = "", "Validated", HYPERLINK("#" &amp; ADDRESS(59, '6161 - Wallpaper-WUO_TRK'!A59),_xlfn.TEXTAFTER('6161 - Wallpaper-WUO_ERR'!A59, ":"))))</f>
        <v>0</v>
      </c>
    </row>
    <row r="60" spans="1:1">
      <c r="A60" s="39">
        <f>IF('6161 - Wallpaper'!B60 = "", "", IF('6161 - Wallpaper-WUO_ERR'!A60 = "", "Validated", HYPERLINK("#" &amp; ADDRESS(60, '6161 - Wallpaper-WUO_TRK'!A60),_xlfn.TEXTAFTER('6161 - Wallpaper-WUO_ERR'!A60, ":"))))</f>
        <v>0</v>
      </c>
    </row>
    <row r="61" spans="1:1">
      <c r="A61" s="39">
        <f>IF('6161 - Wallpaper'!B61 = "", "", IF('6161 - Wallpaper-WUO_ERR'!A61 = "", "Validated", HYPERLINK("#" &amp; ADDRESS(61, '6161 - Wallpaper-WUO_TRK'!A61),_xlfn.TEXTAFTER('6161 - Wallpaper-WUO_ERR'!A61, ":"))))</f>
        <v>0</v>
      </c>
    </row>
    <row r="62" spans="1:1">
      <c r="A62" s="39">
        <f>IF('6161 - Wallpaper'!B62 = "", "", IF('6161 - Wallpaper-WUO_ERR'!A62 = "", "Validated", HYPERLINK("#" &amp; ADDRESS(62, '6161 - Wallpaper-WUO_TRK'!A62),_xlfn.TEXTAFTER('6161 - Wallpaper-WUO_ERR'!A62, ":"))))</f>
        <v>0</v>
      </c>
    </row>
    <row r="63" spans="1:1">
      <c r="A63" s="39">
        <f>IF('6161 - Wallpaper'!B63 = "", "", IF('6161 - Wallpaper-WUO_ERR'!A63 = "", "Validated", HYPERLINK("#" &amp; ADDRESS(63, '6161 - Wallpaper-WUO_TRK'!A63),_xlfn.TEXTAFTER('6161 - Wallpaper-WUO_ERR'!A63, ":"))))</f>
        <v>0</v>
      </c>
    </row>
    <row r="64" spans="1:1">
      <c r="A64" s="39">
        <f>IF('6161 - Wallpaper'!B64 = "", "", IF('6161 - Wallpaper-WUO_ERR'!A64 = "", "Validated", HYPERLINK("#" &amp; ADDRESS(64, '6161 - Wallpaper-WUO_TRK'!A64),_xlfn.TEXTAFTER('6161 - Wallpaper-WUO_ERR'!A64, ":"))))</f>
        <v>0</v>
      </c>
    </row>
    <row r="65" spans="1:1">
      <c r="A65" s="39">
        <f>IF('6161 - Wallpaper'!B65 = "", "", IF('6161 - Wallpaper-WUO_ERR'!A65 = "", "Validated", HYPERLINK("#" &amp; ADDRESS(65, '6161 - Wallpaper-WUO_TRK'!A65),_xlfn.TEXTAFTER('6161 - Wallpaper-WUO_ERR'!A65, ":"))))</f>
        <v>0</v>
      </c>
    </row>
    <row r="66" spans="1:1">
      <c r="A66" s="39">
        <f>IF('6161 - Wallpaper'!B66 = "", "", IF('6161 - Wallpaper-WUO_ERR'!A66 = "", "Validated", HYPERLINK("#" &amp; ADDRESS(66, '6161 - Wallpaper-WUO_TRK'!A66),_xlfn.TEXTAFTER('6161 - Wallpaper-WUO_ERR'!A66, ":"))))</f>
        <v>0</v>
      </c>
    </row>
    <row r="67" spans="1:1">
      <c r="A67" s="39">
        <f>IF('6161 - Wallpaper'!B67 = "", "", IF('6161 - Wallpaper-WUO_ERR'!A67 = "", "Validated", HYPERLINK("#" &amp; ADDRESS(67, '6161 - Wallpaper-WUO_TRK'!A67),_xlfn.TEXTAFTER('6161 - Wallpaper-WUO_ERR'!A67, ":"))))</f>
        <v>0</v>
      </c>
    </row>
    <row r="68" spans="1:1">
      <c r="A68" s="39">
        <f>IF('6161 - Wallpaper'!B68 = "", "", IF('6161 - Wallpaper-WUO_ERR'!A68 = "", "Validated", HYPERLINK("#" &amp; ADDRESS(68, '6161 - Wallpaper-WUO_TRK'!A68),_xlfn.TEXTAFTER('6161 - Wallpaper-WUO_ERR'!A68, ":"))))</f>
        <v>0</v>
      </c>
    </row>
    <row r="69" spans="1:1">
      <c r="A69" s="39">
        <f>IF('6161 - Wallpaper'!B69 = "", "", IF('6161 - Wallpaper-WUO_ERR'!A69 = "", "Validated", HYPERLINK("#" &amp; ADDRESS(69, '6161 - Wallpaper-WUO_TRK'!A69),_xlfn.TEXTAFTER('6161 - Wallpaper-WUO_ERR'!A69, ":"))))</f>
        <v>0</v>
      </c>
    </row>
    <row r="70" spans="1:1">
      <c r="A70" s="39">
        <f>IF('6161 - Wallpaper'!B70 = "", "", IF('6161 - Wallpaper-WUO_ERR'!A70 = "", "Validated", HYPERLINK("#" &amp; ADDRESS(70, '6161 - Wallpaper-WUO_TRK'!A70),_xlfn.TEXTAFTER('6161 - Wallpaper-WUO_ERR'!A70, ":"))))</f>
        <v>0</v>
      </c>
    </row>
    <row r="71" spans="1:1">
      <c r="A71" s="39">
        <f>IF('6161 - Wallpaper'!B71 = "", "", IF('6161 - Wallpaper-WUO_ERR'!A71 = "", "Validated", HYPERLINK("#" &amp; ADDRESS(71, '6161 - Wallpaper-WUO_TRK'!A71),_xlfn.TEXTAFTER('6161 - Wallpaper-WUO_ERR'!A71, ":"))))</f>
        <v>0</v>
      </c>
    </row>
    <row r="72" spans="1:1">
      <c r="A72" s="39">
        <f>IF('6161 - Wallpaper'!B72 = "", "", IF('6161 - Wallpaper-WUO_ERR'!A72 = "", "Validated", HYPERLINK("#" &amp; ADDRESS(72, '6161 - Wallpaper-WUO_TRK'!A72),_xlfn.TEXTAFTER('6161 - Wallpaper-WUO_ERR'!A72, ":"))))</f>
        <v>0</v>
      </c>
    </row>
    <row r="73" spans="1:1">
      <c r="A73" s="39">
        <f>IF('6161 - Wallpaper'!B73 = "", "", IF('6161 - Wallpaper-WUO_ERR'!A73 = "", "Validated", HYPERLINK("#" &amp; ADDRESS(73, '6161 - Wallpaper-WUO_TRK'!A73),_xlfn.TEXTAFTER('6161 - Wallpaper-WUO_ERR'!A73, ":"))))</f>
        <v>0</v>
      </c>
    </row>
    <row r="74" spans="1:1">
      <c r="A74" s="39">
        <f>IF('6161 - Wallpaper'!B74 = "", "", IF('6161 - Wallpaper-WUO_ERR'!A74 = "", "Validated", HYPERLINK("#" &amp; ADDRESS(74, '6161 - Wallpaper-WUO_TRK'!A74),_xlfn.TEXTAFTER('6161 - Wallpaper-WUO_ERR'!A74, ":"))))</f>
        <v>0</v>
      </c>
    </row>
    <row r="75" spans="1:1">
      <c r="A75" s="39">
        <f>IF('6161 - Wallpaper'!B75 = "", "", IF('6161 - Wallpaper-WUO_ERR'!A75 = "", "Validated", HYPERLINK("#" &amp; ADDRESS(75, '6161 - Wallpaper-WUO_TRK'!A75),_xlfn.TEXTAFTER('6161 - Wallpaper-WUO_ERR'!A75, ":"))))</f>
        <v>0</v>
      </c>
    </row>
    <row r="76" spans="1:1">
      <c r="A76" s="39">
        <f>IF('6161 - Wallpaper'!B76 = "", "", IF('6161 - Wallpaper-WUO_ERR'!A76 = "", "Validated", HYPERLINK("#" &amp; ADDRESS(76, '6161 - Wallpaper-WUO_TRK'!A76),_xlfn.TEXTAFTER('6161 - Wallpaper-WUO_ERR'!A76, ":"))))</f>
        <v>0</v>
      </c>
    </row>
    <row r="77" spans="1:1">
      <c r="A77" s="39">
        <f>IF('6161 - Wallpaper'!B77 = "", "", IF('6161 - Wallpaper-WUO_ERR'!A77 = "", "Validated", HYPERLINK("#" &amp; ADDRESS(77, '6161 - Wallpaper-WUO_TRK'!A77),_xlfn.TEXTAFTER('6161 - Wallpaper-WUO_ERR'!A77, ":"))))</f>
        <v>0</v>
      </c>
    </row>
    <row r="78" spans="1:1">
      <c r="A78" s="39">
        <f>IF('6161 - Wallpaper'!B78 = "", "", IF('6161 - Wallpaper-WUO_ERR'!A78 = "", "Validated", HYPERLINK("#" &amp; ADDRESS(78, '6161 - Wallpaper-WUO_TRK'!A78),_xlfn.TEXTAFTER('6161 - Wallpaper-WUO_ERR'!A78, ":"))))</f>
        <v>0</v>
      </c>
    </row>
    <row r="79" spans="1:1">
      <c r="A79" s="39">
        <f>IF('6161 - Wallpaper'!B79 = "", "", IF('6161 - Wallpaper-WUO_ERR'!A79 = "", "Validated", HYPERLINK("#" &amp; ADDRESS(79, '6161 - Wallpaper-WUO_TRK'!A79),_xlfn.TEXTAFTER('6161 - Wallpaper-WUO_ERR'!A79, ":"))))</f>
        <v>0</v>
      </c>
    </row>
    <row r="80" spans="1:1">
      <c r="A80" s="39">
        <f>IF('6161 - Wallpaper'!B80 = "", "", IF('6161 - Wallpaper-WUO_ERR'!A80 = "", "Validated", HYPERLINK("#" &amp; ADDRESS(80, '6161 - Wallpaper-WUO_TRK'!A80),_xlfn.TEXTAFTER('6161 - Wallpaper-WUO_ERR'!A80, ":"))))</f>
        <v>0</v>
      </c>
    </row>
    <row r="81" spans="1:1">
      <c r="A81" s="39">
        <f>IF('6161 - Wallpaper'!B81 = "", "", IF('6161 - Wallpaper-WUO_ERR'!A81 = "", "Validated", HYPERLINK("#" &amp; ADDRESS(81, '6161 - Wallpaper-WUO_TRK'!A81),_xlfn.TEXTAFTER('6161 - Wallpaper-WUO_ERR'!A81, ":"))))</f>
        <v>0</v>
      </c>
    </row>
    <row r="82" spans="1:1">
      <c r="A82" s="39">
        <f>IF('6161 - Wallpaper'!B82 = "", "", IF('6161 - Wallpaper-WUO_ERR'!A82 = "", "Validated", HYPERLINK("#" &amp; ADDRESS(82, '6161 - Wallpaper-WUO_TRK'!A82),_xlfn.TEXTAFTER('6161 - Wallpaper-WUO_ERR'!A82, ":"))))</f>
        <v>0</v>
      </c>
    </row>
    <row r="83" spans="1:1">
      <c r="A83" s="39">
        <f>IF('6161 - Wallpaper'!B83 = "", "", IF('6161 - Wallpaper-WUO_ERR'!A83 = "", "Validated", HYPERLINK("#" &amp; ADDRESS(83, '6161 - Wallpaper-WUO_TRK'!A83),_xlfn.TEXTAFTER('6161 - Wallpaper-WUO_ERR'!A83, ":"))))</f>
        <v>0</v>
      </c>
    </row>
    <row r="84" spans="1:1">
      <c r="A84" s="39">
        <f>IF('6161 - Wallpaper'!B84 = "", "", IF('6161 - Wallpaper-WUO_ERR'!A84 = "", "Validated", HYPERLINK("#" &amp; ADDRESS(84, '6161 - Wallpaper-WUO_TRK'!A84),_xlfn.TEXTAFTER('6161 - Wallpaper-WUO_ERR'!A84, ":"))))</f>
        <v>0</v>
      </c>
    </row>
    <row r="85" spans="1:1">
      <c r="A85" s="39">
        <f>IF('6161 - Wallpaper'!B85 = "", "", IF('6161 - Wallpaper-WUO_ERR'!A85 = "", "Validated", HYPERLINK("#" &amp; ADDRESS(85, '6161 - Wallpaper-WUO_TRK'!A85),_xlfn.TEXTAFTER('6161 - Wallpaper-WUO_ERR'!A85, ":"))))</f>
        <v>0</v>
      </c>
    </row>
    <row r="86" spans="1:1">
      <c r="A86" s="39">
        <f>IF('6161 - Wallpaper'!B86 = "", "", IF('6161 - Wallpaper-WUO_ERR'!A86 = "", "Validated", HYPERLINK("#" &amp; ADDRESS(86, '6161 - Wallpaper-WUO_TRK'!A86),_xlfn.TEXTAFTER('6161 - Wallpaper-WUO_ERR'!A86, ":"))))</f>
        <v>0</v>
      </c>
    </row>
    <row r="87" spans="1:1">
      <c r="A87" s="39">
        <f>IF('6161 - Wallpaper'!B87 = "", "", IF('6161 - Wallpaper-WUO_ERR'!A87 = "", "Validated", HYPERLINK("#" &amp; ADDRESS(87, '6161 - Wallpaper-WUO_TRK'!A87),_xlfn.TEXTAFTER('6161 - Wallpaper-WUO_ERR'!A87, ":"))))</f>
        <v>0</v>
      </c>
    </row>
    <row r="88" spans="1:1">
      <c r="A88" s="39">
        <f>IF('6161 - Wallpaper'!B88 = "", "", IF('6161 - Wallpaper-WUO_ERR'!A88 = "", "Validated", HYPERLINK("#" &amp; ADDRESS(88, '6161 - Wallpaper-WUO_TRK'!A88),_xlfn.TEXTAFTER('6161 - Wallpaper-WUO_ERR'!A88, ":"))))</f>
        <v>0</v>
      </c>
    </row>
    <row r="89" spans="1:1">
      <c r="A89" s="39">
        <f>IF('6161 - Wallpaper'!B89 = "", "", IF('6161 - Wallpaper-WUO_ERR'!A89 = "", "Validated", HYPERLINK("#" &amp; ADDRESS(89, '6161 - Wallpaper-WUO_TRK'!A89),_xlfn.TEXTAFTER('6161 - Wallpaper-WUO_ERR'!A89, ":"))))</f>
        <v>0</v>
      </c>
    </row>
    <row r="90" spans="1:1">
      <c r="A90" s="39">
        <f>IF('6161 - Wallpaper'!B90 = "", "", IF('6161 - Wallpaper-WUO_ERR'!A90 = "", "Validated", HYPERLINK("#" &amp; ADDRESS(90, '6161 - Wallpaper-WUO_TRK'!A90),_xlfn.TEXTAFTER('6161 - Wallpaper-WUO_ERR'!A90, ":"))))</f>
        <v>0</v>
      </c>
    </row>
    <row r="91" spans="1:1">
      <c r="A91" s="39">
        <f>IF('6161 - Wallpaper'!B91 = "", "", IF('6161 - Wallpaper-WUO_ERR'!A91 = "", "Validated", HYPERLINK("#" &amp; ADDRESS(91, '6161 - Wallpaper-WUO_TRK'!A91),_xlfn.TEXTAFTER('6161 - Wallpaper-WUO_ERR'!A91, ":"))))</f>
        <v>0</v>
      </c>
    </row>
    <row r="92" spans="1:1">
      <c r="A92" s="39">
        <f>IF('6161 - Wallpaper'!B92 = "", "", IF('6161 - Wallpaper-WUO_ERR'!A92 = "", "Validated", HYPERLINK("#" &amp; ADDRESS(92, '6161 - Wallpaper-WUO_TRK'!A92),_xlfn.TEXTAFTER('6161 - Wallpaper-WUO_ERR'!A92, ":"))))</f>
        <v>0</v>
      </c>
    </row>
    <row r="93" spans="1:1">
      <c r="A93" s="39">
        <f>IF('6161 - Wallpaper'!B93 = "", "", IF('6161 - Wallpaper-WUO_ERR'!A93 = "", "Validated", HYPERLINK("#" &amp; ADDRESS(93, '6161 - Wallpaper-WUO_TRK'!A93),_xlfn.TEXTAFTER('6161 - Wallpaper-WUO_ERR'!A93, ":"))))</f>
        <v>0</v>
      </c>
    </row>
    <row r="94" spans="1:1">
      <c r="A94" s="39">
        <f>IF('6161 - Wallpaper'!B94 = "", "", IF('6161 - Wallpaper-WUO_ERR'!A94 = "", "Validated", HYPERLINK("#" &amp; ADDRESS(94, '6161 - Wallpaper-WUO_TRK'!A94),_xlfn.TEXTAFTER('6161 - Wallpaper-WUO_ERR'!A94, ":"))))</f>
        <v>0</v>
      </c>
    </row>
    <row r="95" spans="1:1">
      <c r="A95" s="39">
        <f>IF('6161 - Wallpaper'!B95 = "", "", IF('6161 - Wallpaper-WUO_ERR'!A95 = "", "Validated", HYPERLINK("#" &amp; ADDRESS(95, '6161 - Wallpaper-WUO_TRK'!A95),_xlfn.TEXTAFTER('6161 - Wallpaper-WUO_ERR'!A95, ":"))))</f>
        <v>0</v>
      </c>
    </row>
    <row r="96" spans="1:1">
      <c r="A96" s="39">
        <f>IF('6161 - Wallpaper'!B96 = "", "", IF('6161 - Wallpaper-WUO_ERR'!A96 = "", "Validated", HYPERLINK("#" &amp; ADDRESS(96, '6161 - Wallpaper-WUO_TRK'!A96),_xlfn.TEXTAFTER('6161 - Wallpaper-WUO_ERR'!A96, ":"))))</f>
        <v>0</v>
      </c>
    </row>
    <row r="97" spans="1:1">
      <c r="A97" s="39">
        <f>IF('6161 - Wallpaper'!B97 = "", "", IF('6161 - Wallpaper-WUO_ERR'!A97 = "", "Validated", HYPERLINK("#" &amp; ADDRESS(97, '6161 - Wallpaper-WUO_TRK'!A97),_xlfn.TEXTAFTER('6161 - Wallpaper-WUO_ERR'!A97, ":"))))</f>
        <v>0</v>
      </c>
    </row>
    <row r="98" spans="1:1">
      <c r="A98" s="39">
        <f>IF('6161 - Wallpaper'!B98 = "", "", IF('6161 - Wallpaper-WUO_ERR'!A98 = "", "Validated", HYPERLINK("#" &amp; ADDRESS(98, '6161 - Wallpaper-WUO_TRK'!A98),_xlfn.TEXTAFTER('6161 - Wallpaper-WUO_ERR'!A98, ":"))))</f>
        <v>0</v>
      </c>
    </row>
    <row r="99" spans="1:1">
      <c r="A99" s="39">
        <f>IF('6161 - Wallpaper'!B99 = "", "", IF('6161 - Wallpaper-WUO_ERR'!A99 = "", "Validated", HYPERLINK("#" &amp; ADDRESS(99, '6161 - Wallpaper-WUO_TRK'!A99),_xlfn.TEXTAFTER('6161 - Wallpaper-WUO_ERR'!A99, ":"))))</f>
        <v>0</v>
      </c>
    </row>
    <row r="100" spans="1:1">
      <c r="A100" s="39">
        <f>IF('6161 - Wallpaper'!B100 = "", "", IF('6161 - Wallpaper-WUO_ERR'!A100 = "", "Validated", HYPERLINK("#" &amp; ADDRESS(100, '6161 - Wallpaper-WUO_TRK'!A100),_xlfn.TEXTAFTER('6161 - Wallpaper-WUO_ERR'!A100, ":"))))</f>
        <v>0</v>
      </c>
    </row>
    <row r="101" spans="1:1">
      <c r="A101" s="39">
        <f>IF('6161 - Wallpaper'!B101 = "", "", IF('6161 - Wallpaper-WUO_ERR'!A101 = "", "Validated", HYPERLINK("#" &amp; ADDRESS(101, '6161 - Wallpaper-WUO_TRK'!A101),_xlfn.TEXTAFTER('6161 - Wallpaper-WUO_ERR'!A101, ":"))))</f>
        <v>0</v>
      </c>
    </row>
    <row r="102" spans="1:1">
      <c r="A102" s="39">
        <f>IF('6161 - Wallpaper'!B102 = "", "", IF('6161 - Wallpaper-WUO_ERR'!A102 = "", "Validated", HYPERLINK("#" &amp; ADDRESS(102, '6161 - Wallpaper-WUO_TRK'!A102),_xlfn.TEXTAFTER('6161 - Wallpaper-WUO_ERR'!A102, ":"))))</f>
        <v>0</v>
      </c>
    </row>
    <row r="103" spans="1:1">
      <c r="A103" s="39">
        <f>IF('6161 - Wallpaper'!B103 = "", "", IF('6161 - Wallpaper-WUO_ERR'!A103 = "", "Validated", HYPERLINK("#" &amp; ADDRESS(103, '6161 - Wallpaper-WUO_TRK'!A103),_xlfn.TEXTAFTER('6161 - Wallpaper-WUO_ERR'!A103, ":"))))</f>
        <v>0</v>
      </c>
    </row>
    <row r="104" spans="1:1">
      <c r="A104" s="39">
        <f>IF('6161 - Wallpaper'!B104 = "", "", IF('6161 - Wallpaper-WUO_ERR'!A104 = "", "Validated", HYPERLINK("#" &amp; ADDRESS(104, '6161 - Wallpaper-WUO_TRK'!A104),_xlfn.TEXTAFTER('6161 - Wallpaper-WUO_ERR'!A104, ":"))))</f>
        <v>0</v>
      </c>
    </row>
    <row r="105" spans="1:1">
      <c r="A105" s="39">
        <f>IF('6161 - Wallpaper'!B105 = "", "", IF('6161 - Wallpaper-WUO_ERR'!A105 = "", "Validated", HYPERLINK("#" &amp; ADDRESS(105, '6161 - Wallpaper-WUO_TRK'!A105),_xlfn.TEXTAFTER('6161 - Wallpaper-WUO_ERR'!A105, ":"))))</f>
        <v>0</v>
      </c>
    </row>
    <row r="106" spans="1:1">
      <c r="A106" s="39">
        <f>IF('6161 - Wallpaper'!B106 = "", "", IF('6161 - Wallpaper-WUO_ERR'!A106 = "", "Validated", HYPERLINK("#" &amp; ADDRESS(106, '6161 - Wallpaper-WUO_TRK'!A106),_xlfn.TEXTAFTER('6161 - Wallpaper-WUO_ERR'!A106, ":"))))</f>
        <v>0</v>
      </c>
    </row>
    <row r="107" spans="1:1">
      <c r="A107" s="39">
        <f>IF('6161 - Wallpaper'!B107 = "", "", IF('6161 - Wallpaper-WUO_ERR'!A107 = "", "Validated", HYPERLINK("#" &amp; ADDRESS(107, '6161 - Wallpaper-WUO_TRK'!A107),_xlfn.TEXTAFTER('6161 - Wallpaper-WUO_ERR'!A107, ":"))))</f>
        <v>0</v>
      </c>
    </row>
    <row r="108" spans="1:1">
      <c r="A108" s="39">
        <f>IF('6161 - Wallpaper'!B108 = "", "", IF('6161 - Wallpaper-WUO_ERR'!A108 = "", "Validated", HYPERLINK("#" &amp; ADDRESS(108, '6161 - Wallpaper-WUO_TRK'!A108),_xlfn.TEXTAFTER('6161 - Wallpaper-WUO_ERR'!A108, ":"))))</f>
        <v>0</v>
      </c>
    </row>
    <row r="109" spans="1:1">
      <c r="A109" s="39">
        <f>IF('6161 - Wallpaper'!B109 = "", "", IF('6161 - Wallpaper-WUO_ERR'!A109 = "", "Validated", HYPERLINK("#" &amp; ADDRESS(109, '6161 - Wallpaper-WUO_TRK'!A109),_xlfn.TEXTAFTER('6161 - Wallpaper-WUO_ERR'!A109, ":"))))</f>
        <v>0</v>
      </c>
    </row>
    <row r="110" spans="1:1">
      <c r="A110" s="39">
        <f>IF('6161 - Wallpaper'!B110 = "", "", IF('6161 - Wallpaper-WUO_ERR'!A110 = "", "Validated", HYPERLINK("#" &amp; ADDRESS(110, '6161 - Wallpaper-WUO_TRK'!A110),_xlfn.TEXTAFTER('6161 - Wallpaper-WUO_ERR'!A110, ":"))))</f>
        <v>0</v>
      </c>
    </row>
    <row r="111" spans="1:1">
      <c r="A111" s="39">
        <f>IF('6161 - Wallpaper'!B111 = "", "", IF('6161 - Wallpaper-WUO_ERR'!A111 = "", "Validated", HYPERLINK("#" &amp; ADDRESS(111, '6161 - Wallpaper-WUO_TRK'!A111),_xlfn.TEXTAFTER('6161 - Wallpaper-WUO_ERR'!A111, ":"))))</f>
        <v>0</v>
      </c>
    </row>
    <row r="112" spans="1:1">
      <c r="A112" s="39">
        <f>IF('6161 - Wallpaper'!B112 = "", "", IF('6161 - Wallpaper-WUO_ERR'!A112 = "", "Validated", HYPERLINK("#" &amp; ADDRESS(112, '6161 - Wallpaper-WUO_TRK'!A112),_xlfn.TEXTAFTER('6161 - Wallpaper-WUO_ERR'!A112, ":"))))</f>
        <v>0</v>
      </c>
    </row>
    <row r="113" spans="1:1">
      <c r="A113" s="39">
        <f>IF('6161 - Wallpaper'!B113 = "", "", IF('6161 - Wallpaper-WUO_ERR'!A113 = "", "Validated", HYPERLINK("#" &amp; ADDRESS(113, '6161 - Wallpaper-WUO_TRK'!A113),_xlfn.TEXTAFTER('6161 - Wallpaper-WUO_ERR'!A113, ":"))))</f>
        <v>0</v>
      </c>
    </row>
    <row r="114" spans="1:1">
      <c r="A114" s="39">
        <f>IF('6161 - Wallpaper'!B114 = "", "", IF('6161 - Wallpaper-WUO_ERR'!A114 = "", "Validated", HYPERLINK("#" &amp; ADDRESS(114, '6161 - Wallpaper-WUO_TRK'!A114),_xlfn.TEXTAFTER('6161 - Wallpaper-WUO_ERR'!A114, ":"))))</f>
        <v>0</v>
      </c>
    </row>
    <row r="115" spans="1:1">
      <c r="A115" s="39">
        <f>IF('6161 - Wallpaper'!B115 = "", "", IF('6161 - Wallpaper-WUO_ERR'!A115 = "", "Validated", HYPERLINK("#" &amp; ADDRESS(115, '6161 - Wallpaper-WUO_TRK'!A115),_xlfn.TEXTAFTER('6161 - Wallpaper-WUO_ERR'!A115, ":"))))</f>
        <v>0</v>
      </c>
    </row>
    <row r="116" spans="1:1">
      <c r="A116" s="39">
        <f>IF('6161 - Wallpaper'!B116 = "", "", IF('6161 - Wallpaper-WUO_ERR'!A116 = "", "Validated", HYPERLINK("#" &amp; ADDRESS(116, '6161 - Wallpaper-WUO_TRK'!A116),_xlfn.TEXTAFTER('6161 - Wallpaper-WUO_ERR'!A116, ":"))))</f>
        <v>0</v>
      </c>
    </row>
    <row r="117" spans="1:1">
      <c r="A117" s="39">
        <f>IF('6161 - Wallpaper'!B117 = "", "", IF('6161 - Wallpaper-WUO_ERR'!A117 = "", "Validated", HYPERLINK("#" &amp; ADDRESS(117, '6161 - Wallpaper-WUO_TRK'!A117),_xlfn.TEXTAFTER('6161 - Wallpaper-WUO_ERR'!A117, ":"))))</f>
        <v>0</v>
      </c>
    </row>
    <row r="118" spans="1:1">
      <c r="A118" s="39">
        <f>IF('6161 - Wallpaper'!B118 = "", "", IF('6161 - Wallpaper-WUO_ERR'!A118 = "", "Validated", HYPERLINK("#" &amp; ADDRESS(118, '6161 - Wallpaper-WUO_TRK'!A118),_xlfn.TEXTAFTER('6161 - Wallpaper-WUO_ERR'!A118, ":"))))</f>
        <v>0</v>
      </c>
    </row>
    <row r="119" spans="1:1">
      <c r="A119" s="39">
        <f>IF('6161 - Wallpaper'!B119 = "", "", IF('6161 - Wallpaper-WUO_ERR'!A119 = "", "Validated", HYPERLINK("#" &amp; ADDRESS(119, '6161 - Wallpaper-WUO_TRK'!A119),_xlfn.TEXTAFTER('6161 - Wallpaper-WUO_ERR'!A119, ":"))))</f>
        <v>0</v>
      </c>
    </row>
    <row r="120" spans="1:1">
      <c r="A120" s="39">
        <f>IF('6161 - Wallpaper'!B120 = "", "", IF('6161 - Wallpaper-WUO_ERR'!A120 = "", "Validated", HYPERLINK("#" &amp; ADDRESS(120, '6161 - Wallpaper-WUO_TRK'!A120),_xlfn.TEXTAFTER('6161 - Wallpaper-WUO_ERR'!A120, ":"))))</f>
        <v>0</v>
      </c>
    </row>
    <row r="121" spans="1:1">
      <c r="A121" s="39">
        <f>IF('6161 - Wallpaper'!B121 = "", "", IF('6161 - Wallpaper-WUO_ERR'!A121 = "", "Validated", HYPERLINK("#" &amp; ADDRESS(121, '6161 - Wallpaper-WUO_TRK'!A121),_xlfn.TEXTAFTER('6161 - Wallpaper-WUO_ERR'!A121, ":"))))</f>
        <v>0</v>
      </c>
    </row>
    <row r="122" spans="1:1">
      <c r="A122" s="39">
        <f>IF('6161 - Wallpaper'!B122 = "", "", IF('6161 - Wallpaper-WUO_ERR'!A122 = "", "Validated", HYPERLINK("#" &amp; ADDRESS(122, '6161 - Wallpaper-WUO_TRK'!A122),_xlfn.TEXTAFTER('6161 - Wallpaper-WUO_ERR'!A122, ":"))))</f>
        <v>0</v>
      </c>
    </row>
    <row r="123" spans="1:1">
      <c r="A123" s="39">
        <f>IF('6161 - Wallpaper'!B123 = "", "", IF('6161 - Wallpaper-WUO_ERR'!A123 = "", "Validated", HYPERLINK("#" &amp; ADDRESS(123, '6161 - Wallpaper-WUO_TRK'!A123),_xlfn.TEXTAFTER('6161 - Wallpaper-WUO_ERR'!A123, ":"))))</f>
        <v>0</v>
      </c>
    </row>
    <row r="124" spans="1:1">
      <c r="A124" s="39">
        <f>IF('6161 - Wallpaper'!B124 = "", "", IF('6161 - Wallpaper-WUO_ERR'!A124 = "", "Validated", HYPERLINK("#" &amp; ADDRESS(124, '6161 - Wallpaper-WUO_TRK'!A124),_xlfn.TEXTAFTER('6161 - Wallpaper-WUO_ERR'!A124, ":"))))</f>
        <v>0</v>
      </c>
    </row>
    <row r="125" spans="1:1">
      <c r="A125" s="39">
        <f>IF('6161 - Wallpaper'!B125 = "", "", IF('6161 - Wallpaper-WUO_ERR'!A125 = "", "Validated", HYPERLINK("#" &amp; ADDRESS(125, '6161 - Wallpaper-WUO_TRK'!A125),_xlfn.TEXTAFTER('6161 - Wallpaper-WUO_ERR'!A125, ":"))))</f>
        <v>0</v>
      </c>
    </row>
    <row r="126" spans="1:1">
      <c r="A126" s="39">
        <f>IF('6161 - Wallpaper'!B126 = "", "", IF('6161 - Wallpaper-WUO_ERR'!A126 = "", "Validated", HYPERLINK("#" &amp; ADDRESS(126, '6161 - Wallpaper-WUO_TRK'!A126),_xlfn.TEXTAFTER('6161 - Wallpaper-WUO_ERR'!A126, ":"))))</f>
        <v>0</v>
      </c>
    </row>
    <row r="127" spans="1:1">
      <c r="A127" s="39">
        <f>IF('6161 - Wallpaper'!B127 = "", "", IF('6161 - Wallpaper-WUO_ERR'!A127 = "", "Validated", HYPERLINK("#" &amp; ADDRESS(127, '6161 - Wallpaper-WUO_TRK'!A127),_xlfn.TEXTAFTER('6161 - Wallpaper-WUO_ERR'!A127, ":"))))</f>
        <v>0</v>
      </c>
    </row>
    <row r="128" spans="1:1">
      <c r="A128" s="39">
        <f>IF('6161 - Wallpaper'!B128 = "", "", IF('6161 - Wallpaper-WUO_ERR'!A128 = "", "Validated", HYPERLINK("#" &amp; ADDRESS(128, '6161 - Wallpaper-WUO_TRK'!A128),_xlfn.TEXTAFTER('6161 - Wallpaper-WUO_ERR'!A128, ":"))))</f>
        <v>0</v>
      </c>
    </row>
    <row r="129" spans="1:1">
      <c r="A129" s="39">
        <f>IF('6161 - Wallpaper'!B129 = "", "", IF('6161 - Wallpaper-WUO_ERR'!A129 = "", "Validated", HYPERLINK("#" &amp; ADDRESS(129, '6161 - Wallpaper-WUO_TRK'!A129),_xlfn.TEXTAFTER('6161 - Wallpaper-WUO_ERR'!A129, ":"))))</f>
        <v>0</v>
      </c>
    </row>
    <row r="130" spans="1:1">
      <c r="A130" s="39">
        <f>IF('6161 - Wallpaper'!B130 = "", "", IF('6161 - Wallpaper-WUO_ERR'!A130 = "", "Validated", HYPERLINK("#" &amp; ADDRESS(130, '6161 - Wallpaper-WUO_TRK'!A130),_xlfn.TEXTAFTER('6161 - Wallpaper-WUO_ERR'!A130, ":"))))</f>
        <v>0</v>
      </c>
    </row>
    <row r="131" spans="1:1">
      <c r="A131" s="39">
        <f>IF('6161 - Wallpaper'!B131 = "", "", IF('6161 - Wallpaper-WUO_ERR'!A131 = "", "Validated", HYPERLINK("#" &amp; ADDRESS(131, '6161 - Wallpaper-WUO_TRK'!A131),_xlfn.TEXTAFTER('6161 - Wallpaper-WUO_ERR'!A131, ":"))))</f>
        <v>0</v>
      </c>
    </row>
    <row r="132" spans="1:1">
      <c r="A132" s="39">
        <f>IF('6161 - Wallpaper'!B132 = "", "", IF('6161 - Wallpaper-WUO_ERR'!A132 = "", "Validated", HYPERLINK("#" &amp; ADDRESS(132, '6161 - Wallpaper-WUO_TRK'!A132),_xlfn.TEXTAFTER('6161 - Wallpaper-WUO_ERR'!A132, ":"))))</f>
        <v>0</v>
      </c>
    </row>
    <row r="133" spans="1:1">
      <c r="A133" s="39">
        <f>IF('6161 - Wallpaper'!B133 = "", "", IF('6161 - Wallpaper-WUO_ERR'!A133 = "", "Validated", HYPERLINK("#" &amp; ADDRESS(133, '6161 - Wallpaper-WUO_TRK'!A133),_xlfn.TEXTAFTER('6161 - Wallpaper-WUO_ERR'!A133, ":"))))</f>
        <v>0</v>
      </c>
    </row>
    <row r="134" spans="1:1">
      <c r="A134" s="39">
        <f>IF('6161 - Wallpaper'!B134 = "", "", IF('6161 - Wallpaper-WUO_ERR'!A134 = "", "Validated", HYPERLINK("#" &amp; ADDRESS(134, '6161 - Wallpaper-WUO_TRK'!A134),_xlfn.TEXTAFTER('6161 - Wallpaper-WUO_ERR'!A134, ":"))))</f>
        <v>0</v>
      </c>
    </row>
    <row r="135" spans="1:1">
      <c r="A135" s="39">
        <f>IF('6161 - Wallpaper'!B135 = "", "", IF('6161 - Wallpaper-WUO_ERR'!A135 = "", "Validated", HYPERLINK("#" &amp; ADDRESS(135, '6161 - Wallpaper-WUO_TRK'!A135),_xlfn.TEXTAFTER('6161 - Wallpaper-WUO_ERR'!A135, ":"))))</f>
        <v>0</v>
      </c>
    </row>
    <row r="136" spans="1:1">
      <c r="A136" s="39">
        <f>IF('6161 - Wallpaper'!B136 = "", "", IF('6161 - Wallpaper-WUO_ERR'!A136 = "", "Validated", HYPERLINK("#" &amp; ADDRESS(136, '6161 - Wallpaper-WUO_TRK'!A136),_xlfn.TEXTAFTER('6161 - Wallpaper-WUO_ERR'!A136, ":"))))</f>
        <v>0</v>
      </c>
    </row>
    <row r="137" spans="1:1">
      <c r="A137" s="39">
        <f>IF('6161 - Wallpaper'!B137 = "", "", IF('6161 - Wallpaper-WUO_ERR'!A137 = "", "Validated", HYPERLINK("#" &amp; ADDRESS(137, '6161 - Wallpaper-WUO_TRK'!A137),_xlfn.TEXTAFTER('6161 - Wallpaper-WUO_ERR'!A137, ":"))))</f>
        <v>0</v>
      </c>
    </row>
    <row r="138" spans="1:1">
      <c r="A138" s="39">
        <f>IF('6161 - Wallpaper'!B138 = "", "", IF('6161 - Wallpaper-WUO_ERR'!A138 = "", "Validated", HYPERLINK("#" &amp; ADDRESS(138, '6161 - Wallpaper-WUO_TRK'!A138),_xlfn.TEXTAFTER('6161 - Wallpaper-WUO_ERR'!A138, ":"))))</f>
        <v>0</v>
      </c>
    </row>
    <row r="139" spans="1:1">
      <c r="A139" s="39">
        <f>IF('6161 - Wallpaper'!B139 = "", "", IF('6161 - Wallpaper-WUO_ERR'!A139 = "", "Validated", HYPERLINK("#" &amp; ADDRESS(139, '6161 - Wallpaper-WUO_TRK'!A139),_xlfn.TEXTAFTER('6161 - Wallpaper-WUO_ERR'!A139, ":"))))</f>
        <v>0</v>
      </c>
    </row>
    <row r="140" spans="1:1">
      <c r="A140" s="39">
        <f>IF('6161 - Wallpaper'!B140 = "", "", IF('6161 - Wallpaper-WUO_ERR'!A140 = "", "Validated", HYPERLINK("#" &amp; ADDRESS(140, '6161 - Wallpaper-WUO_TRK'!A140),_xlfn.TEXTAFTER('6161 - Wallpaper-WUO_ERR'!A140, ":"))))</f>
        <v>0</v>
      </c>
    </row>
    <row r="141" spans="1:1">
      <c r="A141" s="39">
        <f>IF('6161 - Wallpaper'!B141 = "", "", IF('6161 - Wallpaper-WUO_ERR'!A141 = "", "Validated", HYPERLINK("#" &amp; ADDRESS(141, '6161 - Wallpaper-WUO_TRK'!A141),_xlfn.TEXTAFTER('6161 - Wallpaper-WUO_ERR'!A141, ":"))))</f>
        <v>0</v>
      </c>
    </row>
    <row r="142" spans="1:1">
      <c r="A142" s="39">
        <f>IF('6161 - Wallpaper'!B142 = "", "", IF('6161 - Wallpaper-WUO_ERR'!A142 = "", "Validated", HYPERLINK("#" &amp; ADDRESS(142, '6161 - Wallpaper-WUO_TRK'!A142),_xlfn.TEXTAFTER('6161 - Wallpaper-WUO_ERR'!A142, ":"))))</f>
        <v>0</v>
      </c>
    </row>
    <row r="143" spans="1:1">
      <c r="A143" s="39">
        <f>IF('6161 - Wallpaper'!B143 = "", "", IF('6161 - Wallpaper-WUO_ERR'!A143 = "", "Validated", HYPERLINK("#" &amp; ADDRESS(143, '6161 - Wallpaper-WUO_TRK'!A143),_xlfn.TEXTAFTER('6161 - Wallpaper-WUO_ERR'!A143, ":"))))</f>
        <v>0</v>
      </c>
    </row>
    <row r="144" spans="1:1">
      <c r="A144" s="39">
        <f>IF('6161 - Wallpaper'!B144 = "", "", IF('6161 - Wallpaper-WUO_ERR'!A144 = "", "Validated", HYPERLINK("#" &amp; ADDRESS(144, '6161 - Wallpaper-WUO_TRK'!A144),_xlfn.TEXTAFTER('6161 - Wallpaper-WUO_ERR'!A144, ":"))))</f>
        <v>0</v>
      </c>
    </row>
    <row r="145" spans="1:1">
      <c r="A145" s="39">
        <f>IF('6161 - Wallpaper'!B145 = "", "", IF('6161 - Wallpaper-WUO_ERR'!A145 = "", "Validated", HYPERLINK("#" &amp; ADDRESS(145, '6161 - Wallpaper-WUO_TRK'!A145),_xlfn.TEXTAFTER('6161 - Wallpaper-WUO_ERR'!A145, ":"))))</f>
        <v>0</v>
      </c>
    </row>
    <row r="146" spans="1:1">
      <c r="A146" s="39">
        <f>IF('6161 - Wallpaper'!B146 = "", "", IF('6161 - Wallpaper-WUO_ERR'!A146 = "", "Validated", HYPERLINK("#" &amp; ADDRESS(146, '6161 - Wallpaper-WUO_TRK'!A146),_xlfn.TEXTAFTER('6161 - Wallpaper-WUO_ERR'!A146, ":"))))</f>
        <v>0</v>
      </c>
    </row>
    <row r="147" spans="1:1">
      <c r="A147" s="39">
        <f>IF('6161 - Wallpaper'!B147 = "", "", IF('6161 - Wallpaper-WUO_ERR'!A147 = "", "Validated", HYPERLINK("#" &amp; ADDRESS(147, '6161 - Wallpaper-WUO_TRK'!A147),_xlfn.TEXTAFTER('6161 - Wallpaper-WUO_ERR'!A147, ":"))))</f>
        <v>0</v>
      </c>
    </row>
    <row r="148" spans="1:1">
      <c r="A148" s="39">
        <f>IF('6161 - Wallpaper'!B148 = "", "", IF('6161 - Wallpaper-WUO_ERR'!A148 = "", "Validated", HYPERLINK("#" &amp; ADDRESS(148, '6161 - Wallpaper-WUO_TRK'!A148),_xlfn.TEXTAFTER('6161 - Wallpaper-WUO_ERR'!A148, ":"))))</f>
        <v>0</v>
      </c>
    </row>
    <row r="149" spans="1:1">
      <c r="A149" s="39">
        <f>IF('6161 - Wallpaper'!B149 = "", "", IF('6161 - Wallpaper-WUO_ERR'!A149 = "", "Validated", HYPERLINK("#" &amp; ADDRESS(149, '6161 - Wallpaper-WUO_TRK'!A149),_xlfn.TEXTAFTER('6161 - Wallpaper-WUO_ERR'!A149, ":"))))</f>
        <v>0</v>
      </c>
    </row>
    <row r="150" spans="1:1">
      <c r="A150" s="39">
        <f>IF('6161 - Wallpaper'!B150 = "", "", IF('6161 - Wallpaper-WUO_ERR'!A150 = "", "Validated", HYPERLINK("#" &amp; ADDRESS(150, '6161 - Wallpaper-WUO_TRK'!A150),_xlfn.TEXTAFTER('6161 - Wallpaper-WUO_ERR'!A150, ":"))))</f>
        <v>0</v>
      </c>
    </row>
    <row r="151" spans="1:1">
      <c r="A151" s="39">
        <f>IF('6161 - Wallpaper'!B151 = "", "", IF('6161 - Wallpaper-WUO_ERR'!A151 = "", "Validated", HYPERLINK("#" &amp; ADDRESS(151, '6161 - Wallpaper-WUO_TRK'!A151),_xlfn.TEXTAFTER('6161 - Wallpaper-WUO_ERR'!A151, ":"))))</f>
        <v>0</v>
      </c>
    </row>
    <row r="152" spans="1:1">
      <c r="A152" s="39">
        <f>IF('6161 - Wallpaper'!B152 = "", "", IF('6161 - Wallpaper-WUO_ERR'!A152 = "", "Validated", HYPERLINK("#" &amp; ADDRESS(152, '6161 - Wallpaper-WUO_TRK'!A152),_xlfn.TEXTAFTER('6161 - Wallpaper-WUO_ERR'!A152, ":"))))</f>
        <v>0</v>
      </c>
    </row>
    <row r="153" spans="1:1">
      <c r="A153" s="39">
        <f>IF('6161 - Wallpaper'!B153 = "", "", IF('6161 - Wallpaper-WUO_ERR'!A153 = "", "Validated", HYPERLINK("#" &amp; ADDRESS(153, '6161 - Wallpaper-WUO_TRK'!A153),_xlfn.TEXTAFTER('6161 - Wallpaper-WUO_ERR'!A153, ":"))))</f>
        <v>0</v>
      </c>
    </row>
    <row r="154" spans="1:1">
      <c r="A154" s="39">
        <f>IF('6161 - Wallpaper'!B154 = "", "", IF('6161 - Wallpaper-WUO_ERR'!A154 = "", "Validated", HYPERLINK("#" &amp; ADDRESS(154, '6161 - Wallpaper-WUO_TRK'!A154),_xlfn.TEXTAFTER('6161 - Wallpaper-WUO_ERR'!A154, ":"))))</f>
        <v>0</v>
      </c>
    </row>
    <row r="155" spans="1:1">
      <c r="A155" s="39">
        <f>IF('6161 - Wallpaper'!B155 = "", "", IF('6161 - Wallpaper-WUO_ERR'!A155 = "", "Validated", HYPERLINK("#" &amp; ADDRESS(155, '6161 - Wallpaper-WUO_TRK'!A155),_xlfn.TEXTAFTER('6161 - Wallpaper-WUO_ERR'!A155, ":"))))</f>
        <v>0</v>
      </c>
    </row>
    <row r="156" spans="1:1">
      <c r="A156" s="39">
        <f>IF('6161 - Wallpaper'!B156 = "", "", IF('6161 - Wallpaper-WUO_ERR'!A156 = "", "Validated", HYPERLINK("#" &amp; ADDRESS(156, '6161 - Wallpaper-WUO_TRK'!A156),_xlfn.TEXTAFTER('6161 - Wallpaper-WUO_ERR'!A156, ":"))))</f>
        <v>0</v>
      </c>
    </row>
    <row r="157" spans="1:1">
      <c r="A157" s="39">
        <f>IF('6161 - Wallpaper'!B157 = "", "", IF('6161 - Wallpaper-WUO_ERR'!A157 = "", "Validated", HYPERLINK("#" &amp; ADDRESS(157, '6161 - Wallpaper-WUO_TRK'!A157),_xlfn.TEXTAFTER('6161 - Wallpaper-WUO_ERR'!A157, ":"))))</f>
        <v>0</v>
      </c>
    </row>
    <row r="158" spans="1:1">
      <c r="A158" s="39">
        <f>IF('6161 - Wallpaper'!B158 = "", "", IF('6161 - Wallpaper-WUO_ERR'!A158 = "", "Validated", HYPERLINK("#" &amp; ADDRESS(158, '6161 - Wallpaper-WUO_TRK'!A158),_xlfn.TEXTAFTER('6161 - Wallpaper-WUO_ERR'!A158, ":"))))</f>
        <v>0</v>
      </c>
    </row>
    <row r="159" spans="1:1">
      <c r="A159" s="39">
        <f>IF('6161 - Wallpaper'!B159 = "", "", IF('6161 - Wallpaper-WUO_ERR'!A159 = "", "Validated", HYPERLINK("#" &amp; ADDRESS(159, '6161 - Wallpaper-WUO_TRK'!A159),_xlfn.TEXTAFTER('6161 - Wallpaper-WUO_ERR'!A159, ":"))))</f>
        <v>0</v>
      </c>
    </row>
    <row r="160" spans="1:1">
      <c r="A160" s="39">
        <f>IF('6161 - Wallpaper'!B160 = "", "", IF('6161 - Wallpaper-WUO_ERR'!A160 = "", "Validated", HYPERLINK("#" &amp; ADDRESS(160, '6161 - Wallpaper-WUO_TRK'!A160),_xlfn.TEXTAFTER('6161 - Wallpaper-WUO_ERR'!A160, ":"))))</f>
        <v>0</v>
      </c>
    </row>
    <row r="161" spans="1:1">
      <c r="A161" s="39">
        <f>IF('6161 - Wallpaper'!B161 = "", "", IF('6161 - Wallpaper-WUO_ERR'!A161 = "", "Validated", HYPERLINK("#" &amp; ADDRESS(161, '6161 - Wallpaper-WUO_TRK'!A161),_xlfn.TEXTAFTER('6161 - Wallpaper-WUO_ERR'!A161, ":"))))</f>
        <v>0</v>
      </c>
    </row>
    <row r="162" spans="1:1">
      <c r="A162" s="39">
        <f>IF('6161 - Wallpaper'!B162 = "", "", IF('6161 - Wallpaper-WUO_ERR'!A162 = "", "Validated", HYPERLINK("#" &amp; ADDRESS(162, '6161 - Wallpaper-WUO_TRK'!A162),_xlfn.TEXTAFTER('6161 - Wallpaper-WUO_ERR'!A162, ":"))))</f>
        <v>0</v>
      </c>
    </row>
    <row r="163" spans="1:1">
      <c r="A163" s="39">
        <f>IF('6161 - Wallpaper'!B163 = "", "", IF('6161 - Wallpaper-WUO_ERR'!A163 = "", "Validated", HYPERLINK("#" &amp; ADDRESS(163, '6161 - Wallpaper-WUO_TRK'!A163),_xlfn.TEXTAFTER('6161 - Wallpaper-WUO_ERR'!A163, ":"))))</f>
        <v>0</v>
      </c>
    </row>
    <row r="164" spans="1:1">
      <c r="A164" s="39">
        <f>IF('6161 - Wallpaper'!B164 = "", "", IF('6161 - Wallpaper-WUO_ERR'!A164 = "", "Validated", HYPERLINK("#" &amp; ADDRESS(164, '6161 - Wallpaper-WUO_TRK'!A164),_xlfn.TEXTAFTER('6161 - Wallpaper-WUO_ERR'!A164, ":"))))</f>
        <v>0</v>
      </c>
    </row>
    <row r="165" spans="1:1">
      <c r="A165" s="39">
        <f>IF('6161 - Wallpaper'!B165 = "", "", IF('6161 - Wallpaper-WUO_ERR'!A165 = "", "Validated", HYPERLINK("#" &amp; ADDRESS(165, '6161 - Wallpaper-WUO_TRK'!A165),_xlfn.TEXTAFTER('6161 - Wallpaper-WUO_ERR'!A165, ":"))))</f>
        <v>0</v>
      </c>
    </row>
    <row r="166" spans="1:1">
      <c r="A166" s="39">
        <f>IF('6161 - Wallpaper'!B166 = "", "", IF('6161 - Wallpaper-WUO_ERR'!A166 = "", "Validated", HYPERLINK("#" &amp; ADDRESS(166, '6161 - Wallpaper-WUO_TRK'!A166),_xlfn.TEXTAFTER('6161 - Wallpaper-WUO_ERR'!A166, ":"))))</f>
        <v>0</v>
      </c>
    </row>
    <row r="167" spans="1:1">
      <c r="A167" s="39">
        <f>IF('6161 - Wallpaper'!B167 = "", "", IF('6161 - Wallpaper-WUO_ERR'!A167 = "", "Validated", HYPERLINK("#" &amp; ADDRESS(167, '6161 - Wallpaper-WUO_TRK'!A167),_xlfn.TEXTAFTER('6161 - Wallpaper-WUO_ERR'!A167, ":"))))</f>
        <v>0</v>
      </c>
    </row>
    <row r="168" spans="1:1">
      <c r="A168" s="39">
        <f>IF('6161 - Wallpaper'!B168 = "", "", IF('6161 - Wallpaper-WUO_ERR'!A168 = "", "Validated", HYPERLINK("#" &amp; ADDRESS(168, '6161 - Wallpaper-WUO_TRK'!A168),_xlfn.TEXTAFTER('6161 - Wallpaper-WUO_ERR'!A168, ":"))))</f>
        <v>0</v>
      </c>
    </row>
    <row r="169" spans="1:1">
      <c r="A169" s="39">
        <f>IF('6161 - Wallpaper'!B169 = "", "", IF('6161 - Wallpaper-WUO_ERR'!A169 = "", "Validated", HYPERLINK("#" &amp; ADDRESS(169, '6161 - Wallpaper-WUO_TRK'!A169),_xlfn.TEXTAFTER('6161 - Wallpaper-WUO_ERR'!A169, ":"))))</f>
        <v>0</v>
      </c>
    </row>
    <row r="170" spans="1:1">
      <c r="A170" s="39">
        <f>IF('6161 - Wallpaper'!B170 = "", "", IF('6161 - Wallpaper-WUO_ERR'!A170 = "", "Validated", HYPERLINK("#" &amp; ADDRESS(170, '6161 - Wallpaper-WUO_TRK'!A170),_xlfn.TEXTAFTER('6161 - Wallpaper-WUO_ERR'!A170, ":"))))</f>
        <v>0</v>
      </c>
    </row>
    <row r="171" spans="1:1">
      <c r="A171" s="39">
        <f>IF('6161 - Wallpaper'!B171 = "", "", IF('6161 - Wallpaper-WUO_ERR'!A171 = "", "Validated", HYPERLINK("#" &amp; ADDRESS(171, '6161 - Wallpaper-WUO_TRK'!A171),_xlfn.TEXTAFTER('6161 - Wallpaper-WUO_ERR'!A171, ":"))))</f>
        <v>0</v>
      </c>
    </row>
    <row r="172" spans="1:1">
      <c r="A172" s="39">
        <f>IF('6161 - Wallpaper'!B172 = "", "", IF('6161 - Wallpaper-WUO_ERR'!A172 = "", "Validated", HYPERLINK("#" &amp; ADDRESS(172, '6161 - Wallpaper-WUO_TRK'!A172),_xlfn.TEXTAFTER('6161 - Wallpaper-WUO_ERR'!A172, ":"))))</f>
        <v>0</v>
      </c>
    </row>
    <row r="173" spans="1:1">
      <c r="A173" s="39">
        <f>IF('6161 - Wallpaper'!B173 = "", "", IF('6161 - Wallpaper-WUO_ERR'!A173 = "", "Validated", HYPERLINK("#" &amp; ADDRESS(173, '6161 - Wallpaper-WUO_TRK'!A173),_xlfn.TEXTAFTER('6161 - Wallpaper-WUO_ERR'!A173, ":"))))</f>
        <v>0</v>
      </c>
    </row>
    <row r="174" spans="1:1">
      <c r="A174" s="39">
        <f>IF('6161 - Wallpaper'!B174 = "", "", IF('6161 - Wallpaper-WUO_ERR'!A174 = "", "Validated", HYPERLINK("#" &amp; ADDRESS(174, '6161 - Wallpaper-WUO_TRK'!A174),_xlfn.TEXTAFTER('6161 - Wallpaper-WUO_ERR'!A174, ":"))))</f>
        <v>0</v>
      </c>
    </row>
    <row r="175" spans="1:1">
      <c r="A175" s="39">
        <f>IF('6161 - Wallpaper'!B175 = "", "", IF('6161 - Wallpaper-WUO_ERR'!A175 = "", "Validated", HYPERLINK("#" &amp; ADDRESS(175, '6161 - Wallpaper-WUO_TRK'!A175),_xlfn.TEXTAFTER('6161 - Wallpaper-WUO_ERR'!A175, ":"))))</f>
        <v>0</v>
      </c>
    </row>
    <row r="176" spans="1:1">
      <c r="A176" s="39">
        <f>IF('6161 - Wallpaper'!B176 = "", "", IF('6161 - Wallpaper-WUO_ERR'!A176 = "", "Validated", HYPERLINK("#" &amp; ADDRESS(176, '6161 - Wallpaper-WUO_TRK'!A176),_xlfn.TEXTAFTER('6161 - Wallpaper-WUO_ERR'!A176, ":"))))</f>
        <v>0</v>
      </c>
    </row>
    <row r="177" spans="1:1">
      <c r="A177" s="39">
        <f>IF('6161 - Wallpaper'!B177 = "", "", IF('6161 - Wallpaper-WUO_ERR'!A177 = "", "Validated", HYPERLINK("#" &amp; ADDRESS(177, '6161 - Wallpaper-WUO_TRK'!A177),_xlfn.TEXTAFTER('6161 - Wallpaper-WUO_ERR'!A177, ":"))))</f>
        <v>0</v>
      </c>
    </row>
    <row r="178" spans="1:1">
      <c r="A178" s="39">
        <f>IF('6161 - Wallpaper'!B178 = "", "", IF('6161 - Wallpaper-WUO_ERR'!A178 = "", "Validated", HYPERLINK("#" &amp; ADDRESS(178, '6161 - Wallpaper-WUO_TRK'!A178),_xlfn.TEXTAFTER('6161 - Wallpaper-WUO_ERR'!A178, ":"))))</f>
        <v>0</v>
      </c>
    </row>
    <row r="179" spans="1:1">
      <c r="A179" s="39">
        <f>IF('6161 - Wallpaper'!B179 = "", "", IF('6161 - Wallpaper-WUO_ERR'!A179 = "", "Validated", HYPERLINK("#" &amp; ADDRESS(179, '6161 - Wallpaper-WUO_TRK'!A179),_xlfn.TEXTAFTER('6161 - Wallpaper-WUO_ERR'!A179, ":"))))</f>
        <v>0</v>
      </c>
    </row>
    <row r="180" spans="1:1">
      <c r="A180" s="39">
        <f>IF('6161 - Wallpaper'!B180 = "", "", IF('6161 - Wallpaper-WUO_ERR'!A180 = "", "Validated", HYPERLINK("#" &amp; ADDRESS(180, '6161 - Wallpaper-WUO_TRK'!A180),_xlfn.TEXTAFTER('6161 - Wallpaper-WUO_ERR'!A180, ":"))))</f>
        <v>0</v>
      </c>
    </row>
    <row r="181" spans="1:1">
      <c r="A181" s="39">
        <f>IF('6161 - Wallpaper'!B181 = "", "", IF('6161 - Wallpaper-WUO_ERR'!A181 = "", "Validated", HYPERLINK("#" &amp; ADDRESS(181, '6161 - Wallpaper-WUO_TRK'!A181),_xlfn.TEXTAFTER('6161 - Wallpaper-WUO_ERR'!A181, ":"))))</f>
        <v>0</v>
      </c>
    </row>
    <row r="182" spans="1:1">
      <c r="A182" s="39">
        <f>IF('6161 - Wallpaper'!B182 = "", "", IF('6161 - Wallpaper-WUO_ERR'!A182 = "", "Validated", HYPERLINK("#" &amp; ADDRESS(182, '6161 - Wallpaper-WUO_TRK'!A182),_xlfn.TEXTAFTER('6161 - Wallpaper-WUO_ERR'!A182, ":"))))</f>
        <v>0</v>
      </c>
    </row>
    <row r="183" spans="1:1">
      <c r="A183" s="39">
        <f>IF('6161 - Wallpaper'!B183 = "", "", IF('6161 - Wallpaper-WUO_ERR'!A183 = "", "Validated", HYPERLINK("#" &amp; ADDRESS(183, '6161 - Wallpaper-WUO_TRK'!A183),_xlfn.TEXTAFTER('6161 - Wallpaper-WUO_ERR'!A183, ":"))))</f>
        <v>0</v>
      </c>
    </row>
    <row r="184" spans="1:1">
      <c r="A184" s="39">
        <f>IF('6161 - Wallpaper'!B184 = "", "", IF('6161 - Wallpaper-WUO_ERR'!A184 = "", "Validated", HYPERLINK("#" &amp; ADDRESS(184, '6161 - Wallpaper-WUO_TRK'!A184),_xlfn.TEXTAFTER('6161 - Wallpaper-WUO_ERR'!A184, ":"))))</f>
        <v>0</v>
      </c>
    </row>
    <row r="185" spans="1:1">
      <c r="A185" s="39">
        <f>IF('6161 - Wallpaper'!B185 = "", "", IF('6161 - Wallpaper-WUO_ERR'!A185 = "", "Validated", HYPERLINK("#" &amp; ADDRESS(185, '6161 - Wallpaper-WUO_TRK'!A185),_xlfn.TEXTAFTER('6161 - Wallpaper-WUO_ERR'!A185, ":"))))</f>
        <v>0</v>
      </c>
    </row>
    <row r="186" spans="1:1">
      <c r="A186" s="39">
        <f>IF('6161 - Wallpaper'!B186 = "", "", IF('6161 - Wallpaper-WUO_ERR'!A186 = "", "Validated", HYPERLINK("#" &amp; ADDRESS(186, '6161 - Wallpaper-WUO_TRK'!A186),_xlfn.TEXTAFTER('6161 - Wallpaper-WUO_ERR'!A186, ":"))))</f>
        <v>0</v>
      </c>
    </row>
    <row r="187" spans="1:1">
      <c r="A187" s="39">
        <f>IF('6161 - Wallpaper'!B187 = "", "", IF('6161 - Wallpaper-WUO_ERR'!A187 = "", "Validated", HYPERLINK("#" &amp; ADDRESS(187, '6161 - Wallpaper-WUO_TRK'!A187),_xlfn.TEXTAFTER('6161 - Wallpaper-WUO_ERR'!A187, ":"))))</f>
        <v>0</v>
      </c>
    </row>
    <row r="188" spans="1:1">
      <c r="A188" s="39">
        <f>IF('6161 - Wallpaper'!B188 = "", "", IF('6161 - Wallpaper-WUO_ERR'!A188 = "", "Validated", HYPERLINK("#" &amp; ADDRESS(188, '6161 - Wallpaper-WUO_TRK'!A188),_xlfn.TEXTAFTER('6161 - Wallpaper-WUO_ERR'!A188, ":"))))</f>
        <v>0</v>
      </c>
    </row>
    <row r="189" spans="1:1">
      <c r="A189" s="39">
        <f>IF('6161 - Wallpaper'!B189 = "", "", IF('6161 - Wallpaper-WUO_ERR'!A189 = "", "Validated", HYPERLINK("#" &amp; ADDRESS(189, '6161 - Wallpaper-WUO_TRK'!A189),_xlfn.TEXTAFTER('6161 - Wallpaper-WUO_ERR'!A189, ":"))))</f>
        <v>0</v>
      </c>
    </row>
    <row r="190" spans="1:1">
      <c r="A190" s="39">
        <f>IF('6161 - Wallpaper'!B190 = "", "", IF('6161 - Wallpaper-WUO_ERR'!A190 = "", "Validated", HYPERLINK("#" &amp; ADDRESS(190, '6161 - Wallpaper-WUO_TRK'!A190),_xlfn.TEXTAFTER('6161 - Wallpaper-WUO_ERR'!A190, ":"))))</f>
        <v>0</v>
      </c>
    </row>
    <row r="191" spans="1:1">
      <c r="A191" s="39">
        <f>IF('6161 - Wallpaper'!B191 = "", "", IF('6161 - Wallpaper-WUO_ERR'!A191 = "", "Validated", HYPERLINK("#" &amp; ADDRESS(191, '6161 - Wallpaper-WUO_TRK'!A191),_xlfn.TEXTAFTER('6161 - Wallpaper-WUO_ERR'!A191, ":"))))</f>
        <v>0</v>
      </c>
    </row>
    <row r="192" spans="1:1">
      <c r="A192" s="39">
        <f>IF('6161 - Wallpaper'!B192 = "", "", IF('6161 - Wallpaper-WUO_ERR'!A192 = "", "Validated", HYPERLINK("#" &amp; ADDRESS(192, '6161 - Wallpaper-WUO_TRK'!A192),_xlfn.TEXTAFTER('6161 - Wallpaper-WUO_ERR'!A192, ":"))))</f>
        <v>0</v>
      </c>
    </row>
    <row r="193" spans="1:1">
      <c r="A193" s="39">
        <f>IF('6161 - Wallpaper'!B193 = "", "", IF('6161 - Wallpaper-WUO_ERR'!A193 = "", "Validated", HYPERLINK("#" &amp; ADDRESS(193, '6161 - Wallpaper-WUO_TRK'!A193),_xlfn.TEXTAFTER('6161 - Wallpaper-WUO_ERR'!A193, ":"))))</f>
        <v>0</v>
      </c>
    </row>
    <row r="194" spans="1:1">
      <c r="A194" s="39">
        <f>IF('6161 - Wallpaper'!B194 = "", "", IF('6161 - Wallpaper-WUO_ERR'!A194 = "", "Validated", HYPERLINK("#" &amp; ADDRESS(194, '6161 - Wallpaper-WUO_TRK'!A194),_xlfn.TEXTAFTER('6161 - Wallpaper-WUO_ERR'!A194, ":"))))</f>
        <v>0</v>
      </c>
    </row>
    <row r="195" spans="1:1">
      <c r="A195" s="39">
        <f>IF('6161 - Wallpaper'!B195 = "", "", IF('6161 - Wallpaper-WUO_ERR'!A195 = "", "Validated", HYPERLINK("#" &amp; ADDRESS(195, '6161 - Wallpaper-WUO_TRK'!A195),_xlfn.TEXTAFTER('6161 - Wallpaper-WUO_ERR'!A195, ":"))))</f>
        <v>0</v>
      </c>
    </row>
    <row r="196" spans="1:1">
      <c r="A196" s="39">
        <f>IF('6161 - Wallpaper'!B196 = "", "", IF('6161 - Wallpaper-WUO_ERR'!A196 = "", "Validated", HYPERLINK("#" &amp; ADDRESS(196, '6161 - Wallpaper-WUO_TRK'!A196),_xlfn.TEXTAFTER('6161 - Wallpaper-WUO_ERR'!A196, ":"))))</f>
        <v>0</v>
      </c>
    </row>
    <row r="197" spans="1:1">
      <c r="A197" s="39">
        <f>IF('6161 - Wallpaper'!B197 = "", "", IF('6161 - Wallpaper-WUO_ERR'!A197 = "", "Validated", HYPERLINK("#" &amp; ADDRESS(197, '6161 - Wallpaper-WUO_TRK'!A197),_xlfn.TEXTAFTER('6161 - Wallpaper-WUO_ERR'!A197, ":"))))</f>
        <v>0</v>
      </c>
    </row>
    <row r="198" spans="1:1">
      <c r="A198" s="39">
        <f>IF('6161 - Wallpaper'!B198 = "", "", IF('6161 - Wallpaper-WUO_ERR'!A198 = "", "Validated", HYPERLINK("#" &amp; ADDRESS(198, '6161 - Wallpaper-WUO_TRK'!A198),_xlfn.TEXTAFTER('6161 - Wallpaper-WUO_ERR'!A198, ":"))))</f>
        <v>0</v>
      </c>
    </row>
    <row r="199" spans="1:1">
      <c r="A199" s="39">
        <f>IF('6161 - Wallpaper'!B199 = "", "", IF('6161 - Wallpaper-WUO_ERR'!A199 = "", "Validated", HYPERLINK("#" &amp; ADDRESS(199, '6161 - Wallpaper-WUO_TRK'!A199),_xlfn.TEXTAFTER('6161 - Wallpaper-WUO_ERR'!A199, ":"))))</f>
        <v>0</v>
      </c>
    </row>
    <row r="200" spans="1:1">
      <c r="A200" s="39">
        <f>IF('6161 - Wallpaper'!B200 = "", "", IF('6161 - Wallpaper-WUO_ERR'!A200 = "", "Validated", HYPERLINK("#" &amp; ADDRESS(200, '6161 - Wallpaper-WUO_TRK'!A200),_xlfn.TEXTAFTER('6161 - Wallpaper-WUO_ERR'!A200, ":"))))</f>
        <v>0</v>
      </c>
    </row>
    <row r="201" spans="1:1">
      <c r="A201" s="39">
        <f>IF('6161 - Wallpaper'!B201 = "", "", IF('6161 - Wallpaper-WUO_ERR'!A201 = "", "Validated", HYPERLINK("#" &amp; ADDRESS(201, '6161 - Wallpaper-WUO_TRK'!A201),_xlfn.TEXTAFTER('6161 - Wallpaper-WUO_ERR'!A201, ":"))))</f>
        <v>0</v>
      </c>
    </row>
    <row r="202" spans="1:1">
      <c r="A202" s="39">
        <f>IF('6161 - Wallpaper'!B202 = "", "", IF('6161 - Wallpaper-WUO_ERR'!A202 = "", "Validated", HYPERLINK("#" &amp; ADDRESS(202, '6161 - Wallpaper-WUO_TRK'!A202),_xlfn.TEXTAFTER('6161 - Wallpaper-WUO_ERR'!A202, ":"))))</f>
        <v>0</v>
      </c>
    </row>
    <row r="203" spans="1:1">
      <c r="A203" s="39">
        <f>IF('6161 - Wallpaper'!B203 = "", "", IF('6161 - Wallpaper-WUO_ERR'!A203 = "", "Validated", HYPERLINK("#" &amp; ADDRESS(203, '6161 - Wallpaper-WUO_TRK'!A203),_xlfn.TEXTAFTER('6161 - Wallpaper-WUO_ERR'!A203, ":"))))</f>
        <v>0</v>
      </c>
    </row>
    <row r="204" spans="1:1">
      <c r="A204" s="39">
        <f>IF('6161 - Wallpaper'!B204 = "", "", IF('6161 - Wallpaper-WUO_ERR'!A204 = "", "Validated", HYPERLINK("#" &amp; ADDRESS(204, '6161 - Wallpaper-WUO_TRK'!A204),_xlfn.TEXTAFTER('6161 - Wallpaper-WUO_ERR'!A204, ":"))))</f>
        <v>0</v>
      </c>
    </row>
    <row r="205" spans="1:1">
      <c r="A205" s="39">
        <f>IF('6161 - Wallpaper'!B205 = "", "", IF('6161 - Wallpaper-WUO_ERR'!A205 = "", "Validated", HYPERLINK("#" &amp; ADDRESS(205, '6161 - Wallpaper-WUO_TRK'!A205),_xlfn.TEXTAFTER('6161 - Wallpaper-WUO_ERR'!A205, ":"))))</f>
        <v>0</v>
      </c>
    </row>
    <row r="206" spans="1:1">
      <c r="A206" s="39">
        <f>IF('6161 - Wallpaper'!B206 = "", "", IF('6161 - Wallpaper-WUO_ERR'!A206 = "", "Validated", HYPERLINK("#" &amp; ADDRESS(206, '6161 - Wallpaper-WUO_TRK'!A206),_xlfn.TEXTAFTER('6161 - Wallpaper-WUO_ERR'!A206, ":"))))</f>
        <v>0</v>
      </c>
    </row>
    <row r="207" spans="1:1">
      <c r="A207" s="39">
        <f>IF('6161 - Wallpaper'!B207 = "", "", IF('6161 - Wallpaper-WUO_ERR'!A207 = "", "Validated", HYPERLINK("#" &amp; ADDRESS(207, '6161 - Wallpaper-WUO_TRK'!A207),_xlfn.TEXTAFTER('6161 - Wallpaper-WUO_ERR'!A207, ":"))))</f>
        <v>0</v>
      </c>
    </row>
    <row r="208" spans="1:1">
      <c r="A208" s="39">
        <f>IF('6161 - Wallpaper'!B208 = "", "", IF('6161 - Wallpaper-WUO_ERR'!A208 = "", "Validated", HYPERLINK("#" &amp; ADDRESS(208, '6161 - Wallpaper-WUO_TRK'!A208),_xlfn.TEXTAFTER('6161 - Wallpaper-WUO_ERR'!A208, ":"))))</f>
        <v>0</v>
      </c>
    </row>
    <row r="209" spans="1:1">
      <c r="A209" s="39">
        <f>IF('6161 - Wallpaper'!B209 = "", "", IF('6161 - Wallpaper-WUO_ERR'!A209 = "", "Validated", HYPERLINK("#" &amp; ADDRESS(209, '6161 - Wallpaper-WUO_TRK'!A209),_xlfn.TEXTAFTER('6161 - Wallpaper-WUO_ERR'!A209, ":"))))</f>
        <v>0</v>
      </c>
    </row>
    <row r="210" spans="1:1">
      <c r="A210" s="39">
        <f>IF('6161 - Wallpaper'!B210 = "", "", IF('6161 - Wallpaper-WUO_ERR'!A210 = "", "Validated", HYPERLINK("#" &amp; ADDRESS(210, '6161 - Wallpaper-WUO_TRK'!A210),_xlfn.TEXTAFTER('6161 - Wallpaper-WUO_ERR'!A210, ":"))))</f>
        <v>0</v>
      </c>
    </row>
    <row r="211" spans="1:1">
      <c r="A211" s="39">
        <f>IF('6161 - Wallpaper'!B211 = "", "", IF('6161 - Wallpaper-WUO_ERR'!A211 = "", "Validated", HYPERLINK("#" &amp; ADDRESS(211, '6161 - Wallpaper-WUO_TRK'!A211),_xlfn.TEXTAFTER('6161 - Wallpaper-WUO_ERR'!A211, ":"))))</f>
        <v>0</v>
      </c>
    </row>
    <row r="212" spans="1:1">
      <c r="A212" s="39">
        <f>IF('6161 - Wallpaper'!B212 = "", "", IF('6161 - Wallpaper-WUO_ERR'!A212 = "", "Validated", HYPERLINK("#" &amp; ADDRESS(212, '6161 - Wallpaper-WUO_TRK'!A212),_xlfn.TEXTAFTER('6161 - Wallpaper-WUO_ERR'!A212, ":"))))</f>
        <v>0</v>
      </c>
    </row>
    <row r="213" spans="1:1">
      <c r="A213" s="39">
        <f>IF('6161 - Wallpaper'!B213 = "", "", IF('6161 - Wallpaper-WUO_ERR'!A213 = "", "Validated", HYPERLINK("#" &amp; ADDRESS(213, '6161 - Wallpaper-WUO_TRK'!A213),_xlfn.TEXTAFTER('6161 - Wallpaper-WUO_ERR'!A213, ":"))))</f>
        <v>0</v>
      </c>
    </row>
    <row r="214" spans="1:1">
      <c r="A214" s="39">
        <f>IF('6161 - Wallpaper'!B214 = "", "", IF('6161 - Wallpaper-WUO_ERR'!A214 = "", "Validated", HYPERLINK("#" &amp; ADDRESS(214, '6161 - Wallpaper-WUO_TRK'!A214),_xlfn.TEXTAFTER('6161 - Wallpaper-WUO_ERR'!A214, ":"))))</f>
        <v>0</v>
      </c>
    </row>
    <row r="215" spans="1:1">
      <c r="A215" s="39">
        <f>IF('6161 - Wallpaper'!B215 = "", "", IF('6161 - Wallpaper-WUO_ERR'!A215 = "", "Validated", HYPERLINK("#" &amp; ADDRESS(215, '6161 - Wallpaper-WUO_TRK'!A215),_xlfn.TEXTAFTER('6161 - Wallpaper-WUO_ERR'!A215, ":"))))</f>
        <v>0</v>
      </c>
    </row>
    <row r="216" spans="1:1">
      <c r="A216" s="39">
        <f>IF('6161 - Wallpaper'!B216 = "", "", IF('6161 - Wallpaper-WUO_ERR'!A216 = "", "Validated", HYPERLINK("#" &amp; ADDRESS(216, '6161 - Wallpaper-WUO_TRK'!A216),_xlfn.TEXTAFTER('6161 - Wallpaper-WUO_ERR'!A216, ":"))))</f>
        <v>0</v>
      </c>
    </row>
    <row r="217" spans="1:1">
      <c r="A217" s="39">
        <f>IF('6161 - Wallpaper'!B217 = "", "", IF('6161 - Wallpaper-WUO_ERR'!A217 = "", "Validated", HYPERLINK("#" &amp; ADDRESS(217, '6161 - Wallpaper-WUO_TRK'!A217),_xlfn.TEXTAFTER('6161 - Wallpaper-WUO_ERR'!A217, ":"))))</f>
        <v>0</v>
      </c>
    </row>
    <row r="218" spans="1:1">
      <c r="A218" s="39">
        <f>IF('6161 - Wallpaper'!B218 = "", "", IF('6161 - Wallpaper-WUO_ERR'!A218 = "", "Validated", HYPERLINK("#" &amp; ADDRESS(218, '6161 - Wallpaper-WUO_TRK'!A218),_xlfn.TEXTAFTER('6161 - Wallpaper-WUO_ERR'!A218, ":"))))</f>
        <v>0</v>
      </c>
    </row>
    <row r="219" spans="1:1">
      <c r="A219" s="39">
        <f>IF('6161 - Wallpaper'!B219 = "", "", IF('6161 - Wallpaper-WUO_ERR'!A219 = "", "Validated", HYPERLINK("#" &amp; ADDRESS(219, '6161 - Wallpaper-WUO_TRK'!A219),_xlfn.TEXTAFTER('6161 - Wallpaper-WUO_ERR'!A219, ":"))))</f>
        <v>0</v>
      </c>
    </row>
    <row r="220" spans="1:1">
      <c r="A220" s="39">
        <f>IF('6161 - Wallpaper'!B220 = "", "", IF('6161 - Wallpaper-WUO_ERR'!A220 = "", "Validated", HYPERLINK("#" &amp; ADDRESS(220, '6161 - Wallpaper-WUO_TRK'!A220),_xlfn.TEXTAFTER('6161 - Wallpaper-WUO_ERR'!A220, ":"))))</f>
        <v>0</v>
      </c>
    </row>
    <row r="221" spans="1:1">
      <c r="A221" s="39">
        <f>IF('6161 - Wallpaper'!B221 = "", "", IF('6161 - Wallpaper-WUO_ERR'!A221 = "", "Validated", HYPERLINK("#" &amp; ADDRESS(221, '6161 - Wallpaper-WUO_TRK'!A221),_xlfn.TEXTAFTER('6161 - Wallpaper-WUO_ERR'!A221, ":"))))</f>
        <v>0</v>
      </c>
    </row>
    <row r="222" spans="1:1">
      <c r="A222" s="39">
        <f>IF('6161 - Wallpaper'!B222 = "", "", IF('6161 - Wallpaper-WUO_ERR'!A222 = "", "Validated", HYPERLINK("#" &amp; ADDRESS(222, '6161 - Wallpaper-WUO_TRK'!A222),_xlfn.TEXTAFTER('6161 - Wallpaper-WUO_ERR'!A222, ":"))))</f>
        <v>0</v>
      </c>
    </row>
    <row r="223" spans="1:1">
      <c r="A223" s="39">
        <f>IF('6161 - Wallpaper'!B223 = "", "", IF('6161 - Wallpaper-WUO_ERR'!A223 = "", "Validated", HYPERLINK("#" &amp; ADDRESS(223, '6161 - Wallpaper-WUO_TRK'!A223),_xlfn.TEXTAFTER('6161 - Wallpaper-WUO_ERR'!A223, ":"))))</f>
        <v>0</v>
      </c>
    </row>
    <row r="224" spans="1:1">
      <c r="A224" s="39">
        <f>IF('6161 - Wallpaper'!B224 = "", "", IF('6161 - Wallpaper-WUO_ERR'!A224 = "", "Validated", HYPERLINK("#" &amp; ADDRESS(224, '6161 - Wallpaper-WUO_TRK'!A224),_xlfn.TEXTAFTER('6161 - Wallpaper-WUO_ERR'!A224, ":"))))</f>
        <v>0</v>
      </c>
    </row>
    <row r="225" spans="1:1">
      <c r="A225" s="39">
        <f>IF('6161 - Wallpaper'!B225 = "", "", IF('6161 - Wallpaper-WUO_ERR'!A225 = "", "Validated", HYPERLINK("#" &amp; ADDRESS(225, '6161 - Wallpaper-WUO_TRK'!A225),_xlfn.TEXTAFTER('6161 - Wallpaper-WUO_ERR'!A225, ":"))))</f>
        <v>0</v>
      </c>
    </row>
    <row r="226" spans="1:1">
      <c r="A226" s="39">
        <f>IF('6161 - Wallpaper'!B226 = "", "", IF('6161 - Wallpaper-WUO_ERR'!A226 = "", "Validated", HYPERLINK("#" &amp; ADDRESS(226, '6161 - Wallpaper-WUO_TRK'!A226),_xlfn.TEXTAFTER('6161 - Wallpaper-WUO_ERR'!A226, ":"))))</f>
        <v>0</v>
      </c>
    </row>
    <row r="227" spans="1:1">
      <c r="A227" s="39">
        <f>IF('6161 - Wallpaper'!B227 = "", "", IF('6161 - Wallpaper-WUO_ERR'!A227 = "", "Validated", HYPERLINK("#" &amp; ADDRESS(227, '6161 - Wallpaper-WUO_TRK'!A227),_xlfn.TEXTAFTER('6161 - Wallpaper-WUO_ERR'!A227, ":"))))</f>
        <v>0</v>
      </c>
    </row>
    <row r="228" spans="1:1">
      <c r="A228" s="39">
        <f>IF('6161 - Wallpaper'!B228 = "", "", IF('6161 - Wallpaper-WUO_ERR'!A228 = "", "Validated", HYPERLINK("#" &amp; ADDRESS(228, '6161 - Wallpaper-WUO_TRK'!A228),_xlfn.TEXTAFTER('6161 - Wallpaper-WUO_ERR'!A228, ":"))))</f>
        <v>0</v>
      </c>
    </row>
    <row r="229" spans="1:1">
      <c r="A229" s="39">
        <f>IF('6161 - Wallpaper'!B229 = "", "", IF('6161 - Wallpaper-WUO_ERR'!A229 = "", "Validated", HYPERLINK("#" &amp; ADDRESS(229, '6161 - Wallpaper-WUO_TRK'!A229),_xlfn.TEXTAFTER('6161 - Wallpaper-WUO_ERR'!A229, ":"))))</f>
        <v>0</v>
      </c>
    </row>
    <row r="230" spans="1:1">
      <c r="A230" s="39">
        <f>IF('6161 - Wallpaper'!B230 = "", "", IF('6161 - Wallpaper-WUO_ERR'!A230 = "", "Validated", HYPERLINK("#" &amp; ADDRESS(230, '6161 - Wallpaper-WUO_TRK'!A230),_xlfn.TEXTAFTER('6161 - Wallpaper-WUO_ERR'!A230, ":"))))</f>
        <v>0</v>
      </c>
    </row>
    <row r="231" spans="1:1">
      <c r="A231" s="39">
        <f>IF('6161 - Wallpaper'!B231 = "", "", IF('6161 - Wallpaper-WUO_ERR'!A231 = "", "Validated", HYPERLINK("#" &amp; ADDRESS(231, '6161 - Wallpaper-WUO_TRK'!A231),_xlfn.TEXTAFTER('6161 - Wallpaper-WUO_ERR'!A231, ":"))))</f>
        <v>0</v>
      </c>
    </row>
    <row r="232" spans="1:1">
      <c r="A232" s="39">
        <f>IF('6161 - Wallpaper'!B232 = "", "", IF('6161 - Wallpaper-WUO_ERR'!A232 = "", "Validated", HYPERLINK("#" &amp; ADDRESS(232, '6161 - Wallpaper-WUO_TRK'!A232),_xlfn.TEXTAFTER('6161 - Wallpaper-WUO_ERR'!A232, ":"))))</f>
        <v>0</v>
      </c>
    </row>
    <row r="233" spans="1:1">
      <c r="A233" s="39">
        <f>IF('6161 - Wallpaper'!B233 = "", "", IF('6161 - Wallpaper-WUO_ERR'!A233 = "", "Validated", HYPERLINK("#" &amp; ADDRESS(233, '6161 - Wallpaper-WUO_TRK'!A233),_xlfn.TEXTAFTER('6161 - Wallpaper-WUO_ERR'!A233, ":"))))</f>
        <v>0</v>
      </c>
    </row>
    <row r="234" spans="1:1">
      <c r="A234" s="39">
        <f>IF('6161 - Wallpaper'!B234 = "", "", IF('6161 - Wallpaper-WUO_ERR'!A234 = "", "Validated", HYPERLINK("#" &amp; ADDRESS(234, '6161 - Wallpaper-WUO_TRK'!A234),_xlfn.TEXTAFTER('6161 - Wallpaper-WUO_ERR'!A234, ":"))))</f>
        <v>0</v>
      </c>
    </row>
    <row r="235" spans="1:1">
      <c r="A235" s="39">
        <f>IF('6161 - Wallpaper'!B235 = "", "", IF('6161 - Wallpaper-WUO_ERR'!A235 = "", "Validated", HYPERLINK("#" &amp; ADDRESS(235, '6161 - Wallpaper-WUO_TRK'!A235),_xlfn.TEXTAFTER('6161 - Wallpaper-WUO_ERR'!A235, ":"))))</f>
        <v>0</v>
      </c>
    </row>
    <row r="236" spans="1:1">
      <c r="A236" s="39">
        <f>IF('6161 - Wallpaper'!B236 = "", "", IF('6161 - Wallpaper-WUO_ERR'!A236 = "", "Validated", HYPERLINK("#" &amp; ADDRESS(236, '6161 - Wallpaper-WUO_TRK'!A236),_xlfn.TEXTAFTER('6161 - Wallpaper-WUO_ERR'!A236, ":"))))</f>
        <v>0</v>
      </c>
    </row>
    <row r="237" spans="1:1">
      <c r="A237" s="39">
        <f>IF('6161 - Wallpaper'!B237 = "", "", IF('6161 - Wallpaper-WUO_ERR'!A237 = "", "Validated", HYPERLINK("#" &amp; ADDRESS(237, '6161 - Wallpaper-WUO_TRK'!A237),_xlfn.TEXTAFTER('6161 - Wallpaper-WUO_ERR'!A237, ":"))))</f>
        <v>0</v>
      </c>
    </row>
    <row r="238" spans="1:1">
      <c r="A238" s="39">
        <f>IF('6161 - Wallpaper'!B238 = "", "", IF('6161 - Wallpaper-WUO_ERR'!A238 = "", "Validated", HYPERLINK("#" &amp; ADDRESS(238, '6161 - Wallpaper-WUO_TRK'!A238),_xlfn.TEXTAFTER('6161 - Wallpaper-WUO_ERR'!A238, ":"))))</f>
        <v>0</v>
      </c>
    </row>
    <row r="239" spans="1:1">
      <c r="A239" s="39">
        <f>IF('6161 - Wallpaper'!B239 = "", "", IF('6161 - Wallpaper-WUO_ERR'!A239 = "", "Validated", HYPERLINK("#" &amp; ADDRESS(239, '6161 - Wallpaper-WUO_TRK'!A239),_xlfn.TEXTAFTER('6161 - Wallpaper-WUO_ERR'!A239, ":"))))</f>
        <v>0</v>
      </c>
    </row>
    <row r="240" spans="1:1">
      <c r="A240" s="39">
        <f>IF('6161 - Wallpaper'!B240 = "", "", IF('6161 - Wallpaper-WUO_ERR'!A240 = "", "Validated", HYPERLINK("#" &amp; ADDRESS(240, '6161 - Wallpaper-WUO_TRK'!A240),_xlfn.TEXTAFTER('6161 - Wallpaper-WUO_ERR'!A240, ":"))))</f>
        <v>0</v>
      </c>
    </row>
    <row r="241" spans="1:1">
      <c r="A241" s="39">
        <f>IF('6161 - Wallpaper'!B241 = "", "", IF('6161 - Wallpaper-WUO_ERR'!A241 = "", "Validated", HYPERLINK("#" &amp; ADDRESS(241, '6161 - Wallpaper-WUO_TRK'!A241),_xlfn.TEXTAFTER('6161 - Wallpaper-WUO_ERR'!A241, ":"))))</f>
        <v>0</v>
      </c>
    </row>
    <row r="242" spans="1:1">
      <c r="A242" s="39">
        <f>IF('6161 - Wallpaper'!B242 = "", "", IF('6161 - Wallpaper-WUO_ERR'!A242 = "", "Validated", HYPERLINK("#" &amp; ADDRESS(242, '6161 - Wallpaper-WUO_TRK'!A242),_xlfn.TEXTAFTER('6161 - Wallpaper-WUO_ERR'!A242, ":"))))</f>
        <v>0</v>
      </c>
    </row>
    <row r="243" spans="1:1">
      <c r="A243" s="39">
        <f>IF('6161 - Wallpaper'!B243 = "", "", IF('6161 - Wallpaper-WUO_ERR'!A243 = "", "Validated", HYPERLINK("#" &amp; ADDRESS(243, '6161 - Wallpaper-WUO_TRK'!A243),_xlfn.TEXTAFTER('6161 - Wallpaper-WUO_ERR'!A243, ":"))))</f>
        <v>0</v>
      </c>
    </row>
    <row r="244" spans="1:1">
      <c r="A244" s="39">
        <f>IF('6161 - Wallpaper'!B244 = "", "", IF('6161 - Wallpaper-WUO_ERR'!A244 = "", "Validated", HYPERLINK("#" &amp; ADDRESS(244, '6161 - Wallpaper-WUO_TRK'!A244),_xlfn.TEXTAFTER('6161 - Wallpaper-WUO_ERR'!A244, ":"))))</f>
        <v>0</v>
      </c>
    </row>
    <row r="245" spans="1:1">
      <c r="A245" s="39">
        <f>IF('6161 - Wallpaper'!B245 = "", "", IF('6161 - Wallpaper-WUO_ERR'!A245 = "", "Validated", HYPERLINK("#" &amp; ADDRESS(245, '6161 - Wallpaper-WUO_TRK'!A245),_xlfn.TEXTAFTER('6161 - Wallpaper-WUO_ERR'!A245, ":"))))</f>
        <v>0</v>
      </c>
    </row>
    <row r="246" spans="1:1">
      <c r="A246" s="39">
        <f>IF('6161 - Wallpaper'!B246 = "", "", IF('6161 - Wallpaper-WUO_ERR'!A246 = "", "Validated", HYPERLINK("#" &amp; ADDRESS(246, '6161 - Wallpaper-WUO_TRK'!A246),_xlfn.TEXTAFTER('6161 - Wallpaper-WUO_ERR'!A246, ":"))))</f>
        <v>0</v>
      </c>
    </row>
    <row r="247" spans="1:1">
      <c r="A247" s="39">
        <f>IF('6161 - Wallpaper'!B247 = "", "", IF('6161 - Wallpaper-WUO_ERR'!A247 = "", "Validated", HYPERLINK("#" &amp; ADDRESS(247, '6161 - Wallpaper-WUO_TRK'!A247),_xlfn.TEXTAFTER('6161 - Wallpaper-WUO_ERR'!A247, ":"))))</f>
        <v>0</v>
      </c>
    </row>
    <row r="248" spans="1:1">
      <c r="A248" s="39">
        <f>IF('6161 - Wallpaper'!B248 = "", "", IF('6161 - Wallpaper-WUO_ERR'!A248 = "", "Validated", HYPERLINK("#" &amp; ADDRESS(248, '6161 - Wallpaper-WUO_TRK'!A248),_xlfn.TEXTAFTER('6161 - Wallpaper-WUO_ERR'!A248, ":"))))</f>
        <v>0</v>
      </c>
    </row>
    <row r="249" spans="1:1">
      <c r="A249" s="39">
        <f>IF('6161 - Wallpaper'!B249 = "", "", IF('6161 - Wallpaper-WUO_ERR'!A249 = "", "Validated", HYPERLINK("#" &amp; ADDRESS(249, '6161 - Wallpaper-WUO_TRK'!A249),_xlfn.TEXTAFTER('6161 - Wallpaper-WUO_ERR'!A249, ":"))))</f>
        <v>0</v>
      </c>
    </row>
    <row r="250" spans="1:1">
      <c r="A250" s="39">
        <f>IF('6161 - Wallpaper'!B250 = "", "", IF('6161 - Wallpaper-WUO_ERR'!A250 = "", "Validated", HYPERLINK("#" &amp; ADDRESS(250, '6161 - Wallpaper-WUO_TRK'!A250),_xlfn.TEXTAFTER('6161 - Wallpaper-WUO_ERR'!A250, ":"))))</f>
        <v>0</v>
      </c>
    </row>
    <row r="251" spans="1:1">
      <c r="A251" s="39">
        <f>IF('6161 - Wallpaper'!B251 = "", "", IF('6161 - Wallpaper-WUO_ERR'!A251 = "", "Validated", HYPERLINK("#" &amp; ADDRESS(251, '6161 - Wallpaper-WUO_TRK'!A251),_xlfn.TEXTAFTER('6161 - Wallpaper-WUO_ERR'!A251, ":"))))</f>
        <v>0</v>
      </c>
    </row>
    <row r="252" spans="1:1">
      <c r="A252" s="39">
        <f>IF('6161 - Wallpaper'!B252 = "", "", IF('6161 - Wallpaper-WUO_ERR'!A252 = "", "Validated", HYPERLINK("#" &amp; ADDRESS(252, '6161 - Wallpaper-WUO_TRK'!A252),_xlfn.TEXTAFTER('6161 - Wallpaper-WUO_ERR'!A252, ":"))))</f>
        <v>0</v>
      </c>
    </row>
    <row r="253" spans="1:1">
      <c r="A253" s="39">
        <f>IF('6161 - Wallpaper'!B253 = "", "", IF('6161 - Wallpaper-WUO_ERR'!A253 = "", "Validated", HYPERLINK("#" &amp; ADDRESS(253, '6161 - Wallpaper-WUO_TRK'!A253),_xlfn.TEXTAFTER('6161 - Wallpaper-WUO_ERR'!A253, ":"))))</f>
        <v>0</v>
      </c>
    </row>
    <row r="254" spans="1:1">
      <c r="A254" s="39">
        <f>IF('6161 - Wallpaper'!B254 = "", "", IF('6161 - Wallpaper-WUO_ERR'!A254 = "", "Validated", HYPERLINK("#" &amp; ADDRESS(254, '6161 - Wallpaper-WUO_TRK'!A254),_xlfn.TEXTAFTER('6161 - Wallpaper-WUO_ERR'!A254, ":"))))</f>
        <v>0</v>
      </c>
    </row>
    <row r="255" spans="1:1">
      <c r="A255" s="39">
        <f>IF('6161 - Wallpaper'!B255 = "", "", IF('6161 - Wallpaper-WUO_ERR'!A255 = "", "Validated", HYPERLINK("#" &amp; ADDRESS(255, '6161 - Wallpaper-WUO_TRK'!A255),_xlfn.TEXTAFTER('6161 - Wallpaper-WUO_ERR'!A255, ":"))))</f>
        <v>0</v>
      </c>
    </row>
    <row r="256" spans="1:1">
      <c r="A256" s="39">
        <f>IF('6161 - Wallpaper'!B256 = "", "", IF('6161 - Wallpaper-WUO_ERR'!A256 = "", "Validated", HYPERLINK("#" &amp; ADDRESS(256, '6161 - Wallpaper-WUO_TRK'!A256),_xlfn.TEXTAFTER('6161 - Wallpaper-WUO_ERR'!A256, ":"))))</f>
        <v>0</v>
      </c>
    </row>
    <row r="257" spans="1:1">
      <c r="A257" s="39">
        <f>IF('6161 - Wallpaper'!B257 = "", "", IF('6161 - Wallpaper-WUO_ERR'!A257 = "", "Validated", HYPERLINK("#" &amp; ADDRESS(257, '6161 - Wallpaper-WUO_TRK'!A257),_xlfn.TEXTAFTER('6161 - Wallpaper-WUO_ERR'!A257, ":"))))</f>
        <v>0</v>
      </c>
    </row>
    <row r="258" spans="1:1">
      <c r="A258" s="39">
        <f>IF('6161 - Wallpaper'!B258 = "", "", IF('6161 - Wallpaper-WUO_ERR'!A258 = "", "Validated", HYPERLINK("#" &amp; ADDRESS(258, '6161 - Wallpaper-WUO_TRK'!A258),_xlfn.TEXTAFTER('6161 - Wallpaper-WUO_ERR'!A258, ":"))))</f>
        <v>0</v>
      </c>
    </row>
    <row r="259" spans="1:1">
      <c r="A259" s="39">
        <f>IF('6161 - Wallpaper'!B259 = "", "", IF('6161 - Wallpaper-WUO_ERR'!A259 = "", "Validated", HYPERLINK("#" &amp; ADDRESS(259, '6161 - Wallpaper-WUO_TRK'!A259),_xlfn.TEXTAFTER('6161 - Wallpaper-WUO_ERR'!A259, ":"))))</f>
        <v>0</v>
      </c>
    </row>
    <row r="260" spans="1:1">
      <c r="A260" s="39">
        <f>IF('6161 - Wallpaper'!B260 = "", "", IF('6161 - Wallpaper-WUO_ERR'!A260 = "", "Validated", HYPERLINK("#" &amp; ADDRESS(260, '6161 - Wallpaper-WUO_TRK'!A260),_xlfn.TEXTAFTER('6161 - Wallpaper-WUO_ERR'!A260, ":"))))</f>
        <v>0</v>
      </c>
    </row>
    <row r="261" spans="1:1">
      <c r="A261" s="39">
        <f>IF('6161 - Wallpaper'!B261 = "", "", IF('6161 - Wallpaper-WUO_ERR'!A261 = "", "Validated", HYPERLINK("#" &amp; ADDRESS(261, '6161 - Wallpaper-WUO_TRK'!A261),_xlfn.TEXTAFTER('6161 - Wallpaper-WUO_ERR'!A261, ":"))))</f>
        <v>0</v>
      </c>
    </row>
    <row r="262" spans="1:1">
      <c r="A262" s="39">
        <f>IF('6161 - Wallpaper'!B262 = "", "", IF('6161 - Wallpaper-WUO_ERR'!A262 = "", "Validated", HYPERLINK("#" &amp; ADDRESS(262, '6161 - Wallpaper-WUO_TRK'!A262),_xlfn.TEXTAFTER('6161 - Wallpaper-WUO_ERR'!A262, ":"))))</f>
        <v>0</v>
      </c>
    </row>
    <row r="263" spans="1:1">
      <c r="A263" s="39">
        <f>IF('6161 - Wallpaper'!B263 = "", "", IF('6161 - Wallpaper-WUO_ERR'!A263 = "", "Validated", HYPERLINK("#" &amp; ADDRESS(263, '6161 - Wallpaper-WUO_TRK'!A263),_xlfn.TEXTAFTER('6161 - Wallpaper-WUO_ERR'!A263, ":"))))</f>
        <v>0</v>
      </c>
    </row>
    <row r="264" spans="1:1">
      <c r="A264" s="39">
        <f>IF('6161 - Wallpaper'!B264 = "", "", IF('6161 - Wallpaper-WUO_ERR'!A264 = "", "Validated", HYPERLINK("#" &amp; ADDRESS(264, '6161 - Wallpaper-WUO_TRK'!A264),_xlfn.TEXTAFTER('6161 - Wallpaper-WUO_ERR'!A264, ":"))))</f>
        <v>0</v>
      </c>
    </row>
    <row r="265" spans="1:1">
      <c r="A265" s="39">
        <f>IF('6161 - Wallpaper'!B265 = "", "", IF('6161 - Wallpaper-WUO_ERR'!A265 = "", "Validated", HYPERLINK("#" &amp; ADDRESS(265, '6161 - Wallpaper-WUO_TRK'!A265),_xlfn.TEXTAFTER('6161 - Wallpaper-WUO_ERR'!A265, ":"))))</f>
        <v>0</v>
      </c>
    </row>
    <row r="266" spans="1:1">
      <c r="A266" s="39">
        <f>IF('6161 - Wallpaper'!B266 = "", "", IF('6161 - Wallpaper-WUO_ERR'!A266 = "", "Validated", HYPERLINK("#" &amp; ADDRESS(266, '6161 - Wallpaper-WUO_TRK'!A266),_xlfn.TEXTAFTER('6161 - Wallpaper-WUO_ERR'!A266, ":"))))</f>
        <v>0</v>
      </c>
    </row>
    <row r="267" spans="1:1">
      <c r="A267" s="39">
        <f>IF('6161 - Wallpaper'!B267 = "", "", IF('6161 - Wallpaper-WUO_ERR'!A267 = "", "Validated", HYPERLINK("#" &amp; ADDRESS(267, '6161 - Wallpaper-WUO_TRK'!A267),_xlfn.TEXTAFTER('6161 - Wallpaper-WUO_ERR'!A267, ":"))))</f>
        <v>0</v>
      </c>
    </row>
    <row r="268" spans="1:1">
      <c r="A268" s="39">
        <f>IF('6161 - Wallpaper'!B268 = "", "", IF('6161 - Wallpaper-WUO_ERR'!A268 = "", "Validated", HYPERLINK("#" &amp; ADDRESS(268, '6161 - Wallpaper-WUO_TRK'!A268),_xlfn.TEXTAFTER('6161 - Wallpaper-WUO_ERR'!A268, ":"))))</f>
        <v>0</v>
      </c>
    </row>
    <row r="269" spans="1:1">
      <c r="A269" s="39">
        <f>IF('6161 - Wallpaper'!B269 = "", "", IF('6161 - Wallpaper-WUO_ERR'!A269 = "", "Validated", HYPERLINK("#" &amp; ADDRESS(269, '6161 - Wallpaper-WUO_TRK'!A269),_xlfn.TEXTAFTER('6161 - Wallpaper-WUO_ERR'!A269, ":"))))</f>
        <v>0</v>
      </c>
    </row>
    <row r="270" spans="1:1">
      <c r="A270" s="39">
        <f>IF('6161 - Wallpaper'!B270 = "", "", IF('6161 - Wallpaper-WUO_ERR'!A270 = "", "Validated", HYPERLINK("#" &amp; ADDRESS(270, '6161 - Wallpaper-WUO_TRK'!A270),_xlfn.TEXTAFTER('6161 - Wallpaper-WUO_ERR'!A270, ":"))))</f>
        <v>0</v>
      </c>
    </row>
    <row r="271" spans="1:1">
      <c r="A271" s="39">
        <f>IF('6161 - Wallpaper'!B271 = "", "", IF('6161 - Wallpaper-WUO_ERR'!A271 = "", "Validated", HYPERLINK("#" &amp; ADDRESS(271, '6161 - Wallpaper-WUO_TRK'!A271),_xlfn.TEXTAFTER('6161 - Wallpaper-WUO_ERR'!A271, ":"))))</f>
        <v>0</v>
      </c>
    </row>
    <row r="272" spans="1:1">
      <c r="A272" s="39">
        <f>IF('6161 - Wallpaper'!B272 = "", "", IF('6161 - Wallpaper-WUO_ERR'!A272 = "", "Validated", HYPERLINK("#" &amp; ADDRESS(272, '6161 - Wallpaper-WUO_TRK'!A272),_xlfn.TEXTAFTER('6161 - Wallpaper-WUO_ERR'!A272, ":"))))</f>
        <v>0</v>
      </c>
    </row>
    <row r="273" spans="1:1">
      <c r="A273" s="39">
        <f>IF('6161 - Wallpaper'!B273 = "", "", IF('6161 - Wallpaper-WUO_ERR'!A273 = "", "Validated", HYPERLINK("#" &amp; ADDRESS(273, '6161 - Wallpaper-WUO_TRK'!A273),_xlfn.TEXTAFTER('6161 - Wallpaper-WUO_ERR'!A273, ":"))))</f>
        <v>0</v>
      </c>
    </row>
    <row r="274" spans="1:1">
      <c r="A274" s="39">
        <f>IF('6161 - Wallpaper'!B274 = "", "", IF('6161 - Wallpaper-WUO_ERR'!A274 = "", "Validated", HYPERLINK("#" &amp; ADDRESS(274, '6161 - Wallpaper-WUO_TRK'!A274),_xlfn.TEXTAFTER('6161 - Wallpaper-WUO_ERR'!A274, ":"))))</f>
        <v>0</v>
      </c>
    </row>
    <row r="275" spans="1:1">
      <c r="A275" s="39">
        <f>IF('6161 - Wallpaper'!B275 = "", "", IF('6161 - Wallpaper-WUO_ERR'!A275 = "", "Validated", HYPERLINK("#" &amp; ADDRESS(275, '6161 - Wallpaper-WUO_TRK'!A275),_xlfn.TEXTAFTER('6161 - Wallpaper-WUO_ERR'!A275, ":"))))</f>
        <v>0</v>
      </c>
    </row>
    <row r="276" spans="1:1">
      <c r="A276" s="39">
        <f>IF('6161 - Wallpaper'!B276 = "", "", IF('6161 - Wallpaper-WUO_ERR'!A276 = "", "Validated", HYPERLINK("#" &amp; ADDRESS(276, '6161 - Wallpaper-WUO_TRK'!A276),_xlfn.TEXTAFTER('6161 - Wallpaper-WUO_ERR'!A276, ":"))))</f>
        <v>0</v>
      </c>
    </row>
    <row r="277" spans="1:1">
      <c r="A277" s="39">
        <f>IF('6161 - Wallpaper'!B277 = "", "", IF('6161 - Wallpaper-WUO_ERR'!A277 = "", "Validated", HYPERLINK("#" &amp; ADDRESS(277, '6161 - Wallpaper-WUO_TRK'!A277),_xlfn.TEXTAFTER('6161 - Wallpaper-WUO_ERR'!A277, ":"))))</f>
        <v>0</v>
      </c>
    </row>
    <row r="278" spans="1:1">
      <c r="A278" s="39">
        <f>IF('6161 - Wallpaper'!B278 = "", "", IF('6161 - Wallpaper-WUO_ERR'!A278 = "", "Validated", HYPERLINK("#" &amp; ADDRESS(278, '6161 - Wallpaper-WUO_TRK'!A278),_xlfn.TEXTAFTER('6161 - Wallpaper-WUO_ERR'!A278, ":"))))</f>
        <v>0</v>
      </c>
    </row>
    <row r="279" spans="1:1">
      <c r="A279" s="39">
        <f>IF('6161 - Wallpaper'!B279 = "", "", IF('6161 - Wallpaper-WUO_ERR'!A279 = "", "Validated", HYPERLINK("#" &amp; ADDRESS(279, '6161 - Wallpaper-WUO_TRK'!A279),_xlfn.TEXTAFTER('6161 - Wallpaper-WUO_ERR'!A279, ":"))))</f>
        <v>0</v>
      </c>
    </row>
    <row r="280" spans="1:1">
      <c r="A280" s="39">
        <f>IF('6161 - Wallpaper'!B280 = "", "", IF('6161 - Wallpaper-WUO_ERR'!A280 = "", "Validated", HYPERLINK("#" &amp; ADDRESS(280, '6161 - Wallpaper-WUO_TRK'!A280),_xlfn.TEXTAFTER('6161 - Wallpaper-WUO_ERR'!A280, ":"))))</f>
        <v>0</v>
      </c>
    </row>
    <row r="281" spans="1:1">
      <c r="A281" s="39">
        <f>IF('6161 - Wallpaper'!B281 = "", "", IF('6161 - Wallpaper-WUO_ERR'!A281 = "", "Validated", HYPERLINK("#" &amp; ADDRESS(281, '6161 - Wallpaper-WUO_TRK'!A281),_xlfn.TEXTAFTER('6161 - Wallpaper-WUO_ERR'!A281, ":"))))</f>
        <v>0</v>
      </c>
    </row>
    <row r="282" spans="1:1">
      <c r="A282" s="39">
        <f>IF('6161 - Wallpaper'!B282 = "", "", IF('6161 - Wallpaper-WUO_ERR'!A282 = "", "Validated", HYPERLINK("#" &amp; ADDRESS(282, '6161 - Wallpaper-WUO_TRK'!A282),_xlfn.TEXTAFTER('6161 - Wallpaper-WUO_ERR'!A282, ":"))))</f>
        <v>0</v>
      </c>
    </row>
    <row r="283" spans="1:1">
      <c r="A283" s="39">
        <f>IF('6161 - Wallpaper'!B283 = "", "", IF('6161 - Wallpaper-WUO_ERR'!A283 = "", "Validated", HYPERLINK("#" &amp; ADDRESS(283, '6161 - Wallpaper-WUO_TRK'!A283),_xlfn.TEXTAFTER('6161 - Wallpaper-WUO_ERR'!A283, ":"))))</f>
        <v>0</v>
      </c>
    </row>
    <row r="284" spans="1:1">
      <c r="A284" s="39">
        <f>IF('6161 - Wallpaper'!B284 = "", "", IF('6161 - Wallpaper-WUO_ERR'!A284 = "", "Validated", HYPERLINK("#" &amp; ADDRESS(284, '6161 - Wallpaper-WUO_TRK'!A284),_xlfn.TEXTAFTER('6161 - Wallpaper-WUO_ERR'!A284, ":"))))</f>
        <v>0</v>
      </c>
    </row>
    <row r="285" spans="1:1">
      <c r="A285" s="39">
        <f>IF('6161 - Wallpaper'!B285 = "", "", IF('6161 - Wallpaper-WUO_ERR'!A285 = "", "Validated", HYPERLINK("#" &amp; ADDRESS(285, '6161 - Wallpaper-WUO_TRK'!A285),_xlfn.TEXTAFTER('6161 - Wallpaper-WUO_ERR'!A285, ":"))))</f>
        <v>0</v>
      </c>
    </row>
    <row r="286" spans="1:1">
      <c r="A286" s="39">
        <f>IF('6161 - Wallpaper'!B286 = "", "", IF('6161 - Wallpaper-WUO_ERR'!A286 = "", "Validated", HYPERLINK("#" &amp; ADDRESS(286, '6161 - Wallpaper-WUO_TRK'!A286),_xlfn.TEXTAFTER('6161 - Wallpaper-WUO_ERR'!A286, ":"))))</f>
        <v>0</v>
      </c>
    </row>
    <row r="287" spans="1:1">
      <c r="A287" s="39">
        <f>IF('6161 - Wallpaper'!B287 = "", "", IF('6161 - Wallpaper-WUO_ERR'!A287 = "", "Validated", HYPERLINK("#" &amp; ADDRESS(287, '6161 - Wallpaper-WUO_TRK'!A287),_xlfn.TEXTAFTER('6161 - Wallpaper-WUO_ERR'!A287, ":"))))</f>
        <v>0</v>
      </c>
    </row>
    <row r="288" spans="1:1">
      <c r="A288" s="39">
        <f>IF('6161 - Wallpaper'!B288 = "", "", IF('6161 - Wallpaper-WUO_ERR'!A288 = "", "Validated", HYPERLINK("#" &amp; ADDRESS(288, '6161 - Wallpaper-WUO_TRK'!A288),_xlfn.TEXTAFTER('6161 - Wallpaper-WUO_ERR'!A288, ":"))))</f>
        <v>0</v>
      </c>
    </row>
    <row r="289" spans="1:1">
      <c r="A289" s="39">
        <f>IF('6161 - Wallpaper'!B289 = "", "", IF('6161 - Wallpaper-WUO_ERR'!A289 = "", "Validated", HYPERLINK("#" &amp; ADDRESS(289, '6161 - Wallpaper-WUO_TRK'!A289),_xlfn.TEXTAFTER('6161 - Wallpaper-WUO_ERR'!A289, ":"))))</f>
        <v>0</v>
      </c>
    </row>
    <row r="290" spans="1:1">
      <c r="A290" s="39">
        <f>IF('6161 - Wallpaper'!B290 = "", "", IF('6161 - Wallpaper-WUO_ERR'!A290 = "", "Validated", HYPERLINK("#" &amp; ADDRESS(290, '6161 - Wallpaper-WUO_TRK'!A290),_xlfn.TEXTAFTER('6161 - Wallpaper-WUO_ERR'!A290, ":"))))</f>
        <v>0</v>
      </c>
    </row>
    <row r="291" spans="1:1">
      <c r="A291" s="39">
        <f>IF('6161 - Wallpaper'!B291 = "", "", IF('6161 - Wallpaper-WUO_ERR'!A291 = "", "Validated", HYPERLINK("#" &amp; ADDRESS(291, '6161 - Wallpaper-WUO_TRK'!A291),_xlfn.TEXTAFTER('6161 - Wallpaper-WUO_ERR'!A291, ":"))))</f>
        <v>0</v>
      </c>
    </row>
    <row r="292" spans="1:1">
      <c r="A292" s="39">
        <f>IF('6161 - Wallpaper'!B292 = "", "", IF('6161 - Wallpaper-WUO_ERR'!A292 = "", "Validated", HYPERLINK("#" &amp; ADDRESS(292, '6161 - Wallpaper-WUO_TRK'!A292),_xlfn.TEXTAFTER('6161 - Wallpaper-WUO_ERR'!A292, ":"))))</f>
        <v>0</v>
      </c>
    </row>
    <row r="293" spans="1:1">
      <c r="A293" s="39">
        <f>IF('6161 - Wallpaper'!B293 = "", "", IF('6161 - Wallpaper-WUO_ERR'!A293 = "", "Validated", HYPERLINK("#" &amp; ADDRESS(293, '6161 - Wallpaper-WUO_TRK'!A293),_xlfn.TEXTAFTER('6161 - Wallpaper-WUO_ERR'!A293, ":"))))</f>
        <v>0</v>
      </c>
    </row>
    <row r="294" spans="1:1">
      <c r="A294" s="39">
        <f>IF('6161 - Wallpaper'!B294 = "", "", IF('6161 - Wallpaper-WUO_ERR'!A294 = "", "Validated", HYPERLINK("#" &amp; ADDRESS(294, '6161 - Wallpaper-WUO_TRK'!A294),_xlfn.TEXTAFTER('6161 - Wallpaper-WUO_ERR'!A294, ":"))))</f>
        <v>0</v>
      </c>
    </row>
    <row r="295" spans="1:1">
      <c r="A295" s="39">
        <f>IF('6161 - Wallpaper'!B295 = "", "", IF('6161 - Wallpaper-WUO_ERR'!A295 = "", "Validated", HYPERLINK("#" &amp; ADDRESS(295, '6161 - Wallpaper-WUO_TRK'!A295),_xlfn.TEXTAFTER('6161 - Wallpaper-WUO_ERR'!A295, ":"))))</f>
        <v>0</v>
      </c>
    </row>
    <row r="296" spans="1:1">
      <c r="A296" s="39">
        <f>IF('6161 - Wallpaper'!B296 = "", "", IF('6161 - Wallpaper-WUO_ERR'!A296 = "", "Validated", HYPERLINK("#" &amp; ADDRESS(296, '6161 - Wallpaper-WUO_TRK'!A296),_xlfn.TEXTAFTER('6161 - Wallpaper-WUO_ERR'!A296, ":"))))</f>
        <v>0</v>
      </c>
    </row>
    <row r="297" spans="1:1">
      <c r="A297" s="39">
        <f>IF('6161 - Wallpaper'!B297 = "", "", IF('6161 - Wallpaper-WUO_ERR'!A297 = "", "Validated", HYPERLINK("#" &amp; ADDRESS(297, '6161 - Wallpaper-WUO_TRK'!A297),_xlfn.TEXTAFTER('6161 - Wallpaper-WUO_ERR'!A297, ":"))))</f>
        <v>0</v>
      </c>
    </row>
    <row r="298" spans="1:1">
      <c r="A298" s="39">
        <f>IF('6161 - Wallpaper'!B298 = "", "", IF('6161 - Wallpaper-WUO_ERR'!A298 = "", "Validated", HYPERLINK("#" &amp; ADDRESS(298, '6161 - Wallpaper-WUO_TRK'!A298),_xlfn.TEXTAFTER('6161 - Wallpaper-WUO_ERR'!A298, ":"))))</f>
        <v>0</v>
      </c>
    </row>
    <row r="299" spans="1:1">
      <c r="A299" s="39">
        <f>IF('6161 - Wallpaper'!B299 = "", "", IF('6161 - Wallpaper-WUO_ERR'!A299 = "", "Validated", HYPERLINK("#" &amp; ADDRESS(299, '6161 - Wallpaper-WUO_TRK'!A299),_xlfn.TEXTAFTER('6161 - Wallpaper-WUO_ERR'!A299, ":"))))</f>
        <v>0</v>
      </c>
    </row>
    <row r="300" spans="1:1">
      <c r="A300" s="39">
        <f>IF('6161 - Wallpaper'!B300 = "", "", IF('6161 - Wallpaper-WUO_ERR'!A300 = "", "Validated", HYPERLINK("#" &amp; ADDRESS(300, '6161 - Wallpaper-WUO_TRK'!A300),_xlfn.TEXTAFTER('6161 - Wallpaper-WUO_ERR'!A300, ":"))))</f>
        <v>0</v>
      </c>
    </row>
    <row r="301" spans="1:1">
      <c r="A301" s="39">
        <f>IF('6161 - Wallpaper'!B301 = "", "", IF('6161 - Wallpaper-WUO_ERR'!A301 = "", "Validated", HYPERLINK("#" &amp; ADDRESS(301, '6161 - Wallpaper-WUO_TRK'!A301),_xlfn.TEXTAFTER('6161 - Wallpaper-WUO_ERR'!A301, ":"))))</f>
        <v>0</v>
      </c>
    </row>
    <row r="302" spans="1:1">
      <c r="A302" s="39">
        <f>IF('6161 - Wallpaper'!B302 = "", "", IF('6161 - Wallpaper-WUO_ERR'!A302 = "", "Validated", HYPERLINK("#" &amp; ADDRESS(302, '6161 - Wallpaper-WUO_TRK'!A302),_xlfn.TEXTAFTER('6161 - Wallpaper-WUO_ERR'!A302, ":"))))</f>
        <v>0</v>
      </c>
    </row>
    <row r="303" spans="1:1">
      <c r="A303" s="39">
        <f>IF('6161 - Wallpaper'!B303 = "", "", IF('6161 - Wallpaper-WUO_ERR'!A303 = "", "Validated", HYPERLINK("#" &amp; ADDRESS(303, '6161 - Wallpaper-WUO_TRK'!A303),_xlfn.TEXTAFTER('6161 - Wallpaper-WUO_ERR'!A303, ":"))))</f>
        <v>0</v>
      </c>
    </row>
    <row r="304" spans="1:1">
      <c r="A304" s="39">
        <f>IF('6161 - Wallpaper'!B304 = "", "", IF('6161 - Wallpaper-WUO_ERR'!A304 = "", "Validated", HYPERLINK("#" &amp; ADDRESS(304, '6161 - Wallpaper-WUO_TRK'!A304),_xlfn.TEXTAFTER('6161 - Wallpaper-WUO_ERR'!A304, ":"))))</f>
        <v>0</v>
      </c>
    </row>
    <row r="305" spans="1:1">
      <c r="A305" s="39">
        <f>IF('6161 - Wallpaper'!B305 = "", "", IF('6161 - Wallpaper-WUO_ERR'!A305 = "", "Validated", HYPERLINK("#" &amp; ADDRESS(305, '6161 - Wallpaper-WUO_TRK'!A305),_xlfn.TEXTAFTER('6161 - Wallpaper-WUO_ERR'!A305, ":"))))</f>
        <v>0</v>
      </c>
    </row>
    <row r="306" spans="1:1">
      <c r="A306" s="39">
        <f>IF('6161 - Wallpaper'!B306 = "", "", IF('6161 - Wallpaper-WUO_ERR'!A306 = "", "Validated", HYPERLINK("#" &amp; ADDRESS(306, '6161 - Wallpaper-WUO_TRK'!A306),_xlfn.TEXTAFTER('6161 - Wallpaper-WUO_ERR'!A306, ":"))))</f>
        <v>0</v>
      </c>
    </row>
    <row r="307" spans="1:1">
      <c r="A307" s="39">
        <f>IF('6161 - Wallpaper'!B307 = "", "", IF('6161 - Wallpaper-WUO_ERR'!A307 = "", "Validated", HYPERLINK("#" &amp; ADDRESS(307, '6161 - Wallpaper-WUO_TRK'!A307),_xlfn.TEXTAFTER('6161 - Wallpaper-WUO_ERR'!A307, ":"))))</f>
        <v>0</v>
      </c>
    </row>
    <row r="308" spans="1:1">
      <c r="A308" s="39">
        <f>IF('6161 - Wallpaper'!B308 = "", "", IF('6161 - Wallpaper-WUO_ERR'!A308 = "", "Validated", HYPERLINK("#" &amp; ADDRESS(308, '6161 - Wallpaper-WUO_TRK'!A308),_xlfn.TEXTAFTER('6161 - Wallpaper-WUO_ERR'!A308, ":"))))</f>
        <v>0</v>
      </c>
    </row>
    <row r="309" spans="1:1">
      <c r="A309" s="39">
        <f>IF('6161 - Wallpaper'!B309 = "", "", IF('6161 - Wallpaper-WUO_ERR'!A309 = "", "Validated", HYPERLINK("#" &amp; ADDRESS(309, '6161 - Wallpaper-WUO_TRK'!A309),_xlfn.TEXTAFTER('6161 - Wallpaper-WUO_ERR'!A309, ":"))))</f>
        <v>0</v>
      </c>
    </row>
    <row r="310" spans="1:1">
      <c r="A310" s="39">
        <f>IF('6161 - Wallpaper'!B310 = "", "", IF('6161 - Wallpaper-WUO_ERR'!A310 = "", "Validated", HYPERLINK("#" &amp; ADDRESS(310, '6161 - Wallpaper-WUO_TRK'!A310),_xlfn.TEXTAFTER('6161 - Wallpaper-WUO_ERR'!A310, ":"))))</f>
        <v>0</v>
      </c>
    </row>
    <row r="311" spans="1:1">
      <c r="A311" s="39">
        <f>IF('6161 - Wallpaper'!B311 = "", "", IF('6161 - Wallpaper-WUO_ERR'!A311 = "", "Validated", HYPERLINK("#" &amp; ADDRESS(311, '6161 - Wallpaper-WUO_TRK'!A311),_xlfn.TEXTAFTER('6161 - Wallpaper-WUO_ERR'!A311, ":"))))</f>
        <v>0</v>
      </c>
    </row>
    <row r="312" spans="1:1">
      <c r="A312" s="39">
        <f>IF('6161 - Wallpaper'!B312 = "", "", IF('6161 - Wallpaper-WUO_ERR'!A312 = "", "Validated", HYPERLINK("#" &amp; ADDRESS(312, '6161 - Wallpaper-WUO_TRK'!A312),_xlfn.TEXTAFTER('6161 - Wallpaper-WUO_ERR'!A312, ":"))))</f>
        <v>0</v>
      </c>
    </row>
    <row r="313" spans="1:1">
      <c r="A313" s="39">
        <f>IF('6161 - Wallpaper'!B313 = "", "", IF('6161 - Wallpaper-WUO_ERR'!A313 = "", "Validated", HYPERLINK("#" &amp; ADDRESS(313, '6161 - Wallpaper-WUO_TRK'!A313),_xlfn.TEXTAFTER('6161 - Wallpaper-WUO_ERR'!A313, ":"))))</f>
        <v>0</v>
      </c>
    </row>
    <row r="314" spans="1:1">
      <c r="A314" s="39">
        <f>IF('6161 - Wallpaper'!B314 = "", "", IF('6161 - Wallpaper-WUO_ERR'!A314 = "", "Validated", HYPERLINK("#" &amp; ADDRESS(314, '6161 - Wallpaper-WUO_TRK'!A314),_xlfn.TEXTAFTER('6161 - Wallpaper-WUO_ERR'!A314, ":"))))</f>
        <v>0</v>
      </c>
    </row>
    <row r="315" spans="1:1">
      <c r="A315" s="39">
        <f>IF('6161 - Wallpaper'!B315 = "", "", IF('6161 - Wallpaper-WUO_ERR'!A315 = "", "Validated", HYPERLINK("#" &amp; ADDRESS(315, '6161 - Wallpaper-WUO_TRK'!A315),_xlfn.TEXTAFTER('6161 - Wallpaper-WUO_ERR'!A315, ":"))))</f>
        <v>0</v>
      </c>
    </row>
    <row r="316" spans="1:1">
      <c r="A316" s="39">
        <f>IF('6161 - Wallpaper'!B316 = "", "", IF('6161 - Wallpaper-WUO_ERR'!A316 = "", "Validated", HYPERLINK("#" &amp; ADDRESS(316, '6161 - Wallpaper-WUO_TRK'!A316),_xlfn.TEXTAFTER('6161 - Wallpaper-WUO_ERR'!A316, ":"))))</f>
        <v>0</v>
      </c>
    </row>
    <row r="317" spans="1:1">
      <c r="A317" s="39">
        <f>IF('6161 - Wallpaper'!B317 = "", "", IF('6161 - Wallpaper-WUO_ERR'!A317 = "", "Validated", HYPERLINK("#" &amp; ADDRESS(317, '6161 - Wallpaper-WUO_TRK'!A317),_xlfn.TEXTAFTER('6161 - Wallpaper-WUO_ERR'!A317, ":"))))</f>
        <v>0</v>
      </c>
    </row>
    <row r="318" spans="1:1">
      <c r="A318" s="39">
        <f>IF('6161 - Wallpaper'!B318 = "", "", IF('6161 - Wallpaper-WUO_ERR'!A318 = "", "Validated", HYPERLINK("#" &amp; ADDRESS(318, '6161 - Wallpaper-WUO_TRK'!A318),_xlfn.TEXTAFTER('6161 - Wallpaper-WUO_ERR'!A318, ":"))))</f>
        <v>0</v>
      </c>
    </row>
    <row r="319" spans="1:1">
      <c r="A319" s="39">
        <f>IF('6161 - Wallpaper'!B319 = "", "", IF('6161 - Wallpaper-WUO_ERR'!A319 = "", "Validated", HYPERLINK("#" &amp; ADDRESS(319, '6161 - Wallpaper-WUO_TRK'!A319),_xlfn.TEXTAFTER('6161 - Wallpaper-WUO_ERR'!A319, ":"))))</f>
        <v>0</v>
      </c>
    </row>
    <row r="320" spans="1:1">
      <c r="A320" s="39">
        <f>IF('6161 - Wallpaper'!B320 = "", "", IF('6161 - Wallpaper-WUO_ERR'!A320 = "", "Validated", HYPERLINK("#" &amp; ADDRESS(320, '6161 - Wallpaper-WUO_TRK'!A320),_xlfn.TEXTAFTER('6161 - Wallpaper-WUO_ERR'!A320, ":"))))</f>
        <v>0</v>
      </c>
    </row>
    <row r="321" spans="1:1">
      <c r="A321" s="39">
        <f>IF('6161 - Wallpaper'!B321 = "", "", IF('6161 - Wallpaper-WUO_ERR'!A321 = "", "Validated", HYPERLINK("#" &amp; ADDRESS(321, '6161 - Wallpaper-WUO_TRK'!A321),_xlfn.TEXTAFTER('6161 - Wallpaper-WUO_ERR'!A321, ":"))))</f>
        <v>0</v>
      </c>
    </row>
    <row r="322" spans="1:1">
      <c r="A322" s="39">
        <f>IF('6161 - Wallpaper'!B322 = "", "", IF('6161 - Wallpaper-WUO_ERR'!A322 = "", "Validated", HYPERLINK("#" &amp; ADDRESS(322, '6161 - Wallpaper-WUO_TRK'!A322),_xlfn.TEXTAFTER('6161 - Wallpaper-WUO_ERR'!A322, ":"))))</f>
        <v>0</v>
      </c>
    </row>
    <row r="323" spans="1:1">
      <c r="A323" s="39">
        <f>IF('6161 - Wallpaper'!B323 = "", "", IF('6161 - Wallpaper-WUO_ERR'!A323 = "", "Validated", HYPERLINK("#" &amp; ADDRESS(323, '6161 - Wallpaper-WUO_TRK'!A323),_xlfn.TEXTAFTER('6161 - Wallpaper-WUO_ERR'!A323, ":"))))</f>
        <v>0</v>
      </c>
    </row>
    <row r="324" spans="1:1">
      <c r="A324" s="39">
        <f>IF('6161 - Wallpaper'!B324 = "", "", IF('6161 - Wallpaper-WUO_ERR'!A324 = "", "Validated", HYPERLINK("#" &amp; ADDRESS(324, '6161 - Wallpaper-WUO_TRK'!A324),_xlfn.TEXTAFTER('6161 - Wallpaper-WUO_ERR'!A324, ":"))))</f>
        <v>0</v>
      </c>
    </row>
    <row r="325" spans="1:1">
      <c r="A325" s="39">
        <f>IF('6161 - Wallpaper'!B325 = "", "", IF('6161 - Wallpaper-WUO_ERR'!A325 = "", "Validated", HYPERLINK("#" &amp; ADDRESS(325, '6161 - Wallpaper-WUO_TRK'!A325),_xlfn.TEXTAFTER('6161 - Wallpaper-WUO_ERR'!A325, ":"))))</f>
        <v>0</v>
      </c>
    </row>
    <row r="326" spans="1:1">
      <c r="A326" s="39">
        <f>IF('6161 - Wallpaper'!B326 = "", "", IF('6161 - Wallpaper-WUO_ERR'!A326 = "", "Validated", HYPERLINK("#" &amp; ADDRESS(326, '6161 - Wallpaper-WUO_TRK'!A326),_xlfn.TEXTAFTER('6161 - Wallpaper-WUO_ERR'!A326, ":"))))</f>
        <v>0</v>
      </c>
    </row>
    <row r="327" spans="1:1">
      <c r="A327" s="39">
        <f>IF('6161 - Wallpaper'!B327 = "", "", IF('6161 - Wallpaper-WUO_ERR'!A327 = "", "Validated", HYPERLINK("#" &amp; ADDRESS(327, '6161 - Wallpaper-WUO_TRK'!A327),_xlfn.TEXTAFTER('6161 - Wallpaper-WUO_ERR'!A327, ":"))))</f>
        <v>0</v>
      </c>
    </row>
    <row r="328" spans="1:1">
      <c r="A328" s="39">
        <f>IF('6161 - Wallpaper'!B328 = "", "", IF('6161 - Wallpaper-WUO_ERR'!A328 = "", "Validated", HYPERLINK("#" &amp; ADDRESS(328, '6161 - Wallpaper-WUO_TRK'!A328),_xlfn.TEXTAFTER('6161 - Wallpaper-WUO_ERR'!A328, ":"))))</f>
        <v>0</v>
      </c>
    </row>
    <row r="329" spans="1:1">
      <c r="A329" s="39">
        <f>IF('6161 - Wallpaper'!B329 = "", "", IF('6161 - Wallpaper-WUO_ERR'!A329 = "", "Validated", HYPERLINK("#" &amp; ADDRESS(329, '6161 - Wallpaper-WUO_TRK'!A329),_xlfn.TEXTAFTER('6161 - Wallpaper-WUO_ERR'!A329, ":"))))</f>
        <v>0</v>
      </c>
    </row>
    <row r="330" spans="1:1">
      <c r="A330" s="39">
        <f>IF('6161 - Wallpaper'!B330 = "", "", IF('6161 - Wallpaper-WUO_ERR'!A330 = "", "Validated", HYPERLINK("#" &amp; ADDRESS(330, '6161 - Wallpaper-WUO_TRK'!A330),_xlfn.TEXTAFTER('6161 - Wallpaper-WUO_ERR'!A330, ":"))))</f>
        <v>0</v>
      </c>
    </row>
    <row r="331" spans="1:1">
      <c r="A331" s="39">
        <f>IF('6161 - Wallpaper'!B331 = "", "", IF('6161 - Wallpaper-WUO_ERR'!A331 = "", "Validated", HYPERLINK("#" &amp; ADDRESS(331, '6161 - Wallpaper-WUO_TRK'!A331),_xlfn.TEXTAFTER('6161 - Wallpaper-WUO_ERR'!A331, ":"))))</f>
        <v>0</v>
      </c>
    </row>
    <row r="332" spans="1:1">
      <c r="A332" s="39">
        <f>IF('6161 - Wallpaper'!B332 = "", "", IF('6161 - Wallpaper-WUO_ERR'!A332 = "", "Validated", HYPERLINK("#" &amp; ADDRESS(332, '6161 - Wallpaper-WUO_TRK'!A332),_xlfn.TEXTAFTER('6161 - Wallpaper-WUO_ERR'!A332, ":"))))</f>
        <v>0</v>
      </c>
    </row>
    <row r="333" spans="1:1">
      <c r="A333" s="39">
        <f>IF('6161 - Wallpaper'!B333 = "", "", IF('6161 - Wallpaper-WUO_ERR'!A333 = "", "Validated", HYPERLINK("#" &amp; ADDRESS(333, '6161 - Wallpaper-WUO_TRK'!A333),_xlfn.TEXTAFTER('6161 - Wallpaper-WUO_ERR'!A333, ":"))))</f>
        <v>0</v>
      </c>
    </row>
    <row r="334" spans="1:1">
      <c r="A334" s="39">
        <f>IF('6161 - Wallpaper'!B334 = "", "", IF('6161 - Wallpaper-WUO_ERR'!A334 = "", "Validated", HYPERLINK("#" &amp; ADDRESS(334, '6161 - Wallpaper-WUO_TRK'!A334),_xlfn.TEXTAFTER('6161 - Wallpaper-WUO_ERR'!A334, ":"))))</f>
        <v>0</v>
      </c>
    </row>
    <row r="335" spans="1:1">
      <c r="A335" s="39">
        <f>IF('6161 - Wallpaper'!B335 = "", "", IF('6161 - Wallpaper-WUO_ERR'!A335 = "", "Validated", HYPERLINK("#" &amp; ADDRESS(335, '6161 - Wallpaper-WUO_TRK'!A335),_xlfn.TEXTAFTER('6161 - Wallpaper-WUO_ERR'!A335, ":"))))</f>
        <v>0</v>
      </c>
    </row>
    <row r="336" spans="1:1">
      <c r="A336" s="39">
        <f>IF('6161 - Wallpaper'!B336 = "", "", IF('6161 - Wallpaper-WUO_ERR'!A336 = "", "Validated", HYPERLINK("#" &amp; ADDRESS(336, '6161 - Wallpaper-WUO_TRK'!A336),_xlfn.TEXTAFTER('6161 - Wallpaper-WUO_ERR'!A336, ":"))))</f>
        <v>0</v>
      </c>
    </row>
    <row r="337" spans="1:1">
      <c r="A337" s="39">
        <f>IF('6161 - Wallpaper'!B337 = "", "", IF('6161 - Wallpaper-WUO_ERR'!A337 = "", "Validated", HYPERLINK("#" &amp; ADDRESS(337, '6161 - Wallpaper-WUO_TRK'!A337),_xlfn.TEXTAFTER('6161 - Wallpaper-WUO_ERR'!A337, ":"))))</f>
        <v>0</v>
      </c>
    </row>
    <row r="338" spans="1:1">
      <c r="A338" s="39">
        <f>IF('6161 - Wallpaper'!B338 = "", "", IF('6161 - Wallpaper-WUO_ERR'!A338 = "", "Validated", HYPERLINK("#" &amp; ADDRESS(338, '6161 - Wallpaper-WUO_TRK'!A338),_xlfn.TEXTAFTER('6161 - Wallpaper-WUO_ERR'!A338, ":"))))</f>
        <v>0</v>
      </c>
    </row>
    <row r="339" spans="1:1">
      <c r="A339" s="39">
        <f>IF('6161 - Wallpaper'!B339 = "", "", IF('6161 - Wallpaper-WUO_ERR'!A339 = "", "Validated", HYPERLINK("#" &amp; ADDRESS(339, '6161 - Wallpaper-WUO_TRK'!A339),_xlfn.TEXTAFTER('6161 - Wallpaper-WUO_ERR'!A339, ":"))))</f>
        <v>0</v>
      </c>
    </row>
    <row r="340" spans="1:1">
      <c r="A340" s="39">
        <f>IF('6161 - Wallpaper'!B340 = "", "", IF('6161 - Wallpaper-WUO_ERR'!A340 = "", "Validated", HYPERLINK("#" &amp; ADDRESS(340, '6161 - Wallpaper-WUO_TRK'!A340),_xlfn.TEXTAFTER('6161 - Wallpaper-WUO_ERR'!A340, ":"))))</f>
        <v>0</v>
      </c>
    </row>
    <row r="341" spans="1:1">
      <c r="A341" s="39">
        <f>IF('6161 - Wallpaper'!B341 = "", "", IF('6161 - Wallpaper-WUO_ERR'!A341 = "", "Validated", HYPERLINK("#" &amp; ADDRESS(341, '6161 - Wallpaper-WUO_TRK'!A341),_xlfn.TEXTAFTER('6161 - Wallpaper-WUO_ERR'!A341, ":"))))</f>
        <v>0</v>
      </c>
    </row>
    <row r="342" spans="1:1">
      <c r="A342" s="39">
        <f>IF('6161 - Wallpaper'!B342 = "", "", IF('6161 - Wallpaper-WUO_ERR'!A342 = "", "Validated", HYPERLINK("#" &amp; ADDRESS(342, '6161 - Wallpaper-WUO_TRK'!A342),_xlfn.TEXTAFTER('6161 - Wallpaper-WUO_ERR'!A342, ":"))))</f>
        <v>0</v>
      </c>
    </row>
    <row r="343" spans="1:1">
      <c r="A343" s="39">
        <f>IF('6161 - Wallpaper'!B343 = "", "", IF('6161 - Wallpaper-WUO_ERR'!A343 = "", "Validated", HYPERLINK("#" &amp; ADDRESS(343, '6161 - Wallpaper-WUO_TRK'!A343),_xlfn.TEXTAFTER('6161 - Wallpaper-WUO_ERR'!A343, ":"))))</f>
        <v>0</v>
      </c>
    </row>
    <row r="344" spans="1:1">
      <c r="A344" s="39">
        <f>IF('6161 - Wallpaper'!B344 = "", "", IF('6161 - Wallpaper-WUO_ERR'!A344 = "", "Validated", HYPERLINK("#" &amp; ADDRESS(344, '6161 - Wallpaper-WUO_TRK'!A344),_xlfn.TEXTAFTER('6161 - Wallpaper-WUO_ERR'!A344, ":"))))</f>
        <v>0</v>
      </c>
    </row>
    <row r="345" spans="1:1">
      <c r="A345" s="39">
        <f>IF('6161 - Wallpaper'!B345 = "", "", IF('6161 - Wallpaper-WUO_ERR'!A345 = "", "Validated", HYPERLINK("#" &amp; ADDRESS(345, '6161 - Wallpaper-WUO_TRK'!A345),_xlfn.TEXTAFTER('6161 - Wallpaper-WUO_ERR'!A345, ":"))))</f>
        <v>0</v>
      </c>
    </row>
    <row r="346" spans="1:1">
      <c r="A346" s="39">
        <f>IF('6161 - Wallpaper'!B346 = "", "", IF('6161 - Wallpaper-WUO_ERR'!A346 = "", "Validated", HYPERLINK("#" &amp; ADDRESS(346, '6161 - Wallpaper-WUO_TRK'!A346),_xlfn.TEXTAFTER('6161 - Wallpaper-WUO_ERR'!A346, ":"))))</f>
        <v>0</v>
      </c>
    </row>
    <row r="347" spans="1:1">
      <c r="A347" s="39">
        <f>IF('6161 - Wallpaper'!B347 = "", "", IF('6161 - Wallpaper-WUO_ERR'!A347 = "", "Validated", HYPERLINK("#" &amp; ADDRESS(347, '6161 - Wallpaper-WUO_TRK'!A347),_xlfn.TEXTAFTER('6161 - Wallpaper-WUO_ERR'!A347, ":"))))</f>
        <v>0</v>
      </c>
    </row>
    <row r="348" spans="1:1">
      <c r="A348" s="39">
        <f>IF('6161 - Wallpaper'!B348 = "", "", IF('6161 - Wallpaper-WUO_ERR'!A348 = "", "Validated", HYPERLINK("#" &amp; ADDRESS(348, '6161 - Wallpaper-WUO_TRK'!A348),_xlfn.TEXTAFTER('6161 - Wallpaper-WUO_ERR'!A348, ":"))))</f>
        <v>0</v>
      </c>
    </row>
    <row r="349" spans="1:1">
      <c r="A349" s="39">
        <f>IF('6161 - Wallpaper'!B349 = "", "", IF('6161 - Wallpaper-WUO_ERR'!A349 = "", "Validated", HYPERLINK("#" &amp; ADDRESS(349, '6161 - Wallpaper-WUO_TRK'!A349),_xlfn.TEXTAFTER('6161 - Wallpaper-WUO_ERR'!A349, ":"))))</f>
        <v>0</v>
      </c>
    </row>
    <row r="350" spans="1:1">
      <c r="A350" s="39">
        <f>IF('6161 - Wallpaper'!B350 = "", "", IF('6161 - Wallpaper-WUO_ERR'!A350 = "", "Validated", HYPERLINK("#" &amp; ADDRESS(350, '6161 - Wallpaper-WUO_TRK'!A350),_xlfn.TEXTAFTER('6161 - Wallpaper-WUO_ERR'!A350, ":"))))</f>
        <v>0</v>
      </c>
    </row>
    <row r="351" spans="1:1">
      <c r="A351" s="39">
        <f>IF('6161 - Wallpaper'!B351 = "", "", IF('6161 - Wallpaper-WUO_ERR'!A351 = "", "Validated", HYPERLINK("#" &amp; ADDRESS(351, '6161 - Wallpaper-WUO_TRK'!A351),_xlfn.TEXTAFTER('6161 - Wallpaper-WUO_ERR'!A351, ":"))))</f>
        <v>0</v>
      </c>
    </row>
    <row r="352" spans="1:1">
      <c r="A352" s="39">
        <f>IF('6161 - Wallpaper'!B352 = "", "", IF('6161 - Wallpaper-WUO_ERR'!A352 = "", "Validated", HYPERLINK("#" &amp; ADDRESS(352, '6161 - Wallpaper-WUO_TRK'!A352),_xlfn.TEXTAFTER('6161 - Wallpaper-WUO_ERR'!A352, ":"))))</f>
        <v>0</v>
      </c>
    </row>
    <row r="353" spans="1:1">
      <c r="A353" s="39">
        <f>IF('6161 - Wallpaper'!B353 = "", "", IF('6161 - Wallpaper-WUO_ERR'!A353 = "", "Validated", HYPERLINK("#" &amp; ADDRESS(353, '6161 - Wallpaper-WUO_TRK'!A353),_xlfn.TEXTAFTER('6161 - Wallpaper-WUO_ERR'!A353, ":"))))</f>
        <v>0</v>
      </c>
    </row>
    <row r="354" spans="1:1">
      <c r="A354" s="39">
        <f>IF('6161 - Wallpaper'!B354 = "", "", IF('6161 - Wallpaper-WUO_ERR'!A354 = "", "Validated", HYPERLINK("#" &amp; ADDRESS(354, '6161 - Wallpaper-WUO_TRK'!A354),_xlfn.TEXTAFTER('6161 - Wallpaper-WUO_ERR'!A354, ":"))))</f>
        <v>0</v>
      </c>
    </row>
    <row r="355" spans="1:1">
      <c r="A355" s="39">
        <f>IF('6161 - Wallpaper'!B355 = "", "", IF('6161 - Wallpaper-WUO_ERR'!A355 = "", "Validated", HYPERLINK("#" &amp; ADDRESS(355, '6161 - Wallpaper-WUO_TRK'!A355),_xlfn.TEXTAFTER('6161 - Wallpaper-WUO_ERR'!A355, ":"))))</f>
        <v>0</v>
      </c>
    </row>
    <row r="356" spans="1:1">
      <c r="A356" s="39">
        <f>IF('6161 - Wallpaper'!B356 = "", "", IF('6161 - Wallpaper-WUO_ERR'!A356 = "", "Validated", HYPERLINK("#" &amp; ADDRESS(356, '6161 - Wallpaper-WUO_TRK'!A356),_xlfn.TEXTAFTER('6161 - Wallpaper-WUO_ERR'!A356, ":"))))</f>
        <v>0</v>
      </c>
    </row>
    <row r="357" spans="1:1">
      <c r="A357" s="39">
        <f>IF('6161 - Wallpaper'!B357 = "", "", IF('6161 - Wallpaper-WUO_ERR'!A357 = "", "Validated", HYPERLINK("#" &amp; ADDRESS(357, '6161 - Wallpaper-WUO_TRK'!A357),_xlfn.TEXTAFTER('6161 - Wallpaper-WUO_ERR'!A357, ":"))))</f>
        <v>0</v>
      </c>
    </row>
    <row r="358" spans="1:1">
      <c r="A358" s="39">
        <f>IF('6161 - Wallpaper'!B358 = "", "", IF('6161 - Wallpaper-WUO_ERR'!A358 = "", "Validated", HYPERLINK("#" &amp; ADDRESS(358, '6161 - Wallpaper-WUO_TRK'!A358),_xlfn.TEXTAFTER('6161 - Wallpaper-WUO_ERR'!A358, ":"))))</f>
        <v>0</v>
      </c>
    </row>
    <row r="359" spans="1:1">
      <c r="A359" s="39">
        <f>IF('6161 - Wallpaper'!B359 = "", "", IF('6161 - Wallpaper-WUO_ERR'!A359 = "", "Validated", HYPERLINK("#" &amp; ADDRESS(359, '6161 - Wallpaper-WUO_TRK'!A359),_xlfn.TEXTAFTER('6161 - Wallpaper-WUO_ERR'!A359, ":"))))</f>
        <v>0</v>
      </c>
    </row>
    <row r="360" spans="1:1">
      <c r="A360" s="39">
        <f>IF('6161 - Wallpaper'!B360 = "", "", IF('6161 - Wallpaper-WUO_ERR'!A360 = "", "Validated", HYPERLINK("#" &amp; ADDRESS(360, '6161 - Wallpaper-WUO_TRK'!A360),_xlfn.TEXTAFTER('6161 - Wallpaper-WUO_ERR'!A360, ":"))))</f>
        <v>0</v>
      </c>
    </row>
    <row r="361" spans="1:1">
      <c r="A361" s="39">
        <f>IF('6161 - Wallpaper'!B361 = "", "", IF('6161 - Wallpaper-WUO_ERR'!A361 = "", "Validated", HYPERLINK("#" &amp; ADDRESS(361, '6161 - Wallpaper-WUO_TRK'!A361),_xlfn.TEXTAFTER('6161 - Wallpaper-WUO_ERR'!A361, ":"))))</f>
        <v>0</v>
      </c>
    </row>
    <row r="362" spans="1:1">
      <c r="A362" s="39">
        <f>IF('6161 - Wallpaper'!B362 = "", "", IF('6161 - Wallpaper-WUO_ERR'!A362 = "", "Validated", HYPERLINK("#" &amp; ADDRESS(362, '6161 - Wallpaper-WUO_TRK'!A362),_xlfn.TEXTAFTER('6161 - Wallpaper-WUO_ERR'!A362, ":"))))</f>
        <v>0</v>
      </c>
    </row>
    <row r="363" spans="1:1">
      <c r="A363" s="39">
        <f>IF('6161 - Wallpaper'!B363 = "", "", IF('6161 - Wallpaper-WUO_ERR'!A363 = "", "Validated", HYPERLINK("#" &amp; ADDRESS(363, '6161 - Wallpaper-WUO_TRK'!A363),_xlfn.TEXTAFTER('6161 - Wallpaper-WUO_ERR'!A363, ":"))))</f>
        <v>0</v>
      </c>
    </row>
    <row r="364" spans="1:1">
      <c r="A364" s="39">
        <f>IF('6161 - Wallpaper'!B364 = "", "", IF('6161 - Wallpaper-WUO_ERR'!A364 = "", "Validated", HYPERLINK("#" &amp; ADDRESS(364, '6161 - Wallpaper-WUO_TRK'!A364),_xlfn.TEXTAFTER('6161 - Wallpaper-WUO_ERR'!A364, ":"))))</f>
        <v>0</v>
      </c>
    </row>
    <row r="365" spans="1:1">
      <c r="A365" s="39">
        <f>IF('6161 - Wallpaper'!B365 = "", "", IF('6161 - Wallpaper-WUO_ERR'!A365 = "", "Validated", HYPERLINK("#" &amp; ADDRESS(365, '6161 - Wallpaper-WUO_TRK'!A365),_xlfn.TEXTAFTER('6161 - Wallpaper-WUO_ERR'!A365, ":"))))</f>
        <v>0</v>
      </c>
    </row>
    <row r="366" spans="1:1">
      <c r="A366" s="39">
        <f>IF('6161 - Wallpaper'!B366 = "", "", IF('6161 - Wallpaper-WUO_ERR'!A366 = "", "Validated", HYPERLINK("#" &amp; ADDRESS(366, '6161 - Wallpaper-WUO_TRK'!A366),_xlfn.TEXTAFTER('6161 - Wallpaper-WUO_ERR'!A366, ":"))))</f>
        <v>0</v>
      </c>
    </row>
    <row r="367" spans="1:1">
      <c r="A367" s="39">
        <f>IF('6161 - Wallpaper'!B367 = "", "", IF('6161 - Wallpaper-WUO_ERR'!A367 = "", "Validated", HYPERLINK("#" &amp; ADDRESS(367, '6161 - Wallpaper-WUO_TRK'!A367),_xlfn.TEXTAFTER('6161 - Wallpaper-WUO_ERR'!A367, ":"))))</f>
        <v>0</v>
      </c>
    </row>
    <row r="368" spans="1:1">
      <c r="A368" s="39">
        <f>IF('6161 - Wallpaper'!B368 = "", "", IF('6161 - Wallpaper-WUO_ERR'!A368 = "", "Validated", HYPERLINK("#" &amp; ADDRESS(368, '6161 - Wallpaper-WUO_TRK'!A368),_xlfn.TEXTAFTER('6161 - Wallpaper-WUO_ERR'!A368, ":"))))</f>
        <v>0</v>
      </c>
    </row>
    <row r="369" spans="1:1">
      <c r="A369" s="39">
        <f>IF('6161 - Wallpaper'!B369 = "", "", IF('6161 - Wallpaper-WUO_ERR'!A369 = "", "Validated", HYPERLINK("#" &amp; ADDRESS(369, '6161 - Wallpaper-WUO_TRK'!A369),_xlfn.TEXTAFTER('6161 - Wallpaper-WUO_ERR'!A369, ":"))))</f>
        <v>0</v>
      </c>
    </row>
    <row r="370" spans="1:1">
      <c r="A370" s="39">
        <f>IF('6161 - Wallpaper'!B370 = "", "", IF('6161 - Wallpaper-WUO_ERR'!A370 = "", "Validated", HYPERLINK("#" &amp; ADDRESS(370, '6161 - Wallpaper-WUO_TRK'!A370),_xlfn.TEXTAFTER('6161 - Wallpaper-WUO_ERR'!A370, ":"))))</f>
        <v>0</v>
      </c>
    </row>
    <row r="371" spans="1:1">
      <c r="A371" s="39">
        <f>IF('6161 - Wallpaper'!B371 = "", "", IF('6161 - Wallpaper-WUO_ERR'!A371 = "", "Validated", HYPERLINK("#" &amp; ADDRESS(371, '6161 - Wallpaper-WUO_TRK'!A371),_xlfn.TEXTAFTER('6161 - Wallpaper-WUO_ERR'!A371, ":"))))</f>
        <v>0</v>
      </c>
    </row>
    <row r="372" spans="1:1">
      <c r="A372" s="39">
        <f>IF('6161 - Wallpaper'!B372 = "", "", IF('6161 - Wallpaper-WUO_ERR'!A372 = "", "Validated", HYPERLINK("#" &amp; ADDRESS(372, '6161 - Wallpaper-WUO_TRK'!A372),_xlfn.TEXTAFTER('6161 - Wallpaper-WUO_ERR'!A372, ":"))))</f>
        <v>0</v>
      </c>
    </row>
    <row r="373" spans="1:1">
      <c r="A373" s="39">
        <f>IF('6161 - Wallpaper'!B373 = "", "", IF('6161 - Wallpaper-WUO_ERR'!A373 = "", "Validated", HYPERLINK("#" &amp; ADDRESS(373, '6161 - Wallpaper-WUO_TRK'!A373),_xlfn.TEXTAFTER('6161 - Wallpaper-WUO_ERR'!A373, ":"))))</f>
        <v>0</v>
      </c>
    </row>
    <row r="374" spans="1:1">
      <c r="A374" s="39">
        <f>IF('6161 - Wallpaper'!B374 = "", "", IF('6161 - Wallpaper-WUO_ERR'!A374 = "", "Validated", HYPERLINK("#" &amp; ADDRESS(374, '6161 - Wallpaper-WUO_TRK'!A374),_xlfn.TEXTAFTER('6161 - Wallpaper-WUO_ERR'!A374, ":"))))</f>
        <v>0</v>
      </c>
    </row>
    <row r="375" spans="1:1">
      <c r="A375" s="39">
        <f>IF('6161 - Wallpaper'!B375 = "", "", IF('6161 - Wallpaper-WUO_ERR'!A375 = "", "Validated", HYPERLINK("#" &amp; ADDRESS(375, '6161 - Wallpaper-WUO_TRK'!A375),_xlfn.TEXTAFTER('6161 - Wallpaper-WUO_ERR'!A375, ":"))))</f>
        <v>0</v>
      </c>
    </row>
    <row r="376" spans="1:1">
      <c r="A376" s="39">
        <f>IF('6161 - Wallpaper'!B376 = "", "", IF('6161 - Wallpaper-WUO_ERR'!A376 = "", "Validated", HYPERLINK("#" &amp; ADDRESS(376, '6161 - Wallpaper-WUO_TRK'!A376),_xlfn.TEXTAFTER('6161 - Wallpaper-WUO_ERR'!A376, ":"))))</f>
        <v>0</v>
      </c>
    </row>
    <row r="377" spans="1:1">
      <c r="A377" s="39">
        <f>IF('6161 - Wallpaper'!B377 = "", "", IF('6161 - Wallpaper-WUO_ERR'!A377 = "", "Validated", HYPERLINK("#" &amp; ADDRESS(377, '6161 - Wallpaper-WUO_TRK'!A377),_xlfn.TEXTAFTER('6161 - Wallpaper-WUO_ERR'!A377, ":"))))</f>
        <v>0</v>
      </c>
    </row>
    <row r="378" spans="1:1">
      <c r="A378" s="39">
        <f>IF('6161 - Wallpaper'!B378 = "", "", IF('6161 - Wallpaper-WUO_ERR'!A378 = "", "Validated", HYPERLINK("#" &amp; ADDRESS(378, '6161 - Wallpaper-WUO_TRK'!A378),_xlfn.TEXTAFTER('6161 - Wallpaper-WUO_ERR'!A378, ":"))))</f>
        <v>0</v>
      </c>
    </row>
    <row r="379" spans="1:1">
      <c r="A379" s="39">
        <f>IF('6161 - Wallpaper'!B379 = "", "", IF('6161 - Wallpaper-WUO_ERR'!A379 = "", "Validated", HYPERLINK("#" &amp; ADDRESS(379, '6161 - Wallpaper-WUO_TRK'!A379),_xlfn.TEXTAFTER('6161 - Wallpaper-WUO_ERR'!A379, ":"))))</f>
        <v>0</v>
      </c>
    </row>
    <row r="380" spans="1:1">
      <c r="A380" s="39">
        <f>IF('6161 - Wallpaper'!B380 = "", "", IF('6161 - Wallpaper-WUO_ERR'!A380 = "", "Validated", HYPERLINK("#" &amp; ADDRESS(380, '6161 - Wallpaper-WUO_TRK'!A380),_xlfn.TEXTAFTER('6161 - Wallpaper-WUO_ERR'!A380, ":"))))</f>
        <v>0</v>
      </c>
    </row>
    <row r="381" spans="1:1">
      <c r="A381" s="39">
        <f>IF('6161 - Wallpaper'!B381 = "", "", IF('6161 - Wallpaper-WUO_ERR'!A381 = "", "Validated", HYPERLINK("#" &amp; ADDRESS(381, '6161 - Wallpaper-WUO_TRK'!A381),_xlfn.TEXTAFTER('6161 - Wallpaper-WUO_ERR'!A381, ":"))))</f>
        <v>0</v>
      </c>
    </row>
    <row r="382" spans="1:1">
      <c r="A382" s="39">
        <f>IF('6161 - Wallpaper'!B382 = "", "", IF('6161 - Wallpaper-WUO_ERR'!A382 = "", "Validated", HYPERLINK("#" &amp; ADDRESS(382, '6161 - Wallpaper-WUO_TRK'!A382),_xlfn.TEXTAFTER('6161 - Wallpaper-WUO_ERR'!A382, ":"))))</f>
        <v>0</v>
      </c>
    </row>
    <row r="383" spans="1:1">
      <c r="A383" s="39">
        <f>IF('6161 - Wallpaper'!B383 = "", "", IF('6161 - Wallpaper-WUO_ERR'!A383 = "", "Validated", HYPERLINK("#" &amp; ADDRESS(383, '6161 - Wallpaper-WUO_TRK'!A383),_xlfn.TEXTAFTER('6161 - Wallpaper-WUO_ERR'!A383, ":"))))</f>
        <v>0</v>
      </c>
    </row>
    <row r="384" spans="1:1">
      <c r="A384" s="39">
        <f>IF('6161 - Wallpaper'!B384 = "", "", IF('6161 - Wallpaper-WUO_ERR'!A384 = "", "Validated", HYPERLINK("#" &amp; ADDRESS(384, '6161 - Wallpaper-WUO_TRK'!A384),_xlfn.TEXTAFTER('6161 - Wallpaper-WUO_ERR'!A384, ":"))))</f>
        <v>0</v>
      </c>
    </row>
    <row r="385" spans="1:1">
      <c r="A385" s="39">
        <f>IF('6161 - Wallpaper'!B385 = "", "", IF('6161 - Wallpaper-WUO_ERR'!A385 = "", "Validated", HYPERLINK("#" &amp; ADDRESS(385, '6161 - Wallpaper-WUO_TRK'!A385),_xlfn.TEXTAFTER('6161 - Wallpaper-WUO_ERR'!A385, ":"))))</f>
        <v>0</v>
      </c>
    </row>
    <row r="386" spans="1:1">
      <c r="A386" s="39">
        <f>IF('6161 - Wallpaper'!B386 = "", "", IF('6161 - Wallpaper-WUO_ERR'!A386 = "", "Validated", HYPERLINK("#" &amp; ADDRESS(386, '6161 - Wallpaper-WUO_TRK'!A386),_xlfn.TEXTAFTER('6161 - Wallpaper-WUO_ERR'!A386, ":"))))</f>
        <v>0</v>
      </c>
    </row>
    <row r="387" spans="1:1">
      <c r="A387" s="39">
        <f>IF('6161 - Wallpaper'!B387 = "", "", IF('6161 - Wallpaper-WUO_ERR'!A387 = "", "Validated", HYPERLINK("#" &amp; ADDRESS(387, '6161 - Wallpaper-WUO_TRK'!A387),_xlfn.TEXTAFTER('6161 - Wallpaper-WUO_ERR'!A387, ":"))))</f>
        <v>0</v>
      </c>
    </row>
    <row r="388" spans="1:1">
      <c r="A388" s="39">
        <f>IF('6161 - Wallpaper'!B388 = "", "", IF('6161 - Wallpaper-WUO_ERR'!A388 = "", "Validated", HYPERLINK("#" &amp; ADDRESS(388, '6161 - Wallpaper-WUO_TRK'!A388),_xlfn.TEXTAFTER('6161 - Wallpaper-WUO_ERR'!A388, ":"))))</f>
        <v>0</v>
      </c>
    </row>
    <row r="389" spans="1:1">
      <c r="A389" s="39">
        <f>IF('6161 - Wallpaper'!B389 = "", "", IF('6161 - Wallpaper-WUO_ERR'!A389 = "", "Validated", HYPERLINK("#" &amp; ADDRESS(389, '6161 - Wallpaper-WUO_TRK'!A389),_xlfn.TEXTAFTER('6161 - Wallpaper-WUO_ERR'!A389, ":"))))</f>
        <v>0</v>
      </c>
    </row>
    <row r="390" spans="1:1">
      <c r="A390" s="39">
        <f>IF('6161 - Wallpaper'!B390 = "", "", IF('6161 - Wallpaper-WUO_ERR'!A390 = "", "Validated", HYPERLINK("#" &amp; ADDRESS(390, '6161 - Wallpaper-WUO_TRK'!A390),_xlfn.TEXTAFTER('6161 - Wallpaper-WUO_ERR'!A390, ":"))))</f>
        <v>0</v>
      </c>
    </row>
    <row r="391" spans="1:1">
      <c r="A391" s="39">
        <f>IF('6161 - Wallpaper'!B391 = "", "", IF('6161 - Wallpaper-WUO_ERR'!A391 = "", "Validated", HYPERLINK("#" &amp; ADDRESS(391, '6161 - Wallpaper-WUO_TRK'!A391),_xlfn.TEXTAFTER('6161 - Wallpaper-WUO_ERR'!A391, ":"))))</f>
        <v>0</v>
      </c>
    </row>
    <row r="392" spans="1:1">
      <c r="A392" s="39">
        <f>IF('6161 - Wallpaper'!B392 = "", "", IF('6161 - Wallpaper-WUO_ERR'!A392 = "", "Validated", HYPERLINK("#" &amp; ADDRESS(392, '6161 - Wallpaper-WUO_TRK'!A392),_xlfn.TEXTAFTER('6161 - Wallpaper-WUO_ERR'!A392, ":"))))</f>
        <v>0</v>
      </c>
    </row>
    <row r="393" spans="1:1">
      <c r="A393" s="39">
        <f>IF('6161 - Wallpaper'!B393 = "", "", IF('6161 - Wallpaper-WUO_ERR'!A393 = "", "Validated", HYPERLINK("#" &amp; ADDRESS(393, '6161 - Wallpaper-WUO_TRK'!A393),_xlfn.TEXTAFTER('6161 - Wallpaper-WUO_ERR'!A393, ":"))))</f>
        <v>0</v>
      </c>
    </row>
    <row r="394" spans="1:1">
      <c r="A394" s="39">
        <f>IF('6161 - Wallpaper'!B394 = "", "", IF('6161 - Wallpaper-WUO_ERR'!A394 = "", "Validated", HYPERLINK("#" &amp; ADDRESS(394, '6161 - Wallpaper-WUO_TRK'!A394),_xlfn.TEXTAFTER('6161 - Wallpaper-WUO_ERR'!A394, ":"))))</f>
        <v>0</v>
      </c>
    </row>
    <row r="395" spans="1:1">
      <c r="A395" s="39">
        <f>IF('6161 - Wallpaper'!B395 = "", "", IF('6161 - Wallpaper-WUO_ERR'!A395 = "", "Validated", HYPERLINK("#" &amp; ADDRESS(395, '6161 - Wallpaper-WUO_TRK'!A395),_xlfn.TEXTAFTER('6161 - Wallpaper-WUO_ERR'!A395, ":"))))</f>
        <v>0</v>
      </c>
    </row>
    <row r="396" spans="1:1">
      <c r="A396" s="39">
        <f>IF('6161 - Wallpaper'!B396 = "", "", IF('6161 - Wallpaper-WUO_ERR'!A396 = "", "Validated", HYPERLINK("#" &amp; ADDRESS(396, '6161 - Wallpaper-WUO_TRK'!A396),_xlfn.TEXTAFTER('6161 - Wallpaper-WUO_ERR'!A396, ":"))))</f>
        <v>0</v>
      </c>
    </row>
    <row r="397" spans="1:1">
      <c r="A397" s="39">
        <f>IF('6161 - Wallpaper'!B397 = "", "", IF('6161 - Wallpaper-WUO_ERR'!A397 = "", "Validated", HYPERLINK("#" &amp; ADDRESS(397, '6161 - Wallpaper-WUO_TRK'!A397),_xlfn.TEXTAFTER('6161 - Wallpaper-WUO_ERR'!A397, ":"))))</f>
        <v>0</v>
      </c>
    </row>
    <row r="398" spans="1:1">
      <c r="A398" s="39">
        <f>IF('6161 - Wallpaper'!B398 = "", "", IF('6161 - Wallpaper-WUO_ERR'!A398 = "", "Validated", HYPERLINK("#" &amp; ADDRESS(398, '6161 - Wallpaper-WUO_TRK'!A398),_xlfn.TEXTAFTER('6161 - Wallpaper-WUO_ERR'!A398, ":"))))</f>
        <v>0</v>
      </c>
    </row>
    <row r="399" spans="1:1">
      <c r="A399" s="39">
        <f>IF('6161 - Wallpaper'!B399 = "", "", IF('6161 - Wallpaper-WUO_ERR'!A399 = "", "Validated", HYPERLINK("#" &amp; ADDRESS(399, '6161 - Wallpaper-WUO_TRK'!A399),_xlfn.TEXTAFTER('6161 - Wallpaper-WUO_ERR'!A399, ":"))))</f>
        <v>0</v>
      </c>
    </row>
    <row r="400" spans="1:1">
      <c r="A400" s="39">
        <f>IF('6161 - Wallpaper'!B400 = "", "", IF('6161 - Wallpaper-WUO_ERR'!A400 = "", "Validated", HYPERLINK("#" &amp; ADDRESS(400, '6161 - Wallpaper-WUO_TRK'!A400),_xlfn.TEXTAFTER('6161 - Wallpaper-WUO_ERR'!A400, ":"))))</f>
        <v>0</v>
      </c>
    </row>
    <row r="401" spans="1:1">
      <c r="A401" s="39">
        <f>IF('6161 - Wallpaper'!B401 = "", "", IF('6161 - Wallpaper-WUO_ERR'!A401 = "", "Validated", HYPERLINK("#" &amp; ADDRESS(401, '6161 - Wallpaper-WUO_TRK'!A401),_xlfn.TEXTAFTER('6161 - Wallpaper-WUO_ERR'!A401, ":"))))</f>
        <v>0</v>
      </c>
    </row>
    <row r="402" spans="1:1">
      <c r="A402" s="39">
        <f>IF('6161 - Wallpaper'!B402 = "", "", IF('6161 - Wallpaper-WUO_ERR'!A402 = "", "Validated", HYPERLINK("#" &amp; ADDRESS(402, '6161 - Wallpaper-WUO_TRK'!A402),_xlfn.TEXTAFTER('6161 - Wallpaper-WUO_ERR'!A402, ":"))))</f>
        <v>0</v>
      </c>
    </row>
    <row r="403" spans="1:1">
      <c r="A403" s="39">
        <f>IF('6161 - Wallpaper'!B403 = "", "", IF('6161 - Wallpaper-WUO_ERR'!A403 = "", "Validated", HYPERLINK("#" &amp; ADDRESS(403, '6161 - Wallpaper-WUO_TRK'!A403),_xlfn.TEXTAFTER('6161 - Wallpaper-WUO_ERR'!A403, ":"))))</f>
        <v>0</v>
      </c>
    </row>
    <row r="404" spans="1:1">
      <c r="A404" s="39">
        <f>IF('6161 - Wallpaper'!B404 = "", "", IF('6161 - Wallpaper-WUO_ERR'!A404 = "", "Validated", HYPERLINK("#" &amp; ADDRESS(404, '6161 - Wallpaper-WUO_TRK'!A404),_xlfn.TEXTAFTER('6161 - Wallpaper-WUO_ERR'!A404, ":"))))</f>
        <v>0</v>
      </c>
    </row>
    <row r="405" spans="1:1">
      <c r="A405" s="39">
        <f>IF('6161 - Wallpaper'!B405 = "", "", IF('6161 - Wallpaper-WUO_ERR'!A405 = "", "Validated", HYPERLINK("#" &amp; ADDRESS(405, '6161 - Wallpaper-WUO_TRK'!A405),_xlfn.TEXTAFTER('6161 - Wallpaper-WUO_ERR'!A405, ":"))))</f>
        <v>0</v>
      </c>
    </row>
    <row r="406" spans="1:1">
      <c r="A406" s="39">
        <f>IF('6161 - Wallpaper'!B406 = "", "", IF('6161 - Wallpaper-WUO_ERR'!A406 = "", "Validated", HYPERLINK("#" &amp; ADDRESS(406, '6161 - Wallpaper-WUO_TRK'!A406),_xlfn.TEXTAFTER('6161 - Wallpaper-WUO_ERR'!A406, ":"))))</f>
        <v>0</v>
      </c>
    </row>
    <row r="407" spans="1:1">
      <c r="A407" s="39">
        <f>IF('6161 - Wallpaper'!B407 = "", "", IF('6161 - Wallpaper-WUO_ERR'!A407 = "", "Validated", HYPERLINK("#" &amp; ADDRESS(407, '6161 - Wallpaper-WUO_TRK'!A407),_xlfn.TEXTAFTER('6161 - Wallpaper-WUO_ERR'!A407, ":"))))</f>
        <v>0</v>
      </c>
    </row>
    <row r="408" spans="1:1">
      <c r="A408" s="39">
        <f>IF('6161 - Wallpaper'!B408 = "", "", IF('6161 - Wallpaper-WUO_ERR'!A408 = "", "Validated", HYPERLINK("#" &amp; ADDRESS(408, '6161 - Wallpaper-WUO_TRK'!A408),_xlfn.TEXTAFTER('6161 - Wallpaper-WUO_ERR'!A408, ":"))))</f>
        <v>0</v>
      </c>
    </row>
    <row r="409" spans="1:1">
      <c r="A409" s="39">
        <f>IF('6161 - Wallpaper'!B409 = "", "", IF('6161 - Wallpaper-WUO_ERR'!A409 = "", "Validated", HYPERLINK("#" &amp; ADDRESS(409, '6161 - Wallpaper-WUO_TRK'!A409),_xlfn.TEXTAFTER('6161 - Wallpaper-WUO_ERR'!A409, ":"))))</f>
        <v>0</v>
      </c>
    </row>
    <row r="410" spans="1:1">
      <c r="A410" s="39">
        <f>IF('6161 - Wallpaper'!B410 = "", "", IF('6161 - Wallpaper-WUO_ERR'!A410 = "", "Validated", HYPERLINK("#" &amp; ADDRESS(410, '6161 - Wallpaper-WUO_TRK'!A410),_xlfn.TEXTAFTER('6161 - Wallpaper-WUO_ERR'!A410, ":"))))</f>
        <v>0</v>
      </c>
    </row>
    <row r="411" spans="1:1">
      <c r="A411" s="39">
        <f>IF('6161 - Wallpaper'!B411 = "", "", IF('6161 - Wallpaper-WUO_ERR'!A411 = "", "Validated", HYPERLINK("#" &amp; ADDRESS(411, '6161 - Wallpaper-WUO_TRK'!A411),_xlfn.TEXTAFTER('6161 - Wallpaper-WUO_ERR'!A411, ":"))))</f>
        <v>0</v>
      </c>
    </row>
    <row r="412" spans="1:1">
      <c r="A412" s="39">
        <f>IF('6161 - Wallpaper'!B412 = "", "", IF('6161 - Wallpaper-WUO_ERR'!A412 = "", "Validated", HYPERLINK("#" &amp; ADDRESS(412, '6161 - Wallpaper-WUO_TRK'!A412),_xlfn.TEXTAFTER('6161 - Wallpaper-WUO_ERR'!A412, ":"))))</f>
        <v>0</v>
      </c>
    </row>
    <row r="413" spans="1:1">
      <c r="A413" s="39">
        <f>IF('6161 - Wallpaper'!B413 = "", "", IF('6161 - Wallpaper-WUO_ERR'!A413 = "", "Validated", HYPERLINK("#" &amp; ADDRESS(413, '6161 - Wallpaper-WUO_TRK'!A413),_xlfn.TEXTAFTER('6161 - Wallpaper-WUO_ERR'!A413, ":"))))</f>
        <v>0</v>
      </c>
    </row>
    <row r="414" spans="1:1">
      <c r="A414" s="39">
        <f>IF('6161 - Wallpaper'!B414 = "", "", IF('6161 - Wallpaper-WUO_ERR'!A414 = "", "Validated", HYPERLINK("#" &amp; ADDRESS(414, '6161 - Wallpaper-WUO_TRK'!A414),_xlfn.TEXTAFTER('6161 - Wallpaper-WUO_ERR'!A414, ":"))))</f>
        <v>0</v>
      </c>
    </row>
    <row r="415" spans="1:1">
      <c r="A415" s="39">
        <f>IF('6161 - Wallpaper'!B415 = "", "", IF('6161 - Wallpaper-WUO_ERR'!A415 = "", "Validated", HYPERLINK("#" &amp; ADDRESS(415, '6161 - Wallpaper-WUO_TRK'!A415),_xlfn.TEXTAFTER('6161 - Wallpaper-WUO_ERR'!A415, ":"))))</f>
        <v>0</v>
      </c>
    </row>
    <row r="416" spans="1:1">
      <c r="A416" s="39">
        <f>IF('6161 - Wallpaper'!B416 = "", "", IF('6161 - Wallpaper-WUO_ERR'!A416 = "", "Validated", HYPERLINK("#" &amp; ADDRESS(416, '6161 - Wallpaper-WUO_TRK'!A416),_xlfn.TEXTAFTER('6161 - Wallpaper-WUO_ERR'!A416, ":"))))</f>
        <v>0</v>
      </c>
    </row>
    <row r="417" spans="1:1">
      <c r="A417" s="39">
        <f>IF('6161 - Wallpaper'!B417 = "", "", IF('6161 - Wallpaper-WUO_ERR'!A417 = "", "Validated", HYPERLINK("#" &amp; ADDRESS(417, '6161 - Wallpaper-WUO_TRK'!A417),_xlfn.TEXTAFTER('6161 - Wallpaper-WUO_ERR'!A417, ":"))))</f>
        <v>0</v>
      </c>
    </row>
    <row r="418" spans="1:1">
      <c r="A418" s="39">
        <f>IF('6161 - Wallpaper'!B418 = "", "", IF('6161 - Wallpaper-WUO_ERR'!A418 = "", "Validated", HYPERLINK("#" &amp; ADDRESS(418, '6161 - Wallpaper-WUO_TRK'!A418),_xlfn.TEXTAFTER('6161 - Wallpaper-WUO_ERR'!A418, ":"))))</f>
        <v>0</v>
      </c>
    </row>
    <row r="419" spans="1:1">
      <c r="A419" s="39">
        <f>IF('6161 - Wallpaper'!B419 = "", "", IF('6161 - Wallpaper-WUO_ERR'!A419 = "", "Validated", HYPERLINK("#" &amp; ADDRESS(419, '6161 - Wallpaper-WUO_TRK'!A419),_xlfn.TEXTAFTER('6161 - Wallpaper-WUO_ERR'!A419, ":"))))</f>
        <v>0</v>
      </c>
    </row>
    <row r="420" spans="1:1">
      <c r="A420" s="39">
        <f>IF('6161 - Wallpaper'!B420 = "", "", IF('6161 - Wallpaper-WUO_ERR'!A420 = "", "Validated", HYPERLINK("#" &amp; ADDRESS(420, '6161 - Wallpaper-WUO_TRK'!A420),_xlfn.TEXTAFTER('6161 - Wallpaper-WUO_ERR'!A420, ":"))))</f>
        <v>0</v>
      </c>
    </row>
    <row r="421" spans="1:1">
      <c r="A421" s="39">
        <f>IF('6161 - Wallpaper'!B421 = "", "", IF('6161 - Wallpaper-WUO_ERR'!A421 = "", "Validated", HYPERLINK("#" &amp; ADDRESS(421, '6161 - Wallpaper-WUO_TRK'!A421),_xlfn.TEXTAFTER('6161 - Wallpaper-WUO_ERR'!A421, ":"))))</f>
        <v>0</v>
      </c>
    </row>
    <row r="422" spans="1:1">
      <c r="A422" s="39">
        <f>IF('6161 - Wallpaper'!B422 = "", "", IF('6161 - Wallpaper-WUO_ERR'!A422 = "", "Validated", HYPERLINK("#" &amp; ADDRESS(422, '6161 - Wallpaper-WUO_TRK'!A422),_xlfn.TEXTAFTER('6161 - Wallpaper-WUO_ERR'!A422, ":"))))</f>
        <v>0</v>
      </c>
    </row>
    <row r="423" spans="1:1">
      <c r="A423" s="39">
        <f>IF('6161 - Wallpaper'!B423 = "", "", IF('6161 - Wallpaper-WUO_ERR'!A423 = "", "Validated", HYPERLINK("#" &amp; ADDRESS(423, '6161 - Wallpaper-WUO_TRK'!A423),_xlfn.TEXTAFTER('6161 - Wallpaper-WUO_ERR'!A423, ":"))))</f>
        <v>0</v>
      </c>
    </row>
    <row r="424" spans="1:1">
      <c r="A424" s="39">
        <f>IF('6161 - Wallpaper'!B424 = "", "", IF('6161 - Wallpaper-WUO_ERR'!A424 = "", "Validated", HYPERLINK("#" &amp; ADDRESS(424, '6161 - Wallpaper-WUO_TRK'!A424),_xlfn.TEXTAFTER('6161 - Wallpaper-WUO_ERR'!A424, ":"))))</f>
        <v>0</v>
      </c>
    </row>
    <row r="425" spans="1:1">
      <c r="A425" s="39">
        <f>IF('6161 - Wallpaper'!B425 = "", "", IF('6161 - Wallpaper-WUO_ERR'!A425 = "", "Validated", HYPERLINK("#" &amp; ADDRESS(425, '6161 - Wallpaper-WUO_TRK'!A425),_xlfn.TEXTAFTER('6161 - Wallpaper-WUO_ERR'!A425, ":"))))</f>
        <v>0</v>
      </c>
    </row>
    <row r="426" spans="1:1">
      <c r="A426" s="39">
        <f>IF('6161 - Wallpaper'!B426 = "", "", IF('6161 - Wallpaper-WUO_ERR'!A426 = "", "Validated", HYPERLINK("#" &amp; ADDRESS(426, '6161 - Wallpaper-WUO_TRK'!A426),_xlfn.TEXTAFTER('6161 - Wallpaper-WUO_ERR'!A426, ":"))))</f>
        <v>0</v>
      </c>
    </row>
    <row r="427" spans="1:1">
      <c r="A427" s="39">
        <f>IF('6161 - Wallpaper'!B427 = "", "", IF('6161 - Wallpaper-WUO_ERR'!A427 = "", "Validated", HYPERLINK("#" &amp; ADDRESS(427, '6161 - Wallpaper-WUO_TRK'!A427),_xlfn.TEXTAFTER('6161 - Wallpaper-WUO_ERR'!A427, ":"))))</f>
        <v>0</v>
      </c>
    </row>
    <row r="428" spans="1:1">
      <c r="A428" s="39">
        <f>IF('6161 - Wallpaper'!B428 = "", "", IF('6161 - Wallpaper-WUO_ERR'!A428 = "", "Validated", HYPERLINK("#" &amp; ADDRESS(428, '6161 - Wallpaper-WUO_TRK'!A428),_xlfn.TEXTAFTER('6161 - Wallpaper-WUO_ERR'!A428, ":"))))</f>
        <v>0</v>
      </c>
    </row>
    <row r="429" spans="1:1">
      <c r="A429" s="39">
        <f>IF('6161 - Wallpaper'!B429 = "", "", IF('6161 - Wallpaper-WUO_ERR'!A429 = "", "Validated", HYPERLINK("#" &amp; ADDRESS(429, '6161 - Wallpaper-WUO_TRK'!A429),_xlfn.TEXTAFTER('6161 - Wallpaper-WUO_ERR'!A429, ":"))))</f>
        <v>0</v>
      </c>
    </row>
    <row r="430" spans="1:1">
      <c r="A430" s="39">
        <f>IF('6161 - Wallpaper'!B430 = "", "", IF('6161 - Wallpaper-WUO_ERR'!A430 = "", "Validated", HYPERLINK("#" &amp; ADDRESS(430, '6161 - Wallpaper-WUO_TRK'!A430),_xlfn.TEXTAFTER('6161 - Wallpaper-WUO_ERR'!A430, ":"))))</f>
        <v>0</v>
      </c>
    </row>
    <row r="431" spans="1:1">
      <c r="A431" s="39">
        <f>IF('6161 - Wallpaper'!B431 = "", "", IF('6161 - Wallpaper-WUO_ERR'!A431 = "", "Validated", HYPERLINK("#" &amp; ADDRESS(431, '6161 - Wallpaper-WUO_TRK'!A431),_xlfn.TEXTAFTER('6161 - Wallpaper-WUO_ERR'!A431, ":"))))</f>
        <v>0</v>
      </c>
    </row>
    <row r="432" spans="1:1">
      <c r="A432" s="39">
        <f>IF('6161 - Wallpaper'!B432 = "", "", IF('6161 - Wallpaper-WUO_ERR'!A432 = "", "Validated", HYPERLINK("#" &amp; ADDRESS(432, '6161 - Wallpaper-WUO_TRK'!A432),_xlfn.TEXTAFTER('6161 - Wallpaper-WUO_ERR'!A432, ":"))))</f>
        <v>0</v>
      </c>
    </row>
    <row r="433" spans="1:1">
      <c r="A433" s="39">
        <f>IF('6161 - Wallpaper'!B433 = "", "", IF('6161 - Wallpaper-WUO_ERR'!A433 = "", "Validated", HYPERLINK("#" &amp; ADDRESS(433, '6161 - Wallpaper-WUO_TRK'!A433),_xlfn.TEXTAFTER('6161 - Wallpaper-WUO_ERR'!A433, ":"))))</f>
        <v>0</v>
      </c>
    </row>
    <row r="434" spans="1:1">
      <c r="A434" s="39">
        <f>IF('6161 - Wallpaper'!B434 = "", "", IF('6161 - Wallpaper-WUO_ERR'!A434 = "", "Validated", HYPERLINK("#" &amp; ADDRESS(434, '6161 - Wallpaper-WUO_TRK'!A434),_xlfn.TEXTAFTER('6161 - Wallpaper-WUO_ERR'!A434, ":"))))</f>
        <v>0</v>
      </c>
    </row>
    <row r="435" spans="1:1">
      <c r="A435" s="39">
        <f>IF('6161 - Wallpaper'!B435 = "", "", IF('6161 - Wallpaper-WUO_ERR'!A435 = "", "Validated", HYPERLINK("#" &amp; ADDRESS(435, '6161 - Wallpaper-WUO_TRK'!A435),_xlfn.TEXTAFTER('6161 - Wallpaper-WUO_ERR'!A435, ":"))))</f>
        <v>0</v>
      </c>
    </row>
    <row r="436" spans="1:1">
      <c r="A436" s="39">
        <f>IF('6161 - Wallpaper'!B436 = "", "", IF('6161 - Wallpaper-WUO_ERR'!A436 = "", "Validated", HYPERLINK("#" &amp; ADDRESS(436, '6161 - Wallpaper-WUO_TRK'!A436),_xlfn.TEXTAFTER('6161 - Wallpaper-WUO_ERR'!A436, ":"))))</f>
        <v>0</v>
      </c>
    </row>
    <row r="437" spans="1:1">
      <c r="A437" s="39">
        <f>IF('6161 - Wallpaper'!B437 = "", "", IF('6161 - Wallpaper-WUO_ERR'!A437 = "", "Validated", HYPERLINK("#" &amp; ADDRESS(437, '6161 - Wallpaper-WUO_TRK'!A437),_xlfn.TEXTAFTER('6161 - Wallpaper-WUO_ERR'!A437, ":"))))</f>
        <v>0</v>
      </c>
    </row>
    <row r="438" spans="1:1">
      <c r="A438" s="39">
        <f>IF('6161 - Wallpaper'!B438 = "", "", IF('6161 - Wallpaper-WUO_ERR'!A438 = "", "Validated", HYPERLINK("#" &amp; ADDRESS(438, '6161 - Wallpaper-WUO_TRK'!A438),_xlfn.TEXTAFTER('6161 - Wallpaper-WUO_ERR'!A438, ":"))))</f>
        <v>0</v>
      </c>
    </row>
    <row r="439" spans="1:1">
      <c r="A439" s="39">
        <f>IF('6161 - Wallpaper'!B439 = "", "", IF('6161 - Wallpaper-WUO_ERR'!A439 = "", "Validated", HYPERLINK("#" &amp; ADDRESS(439, '6161 - Wallpaper-WUO_TRK'!A439),_xlfn.TEXTAFTER('6161 - Wallpaper-WUO_ERR'!A439, ":"))))</f>
        <v>0</v>
      </c>
    </row>
    <row r="440" spans="1:1">
      <c r="A440" s="39">
        <f>IF('6161 - Wallpaper'!B440 = "", "", IF('6161 - Wallpaper-WUO_ERR'!A440 = "", "Validated", HYPERLINK("#" &amp; ADDRESS(440, '6161 - Wallpaper-WUO_TRK'!A440),_xlfn.TEXTAFTER('6161 - Wallpaper-WUO_ERR'!A440, ":"))))</f>
        <v>0</v>
      </c>
    </row>
    <row r="441" spans="1:1">
      <c r="A441" s="39">
        <f>IF('6161 - Wallpaper'!B441 = "", "", IF('6161 - Wallpaper-WUO_ERR'!A441 = "", "Validated", HYPERLINK("#" &amp; ADDRESS(441, '6161 - Wallpaper-WUO_TRK'!A441),_xlfn.TEXTAFTER('6161 - Wallpaper-WUO_ERR'!A441, ":"))))</f>
        <v>0</v>
      </c>
    </row>
    <row r="442" spans="1:1">
      <c r="A442" s="39">
        <f>IF('6161 - Wallpaper'!B442 = "", "", IF('6161 - Wallpaper-WUO_ERR'!A442 = "", "Validated", HYPERLINK("#" &amp; ADDRESS(442, '6161 - Wallpaper-WUO_TRK'!A442),_xlfn.TEXTAFTER('6161 - Wallpaper-WUO_ERR'!A442, ":"))))</f>
        <v>0</v>
      </c>
    </row>
    <row r="443" spans="1:1">
      <c r="A443" s="39">
        <f>IF('6161 - Wallpaper'!B443 = "", "", IF('6161 - Wallpaper-WUO_ERR'!A443 = "", "Validated", HYPERLINK("#" &amp; ADDRESS(443, '6161 - Wallpaper-WUO_TRK'!A443),_xlfn.TEXTAFTER('6161 - Wallpaper-WUO_ERR'!A443, ":"))))</f>
        <v>0</v>
      </c>
    </row>
    <row r="444" spans="1:1">
      <c r="A444" s="39">
        <f>IF('6161 - Wallpaper'!B444 = "", "", IF('6161 - Wallpaper-WUO_ERR'!A444 = "", "Validated", HYPERLINK("#" &amp; ADDRESS(444, '6161 - Wallpaper-WUO_TRK'!A444),_xlfn.TEXTAFTER('6161 - Wallpaper-WUO_ERR'!A444, ":"))))</f>
        <v>0</v>
      </c>
    </row>
    <row r="445" spans="1:1">
      <c r="A445" s="39">
        <f>IF('6161 - Wallpaper'!B445 = "", "", IF('6161 - Wallpaper-WUO_ERR'!A445 = "", "Validated", HYPERLINK("#" &amp; ADDRESS(445, '6161 - Wallpaper-WUO_TRK'!A445),_xlfn.TEXTAFTER('6161 - Wallpaper-WUO_ERR'!A445, ":"))))</f>
        <v>0</v>
      </c>
    </row>
    <row r="446" spans="1:1">
      <c r="A446" s="39">
        <f>IF('6161 - Wallpaper'!B446 = "", "", IF('6161 - Wallpaper-WUO_ERR'!A446 = "", "Validated", HYPERLINK("#" &amp; ADDRESS(446, '6161 - Wallpaper-WUO_TRK'!A446),_xlfn.TEXTAFTER('6161 - Wallpaper-WUO_ERR'!A446, ":"))))</f>
        <v>0</v>
      </c>
    </row>
    <row r="447" spans="1:1">
      <c r="A447" s="39">
        <f>IF('6161 - Wallpaper'!B447 = "", "", IF('6161 - Wallpaper-WUO_ERR'!A447 = "", "Validated", HYPERLINK("#" &amp; ADDRESS(447, '6161 - Wallpaper-WUO_TRK'!A447),_xlfn.TEXTAFTER('6161 - Wallpaper-WUO_ERR'!A447, ":"))))</f>
        <v>0</v>
      </c>
    </row>
    <row r="448" spans="1:1">
      <c r="A448" s="39">
        <f>IF('6161 - Wallpaper'!B448 = "", "", IF('6161 - Wallpaper-WUO_ERR'!A448 = "", "Validated", HYPERLINK("#" &amp; ADDRESS(448, '6161 - Wallpaper-WUO_TRK'!A448),_xlfn.TEXTAFTER('6161 - Wallpaper-WUO_ERR'!A448, ":"))))</f>
        <v>0</v>
      </c>
    </row>
    <row r="449" spans="1:1">
      <c r="A449" s="39">
        <f>IF('6161 - Wallpaper'!B449 = "", "", IF('6161 - Wallpaper-WUO_ERR'!A449 = "", "Validated", HYPERLINK("#" &amp; ADDRESS(449, '6161 - Wallpaper-WUO_TRK'!A449),_xlfn.TEXTAFTER('6161 - Wallpaper-WUO_ERR'!A449, ":"))))</f>
        <v>0</v>
      </c>
    </row>
    <row r="450" spans="1:1">
      <c r="A450" s="39">
        <f>IF('6161 - Wallpaper'!B450 = "", "", IF('6161 - Wallpaper-WUO_ERR'!A450 = "", "Validated", HYPERLINK("#" &amp; ADDRESS(450, '6161 - Wallpaper-WUO_TRK'!A450),_xlfn.TEXTAFTER('6161 - Wallpaper-WUO_ERR'!A450, ":"))))</f>
        <v>0</v>
      </c>
    </row>
    <row r="451" spans="1:1">
      <c r="A451" s="39">
        <f>IF('6161 - Wallpaper'!B451 = "", "", IF('6161 - Wallpaper-WUO_ERR'!A451 = "", "Validated", HYPERLINK("#" &amp; ADDRESS(451, '6161 - Wallpaper-WUO_TRK'!A451),_xlfn.TEXTAFTER('6161 - Wallpaper-WUO_ERR'!A451, ":"))))</f>
        <v>0</v>
      </c>
    </row>
    <row r="452" spans="1:1">
      <c r="A452" s="39">
        <f>IF('6161 - Wallpaper'!B452 = "", "", IF('6161 - Wallpaper-WUO_ERR'!A452 = "", "Validated", HYPERLINK("#" &amp; ADDRESS(452, '6161 - Wallpaper-WUO_TRK'!A452),_xlfn.TEXTAFTER('6161 - Wallpaper-WUO_ERR'!A452, ":"))))</f>
        <v>0</v>
      </c>
    </row>
    <row r="453" spans="1:1">
      <c r="A453" s="39">
        <f>IF('6161 - Wallpaper'!B453 = "", "", IF('6161 - Wallpaper-WUO_ERR'!A453 = "", "Validated", HYPERLINK("#" &amp; ADDRESS(453, '6161 - Wallpaper-WUO_TRK'!A453),_xlfn.TEXTAFTER('6161 - Wallpaper-WUO_ERR'!A453, ":"))))</f>
        <v>0</v>
      </c>
    </row>
    <row r="454" spans="1:1">
      <c r="A454" s="39">
        <f>IF('6161 - Wallpaper'!B454 = "", "", IF('6161 - Wallpaper-WUO_ERR'!A454 = "", "Validated", HYPERLINK("#" &amp; ADDRESS(454, '6161 - Wallpaper-WUO_TRK'!A454),_xlfn.TEXTAFTER('6161 - Wallpaper-WUO_ERR'!A454, ":"))))</f>
        <v>0</v>
      </c>
    </row>
    <row r="455" spans="1:1">
      <c r="A455" s="39">
        <f>IF('6161 - Wallpaper'!B455 = "", "", IF('6161 - Wallpaper-WUO_ERR'!A455 = "", "Validated", HYPERLINK("#" &amp; ADDRESS(455, '6161 - Wallpaper-WUO_TRK'!A455),_xlfn.TEXTAFTER('6161 - Wallpaper-WUO_ERR'!A455, ":"))))</f>
        <v>0</v>
      </c>
    </row>
    <row r="456" spans="1:1">
      <c r="A456" s="39">
        <f>IF('6161 - Wallpaper'!B456 = "", "", IF('6161 - Wallpaper-WUO_ERR'!A456 = "", "Validated", HYPERLINK("#" &amp; ADDRESS(456, '6161 - Wallpaper-WUO_TRK'!A456),_xlfn.TEXTAFTER('6161 - Wallpaper-WUO_ERR'!A456, ":"))))</f>
        <v>0</v>
      </c>
    </row>
    <row r="457" spans="1:1">
      <c r="A457" s="39">
        <f>IF('6161 - Wallpaper'!B457 = "", "", IF('6161 - Wallpaper-WUO_ERR'!A457 = "", "Validated", HYPERLINK("#" &amp; ADDRESS(457, '6161 - Wallpaper-WUO_TRK'!A457),_xlfn.TEXTAFTER('6161 - Wallpaper-WUO_ERR'!A457, ":"))))</f>
        <v>0</v>
      </c>
    </row>
    <row r="458" spans="1:1">
      <c r="A458" s="39">
        <f>IF('6161 - Wallpaper'!B458 = "", "", IF('6161 - Wallpaper-WUO_ERR'!A458 = "", "Validated", HYPERLINK("#" &amp; ADDRESS(458, '6161 - Wallpaper-WUO_TRK'!A458),_xlfn.TEXTAFTER('6161 - Wallpaper-WUO_ERR'!A458, ":"))))</f>
        <v>0</v>
      </c>
    </row>
    <row r="459" spans="1:1">
      <c r="A459" s="39">
        <f>IF('6161 - Wallpaper'!B459 = "", "", IF('6161 - Wallpaper-WUO_ERR'!A459 = "", "Validated", HYPERLINK("#" &amp; ADDRESS(459, '6161 - Wallpaper-WUO_TRK'!A459),_xlfn.TEXTAFTER('6161 - Wallpaper-WUO_ERR'!A459, ":"))))</f>
        <v>0</v>
      </c>
    </row>
    <row r="460" spans="1:1">
      <c r="A460" s="39">
        <f>IF('6161 - Wallpaper'!B460 = "", "", IF('6161 - Wallpaper-WUO_ERR'!A460 = "", "Validated", HYPERLINK("#" &amp; ADDRESS(460, '6161 - Wallpaper-WUO_TRK'!A460),_xlfn.TEXTAFTER('6161 - Wallpaper-WUO_ERR'!A460, ":"))))</f>
        <v>0</v>
      </c>
    </row>
    <row r="461" spans="1:1">
      <c r="A461" s="39">
        <f>IF('6161 - Wallpaper'!B461 = "", "", IF('6161 - Wallpaper-WUO_ERR'!A461 = "", "Validated", HYPERLINK("#" &amp; ADDRESS(461, '6161 - Wallpaper-WUO_TRK'!A461),_xlfn.TEXTAFTER('6161 - Wallpaper-WUO_ERR'!A461, ":"))))</f>
        <v>0</v>
      </c>
    </row>
    <row r="462" spans="1:1">
      <c r="A462" s="39">
        <f>IF('6161 - Wallpaper'!B462 = "", "", IF('6161 - Wallpaper-WUO_ERR'!A462 = "", "Validated", HYPERLINK("#" &amp; ADDRESS(462, '6161 - Wallpaper-WUO_TRK'!A462),_xlfn.TEXTAFTER('6161 - Wallpaper-WUO_ERR'!A462, ":"))))</f>
        <v>0</v>
      </c>
    </row>
    <row r="463" spans="1:1">
      <c r="A463" s="39">
        <f>IF('6161 - Wallpaper'!B463 = "", "", IF('6161 - Wallpaper-WUO_ERR'!A463 = "", "Validated", HYPERLINK("#" &amp; ADDRESS(463, '6161 - Wallpaper-WUO_TRK'!A463),_xlfn.TEXTAFTER('6161 - Wallpaper-WUO_ERR'!A463, ":"))))</f>
        <v>0</v>
      </c>
    </row>
    <row r="464" spans="1:1">
      <c r="A464" s="39">
        <f>IF('6161 - Wallpaper'!B464 = "", "", IF('6161 - Wallpaper-WUO_ERR'!A464 = "", "Validated", HYPERLINK("#" &amp; ADDRESS(464, '6161 - Wallpaper-WUO_TRK'!A464),_xlfn.TEXTAFTER('6161 - Wallpaper-WUO_ERR'!A464, ":"))))</f>
        <v>0</v>
      </c>
    </row>
    <row r="465" spans="1:1">
      <c r="A465" s="39">
        <f>IF('6161 - Wallpaper'!B465 = "", "", IF('6161 - Wallpaper-WUO_ERR'!A465 = "", "Validated", HYPERLINK("#" &amp; ADDRESS(465, '6161 - Wallpaper-WUO_TRK'!A465),_xlfn.TEXTAFTER('6161 - Wallpaper-WUO_ERR'!A465, ":"))))</f>
        <v>0</v>
      </c>
    </row>
    <row r="466" spans="1:1">
      <c r="A466" s="39">
        <f>IF('6161 - Wallpaper'!B466 = "", "", IF('6161 - Wallpaper-WUO_ERR'!A466 = "", "Validated", HYPERLINK("#" &amp; ADDRESS(466, '6161 - Wallpaper-WUO_TRK'!A466),_xlfn.TEXTAFTER('6161 - Wallpaper-WUO_ERR'!A466, ":"))))</f>
        <v>0</v>
      </c>
    </row>
    <row r="467" spans="1:1">
      <c r="A467" s="39">
        <f>IF('6161 - Wallpaper'!B467 = "", "", IF('6161 - Wallpaper-WUO_ERR'!A467 = "", "Validated", HYPERLINK("#" &amp; ADDRESS(467, '6161 - Wallpaper-WUO_TRK'!A467),_xlfn.TEXTAFTER('6161 - Wallpaper-WUO_ERR'!A467, ":"))))</f>
        <v>0</v>
      </c>
    </row>
    <row r="468" spans="1:1">
      <c r="A468" s="39">
        <f>IF('6161 - Wallpaper'!B468 = "", "", IF('6161 - Wallpaper-WUO_ERR'!A468 = "", "Validated", HYPERLINK("#" &amp; ADDRESS(468, '6161 - Wallpaper-WUO_TRK'!A468),_xlfn.TEXTAFTER('6161 - Wallpaper-WUO_ERR'!A468, ":"))))</f>
        <v>0</v>
      </c>
    </row>
    <row r="469" spans="1:1">
      <c r="A469" s="39">
        <f>IF('6161 - Wallpaper'!B469 = "", "", IF('6161 - Wallpaper-WUO_ERR'!A469 = "", "Validated", HYPERLINK("#" &amp; ADDRESS(469, '6161 - Wallpaper-WUO_TRK'!A469),_xlfn.TEXTAFTER('6161 - Wallpaper-WUO_ERR'!A469, ":"))))</f>
        <v>0</v>
      </c>
    </row>
    <row r="470" spans="1:1">
      <c r="A470" s="39">
        <f>IF('6161 - Wallpaper'!B470 = "", "", IF('6161 - Wallpaper-WUO_ERR'!A470 = "", "Validated", HYPERLINK("#" &amp; ADDRESS(470, '6161 - Wallpaper-WUO_TRK'!A470),_xlfn.TEXTAFTER('6161 - Wallpaper-WUO_ERR'!A470, ":"))))</f>
        <v>0</v>
      </c>
    </row>
    <row r="471" spans="1:1">
      <c r="A471" s="39">
        <f>IF('6161 - Wallpaper'!B471 = "", "", IF('6161 - Wallpaper-WUO_ERR'!A471 = "", "Validated", HYPERLINK("#" &amp; ADDRESS(471, '6161 - Wallpaper-WUO_TRK'!A471),_xlfn.TEXTAFTER('6161 - Wallpaper-WUO_ERR'!A471, ":"))))</f>
        <v>0</v>
      </c>
    </row>
    <row r="472" spans="1:1">
      <c r="A472" s="39">
        <f>IF('6161 - Wallpaper'!B472 = "", "", IF('6161 - Wallpaper-WUO_ERR'!A472 = "", "Validated", HYPERLINK("#" &amp; ADDRESS(472, '6161 - Wallpaper-WUO_TRK'!A472),_xlfn.TEXTAFTER('6161 - Wallpaper-WUO_ERR'!A472, ":"))))</f>
        <v>0</v>
      </c>
    </row>
    <row r="473" spans="1:1">
      <c r="A473" s="39">
        <f>IF('6161 - Wallpaper'!B473 = "", "", IF('6161 - Wallpaper-WUO_ERR'!A473 = "", "Validated", HYPERLINK("#" &amp; ADDRESS(473, '6161 - Wallpaper-WUO_TRK'!A473),_xlfn.TEXTAFTER('6161 - Wallpaper-WUO_ERR'!A473, ":"))))</f>
        <v>0</v>
      </c>
    </row>
    <row r="474" spans="1:1">
      <c r="A474" s="39">
        <f>IF('6161 - Wallpaper'!B474 = "", "", IF('6161 - Wallpaper-WUO_ERR'!A474 = "", "Validated", HYPERLINK("#" &amp; ADDRESS(474, '6161 - Wallpaper-WUO_TRK'!A474),_xlfn.TEXTAFTER('6161 - Wallpaper-WUO_ERR'!A474, ":"))))</f>
        <v>0</v>
      </c>
    </row>
    <row r="475" spans="1:1">
      <c r="A475" s="39">
        <f>IF('6161 - Wallpaper'!B475 = "", "", IF('6161 - Wallpaper-WUO_ERR'!A475 = "", "Validated", HYPERLINK("#" &amp; ADDRESS(475, '6161 - Wallpaper-WUO_TRK'!A475),_xlfn.TEXTAFTER('6161 - Wallpaper-WUO_ERR'!A475, ":"))))</f>
        <v>0</v>
      </c>
    </row>
    <row r="476" spans="1:1">
      <c r="A476" s="39">
        <f>IF('6161 - Wallpaper'!B476 = "", "", IF('6161 - Wallpaper-WUO_ERR'!A476 = "", "Validated", HYPERLINK("#" &amp; ADDRESS(476, '6161 - Wallpaper-WUO_TRK'!A476),_xlfn.TEXTAFTER('6161 - Wallpaper-WUO_ERR'!A476, ":"))))</f>
        <v>0</v>
      </c>
    </row>
    <row r="477" spans="1:1">
      <c r="A477" s="39">
        <f>IF('6161 - Wallpaper'!B477 = "", "", IF('6161 - Wallpaper-WUO_ERR'!A477 = "", "Validated", HYPERLINK("#" &amp; ADDRESS(477, '6161 - Wallpaper-WUO_TRK'!A477),_xlfn.TEXTAFTER('6161 - Wallpaper-WUO_ERR'!A477, ":"))))</f>
        <v>0</v>
      </c>
    </row>
    <row r="478" spans="1:1">
      <c r="A478" s="39">
        <f>IF('6161 - Wallpaper'!B478 = "", "", IF('6161 - Wallpaper-WUO_ERR'!A478 = "", "Validated", HYPERLINK("#" &amp; ADDRESS(478, '6161 - Wallpaper-WUO_TRK'!A478),_xlfn.TEXTAFTER('6161 - Wallpaper-WUO_ERR'!A478, ":"))))</f>
        <v>0</v>
      </c>
    </row>
    <row r="479" spans="1:1">
      <c r="A479" s="39">
        <f>IF('6161 - Wallpaper'!B479 = "", "", IF('6161 - Wallpaper-WUO_ERR'!A479 = "", "Validated", HYPERLINK("#" &amp; ADDRESS(479, '6161 - Wallpaper-WUO_TRK'!A479),_xlfn.TEXTAFTER('6161 - Wallpaper-WUO_ERR'!A479, ":"))))</f>
        <v>0</v>
      </c>
    </row>
    <row r="480" spans="1:1">
      <c r="A480" s="39">
        <f>IF('6161 - Wallpaper'!B480 = "", "", IF('6161 - Wallpaper-WUO_ERR'!A480 = "", "Validated", HYPERLINK("#" &amp; ADDRESS(480, '6161 - Wallpaper-WUO_TRK'!A480),_xlfn.TEXTAFTER('6161 - Wallpaper-WUO_ERR'!A480, ":"))))</f>
        <v>0</v>
      </c>
    </row>
    <row r="481" spans="1:1">
      <c r="A481" s="39">
        <f>IF('6161 - Wallpaper'!B481 = "", "", IF('6161 - Wallpaper-WUO_ERR'!A481 = "", "Validated", HYPERLINK("#" &amp; ADDRESS(481, '6161 - Wallpaper-WUO_TRK'!A481),_xlfn.TEXTAFTER('6161 - Wallpaper-WUO_ERR'!A481, ":"))))</f>
        <v>0</v>
      </c>
    </row>
    <row r="482" spans="1:1">
      <c r="A482" s="39">
        <f>IF('6161 - Wallpaper'!B482 = "", "", IF('6161 - Wallpaper-WUO_ERR'!A482 = "", "Validated", HYPERLINK("#" &amp; ADDRESS(482, '6161 - Wallpaper-WUO_TRK'!A482),_xlfn.TEXTAFTER('6161 - Wallpaper-WUO_ERR'!A482, ":"))))</f>
        <v>0</v>
      </c>
    </row>
    <row r="483" spans="1:1">
      <c r="A483" s="39">
        <f>IF('6161 - Wallpaper'!B483 = "", "", IF('6161 - Wallpaper-WUO_ERR'!A483 = "", "Validated", HYPERLINK("#" &amp; ADDRESS(483, '6161 - Wallpaper-WUO_TRK'!A483),_xlfn.TEXTAFTER('6161 - Wallpaper-WUO_ERR'!A483, ":"))))</f>
        <v>0</v>
      </c>
    </row>
    <row r="484" spans="1:1">
      <c r="A484" s="39">
        <f>IF('6161 - Wallpaper'!B484 = "", "", IF('6161 - Wallpaper-WUO_ERR'!A484 = "", "Validated", HYPERLINK("#" &amp; ADDRESS(484, '6161 - Wallpaper-WUO_TRK'!A484),_xlfn.TEXTAFTER('6161 - Wallpaper-WUO_ERR'!A484, ":"))))</f>
        <v>0</v>
      </c>
    </row>
    <row r="485" spans="1:1">
      <c r="A485" s="39">
        <f>IF('6161 - Wallpaper'!B485 = "", "", IF('6161 - Wallpaper-WUO_ERR'!A485 = "", "Validated", HYPERLINK("#" &amp; ADDRESS(485, '6161 - Wallpaper-WUO_TRK'!A485),_xlfn.TEXTAFTER('6161 - Wallpaper-WUO_ERR'!A485, ":"))))</f>
        <v>0</v>
      </c>
    </row>
    <row r="486" spans="1:1">
      <c r="A486" s="39">
        <f>IF('6161 - Wallpaper'!B486 = "", "", IF('6161 - Wallpaper-WUO_ERR'!A486 = "", "Validated", HYPERLINK("#" &amp; ADDRESS(486, '6161 - Wallpaper-WUO_TRK'!A486),_xlfn.TEXTAFTER('6161 - Wallpaper-WUO_ERR'!A486, ":"))))</f>
        <v>0</v>
      </c>
    </row>
    <row r="487" spans="1:1">
      <c r="A487" s="39">
        <f>IF('6161 - Wallpaper'!B487 = "", "", IF('6161 - Wallpaper-WUO_ERR'!A487 = "", "Validated", HYPERLINK("#" &amp; ADDRESS(487, '6161 - Wallpaper-WUO_TRK'!A487),_xlfn.TEXTAFTER('6161 - Wallpaper-WUO_ERR'!A487, ":"))))</f>
        <v>0</v>
      </c>
    </row>
    <row r="488" spans="1:1">
      <c r="A488" s="39">
        <f>IF('6161 - Wallpaper'!B488 = "", "", IF('6161 - Wallpaper-WUO_ERR'!A488 = "", "Validated", HYPERLINK("#" &amp; ADDRESS(488, '6161 - Wallpaper-WUO_TRK'!A488),_xlfn.TEXTAFTER('6161 - Wallpaper-WUO_ERR'!A488, ":"))))</f>
        <v>0</v>
      </c>
    </row>
    <row r="489" spans="1:1">
      <c r="A489" s="39">
        <f>IF('6161 - Wallpaper'!B489 = "", "", IF('6161 - Wallpaper-WUO_ERR'!A489 = "", "Validated", HYPERLINK("#" &amp; ADDRESS(489, '6161 - Wallpaper-WUO_TRK'!A489),_xlfn.TEXTAFTER('6161 - Wallpaper-WUO_ERR'!A489, ":"))))</f>
        <v>0</v>
      </c>
    </row>
    <row r="490" spans="1:1">
      <c r="A490" s="39">
        <f>IF('6161 - Wallpaper'!B490 = "", "", IF('6161 - Wallpaper-WUO_ERR'!A490 = "", "Validated", HYPERLINK("#" &amp; ADDRESS(490, '6161 - Wallpaper-WUO_TRK'!A490),_xlfn.TEXTAFTER('6161 - Wallpaper-WUO_ERR'!A490, ":"))))</f>
        <v>0</v>
      </c>
    </row>
    <row r="491" spans="1:1">
      <c r="A491" s="39">
        <f>IF('6161 - Wallpaper'!B491 = "", "", IF('6161 - Wallpaper-WUO_ERR'!A491 = "", "Validated", HYPERLINK("#" &amp; ADDRESS(491, '6161 - Wallpaper-WUO_TRK'!A491),_xlfn.TEXTAFTER('6161 - Wallpaper-WUO_ERR'!A491, ":"))))</f>
        <v>0</v>
      </c>
    </row>
    <row r="492" spans="1:1">
      <c r="A492" s="39">
        <f>IF('6161 - Wallpaper'!B492 = "", "", IF('6161 - Wallpaper-WUO_ERR'!A492 = "", "Validated", HYPERLINK("#" &amp; ADDRESS(492, '6161 - Wallpaper-WUO_TRK'!A492),_xlfn.TEXTAFTER('6161 - Wallpaper-WUO_ERR'!A492, ":"))))</f>
        <v>0</v>
      </c>
    </row>
    <row r="493" spans="1:1">
      <c r="A493" s="39">
        <f>IF('6161 - Wallpaper'!B493 = "", "", IF('6161 - Wallpaper-WUO_ERR'!A493 = "", "Validated", HYPERLINK("#" &amp; ADDRESS(493, '6161 - Wallpaper-WUO_TRK'!A493),_xlfn.TEXTAFTER('6161 - Wallpaper-WUO_ERR'!A493, ":"))))</f>
        <v>0</v>
      </c>
    </row>
    <row r="494" spans="1:1">
      <c r="A494" s="39">
        <f>IF('6161 - Wallpaper'!B494 = "", "", IF('6161 - Wallpaper-WUO_ERR'!A494 = "", "Validated", HYPERLINK("#" &amp; ADDRESS(494, '6161 - Wallpaper-WUO_TRK'!A494),_xlfn.TEXTAFTER('6161 - Wallpaper-WUO_ERR'!A494, ":"))))</f>
        <v>0</v>
      </c>
    </row>
    <row r="495" spans="1:1">
      <c r="A495" s="39">
        <f>IF('6161 - Wallpaper'!B495 = "", "", IF('6161 - Wallpaper-WUO_ERR'!A495 = "", "Validated", HYPERLINK("#" &amp; ADDRESS(495, '6161 - Wallpaper-WUO_TRK'!A495),_xlfn.TEXTAFTER('6161 - Wallpaper-WUO_ERR'!A495, ":"))))</f>
        <v>0</v>
      </c>
    </row>
    <row r="496" spans="1:1">
      <c r="A496" s="39">
        <f>IF('6161 - Wallpaper'!B496 = "", "", IF('6161 - Wallpaper-WUO_ERR'!A496 = "", "Validated", HYPERLINK("#" &amp; ADDRESS(496, '6161 - Wallpaper-WUO_TRK'!A496),_xlfn.TEXTAFTER('6161 - Wallpaper-WUO_ERR'!A496, ":"))))</f>
        <v>0</v>
      </c>
    </row>
    <row r="497" spans="1:1">
      <c r="A497" s="39">
        <f>IF('6161 - Wallpaper'!B497 = "", "", IF('6161 - Wallpaper-WUO_ERR'!A497 = "", "Validated", HYPERLINK("#" &amp; ADDRESS(497, '6161 - Wallpaper-WUO_TRK'!A497),_xlfn.TEXTAFTER('6161 - Wallpaper-WUO_ERR'!A497, ":"))))</f>
        <v>0</v>
      </c>
    </row>
    <row r="498" spans="1:1">
      <c r="A498" s="39">
        <f>IF('6161 - Wallpaper'!B498 = "", "", IF('6161 - Wallpaper-WUO_ERR'!A498 = "", "Validated", HYPERLINK("#" &amp; ADDRESS(498, '6161 - Wallpaper-WUO_TRK'!A498),_xlfn.TEXTAFTER('6161 - Wallpaper-WUO_ERR'!A498, ":"))))</f>
        <v>0</v>
      </c>
    </row>
    <row r="499" spans="1:1">
      <c r="A499" s="39">
        <f>IF('6161 - Wallpaper'!B499 = "", "", IF('6161 - Wallpaper-WUO_ERR'!A499 = "", "Validated", HYPERLINK("#" &amp; ADDRESS(499, '6161 - Wallpaper-WUO_TRK'!A499),_xlfn.TEXTAFTER('6161 - Wallpaper-WUO_ERR'!A499, ":"))))</f>
        <v>0</v>
      </c>
    </row>
    <row r="500" spans="1:1">
      <c r="A500" s="39">
        <f>IF('6161 - Wallpaper'!B500 = "", "", IF('6161 - Wallpaper-WUO_ERR'!A500 = "", "Validated", HYPERLINK("#" &amp; ADDRESS(500, '6161 - Wallpaper-WUO_TRK'!A500),_xlfn.TEXTAFTER('6161 - Wallpaper-WUO_ERR'!A500, ":"))))</f>
        <v>0</v>
      </c>
    </row>
    <row r="501" spans="1:1">
      <c r="A501" s="39">
        <f>IF('6161 - Wallpaper'!B501 = "", "", IF('6161 - Wallpaper-WUO_ERR'!A501 = "", "Validated", HYPERLINK("#" &amp; ADDRESS(501, '6161 - Wallpaper-WUO_TRK'!A501),_xlfn.TEXTAFTER('6161 - Wallpaper-WUO_ERR'!A501, ":"))))</f>
        <v>0</v>
      </c>
    </row>
    <row r="502" spans="1:1">
      <c r="A502" s="39">
        <f>IF('6161 - Wallpaper'!B502 = "", "", IF('6161 - Wallpaper-WUO_ERR'!A502 = "", "Validated", HYPERLINK("#" &amp; ADDRESS(502, '6161 - Wallpaper-WUO_TRK'!A502),_xlfn.TEXTAFTER('6161 - Wallpaper-WUO_ERR'!A502, ":"))))</f>
        <v>0</v>
      </c>
    </row>
    <row r="503" spans="1:1">
      <c r="A503" s="39">
        <f>IF('6161 - Wallpaper'!B503 = "", "", IF('6161 - Wallpaper-WUO_ERR'!A503 = "", "Validated", HYPERLINK("#" &amp; ADDRESS(503, '6161 - Wallpaper-WUO_TRK'!A503),_xlfn.TEXTAFTER('6161 - Wallpaper-WUO_ERR'!A503, ":"))))</f>
        <v>0</v>
      </c>
    </row>
    <row r="504" spans="1:1">
      <c r="A504" s="39">
        <f>IF('6161 - Wallpaper'!B504 = "", "", IF('6161 - Wallpaper-WUO_ERR'!A504 = "", "Validated", HYPERLINK("#" &amp; ADDRESS(504, '6161 - Wallpaper-WUO_TRK'!A504),_xlfn.TEXTAFTER('6161 - Wallpaper-WUO_ERR'!A504, ":"))))</f>
        <v>0</v>
      </c>
    </row>
    <row r="505" spans="1:1">
      <c r="A505" s="39">
        <f>IF('6161 - Wallpaper'!B505 = "", "", IF('6161 - Wallpaper-WUO_ERR'!A505 = "", "Validated", HYPERLINK("#" &amp; ADDRESS(505, '6161 - Wallpaper-WUO_TRK'!A505),_xlfn.TEXTAFTER('6161 - Wallpaper-WUO_ERR'!A505, ":"))))</f>
        <v>0</v>
      </c>
    </row>
    <row r="506" spans="1:1">
      <c r="A506" s="39">
        <f>IF('6161 - Wallpaper'!B506 = "", "", IF('6161 - Wallpaper-WUO_ERR'!A506 = "", "Validated", HYPERLINK("#" &amp; ADDRESS(506, '6161 - Wallpaper-WUO_TRK'!A506),_xlfn.TEXTAFTER('6161 - Wallpaper-WUO_ERR'!A506, ":"))))</f>
        <v>0</v>
      </c>
    </row>
    <row r="507" spans="1:1">
      <c r="A507" s="39">
        <f>IF('6161 - Wallpaper'!B507 = "", "", IF('6161 - Wallpaper-WUO_ERR'!A507 = "", "Validated", HYPERLINK("#" &amp; ADDRESS(507, '6161 - Wallpaper-WUO_TRK'!A507),_xlfn.TEXTAFTER('6161 - Wallpaper-WUO_ERR'!A507, ":"))))</f>
        <v>0</v>
      </c>
    </row>
  </sheetData>
  <sheetProtection password="B6B8" sheet="1" objects="1" scenarios="1" formatColumns="0" formatRows="0"/>
  <protectedRanges>
    <protectedRange sqref="B8:CT10000" name="Range1"/>
  </protectedRanges>
  <mergeCells count="9">
    <mergeCell ref="B2:I2"/>
    <mergeCell ref="J2:Q2"/>
    <mergeCell ref="R2:U2"/>
    <mergeCell ref="V2:AA2"/>
    <mergeCell ref="AB2:AL2"/>
    <mergeCell ref="AM2:AP2"/>
    <mergeCell ref="AQ2:BH2"/>
    <mergeCell ref="BI2:CO2"/>
    <mergeCell ref="CP2:CS2"/>
  </mergeCells>
  <conditionalFormatting sqref="A8:A507">
    <cfRule type="expression" dxfId="4" priority="5">
      <formula>A8="Validated"</formula>
    </cfRule>
    <cfRule type="expression" dxfId="5" priority="6">
      <formula>OR(COUNTIF('6161 - Wallpaper-WUO_TRK'!B8:CT8,"Error"),COUNTIF('6161 - Wallpaper-WUO_TRK'!B8:CT8,"Required"))</formula>
    </cfRule>
    <cfRule type="expression" dxfId="6" priority="7">
      <formula>COUNTIF('6161 - Wallpaper-WUO_TRK'!B8:CT8,"Warning")</formula>
    </cfRule>
  </conditionalFormatting>
  <conditionalFormatting sqref="AA7">
    <cfRule type="notContainsBlanks" dxfId="7" priority="38">
      <formula>LEN(TRIM(AA7))&gt;0</formula>
    </cfRule>
    <cfRule type="containsBlanks" dxfId="8" priority="39">
      <formula>LEN(TRIM(AA7))=0</formula>
    </cfRule>
  </conditionalFormatting>
  <conditionalFormatting sqref="AA8:AA2501">
    <cfRule type="expression" dxfId="7" priority="40">
      <formula>AND($AA$7&lt;&gt;"", AA8="")</formula>
    </cfRule>
  </conditionalFormatting>
  <conditionalFormatting sqref="AB7">
    <cfRule type="notContainsBlanks" dxfId="7" priority="41">
      <formula>LEN(TRIM(AB7))&gt;0</formula>
    </cfRule>
    <cfRule type="containsBlanks" dxfId="8" priority="42">
      <formula>LEN(TRIM(AB7))=0</formula>
    </cfRule>
  </conditionalFormatting>
  <conditionalFormatting sqref="AB8:AB2501">
    <cfRule type="expression" dxfId="7" priority="43">
      <formula>AND($AB$7&lt;&gt;"", AB8="")</formula>
    </cfRule>
  </conditionalFormatting>
  <conditionalFormatting sqref="AC7">
    <cfRule type="notContainsBlanks" dxfId="7" priority="44">
      <formula>LEN(TRIM(AC7))&gt;0</formula>
    </cfRule>
    <cfRule type="containsBlanks" dxfId="8" priority="45">
      <formula>LEN(TRIM(AC7))=0</formula>
    </cfRule>
  </conditionalFormatting>
  <conditionalFormatting sqref="AC8:AC2501">
    <cfRule type="expression" dxfId="7" priority="46">
      <formula>AND($AC$7&lt;&gt;"", AC8="")</formula>
    </cfRule>
  </conditionalFormatting>
  <conditionalFormatting sqref="AD7">
    <cfRule type="notContainsBlanks" dxfId="7" priority="47">
      <formula>LEN(TRIM(AD7))&gt;0</formula>
    </cfRule>
    <cfRule type="containsBlanks" dxfId="8" priority="48">
      <formula>LEN(TRIM(AD7))=0</formula>
    </cfRule>
  </conditionalFormatting>
  <conditionalFormatting sqref="AD8:AD2501">
    <cfRule type="expression" dxfId="7" priority="49">
      <formula>AND($AD$7&lt;&gt;"", AD8="")</formula>
    </cfRule>
  </conditionalFormatting>
  <conditionalFormatting sqref="AE7">
    <cfRule type="notContainsBlanks" dxfId="7" priority="50">
      <formula>LEN(TRIM(AE7))&gt;0</formula>
    </cfRule>
    <cfRule type="containsBlanks" dxfId="8" priority="51">
      <formula>LEN(TRIM(AE7))=0</formula>
    </cfRule>
  </conditionalFormatting>
  <conditionalFormatting sqref="AE8:AE2501">
    <cfRule type="expression" dxfId="7" priority="52">
      <formula>AND($AE$7&lt;&gt;"", AE8="")</formula>
    </cfRule>
  </conditionalFormatting>
  <conditionalFormatting sqref="AF7">
    <cfRule type="notContainsBlanks" dxfId="7" priority="53">
      <formula>LEN(TRIM(AF7))&gt;0</formula>
    </cfRule>
    <cfRule type="containsBlanks" dxfId="8" priority="54">
      <formula>LEN(TRIM(AF7))=0</formula>
    </cfRule>
  </conditionalFormatting>
  <conditionalFormatting sqref="AF8:AF2501">
    <cfRule type="expression" dxfId="7" priority="55">
      <formula>AND($AF$7&lt;&gt;"", AF8="")</formula>
    </cfRule>
  </conditionalFormatting>
  <conditionalFormatting sqref="AG7">
    <cfRule type="notContainsBlanks" dxfId="7" priority="56">
      <formula>LEN(TRIM(AG7))&gt;0</formula>
    </cfRule>
    <cfRule type="containsBlanks" dxfId="8" priority="57">
      <formula>LEN(TRIM(AG7))=0</formula>
    </cfRule>
  </conditionalFormatting>
  <conditionalFormatting sqref="AG8:AG2501">
    <cfRule type="expression" dxfId="7" priority="58">
      <formula>AND($AG$7&lt;&gt;"", AG8="")</formula>
    </cfRule>
  </conditionalFormatting>
  <conditionalFormatting sqref="AH7">
    <cfRule type="notContainsBlanks" dxfId="7" priority="59">
      <formula>LEN(TRIM(AH7))&gt;0</formula>
    </cfRule>
    <cfRule type="containsBlanks" dxfId="8" priority="60">
      <formula>LEN(TRIM(AH7))=0</formula>
    </cfRule>
  </conditionalFormatting>
  <conditionalFormatting sqref="AH8:AH2501">
    <cfRule type="expression" dxfId="7" priority="61">
      <formula>AND($AH$7&lt;&gt;"", AH8="")</formula>
    </cfRule>
  </conditionalFormatting>
  <conditionalFormatting sqref="AI7">
    <cfRule type="notContainsBlanks" dxfId="7" priority="62">
      <formula>LEN(TRIM(AI7))&gt;0</formula>
    </cfRule>
    <cfRule type="containsBlanks" dxfId="8" priority="63">
      <formula>LEN(TRIM(AI7))=0</formula>
    </cfRule>
  </conditionalFormatting>
  <conditionalFormatting sqref="AI8:AI2501">
    <cfRule type="expression" dxfId="7" priority="64">
      <formula>AND($AI$7&lt;&gt;"", AI8="")</formula>
    </cfRule>
  </conditionalFormatting>
  <conditionalFormatting sqref="AJ7">
    <cfRule type="notContainsBlanks" dxfId="7" priority="65">
      <formula>LEN(TRIM(AJ7))&gt;0</formula>
    </cfRule>
    <cfRule type="containsBlanks" dxfId="8" priority="66">
      <formula>LEN(TRIM(AJ7))=0</formula>
    </cfRule>
  </conditionalFormatting>
  <conditionalFormatting sqref="AJ8:AJ2501">
    <cfRule type="expression" dxfId="7" priority="67">
      <formula>AND($AJ$7&lt;&gt;"", AJ8="")</formula>
    </cfRule>
  </conditionalFormatting>
  <conditionalFormatting sqref="AK7">
    <cfRule type="notContainsBlanks" dxfId="7" priority="68">
      <formula>LEN(TRIM(AK7))&gt;0</formula>
    </cfRule>
    <cfRule type="containsBlanks" dxfId="8" priority="69">
      <formula>LEN(TRIM(AK7))=0</formula>
    </cfRule>
  </conditionalFormatting>
  <conditionalFormatting sqref="AK8:AK2501">
    <cfRule type="expression" dxfId="7" priority="70">
      <formula>AND($AK$7&lt;&gt;"", AK8="")</formula>
    </cfRule>
  </conditionalFormatting>
  <conditionalFormatting sqref="AL7">
    <cfRule type="notContainsBlanks" dxfId="7" priority="71">
      <formula>LEN(TRIM(AL7))&gt;0</formula>
    </cfRule>
    <cfRule type="containsBlanks" dxfId="8" priority="72">
      <formula>LEN(TRIM(AL7))=0</formula>
    </cfRule>
  </conditionalFormatting>
  <conditionalFormatting sqref="AL8:AL2501">
    <cfRule type="expression" dxfId="7" priority="73">
      <formula>AND($AL$7&lt;&gt;"", AL8="")</formula>
    </cfRule>
  </conditionalFormatting>
  <conditionalFormatting sqref="AM7">
    <cfRule type="notContainsBlanks" dxfId="7" priority="74">
      <formula>LEN(TRIM(AM7))&gt;0</formula>
    </cfRule>
    <cfRule type="containsBlanks" dxfId="8" priority="75">
      <formula>LEN(TRIM(AM7))=0</formula>
    </cfRule>
  </conditionalFormatting>
  <conditionalFormatting sqref="AM8:AM2501">
    <cfRule type="expression" dxfId="7" priority="76">
      <formula>AND($AM$7&lt;&gt;"", AM8="")</formula>
    </cfRule>
  </conditionalFormatting>
  <conditionalFormatting sqref="AN7">
    <cfRule type="notContainsBlanks" dxfId="7" priority="77">
      <formula>LEN(TRIM(AN7))&gt;0</formula>
    </cfRule>
    <cfRule type="containsBlanks" dxfId="8" priority="78">
      <formula>LEN(TRIM(AN7))=0</formula>
    </cfRule>
  </conditionalFormatting>
  <conditionalFormatting sqref="AN8:AN2501">
    <cfRule type="expression" dxfId="7" priority="79">
      <formula>AND($AN$7&lt;&gt;"", AN8="")</formula>
    </cfRule>
  </conditionalFormatting>
  <conditionalFormatting sqref="AO7">
    <cfRule type="notContainsBlanks" dxfId="7" priority="80">
      <formula>LEN(TRIM(AO7))&gt;0</formula>
    </cfRule>
    <cfRule type="containsBlanks" dxfId="8" priority="81">
      <formula>LEN(TRIM(AO7))=0</formula>
    </cfRule>
  </conditionalFormatting>
  <conditionalFormatting sqref="AO8:AO2501">
    <cfRule type="expression" dxfId="7" priority="82">
      <formula>AND($AO$7&lt;&gt;"", AO8="")</formula>
    </cfRule>
  </conditionalFormatting>
  <conditionalFormatting sqref="AP7">
    <cfRule type="notContainsBlanks" dxfId="7" priority="83">
      <formula>LEN(TRIM(AP7))&gt;0</formula>
    </cfRule>
    <cfRule type="containsBlanks" dxfId="8" priority="84">
      <formula>LEN(TRIM(AP7))=0</formula>
    </cfRule>
  </conditionalFormatting>
  <conditionalFormatting sqref="AP8:AP2501">
    <cfRule type="expression" dxfId="7" priority="85">
      <formula>AND($AP$7&lt;&gt;"", AP8="")</formula>
    </cfRule>
  </conditionalFormatting>
  <conditionalFormatting sqref="AW7">
    <cfRule type="notContainsBlanks" dxfId="7" priority="86">
      <formula>LEN(TRIM(AW7))&gt;0</formula>
    </cfRule>
    <cfRule type="containsBlanks" dxfId="8" priority="87">
      <formula>LEN(TRIM(AW7))=0</formula>
    </cfRule>
  </conditionalFormatting>
  <conditionalFormatting sqref="AW8:AW2501">
    <cfRule type="expression" dxfId="7" priority="88">
      <formula>AND($AW$7&lt;&gt;"", AW8="")</formula>
    </cfRule>
  </conditionalFormatting>
  <conditionalFormatting sqref="AX7">
    <cfRule type="notContainsBlanks" dxfId="7" priority="89">
      <formula>LEN(TRIM(AX7))&gt;0</formula>
    </cfRule>
    <cfRule type="containsBlanks" dxfId="8" priority="90">
      <formula>LEN(TRIM(AX7))=0</formula>
    </cfRule>
  </conditionalFormatting>
  <conditionalFormatting sqref="AX8:AX2501">
    <cfRule type="expression" dxfId="7" priority="91">
      <formula>AND($AX$7&lt;&gt;"", AX8="")</formula>
    </cfRule>
  </conditionalFormatting>
  <conditionalFormatting sqref="AY7">
    <cfRule type="notContainsBlanks" dxfId="7" priority="92">
      <formula>LEN(TRIM(AY7))&gt;0</formula>
    </cfRule>
    <cfRule type="containsBlanks" dxfId="8" priority="93">
      <formula>LEN(TRIM(AY7))=0</formula>
    </cfRule>
  </conditionalFormatting>
  <conditionalFormatting sqref="AY8:AY2501">
    <cfRule type="expression" dxfId="7" priority="94">
      <formula>AND($AY$7&lt;&gt;"", AY8="")</formula>
    </cfRule>
  </conditionalFormatting>
  <conditionalFormatting sqref="AZ7">
    <cfRule type="notContainsBlanks" dxfId="7" priority="95">
      <formula>LEN(TRIM(AZ7))&gt;0</formula>
    </cfRule>
    <cfRule type="containsBlanks" dxfId="8" priority="96">
      <formula>LEN(TRIM(AZ7))=0</formula>
    </cfRule>
  </conditionalFormatting>
  <conditionalFormatting sqref="AZ8:AZ2501">
    <cfRule type="expression" dxfId="7" priority="97">
      <formula>AND($AZ$7&lt;&gt;"", AZ8="")</formula>
    </cfRule>
  </conditionalFormatting>
  <conditionalFormatting sqref="B8:CT507">
    <cfRule type="expression" dxfId="0" priority="1">
      <formula>'6161 - Wallpaper-WUO_TRK'!B8="Error"</formula>
    </cfRule>
    <cfRule type="expression" dxfId="1" priority="2">
      <formula>'6161 - Wallpaper-WUO_TRK'!B8="Required"</formula>
    </cfRule>
    <cfRule type="expression" dxfId="2" priority="3">
      <formula>'6161 - Wallpaper-WUO_TRK'!B8="Warning"</formula>
    </cfRule>
    <cfRule type="expression" dxfId="3" priority="4">
      <formula>'6161 - Wallpaper-WUO_TRK'!B8="Disabled"</formula>
    </cfRule>
  </conditionalFormatting>
  <conditionalFormatting sqref="BA7">
    <cfRule type="notContainsBlanks" dxfId="7" priority="98">
      <formula>LEN(TRIM(BA7))&gt;0</formula>
    </cfRule>
    <cfRule type="containsBlanks" dxfId="8" priority="99">
      <formula>LEN(TRIM(BA7))=0</formula>
    </cfRule>
  </conditionalFormatting>
  <conditionalFormatting sqref="BA8:BA2501">
    <cfRule type="expression" dxfId="7" priority="100">
      <formula>AND($BA$7&lt;&gt;"", BA8="")</formula>
    </cfRule>
  </conditionalFormatting>
  <conditionalFormatting sqref="BB7">
    <cfRule type="notContainsBlanks" dxfId="7" priority="101">
      <formula>LEN(TRIM(BB7))&gt;0</formula>
    </cfRule>
    <cfRule type="containsBlanks" dxfId="8" priority="102">
      <formula>LEN(TRIM(BB7))=0</formula>
    </cfRule>
  </conditionalFormatting>
  <conditionalFormatting sqref="BB8:BB2501">
    <cfRule type="expression" dxfId="7" priority="103">
      <formula>AND($BB$7&lt;&gt;"", BB8="")</formula>
    </cfRule>
  </conditionalFormatting>
  <conditionalFormatting sqref="BC7">
    <cfRule type="notContainsBlanks" dxfId="7" priority="104">
      <formula>LEN(TRIM(BC7))&gt;0</formula>
    </cfRule>
    <cfRule type="containsBlanks" dxfId="8" priority="105">
      <formula>LEN(TRIM(BC7))=0</formula>
    </cfRule>
  </conditionalFormatting>
  <conditionalFormatting sqref="BC8:BC2501">
    <cfRule type="expression" dxfId="7" priority="106">
      <formula>AND($BC$7&lt;&gt;"", BC8="")</formula>
    </cfRule>
  </conditionalFormatting>
  <conditionalFormatting sqref="BD7">
    <cfRule type="notContainsBlanks" dxfId="7" priority="107">
      <formula>LEN(TRIM(BD7))&gt;0</formula>
    </cfRule>
    <cfRule type="containsBlanks" dxfId="8" priority="108">
      <formula>LEN(TRIM(BD7))=0</formula>
    </cfRule>
  </conditionalFormatting>
  <conditionalFormatting sqref="BD8:BD2501">
    <cfRule type="expression" dxfId="7" priority="109">
      <formula>AND($BD$7&lt;&gt;"", BD8="")</formula>
    </cfRule>
  </conditionalFormatting>
  <conditionalFormatting sqref="BE7">
    <cfRule type="notContainsBlanks" dxfId="7" priority="110">
      <formula>LEN(TRIM(BE7))&gt;0</formula>
    </cfRule>
    <cfRule type="containsBlanks" dxfId="8" priority="111">
      <formula>LEN(TRIM(BE7))=0</formula>
    </cfRule>
  </conditionalFormatting>
  <conditionalFormatting sqref="BE8:BE2501">
    <cfRule type="expression" dxfId="7" priority="112">
      <formula>AND($BE$7&lt;&gt;"", BE8="")</formula>
    </cfRule>
  </conditionalFormatting>
  <conditionalFormatting sqref="BF7">
    <cfRule type="notContainsBlanks" dxfId="7" priority="113">
      <formula>LEN(TRIM(BF7))&gt;0</formula>
    </cfRule>
    <cfRule type="containsBlanks" dxfId="8" priority="114">
      <formula>LEN(TRIM(BF7))=0</formula>
    </cfRule>
  </conditionalFormatting>
  <conditionalFormatting sqref="BF8:BF2501">
    <cfRule type="expression" dxfId="7" priority="115">
      <formula>AND($BF$7&lt;&gt;"", BF8="")</formula>
    </cfRule>
  </conditionalFormatting>
  <conditionalFormatting sqref="BG7">
    <cfRule type="notContainsBlanks" dxfId="7" priority="116">
      <formula>LEN(TRIM(BG7))&gt;0</formula>
    </cfRule>
    <cfRule type="containsBlanks" dxfId="8" priority="117">
      <formula>LEN(TRIM(BG7))=0</formula>
    </cfRule>
  </conditionalFormatting>
  <conditionalFormatting sqref="BG8:BG2501">
    <cfRule type="expression" dxfId="7" priority="118">
      <formula>AND($BG$7&lt;&gt;"", BG8="")</formula>
    </cfRule>
  </conditionalFormatting>
  <conditionalFormatting sqref="BH7">
    <cfRule type="notContainsBlanks" dxfId="7" priority="119">
      <formula>LEN(TRIM(BH7))&gt;0</formula>
    </cfRule>
    <cfRule type="containsBlanks" dxfId="8" priority="120">
      <formula>LEN(TRIM(BH7))=0</formula>
    </cfRule>
  </conditionalFormatting>
  <conditionalFormatting sqref="BH8:BH2501">
    <cfRule type="expression" dxfId="7" priority="121">
      <formula>AND($BH$7&lt;&gt;"", BH8="")</formula>
    </cfRule>
  </conditionalFormatting>
  <conditionalFormatting sqref="BI7">
    <cfRule type="notContainsBlanks" dxfId="7" priority="122">
      <formula>LEN(TRIM(BI7))&gt;0</formula>
    </cfRule>
    <cfRule type="containsBlanks" dxfId="8" priority="123">
      <formula>LEN(TRIM(BI7))=0</formula>
    </cfRule>
  </conditionalFormatting>
  <conditionalFormatting sqref="BI8:BI2501">
    <cfRule type="expression" dxfId="7" priority="124">
      <formula>AND($BI$7&lt;&gt;"", BI8="")</formula>
    </cfRule>
  </conditionalFormatting>
  <conditionalFormatting sqref="BJ7">
    <cfRule type="notContainsBlanks" dxfId="7" priority="125">
      <formula>LEN(TRIM(BJ7))&gt;0</formula>
    </cfRule>
    <cfRule type="containsBlanks" dxfId="8" priority="126">
      <formula>LEN(TRIM(BJ7))=0</formula>
    </cfRule>
  </conditionalFormatting>
  <conditionalFormatting sqref="BJ8:BJ2501">
    <cfRule type="expression" dxfId="7" priority="127">
      <formula>AND($BJ$7&lt;&gt;"", BJ8="")</formula>
    </cfRule>
  </conditionalFormatting>
  <conditionalFormatting sqref="BK7">
    <cfRule type="notContainsBlanks" dxfId="7" priority="128">
      <formula>LEN(TRIM(BK7))&gt;0</formula>
    </cfRule>
    <cfRule type="containsBlanks" dxfId="8" priority="129">
      <formula>LEN(TRIM(BK7))=0</formula>
    </cfRule>
  </conditionalFormatting>
  <conditionalFormatting sqref="BK8:BK2501">
    <cfRule type="expression" dxfId="7" priority="130">
      <formula>AND($BK$7&lt;&gt;"", BK8="")</formula>
    </cfRule>
  </conditionalFormatting>
  <conditionalFormatting sqref="BL7">
    <cfRule type="notContainsBlanks" dxfId="7" priority="131">
      <formula>LEN(TRIM(BL7))&gt;0</formula>
    </cfRule>
    <cfRule type="containsBlanks" dxfId="8" priority="132">
      <formula>LEN(TRIM(BL7))=0</formula>
    </cfRule>
  </conditionalFormatting>
  <conditionalFormatting sqref="BL8:BL2501">
    <cfRule type="expression" dxfId="7" priority="133">
      <formula>AND($BL$7&lt;&gt;"", BL8="")</formula>
    </cfRule>
  </conditionalFormatting>
  <conditionalFormatting sqref="BM7">
    <cfRule type="notContainsBlanks" dxfId="7" priority="134">
      <formula>LEN(TRIM(BM7))&gt;0</formula>
    </cfRule>
    <cfRule type="containsBlanks" dxfId="8" priority="135">
      <formula>LEN(TRIM(BM7))=0</formula>
    </cfRule>
  </conditionalFormatting>
  <conditionalFormatting sqref="BM8:BM2501">
    <cfRule type="expression" dxfId="7" priority="136">
      <formula>AND($BM$7&lt;&gt;"", BM8="")</formula>
    </cfRule>
  </conditionalFormatting>
  <conditionalFormatting sqref="BN7">
    <cfRule type="notContainsBlanks" dxfId="7" priority="137">
      <formula>LEN(TRIM(BN7))&gt;0</formula>
    </cfRule>
    <cfRule type="containsBlanks" dxfId="8" priority="138">
      <formula>LEN(TRIM(BN7))=0</formula>
    </cfRule>
  </conditionalFormatting>
  <conditionalFormatting sqref="BN8:BN2501">
    <cfRule type="expression" dxfId="7" priority="139">
      <formula>AND($BN$7&lt;&gt;"", BN8="")</formula>
    </cfRule>
  </conditionalFormatting>
  <conditionalFormatting sqref="BO7">
    <cfRule type="notContainsBlanks" dxfId="7" priority="140">
      <formula>LEN(TRIM(BO7))&gt;0</formula>
    </cfRule>
    <cfRule type="containsBlanks" dxfId="8" priority="141">
      <formula>LEN(TRIM(BO7))=0</formula>
    </cfRule>
  </conditionalFormatting>
  <conditionalFormatting sqref="BO8:BO2501">
    <cfRule type="expression" dxfId="7" priority="142">
      <formula>AND($BO$7&lt;&gt;"", BO8="")</formula>
    </cfRule>
  </conditionalFormatting>
  <conditionalFormatting sqref="BP7">
    <cfRule type="notContainsBlanks" dxfId="7" priority="143">
      <formula>LEN(TRIM(BP7))&gt;0</formula>
    </cfRule>
    <cfRule type="containsBlanks" dxfId="8" priority="144">
      <formula>LEN(TRIM(BP7))=0</formula>
    </cfRule>
  </conditionalFormatting>
  <conditionalFormatting sqref="BP8:BP2501">
    <cfRule type="expression" dxfId="7" priority="145">
      <formula>AND($BP$7&lt;&gt;"", BP8="")</formula>
    </cfRule>
  </conditionalFormatting>
  <conditionalFormatting sqref="BQ7">
    <cfRule type="notContainsBlanks" dxfId="7" priority="146">
      <formula>LEN(TRIM(BQ7))&gt;0</formula>
    </cfRule>
    <cfRule type="containsBlanks" dxfId="8" priority="147">
      <formula>LEN(TRIM(BQ7))=0</formula>
    </cfRule>
  </conditionalFormatting>
  <conditionalFormatting sqref="BQ8:BQ2501">
    <cfRule type="expression" dxfId="7" priority="148">
      <formula>AND($BQ$7&lt;&gt;"", BQ8="")</formula>
    </cfRule>
  </conditionalFormatting>
  <conditionalFormatting sqref="BR7">
    <cfRule type="notContainsBlanks" dxfId="7" priority="149">
      <formula>LEN(TRIM(BR7))&gt;0</formula>
    </cfRule>
    <cfRule type="containsBlanks" dxfId="8" priority="150">
      <formula>LEN(TRIM(BR7))=0</formula>
    </cfRule>
  </conditionalFormatting>
  <conditionalFormatting sqref="BR8:BR2501">
    <cfRule type="expression" dxfId="7" priority="151">
      <formula>AND($BR$7&lt;&gt;"", BR8="")</formula>
    </cfRule>
  </conditionalFormatting>
  <conditionalFormatting sqref="BS7">
    <cfRule type="notContainsBlanks" dxfId="7" priority="152">
      <formula>LEN(TRIM(BS7))&gt;0</formula>
    </cfRule>
    <cfRule type="containsBlanks" dxfId="8" priority="153">
      <formula>LEN(TRIM(BS7))=0</formula>
    </cfRule>
  </conditionalFormatting>
  <conditionalFormatting sqref="BS8:BS2501">
    <cfRule type="expression" dxfId="7" priority="154">
      <formula>AND($BS$7&lt;&gt;"", BS8="")</formula>
    </cfRule>
  </conditionalFormatting>
  <conditionalFormatting sqref="BT7">
    <cfRule type="notContainsBlanks" dxfId="7" priority="155">
      <formula>LEN(TRIM(BT7))&gt;0</formula>
    </cfRule>
    <cfRule type="containsBlanks" dxfId="8" priority="156">
      <formula>LEN(TRIM(BT7))=0</formula>
    </cfRule>
  </conditionalFormatting>
  <conditionalFormatting sqref="BT8:BT2501">
    <cfRule type="expression" dxfId="7" priority="157">
      <formula>AND($BT$7&lt;&gt;"", BT8="")</formula>
    </cfRule>
  </conditionalFormatting>
  <conditionalFormatting sqref="BU7">
    <cfRule type="notContainsBlanks" dxfId="7" priority="158">
      <formula>LEN(TRIM(BU7))&gt;0</formula>
    </cfRule>
    <cfRule type="containsBlanks" dxfId="8" priority="159">
      <formula>LEN(TRIM(BU7))=0</formula>
    </cfRule>
  </conditionalFormatting>
  <conditionalFormatting sqref="BU8:BU2501">
    <cfRule type="expression" dxfId="7" priority="160">
      <formula>AND($BU$7&lt;&gt;"", BU8="")</formula>
    </cfRule>
  </conditionalFormatting>
  <conditionalFormatting sqref="BV7">
    <cfRule type="notContainsBlanks" dxfId="7" priority="161">
      <formula>LEN(TRIM(BV7))&gt;0</formula>
    </cfRule>
    <cfRule type="containsBlanks" dxfId="8" priority="162">
      <formula>LEN(TRIM(BV7))=0</formula>
    </cfRule>
  </conditionalFormatting>
  <conditionalFormatting sqref="BV8:BV2501">
    <cfRule type="expression" dxfId="7" priority="163">
      <formula>AND($BV$7&lt;&gt;"", BV8="")</formula>
    </cfRule>
  </conditionalFormatting>
  <conditionalFormatting sqref="BW7">
    <cfRule type="notContainsBlanks" dxfId="7" priority="164">
      <formula>LEN(TRIM(BW7))&gt;0</formula>
    </cfRule>
    <cfRule type="containsBlanks" dxfId="8" priority="165">
      <formula>LEN(TRIM(BW7))=0</formula>
    </cfRule>
  </conditionalFormatting>
  <conditionalFormatting sqref="BW8:BW2501">
    <cfRule type="expression" dxfId="7" priority="166">
      <formula>AND($BW$7&lt;&gt;"", BW8="")</formula>
    </cfRule>
  </conditionalFormatting>
  <conditionalFormatting sqref="BX7">
    <cfRule type="notContainsBlanks" dxfId="7" priority="167">
      <formula>LEN(TRIM(BX7))&gt;0</formula>
    </cfRule>
    <cfRule type="containsBlanks" dxfId="8" priority="168">
      <formula>LEN(TRIM(BX7))=0</formula>
    </cfRule>
  </conditionalFormatting>
  <conditionalFormatting sqref="BX8:BX2501">
    <cfRule type="expression" dxfId="7" priority="169">
      <formula>AND($BX$7&lt;&gt;"", BX8="")</formula>
    </cfRule>
  </conditionalFormatting>
  <conditionalFormatting sqref="BY7">
    <cfRule type="notContainsBlanks" dxfId="7" priority="170">
      <formula>LEN(TRIM(BY7))&gt;0</formula>
    </cfRule>
    <cfRule type="containsBlanks" dxfId="8" priority="171">
      <formula>LEN(TRIM(BY7))=0</formula>
    </cfRule>
  </conditionalFormatting>
  <conditionalFormatting sqref="BY8:BY2501">
    <cfRule type="expression" dxfId="7" priority="172">
      <formula>AND($BY$7&lt;&gt;"", BY8="")</formula>
    </cfRule>
  </conditionalFormatting>
  <conditionalFormatting sqref="BZ7">
    <cfRule type="notContainsBlanks" dxfId="7" priority="173">
      <formula>LEN(TRIM(BZ7))&gt;0</formula>
    </cfRule>
    <cfRule type="containsBlanks" dxfId="8" priority="174">
      <formula>LEN(TRIM(BZ7))=0</formula>
    </cfRule>
  </conditionalFormatting>
  <conditionalFormatting sqref="BZ8:BZ2501">
    <cfRule type="expression" dxfId="7" priority="175">
      <formula>AND($BZ$7&lt;&gt;"", BZ8="")</formula>
    </cfRule>
  </conditionalFormatting>
  <conditionalFormatting sqref="CA7">
    <cfRule type="notContainsBlanks" dxfId="7" priority="176">
      <formula>LEN(TRIM(CA7))&gt;0</formula>
    </cfRule>
    <cfRule type="containsBlanks" dxfId="8" priority="177">
      <formula>LEN(TRIM(CA7))=0</formula>
    </cfRule>
  </conditionalFormatting>
  <conditionalFormatting sqref="CA8:CA2501">
    <cfRule type="expression" dxfId="7" priority="178">
      <formula>AND($CA$7&lt;&gt;"", CA8="")</formula>
    </cfRule>
  </conditionalFormatting>
  <conditionalFormatting sqref="CB7">
    <cfRule type="notContainsBlanks" dxfId="7" priority="179">
      <formula>LEN(TRIM(CB7))&gt;0</formula>
    </cfRule>
    <cfRule type="containsBlanks" dxfId="8" priority="180">
      <formula>LEN(TRIM(CB7))=0</formula>
    </cfRule>
  </conditionalFormatting>
  <conditionalFormatting sqref="CB8:CB2501">
    <cfRule type="expression" dxfId="7" priority="181">
      <formula>AND($CB$7&lt;&gt;"", CB8="")</formula>
    </cfRule>
  </conditionalFormatting>
  <conditionalFormatting sqref="CC7">
    <cfRule type="notContainsBlanks" dxfId="7" priority="182">
      <formula>LEN(TRIM(CC7))&gt;0</formula>
    </cfRule>
    <cfRule type="containsBlanks" dxfId="8" priority="183">
      <formula>LEN(TRIM(CC7))=0</formula>
    </cfRule>
  </conditionalFormatting>
  <conditionalFormatting sqref="CC8:CC2501">
    <cfRule type="expression" dxfId="7" priority="184">
      <formula>AND($CC$7&lt;&gt;"", CC8="")</formula>
    </cfRule>
  </conditionalFormatting>
  <conditionalFormatting sqref="CD7">
    <cfRule type="notContainsBlanks" dxfId="7" priority="185">
      <formula>LEN(TRIM(CD7))&gt;0</formula>
    </cfRule>
    <cfRule type="containsBlanks" dxfId="8" priority="186">
      <formula>LEN(TRIM(CD7))=0</formula>
    </cfRule>
  </conditionalFormatting>
  <conditionalFormatting sqref="CD8:CD2501">
    <cfRule type="expression" dxfId="7" priority="187">
      <formula>AND($CD$7&lt;&gt;"", CD8="")</formula>
    </cfRule>
  </conditionalFormatting>
  <conditionalFormatting sqref="CE7">
    <cfRule type="notContainsBlanks" dxfId="7" priority="188">
      <formula>LEN(TRIM(CE7))&gt;0</formula>
    </cfRule>
    <cfRule type="containsBlanks" dxfId="8" priority="189">
      <formula>LEN(TRIM(CE7))=0</formula>
    </cfRule>
  </conditionalFormatting>
  <conditionalFormatting sqref="CE8:CE2501">
    <cfRule type="expression" dxfId="7" priority="190">
      <formula>AND($CE$7&lt;&gt;"", CE8="")</formula>
    </cfRule>
  </conditionalFormatting>
  <conditionalFormatting sqref="CF7">
    <cfRule type="notContainsBlanks" dxfId="7" priority="191">
      <formula>LEN(TRIM(CF7))&gt;0</formula>
    </cfRule>
    <cfRule type="containsBlanks" dxfId="8" priority="192">
      <formula>LEN(TRIM(CF7))=0</formula>
    </cfRule>
  </conditionalFormatting>
  <conditionalFormatting sqref="CF8:CF2501">
    <cfRule type="expression" dxfId="7" priority="193">
      <formula>AND($CF$7&lt;&gt;"", CF8="")</formula>
    </cfRule>
  </conditionalFormatting>
  <conditionalFormatting sqref="CG7">
    <cfRule type="notContainsBlanks" dxfId="7" priority="194">
      <formula>LEN(TRIM(CG7))&gt;0</formula>
    </cfRule>
    <cfRule type="containsBlanks" dxfId="8" priority="195">
      <formula>LEN(TRIM(CG7))=0</formula>
    </cfRule>
  </conditionalFormatting>
  <conditionalFormatting sqref="CG8:CG2501">
    <cfRule type="expression" dxfId="7" priority="196">
      <formula>AND($CG$7&lt;&gt;"", CG8="")</formula>
    </cfRule>
  </conditionalFormatting>
  <conditionalFormatting sqref="CH7">
    <cfRule type="notContainsBlanks" dxfId="7" priority="197">
      <formula>LEN(TRIM(CH7))&gt;0</formula>
    </cfRule>
    <cfRule type="containsBlanks" dxfId="8" priority="198">
      <formula>LEN(TRIM(CH7))=0</formula>
    </cfRule>
  </conditionalFormatting>
  <conditionalFormatting sqref="CH8:CH2501">
    <cfRule type="expression" dxfId="7" priority="199">
      <formula>AND($CH$7&lt;&gt;"", CH8="")</formula>
    </cfRule>
  </conditionalFormatting>
  <conditionalFormatting sqref="CI7">
    <cfRule type="notContainsBlanks" dxfId="7" priority="200">
      <formula>LEN(TRIM(CI7))&gt;0</formula>
    </cfRule>
    <cfRule type="containsBlanks" dxfId="8" priority="201">
      <formula>LEN(TRIM(CI7))=0</formula>
    </cfRule>
  </conditionalFormatting>
  <conditionalFormatting sqref="CI8:CI2501">
    <cfRule type="expression" dxfId="7" priority="202">
      <formula>AND($CI$7&lt;&gt;"", CI8="")</formula>
    </cfRule>
  </conditionalFormatting>
  <conditionalFormatting sqref="CJ7">
    <cfRule type="notContainsBlanks" dxfId="7" priority="203">
      <formula>LEN(TRIM(CJ7))&gt;0</formula>
    </cfRule>
    <cfRule type="containsBlanks" dxfId="8" priority="204">
      <formula>LEN(TRIM(CJ7))=0</formula>
    </cfRule>
  </conditionalFormatting>
  <conditionalFormatting sqref="CJ8:CJ2501">
    <cfRule type="expression" dxfId="7" priority="205">
      <formula>AND($CJ$7&lt;&gt;"", CJ8="")</formula>
    </cfRule>
  </conditionalFormatting>
  <conditionalFormatting sqref="CK7">
    <cfRule type="notContainsBlanks" dxfId="7" priority="206">
      <formula>LEN(TRIM(CK7))&gt;0</formula>
    </cfRule>
    <cfRule type="containsBlanks" dxfId="8" priority="207">
      <formula>LEN(TRIM(CK7))=0</formula>
    </cfRule>
  </conditionalFormatting>
  <conditionalFormatting sqref="CK8:CK2501">
    <cfRule type="expression" dxfId="7" priority="208">
      <formula>AND($CK$7&lt;&gt;"", CK8="")</formula>
    </cfRule>
  </conditionalFormatting>
  <conditionalFormatting sqref="CL7">
    <cfRule type="notContainsBlanks" dxfId="7" priority="209">
      <formula>LEN(TRIM(CL7))&gt;0</formula>
    </cfRule>
    <cfRule type="containsBlanks" dxfId="8" priority="210">
      <formula>LEN(TRIM(CL7))=0</formula>
    </cfRule>
  </conditionalFormatting>
  <conditionalFormatting sqref="CL8:CL2501">
    <cfRule type="expression" dxfId="7" priority="211">
      <formula>AND($CL$7&lt;&gt;"", CL8="")</formula>
    </cfRule>
  </conditionalFormatting>
  <conditionalFormatting sqref="CM7">
    <cfRule type="notContainsBlanks" dxfId="7" priority="212">
      <formula>LEN(TRIM(CM7))&gt;0</formula>
    </cfRule>
    <cfRule type="containsBlanks" dxfId="8" priority="213">
      <formula>LEN(TRIM(CM7))=0</formula>
    </cfRule>
  </conditionalFormatting>
  <conditionalFormatting sqref="CM8:CM2501">
    <cfRule type="expression" dxfId="7" priority="214">
      <formula>AND($CM$7&lt;&gt;"", CM8="")</formula>
    </cfRule>
  </conditionalFormatting>
  <conditionalFormatting sqref="CN7">
    <cfRule type="notContainsBlanks" dxfId="7" priority="215">
      <formula>LEN(TRIM(CN7))&gt;0</formula>
    </cfRule>
    <cfRule type="containsBlanks" dxfId="8" priority="216">
      <formula>LEN(TRIM(CN7))=0</formula>
    </cfRule>
  </conditionalFormatting>
  <conditionalFormatting sqref="CN8:CN2501">
    <cfRule type="expression" dxfId="7" priority="217">
      <formula>AND($CN$7&lt;&gt;"", CN8="")</formula>
    </cfRule>
  </conditionalFormatting>
  <conditionalFormatting sqref="CO7">
    <cfRule type="notContainsBlanks" dxfId="7" priority="218">
      <formula>LEN(TRIM(CO7))&gt;0</formula>
    </cfRule>
    <cfRule type="containsBlanks" dxfId="8" priority="219">
      <formula>LEN(TRIM(CO7))=0</formula>
    </cfRule>
  </conditionalFormatting>
  <conditionalFormatting sqref="CO8:CO2501">
    <cfRule type="expression" dxfId="7" priority="220">
      <formula>AND($CO$7&lt;&gt;"", CO8="")</formula>
    </cfRule>
  </conditionalFormatting>
  <conditionalFormatting sqref="CP7">
    <cfRule type="notContainsBlanks" dxfId="7" priority="221">
      <formula>LEN(TRIM(CP7))&gt;0</formula>
    </cfRule>
    <cfRule type="containsBlanks" dxfId="8" priority="222">
      <formula>LEN(TRIM(CP7))=0</formula>
    </cfRule>
  </conditionalFormatting>
  <conditionalFormatting sqref="CP8:CP2501">
    <cfRule type="expression" dxfId="7" priority="223">
      <formula>AND($CP$7&lt;&gt;"", CP8="")</formula>
    </cfRule>
  </conditionalFormatting>
  <conditionalFormatting sqref="CQ7">
    <cfRule type="notContainsBlanks" dxfId="7" priority="224">
      <formula>LEN(TRIM(CQ7))&gt;0</formula>
    </cfRule>
    <cfRule type="containsBlanks" dxfId="8" priority="225">
      <formula>LEN(TRIM(CQ7))=0</formula>
    </cfRule>
  </conditionalFormatting>
  <conditionalFormatting sqref="CQ8:CQ2501">
    <cfRule type="expression" dxfId="7" priority="226">
      <formula>AND($CQ$7&lt;&gt;"", CQ8="")</formula>
    </cfRule>
  </conditionalFormatting>
  <conditionalFormatting sqref="CR7">
    <cfRule type="notContainsBlanks" dxfId="7" priority="227">
      <formula>LEN(TRIM(CR7))&gt;0</formula>
    </cfRule>
    <cfRule type="containsBlanks" dxfId="8" priority="228">
      <formula>LEN(TRIM(CR7))=0</formula>
    </cfRule>
  </conditionalFormatting>
  <conditionalFormatting sqref="CR8:CR2501">
    <cfRule type="expression" dxfId="7" priority="229">
      <formula>AND($CR$7&lt;&gt;"", CR8="")</formula>
    </cfRule>
  </conditionalFormatting>
  <conditionalFormatting sqref="CS7">
    <cfRule type="notContainsBlanks" dxfId="7" priority="230">
      <formula>LEN(TRIM(CS7))&gt;0</formula>
    </cfRule>
    <cfRule type="containsBlanks" dxfId="8" priority="231">
      <formula>LEN(TRIM(CS7))=0</formula>
    </cfRule>
  </conditionalFormatting>
  <conditionalFormatting sqref="CS8:CS2501">
    <cfRule type="expression" dxfId="7" priority="232">
      <formula>AND($CS$7&lt;&gt;"", CS8="")</formula>
    </cfRule>
  </conditionalFormatting>
  <conditionalFormatting sqref="D7">
    <cfRule type="notContainsBlanks" dxfId="7" priority="8">
      <formula>LEN(TRIM(D7))&gt;0</formula>
    </cfRule>
    <cfRule type="containsBlanks" dxfId="8" priority="9">
      <formula>LEN(TRIM(D7))=0</formula>
    </cfRule>
  </conditionalFormatting>
  <conditionalFormatting sqref="D8:D2501">
    <cfRule type="expression" dxfId="7" priority="10">
      <formula>AND($D$7&lt;&gt;"", D8="")</formula>
    </cfRule>
  </conditionalFormatting>
  <conditionalFormatting sqref="H7">
    <cfRule type="notContainsBlanks" dxfId="7" priority="11">
      <formula>LEN(TRIM(H7))&gt;0</formula>
    </cfRule>
    <cfRule type="containsBlanks" dxfId="8" priority="12">
      <formula>LEN(TRIM(H7))=0</formula>
    </cfRule>
  </conditionalFormatting>
  <conditionalFormatting sqref="H8:H2501">
    <cfRule type="expression" dxfId="7" priority="13">
      <formula>AND($H$7&lt;&gt;"", H8="")</formula>
    </cfRule>
  </conditionalFormatting>
  <conditionalFormatting sqref="S7">
    <cfRule type="notContainsBlanks" dxfId="7" priority="14">
      <formula>LEN(TRIM(S7))&gt;0</formula>
    </cfRule>
    <cfRule type="containsBlanks" dxfId="8" priority="15">
      <formula>LEN(TRIM(S7))=0</formula>
    </cfRule>
  </conditionalFormatting>
  <conditionalFormatting sqref="S8:S2501">
    <cfRule type="expression" dxfId="7" priority="16">
      <formula>AND($S$7&lt;&gt;"", S8="")</formula>
    </cfRule>
  </conditionalFormatting>
  <conditionalFormatting sqref="T7">
    <cfRule type="notContainsBlanks" dxfId="7" priority="17">
      <formula>LEN(TRIM(T7))&gt;0</formula>
    </cfRule>
    <cfRule type="containsBlanks" dxfId="8" priority="18">
      <formula>LEN(TRIM(T7))=0</formula>
    </cfRule>
  </conditionalFormatting>
  <conditionalFormatting sqref="T8:T2501">
    <cfRule type="expression" dxfId="7" priority="19">
      <formula>AND($T$7&lt;&gt;"", T8="")</formula>
    </cfRule>
  </conditionalFormatting>
  <conditionalFormatting sqref="U7">
    <cfRule type="notContainsBlanks" dxfId="7" priority="20">
      <formula>LEN(TRIM(U7))&gt;0</formula>
    </cfRule>
    <cfRule type="containsBlanks" dxfId="8" priority="21">
      <formula>LEN(TRIM(U7))=0</formula>
    </cfRule>
  </conditionalFormatting>
  <conditionalFormatting sqref="U8:U2501">
    <cfRule type="expression" dxfId="7" priority="22">
      <formula>AND($U$7&lt;&gt;"", U8="")</formula>
    </cfRule>
  </conditionalFormatting>
  <conditionalFormatting sqref="V7">
    <cfRule type="notContainsBlanks" dxfId="7" priority="23">
      <formula>LEN(TRIM(V7))&gt;0</formula>
    </cfRule>
    <cfRule type="containsBlanks" dxfId="8" priority="24">
      <formula>LEN(TRIM(V7))=0</formula>
    </cfRule>
  </conditionalFormatting>
  <conditionalFormatting sqref="V8:V2501">
    <cfRule type="expression" dxfId="7" priority="25">
      <formula>AND($V$7&lt;&gt;"", V8="")</formula>
    </cfRule>
  </conditionalFormatting>
  <conditionalFormatting sqref="W7">
    <cfRule type="notContainsBlanks" dxfId="7" priority="26">
      <formula>LEN(TRIM(W7))&gt;0</formula>
    </cfRule>
    <cfRule type="containsBlanks" dxfId="8" priority="27">
      <formula>LEN(TRIM(W7))=0</formula>
    </cfRule>
  </conditionalFormatting>
  <conditionalFormatting sqref="W8:W2501">
    <cfRule type="expression" dxfId="7" priority="28">
      <formula>AND($W$7&lt;&gt;"", W8="")</formula>
    </cfRule>
  </conditionalFormatting>
  <conditionalFormatting sqref="X7">
    <cfRule type="notContainsBlanks" dxfId="7" priority="29">
      <formula>LEN(TRIM(X7))&gt;0</formula>
    </cfRule>
    <cfRule type="containsBlanks" dxfId="8" priority="30">
      <formula>LEN(TRIM(X7))=0</formula>
    </cfRule>
  </conditionalFormatting>
  <conditionalFormatting sqref="X8:X2501">
    <cfRule type="expression" dxfId="7" priority="31">
      <formula>AND($X$7&lt;&gt;"", X8="")</formula>
    </cfRule>
  </conditionalFormatting>
  <conditionalFormatting sqref="Y7">
    <cfRule type="notContainsBlanks" dxfId="7" priority="32">
      <formula>LEN(TRIM(Y7))&gt;0</formula>
    </cfRule>
    <cfRule type="containsBlanks" dxfId="8" priority="33">
      <formula>LEN(TRIM(Y7))=0</formula>
    </cfRule>
  </conditionalFormatting>
  <conditionalFormatting sqref="Y8:Y2501">
    <cfRule type="expression" dxfId="7" priority="34">
      <formula>AND($Y$7&lt;&gt;"", Y8="")</formula>
    </cfRule>
  </conditionalFormatting>
  <conditionalFormatting sqref="Z7">
    <cfRule type="notContainsBlanks" dxfId="7" priority="35">
      <formula>LEN(TRIM(Z7))&gt;0</formula>
    </cfRule>
    <cfRule type="containsBlanks" dxfId="8" priority="36">
      <formula>LEN(TRIM(Z7))=0</formula>
    </cfRule>
  </conditionalFormatting>
  <conditionalFormatting sqref="Z8:Z2501">
    <cfRule type="expression" dxfId="7" priority="37">
      <formula>AND($Z$7&lt;&gt;"", Z8="")</formula>
    </cfRule>
  </conditionalFormatting>
  <dataValidations count="149">
    <dataValidation type="custom" allowBlank="1" showInputMessage="1" showErrorMessage="1" errorTitle="Duplicate supplier part number" error="The providedsupplier part number is invalid due to having a duplicate value provided elsewhere in the sheet. Please provide a unique value here or remove the original value from the sheet." promptTitle="Supplier Part Number" prompt="Please enter Text" sqref="B8:B2500">
      <formula1>AND(LEN(B8)&lt;32767, IF(B8&lt;&gt;"",COUNTIF($B$8:$B$2500,B8)=1,""))</formula1>
    </dataValidation>
    <dataValidation type="textLength" operator="lessThanOrEqual" errorStyle="warning" showInputMessage="1" showErrorMessage="1" errorTitle="Invalid Text" error="The value provided is not a valid Text." promptTitle="Amazon Seller SKU" prompt="Please enter Text" sqref="C8:C2500">
      <formula1>32767</formula1>
    </dataValidation>
    <dataValidation type="list" allowBlank="1" showInputMessage="1" showErrorMessage="1" errorTitle="Invalid Brand" error="The value provided is not a valid Brand." promptTitle="Brand" prompt="Please select a valid Brand" sqref="D8:D2500">
      <formula1>'WAYFAIR_USE_ONLY'!$O$7:$O8</formula1>
    </dataValidation>
    <dataValidation type="list" allowBlank="1" showInputMessage="1" showErrorMessage="1" errorTitle="Invalid Brand" error="The value provided is not a valid Brand." promptTitle="" prompt="If all products in this class consistently have the same answer, you can set a default value to apply automatically. For any exceptions, you can modify the answer for specific products without changing the default." sqref="D7">
      <formula1>'WAYFAIR_USE_ONLY'!$O$7:$O8</formula1>
    </dataValidation>
    <dataValidation type="custom" allowBlank="1" showInputMessage="1" showErrorMessage="1" errorTitle="Duplicate manufacturer part numb" error="The providedmanufacturer part number is invalid due to having a duplicate value provided elsewhere in the sheet. Please provide a unique value here or remove the original value from the sheet." promptTitle="Manufacturer Part Number" prompt="Please enter Text" sqref="E8:E2500">
      <formula1>AND(LEN(E8)&lt;32767, IF(E8&lt;&gt;"",COUNTIF($E$8:$E$2500,E8)=1,""))</formula1>
    </dataValidation>
    <dataValidation type="custom" allowBlank="1" showInputMessage="1" showErrorMessage="1" errorTitle="Duplicate universal product code" error="The provideduniversal product code is invalid due to having a duplicate value provided elsewhere in the sheet. Please provide a unique value here or remove the original value from the sheet." promptTitle="Universal Product Code" prompt="Please enter Text" sqref="F8:F2500">
      <formula1>AND(LEN(F8)&lt;32767, IF(F8&lt;&gt;"",COUNTIF($F$8:$F$2500,F8)=1,""))</formula1>
    </dataValidation>
    <dataValidation type="textLength" operator="lessThanOrEqual" errorStyle="warning" showInputMessage="1" showErrorMessage="1" errorTitle="Invalid Text" error="The value provided is not a valid Text." promptTitle="Product Name" prompt="Please enter Text" sqref="G8:G2500">
      <formula1>32767</formula1>
    </dataValidation>
    <dataValidation type="textLength" operator="lessThanOrEqual" errorStyle="warning" showInputMessage="1" showErrorMessage="1" errorTitle="Invalid Text" error="The value provided is not a valid Text." promptTitle="Collection Name" prompt="Please enter Text" sqref="H8:H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H7">
      <formula1>32767</formula1>
    </dataValidation>
    <dataValidation type="textLength" operator="lessThanOrEqual" errorStyle="warning" showInputMessage="1" showErrorMessage="1" errorTitle="Invalid Text" error="The value provided is not a valid Text." promptTitle="Manufacturer Product URL" prompt="Please enter Text" sqref="I8:I2500">
      <formula1>32767</formula1>
    </dataValidation>
    <dataValidation type="list" allowBlank="1" showInputMessage="1" showErrorMessage="1" errorTitle="Invalid Variant Type" error="The value provided is not a valid Variant Type." promptTitle="Variant Type" prompt="Please select a valid Variant Type" sqref="J8:J2500">
      <formula1>'WAYFAIR_USE_ONLY'!$Z$7:$Z10</formula1>
    </dataValidation>
    <dataValidation type="textLength" operator="lessThanOrEqual" errorStyle="warning" showInputMessage="1" showErrorMessage="1" errorTitle="Invalid Text" error="The value provided is not a valid Text." promptTitle="Group Reference ID" prompt="Please enter Text" sqref="K8:K2500">
      <formula1>32767</formula1>
    </dataValidation>
    <dataValidation type="list" errorStyle="warning" allowBlank="1" showInputMessage="1" showErrorMessage="1" errorTitle="Invalid Variant Grouping" error="The value provided is not a valid Variant Grouping. Would you like to provide a custom answer?" promptTitle="Variant Grouping" prompt="Please select a valid Variant Grouping" sqref="L8:L2500">
      <formula1>'WAYFAIR_USE_ONLY'!$AL$7:$AL10</formula1>
    </dataValidation>
    <dataValidation type="textLength" operator="lessThanOrEqual" errorStyle="warning" showInputMessage="1" showErrorMessage="1" errorTitle="Invalid Text" error="The value provided is not a valid Text." promptTitle="Variant Attribute Name On Site" prompt="Please enter Text" sqref="M8:M2500">
      <formula1>32767</formula1>
    </dataValidation>
    <dataValidation type="list" errorStyle="warning" allowBlank="1" showInputMessage="1" showErrorMessage="1" errorTitle="Invalid Variant Grouping" error="The value provided is not a valid Variant Grouping. Would you like to provide a custom answer?" promptTitle="Variant Grouping" prompt="Please select a valid Variant Grouping" sqref="N8:N2500">
      <formula1>'WAYFAIR_USE_ONLY'!$AL$7:$AL10</formula1>
    </dataValidation>
    <dataValidation type="textLength" operator="lessThanOrEqual" errorStyle="warning" showInputMessage="1" showErrorMessage="1" errorTitle="Invalid Text" error="The value provided is not a valid Text." promptTitle="Variant Attribute Name On Site" prompt="Please enter Text" sqref="O8:O2500">
      <formula1>32767</formula1>
    </dataValidation>
    <dataValidation type="list" errorStyle="warning" allowBlank="1" showInputMessage="1" showErrorMessage="1" errorTitle="Invalid Variant Grouping" error="The value provided is not a valid Variant Grouping. Would you like to provide a custom answer?" promptTitle="Variant Grouping" prompt="Please select a valid Variant Grouping" sqref="P8:P2500">
      <formula1>'WAYFAIR_USE_ONLY'!$AL$7:$AL10</formula1>
    </dataValidation>
    <dataValidation type="textLength" operator="lessThanOrEqual" errorStyle="warning" showInputMessage="1" showErrorMessage="1" errorTitle="Invalid Text" error="The value provided is not a valid Text." promptTitle="Variant Attribute Name On Site" prompt="Please enter Text" sqref="Q8:Q2500">
      <formula1>32767</formula1>
    </dataValidation>
    <dataValidation type="textLength" operator="lessThanOrEqual" errorStyle="warning" showInputMessage="1" showErrorMessage="1" errorTitle="Invalid Number" error="The value provided is not a valid Number." promptTitle="Base Cost" prompt="Please enter Number" sqref="R8:R2500">
      <formula1>32767</formula1>
    </dataValidation>
    <dataValidation type="textLength" operator="lessThanOrEqual" errorStyle="warning" showInputMessage="1" showErrorMessage="1" errorTitle="Invalid Number" error="The value provided is not a valid Number." promptTitle="Minimum Advertised Price" prompt="Please enter Number" sqref="S8:S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S7">
      <formula1>32767</formula1>
    </dataValidation>
    <dataValidation type="textLength" operator="lessThanOrEqual" errorStyle="warning" showInputMessage="1" showErrorMessage="1" errorTitle="Invalid Number" error="The value provided is not a valid Number." promptTitle="Manufacturer Suggested Retail Pr" prompt="Please enter Number" sqref="T8:T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T7">
      <formula1>32767</formula1>
    </dataValidation>
    <dataValidation type="textLength" operator="lessThanOrEqual" errorStyle="warning" showInputMessage="1" showErrorMessage="1" errorTitle="Invalid Number" error="The value provided is not a valid Number." promptTitle="Everyday B2B Discount Rate" prompt="Please enter Number" sqref="U8:U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U7">
      <formula1>32767</formula1>
    </dataValidation>
    <dataValidation type="textLength" operator="lessThanOrEqual" errorStyle="warning" showInputMessage="1" showErrorMessage="1" errorTitle="Invalid Text" error="The value provided is not a valid Text." promptTitle="Marketing Copy" prompt="Please enter Text" sqref="V8:V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V7">
      <formula1>32767</formula1>
    </dataValidation>
    <dataValidation type="textLength" operator="lessThanOrEqual" errorStyle="warning" showInputMessage="1" showErrorMessage="1" errorTitle="Invalid Text" error="The value provided is not a valid Text." promptTitle="Feature Bullet" prompt="Please enter Text" sqref="W8:W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W7">
      <formula1>32767</formula1>
    </dataValidation>
    <dataValidation type="textLength" operator="lessThanOrEqual" errorStyle="warning" showInputMessage="1" showErrorMessage="1" errorTitle="Invalid Text" error="The value provided is not a valid Text." promptTitle="Feature Bullet" prompt="Please enter Text" sqref="X8:X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X7">
      <formula1>32767</formula1>
    </dataValidation>
    <dataValidation type="textLength" operator="lessThanOrEqual" errorStyle="warning" showInputMessage="1" showErrorMessage="1" errorTitle="Invalid Text" error="The value provided is not a valid Text." promptTitle="Feature Bullet" prompt="Please enter Text" sqref="Y8:Y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Y7">
      <formula1>32767</formula1>
    </dataValidation>
    <dataValidation type="textLength" operator="lessThanOrEqual" errorStyle="warning" showInputMessage="1" showErrorMessage="1" errorTitle="Invalid Text" error="The value provided is not a valid Text." promptTitle="Feature Bullet" prompt="Please enter Text" sqref="Z8:Z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Z7">
      <formula1>32767</formula1>
    </dataValidation>
    <dataValidation type="textLength" operator="lessThanOrEqual" errorStyle="warning" showInputMessage="1" showErrorMessage="1" errorTitle="Invalid Text" error="The value provided is not a valid Text." promptTitle="Feature Bullet" prompt="Please enter Text" sqref="AA8:AA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A7">
      <formula1>32767</formula1>
    </dataValidation>
    <dataValidation type="textLength" operator="lessThanOrEqual" errorStyle="warning" showInputMessage="1" showErrorMessage="1" errorTitle="Invalid Whole Number" error="The value provided is not a valid Whole Number." promptTitle="Minimum Order Quantity" prompt="Please enter Whole Number" sqref="AB8:AB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B7">
      <formula1>32767</formula1>
    </dataValidation>
    <dataValidation type="textLength" operator="lessThanOrEqual" errorStyle="warning" showInputMessage="1" showErrorMessage="1" errorTitle="Invalid Whole Number" error="The value provided is not a valid Whole Number." promptTitle="Force Quantity Multiplier" prompt="Please enter Whole Number" sqref="AC8:AC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C7">
      <formula1>32767</formula1>
    </dataValidation>
    <dataValidation type="textLength" operator="lessThanOrEqual" errorStyle="warning" showInputMessage="1" showErrorMessage="1" errorTitle="Invalid Whole Number" error="The value provided is not a valid Whole Number." promptTitle="Display Set Quantity" prompt="Please enter Whole Number" sqref="AD8:AD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D7">
      <formula1>32767</formula1>
    </dataValidation>
    <dataValidation type="textLength" operator="lessThanOrEqual" errorStyle="warning" showInputMessage="1" showErrorMessage="1" errorTitle="Invalid Number" error="The value provided is not a valid Number." promptTitle="Product Weight" prompt="Please enter Number" sqref="AE8:AE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E7">
      <formula1>32767</formula1>
    </dataValidation>
    <dataValidation type="list" allowBlank="1" showInputMessage="1" showErrorMessage="1" errorTitle="Invalid Ship Type" error="The value provided is not a valid Ship Type." promptTitle="Ship Type" prompt="Please select a valid Ship Type" sqref="AF8:AF2500">
      <formula1>'WAYFAIR_USE_ONLY'!$T$7:$T9</formula1>
    </dataValidation>
    <dataValidation type="list" allowBlank="1" showInputMessage="1" showErrorMessage="1" errorTitle="Invalid Ship Type" error="The value provided is not a valid Ship Type." promptTitle="" prompt="If all products in this class consistently have the same answer, you can set a default value to apply automatically. For any exceptions, you can modify the answer for specific products without changing the default." sqref="AF7">
      <formula1>'WAYFAIR_USE_ONLY'!$T$7:$T9</formula1>
    </dataValidation>
    <dataValidation type="list" allowBlank="1" showInputMessage="1" showErrorMessage="1" errorTitle="Invalid Freight Class" error="The value provided is not a valid Freight Class." promptTitle="Freight Class" prompt="Please select a valid Freight Class" sqref="AG8:AG2500">
      <formula1>'WAYFAIR_USE_ONLY'!$U$7:$U25</formula1>
    </dataValidation>
    <dataValidation type="list" allowBlank="1" showInputMessage="1" showErrorMessage="1" errorTitle="Invalid Freight Class" error="The value provided is not a valid Freight Class." promptTitle="" prompt="If all products in this class consistently have the same answer, you can set a default value to apply automatically. For any exceptions, you can modify the answer for specific products without changing the default." sqref="AG7">
      <formula1>'WAYFAIR_USE_ONLY'!$U$7:$U25</formula1>
    </dataValidation>
    <dataValidation type="list" allowBlank="1" showInputMessage="1" showErrorMessage="1" errorTitle="Invalid Lead Time" error="The value provided is not a valid Lead Time." promptTitle="Lead Time" prompt="Please select a valid Lead Time" sqref="AH8:AH2500">
      <formula1>'WAYFAIR_USE_ONLY'!$V$7:$V24</formula1>
    </dataValidation>
    <dataValidation type="list" allowBlank="1" showInputMessage="1" showErrorMessage="1" errorTitle="Invalid Lead Time" error="The value provided is not a valid Lead Time." promptTitle="" prompt="If all products in this class consistently have the same answer, you can set a default value to apply automatically. For any exceptions, you can modify the answer for specific products without changing the default." sqref="AH7">
      <formula1>'WAYFAIR_USE_ONLY'!$V$7:$V24</formula1>
    </dataValidation>
    <dataValidation type="list" allowBlank="1" showInputMessage="1" showErrorMessage="1" errorTitle="Invalid Replacement Lead Time" error="The value provided is not a valid Replacement Lead Time." promptTitle="Replacement Lead Time" prompt="Please select a valid Replacement Lead Time" sqref="AI8:AI2500">
      <formula1>'WAYFAIR_USE_ONLY'!$W$7:$W13</formula1>
    </dataValidation>
    <dataValidation type="list" allowBlank="1" showInputMessage="1" showErrorMessage="1" errorTitle="Invalid Replacement Lead Time" error="The value provided is not a valid Replacement Lead Time." promptTitle="" prompt="If all products in this class consistently have the same answer, you can set a default value to apply automatically. For any exceptions, you can modify the answer for specific products without changing the default." sqref="AI7">
      <formula1>'WAYFAIR_USE_ONLY'!$W$7:$W13</formula1>
    </dataValidation>
    <dataValidation type="textLength" operator="lessThanOrEqual" errorStyle="warning" showInputMessage="1" showErrorMessage="1" errorTitle="Invalid Text" error="The value provided is not a valid Text." promptTitle="National Motor Freight Class" prompt="Please enter Text" sqref="AJ8:AJ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J7">
      <formula1>32767</formula1>
    </dataValidation>
    <dataValidation type="list" allowBlank="1" showInputMessage="1" showErrorMessage="1" errorTitle="Invalid Flat Pack" error="The value provided is not a valid Flat Pack." promptTitle="Flat Pack" prompt="Please select a valid Flat Pack" sqref="AK8:AK2500">
      <formula1>'WAYFAIR_USE_ONLY'!$X$7:$X9</formula1>
    </dataValidation>
    <dataValidation type="list" allowBlank="1" showInputMessage="1" showErrorMessage="1" errorTitle="Invalid Flat Pack" error="The value provided is not a valid Flat Pack." promptTitle="" prompt="If all products in this class consistently have the same answer, you can set a default value to apply automatically. For any exceptions, you can modify the answer for specific products without changing the default." sqref="AK7">
      <formula1>'WAYFAIR_USE_ONLY'!$X$7:$X9</formula1>
    </dataValidation>
    <dataValidation type="list" allowBlank="1" showInputMessage="1" showErrorMessage="1" errorTitle="Invalid Ship Palletized" error="The value provided is not a valid Ship Palletized." promptTitle="Ship Palletized" prompt="Please select a valid Ship Palletized" sqref="AL8:AL2500">
      <formula1>'WAYFAIR_USE_ONLY'!$Y$7:$Y9</formula1>
    </dataValidation>
    <dataValidation type="list" allowBlank="1" showInputMessage="1" showErrorMessage="1" errorTitle="Invalid Ship Palletized" error="The value provided is not a valid Ship Palletized." promptTitle="" prompt="If all products in this class consistently have the same answer, you can set a default value to apply automatically. For any exceptions, you can modify the answer for specific products without changing the default." sqref="AL7">
      <formula1>'WAYFAIR_USE_ONLY'!$Y$7:$Y9</formula1>
    </dataValidation>
    <dataValidation type="textLength" operator="lessThanOrEqual" errorStyle="warning" showInputMessage="1" showErrorMessage="1" errorTitle="Invalid Number" error="The value provided is not a valid Number." promptTitle="Carton Weight" prompt="Please enter Number" sqref="AM8:AM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M7">
      <formula1>32767</formula1>
    </dataValidation>
    <dataValidation type="textLength" operator="lessThanOrEqual" errorStyle="warning" showInputMessage="1" showErrorMessage="1" errorTitle="Invalid Number" error="The value provided is not a valid Number." promptTitle="Carton Height" prompt="Please enter Number" sqref="AN8:AN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N7">
      <formula1>32767</formula1>
    </dataValidation>
    <dataValidation type="textLength" operator="lessThanOrEqual" errorStyle="warning" showInputMessage="1" showErrorMessage="1" errorTitle="Invalid Number" error="The value provided is not a valid Number." promptTitle="Carton Width" prompt="Please enter Number" sqref="AO8:AO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O7">
      <formula1>32767</formula1>
    </dataValidation>
    <dataValidation type="textLength" operator="lessThanOrEqual" errorStyle="warning" showInputMessage="1" showErrorMessage="1" errorTitle="Invalid Number" error="The value provided is not a valid Number." promptTitle="Carton Depth" prompt="Please enter Number" sqref="AP8:AP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P7">
      <formula1>32767</formula1>
    </dataValidation>
    <dataValidation type="textLength" operator="lessThanOrEqual" errorStyle="warning" showInputMessage="1" showErrorMessage="1" errorTitle="Invalid Text" error="The value provided is not a valid Text." promptTitle="Image File Name or URL" prompt="Please enter Text" sqref="AQ8:AQ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R8:AR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S8:AS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T8:AT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U8:AU2500">
      <formula1>32767</formula1>
    </dataValidation>
    <dataValidation type="textLength" operator="lessThanOrEqual" errorStyle="warning" showInputMessage="1" showErrorMessage="1" errorTitle="Invalid Text" error="The value provided is not a valid Text." promptTitle="Video File Name or URL" prompt="Please enter Text" sqref="AV8:AV2500">
      <formula1>32767</formula1>
    </dataValidation>
    <dataValidation type="textLength" operator="lessThanOrEqual" errorStyle="warning" showInputMessage="1" showErrorMessage="1" errorTitle="Invalid Text" error="The value provided is not a valid Text." promptTitle="Document File Name or URL" prompt="Please enter Text" sqref="AW8:AW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W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Y7"/>
    <dataValidation type="list" allowBlank="1" showInputMessage="1" showErrorMessage="1" errorTitle="Invalid Document Region" error="The value provided is not a valid Document Region." promptTitle="Document Region" prompt="Please select a valid Document Region" sqref="AZ8:AZ2500">
      <formula1>'WAYFAIR_USE_ONLY'!$P$7:$P11</formula1>
    </dataValidation>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AZ7">
      <formula1>'WAYFAIR_USE_ONLY'!$P$7:$P11</formula1>
    </dataValidation>
    <dataValidation type="textLength" operator="lessThanOrEqual" errorStyle="warning" showInputMessage="1" showErrorMessage="1" errorTitle="Invalid Text" error="The value provided is not a valid Text." promptTitle="Document File Name or URL" prompt="Please enter Text" sqref="BA8:BA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A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C7"/>
    <dataValidation type="list" allowBlank="1" showInputMessage="1" showErrorMessage="1" errorTitle="Invalid Document Region" error="The value provided is not a valid Document Region." promptTitle="Document Region" prompt="Please select a valid Document Region" sqref="BD8:BD2500">
      <formula1>'WAYFAIR_USE_ONLY'!$P$7:$P11</formula1>
    </dataValidation>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D7">
      <formula1>'WAYFAIR_USE_ONLY'!$P$7:$P11</formula1>
    </dataValidation>
    <dataValidation type="textLength" operator="lessThanOrEqual" errorStyle="warning" showInputMessage="1" showErrorMessage="1" errorTitle="Invalid Text" error="The value provided is not a valid Text." promptTitle="Document File Name or URL" prompt="Please enter Text" sqref="BE8:BE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E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F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G7"/>
    <dataValidation type="list" allowBlank="1" showInputMessage="1" showErrorMessage="1" errorTitle="Invalid Document Region" error="The value provided is not a valid Document Region." promptTitle="Document Region" prompt="Please select a valid Document Region" sqref="BH8:BH2500">
      <formula1>'WAYFAIR_USE_ONLY'!$P$7:$P11</formula1>
    </dataValidation>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H7">
      <formula1>'WAYFAIR_USE_ONLY'!$P$7:$P11</formula1>
    </dataValidation>
    <dataValidation type="list" allowBlank="1" showInputMessage="1" showErrorMessage="1" errorTitle="Invalid Product Type" error="The value provided is not a valid Product Type." promptTitle="Product Type" prompt="Please select a valid Product Type" sqref="BI8:BI2500">
      <formula1>'WAYFAIR_USE_ONLY'!$AB$7:$AB15</formula1>
    </dataValidation>
    <dataValidation type="list" allowBlank="1" showInputMessage="1" showErrorMessage="1" errorTitle="Invalid Product Type" error="The value provided is not a valid Product Type." promptTitle="" prompt="If all products in this class consistently have the same answer, you can set a default value to apply automatically. For any exceptions, you can modify the answer for specific products without changing the default." sqref="BI7">
      <formula1>'WAYFAIR_USE_ONLY'!$AB$7:$AB15</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J7"/>
    <dataValidation type="list" errorStyle="warning" allowBlank="1" showInputMessage="1" showErrorMessage="1" errorTitle="Invalid Wallpaper Texture" error="The value provided is not a valid Wallpaper Texture. Would you like to provide a custom answer?" promptTitle="Wallpaper Texture" prompt="Please select a valid Wallpaper Texture" sqref="BK8:BK2500">
      <formula1>'WAYFAIR_USE_ONLY'!$AC$7:$AC13</formula1>
    </dataValidation>
    <dataValidation type="list" errorStyle="warning" allowBlank="1" showInputMessage="1" showErrorMessage="1" errorTitle="Invalid Wallpaper Texture" error="The value provided is not a valid Wallpaper Texture. Would you like to provide a custom answer?" promptTitle="" prompt="If all products in this class consistently have the same answer, you can set a default value to apply automatically. For any exceptions, you can modify the answer for specific products without changing the default." sqref="BK7">
      <formula1>'WAYFAIR_USE_ONLY'!$AC$7:$AC13</formula1>
    </dataValidation>
    <dataValidation type="list" errorStyle="warning" allowBlank="1" showInputMessage="1" showErrorMessage="1" errorTitle="Invalid Application Type" error="The value provided is not a valid Application Type. Would you like to provide a custom answer?" promptTitle="Application Type" prompt="Please select a valid Application Type" sqref="BL8:BL2500">
      <formula1>'WAYFAIR_USE_ONLY'!$AD$7:$AD12</formula1>
    </dataValidation>
    <dataValidation type="list" errorStyle="warning" allowBlank="1" showInputMessage="1" showErrorMessage="1" errorTitle="Invalid Application Type" error="The value provided is not a valid Application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L7">
      <formula1>'WAYFAIR_USE_ONLY'!$AD$7:$AD12</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M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N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O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P7"/>
    <dataValidation type="list" allowBlank="1" showInputMessage="1" showErrorMessage="1" errorTitle="Invalid BPA Free" error="The value provided is not a valid BPA Free." promptTitle="BPA Free" prompt="Please select a valid BPA Free" sqref="BQ8:BQ2500">
      <formula1>'WAYFAIR_USE_ONLY'!$AE$7:$AE11</formula1>
    </dataValidation>
    <dataValidation type="list" allowBlank="1" showInputMessage="1" showErrorMessage="1" errorTitle="Invalid BPA Free" error="The value provided is not a valid BPA Free." promptTitle="" prompt="If all products in this class consistently have the same answer, you can set a default value to apply automatically. For any exceptions, you can modify the answer for specific products without changing the default." sqref="BQ7">
      <formula1>'WAYFAIR_USE_ONLY'!$AE$7:$AE11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R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S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T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U7"/>
    <dataValidation type="textLength" operator="lessThanOrEqual" errorStyle="warning" showInputMessage="1" showErrorMessage="1" errorTitle="Invalid Whole Number" error="The value provided is not a valid Whole Number." promptTitle="Pattern Repeat Frequency" prompt="Please enter Whole Number" sqref="BV8:BV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BV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W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Y7"/>
    <dataValidation type="textLength" operator="lessThanOrEqual" errorStyle="warning" showInputMessage="1" showErrorMessage="1" errorTitle="Invalid Number" error="The value provided is not a valid Number." promptTitle="Pattern Interval" prompt="Please enter Number" sqref="BZ8:BZ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BZ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A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C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D7"/>
    <dataValidation type="textLength" operator="lessThanOrEqual" errorStyle="warning" showInputMessage="1" showErrorMessage="1" errorTitle="Invalid Number" error="The value provided is not a valid Number." promptTitle="Overall Product Length - End to " prompt="Please enter Number" sqref="CE8:CE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E7">
      <formula1>32767</formula1>
    </dataValidation>
    <dataValidation type="textLength" operator="lessThanOrEqual" errorStyle="warning" showInputMessage="1" showErrorMessage="1" errorTitle="Invalid Number" error="The value provided is not a valid Number." promptTitle="Overall Width - Side to Side" prompt="Please enter Number" sqref="CF8:CF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F7">
      <formula1>32767</formula1>
    </dataValidation>
    <dataValidation type="textLength" operator="lessThanOrEqual" errorStyle="warning" showInputMessage="1" showErrorMessage="1" errorTitle="Invalid Number" error="The value provided is not a valid Number." promptTitle="Square Footage per Unit" prompt="Please enter Number" sqref="CG8:CG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G7">
      <formula1>32767</formula1>
    </dataValidation>
    <dataValidation type="textLength" operator="lessThanOrEqual" errorStyle="warning" showInputMessage="1" showErrorMessage="1" errorTitle="Invalid Number" error="The value provided is not a valid Number." promptTitle="Overall Product Weight" prompt="Please enter Number" sqref="CH8:CH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H7">
      <formula1>32767</formula1>
    </dataValidation>
    <dataValidation type="list" allowBlank="1" showInputMessage="1" showErrorMessage="1" errorTitle="Invalid Commercial Warranty" error="The value provided is not a valid Commercial Warranty." promptTitle="Commercial Warranty" prompt="Please select a valid Commercial Warranty" sqref="CI8:CI2500">
      <formula1>'WAYFAIR_USE_ONLY'!$AG$7:$AG10</formula1>
    </dataValidation>
    <dataValidation type="list" allowBlank="1" showInputMessage="1" showErrorMessage="1" errorTitle="Invalid Commercial Warranty" error="The value provided is not a valid Commercial Warranty." promptTitle="" prompt="If all products in this class consistently have the same answer, you can set a default value to apply automatically. For any exceptions, you can modify the answer for specific products without changing the default." sqref="CI7">
      <formula1>'WAYFAIR_USE_ONLY'!$AG$7:$AG10</formula1>
    </dataValidation>
    <dataValidation allowBlank="1" showInputMessage="1" showErrorMessage="1" promptTitle="Class Specific Child Question" prompt="This Question is directly related to the tag &quot;Commercial Warranty Your answer to the related question may influence which answers are accepted here." sqref="CJ4"/>
    <dataValidation type="list" allowBlank="1" showInputMessage="1" showErrorMessage="1" errorTitle="Invalid Commercial Warranty Leng" error="The value provided is not a valid Commercial Warranty Length." promptTitle="Commercial Warranty Length" prompt="Please select a valid Commercial Warranty Length" sqref="CJ8:CJ2500">
      <formula1>'WAYFAIR_USE_ONLY'!$AF$7:$AF32</formula1>
    </dataValidation>
    <dataValidation type="list" allowBlank="1" showInputMessage="1" showErrorMessage="1" errorTitle="Invalid Commercial Warranty Leng" error="The value provided is not a valid Commercial Warranty Length." promptTitle="" prompt="If all products in this class consistently have the same answer, you can set a default value to apply automatically. For any exceptions, you can modify the answer for specific products without changing the default." sqref="CJ7">
      <formula1>'WAYFAIR_USE_ONLY'!$AF$7:$AF32</formula1>
    </dataValidation>
    <dataValidation type="list" allowBlank="1" showInputMessage="1" showErrorMessage="1" errorTitle="Invalid Wayfair Compliance Verif" error="The value provided is not a valid Wayfair Compliance Verified Program (including Baby Safety Alliance fka JPMA) for this product category." promptTitle="Wayfair Compliance Verified Prog" prompt="Please select a valid Wayfair Compliance Verified Program (including Baby Safety Alliance fka JPMA) for this product category" sqref="CK8:CK2500">
      <formula1>'WAYFAIR_USE_ONLY'!$AH$7:$AH9</formula1>
    </dataValidation>
    <dataValidation type="list" allowBlank="1" showInputMessage="1" showErrorMessage="1" errorTitle="Invalid Wayfair Compliance Verif" error="The value provided is not a valid Wayfair Compliance Verified Program (including Baby Safety Alliance fka JPMA) for this product category." promptTitle="" prompt="If all products in this class consistently have the same answer, you can set a default value to apply automatically. For any exceptions, you can modify the answer for specific products without changing the default." sqref="CK7">
      <formula1>'WAYFAIR_USE_ONLY'!$AH$7:$AH9</formula1>
    </dataValidation>
    <dataValidation type="list" allowBlank="1" showInputMessage="1" showErrorMessage="1" errorTitle="Invalid Uniform Packaging and La" error="The value provided is not a valid Uniform Packaging and Labeling Regulations (UPLR) Compliant." promptTitle="Uniform Packaging and Labeling R" prompt="Please select a valid Uniform Packaging and Labeling Regulations (UPLR) Compliant" sqref="CL8:CL2500">
      <formula1>'WAYFAIR_USE_ONLY'!$AI$7:$AI9</formula1>
    </dataValidation>
    <dataValidation type="list" allowBlank="1" showInputMessage="1" showErrorMessage="1" errorTitle="Invalid Uniform Packaging and La" error="The value provided is not a valid Uniform Packaging and Labeling Regulations (UPLR) Compliant." promptTitle="" prompt="If all products in this class consistently have the same answer, you can set a default value to apply automatically. For any exceptions, you can modify the answer for specific products without changing the default." sqref="CL7">
      <formula1>'WAYFAIR_USE_ONLY'!$AI$7:$AI9</formula1>
    </dataValidation>
    <dataValidation type="list" allowBlank="1" showInputMessage="1" showErrorMessage="1" errorTitle="Invalid Canada Product Restricti" error="The value provided is not a valid Canada Product Restriction." promptTitle="Canada Product Restriction" prompt="Please select a valid Canada Product Restriction" sqref="CM8:CM2500">
      <formula1>'WAYFAIR_USE_ONLY'!$AJ$7:$AJ9</formula1>
    </dataValidation>
    <dataValidation type="list" allowBlank="1" showInputMessage="1" showErrorMessage="1" errorTitle="Invalid Canada Product Restricti" error="The value provided is not a valid Canada Product Restriction." promptTitle="" prompt="If all products in this class consistently have the same answer, you can set a default value to apply automatically. For any exceptions, you can modify the answer for specific products without changing the default." sqref="CM7">
      <formula1>'WAYFAIR_USE_ONLY'!$AJ$7:$AJ9</formula1>
    </dataValidation>
    <dataValidation allowBlank="1" showInputMessage="1" showErrorMessage="1" promptTitle="Class Specific Child Question" prompt="This Question is directly related to the tag &quot;Canada Product Restriction Your answer to the related question may influence which answers are accepted here." sqref="CN4"/>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N7"/>
    <dataValidation type="list" allowBlank="1" showInputMessage="1" showErrorMessage="1" errorTitle="Invalid Sustainability &amp; Social " error="The value provided is not a valid Sustainability &amp; Social Responsibility Certifications (North America Only)." promptTitle="Sustainability &amp; Social Responsi" prompt="Please select a valid Sustainability &amp; Social Responsibility Certifications (North America Only)" sqref="CO8:CO2500">
      <formula1>'WAYFAIR_USE_ONLY'!$AK$7:$AK10</formula1>
    </dataValidation>
    <dataValidation type="list" allowBlank="1" showInputMessage="1" showErrorMessage="1" errorTitle="Invalid Sustainability &amp; Social " error="The value provided is not a valid Sustainability &amp; Social Responsibility Certifications (North America Only)." promptTitle="" prompt="If all products in this class consistently have the same answer, you can set a default value to apply automatically. For any exceptions, you can modify the answer for specific products without changing the default." sqref="CO7">
      <formula1>'WAYFAIR_USE_ONLY'!$AK$7:$AK10</formula1>
    </dataValidation>
    <dataValidation type="list" allowBlank="1" showInputMessage="1" showErrorMessage="1" errorTitle="Invalid Warning Required" error="The value provided is not a valid Warning Required." promptTitle="Warning Required" prompt="Please select a valid Warning Required" sqref="CP8:CP2500">
      <formula1>'WAYFAIR_USE_ONLY'!$Q$7:$Q9</formula1>
    </dataValidation>
    <dataValidation type="list" allowBlank="1" showInputMessage="1" showErrorMessage="1" errorTitle="Invalid Warning Required" error="The value provided is not a valid Warning Required." promptTitle="" prompt="If all products in this class consistently have the same answer, you can set a default value to apply automatically. For any exceptions, you can modify the answer for specific products without changing the default." sqref="CP7">
      <formula1>'WAYFAIR_USE_ONLY'!$Q$7:$Q9</formula1>
    </dataValidation>
    <dataValidation type="list" allowBlank="1" showInputMessage="1" showErrorMessage="1" errorTitle="Invalid Chemical" error="The value provided is not a valid Chemical." promptTitle="Chemical" prompt="Please select a valid Chemical" sqref="CQ8:CQ2500">
      <formula1>'WAYFAIR_USE_ONLY'!$R$7:$R908</formula1>
    </dataValidation>
    <dataValidation type="list" allowBlank="1" showInputMessage="1" showErrorMessage="1" errorTitle="Invalid Chemical" error="The value provided is not a valid Chemical." promptTitle="" prompt="If all products in this class consistently have the same answer, you can set a default value to apply automatically. For any exceptions, you can modify the answer for specific products without changing the default." sqref="CQ7">
      <formula1>'WAYFAIR_USE_ONLY'!$R$7:$R908</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R7"/>
    <dataValidation type="list" allowBlank="1" showInputMessage="1" showErrorMessage="1" errorTitle="Invalid Country Of Manufacturer" error="The value provided is not a valid Country Of Manufacturer." promptTitle="Country Of Manufacturer" prompt="Please select a valid Country Of Manufacturer" sqref="CS8:CS2500">
      <formula1>'WAYFAIR_USE_ONLY'!$S$7:$S254</formula1>
    </dataValidation>
    <dataValidation type="list" allowBlank="1" showInputMessage="1" showErrorMessage="1" errorTitle="Invalid Country Of Manufacturer" error="The value provided is not a valid Country Of Manufacturer." promptTitle="" prompt="If all products in this class consistently have the same answer, you can set a default value to apply automatically. For any exceptions, you can modify the answer for specific products without changing the default." sqref="CS7">
      <formula1>'WAYFAIR_USE_ONLY'!$S$7:$S254</formula1>
    </dataValidation>
  </dataValidations>
  <hyperlinks>
    <hyperlink ref="D6" location="'Valid Values'!A1" display="Select"/>
    <hyperlink ref="J6" location="'Valid Values'!B1" display="Select"/>
    <hyperlink ref="L6" location="'Valid Values'!D1" display="Select"/>
    <hyperlink ref="N6" location="'Valid Values'!D1" display="Select"/>
    <hyperlink ref="P6" location="'Valid Values'!D1" display="Select"/>
    <hyperlink ref="AF6" location="'Valid Values'!E1" display="Select"/>
    <hyperlink ref="AG6" location="'Valid Values'!F1" display="Select"/>
    <hyperlink ref="AH6" location="'Valid Values'!G1" display="Select"/>
    <hyperlink ref="AI6" location="'Valid Values'!H1" display="Select"/>
    <hyperlink ref="AX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AY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AZ6" location="'Valid Values'!K1" display="Select"/>
    <hyperlink ref="BB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C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D6" location="'Valid Values'!K1" display="Select"/>
    <hyperlink ref="BF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G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H6" location="'Valid Values'!K1" display="Select"/>
    <hyperlink ref="BI6" location="'Valid Values'!AJ1" display="Select"/>
    <hyperlink ref="BJ6" location="'Valid Values'!AK1" display="Please choose one or more from the following, using a semicolon (;) to separate each value: Striped; Plaid; Chevron; Damask; Paisley; Geometric; Abstract; Gingham; Animal Print; Camouflage; Polka Dots; Ikat; Houndstooth; Toile; Patchwork; Ombre; Checkered; Floral; Argyle; Solid Color; No Pattern; Trellis; Dots; Starburst; Geometric Shapes; Marble; Brick; Irish Chain; Wood &amp; Shiplap; Chevron / Zig Zag; Clear; Stone; Drunkard's Path; Moroccan; Oriental; Block Print; Arc; Vintage Look; Does Not Apply"/>
    <hyperlink ref="BK6" location="'Valid Values'!AL1" display="Select"/>
    <hyperlink ref="BL6" location="'Valid Values'!AM1" display="Select"/>
    <hyperlink ref="BM6" location="'Valid Values'!AN1" display="Please choose one or more from the following, using a semicolon (;) to separate each value: Drop; Straight; Random; Unavailable; Does Not Apply"/>
    <hyperlink ref="BN6" location="'Valid Values'!AO1" display="Please choose one or more from the following, using a semicolon (;) to separate each value: Peelable; Strippable; Solution Required; Unavailable; Does Not Apply"/>
    <hyperlink ref="BO6" location="'Valid Values'!AP1" display="Please choose one or more from the following, using a semicolon (;) to separate each value: Made in USA; Made in USA of Imported Materials; Product of Canada; Made In Canada; Does Not Apply"/>
    <hyperlink ref="BP6" location="'Valid Values'!AQ1" display="Please choose one or more from the following, using a semicolon (;) to separate each value: Non Residential Use; Residential Use"/>
    <hyperlink ref="BR6" location="'Valid Values'!AR1" display="Please choose one or more from the following, using a semicolon (;) to separate each value: Mold / Mildew Resistant; Water Resistant; No Durability Features; Drip Free; Fade Resistant; Heat Resistant; Stain Resistant; Reinforced; Non-Porous; Fray Resistant; Non-Staining"/>
    <hyperlink ref="BS6" location="'Valid Values'!AS1" display="Please choose one or more from the following, using a semicolon (;) to separate each value: Achille Castiglioni; Alfredo Llorens; Becky Bailey; Badeloft; Alain Van Havre; Bannoura; Ann Gish; Ambesonne; Alberto Tabellini &amp; David Reiss; Andres Martinez; Allison Paladino; AERIN; Alexa Hampton; Antonio Citterio; BergHOFF; Ardmore; Arnold Krog; Bruno Marashlian; Carol Benson-Cobb; Campania International; Debra Ann of Atomic Mobiles; ARTCANVAS; Karen Didion; Maceteros; Rosiland Solomon; Ysnay; Ashley Norton; University frames; Ashley Helms; B2U; Artwall; Aviva Stanoff; ArtVerse; Artorang; ACROMA; Barrow Industries; Barclay Butera; Aqua Gallery; Barrow Fabric; Barbara Barry; Aston; Barry Goralnick; Barbara and James Restin; Arshs Fine Rugs; Brightech; C.L.L Collections; Bunny Williams; Busalt Design; Candice Olson; Betsy Drake Interiors; Bhawna's Fusion; Capital Lighting Fixture Co.; Booth &amp; Williams; Berbermade; Caroline's Treasures; Christian Lacroix; Chic Teak; Chapman &amp; Myers; ChiChi Decor; Celerie Kemble; ChildBeWild; Casa Fine Arts; Bespoky Rugs; Dawn Sweitzer; Dana Gibson; David Chipperfield; Darren Gygi; Creative Matters Inc.; Dana McMillan; Danielle Davis; David Phoenix; Christopher Fareed; E by Design; COXBRIGHT; Coe Steinwart; DreamLine; Daphne Polselli; Diane Beesley; Denny Knight; Diane Keaton; echo; Ebros Gift; EGLO; Duravit; Eleonora Ferragatta; E. F. Chapman; Elaine Smith; East West Furniture; iCanvas; Empava; Ernest Massuet; James Restin; Enrico Lavazzi; Ella's Bubbles; Emissary; Jaime Hayon; Evergreen; Jean-Marie Massaud; J Paul; Jennifer Hollack Raboin; Javier Mariscal; Jasper Morrison; James Brooksberry; Jamie Graney; J. Kent Martin; Jonathan Adler; Jennifer Ridel; Jose Javier Malavia; John Beard; JMV; Jordan Glassco Smith; Europatex; Jorge Pensi; Jose Luis Santes; John Strauss/Carisa Marie; Jose Maria Reina; Ettore Sottsass; Enrico Cosi &amp; Sergio Tabellini; Eugeni Quitllet; Jose Santaeulalia; Jessica Hollander; JoyJolt; Jim and Phoebe Howard; Julia Knight; Kelly Wearstler; Laura Park; Kurt Merki Jr.; Karin Reiter; Karo Martirosyan"/>
    <hyperlink ref="BT6" location="'Valid Values'!AT1" display="Please choose one or more from the following, using a semicolon (;) to separate each value: Hand wash recommended; Spot clean only; Clean with soap and water; Clean spills immediately; Non-Abrasive, Neutral Ph Cleaner; Vacuum with no beater bar/rotating brush; Professional / Dry Clean Recommended; Vacuum with upholstery attachment; Use product specific cleaner; Wipe clean with a dry cloth; Avoid use of abrasive cleaners; Do not wash; Dust mop; Hose down; Spot clean; Wipe with wet cloth; Spot clean with water; No washing / drying care; Do not bleach; After cleaning, use sealant; Vacuum; Avoid direct sunlight; Clean with cloth, mild soap, and warm water; Spot clean with mild detergent; Spot clean as needed; Do not use any cleaning agents; Machine wash; Dry clean recommended; Use dry, solvent-based cleaner; Wipe down with mild soap and water; Wipe with cloth; Wipe Clean Only; Hand Wash Only - Towel Dry Immediately; Wipe clean with a damp cloth; Does Not Apply"/>
    <hyperlink ref="BU6" location="'Valid Values'!AU1" display="Please choose one or more from the following, using a semicolon (;) to separate each value: Blue; Black; Brown; Red; Beige; Yellow; Pink; Purple; Gold; White; Ivory; Tan; Teal; Navy; Orange; Silver; Gray; Green; Cream; Clear"/>
    <hyperlink ref="BW6" location="'Valid Values'!AV1" display="Please choose one or more from the following, using a semicolon (;) to separate each value: Acacia; Alder; Ash; Bamboo; Beech; Birch; Camphor; Cedar; Cherry; Elm; Eucalyptus; Fir; Hickory; Mahogany; Mango; Maple; Oak; Pine; Poplar; Rosewood; Rubberwood; Sheesham; Spruce; Teak; Walnut; Wenge; Pecan; Shorea; Paulownia; Chestnut; Hemlock; Aspen; Mindi; Ipe; Olive; Ajo; Agarwood; Afzelia; Afrormosia; Bubinga; Brazilwood; Cumaru; Cedar, Mulanje; Cedar, Spanish; Aloewood; Lignum vitae; Mahogany, African; Mahogany, Mexican; Padauk, African; Macacauba; Ebony, Madagascar; Lignum vitae, Argentine; Gavilan; Mahogany, Honduran; Mahogany, Cuban; Stinkwood, red; Yew, Chinese; Pau rosa, Brazilian; Sandalwood, East African; Ramin; Zitan; Yew, Himalayan; Yew, Japanese; Rosewood, Siamese; Yew, Taiwan; Burlwood; Platane Wood; Sungkai; Does Not Apply"/>
    <hyperlink ref="BX6" location="'Valid Values'!AW1" display="Please choose one or more from the following, using a semicolon (;) to separate each value: MLB Atlanta Braves; MLB Chicago Cubs; MLB Arizona Diamondbacks; MLB Baltimore Orioles; MLB Kansas City Royals; MLB Boston Red Sox; MLB Milwaukee Brewers; MLB Detroit Tigers; MLB Cincinnati Reds; MLB Los Angeles Dodgers; MLB Colorado Rockies; MLB Chicago White Sox; MLB Houston Astros; MLB Miami Marlins; MLB Minnesota Twins; MLB Philadelphia Phillies; NBA New York Knicks; NHL Edmonton Oilers; MLB Los Angeles Angels; MLB New York Mets; MLB New York Yankees; MLB Pittsburgh Pirates; MLB San Diego Padres; MLB San Francisco Giants; NHL Los Angeles Kings; NHL Pittsburgh Penguins; MLB Seattle Mariners; MLB Cleveland Guardians; MLB Tampa Bay Rays; MLB Toronto Blue Jays; MLB Washington Nationals; NBA Boston Celtics; NBA Charlotte Hornets; NBA Denver Nuggets; NBA Golden State Warriors; NFL Houston Texans; NFL Baltimore Ravens; NBA Detroit Pistons; NBA Cleveland Cavaliers; NBA Houston Rockets; NBA Atlanta Hawks; NHL Washington Capitals; NBA Los Angeles Clippers; NBA Minnesota Timberwolves; NBA Brooklyn Nets; NBA Sacramento Kings; NBA Washington Wizards; NBA San Antonio Spurs; NHL Calgary Flames; NHL Carolina Hurricanes; NBA Indiana Pacers; NBA New Orleans Pelicans; NFL New York Giants; NBA Memphis Grizzlies; MLB Oakland Athletics; NHL Detroit Red Wings; NHL Colorado Avalanche; NHL New York Islanders; NBA Chicago Bulls; NBA Utah Jazz; NBA Philadelphia 76ers; NBA Milwaukee Bucks; NBA Miami Heat; NBA Oklahoma City Thunder; NBA Orlando Magic; NHL Montreal Canadiens; NHL Vancouver Canucks; NHL San Jose Sharks; NHL Arizona Coyotes; NHL Winnipeg Jets; NHL Buffalo Sabres; NHL Boston Bruins; NHL Vegas Golden Knights; NFL Buffalo Bills; NBA Toronto Raptors; NFL Arizona Cardinals; MLB Texas Rangers; NFL Cincinnati Bengals; NFL Carolina Panthers; NFL Detroit Lions; NFL Atlanta Falcons; NFL Green Bay Packers; NFL Denver Broncos; NFL Miami Dolphins; NFL Jacksonville Jaguars; NHL Dallas Stars; NFL Kansas City Chiefs; NHL Florida Panthers; NHL Minnesota Wild; NBA Phoenix Suns; NFL "/>
    <hyperlink ref="BY6" location="'Valid Values'!AX1" display="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hyperlink ref="CA6" location="'Valid Values'!AY1" display="Please choose one or more from the following, using a semicolon (;) to separate each value: Breathable; Dual Sided; Paintable / Stainable"/>
    <hyperlink ref="CB6" location="'Valid Values'!AZ1" display="Please choose one or more from the following, using a semicolon (;) to separate each value: Aluminum; Cast Iron; Fabric; Paper; Plastic; PVC; Steel; Vinyl; Wood; Fleece; Grass Cloth; MDF; Non-Woven; Particle Board / Chipboard; Plywood / Laminate Board"/>
    <hyperlink ref="CC6" location="'Valid Values'!BA1" display="Please choose one or more from the following, using a semicolon (;) to separate each value: Newborn (Birth - 6 months old); Infant (6 - 12 Months); Toddler (1 - 3 Years); Pre-school (3 - 5 Years); Youth (5 - 8 Years); Pre-teen (9 - 12 Years); Teen (13+); Adult (18+); All Ages; Adult; Baby; Kid; Teen; Toddler; Unavailable"/>
    <hyperlink ref="CD6" location="'Valid Values'!BB1" display="Please choose one or more from the following, using a semicolon (;) to separate each value: Satin; Gloss; Rubber Coated; Neoprene Dipped; Distressed; Glitter / Shimmer; Low-Gloss; Matte; Metallic; Primed; Semi Gloss"/>
    <hyperlink ref="CJ6" location="'Valid Values'!BC1" display="Select"/>
    <hyperlink ref="CK6" location="'Valid Values'!BD1" display="Select"/>
    <hyperlink ref="CL6" location="'Valid Values'!BE1" display="Select"/>
    <hyperlink ref="CN6" location="'Valid Values'!BF1" display="Please choose one or more from the following, using a semicolon (;) to separate each value: Dual Language; Distribution Conflict; Logistics; Does Not Apply"/>
    <hyperlink ref="CQ6" location="'Valid Values'!AG1" display="Select"/>
    <hyperlink ref="CR6" location="'Valid Values'!AH1" display="Please choose one or more from the following, using a semicolon (;) to separate each value: Cancer; Developmental"/>
    <hyperlink ref="CS6" location="'Valid Values'!AI1" display="Select"/>
  </hyperlink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dimension ref="A1:CS8"/>
  <sheetViews>
    <sheetView workbookViewId="0"/>
  </sheetViews>
  <sheetFormatPr defaultRowHeight="15"/>
  <cols>
    <col min="2" max="2" width="25.7109375" style="22" customWidth="1"/>
    <col min="3" max="3" width="22.7109375" style="22" customWidth="1"/>
    <col min="4" max="4" width="10.7109375" style="22" customWidth="1"/>
    <col min="5" max="5" width="29.7109375" style="22" customWidth="1"/>
    <col min="6" max="6" width="27.7109375" style="22" customWidth="1"/>
    <col min="7" max="7" width="17.7109375" style="22" customWidth="1"/>
    <col min="8" max="8" width="20.7109375" style="22" customWidth="1"/>
    <col min="9" max="9" width="29.7109375" style="22" customWidth="1"/>
    <col min="10" max="10" width="17.7109375" style="22" customWidth="1"/>
    <col min="11" max="12" width="23.7109375" style="22" customWidth="1"/>
    <col min="13" max="13" width="37.7109375" style="22" customWidth="1"/>
    <col min="14" max="14" width="23.7109375" style="22" customWidth="1"/>
    <col min="15" max="15" width="37.7109375" style="22" customWidth="1"/>
    <col min="16" max="16" width="23.7109375" style="22" customWidth="1"/>
    <col min="17" max="17" width="37.7109375" style="22" customWidth="1"/>
    <col min="18" max="18" width="14.7109375" style="22" customWidth="1"/>
    <col min="19" max="19" width="29.7109375" style="22" customWidth="1"/>
    <col min="20" max="20" width="40.7109375" style="22" customWidth="1"/>
    <col min="21" max="21" width="31.7109375" style="22" customWidth="1"/>
    <col min="22" max="22" width="19.7109375" style="22" customWidth="1"/>
    <col min="23" max="27" width="21.7109375" style="22" customWidth="1"/>
    <col min="28" max="28" width="27.7109375" style="22" customWidth="1"/>
    <col min="29" max="29" width="30.7109375" style="22" customWidth="1"/>
    <col min="30" max="30" width="25.7109375" style="22" customWidth="1"/>
    <col min="31" max="31" width="19.7109375" style="22" customWidth="1"/>
    <col min="32" max="32" width="14.7109375" style="22" customWidth="1"/>
    <col min="33" max="33" width="18.7109375" style="22" customWidth="1"/>
    <col min="34" max="34" width="14.7109375" style="22" customWidth="1"/>
    <col min="35" max="35" width="26.7109375" style="22" customWidth="1"/>
    <col min="36" max="36" width="33.7109375" style="22" customWidth="1"/>
    <col min="37" max="37" width="14.7109375" style="22" customWidth="1"/>
    <col min="38" max="40" width="20.7109375" style="22" customWidth="1"/>
    <col min="41" max="42" width="19.7109375" style="22" customWidth="1"/>
    <col min="43" max="48" width="29.7109375" style="22" customWidth="1"/>
    <col min="49" max="49" width="32.7109375" style="22" customWidth="1"/>
    <col min="50" max="50" width="20.7109375" style="22" customWidth="1"/>
    <col min="51" max="51" width="26.7109375" style="22" customWidth="1"/>
    <col min="52" max="52" width="22.7109375" style="22" customWidth="1"/>
    <col min="53" max="53" width="32.7109375" style="22" customWidth="1"/>
    <col min="54" max="54" width="20.7109375" style="22" customWidth="1"/>
    <col min="55" max="55" width="26.7109375" style="22" customWidth="1"/>
    <col min="56" max="56" width="22.7109375" style="22" customWidth="1"/>
    <col min="57" max="57" width="32.7109375" style="22" customWidth="1"/>
    <col min="58" max="58" width="20.7109375" style="22" customWidth="1"/>
    <col min="59" max="59" width="26.7109375" style="22" customWidth="1"/>
    <col min="60" max="60" width="22.7109375" style="22" customWidth="1"/>
    <col min="61" max="61" width="17.7109375" style="22" customWidth="1"/>
    <col min="62" max="62" width="12.7109375" style="22" customWidth="1"/>
    <col min="63" max="63" width="22.7109375" style="22" customWidth="1"/>
    <col min="64" max="64" width="21.7109375" style="22" customWidth="1"/>
    <col min="65" max="65" width="15.7109375" style="22" customWidth="1"/>
    <col min="66" max="66" width="17.7109375" style="22" customWidth="1"/>
    <col min="67" max="67" width="43.7109375" style="22" customWidth="1"/>
    <col min="68" max="68" width="39.7109375" style="22" customWidth="1"/>
    <col min="69" max="69" width="13.7109375" style="22" customWidth="1"/>
    <col min="70" max="70" width="15.7109375" style="22" customWidth="1"/>
    <col min="71" max="71" width="13.7109375" style="22" customWidth="1"/>
    <col min="72" max="72" width="17.7109375" style="22" customWidth="1"/>
    <col min="73" max="73" width="10.7109375" style="22" customWidth="1"/>
    <col min="74" max="74" width="29.7109375" style="22" customWidth="1"/>
    <col min="75" max="75" width="17.7109375" style="22" customWidth="1"/>
    <col min="76" max="76" width="21.7109375" style="22" customWidth="1"/>
    <col min="77" max="77" width="29.7109375" style="22" customWidth="1"/>
    <col min="78" max="79" width="21.7109375" style="22" customWidth="1"/>
    <col min="80" max="80" width="13.7109375" style="22" customWidth="1"/>
    <col min="81" max="81" width="14.7109375" style="22" customWidth="1"/>
    <col min="82" max="82" width="11.7109375" style="22" customWidth="1"/>
    <col min="83" max="83" width="40.7109375" style="22" customWidth="1"/>
    <col min="84" max="84" width="33.7109375" style="22" customWidth="1"/>
    <col min="85" max="85" width="28.7109375" style="22" customWidth="1"/>
    <col min="86" max="86" width="27.7109375" style="22" customWidth="1"/>
    <col min="87" max="87" width="24.7109375" style="22" customWidth="1"/>
    <col min="88" max="88" width="31.7109375" style="22" customWidth="1"/>
    <col min="89" max="89" width="108.7109375" style="22" customWidth="1"/>
    <col min="90" max="90" width="64.7109375" style="22" customWidth="1"/>
    <col min="91" max="91" width="31.7109375" style="22" customWidth="1"/>
    <col min="92" max="92" width="27.7109375" style="22" customWidth="1"/>
    <col min="93" max="93" width="79.7109375" style="22" customWidth="1"/>
    <col min="94" max="94" width="21.7109375" style="22" customWidth="1"/>
    <col min="95" max="96" width="15.7109375" style="22" customWidth="1"/>
    <col min="97" max="97" width="28.7109375" style="22" customWidth="1"/>
  </cols>
  <sheetData>
    <row r="1" spans="1:97" hidden="1">
      <c r="B1" s="22" t="s">
        <v>2221</v>
      </c>
      <c r="C1" s="22" t="s">
        <v>2225</v>
      </c>
      <c r="D1" s="22" t="s">
        <v>2229</v>
      </c>
      <c r="E1" s="22" t="s">
        <v>2233</v>
      </c>
      <c r="F1" s="22" t="s">
        <v>2236</v>
      </c>
      <c r="G1" s="22" t="s">
        <v>2239</v>
      </c>
      <c r="H1" s="22" t="s">
        <v>2242</v>
      </c>
      <c r="I1" s="22" t="s">
        <v>2245</v>
      </c>
      <c r="J1" s="22" t="s">
        <v>2248</v>
      </c>
      <c r="K1" s="22" t="s">
        <v>2251</v>
      </c>
      <c r="L1" s="22" t="s">
        <v>2254</v>
      </c>
      <c r="M1" s="22" t="s">
        <v>2257</v>
      </c>
      <c r="N1" s="22" t="s">
        <v>2254</v>
      </c>
      <c r="O1" s="22" t="s">
        <v>2257</v>
      </c>
      <c r="P1" s="22" t="s">
        <v>2254</v>
      </c>
      <c r="Q1" s="22" t="s">
        <v>2257</v>
      </c>
      <c r="R1" s="22" t="s">
        <v>2264</v>
      </c>
      <c r="S1" s="22" t="s">
        <v>2268</v>
      </c>
      <c r="T1" s="22" t="s">
        <v>2271</v>
      </c>
      <c r="U1" s="22" t="s">
        <v>2274</v>
      </c>
      <c r="V1" s="22" t="s">
        <v>2277</v>
      </c>
      <c r="W1" s="22" t="s">
        <v>2280</v>
      </c>
      <c r="X1" s="22" t="s">
        <v>2280</v>
      </c>
      <c r="Y1" s="22" t="s">
        <v>2280</v>
      </c>
      <c r="Z1" s="22" t="s">
        <v>2280</v>
      </c>
      <c r="AA1" s="22" t="s">
        <v>2280</v>
      </c>
      <c r="AB1" s="22" t="s">
        <v>2287</v>
      </c>
      <c r="AC1" s="22" t="s">
        <v>2291</v>
      </c>
      <c r="AD1" s="22" t="s">
        <v>2294</v>
      </c>
      <c r="AE1" s="22" t="s">
        <v>2297</v>
      </c>
      <c r="AF1" s="22" t="s">
        <v>2300</v>
      </c>
      <c r="AG1" s="22" t="s">
        <v>2303</v>
      </c>
      <c r="AH1" s="22" t="s">
        <v>2306</v>
      </c>
      <c r="AI1" s="22" t="s">
        <v>2309</v>
      </c>
      <c r="AJ1" s="22" t="s">
        <v>2312</v>
      </c>
      <c r="AK1" s="22" t="s">
        <v>2315</v>
      </c>
      <c r="AL1" s="22" t="s">
        <v>2318</v>
      </c>
      <c r="AM1" s="22" t="s">
        <v>2321</v>
      </c>
      <c r="AN1" s="22" t="s">
        <v>2324</v>
      </c>
      <c r="AO1" s="22" t="s">
        <v>2327</v>
      </c>
      <c r="AP1" s="22" t="s">
        <v>2330</v>
      </c>
      <c r="AQ1" s="22" t="s">
        <v>2333</v>
      </c>
      <c r="AR1" s="22" t="s">
        <v>2333</v>
      </c>
      <c r="AS1" s="22" t="s">
        <v>2333</v>
      </c>
      <c r="AT1" s="22" t="s">
        <v>2333</v>
      </c>
      <c r="AU1" s="22" t="s">
        <v>2333</v>
      </c>
      <c r="AV1" s="22" t="s">
        <v>2340</v>
      </c>
      <c r="AW1" s="22" t="s">
        <v>2343</v>
      </c>
      <c r="AX1" s="22" t="s">
        <v>2346</v>
      </c>
      <c r="AY1" s="22" t="s">
        <v>2350</v>
      </c>
      <c r="AZ1" s="22" t="s">
        <v>2354</v>
      </c>
      <c r="BA1" s="22" t="s">
        <v>2343</v>
      </c>
      <c r="BB1" s="22" t="s">
        <v>2346</v>
      </c>
      <c r="BC1" s="22" t="s">
        <v>2350</v>
      </c>
      <c r="BD1" s="22" t="s">
        <v>2354</v>
      </c>
      <c r="BE1" s="22" t="s">
        <v>2343</v>
      </c>
      <c r="BF1" s="22" t="s">
        <v>2346</v>
      </c>
      <c r="BG1" s="22" t="s">
        <v>2350</v>
      </c>
      <c r="BH1" s="22" t="s">
        <v>2354</v>
      </c>
      <c r="BI1" s="22" t="s">
        <v>2486</v>
      </c>
      <c r="BJ1" s="22" t="s">
        <v>2487</v>
      </c>
      <c r="BK1" s="22" t="s">
        <v>2491</v>
      </c>
      <c r="BL1" s="22" t="s">
        <v>2494</v>
      </c>
      <c r="BM1" s="22" t="s">
        <v>2497</v>
      </c>
      <c r="BN1" s="22" t="s">
        <v>2501</v>
      </c>
      <c r="BO1" s="22" t="s">
        <v>2505</v>
      </c>
      <c r="BP1" s="22" t="s">
        <v>2506</v>
      </c>
      <c r="BQ1" s="22" t="s">
        <v>2510</v>
      </c>
      <c r="BR1" s="22" t="s">
        <v>2511</v>
      </c>
      <c r="BS1" s="22" t="s">
        <v>2513</v>
      </c>
      <c r="BT1" s="22" t="s">
        <v>2517</v>
      </c>
      <c r="BU1" s="22" t="s">
        <v>2521</v>
      </c>
      <c r="BV1" s="22" t="s">
        <v>2522</v>
      </c>
      <c r="BW1" s="22" t="s">
        <v>2525</v>
      </c>
      <c r="BX1" s="22" t="s">
        <v>2529</v>
      </c>
      <c r="BY1" s="22" t="s">
        <v>2533</v>
      </c>
      <c r="BZ1" s="22" t="s">
        <v>2534</v>
      </c>
      <c r="CA1" s="22" t="s">
        <v>2537</v>
      </c>
      <c r="CB1" s="22" t="s">
        <v>2539</v>
      </c>
      <c r="CC1" s="22" t="s">
        <v>2541</v>
      </c>
      <c r="CD1" s="22" t="s">
        <v>2542</v>
      </c>
      <c r="CE1" s="22" t="s">
        <v>2546</v>
      </c>
      <c r="CF1" s="22" t="s">
        <v>2549</v>
      </c>
      <c r="CG1" s="22" t="s">
        <v>2550</v>
      </c>
      <c r="CH1" s="22" t="s">
        <v>2553</v>
      </c>
      <c r="CI1" s="22" t="s">
        <v>2556</v>
      </c>
      <c r="CJ1" s="22" t="s">
        <v>2557</v>
      </c>
      <c r="CK1" s="22" t="s">
        <v>2558</v>
      </c>
      <c r="CL1" s="22" t="s">
        <v>2559</v>
      </c>
      <c r="CM1" s="22" t="s">
        <v>2560</v>
      </c>
      <c r="CN1" s="22" t="s">
        <v>2561</v>
      </c>
      <c r="CO1" s="22" t="s">
        <v>2562</v>
      </c>
      <c r="CP1" s="22" t="s">
        <v>2464</v>
      </c>
      <c r="CQ1" s="22" t="s">
        <v>2467</v>
      </c>
      <c r="CR1" s="22" t="s">
        <v>2470</v>
      </c>
      <c r="CS1" s="22" t="s">
        <v>2474</v>
      </c>
    </row>
    <row r="2" spans="1:97">
      <c r="B2" s="23" t="s">
        <v>2477</v>
      </c>
      <c r="J2" s="24" t="s">
        <v>2478</v>
      </c>
      <c r="R2" s="25" t="s">
        <v>2479</v>
      </c>
      <c r="V2" s="26" t="s">
        <v>2480</v>
      </c>
      <c r="AB2" s="27" t="s">
        <v>2481</v>
      </c>
      <c r="AM2" s="28" t="s">
        <v>2482</v>
      </c>
      <c r="AQ2" s="29" t="s">
        <v>2483</v>
      </c>
      <c r="BI2" s="30" t="s">
        <v>2484</v>
      </c>
      <c r="CP2" s="31" t="s">
        <v>2485</v>
      </c>
    </row>
    <row r="3" spans="1:97">
      <c r="B3" s="32" t="s">
        <v>58</v>
      </c>
      <c r="C3" s="32" t="s">
        <v>62</v>
      </c>
      <c r="D3" s="32" t="s">
        <v>58</v>
      </c>
      <c r="E3" s="32" t="s">
        <v>58</v>
      </c>
      <c r="F3" s="32" t="s">
        <v>60</v>
      </c>
      <c r="G3" s="32" t="s">
        <v>58</v>
      </c>
      <c r="H3" s="32" t="s">
        <v>62</v>
      </c>
      <c r="I3" s="32" t="s">
        <v>62</v>
      </c>
      <c r="J3" s="32" t="s">
        <v>58</v>
      </c>
      <c r="K3" s="32" t="s">
        <v>64</v>
      </c>
      <c r="L3" s="32" t="s">
        <v>60</v>
      </c>
      <c r="M3" s="32" t="s">
        <v>64</v>
      </c>
      <c r="N3" s="32" t="s">
        <v>60</v>
      </c>
      <c r="O3" s="32" t="s">
        <v>64</v>
      </c>
      <c r="P3" s="32" t="s">
        <v>60</v>
      </c>
      <c r="Q3" s="32" t="s">
        <v>64</v>
      </c>
      <c r="R3" s="32" t="s">
        <v>58</v>
      </c>
      <c r="S3" s="32" t="s">
        <v>62</v>
      </c>
      <c r="T3" s="32" t="s">
        <v>62</v>
      </c>
      <c r="U3" s="32" t="s">
        <v>62</v>
      </c>
      <c r="V3" s="32" t="s">
        <v>64</v>
      </c>
      <c r="W3" s="32" t="s">
        <v>64</v>
      </c>
      <c r="X3" s="32" t="s">
        <v>64</v>
      </c>
      <c r="Y3" s="32" t="s">
        <v>64</v>
      </c>
      <c r="Z3" s="32" t="s">
        <v>64</v>
      </c>
      <c r="AA3" s="32" t="s">
        <v>64</v>
      </c>
      <c r="AB3" s="32" t="s">
        <v>58</v>
      </c>
      <c r="AC3" s="32" t="s">
        <v>58</v>
      </c>
      <c r="AD3" s="32" t="s">
        <v>58</v>
      </c>
      <c r="AE3" s="32" t="s">
        <v>58</v>
      </c>
      <c r="AF3" s="32" t="s">
        <v>58</v>
      </c>
      <c r="AG3" s="32" t="s">
        <v>64</v>
      </c>
      <c r="AH3" s="32" t="s">
        <v>58</v>
      </c>
      <c r="AI3" s="32" t="s">
        <v>58</v>
      </c>
      <c r="AJ3" s="32" t="s">
        <v>62</v>
      </c>
      <c r="AK3" s="32" t="s">
        <v>62</v>
      </c>
      <c r="AL3" s="32" t="s">
        <v>62</v>
      </c>
      <c r="AM3" s="32" t="s">
        <v>58</v>
      </c>
      <c r="AN3" s="32" t="s">
        <v>58</v>
      </c>
      <c r="AO3" s="32" t="s">
        <v>58</v>
      </c>
      <c r="AP3" s="32" t="s">
        <v>58</v>
      </c>
      <c r="AQ3" s="32" t="s">
        <v>58</v>
      </c>
      <c r="AR3" s="32" t="s">
        <v>62</v>
      </c>
      <c r="AS3" s="32" t="s">
        <v>62</v>
      </c>
      <c r="AT3" s="32" t="s">
        <v>62</v>
      </c>
      <c r="AU3" s="32" t="s">
        <v>62</v>
      </c>
      <c r="AV3" s="32" t="s">
        <v>62</v>
      </c>
      <c r="AW3" s="32" t="s">
        <v>64</v>
      </c>
      <c r="AX3" s="32" t="s">
        <v>64</v>
      </c>
      <c r="AY3" s="32" t="s">
        <v>64</v>
      </c>
      <c r="AZ3" s="32" t="s">
        <v>64</v>
      </c>
      <c r="BA3" s="32" t="s">
        <v>64</v>
      </c>
      <c r="BB3" s="32" t="s">
        <v>64</v>
      </c>
      <c r="BC3" s="32" t="s">
        <v>64</v>
      </c>
      <c r="BD3" s="32" t="s">
        <v>64</v>
      </c>
      <c r="BE3" s="32" t="s">
        <v>64</v>
      </c>
      <c r="BF3" s="32" t="s">
        <v>64</v>
      </c>
      <c r="BG3" s="32" t="s">
        <v>64</v>
      </c>
      <c r="BH3" s="32" t="s">
        <v>64</v>
      </c>
      <c r="BI3" s="32" t="s">
        <v>58</v>
      </c>
      <c r="BJ3" s="32" t="s">
        <v>60</v>
      </c>
      <c r="BK3" s="32" t="s">
        <v>60</v>
      </c>
      <c r="BL3" s="32" t="s">
        <v>60</v>
      </c>
      <c r="BM3" s="32" t="s">
        <v>60</v>
      </c>
      <c r="BN3" s="32" t="s">
        <v>60</v>
      </c>
      <c r="BO3" s="32" t="s">
        <v>62</v>
      </c>
      <c r="BP3" s="32" t="s">
        <v>58</v>
      </c>
      <c r="BQ3" s="32" t="s">
        <v>58</v>
      </c>
      <c r="BR3" s="32" t="s">
        <v>60</v>
      </c>
      <c r="BS3" s="32" t="s">
        <v>60</v>
      </c>
      <c r="BT3" s="32" t="s">
        <v>60</v>
      </c>
      <c r="BU3" s="32" t="s">
        <v>58</v>
      </c>
      <c r="BV3" s="32" t="s">
        <v>60</v>
      </c>
      <c r="BW3" s="32" t="s">
        <v>60</v>
      </c>
      <c r="BX3" s="32" t="s">
        <v>60</v>
      </c>
      <c r="BY3" s="32" t="s">
        <v>60</v>
      </c>
      <c r="BZ3" s="32" t="s">
        <v>60</v>
      </c>
      <c r="CA3" s="32" t="s">
        <v>60</v>
      </c>
      <c r="CB3" s="32" t="s">
        <v>58</v>
      </c>
      <c r="CC3" s="32" t="s">
        <v>60</v>
      </c>
      <c r="CD3" s="32" t="s">
        <v>58</v>
      </c>
      <c r="CE3" s="32" t="s">
        <v>58</v>
      </c>
      <c r="CF3" s="32" t="s">
        <v>58</v>
      </c>
      <c r="CG3" s="32" t="s">
        <v>58</v>
      </c>
      <c r="CH3" s="32" t="s">
        <v>60</v>
      </c>
      <c r="CI3" s="32" t="s">
        <v>58</v>
      </c>
      <c r="CJ3" s="32" t="s">
        <v>60</v>
      </c>
      <c r="CK3" s="32" t="s">
        <v>58</v>
      </c>
      <c r="CL3" s="32" t="s">
        <v>58</v>
      </c>
      <c r="CM3" s="32" t="s">
        <v>58</v>
      </c>
      <c r="CN3" s="32" t="s">
        <v>58</v>
      </c>
      <c r="CO3" s="32" t="s">
        <v>60</v>
      </c>
      <c r="CP3" s="32" t="s">
        <v>58</v>
      </c>
      <c r="CQ3" s="32" t="s">
        <v>64</v>
      </c>
      <c r="CR3" s="32" t="s">
        <v>64</v>
      </c>
      <c r="CS3" s="32" t="s">
        <v>58</v>
      </c>
    </row>
    <row r="4" spans="1:97" ht="50" customHeight="1">
      <c r="B4" s="19" t="s">
        <v>2222</v>
      </c>
      <c r="C4" s="19" t="s">
        <v>2226</v>
      </c>
      <c r="D4" s="19" t="s">
        <v>2230</v>
      </c>
      <c r="E4" s="19" t="s">
        <v>2234</v>
      </c>
      <c r="F4" s="19" t="s">
        <v>2237</v>
      </c>
      <c r="G4" s="19" t="s">
        <v>2240</v>
      </c>
      <c r="H4" s="19" t="s">
        <v>2243</v>
      </c>
      <c r="I4" s="19" t="s">
        <v>2246</v>
      </c>
      <c r="J4" s="19" t="s">
        <v>2249</v>
      </c>
      <c r="K4" s="19" t="s">
        <v>2252</v>
      </c>
      <c r="L4" s="19" t="s">
        <v>2255</v>
      </c>
      <c r="M4" s="19" t="s">
        <v>2258</v>
      </c>
      <c r="N4" s="19" t="s">
        <v>2260</v>
      </c>
      <c r="O4" s="19" t="s">
        <v>2261</v>
      </c>
      <c r="P4" s="19" t="s">
        <v>2262</v>
      </c>
      <c r="Q4" s="19" t="s">
        <v>2263</v>
      </c>
      <c r="R4" s="19" t="s">
        <v>2265</v>
      </c>
      <c r="S4" s="19" t="s">
        <v>2269</v>
      </c>
      <c r="T4" s="19" t="s">
        <v>2272</v>
      </c>
      <c r="U4" s="19" t="s">
        <v>2275</v>
      </c>
      <c r="V4" s="19" t="s">
        <v>2278</v>
      </c>
      <c r="W4" s="19" t="s">
        <v>2281</v>
      </c>
      <c r="X4" s="19" t="s">
        <v>2283</v>
      </c>
      <c r="Y4" s="19" t="s">
        <v>2284</v>
      </c>
      <c r="Z4" s="19" t="s">
        <v>2285</v>
      </c>
      <c r="AA4" s="19" t="s">
        <v>2286</v>
      </c>
      <c r="AB4" s="19" t="s">
        <v>2288</v>
      </c>
      <c r="AC4" s="19" t="s">
        <v>2292</v>
      </c>
      <c r="AD4" s="19" t="s">
        <v>2295</v>
      </c>
      <c r="AE4" s="19" t="s">
        <v>2298</v>
      </c>
      <c r="AF4" s="19" t="s">
        <v>2301</v>
      </c>
      <c r="AG4" s="19" t="s">
        <v>2304</v>
      </c>
      <c r="AH4" s="19" t="s">
        <v>2307</v>
      </c>
      <c r="AI4" s="19" t="s">
        <v>2310</v>
      </c>
      <c r="AJ4" s="19" t="s">
        <v>2313</v>
      </c>
      <c r="AK4" s="19" t="s">
        <v>2316</v>
      </c>
      <c r="AL4" s="19" t="s">
        <v>2319</v>
      </c>
      <c r="AM4" s="19" t="s">
        <v>2322</v>
      </c>
      <c r="AN4" s="19" t="s">
        <v>2325</v>
      </c>
      <c r="AO4" s="19" t="s">
        <v>2328</v>
      </c>
      <c r="AP4" s="19" t="s">
        <v>2331</v>
      </c>
      <c r="AQ4" s="19" t="s">
        <v>2334</v>
      </c>
      <c r="AR4" s="19" t="s">
        <v>2336</v>
      </c>
      <c r="AS4" s="19" t="s">
        <v>2337</v>
      </c>
      <c r="AT4" s="19" t="s">
        <v>2338</v>
      </c>
      <c r="AU4" s="19" t="s">
        <v>2339</v>
      </c>
      <c r="AV4" s="19" t="s">
        <v>2341</v>
      </c>
      <c r="AW4" s="19" t="s">
        <v>2344</v>
      </c>
      <c r="AX4" s="19" t="s">
        <v>2347</v>
      </c>
      <c r="AY4" s="19" t="s">
        <v>2351</v>
      </c>
      <c r="AZ4" s="19" t="s">
        <v>2355</v>
      </c>
      <c r="BA4" s="19" t="s">
        <v>2357</v>
      </c>
      <c r="BB4" s="19" t="s">
        <v>2358</v>
      </c>
      <c r="BC4" s="19" t="s">
        <v>2359</v>
      </c>
      <c r="BD4" s="19" t="s">
        <v>2360</v>
      </c>
      <c r="BE4" s="19" t="s">
        <v>2361</v>
      </c>
      <c r="BF4" s="19" t="s">
        <v>2362</v>
      </c>
      <c r="BG4" s="19" t="s">
        <v>2363</v>
      </c>
      <c r="BH4" s="19" t="s">
        <v>2364</v>
      </c>
      <c r="BI4" s="19" t="s">
        <v>2366</v>
      </c>
      <c r="BJ4" s="19" t="s">
        <v>2488</v>
      </c>
      <c r="BK4" s="19" t="s">
        <v>2492</v>
      </c>
      <c r="BL4" s="19" t="s">
        <v>2495</v>
      </c>
      <c r="BM4" s="19" t="s">
        <v>2498</v>
      </c>
      <c r="BN4" s="19" t="s">
        <v>2502</v>
      </c>
      <c r="BO4" s="19" t="s">
        <v>2394</v>
      </c>
      <c r="BP4" s="19" t="s">
        <v>2507</v>
      </c>
      <c r="BQ4" s="19" t="s">
        <v>2398</v>
      </c>
      <c r="BR4" s="19" t="s">
        <v>2404</v>
      </c>
      <c r="BS4" s="19" t="s">
        <v>2514</v>
      </c>
      <c r="BT4" s="19" t="s">
        <v>2518</v>
      </c>
      <c r="BU4" s="19" t="s">
        <v>2200</v>
      </c>
      <c r="BV4" s="19" t="s">
        <v>2523</v>
      </c>
      <c r="BW4" s="19" t="s">
        <v>2526</v>
      </c>
      <c r="BX4" s="19" t="s">
        <v>2530</v>
      </c>
      <c r="BY4" s="19" t="s">
        <v>2422</v>
      </c>
      <c r="BZ4" s="19" t="s">
        <v>2535</v>
      </c>
      <c r="CA4" s="19" t="s">
        <v>2426</v>
      </c>
      <c r="CB4" s="19" t="s">
        <v>2376</v>
      </c>
      <c r="CC4" s="19" t="s">
        <v>2430</v>
      </c>
      <c r="CD4" s="19" t="s">
        <v>2543</v>
      </c>
      <c r="CE4" s="19" t="s">
        <v>2547</v>
      </c>
      <c r="CF4" s="19" t="s">
        <v>2437</v>
      </c>
      <c r="CG4" s="19" t="s">
        <v>2551</v>
      </c>
      <c r="CH4" s="19" t="s">
        <v>2554</v>
      </c>
      <c r="CI4" s="33" t="s">
        <v>2440</v>
      </c>
      <c r="CJ4" s="34" t="s">
        <v>2443</v>
      </c>
      <c r="CK4" s="19" t="s">
        <v>2446</v>
      </c>
      <c r="CL4" s="19" t="s">
        <v>2449</v>
      </c>
      <c r="CM4" s="33" t="s">
        <v>2452</v>
      </c>
      <c r="CN4" s="34" t="s">
        <v>2455</v>
      </c>
      <c r="CO4" s="19" t="s">
        <v>2462</v>
      </c>
      <c r="CP4" s="19" t="s">
        <v>2465</v>
      </c>
      <c r="CQ4" s="19" t="s">
        <v>2468</v>
      </c>
      <c r="CR4" s="19" t="s">
        <v>2471</v>
      </c>
      <c r="CS4" s="19" t="s">
        <v>2475</v>
      </c>
    </row>
    <row r="5" spans="1:97" ht="50" customHeight="1">
      <c r="B5" s="35" t="s">
        <v>2223</v>
      </c>
      <c r="C5" s="35" t="s">
        <v>2227</v>
      </c>
      <c r="D5" s="35" t="s">
        <v>2231</v>
      </c>
      <c r="E5" s="35" t="s">
        <v>2235</v>
      </c>
      <c r="F5" s="35" t="s">
        <v>2238</v>
      </c>
      <c r="G5" s="35" t="s">
        <v>2241</v>
      </c>
      <c r="H5" s="35" t="s">
        <v>2244</v>
      </c>
      <c r="I5" s="35" t="s">
        <v>2247</v>
      </c>
      <c r="J5" s="35" t="s">
        <v>2250</v>
      </c>
      <c r="K5" s="35" t="s">
        <v>2253</v>
      </c>
      <c r="L5" s="35" t="s">
        <v>2256</v>
      </c>
      <c r="M5" s="35" t="s">
        <v>2259</v>
      </c>
      <c r="N5" s="35" t="s">
        <v>2256</v>
      </c>
      <c r="O5" s="35" t="s">
        <v>2259</v>
      </c>
      <c r="P5" s="35" t="s">
        <v>2256</v>
      </c>
      <c r="Q5" s="35" t="s">
        <v>2259</v>
      </c>
      <c r="R5" s="35" t="s">
        <v>2266</v>
      </c>
      <c r="S5" s="35" t="s">
        <v>2270</v>
      </c>
      <c r="T5" s="35" t="s">
        <v>2273</v>
      </c>
      <c r="U5" s="35" t="s">
        <v>2276</v>
      </c>
      <c r="V5" s="35" t="s">
        <v>2279</v>
      </c>
      <c r="W5" s="35" t="s">
        <v>2282</v>
      </c>
      <c r="X5" s="35" t="s">
        <v>2282</v>
      </c>
      <c r="Y5" s="35" t="s">
        <v>2282</v>
      </c>
      <c r="Z5" s="35" t="s">
        <v>2282</v>
      </c>
      <c r="AA5" s="35" t="s">
        <v>2282</v>
      </c>
      <c r="AB5" s="35" t="s">
        <v>2289</v>
      </c>
      <c r="AC5" s="35" t="s">
        <v>2293</v>
      </c>
      <c r="AD5" s="35" t="s">
        <v>2296</v>
      </c>
      <c r="AE5" s="35" t="s">
        <v>2299</v>
      </c>
      <c r="AF5" s="35" t="s">
        <v>2302</v>
      </c>
      <c r="AG5" s="35" t="s">
        <v>2305</v>
      </c>
      <c r="AH5" s="35" t="s">
        <v>2308</v>
      </c>
      <c r="AI5" s="35" t="s">
        <v>2311</v>
      </c>
      <c r="AJ5" s="35" t="s">
        <v>2314</v>
      </c>
      <c r="AK5" s="35" t="s">
        <v>2317</v>
      </c>
      <c r="AL5" s="35" t="s">
        <v>2320</v>
      </c>
      <c r="AM5" s="35" t="s">
        <v>2323</v>
      </c>
      <c r="AN5" s="35" t="s">
        <v>2326</v>
      </c>
      <c r="AO5" s="35" t="s">
        <v>2329</v>
      </c>
      <c r="AP5" s="35" t="s">
        <v>2332</v>
      </c>
      <c r="AQ5" s="35" t="s">
        <v>2335</v>
      </c>
      <c r="AR5" s="35" t="s">
        <v>2335</v>
      </c>
      <c r="AS5" s="35" t="s">
        <v>2335</v>
      </c>
      <c r="AT5" s="35" t="s">
        <v>2335</v>
      </c>
      <c r="AU5" s="35" t="s">
        <v>2335</v>
      </c>
      <c r="AV5" s="35" t="s">
        <v>2342</v>
      </c>
      <c r="AW5" s="35" t="s">
        <v>2345</v>
      </c>
      <c r="AX5" s="35" t="s">
        <v>2348</v>
      </c>
      <c r="AY5" s="35" t="s">
        <v>2352</v>
      </c>
      <c r="AZ5" s="35" t="s">
        <v>2356</v>
      </c>
      <c r="BA5" s="35" t="s">
        <v>2345</v>
      </c>
      <c r="BB5" s="35" t="s">
        <v>2348</v>
      </c>
      <c r="BC5" s="35" t="s">
        <v>2352</v>
      </c>
      <c r="BD5" s="35" t="s">
        <v>2356</v>
      </c>
      <c r="BE5" s="35" t="s">
        <v>2345</v>
      </c>
      <c r="BF5" s="35" t="s">
        <v>2348</v>
      </c>
      <c r="BG5" s="35" t="s">
        <v>2352</v>
      </c>
      <c r="BH5" s="35" t="s">
        <v>2356</v>
      </c>
      <c r="BI5" s="35" t="s">
        <v>2367</v>
      </c>
      <c r="BJ5" s="35" t="s">
        <v>2489</v>
      </c>
      <c r="BK5" s="35" t="s">
        <v>2493</v>
      </c>
      <c r="BL5" s="35" t="s">
        <v>2496</v>
      </c>
      <c r="BM5" s="35" t="s">
        <v>2499</v>
      </c>
      <c r="BN5" s="35" t="s">
        <v>2503</v>
      </c>
      <c r="BO5" s="35" t="s">
        <v>2395</v>
      </c>
      <c r="BP5" s="35" t="s">
        <v>2508</v>
      </c>
      <c r="BQ5" s="35" t="s">
        <v>2399</v>
      </c>
      <c r="BR5" s="35" t="s">
        <v>2405</v>
      </c>
      <c r="BS5" s="35" t="s">
        <v>2515</v>
      </c>
      <c r="BT5" s="35" t="s">
        <v>2519</v>
      </c>
      <c r="BU5" s="35" t="s">
        <v>2412</v>
      </c>
      <c r="BV5" s="35" t="s">
        <v>2524</v>
      </c>
      <c r="BW5" s="35" t="s">
        <v>2527</v>
      </c>
      <c r="BX5" s="35" t="s">
        <v>2531</v>
      </c>
      <c r="BY5" s="35" t="s">
        <v>2423</v>
      </c>
      <c r="BZ5" s="35" t="s">
        <v>2536</v>
      </c>
      <c r="CA5" s="35" t="s">
        <v>2427</v>
      </c>
      <c r="CB5" s="35" t="s">
        <v>2377</v>
      </c>
      <c r="CC5" s="35" t="s">
        <v>2431</v>
      </c>
      <c r="CD5" s="35" t="s">
        <v>2544</v>
      </c>
      <c r="CE5" s="35" t="s">
        <v>2548</v>
      </c>
      <c r="CF5" s="35" t="s">
        <v>2438</v>
      </c>
      <c r="CG5" s="35" t="s">
        <v>2552</v>
      </c>
      <c r="CH5" s="35" t="s">
        <v>2555</v>
      </c>
      <c r="CI5" s="35" t="s">
        <v>2441</v>
      </c>
      <c r="CJ5" s="35" t="s">
        <v>2444</v>
      </c>
      <c r="CK5" s="35" t="s">
        <v>2447</v>
      </c>
      <c r="CL5" s="35" t="s">
        <v>2450</v>
      </c>
      <c r="CM5" s="35" t="s">
        <v>2453</v>
      </c>
      <c r="CN5" s="35" t="s">
        <v>2456</v>
      </c>
      <c r="CO5" s="35" t="s">
        <v>2463</v>
      </c>
      <c r="CP5" s="35" t="s">
        <v>2466</v>
      </c>
      <c r="CQ5" s="35" t="s">
        <v>2469</v>
      </c>
      <c r="CR5" s="35" t="s">
        <v>2472</v>
      </c>
      <c r="CS5" s="35" t="s">
        <v>2476</v>
      </c>
    </row>
    <row r="6" spans="1:97" ht="50" customHeight="1">
      <c r="B6" s="35" t="s">
        <v>67</v>
      </c>
      <c r="C6" s="35" t="s">
        <v>67</v>
      </c>
      <c r="D6" s="36" t="s">
        <v>2232</v>
      </c>
      <c r="E6" s="35" t="s">
        <v>67</v>
      </c>
      <c r="F6" s="35" t="s">
        <v>67</v>
      </c>
      <c r="G6" s="35" t="s">
        <v>67</v>
      </c>
      <c r="H6" s="35" t="s">
        <v>67</v>
      </c>
      <c r="I6" s="35" t="s">
        <v>67</v>
      </c>
      <c r="J6" s="36" t="s">
        <v>2232</v>
      </c>
      <c r="K6" s="35" t="s">
        <v>67</v>
      </c>
      <c r="L6" s="36" t="s">
        <v>2232</v>
      </c>
      <c r="M6" s="35" t="s">
        <v>67</v>
      </c>
      <c r="N6" s="36" t="s">
        <v>2232</v>
      </c>
      <c r="O6" s="35" t="s">
        <v>67</v>
      </c>
      <c r="P6" s="36" t="s">
        <v>2232</v>
      </c>
      <c r="Q6" s="35" t="s">
        <v>67</v>
      </c>
      <c r="R6" s="35" t="s">
        <v>2267</v>
      </c>
      <c r="S6" s="35" t="s">
        <v>2267</v>
      </c>
      <c r="T6" s="35" t="s">
        <v>2267</v>
      </c>
      <c r="U6" s="35" t="s">
        <v>2267</v>
      </c>
      <c r="V6" s="35" t="s">
        <v>67</v>
      </c>
      <c r="W6" s="35" t="s">
        <v>67</v>
      </c>
      <c r="X6" s="35" t="s">
        <v>67</v>
      </c>
      <c r="Y6" s="35" t="s">
        <v>67</v>
      </c>
      <c r="Z6" s="35" t="s">
        <v>67</v>
      </c>
      <c r="AA6" s="35" t="s">
        <v>67</v>
      </c>
      <c r="AB6" s="35" t="s">
        <v>2290</v>
      </c>
      <c r="AC6" s="35" t="s">
        <v>2290</v>
      </c>
      <c r="AD6" s="35" t="s">
        <v>2290</v>
      </c>
      <c r="AE6" s="35" t="s">
        <v>2267</v>
      </c>
      <c r="AF6" s="36" t="s">
        <v>2232</v>
      </c>
      <c r="AG6" s="36" t="s">
        <v>2232</v>
      </c>
      <c r="AH6" s="36" t="s">
        <v>2232</v>
      </c>
      <c r="AI6" s="36" t="s">
        <v>2232</v>
      </c>
      <c r="AJ6" s="35" t="s">
        <v>67</v>
      </c>
      <c r="AK6" s="35" t="s">
        <v>77</v>
      </c>
      <c r="AL6" s="35" t="s">
        <v>77</v>
      </c>
      <c r="AM6" s="35" t="s">
        <v>2267</v>
      </c>
      <c r="AN6" s="35" t="s">
        <v>2267</v>
      </c>
      <c r="AO6" s="35" t="s">
        <v>2267</v>
      </c>
      <c r="AP6" s="35" t="s">
        <v>2267</v>
      </c>
      <c r="AQ6" s="35" t="s">
        <v>67</v>
      </c>
      <c r="AR6" s="35" t="s">
        <v>67</v>
      </c>
      <c r="AS6" s="35" t="s">
        <v>67</v>
      </c>
      <c r="AT6" s="35" t="s">
        <v>67</v>
      </c>
      <c r="AU6" s="35" t="s">
        <v>67</v>
      </c>
      <c r="AV6" s="35" t="s">
        <v>67</v>
      </c>
      <c r="AW6" s="35" t="s">
        <v>67</v>
      </c>
      <c r="AX6" s="36" t="s">
        <v>2349</v>
      </c>
      <c r="AY6" s="36" t="s">
        <v>3108</v>
      </c>
      <c r="AZ6" s="36" t="s">
        <v>2232</v>
      </c>
      <c r="BA6" s="35" t="s">
        <v>67</v>
      </c>
      <c r="BB6" s="36" t="s">
        <v>2349</v>
      </c>
      <c r="BC6" s="36" t="s">
        <v>3108</v>
      </c>
      <c r="BD6" s="36" t="s">
        <v>2232</v>
      </c>
      <c r="BE6" s="35" t="s">
        <v>67</v>
      </c>
      <c r="BF6" s="36" t="s">
        <v>2349</v>
      </c>
      <c r="BG6" s="36" t="s">
        <v>3108</v>
      </c>
      <c r="BH6" s="36" t="s">
        <v>2232</v>
      </c>
      <c r="BI6" s="36" t="s">
        <v>2232</v>
      </c>
      <c r="BJ6" s="36" t="s">
        <v>2490</v>
      </c>
      <c r="BK6" s="36" t="s">
        <v>2232</v>
      </c>
      <c r="BL6" s="36" t="s">
        <v>2232</v>
      </c>
      <c r="BM6" s="36" t="s">
        <v>2500</v>
      </c>
      <c r="BN6" s="36" t="s">
        <v>2504</v>
      </c>
      <c r="BO6" s="36" t="s">
        <v>2396</v>
      </c>
      <c r="BP6" s="36" t="s">
        <v>2509</v>
      </c>
      <c r="BQ6" s="35" t="s">
        <v>77</v>
      </c>
      <c r="BR6" s="36" t="s">
        <v>2512</v>
      </c>
      <c r="BS6" s="36" t="s">
        <v>4026</v>
      </c>
      <c r="BT6" s="36" t="s">
        <v>2520</v>
      </c>
      <c r="BU6" s="36" t="s">
        <v>2413</v>
      </c>
      <c r="BV6" s="35" t="s">
        <v>2290</v>
      </c>
      <c r="BW6" s="36" t="s">
        <v>2528</v>
      </c>
      <c r="BX6" s="36" t="s">
        <v>4686</v>
      </c>
      <c r="BY6" s="36" t="s">
        <v>3645</v>
      </c>
      <c r="BZ6" s="35" t="s">
        <v>2267</v>
      </c>
      <c r="CA6" s="36" t="s">
        <v>2538</v>
      </c>
      <c r="CB6" s="36" t="s">
        <v>2540</v>
      </c>
      <c r="CC6" s="36" t="s">
        <v>2432</v>
      </c>
      <c r="CD6" s="36" t="s">
        <v>2545</v>
      </c>
      <c r="CE6" s="35" t="s">
        <v>2267</v>
      </c>
      <c r="CF6" s="35" t="s">
        <v>2267</v>
      </c>
      <c r="CG6" s="35" t="s">
        <v>2267</v>
      </c>
      <c r="CH6" s="35" t="s">
        <v>2267</v>
      </c>
      <c r="CI6" s="35" t="s">
        <v>77</v>
      </c>
      <c r="CJ6" s="36" t="s">
        <v>2232</v>
      </c>
      <c r="CK6" s="36" t="s">
        <v>2232</v>
      </c>
      <c r="CL6" s="36" t="s">
        <v>2232</v>
      </c>
      <c r="CM6" s="35" t="s">
        <v>77</v>
      </c>
      <c r="CN6" s="36" t="s">
        <v>2457</v>
      </c>
      <c r="CO6" s="35" t="s">
        <v>77</v>
      </c>
      <c r="CP6" s="35" t="s">
        <v>77</v>
      </c>
      <c r="CQ6" s="36" t="s">
        <v>2232</v>
      </c>
      <c r="CR6" s="36" t="s">
        <v>2473</v>
      </c>
      <c r="CS6" s="36" t="s">
        <v>2232</v>
      </c>
    </row>
    <row r="7" spans="1:97">
      <c r="B7" s="37" t="s">
        <v>2224</v>
      </c>
      <c r="C7" s="37" t="s">
        <v>2228</v>
      </c>
      <c r="D7" s="38"/>
      <c r="E7" s="37" t="s">
        <v>2228</v>
      </c>
      <c r="F7" s="37" t="s">
        <v>2228</v>
      </c>
      <c r="G7" s="37" t="s">
        <v>2228</v>
      </c>
      <c r="H7" s="38"/>
      <c r="I7" s="37" t="s">
        <v>2228</v>
      </c>
      <c r="J7" s="37" t="s">
        <v>2228</v>
      </c>
      <c r="K7" s="37" t="s">
        <v>2228</v>
      </c>
      <c r="L7" s="37" t="s">
        <v>2228</v>
      </c>
      <c r="M7" s="37" t="s">
        <v>2228</v>
      </c>
      <c r="N7" s="37" t="s">
        <v>2228</v>
      </c>
      <c r="O7" s="37" t="s">
        <v>2228</v>
      </c>
      <c r="P7" s="37" t="s">
        <v>2228</v>
      </c>
      <c r="Q7" s="37" t="s">
        <v>2228</v>
      </c>
      <c r="R7" s="37" t="s">
        <v>2228</v>
      </c>
      <c r="S7" s="38"/>
      <c r="T7" s="38"/>
      <c r="U7" s="38"/>
      <c r="V7" s="38"/>
      <c r="W7" s="38"/>
      <c r="X7" s="38"/>
      <c r="Y7" s="38"/>
      <c r="Z7" s="38"/>
      <c r="AA7" s="38"/>
      <c r="AB7" s="38"/>
      <c r="AC7" s="38"/>
      <c r="AD7" s="38"/>
      <c r="AE7" s="38"/>
      <c r="AF7" s="38"/>
      <c r="AG7" s="38"/>
      <c r="AH7" s="38"/>
      <c r="AI7" s="38"/>
      <c r="AJ7" s="38"/>
      <c r="AK7" s="38"/>
      <c r="AL7" s="38"/>
      <c r="AM7" s="38"/>
      <c r="AN7" s="38"/>
      <c r="AO7" s="38"/>
      <c r="AP7" s="38"/>
      <c r="AQ7" s="37" t="s">
        <v>2228</v>
      </c>
      <c r="AR7" s="37" t="s">
        <v>2228</v>
      </c>
      <c r="AS7" s="37" t="s">
        <v>2228</v>
      </c>
      <c r="AT7" s="37" t="s">
        <v>2228</v>
      </c>
      <c r="AU7" s="37" t="s">
        <v>2228</v>
      </c>
      <c r="AV7" s="37" t="s">
        <v>2228</v>
      </c>
      <c r="AW7" s="38"/>
      <c r="AX7" s="38"/>
      <c r="AY7" s="38"/>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c r="CM7" s="38"/>
      <c r="CN7" s="38"/>
      <c r="CO7" s="38"/>
      <c r="CP7" s="38"/>
      <c r="CQ7" s="38"/>
      <c r="CR7" s="38"/>
      <c r="CS7" s="38"/>
    </row>
    <row r="8" spans="1:97">
      <c r="A8" cm="1">
        <f t="array" ref="A8">_xlfn.BYROW(B8:CT507, _xlfn.LAMBDA(_xlpm.r, _xlfn.LET(_xlpm.high_priority, IFERROR(INDEX(_xlpm.r, MATCH(TRUE, (_xlpm.r &lt;&gt; "") * ((LEFT(_xlpm.r, 2) = "1:") + (LEFT(_xlpm.r, 2) = "3:")) &gt; 0, 0)), ""), IF(_xlpm.high_priority &lt;&gt; "", _xlpm.high_priority, IFERROR(INDEX(_xlpm.r, MATCH(TRUE, (_xlpm.r &lt;&gt; "") * (LEFT(_xlpm.r, 2) = "4:") &gt; 0, 0)), "")))))</f>
        <v>0</v>
      </c>
      <c r="B8" s="22" cm="1">
        <f t="array" ref="B8">_xlfn.MAP('6161 - Wallpaper'!B8:B507, '6161 - Wallpaper'!B8:B507,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IF(OR('6161 - Wallpaper'!B$7 = "", '6161 - Wallpaper'!B$7 = "N/A"), "3:Supplier Part Number - Value is required", ""), ""))))))))</f>
        <v>0</v>
      </c>
      <c r="C8" s="22" cm="1">
        <f t="array" ref="C8">_xlfn.MAP('6161 - Wallpaper'!B8:B507, '6161 - Wallpaper'!C8:C507, _xlfn.LAMBDA(_xlpm.part, _xlpm.val, IF(_xlpm.part = "", "", IF(AND(_xlpm.val = "", C$3="Required"), IF(OR('6161 - Wallpaper'!C$7 = "", '6161 - Wallpaper'!C$7 = "N/A"), "3:Amazon Seller SKU - Value is required", ""), ""))))</f>
        <v>0</v>
      </c>
      <c r="D8" s="22" cm="1">
        <f t="array" ref="D8">_xlfn.MAP('6161 - Wallpaper'!B8:B507, '6161 - Wallpaper'!D8:D507, '6161 - Wallpaper'!J8:J507, _xlfn.LAMBDA(_xlpm.part, _xlpm.val, _xlpm.dep1, IF(_xlpm.part = "", "", _xlfn.LET(_xlpm.check1, IF(AND(_xlpm.val = "", _xlpm.dep1 = "NON-PRIMARY VARIANT"), "2:Autofill", ""), IF(LEN(_xlpm.check1) &gt; 0, _xlpm.check1, IF(AND(_xlpm.val = "", D$3="Required"), IF(OR('6161 - Wallpaper'!D$7 = "", '6161 - Wallpaper'!D$7 = "N/A"), "3:Brand - Value is required", ""), ""))))))</f>
        <v>0</v>
      </c>
      <c r="E8" s="22" cm="1">
        <f t="array" ref="E8">_xlfn.MAP('6161 - Wallpaper'!B8:B507, '6161 - Wallpaper'!E8:E507, _xlfn.LAMBDA(_xlpm.part, _xlpm.val, IF(_xlpm.part = "", "", _xlfn.LET(_xlpm.check1, IF(OR(ISNUMBER(SEARCH({","}, _xlpm.val))), "1:Please enter a single value with no commas for the Manufacturer Part Number column", ""), IF(LEN(_xlpm.check1) &gt; 0, _xlpm.check1, _xlfn.LET(_xlpm.check2, IF(OR(ISNUMBER(SEARCH({"&lt;","&gt;","^","Ø","•","‣","⁃","⁌","™","∙","⌀","◦"}, _xlpm.val))), "1:Manufacturer Part Number cannot contain special characters ([™Ø⌀•‣◦⁃⁌⁍∙&lt;&gt;])", ""), IF(LEN(_xlpm.check2) &gt; 0, _xlpm.check2, _xlfn.LET(_xlpm.check3, IF(AND(_xlpm.val &lt;&gt; "" ,LEN(_xlpm.val)&gt;64), "1:Manufacturer Part Number should not be more than 64 characters", ""), IF(LEN(_xlpm.check3) &gt; 0, _xlpm.check3, IF(AND(_xlpm.val = "", E$3="Required"), IF(OR('6161 - Wallpaper'!E$7 = "", '6161 - Wallpaper'!E$7 = "N/A"), "3:Manufacturer Part Number - Value is required", ""), ""))))))))))</f>
        <v>0</v>
      </c>
      <c r="F8" s="22" cm="1">
        <f t="array" ref="F8">_xlfn.MAP('6161 - Wallpaper'!B8:B507, '6161 - Wallpaper'!F8:F507, _xlfn.LAMBDA(_xlpm.part, _xlpm.val, IF(_xlpm.part = "", "", _xlfn.LET(_xlpm.check1, IF(OR(ISNUMBER(SEARCH({"&lt;","&gt;","^","Ø","•","‣","⁃","⁌","™","∙","⌀","◦"}, _xlpm.val))), "1:Universal Product Code cannot contain special characters ([™Ø⌀•‣◦⁃⁌⁍∙&lt;&gt;])", ""), IF(LEN(_xlpm.check1) &gt; 0, _xlpm.check1, _xlfn.LET(_xlpm.check2, IF(AND(_xlpm.val &lt;&gt; "" ,NOT(OR(LEN(_xlpm.val)=8,LEN(_xlpm.val)=12,LEN(_xlpm.val)=13,LEN(_xlpm.val)=14))), "1:The UPC provided is invalid. UPCs must be 8, 12, 13, or 14 digits long and contain only numbers.", ""), IF(LEN(_xlpm.check2) &gt; 0, _xlpm.check2, IF(AND(_xlpm.val = "", F$3="Required"), IF(OR('6161 - Wallpaper'!F$7 = "", '6161 - Wallpaper'!F$7 = "N/A"), "3:Universal Product Code - Value is required", ""), ""))))))))</f>
        <v>0</v>
      </c>
      <c r="G8" s="22" cm="1">
        <f t="array" ref="G8">_xlfn.MAP('6161 - Wallpaper'!B8:B507, '6161 - Wallpaper'!G8:G507, _xlfn.LAMBDA(_xlpm.part, _xlpm.val, IF(_xlpm.part = "", "", _xlfn.LET(_xlpm.check1, IF(OR(ISNUMBER(SEARCH({"&lt;","&gt;","^","Ø","•","‣","⁃","⁌","™","∙","⌀","◦"}, _xlpm.val))), "1:Product name cannot contain special characters ([™Ø⌀•‣◦⁃⁌⁍∙&lt;&gt;])", ""), IF(LEN(_xlpm.check1) &gt; 0, _xlpm.check1, IF(AND(_xlpm.val = "", G$3="Required"), IF(OR('6161 - Wallpaper'!G$7 = "", '6161 - Wallpaper'!G$7 = "N/A"), "3:Product Name - Value is required", ""), ""))))))</f>
        <v>0</v>
      </c>
      <c r="H8" s="22" cm="1">
        <f t="array" ref="H8">_xlfn.MAP('6161 - Wallpaper'!B8:B507, '6161 - Wallpaper'!H8:H507, '6161 - Wallpaper'!J8:J507, _xlfn.LAMBDA(_xlpm.part, _xlpm.val, _xlpm.dep1, IF(_xlpm.part = "", "", _xlfn.LET(_xlpm.check1, IF(AND(_xlpm.val = "", _xlpm.dep1 = "NON-PRIMARY VARIANT"), "2:Autofill", ""), IF(LEN(_xlpm.check1) &gt; 0, _xlpm.check1, IF(AND(_xlpm.val = "", H$3="Required"), IF(OR('6161 - Wallpaper'!H$7 = "", '6161 - Wallpaper'!H$7 = "N/A"), "3:Collection Name - Value is required", ""), ""))))))</f>
        <v>0</v>
      </c>
      <c r="I8" s="22" cm="1">
        <f t="array" ref="I8">_xlfn.MAP('6161 - Wallpaper'!B8:B507, '6161 - Wallpaper'!I8:I507, _xlfn.LAMBDA(_xlpm.part, _xlpm.val, IF(_xlpm.part = "", "", IF(AND(_xlpm.val = "", I$3="Required"), IF(OR('6161 - Wallpaper'!I$7 = "", '6161 - Wallpaper'!I$7 = "N/A"), "3:Manufacturer Product URL - Value is required", ""), ""))))</f>
        <v>0</v>
      </c>
      <c r="J8" s="22" cm="1">
        <f t="array" ref="J8">_xlfn.MAP('6161 - Wallpaper'!B8:B507, '6161 - Wallpaper'!J8:J507, _xlfn.LAMBDA(_xlpm.part, _xlpm.val, IF(_xlpm.part = "", "", IF(AND(_xlpm.val = "", J$3="Required"), IF(OR('6161 - Wallpaper'!J$7 = "", '6161 - Wallpaper'!J$7 = "N/A"), "3:Variant Type - Value is required", ""), ""))))</f>
        <v>0</v>
      </c>
      <c r="K8" s="22" cm="1">
        <f t="array" ref="K8">_xlfn.MAP('6161 - Wallpaper'!B8:B507, '6161 - Wallpaper'!K8:K507, '6161 - Wallpaper'!J8:J507, _xlfn.LAMBDA(_xlpm.part, _xlpm.val, _xlpm.dep1, IF(_xlpm.part = "", "", _xlfn.LET(_xlpm.check1, IF(OR(_xlpm.dep1 = "NOT VARIANT", _xlpm.dep1 = ""), IF(_xlpm.val = "", "2:Disable", "1:Variant fields are not accepted when Variant Type is 'Not Variant' or blank. Please remove variant data or set a valid Variant Type."), ""), IF(LEN(_xlpm.check1) &gt; 0, _xlpm.check1, _xlfn.LET(_xlpm.check2, IF(AND(_xlpm.val = "", K$3="Required"), IF(OR('6161 - Wallpaper'!K$7 = "", '6161 - Wallpaper'!K$7 = "N/A"), "3:Group Reference ID - Value is required", ""), ""), IF(LEN(_xlpm.check2) &gt; 0, _xlpm.check2, _xlfn.LET(_xlpm.check3, IF(_xlpm.dep1 = "PRIMARY VARIANT", IF(_xlpm.val = "", IF(OR('6161 - Wallpaper'!K$7 = "", '6161 - Wallpaper'!K$7 = "N/A"), "3:Variant Group Reference Id is required for primary-variant", ""), ""), ""), IF(LEN(_xlpm.check3) &gt; 0, _xlpm.check3, IF(_xlpm.dep1 = "NON-PRIMARY VARIANT", IF(_xlpm.val = "", IF(OR('6161 - Wallpaper'!K$7 = "", '6161 - Wallpaper'!K$7 = "N/A"), "3:Variant Group Reference Id is required for non-primary variant", ""), ""), ""))))))))))</f>
        <v>0</v>
      </c>
      <c r="L8" s="22" cm="1">
        <f t="array" ref="L8">_xlfn.MAP('6161 - Wallpaper'!B8:B507, '6161 - Wallpaper'!L8:L507, '6161 - Wallpaper'!J8:J507, _xlfn.LAMBDA(_xlpm.part, _xlpm.val, _xlpm.dep1, IF(_xlpm.part = "", "", _xlfn.LET(_xlpm.check1, IF(AND(_xlpm.val = "", _xlpm.dep1 = "NON-PRIMARY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L$3="Required"), IF(OR('6161 - Wallpaper'!L$7 = "", '6161 - Wallpaper'!L$7 = "N/A"), "3:Variant Grouping - Value is required", ""), ""), IF(LEN(_xlpm.check3) &gt; 0, _xlpm.check3, IF(_xlpm.dep1 = "PRIMARY VARIANT", IF(_xlpm.val = "", IF(OR('6161 - Wallpaper'!L$7 = "", '6161 - Wallpaper'!L$7 = "N/A"), "3:Variant grouping value must be specified for primary variant", ""), ""), ""))))))))))</f>
        <v>0</v>
      </c>
      <c r="M8" s="22" cm="1">
        <f t="array" ref="M8">_xlfn.MAP('6161 - Wallpaper'!B8:B507, '6161 - Wallpaper'!M8:M507, '6161 - Wallpaper'!J8:J507, '6161 - Wallpaper'!L8:L507, _xlfn.LAMBDA(_xlpm.part, _xlpm.val, _xlpm.dep1, _xlpm.dep2, IF(_xlpm.part = "", "", _xlfn.LET(_xlpm.check1, IF(AND(_xlpm.val = "", OR(AND(OR(_xlpm.dep2 = "Color", _xlpm.dep2 = "Size"), _xlpm.dep1 &lt;&gt; "NOT VARIANT"), AND(_xlpm.dep2 = "Color", _xlpm.dep1 &lt;&gt; "NOT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M$3="Required"), IF(OR('6161 - Wallpaper'!M$7 = "", '6161 - Wallpaper'!M$7 = "N/A"), "3:Variant Attribute Name On Site - Value is required", ""), ""), IF(LEN(_xlpm.check3) &gt; 0, _xlpm.check3, _xlfn.LET(_xlpm.check4, IF(AND(_xlpm.dep2 &lt;&gt; "", _xlpm.dep2 &lt;&gt; "Color", _xlpm.dep2 &lt;&gt; "Size"), IF(_xlpm.val = "", IF(OR('6161 - Wallpaper'!M$7 = "", '6161 - Wallpaper'!M$7 = "N/A"), "3:Name on site is required when variant grouping value is provided", ""), ""), ""), IF(LEN(_xlpm.check4) &gt; 0, _xlpm.check4, IF(AND(_xlpm.dep2 &lt;&gt; "", _xlpm.dep2 &lt;&gt; "Color"), IF(_xlpm.val = "", IF(OR('6161 - Wallpaper'!M$7 = "", '6161 - Wallpaper'!M$7 = "N/A"), "3:Name on site is required when variant grouping value is provided", ""), ""), ""))))))))))))</f>
        <v>0</v>
      </c>
      <c r="N8" s="22" cm="1">
        <f t="array" ref="N8">_xlfn.MAP('6161 - Wallpaper'!B8:B507, '6161 - Wallpaper'!N8:N507, '6161 - Wallpaper'!J8:J507, _xlfn.LAMBDA(_xlpm.part, _xlpm.val, _xlpm.dep1, IF(_xlpm.part = "", "", _xlfn.LET(_xlpm.check1, IF(AND(_xlpm.val = "", _xlpm.dep1 = "NON-PRIMARY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IF(AND(_xlpm.val = "", N$3="Required"), IF(OR('6161 - Wallpaper'!N$7 = "", '6161 - Wallpaper'!N$7 = "N/A"), "3:Variant Grouping - Value is required", ""), ""))))))))</f>
        <v>0</v>
      </c>
      <c r="O8" s="22" cm="1">
        <f t="array" ref="O8">_xlfn.MAP('6161 - Wallpaper'!B8:B507, '6161 - Wallpaper'!O8:O507, '6161 - Wallpaper'!J8:J507, '6161 - Wallpaper'!N8:N507, _xlfn.LAMBDA(_xlpm.part, _xlpm.val, _xlpm.dep1, _xlpm.dep2, IF(_xlpm.part = "", "", _xlfn.LET(_xlpm.check1, IF(AND(_xlpm.val = "", OR(AND(OR(_xlpm.dep2 = "Color", _xlpm.dep2 = "Size"), _xlpm.dep1 &lt;&gt; "NOT VARIANT"), AND(_xlpm.dep2 = "Color", _xlpm.dep1 &lt;&gt; "NOT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O$3="Required"), IF(OR('6161 - Wallpaper'!O$7 = "", '6161 - Wallpaper'!O$7 = "N/A"), "3:Variant Attribute Name On Site - Value is required", ""), ""), IF(LEN(_xlpm.check3) &gt; 0, _xlpm.check3, _xlfn.LET(_xlpm.check4, IF(AND(_xlpm.dep2 &lt;&gt; "", _xlpm.dep2 &lt;&gt; "Color", _xlpm.dep2 &lt;&gt; "Size"), IF(_xlpm.val = "", IF(OR('6161 - Wallpaper'!O$7 = "", '6161 - Wallpaper'!O$7 = "N/A"), "3:Name on site is required when variant grouping value is provided", ""), ""), ""), IF(LEN(_xlpm.check4) &gt; 0, _xlpm.check4, IF(AND(_xlpm.dep2 &lt;&gt; "", _xlpm.dep2 &lt;&gt; "Color"), IF(_xlpm.val = "", IF(OR('6161 - Wallpaper'!O$7 = "", '6161 - Wallpaper'!O$7 = "N/A"), "3:Name on site is required when variant grouping value is provided", ""), ""), ""))))))))))))</f>
        <v>0</v>
      </c>
      <c r="P8" s="22" cm="1">
        <f t="array" ref="P8">_xlfn.MAP('6161 - Wallpaper'!B8:B507, '6161 - Wallpaper'!P8:P507, '6161 - Wallpaper'!J8:J507, _xlfn.LAMBDA(_xlpm.part, _xlpm.val, _xlpm.dep1, IF(_xlpm.part = "", "", _xlfn.LET(_xlpm.check1, IF(AND(_xlpm.val = "", _xlpm.dep1 = "NON-PRIMARY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IF(AND(_xlpm.val = "", P$3="Required"), IF(OR('6161 - Wallpaper'!P$7 = "", '6161 - Wallpaper'!P$7 = "N/A"), "3:Variant Grouping - Value is required", ""), ""))))))))</f>
        <v>0</v>
      </c>
      <c r="Q8" s="22" cm="1">
        <f t="array" ref="Q8">_xlfn.MAP('6161 - Wallpaper'!B8:B507, '6161 - Wallpaper'!Q8:Q507, '6161 - Wallpaper'!J8:J507, '6161 - Wallpaper'!P8:P507, _xlfn.LAMBDA(_xlpm.part, _xlpm.val, _xlpm.dep1, _xlpm.dep2, IF(_xlpm.part = "", "", _xlfn.LET(_xlpm.check1, IF(AND(_xlpm.val = "", OR(AND(OR(_xlpm.dep2 = "Color", _xlpm.dep2 = "Size"), _xlpm.dep1 &lt;&gt; "NOT VARIANT"), AND(_xlpm.dep2 = "Color", _xlpm.dep1 &lt;&gt; "NOT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Q$3="Required"), IF(OR('6161 - Wallpaper'!Q$7 = "", '6161 - Wallpaper'!Q$7 = "N/A"), "3:Variant Attribute Name On Site - Value is required", ""), ""), IF(LEN(_xlpm.check3) &gt; 0, _xlpm.check3, _xlfn.LET(_xlpm.check4, IF(AND(_xlpm.dep2 &lt;&gt; "", _xlpm.dep2 &lt;&gt; "Color", _xlpm.dep2 &lt;&gt; "Size"), IF(_xlpm.val = "", IF(OR('6161 - Wallpaper'!Q$7 = "", '6161 - Wallpaper'!Q$7 = "N/A"), "3:Name on site is required when variant grouping value is provided", ""), ""), ""), IF(LEN(_xlpm.check4) &gt; 0, _xlpm.check4, IF(AND(_xlpm.dep2 &lt;&gt; "", _xlpm.dep2 &lt;&gt; "Color"), IF(_xlpm.val = "", IF(OR('6161 - Wallpaper'!Q$7 = "", '6161 - Wallpaper'!Q$7 = "N/A"), "3:Name on site is required when variant grouping value is provided", ""), ""), ""))))))))))))</f>
        <v>0</v>
      </c>
      <c r="R8" s="22" cm="1">
        <f t="array" ref="R8">_xlfn.MAP('6161 - Wallpaper'!B8:B507, '6161 - Wallpaper'!R8:R507, _xlfn.LAMBDA(_xlpm.part, _xlpm.val, IF(_xlpm.part = "", "", _xlfn.LET(_xlpm.check1, IF(AND(NOT(ISBLANK(_xlpm.val)),OR(NOT(ISNUMBER(IFERROR(VALUE(_xlpm.val), ""))), IFERROR(VALUE(_xlpm.val), -1) &lt; 0)), "1:Base Cost - Value should be numeric", ""), IF(LEN(_xlpm.check1) &gt; 0, _xlpm.check1, IF(AND(_xlpm.val = "", R$3="Required"), IF(OR('6161 - Wallpaper'!R$7 = "", '6161 - Wallpaper'!R$7 = "N/A"), "3:Base Cost - Value is required", ""), ""))))))</f>
        <v>0</v>
      </c>
      <c r="S8" s="22" cm="1">
        <f t="array" ref="S8">_xlfn.MAP('6161 - Wallpaper'!B8:B507, '6161 - Wallpaper'!S8:S507, _xlfn.LAMBDA(_xlpm.part, _xlpm.val, IF(_xlpm.part = "", "", _xlfn.LET(_xlpm.check1, IF(AND(NOT(ISBLANK(_xlpm.val)),OR(NOT(ISNUMBER(IFERROR(VALUE(_xlpm.val), ""))), IFERROR(VALUE(_xlpm.val), -1) &lt; 0)), "1:Minimum Advertised Price - Value should be numeric", ""), IF(LEN(_xlpm.check1) &gt; 0, _xlpm.check1, IF(AND(_xlpm.val = "", S$3="Required"), IF(OR('6161 - Wallpaper'!S$7 = "", '6161 - Wallpaper'!S$7 = "N/A"), "3:Minimum Advertised Price - Value is required", ""), ""))))))</f>
        <v>0</v>
      </c>
      <c r="T8" s="22" cm="1">
        <f t="array" ref="T8">_xlfn.MAP('6161 - Wallpaper'!B8:B507, '6161 - Wallpaper'!T8:T507, _xlfn.LAMBDA(_xlpm.part, _xlpm.val, IF(_xlpm.part = "", "", _xlfn.LET(_xlpm.check1, IF(AND(NOT(ISBLANK(_xlpm.val)),OR(NOT(ISNUMBER(IFERROR(VALUE(_xlpm.val), ""))), IFERROR(VALUE(_xlpm.val), -1) &lt; 0)), "1:Manufacturer Suggested Retail Price - Value should be numeric", ""), IF(LEN(_xlpm.check1) &gt; 0, _xlpm.check1, IF(AND(_xlpm.val = "", T$3="Required"), IF(OR('6161 - Wallpaper'!T$7 = "", '6161 - Wallpaper'!T$7 = "N/A"), "3:Manufacturer Suggested Retail Price - Value is required", ""), ""))))))</f>
        <v>0</v>
      </c>
      <c r="U8" s="22" cm="1">
        <f t="array" ref="U8">_xlfn.MAP('6161 - Wallpaper'!B8:B507, '6161 - Wallpaper'!U8:U507, _xlfn.LAMBDA(_xlpm.part, _xlpm.val, IF(_xlpm.part = "", "", _xlfn.LET(_xlpm.check1, IF(AND(NOT(ISBLANK(_xlpm.val)),OR(NOT(ISNUMBER(IFERROR(VALUE(_xlpm.val), ""))), IFERROR(VALUE(_xlpm.val), -1) &lt; 0)), "1:Everyday B2B Discount Rate - Value should be numeric", ""), IF(LEN(_xlpm.check1) &gt; 0, _xlpm.check1, IF(AND(_xlpm.val = "", U$3="Required"), IF(OR('6161 - Wallpaper'!U$7 = "", '6161 - Wallpaper'!U$7 = "N/A"), "3:Everyday B2B Discount Rate - Value is required", ""), ""))))))</f>
        <v>0</v>
      </c>
      <c r="V8" s="22" cm="1">
        <f t="array" ref="V8">_xlfn.MAP('6161 - Wallpaper'!B8:B507, '6161 - Wallpaper'!V8:V507, '6161 - Wallpaper'!J8:J507, '6161 - Wallpaper'!W8:W507, '6161 - Wallpaper'!X8:X507, '6161 - Wallpaper'!Y8:Y507, _xlfn.LAMBDA(_xlpm.part, _xlpm.val, _xlpm.dep1, _xlpm.dep2, _xlpm.dep3, _xlpm.dep4, IF(_xlpm.part = "", "", _xlfn.LET(_xlpm.check1, IF(AND(_xlpm.val = "", _xlpm.dep1 = "NON-PRIMARY VARIANT"), "2:Autofill", ""), IF(LEN(_xlpm.check1) &gt; 0, _xlpm.check1, _xlfn.LET(_xlpm.check2, IF(OR(ISNUMBER(SEARCH({"&lt;","&gt;","^","Ø","•","‣","⁃","⁌","™","∙","⌀","◦"}, _xlpm.val))), "1:Marketing Copy cannot contain special characters ([™Ø⌀•‣◦⁃⁌⁍∙&lt;&gt;])", ""), IF(LEN(_xlpm.check2) &gt; 0, _xlpm.check2, _xlfn.LET(_xlpm.check3, IF(AND(_xlpm.val &lt;&gt; "", LEN(_xlpm.val) &lt; 16), "1:Marketing Copy should be more than 15 characters", ""), IF(LEN(_xlpm.check3) &gt; 0, _xlpm.check3, _xlfn.LET(_xlpm.check4, IF(AND(_xlpm.val = "", V$3="Required"), IF(OR('6161 - Wallpaper'!V$7 = "", '6161 - Wallpaper'!V$7 = "N/A"), "3:Marketing Copy - Value is required", ""), ""), IF(LEN(_xlpm.check4) &gt; 0, _xlpm.check4, IF(OR(_xlpm.dep2 = "", _xlpm.dep3 = "", _xlpm.dep4 = ""), IF(_xlpm.val = "", IF(OR('6161 - Wallpaper'!V$7 = "", '6161 - Wallpaper'!V$7 = "N/A"), "3:Either the Marketing Copy or at least three Feature Bullets are required for this part.", ""), ""), ""))))))))))))</f>
        <v>0</v>
      </c>
      <c r="W8" s="22" cm="1">
        <f t="array" ref="W8">_xlfn.MAP('6161 - Wallpaper'!B8:B507, '6161 - Wallpaper'!W8:W507, '6161 - Wallpaper'!J8:J507, '6161 - Wallpaper'!X8:X507, '6161 - Wallpaper'!Y8:Y507, '6161 - Wallpaper'!V8:V507, _xlfn.LAMBDA(_xlpm.part, _xlpm.val, _xlpm.dep1, _xlpm.dep2, _xlpm.dep3, _xlpm.dep4, IF(_xlpm.part = "", "", _xlfn.LET(_xlpm.check1, IF(AND(_xlpm.val = "", _xlpm.dep1 = "NON-PRIMARY VARIANT"), "2:Autofill", ""), IF(LEN(_xlpm.check1) &gt; 0, _xlpm.check1, _xlfn.LET(_xlpm.check2, IF(OR(ISNUMBER(SEARCH({"&lt;","&gt;","^","Ø","•","‣","⁃","⁌","™","∙","⌀","◦"}, _xlpm.val))), "1:Feature Bullet cannot contain special characters ([™Ø⌀•‣◦⁃⁌⁍∙&lt;&gt;])", ""), IF(LEN(_xlpm.check2) &gt; 0, _xlpm.check2, _xlfn.LET(_xlpm.check3, IF(AND(_xlpm.val = "", W$3="Required"), IF(OR('6161 - Wallpaper'!W$7 = "", '6161 - Wallpaper'!W$7 = "N/A"), "3:Feature Bullet - Value is required", ""), ""), IF(LEN(_xlpm.check3) &gt; 0, _xlpm.check3, _xlfn.LET(_xlpm.check4, IF(AND(AND(_xlpm.dep2 = "", _xlpm.dep3 = ""), _xlpm.dep4 = ""), IF(_xlpm.val = "", IF(OR('6161 - Wallpaper'!W$7 = "", '6161 - Wallpaper'!W$7 = "N/A"), "3:Either the Marketing Copy or at least three Feature Bullets are required for this part.", ""), ""), ""), IF(LEN(_xlpm.check4) &gt; 0, _xlpm.check4, IF(_xlpm.dep4 = "", IF(_xlpm.val = "", IF(OR('6161 - Wallpaper'!W$7 = "", '6161 - Wallpaper'!W$7 = "N/A"), "3:Three feature bullets must be filled", ""), ""), ""))))))))))))</f>
        <v>0</v>
      </c>
      <c r="X8" s="22" cm="1">
        <f t="array" ref="X8">_xlfn.MAP('6161 - Wallpaper'!B8:B507, '6161 - Wallpaper'!X8:X507, '6161 - Wallpaper'!J8:J507, '6161 - Wallpaper'!W8:W507, '6161 - Wallpaper'!Y8:Y507, '6161 - Wallpaper'!V8:V507, _xlfn.LAMBDA(_xlpm.part, _xlpm.val, _xlpm.dep1, _xlpm.dep2, _xlpm.dep3, _xlpm.dep4, IF(_xlpm.part = "", "", _xlfn.LET(_xlpm.check1, IF(AND(_xlpm.val = "", _xlpm.dep1 = "NON-PRIMARY VARIANT"), "2:Autofill", ""), IF(LEN(_xlpm.check1) &gt; 0, _xlpm.check1, _xlfn.LET(_xlpm.check2, IF(OR(ISNUMBER(SEARCH({"&lt;","&gt;","^","Ø","•","‣","⁃","⁌","™","∙","⌀","◦"}, _xlpm.val))), "1:Feature Bullet cannot contain special characters ([™Ø⌀•‣◦⁃⁌⁍∙&lt;&gt;])", ""), IF(LEN(_xlpm.check2) &gt; 0, _xlpm.check2, _xlfn.LET(_xlpm.check3, IF(AND(_xlpm.val = "", X$3="Required"), IF(OR('6161 - Wallpaper'!X$7 = "", '6161 - Wallpaper'!X$7 = "N/A"), "3:Feature Bullet - Value is required", ""), ""), IF(LEN(_xlpm.check3) &gt; 0, _xlpm.check3, _xlfn.LET(_xlpm.check4, IF(AND(AND(_xlpm.dep2 = "", _xlpm.dep3 = ""), _xlpm.dep4 = ""), IF(_xlpm.val = "", IF(OR('6161 - Wallpaper'!X$7 = "", '6161 - Wallpaper'!X$7 = "N/A"), "3:Either the Marketing Copy or at least three Feature Bullets are required for this part.", ""), ""), ""), IF(LEN(_xlpm.check4) &gt; 0, _xlpm.check4, IF(_xlpm.dep4 = "", IF(_xlpm.val = "", IF(OR('6161 - Wallpaper'!X$7 = "", '6161 - Wallpaper'!X$7 = "N/A"), "3:Three feature bullets must be filled", ""), ""), ""))))))))))))</f>
        <v>0</v>
      </c>
      <c r="Y8" s="22" cm="1">
        <f t="array" ref="Y8">_xlfn.MAP('6161 - Wallpaper'!B8:B507, '6161 - Wallpaper'!Y8:Y507, '6161 - Wallpaper'!J8:J507, '6161 - Wallpaper'!W8:W507, '6161 - Wallpaper'!X8:X507, '6161 - Wallpaper'!V8:V507, _xlfn.LAMBDA(_xlpm.part, _xlpm.val, _xlpm.dep1, _xlpm.dep2, _xlpm.dep3, _xlpm.dep4, IF(_xlpm.part = "", "", _xlfn.LET(_xlpm.check1, IF(AND(_xlpm.val = "", _xlpm.dep1 = "NON-PRIMARY VARIANT"), "2:Autofill", ""), IF(LEN(_xlpm.check1) &gt; 0, _xlpm.check1, _xlfn.LET(_xlpm.check2, IF(OR(ISNUMBER(SEARCH({"&lt;","&gt;","^","Ø","•","‣","⁃","⁌","™","∙","⌀","◦"}, _xlpm.val))), "1:Feature Bullet cannot contain special characters ([™Ø⌀•‣◦⁃⁌⁍∙&lt;&gt;])", ""), IF(LEN(_xlpm.check2) &gt; 0, _xlpm.check2, _xlfn.LET(_xlpm.check3, IF(AND(_xlpm.val = "", Y$3="Required"), IF(OR('6161 - Wallpaper'!Y$7 = "", '6161 - Wallpaper'!Y$7 = "N/A"), "3:Feature Bullet - Value is required", ""), ""), IF(LEN(_xlpm.check3) &gt; 0, _xlpm.check3, _xlfn.LET(_xlpm.check4, IF(AND(AND(_xlpm.dep2 = "", _xlpm.dep3 = ""), _xlpm.dep4 = ""), IF(_xlpm.val = "", IF(OR('6161 - Wallpaper'!Y$7 = "", '6161 - Wallpaper'!Y$7 = "N/A"), "3:Either the Marketing Copy or at least three Feature Bullets are required for this part.", ""), ""), ""), IF(LEN(_xlpm.check4) &gt; 0, _xlpm.check4, IF(_xlpm.dep4 = "", IF(_xlpm.val = "", IF(OR('6161 - Wallpaper'!Y$7 = "", '6161 - Wallpaper'!Y$7 = "N/A"), "3:Three feature bullets must be filled", ""), ""), ""))))))))))))</f>
        <v>0</v>
      </c>
      <c r="Z8" s="22" cm="1">
        <f t="array" ref="Z8">_xlfn.MAP('6161 - Wallpaper'!B8:B507, '6161 - Wallpaper'!Z8:Z507, '6161 - Wallpaper'!J8:J507, _xlfn.LAMBDA(_xlpm.part, _xlpm.val, _xlpm.dep1, IF(_xlpm.part = "", "", _xlfn.LET(_xlpm.check1, IF(AND(_xlpm.val = "", _xlpm.dep1 = "NON-PRIMARY VARIANT"), "2:Autofill", ""), IF(LEN(_xlpm.check1) &gt; 0, _xlpm.check1, _xlfn.LET(_xlpm.check2, IF(OR(ISNUMBER(SEARCH({"&lt;","&gt;","^","Ø","•","‣","⁃","⁌","™","∙","⌀","◦"}, _xlpm.val))), "1:Feature Bullet cannot contain special characters ([™Ø⌀•‣◦⁃⁌⁍∙&lt;&gt;])", ""), IF(LEN(_xlpm.check2) &gt; 0, _xlpm.check2, IF(AND(_xlpm.val = "", Z$3="Required"), IF(OR('6161 - Wallpaper'!Z$7 = "", '6161 - Wallpaper'!Z$7 = "N/A"), "3:Feature Bullet - Value is required", ""), ""))))))))</f>
        <v>0</v>
      </c>
      <c r="AA8" s="22" cm="1">
        <f t="array" ref="AA8">_xlfn.MAP('6161 - Wallpaper'!B8:B507, '6161 - Wallpaper'!AA8:AA507, '6161 - Wallpaper'!J8:J507, _xlfn.LAMBDA(_xlpm.part, _xlpm.val, _xlpm.dep1, IF(_xlpm.part = "", "", _xlfn.LET(_xlpm.check1, IF(AND(_xlpm.val = "", _xlpm.dep1 = "NON-PRIMARY VARIANT"), "2:Autofill", ""), IF(LEN(_xlpm.check1) &gt; 0, _xlpm.check1, _xlfn.LET(_xlpm.check2, IF(OR(ISNUMBER(SEARCH({"&lt;","&gt;","^","Ø","•","‣","⁃","⁌","™","∙","⌀","◦"}, _xlpm.val))), "1:Feature Bullet cannot contain special characters ([™Ø⌀•‣◦⁃⁌⁍∙&lt;&gt;])", ""), IF(LEN(_xlpm.check2) &gt; 0, _xlpm.check2, IF(AND(_xlpm.val = "", AA$3="Required"), IF(OR('6161 - Wallpaper'!AA$7 = "", '6161 - Wallpaper'!AA$7 = "N/A"), "3:Feature Bullet - Value is required", ""), ""))))))))</f>
        <v>0</v>
      </c>
      <c r="AB8" s="22" cm="1">
        <f t="array" ref="AB8">_xlfn.MAP('6161 - Wallpaper'!B8:B507, '6161 - Wallpaper'!AB8:AB507, '6161 - Wallpaper'!J8:J507,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"1:Minimum Order Quantity - Value should be numeric", ""), IF(LEN(_xlpm.check2) &gt; 0, _xlpm.check2, _xlfn.LET(_xlpm.check3, IF(AND(_xlpm.val &lt;&gt; "" ,IFERROR(VALUE(_xlpm.val), _xlpm.val)&lt;1), "1:Product quantities must be greater than 0", ""), IF(LEN(_xlpm.check3) &gt; 0, _xlpm.check3, _xlfn.LET(_xlpm.check4, IF(AND(_xlpm.val &lt;&gt; "" , IFERROR(VALUE(_xlpm.val), _xlpm.val)&gt;32767), "1:Product quantities must be less than 32767", ""), IF(LEN(_xlpm.check4) &gt; 0, _xlpm.check4, IF(AND(_xlpm.val = "", AB$3="Required"), IF(OR('6161 - Wallpaper'!AB$7 = "", '6161 - Wallpaper'!AB$7 = "N/A"), "3:Minimum Order Quantity - Value is required", ""), ""))))))))))))</f>
        <v>0</v>
      </c>
      <c r="AC8" s="22" cm="1">
        <f t="array" ref="AC8">_xlfn.MAP('6161 - Wallpaper'!B8:B507, '6161 - Wallpaper'!AC8:AC507, '6161 - Wallpaper'!J8:J507,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"1:Force Quantity Multiplier - Value should be numeric", ""), IF(LEN(_xlpm.check2) &gt; 0, _xlpm.check2, _xlfn.LET(_xlpm.check3, IF(AND(_xlpm.val &lt;&gt; "" ,IFERROR(VALUE(_xlpm.val), _xlpm.val)&lt;1), "1:Product quantities must be greater than 0", ""), IF(LEN(_xlpm.check3) &gt; 0, _xlpm.check3, _xlfn.LET(_xlpm.check4, IF(AND(_xlpm.val &lt;&gt; "" , IFERROR(VALUE(_xlpm.val), _xlpm.val)&gt;32767), "1:Product quantities must be less than 32767", ""), IF(LEN(_xlpm.check4) &gt; 0, _xlpm.check4, IF(AND(_xlpm.val = "", AC$3="Required"), IF(OR('6161 - Wallpaper'!AC$7 = "", '6161 - Wallpaper'!AC$7 = "N/A"), "3:Force Quantity Multiplier - Value is required", ""), ""))))))))))))</f>
        <v>0</v>
      </c>
      <c r="AD8" s="22" cm="1">
        <f t="array" ref="AD8">_xlfn.MAP('6161 - Wallpaper'!B8:B507, '6161 - Wallpaper'!AD8:AD507, '6161 - Wallpaper'!J8:J507,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"1:Display Set Quantity - Value should be numeric", ""), IF(LEN(_xlpm.check2) &gt; 0, _xlpm.check2, _xlfn.LET(_xlpm.check3, IF(AND(_xlpm.val &lt;&gt; "" ,IFERROR(VALUE(_xlpm.val), _xlpm.val)&lt;1), "1:Product quantities must be greater than 0", ""), IF(LEN(_xlpm.check3) &gt; 0, _xlpm.check3, _xlfn.LET(_xlpm.check4, IF(AND(_xlpm.val &lt;&gt; "" , IFERROR(VALUE(_xlpm.val), _xlpm.val)&gt;32767), "1:Product quantities must be less than 32767", ""), IF(LEN(_xlpm.check4) &gt; 0, _xlpm.check4, IF(AND(_xlpm.val = "", AD$3="Required"), IF(OR('6161 - Wallpaper'!AD$7 = "", '6161 - Wallpaper'!AD$7 = "N/A"), "3:Display Set Quantity - Value is required", ""), ""))))))))))))</f>
        <v>0</v>
      </c>
      <c r="AE8" s="22" cm="1">
        <f t="array" ref="AE8">_xlfn.MAP('6161 - Wallpaper'!B8:B507, '6161 - Wallpaper'!AE8:AE507, '6161 - Wallpaper'!J8:J507,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"1:Product Weight - Value should be numeric", ""), IF(LEN(_xlpm.check2) &gt; 0, _xlpm.check2, _xlfn.LET(_xlpm.check3, IF(AND(_xlpm.val &lt;&gt; "" ,IFERROR(VALUE(_xlpm.val), _xlpm.val)&lt;0), "1:Product weight must be a positive number", ""), IF(LEN(_xlpm.check3) &gt; 0, _xlpm.check3, IF(AND(_xlpm.val = "", AE$3="Required"), IF(OR('6161 - Wallpaper'!AE$7 = "", '6161 - Wallpaper'!AE$7 = "N/A"), "3:Product Weight - Value is required", ""), ""))))))))))</f>
        <v>0</v>
      </c>
      <c r="AF8" s="22" cm="1">
        <f t="array" ref="AF8">_xlfn.MAP('6161 - Wallpaper'!B8:B507, '6161 - Wallpaper'!AF8:AF507, '6161 - Wallpaper'!J8:J507, _xlfn.LAMBDA(_xlpm.part, _xlpm.val, _xlpm.dep1, IF(_xlpm.part = "", "", _xlfn.LET(_xlpm.check1, IF(AND(_xlpm.val = "", _xlpm.dep1 = "NON-PRIMARY VARIANT"), "2:Autofill", ""), IF(LEN(_xlpm.check1) &gt; 0, _xlpm.check1, IF(AND(_xlpm.val = "", AF$3="Required"), IF(OR('6161 - Wallpaper'!AF$7 = "", '6161 - Wallpaper'!AF$7 = "N/A"), "3:Ship Type - Value is required", ""), ""))))))</f>
        <v>0</v>
      </c>
      <c r="AG8" s="22" cm="1">
        <f t="array" ref="AG8">_xlfn.MAP('6161 - Wallpaper'!B8:B507, '6161 - Wallpaper'!AG8:AG507, '6161 - Wallpaper'!J8:J507, _xlfn.LAMBDA(_xlpm.part, _xlpm.val, _xlpm.dep1, IF(_xlpm.part = "", "", _xlfn.LET(_xlpm.check1, IF(AND(_xlpm.val = "", _xlpm.dep1 = "NON-PRIMARY VARIANT"), "2:Autofill", ""), IF(LEN(_xlpm.check1) &gt; 0, _xlpm.check1, IF(AND(_xlpm.val = "", AG$3="Required"), IF(OR('6161 - Wallpaper'!AG$7 = "", '6161 - Wallpaper'!AG$7 = "N/A"), "3:Freight Class - Value is required", ""), ""))))))</f>
        <v>0</v>
      </c>
      <c r="AH8" s="22" cm="1">
        <f t="array" ref="AH8">_xlfn.MAP('6161 - Wallpaper'!B8:B507, '6161 - Wallpaper'!AH8:AH507, '6161 - Wallpaper'!J8:J507, _xlfn.LAMBDA(_xlpm.part, _xlpm.val, _xlpm.dep1, IF(_xlpm.part = "", "", _xlfn.LET(_xlpm.check1, IF(AND(_xlpm.val = "", _xlpm.dep1 = "NON-PRIMARY VARIANT"), "2:Autofill", ""), IF(LEN(_xlpm.check1) &gt; 0, _xlpm.check1, IF(AND(_xlpm.val = "", AH$3="Required"), IF(OR('6161 - Wallpaper'!AH$7 = "", '6161 - Wallpaper'!AH$7 = "N/A"), "3:Lead Time - Value is required", ""), ""))))))</f>
        <v>0</v>
      </c>
      <c r="AI8" s="22" cm="1">
        <f t="array" ref="AI8">_xlfn.MAP('6161 - Wallpaper'!B8:B507, '6161 - Wallpaper'!AI8:AI507, '6161 - Wallpaper'!J8:J507, _xlfn.LAMBDA(_xlpm.part, _xlpm.val, _xlpm.dep1, IF(_xlpm.part = "", "", _xlfn.LET(_xlpm.check1, IF(AND(_xlpm.val = "", _xlpm.dep1 = "NON-PRIMARY VARIANT"), "2:Autofill", ""), IF(LEN(_xlpm.check1) &gt; 0, _xlpm.check1, IF(AND(_xlpm.val = "", AI$3="Required"), IF(OR('6161 - Wallpaper'!AI$7 = "", '6161 - Wallpaper'!AI$7 = "N/A"), "3:Replacement Lead Time - Value is required", ""), ""))))))</f>
        <v>0</v>
      </c>
      <c r="AJ8" s="22" cm="1">
        <f t="array" ref="AJ8">_xlfn.MAP('6161 - Wallpaper'!B8:B507, '6161 - Wallpaper'!AJ8:AJ507, '6161 - Wallpaper'!J8:J507, _xlfn.LAMBDA(_xlpm.part, _xlpm.val, _xlpm.dep1, IF(_xlpm.part = "", "", _xlfn.LET(_xlpm.check1, IF(AND(_xlpm.val = "", _xlpm.dep1 = "NON-PRIMARY VARIANT"), "2:Autofill", ""), IF(LEN(_xlpm.check1) &gt; 0, _xlpm.check1, _xlfn.LET(_xlpm.check2, IF(AND(_xlpm.val &lt;&gt; "", LEN(_xlpm.val) &lt; 5), "1:NMFC must contain at least 5 digits", ""), IF(LEN(_xlpm.check2) &gt; 0, _xlpm.check2, IF(AND(_xlpm.val = "", AJ$3="Required"), IF(OR('6161 - Wallpaper'!AJ$7 = "", '6161 - Wallpaper'!AJ$7 = "N/A"), "3:National Motor Freight Class - Value is required", ""), ""))))))))</f>
        <v>0</v>
      </c>
      <c r="AK8" s="22" cm="1">
        <f t="array" ref="AK8">_xlfn.MAP('6161 - Wallpaper'!B8:B507, '6161 - Wallpaper'!AK8:AK507, '6161 - Wallpaper'!J8:J507, _xlfn.LAMBDA(_xlpm.part, _xlpm.val, _xlpm.dep1, IF(_xlpm.part = "", "", _xlfn.LET(_xlpm.check1, IF(AND(_xlpm.val = "", _xlpm.dep1 = "NON-PRIMARY VARIANT"), "2:Autofill", ""), IF(LEN(_xlpm.check1) &gt; 0, _xlpm.check1, IF(AND(_xlpm.val = "", AK$3="Required"), IF(OR('6161 - Wallpaper'!AK$7 = "", '6161 - Wallpaper'!AK$7 = "N/A"), "3:Flat Pack - Value is required", ""), ""))))))</f>
        <v>0</v>
      </c>
      <c r="AL8" s="22" cm="1">
        <f t="array" ref="AL8">_xlfn.MAP('6161 - Wallpaper'!B8:B507, '6161 - Wallpaper'!AL8:AL507, '6161 - Wallpaper'!J8:J507, _xlfn.LAMBDA(_xlpm.part, _xlpm.val, _xlpm.dep1, IF(_xlpm.part = "", "", _xlfn.LET(_xlpm.check1, IF(AND(_xlpm.val = "", _xlpm.dep1 = "NON-PRIMARY VARIANT"), "2:Autofill", ""), IF(LEN(_xlpm.check1) &gt; 0, _xlpm.check1, IF(AND(_xlpm.val = "", AL$3="Required"), IF(OR('6161 - Wallpaper'!AL$7 = "", '6161 - Wallpaper'!AL$7 = "N/A"), "3:Ship Palletized - Value is required", ""), ""))))))</f>
        <v>0</v>
      </c>
      <c r="AM8" s="22" cm="1">
        <f t="array" ref="AM8">_xlfn.MAP('6161 - Wallpaper'!B8:B507, '6161 - Wallpaper'!AM8:AM507, '6161 - Wallpaper'!AN8:AN507, '6161 - Wallpaper'!AO8:AO507, '6161 - Wallpaper'!AP8:AP507, _xlfn.LAMBDA(_xlpm.part, _xlpm.val, _xlpm.dep1, _xlpm.dep2, _xlpm.dep3, IF(_xlpm.part = "", "", _xlfn.LET(_xlpm.check1, IF(AND(NOT(ISBLANK(_xlpm.val)),OR(NOT(ISNUMBER(IFERROR(VALUE(_xlpm.val), ""))), IFERROR(VALUE(_xlpm.val), -1) &lt; 0)), "1:Carton Weight - Value should be numeric", ""), IF(LEN(_xlpm.check1) &gt; 0, _xlpm.check1, _xlfn.LET(_xlpm.check2, IF(AND(_xlpm.val &lt;&gt; "" ,IFERROR(VALUE(_xlpm.val), _xlpm.val)&lt;0), "1:Shipping weight must be a positive number", ""), IF(LEN(_xlpm.check2) &gt; 0, _xlpm.check2, _xlfn.LET(_xlpm.check3, IF(AND(_xlpm.val = "", AM$3="Required"), IF(OR('6161 - Wallpaper'!AM$7 = "", '6161 - Wallpaper'!AM$7 = "N/A"), "3:Carton Weight - Value is required", ""), ""), IF(LEN(_xlpm.check3) &gt; 0, _xlpm.check3, _xlfn.LET(_xlpm.check4, IF(OR(_xlpm.dep1 &lt;&gt; "", _xlpm.dep2 &lt;&gt; "", _xlpm.dep3 &lt;&gt; ""), IF(_xlpm.val = "", IF(OR('6161 - Wallpaper'!AM$7 = "", '6161 - Wallpaper'!AM$7 = "N/A"), "3:Shipping weight is required", ""), ""), ""), IF(LEN(_xlpm.check4) &gt; 0, _xlpm.check4, IF(AND(_xlpm.dep3 = "", _xlpm.dep1 = "", _xlpm.dep2 = ""), IF(_xlpm.val = "", IF(OR('6161 - Wallpaper'!AM$7 = "", '6161 - Wallpaper'!AM$7 = "N/A"), "3:Shipping weight is required", ""), ""), ""))))))))))))</f>
        <v>0</v>
      </c>
      <c r="AN8" s="22" cm="1">
        <f t="array" ref="AN8">_xlfn.MAP('6161 - Wallpaper'!B8:B507, '6161 - Wallpaper'!AN8:AN507, '6161 - Wallpaper'!AM8:AM507, '6161 - Wallpaper'!AO8:AO507, '6161 - Wallpaper'!AP8:AP507, _xlfn.LAMBDA(_xlpm.part, _xlpm.val, _xlpm.dep1, _xlpm.dep2, _xlpm.dep3, IF(_xlpm.part = "", "", _xlfn.LET(_xlpm.check1, IF(AND(NOT(ISBLANK(_xlpm.val)),OR(NOT(ISNUMBER(IFERROR(VALUE(_xlpm.val), ""))), IFERROR(VALUE(_xlpm.val), -1) &lt; 0)), "1:Carton Height - Value should be numeric", ""), IF(LEN(_xlpm.check1) &gt; 0, _xlpm.check1, _xlfn.LET(_xlpm.check2, IF(AND(_xlpm.val &lt;&gt; "" ,IFERROR(VALUE(_xlpm.val), _xlpm.val)&lt;0), "1:Carton height must be a positive number", ""), IF(LEN(_xlpm.check2) &gt; 0, _xlpm.check2, _xlfn.LET(_xlpm.check3, IF(AND(_xlpm.val = "", AN$3="Required"), IF(OR('6161 - Wallpaper'!AN$7 = "", '6161 - Wallpaper'!AN$7 = "N/A"), "3:Carton Height - Value is required", ""), ""), IF(LEN(_xlpm.check3) &gt; 0, _xlpm.check3, _xlfn.LET(_xlpm.check4, IF(OR(_xlpm.dep1 &lt;&gt; "", _xlpm.dep2 &lt;&gt; "", _xlpm.dep3 &lt;&gt; ""), IF(_xlpm.val = "", IF(OR('6161 - Wallpaper'!AN$7 = "", '6161 - Wallpaper'!AN$7 = "N/A"), "3:Carton height is required", ""), ""), ""), IF(LEN(_xlpm.check4) &gt; 0, _xlpm.check4, IF(AND(_xlpm.dep1 = "", _xlpm.dep3 = "", _xlpm.dep2 = ""), IF(_xlpm.val = "", IF(OR('6161 - Wallpaper'!AN$7 = "", '6161 - Wallpaper'!AN$7 = "N/A"), "3:Carton height is required", ""), ""), ""))))))))))))</f>
        <v>0</v>
      </c>
      <c r="AO8" s="22" cm="1">
        <f t="array" ref="AO8">_xlfn.MAP('6161 - Wallpaper'!B8:B507, '6161 - Wallpaper'!AO8:AO507, '6161 - Wallpaper'!AM8:AM507, '6161 - Wallpaper'!AN8:AN507, '6161 - Wallpaper'!AP8:AP507, _xlfn.LAMBDA(_xlpm.part, _xlpm.val, _xlpm.dep1, _xlpm.dep2, _xlpm.dep3, IF(_xlpm.part = "", "", _xlfn.LET(_xlpm.check1, IF(AND(NOT(ISBLANK(_xlpm.val)),OR(NOT(ISNUMBER(IFERROR(VALUE(_xlpm.val), ""))), IFERROR(VALUE(_xlpm.val), -1) &lt; 0)), "1:Carton Width - Value should be numeric", ""), IF(LEN(_xlpm.check1) &gt; 0, _xlpm.check1, _xlfn.LET(_xlpm.check2, IF(AND(_xlpm.val &lt;&gt; "" ,IFERROR(VALUE(_xlpm.val), _xlpm.val)&lt;0), "1:Carton width must be a positive number", ""), IF(LEN(_xlpm.check2) &gt; 0, _xlpm.check2, _xlfn.LET(_xlpm.check3, IF(AND(_xlpm.val = "", AO$3="Required"), IF(OR('6161 - Wallpaper'!AO$7 = "", '6161 - Wallpaper'!AO$7 = "N/A"), "3:Carton Width - Value is required", ""), ""), IF(LEN(_xlpm.check3) &gt; 0, _xlpm.check3, _xlfn.LET(_xlpm.check4, IF(OR(_xlpm.dep1 &lt;&gt; "", _xlpm.dep2 &lt;&gt; "", _xlpm.dep3 &lt;&gt; ""), IF(_xlpm.val = "", IF(OR('6161 - Wallpaper'!AO$7 = "", '6161 - Wallpaper'!AO$7 = "N/A"), "3:Carton width is required", ""), ""), ""), IF(LEN(_xlpm.check4) &gt; 0, _xlpm.check4, IF(AND(_xlpm.dep1 = "", _xlpm.dep2 = "", _xlpm.dep3 = ""), IF(_xlpm.val = "", IF(OR('6161 - Wallpaper'!AO$7 = "", '6161 - Wallpaper'!AO$7 = "N/A"), "3:Carton width is required", ""), ""), ""))))))))))))</f>
        <v>0</v>
      </c>
      <c r="AP8" s="22" cm="1">
        <f t="array" ref="AP8">_xlfn.MAP('6161 - Wallpaper'!B8:B507, '6161 - Wallpaper'!AP8:AP507, '6161 - Wallpaper'!AM8:AM507, '6161 - Wallpaper'!AN8:AN507, '6161 - Wallpaper'!AO8:AO507, _xlfn.LAMBDA(_xlpm.part, _xlpm.val, _xlpm.dep1, _xlpm.dep2, _xlpm.dep3, IF(_xlpm.part = "", "", _xlfn.LET(_xlpm.check1, IF(AND(NOT(ISBLANK(_xlpm.val)),OR(NOT(ISNUMBER(IFERROR(VALUE(_xlpm.val), ""))), IFERROR(VALUE(_xlpm.val), -1) &lt; 0)), "1:Carton Depth - Value should be numeric", ""), IF(LEN(_xlpm.check1) &gt; 0, _xlpm.check1, _xlfn.LET(_xlpm.check2, IF(AND(_xlpm.val &lt;&gt; "" ,IFERROR(VALUE(_xlpm.val), _xlpm.val)&lt;0), "1:Carton depth must be a positive number", ""), IF(LEN(_xlpm.check2) &gt; 0, _xlpm.check2, _xlfn.LET(_xlpm.check3, IF(AND(_xlpm.val = "", AP$3="Required"), IF(OR('6161 - Wallpaper'!AP$7 = "", '6161 - Wallpaper'!AP$7 = "N/A"), "3:Carton Depth - Value is required", ""), ""), IF(LEN(_xlpm.check3) &gt; 0, _xlpm.check3, _xlfn.LET(_xlpm.check4, IF(OR(_xlpm.dep1 &lt;&gt; "", _xlpm.dep2 &lt;&gt; "", _xlpm.dep3 &lt;&gt; ""), IF(_xlpm.val = "", IF(OR('6161 - Wallpaper'!AP$7 = "", '6161 - Wallpaper'!AP$7 = "N/A"), "3:Carton depth is required", ""), ""), ""), IF(LEN(_xlpm.check4) &gt; 0, _xlpm.check4, IF(AND(_xlpm.dep1 = "", _xlpm.dep2 = "", _xlpm.dep3 = ""), IF(_xlpm.val = "", IF(OR('6161 - Wallpaper'!AP$7 = "", '6161 - Wallpaper'!AP$7 = "N/A"), "3:Carton depth is required", ""), ""), ""))))))))))))</f>
        <v>0</v>
      </c>
      <c r="AQ8" s="22" cm="1">
        <f t="array" ref="AQ8">_xlfn.MAP('6161 - Wallpaper'!B8:B507, '6161 - Wallpaper'!AQ8:AQ507, _xlfn.LAMBDA(_xlpm.part, _xlpm.val, IF(_xlpm.part = "", "", IF(AND(_xlpm.val = "", AQ$3="Required"), IF(OR('6161 - Wallpaper'!AQ$7 = "", '6161 - Wallpaper'!AQ$7 = "N/A"), "3:Image File Name or URL - Value is required", ""), ""))))</f>
        <v>0</v>
      </c>
      <c r="AR8" s="22" cm="1">
        <f t="array" ref="AR8">_xlfn.MAP('6161 - Wallpaper'!B8:B507, '6161 - Wallpaper'!AR8:AR507, _xlfn.LAMBDA(_xlpm.part, _xlpm.val, IF(_xlpm.part = "", "", IF(AND(_xlpm.val = "", AR$3="Required"), IF(OR('6161 - Wallpaper'!AR$7 = "", '6161 - Wallpaper'!AR$7 = "N/A"), "3:Image File Name or URL - Value is required", ""), ""))))</f>
        <v>0</v>
      </c>
      <c r="AS8" s="22" cm="1">
        <f t="array" ref="AS8">_xlfn.MAP('6161 - Wallpaper'!B8:B507, '6161 - Wallpaper'!AS8:AS507, _xlfn.LAMBDA(_xlpm.part, _xlpm.val, IF(_xlpm.part = "", "", IF(AND(_xlpm.val = "", AS$3="Required"), IF(OR('6161 - Wallpaper'!AS$7 = "", '6161 - Wallpaper'!AS$7 = "N/A"), "3:Image File Name or URL - Value is required", ""), ""))))</f>
        <v>0</v>
      </c>
      <c r="AT8" s="22" cm="1">
        <f t="array" ref="AT8">_xlfn.MAP('6161 - Wallpaper'!B8:B507, '6161 - Wallpaper'!AT8:AT507, _xlfn.LAMBDA(_xlpm.part, _xlpm.val, IF(_xlpm.part = "", "", IF(AND(_xlpm.val = "", AT$3="Required"), IF(OR('6161 - Wallpaper'!AT$7 = "", '6161 - Wallpaper'!AT$7 = "N/A"), "3:Image File Name or URL - Value is required", ""), ""))))</f>
        <v>0</v>
      </c>
      <c r="AU8" s="22" cm="1">
        <f t="array" ref="AU8">_xlfn.MAP('6161 - Wallpaper'!B8:B507, '6161 - Wallpaper'!AU8:AU507, _xlfn.LAMBDA(_xlpm.part, _xlpm.val, IF(_xlpm.part = "", "", IF(AND(_xlpm.val = "", AU$3="Required"), IF(OR('6161 - Wallpaper'!AU$7 = "", '6161 - Wallpaper'!AU$7 = "N/A"), "3:Image File Name or URL - Value is required", ""), ""))))</f>
        <v>0</v>
      </c>
      <c r="AV8" s="22" cm="1">
        <f t="array" ref="AV8">_xlfn.MAP('6161 - Wallpaper'!B8:B507, '6161 - Wallpaper'!AV8:AV507, _xlfn.LAMBDA(_xlpm.part, _xlpm.val, IF(_xlpm.part = "", "", IF(AND(_xlpm.val = "", AV$3="Required"), IF(OR('6161 - Wallpaper'!AV$7 = "", '6161 - Wallpaper'!AV$7 = "N/A"), "3:Video File Name or URL - Value is required", ""), ""))))</f>
        <v>0</v>
      </c>
      <c r="AW8" s="22" cm="1">
        <f t="array" ref="AW8">_xlfn.MAP('6161 - Wallpaper'!B8:B507, '6161 - Wallpaper'!AW8:AW507, '6161 - Wallpaper'!AX8:AX507, '6161 - Wallpaper'!AY8:AY507, '6161 - Wallpaper'!AZ8:AZ507, _xlfn.LAMBDA(_xlpm.part, _xlpm.val, _xlpm.dep1, _xlpm.dep2, _xlpm.dep3, IF(_xlpm.part = "", "", IF(AND(_xlpm.val = "", AW$3="Required"), IF(OR('6161 - Wallpaper'!AW$7 = "", '6161 - Wallpaper'!AW$7 = "N/A"), "3:Document File Name or URL - Value is required", ""), ""))))</f>
        <v>0</v>
      </c>
      <c r="AX8" s="22" cm="1">
        <f t="array" ref="AX8">_xlfn.MAP('6161 - Wallpaper'!B8:B507, '6161 - Wallpaper'!AX8:AX507,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AX$3="Required"), IF(OR('6161 - Wallpaper'!AX$7 = "", '6161 - Wallpaper'!AX$7 = "N/A"), "3:Document Type - Value is required", ""), ""))))))</f>
        <v>0</v>
      </c>
      <c r="AY8" s="22" cm="1">
        <f t="array" ref="AY8">_xlfn.MAP('6161 - Wallpaper'!B8:B507, '6161 - Wallpaper'!AY8:AY507,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AY$3="Required"), IF(OR('6161 - Wallpaper'!AY$7 = "", '6161 - Wallpaper'!AY$7 = "N/A"), "3:Legal Document Type - Value is required", ""), ""))))))</f>
        <v>0</v>
      </c>
      <c r="AZ8" s="22" cm="1">
        <f t="array" ref="AZ8">_xlfn.MAP('6161 - Wallpaper'!B8:B507, '6161 - Wallpaper'!AZ8:AZ507, _xlfn.LAMBDA(_xlpm.part, _xlpm.val, IF(_xlpm.part = "", "", IF(AND(_xlpm.val = "", AZ$3="Required"), IF(OR('6161 - Wallpaper'!AZ$7 = "", '6161 - Wallpaper'!AZ$7 = "N/A"), "3:Document Region - Value is required", ""), ""))))</f>
        <v>0</v>
      </c>
      <c r="BA8" s="22" cm="1">
        <f t="array" ref="BA8">_xlfn.MAP('6161 - Wallpaper'!B8:B507, '6161 - Wallpaper'!BA8:BA507, '6161 - Wallpaper'!BB8:BB507, '6161 - Wallpaper'!BC8:BC507, '6161 - Wallpaper'!BD8:BD507, _xlfn.LAMBDA(_xlpm.part, _xlpm.val, _xlpm.dep1, _xlpm.dep2, _xlpm.dep3, IF(_xlpm.part = "", "", IF(AND(_xlpm.val = "", BA$3="Required"), IF(OR('6161 - Wallpaper'!BA$7 = "", '6161 - Wallpaper'!BA$7 = "N/A"), "3:Document File Name or URL - Value is required", ""), ""))))</f>
        <v>0</v>
      </c>
      <c r="BB8" s="22" cm="1">
        <f t="array" ref="BB8">_xlfn.MAP('6161 - Wallpaper'!B8:B507, '6161 - Wallpaper'!BB8:BB507,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BB$3="Required"), IF(OR('6161 - Wallpaper'!BB$7 = "", '6161 - Wallpaper'!BB$7 = "N/A"), "3:Document Type - Value is required", ""), ""))))))</f>
        <v>0</v>
      </c>
      <c r="BC8" s="22" cm="1">
        <f t="array" ref="BC8">_xlfn.MAP('6161 - Wallpaper'!B8:B507, '6161 - Wallpaper'!BC8:BC507,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BC$3="Required"), IF(OR('6161 - Wallpaper'!BC$7 = "", '6161 - Wallpaper'!BC$7 = "N/A"), "3:Legal Document Type - Value is required", ""), ""))))))</f>
        <v>0</v>
      </c>
      <c r="BD8" s="22" cm="1">
        <f t="array" ref="BD8">_xlfn.MAP('6161 - Wallpaper'!B8:B507, '6161 - Wallpaper'!BD8:BD507, _xlfn.LAMBDA(_xlpm.part, _xlpm.val, IF(_xlpm.part = "", "", IF(AND(_xlpm.val = "", BD$3="Required"), IF(OR('6161 - Wallpaper'!BD$7 = "", '6161 - Wallpaper'!BD$7 = "N/A"), "3:Document Region - Value is required", ""), ""))))</f>
        <v>0</v>
      </c>
      <c r="BE8" s="22" cm="1">
        <f t="array" ref="BE8">_xlfn.MAP('6161 - Wallpaper'!B8:B507, '6161 - Wallpaper'!BE8:BE507, '6161 - Wallpaper'!BF8:BF507, '6161 - Wallpaper'!BG8:BG507, '6161 - Wallpaper'!BH8:BH507, _xlfn.LAMBDA(_xlpm.part, _xlpm.val, _xlpm.dep1, _xlpm.dep2, _xlpm.dep3, IF(_xlpm.part = "", "", IF(AND(_xlpm.val = "", BE$3="Required"), IF(OR('6161 - Wallpaper'!BE$7 = "", '6161 - Wallpaper'!BE$7 = "N/A"), "3:Document File Name or URL - Value is required", ""), ""))))</f>
        <v>0</v>
      </c>
      <c r="BF8" s="22" cm="1">
        <f t="array" ref="BF8">_xlfn.MAP('6161 - Wallpaper'!B8:B507, '6161 - Wallpaper'!BF8:BF507,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BF$3="Required"), IF(OR('6161 - Wallpaper'!BF$7 = "", '6161 - Wallpaper'!BF$7 = "N/A"), "3:Document Type - Value is required", ""), ""))))))</f>
        <v>0</v>
      </c>
      <c r="BG8" s="22" cm="1">
        <f t="array" ref="BG8">_xlfn.MAP('6161 - Wallpaper'!B8:B507, '6161 - Wallpaper'!BG8:BG507,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BG$3="Required"), IF(OR('6161 - Wallpaper'!BG$7 = "", '6161 - Wallpaper'!BG$7 = "N/A"), "3:Legal Document Type - Value is required", ""), ""))))))</f>
        <v>0</v>
      </c>
      <c r="BH8" s="22" cm="1">
        <f t="array" ref="BH8">_xlfn.MAP('6161 - Wallpaper'!B8:B507, '6161 - Wallpaper'!BH8:BH507, _xlfn.LAMBDA(_xlpm.part, _xlpm.val, IF(_xlpm.part = "", "", IF(AND(_xlpm.val = "", BH$3="Required"), IF(OR('6161 - Wallpaper'!BH$7 = "", '6161 - Wallpaper'!BH$7 = "N/A"), "3:Document Region - Value is required", ""), ""))))</f>
        <v>0</v>
      </c>
      <c r="BI8" s="22" cm="1">
        <f t="array" ref="BI8">_xlfn.MAP('6161 - Wallpaper'!B8:B507, '6161 - Wallpaper'!BI8:BI507, _xlfn.LAMBDA(_xlpm.part, _xlpm.val, IF(_xlpm.part = "", "", IF(AND(_xlpm.val = "", BI$3="Required"), IF(OR('6161 - Wallpaper'!BI$7 = "", '6161 - Wallpaper'!BI$7 = "N/A"), "3:Product Type - Value is required", ""), ""))))</f>
        <v>0</v>
      </c>
      <c r="BJ8" s="22" cm="1">
        <f t="array" ref="BJ8">_xlfn.MAP('6161 - Wallpaper'!B8:B507, '6161 - Wallpaper'!BJ8:BJ507, _xlfn.LAMBDA(_xlpm.part, _xlpm.val, IF(_xlpm.part = "", "", _xlfn.LET(_xlpm.check1, IF(NOT(ISBLANK(_xlpm.val)),_xlfn.LET(_xlpm.items, _xlfn.TEXTSPLIT(_xlpm.val, ";"),_xlpm.trimmed, _xlfn.MAP(_xlpm.items, _xlfn.LAMBDA(_xlpm.x, TRIM(_xlpm.x))),_xlpm.invalid, _xlfn._xlws.FILTER(_xlpm.trimmed, ISNA(MATCH(_xlpm.trimmed, allowed83613, 0)), ""),IF(AND(_xlpm.invalid&lt;&gt;"", COUNTA(_xlpm.invalid)&gt;0),"1:Please select valid values from the provided list. Answers are case-sensitive and must be separated by a semicolon.","")), ""), IF(LEN(_xlpm.check1) &gt; 0, _xlpm.check1, IF(AND(_xlpm.val = "", BJ$3="Required"), IF(OR('6161 - Wallpaper'!BJ$7 = "", '6161 - Wallpaper'!BJ$7 = "N/A"), "3:Pattern - Value is required", ""), ""))))))</f>
        <v>0</v>
      </c>
      <c r="BK8" s="22" cm="1">
        <f t="array" ref="BK8">_xlfn.MAP('6161 - Wallpaper'!B8:B507, '6161 - Wallpaper'!BK8:BK507, _xlfn.LAMBDA(_xlpm.part, _xlpm.val, IF(_xlpm.part = "", "", IF(AND(_xlpm.val = "", BK$3="Required"), IF(OR('6161 - Wallpaper'!BK$7 = "", '6161 - Wallpaper'!BK$7 = "N/A"), "3:Wallpaper Texture - Value is required", ""), ""))))</f>
        <v>0</v>
      </c>
      <c r="BL8" s="22" cm="1">
        <f t="array" ref="BL8">_xlfn.MAP('6161 - Wallpaper'!B8:B507, '6161 - Wallpaper'!BL8:BL507, _xlfn.LAMBDA(_xlpm.part, _xlpm.val, IF(_xlpm.part = "", "", IF(AND(_xlpm.val = "", BL$3="Required"), IF(OR('6161 - Wallpaper'!BL$7 = "", '6161 - Wallpaper'!BL$7 = "N/A"), "3:Application Type - Value is required", ""), ""))))</f>
        <v>0</v>
      </c>
      <c r="BM8" s="22" cm="1">
        <f t="array" ref="BM8">_xlfn.MAP('6161 - Wallpaper'!B8:B507, '6161 - Wallpaper'!BM8:BM507, _xlfn.LAMBDA(_xlpm.part, _xlpm.val, IF(_xlpm.part = "", "", IF(AND(_xlpm.val = "", BM$3="Required"), IF(OR('6161 - Wallpaper'!BM$7 = "", '6161 - Wallpaper'!BM$7 = "N/A"), "3:Match Type - Value is required", ""), ""))))</f>
        <v>0</v>
      </c>
      <c r="BN8" s="22" cm="1">
        <f t="array" ref="BN8">_xlfn.MAP('6161 - Wallpaper'!B8:B507, '6161 - Wallpaper'!BN8:BN507, _xlfn.LAMBDA(_xlpm.part, _xlpm.val, IF(_xlpm.part = "", "", IF(AND(_xlpm.val = "", BN$3="Required"), IF(OR('6161 - Wallpaper'!BN$7 = "", '6161 - Wallpaper'!BN$7 = "N/A"), "3:Removal Type - Value is required", ""), ""))))</f>
        <v>0</v>
      </c>
      <c r="BO8" s="22" cm="1">
        <f t="array" ref="BO8">_xlfn.MAP('6161 - Wallpaper'!B8:B507, '6161 - Wallpaper'!BO8:BO507, _xlfn.LAMBDA(_xlpm.part, _xlpm.val, IF(_xlpm.part = "", "", IF(AND(_xlpm.val = "", BO$3="Required"), IF(OR('6161 - Wallpaper'!BO$7 = "", '6161 - Wallpaper'!BO$7 = "N/A"), "3:Country of Origin - Additional Details - Value is required", ""), ""))))</f>
        <v>0</v>
      </c>
      <c r="BP8" s="22" cm="1">
        <f t="array" ref="BP8">_xlfn.MAP('6161 - Wallpaper'!B8:B507, '6161 - Wallpaper'!BP8:BP507, _xlfn.LAMBDA(_xlpm.part, _xlpm.val, IF(_xlpm.part = "", "", _xlfn.LET(_xlpm.check1, IF(NOT(ISBLANK(_xlpm.val)),_xlfn.LET(_xlpm.items, _xlfn.TEXTSPLIT(_xlpm.val, ";"),_xlpm.trimmed, _xlfn.MAP(_xlpm.items, _xlfn.LAMBDA(_xlpm.x, TRIM(_xlpm.x))),_xlpm.invalid, _xlfn._xlws.FILTER(_xlpm.trimmed, ISNA(MATCH(_xlpm.trimmed, allowed239196, 0)), ""),IF(AND(_xlpm.invalid&lt;&gt;"", COUNTA(_xlpm.invalid)&gt;0),"1:Please select valid values from the provided list. Answers are case-sensitive and must be separated by a semicolon.","")), ""), IF(LEN(_xlpm.check1) &gt; 0, _xlpm.check1, IF(AND(_xlpm.val = "", BP$3="Required"), IF(OR('6161 - Wallpaper'!BP$7 = "", '6161 - Wallpaper'!BP$7 = "N/A"), "3:Supplier Intended and Approved Use - Value is required", ""), ""))))))</f>
        <v>0</v>
      </c>
      <c r="BQ8" s="22" cm="1">
        <f t="array" ref="BQ8">_xlfn.MAP('6161 - Wallpaper'!B8:B507, '6161 - Wallpaper'!BQ8:BQ507, _xlfn.LAMBDA(_xlpm.part, _xlpm.val, IF(_xlpm.part = "", "", IF(AND(_xlpm.val = "", BQ$3="Required"), IF(OR('6161 - Wallpaper'!BQ$7 = "", '6161 - Wallpaper'!BQ$7 = "N/A"), "3:BPA Free - Value is required", ""), ""))))</f>
        <v>0</v>
      </c>
      <c r="BR8" s="22" cm="1">
        <f t="array" ref="BR8">_xlfn.MAP('6161 - Wallpaper'!B8:B507, '6161 - Wallpaper'!BR8:BR507, _xlfn.LAMBDA(_xlpm.part, _xlpm.val, IF(_xlpm.part = "", "", IF(AND(_xlpm.val = "", BR$3="Required"), IF(OR('6161 - Wallpaper'!BR$7 = "", '6161 - Wallpaper'!BR$7 = "N/A"), "3:Durability - Value is required", ""), ""))))</f>
        <v>0</v>
      </c>
      <c r="BS8" s="22" cm="1">
        <f t="array" ref="BS8">_xlfn.MAP('6161 - Wallpaper'!B8:B507, '6161 - Wallpaper'!BS8:BS507, _xlfn.LAMBDA(_xlpm.part, _xlpm.val, IF(_xlpm.part = "", "", IF(AND(_xlpm.val = "", BS$3="Required"), IF(OR('6161 - Wallpaper'!BS$7 = "", '6161 - Wallpaper'!BS$7 = "N/A"), "3:Designer - Value is required", ""), ""))))</f>
        <v>0</v>
      </c>
      <c r="BT8" s="22" cm="1">
        <f t="array" ref="BT8">_xlfn.MAP('6161 - Wallpaper'!B8:B507, '6161 - Wallpaper'!BT8:BT507, _xlfn.LAMBDA(_xlpm.part, _xlpm.val, IF(_xlpm.part = "", "", IF(AND(_xlpm.val = "", BT$3="Required"), IF(OR('6161 - Wallpaper'!BT$7 = "", '6161 - Wallpaper'!BT$7 = "N/A"), "3:Product Care - Value is required", ""), ""))))</f>
        <v>0</v>
      </c>
      <c r="BU8" s="22" cm="1">
        <f t="array" ref="BU8">_xlfn.MAP('6161 - Wallpaper'!B8:B507, '6161 - Wallpaper'!BU8:BU507, _xlfn.LAMBDA(_xlpm.part, _xlpm.val, IF(_xlpm.part = "", "", IF(AND(_xlpm.val = "", BU$3="Required"), IF(OR('6161 - Wallpaper'!BU$7 = "", '6161 - Wallpaper'!BU$7 = "N/A"), "3:Color - Value is required", ""), ""))))</f>
        <v>0</v>
      </c>
      <c r="BV8" s="22" cm="1">
        <f t="array" ref="BV8">_xlfn.MAP('6161 - Wallpaper'!B8:B507, '6161 - Wallpaper'!BV8:BV507, _xlfn.LAMBDA(_xlpm.part, _xlpm.val, IF(_xlpm.part = "", "", IF(AND(_xlpm.val = "", BV$3="Required"), IF(OR('6161 - Wallpaper'!BV$7 = "", '6161 - Wallpaper'!BV$7 = "N/A"), "3:Pattern Repeat Frequency - Value is required", ""), ""))))</f>
        <v>0</v>
      </c>
      <c r="BW8" s="22" cm="1">
        <f t="array" ref="BW8">_xlfn.MAP('6161 - Wallpaper'!B8:B507, '6161 - Wallpaper'!BW8:BW507, _xlfn.LAMBDA(_xlpm.part, _xlpm.val, IF(_xlpm.part = "", "", _xlfn.LET(_xlpm.check1, IF(NOT(ISBLANK(_xlpm.val)),_xlfn.LET(_xlpm.items, _xlfn.TEXTSPLIT(_xlpm.val, ";"),_xlpm.trimmed, _xlfn.MAP(_xlpm.items, _xlfn.LAMBDA(_xlpm.x, TRIM(_xlpm.x))),_xlpm.invalid, _xlfn._xlws.FILTER(_xlpm.trimmed, ISNA(MATCH(_xlpm.trimmed, allowed381985, 0)), ""),IF(AND(_xlpm.invalid&lt;&gt;"", COUNTA(_xlpm.invalid)&gt;0),"1:Please select valid values from the provided list. Answers are case-sensitive and must be separated by a semicolon.","")), ""), IF(LEN(_xlpm.check1) &gt; 0, _xlpm.check1, IF(AND(_xlpm.val = "", BW$3="Required"), IF(OR('6161 - Wallpaper'!BW$7 = "", '6161 - Wallpaper'!BW$7 = "N/A"), "3:Wood Species - Value is required", ""), ""))))))</f>
        <v>0</v>
      </c>
      <c r="BX8" s="22" cm="1">
        <f t="array" ref="BX8">_xlfn.MAP('6161 - Wallpaper'!B8:B507, '6161 - Wallpaper'!BX8:BX507, _xlfn.LAMBDA(_xlpm.part, _xlpm.val, IF(_xlpm.part = "", "", IF(AND(_xlpm.val = "", BX$3="Required"), IF(OR('6161 - Wallpaper'!BX$7 = "", '6161 - Wallpaper'!BX$7 = "N/A"), "3:Sports Team Name - Value is required", ""), ""))))</f>
        <v>0</v>
      </c>
      <c r="BY8" s="22" cm="1">
        <f t="array" ref="BY8">_xlfn.MAP('6161 - Wallpaper'!B8:B507, '6161 - Wallpaper'!BY8:BY507, _xlfn.LAMBDA(_xlpm.part, _xlpm.val, IF(_xlpm.part = "", "", IF(AND(_xlpm.val = "", BY$3="Required"), IF(OR('6161 - Wallpaper'!BY$7 = "", '6161 - Wallpaper'!BY$7 = "N/A"), "3:Movie / Show Series Name - Value is required", ""), ""))))</f>
        <v>0</v>
      </c>
      <c r="BZ8" s="22" cm="1">
        <f t="array" ref="BZ8">_xlfn.MAP('6161 - Wallpaper'!B8:B507, '6161 - Wallpaper'!BZ8:BZ507, '6161 - Wallpaper'!BJ8:BJ507, _xlfn.LAMBDA(_xlpm.part, _xlpm.val, _xlpm.dep1, IF(_xlpm.part = "", "", _xlfn.LET(_xlpm.check1, IF(AND(_xlpm.val = "", ISNUMBER(SEARCH("Solid Color", _xlpm.dep1))), "2:Autofill", ""), IF(LEN(_xlpm.check1) &gt; 0, _xlpm.check1, _xlfn.LET(_xlpm.check2, IF(ISNUMBER(SEARCH("Solid Color", _xlpm.dep1)), IF(_xlpm.val &lt;&gt; "Does Not Apply", "1:Based on Pattern, value should be Does Not Apply", ""), ""), IF(LEN(_xlpm.check2) &gt; 0, _xlpm.check2, IF(AND(_xlpm.val = "", BZ$3="Required"), IF(OR('6161 - Wallpaper'!BZ$7 = "", '6161 - Wallpaper'!BZ$7 = "N/A"), "3:Pattern Interval - Value is required", ""), ""))))))))</f>
        <v>0</v>
      </c>
      <c r="CA8" s="22" cm="1">
        <f t="array" ref="CA8">_xlfn.MAP('6161 - Wallpaper'!B8:B507, '6161 - Wallpaper'!CA8:CA507, _xlfn.LAMBDA(_xlpm.part, _xlpm.val, IF(_xlpm.part = "", "", _xlfn.LET(_xlpm.check1, IF(NOT(ISBLANK(_xlpm.val)),_xlfn.LET(_xlpm.items, _xlfn.TEXTSPLIT(_xlpm.val, ";"),_xlpm.trimmed, _xlfn.MAP(_xlpm.items, _xlfn.LAMBDA(_xlpm.x, TRIM(_xlpm.x))),_xlpm.invalid, _xlfn._xlws.FILTER(_xlpm.trimmed, ISNA(MATCH(_xlpm.trimmed, allowed435497, 0)), ""),IF(AND(_xlpm.invalid&lt;&gt;"", COUNTA(_xlpm.invalid)&gt;0),"1:Please select valid values from the provided list. Answers are case-sensitive and must be separated by a semicolon.","")), ""), IF(LEN(_xlpm.check1) &gt; 0, _xlpm.check1, IF(AND(_xlpm.val = "", CA$3="Required"), IF(OR('6161 - Wallpaper'!CA$7 = "", '6161 - Wallpaper'!CA$7 = "N/A"), "3:General Features - Value is required", ""), ""))))))</f>
        <v>0</v>
      </c>
      <c r="CB8" s="22" cm="1">
        <f t="array" ref="CB8">_xlfn.MAP('6161 - Wallpaper'!B8:B507, '6161 - Wallpaper'!CB8:CB507, _xlfn.LAMBDA(_xlpm.part, _xlpm.val, IF(_xlpm.part = "", "", IF(AND(_xlpm.val = "", CB$3="Required"), IF(OR('6161 - Wallpaper'!CB$7 = "", '6161 - Wallpaper'!CB$7 = "N/A"), "3:Material - Value is required", ""), ""))))</f>
        <v>0</v>
      </c>
      <c r="CC8" s="22" cm="1">
        <f t="array" ref="CC8">_xlfn.MAP('6161 - Wallpaper'!B8:B507, '6161 - Wallpaper'!CC8:CC507, _xlfn.LAMBDA(_xlpm.part, _xlpm.val, IF(_xlpm.part = "", "", IF(AND(_xlpm.val = "", CC$3="Required"), IF(OR('6161 - Wallpaper'!CC$7 = "", '6161 - Wallpaper'!CC$7 = "N/A"), "3:Age Group - Value is required", ""), ""))))</f>
        <v>0</v>
      </c>
      <c r="CD8" s="22" cm="1">
        <f t="array" ref="CD8">_xlfn.MAP('6161 - Wallpaper'!B8:B507, '6161 - Wallpaper'!CD8:CD507, _xlfn.LAMBDA(_xlpm.part, _xlpm.val, IF(_xlpm.part = "", "", IF(AND(_xlpm.val = "", CD$3="Required"), IF(OR('6161 - Wallpaper'!CD$7 = "", '6161 - Wallpaper'!CD$7 = "N/A"), "3:Finish - Value is required", ""), ""))))</f>
        <v>0</v>
      </c>
      <c r="CE8" s="22" cm="1">
        <f t="array" ref="CE8">_xlfn.MAP('6161 - Wallpaper'!B8:B507, '6161 - Wallpaper'!CE8:CE507, _xlfn.LAMBDA(_xlpm.part, _xlpm.val, IF(_xlpm.part = "", "", IF(AND(_xlpm.val = "", CE$3="Required"), IF(OR('6161 - Wallpaper'!CE$7 = "", '6161 - Wallpaper'!CE$7 = "N/A"), "3:Overall Product Length - End to End - Value is required", ""), ""))))</f>
        <v>0</v>
      </c>
      <c r="CF8" s="22" cm="1">
        <f t="array" ref="CF8">_xlfn.MAP('6161 - Wallpaper'!B8:B507, '6161 - Wallpaper'!CF8:CF507, _xlfn.LAMBDA(_xlpm.part, _xlpm.val, IF(_xlpm.part = "", "", IF(AND(_xlpm.val = "", CF$3="Required"), IF(OR('6161 - Wallpaper'!CF$7 = "", '6161 - Wallpaper'!CF$7 = "N/A"), "3:Overall Width - Side to Side - Value is required", ""), ""))))</f>
        <v>0</v>
      </c>
      <c r="CG8" s="22" cm="1">
        <f t="array" ref="CG8">_xlfn.MAP('6161 - Wallpaper'!B8:B507, '6161 - Wallpaper'!CG8:CG507, _xlfn.LAMBDA(_xlpm.part, _xlpm.val, IF(_xlpm.part = "", "", IF(AND(_xlpm.val = "", CG$3="Required"), IF(OR('6161 - Wallpaper'!CG$7 = "", '6161 - Wallpaper'!CG$7 = "N/A"), "3:Square Footage per Unit - Value is required", ""), ""))))</f>
        <v>0</v>
      </c>
      <c r="CH8" s="22" cm="1">
        <f t="array" ref="CH8">_xlfn.MAP('6161 - Wallpaper'!B8:B507, '6161 - Wallpaper'!CH8:CH507, _xlfn.LAMBDA(_xlpm.part, _xlpm.val, IF(_xlpm.part = "", "", IF(AND(_xlpm.val = "", CH$3="Required"), IF(OR('6161 - Wallpaper'!CH$7 = "", '6161 - Wallpaper'!CH$7 = "N/A"), "3:Overall Product Weight - Value is required", ""), ""))))</f>
        <v>0</v>
      </c>
      <c r="CI8" s="22" cm="1">
        <f t="array" ref="CI8">_xlfn.MAP('6161 - Wallpaper'!B8:B507, '6161 - Wallpaper'!CI8:CI507, _xlfn.LAMBDA(_xlpm.part, _xlpm.val, IF(_xlpm.part = "", "", IF(AND(_xlpm.val = "", CI$3="Required"), IF(OR('6161 - Wallpaper'!CI$7 = "", '6161 - Wallpaper'!CI$7 = "N/A"), "3:Commercial Warranty - Value is required", ""), ""))))</f>
        <v>0</v>
      </c>
      <c r="CJ8" s="22" cm="1">
        <f t="array" ref="CJ8">_xlfn.MAP('6161 - Wallpaper'!B8:B507, '6161 - Wallpaper'!CJ8:CJ507, '6161 - Wallpaper'!CI8:CI507, _xlfn.LAMBDA(_xlpm.part, _xlpm.val, _xlpm.dep1, IF(_xlpm.part = "", "", _xlfn.LET(_xlpm.check1, IF(AND(_xlpm.val = "", _xlpm.dep1 = "No"), "2:Autofill", ""), IF(LEN(_xlpm.check1) &gt; 0, _xlpm.check1, _xlfn.LET(_xlpm.check2, IF(_xlpm.dep1 = "No", IF(_xlpm.val &lt;&gt; "Does Not Apply", "1:Since Commercial Warranty equals 'No', this value should be 'Does Not Apply'", ""), ""), IF(LEN(_xlpm.check2) &gt; 0, _xlpm.check2, _xlfn.LET(_xlpm.check3, IF(_xlpm.dep1 = "Yes", IF(_xlpm.val = "", IF(OR('6161 - Wallpaper'!CJ$7 = "", '6161 - Wallpaper'!CJ$7 = "N/A"), "3:Since Commercial Warranty equals 'Yes', this field is required", ""), ""), ""), IF(LEN(_xlpm.check3) &gt; 0, _xlpm.check3, IF(AND(_xlpm.val = "", CJ$3="Required"), IF(OR('6161 - Wallpaper'!CJ$7 = "", '6161 - Wallpaper'!CJ$7 = "N/A"), "3:Commercial Warranty Length - Value is required", ""), ""))))))))))</f>
        <v>0</v>
      </c>
      <c r="CK8" s="22" cm="1">
        <f t="array" ref="CK8">_xlfn.MAP('6161 - Wallpaper'!B8:B507, '6161 - Wallpaper'!CK8:CK507, _xlfn.LAMBDA(_xlpm.part, _xlpm.val, IF(_xlpm.part = "", "", IF(AND(_xlpm.val = "", CK$3="Required"), IF(OR('6161 - Wallpaper'!CK$7 = "", '6161 - Wallpaper'!CK$7 = "N/A"), "3:Wayfair Compliance Verified Program (including Baby Safety Alliance fka JPMA) for this product category - Value is required", ""), ""))))</f>
        <v>0</v>
      </c>
      <c r="CL8" s="22" cm="1">
        <f t="array" ref="CL8">_xlfn.MAP('6161 - Wallpaper'!B8:B507, '6161 - Wallpaper'!CL8:CL507, '6161 - Wallpaper'!CK8:CK507, _xlfn.LAMBDA(_xlpm.part, _xlpm.val, _xlpm.dep1, IF(_xlpm.part = "", "", _xlfn.LET(_xlpm.check1, IF(AND(_xlpm.val = "", _xlpm.dep1 = "Yes"), "2:Autofill", ""), IF(LEN(_xlpm.check1) &gt; 0, _xlpm.check1, IF(AND(_xlpm.val = "", CL$3="Required"), IF(OR('6161 - Wallpaper'!CL$7 = "", '6161 - Wallpaper'!CL$7 = "N/A"), "3:Uniform Packaging and Labeling Regulations (UPLR) Compliant - Value is required", ""), ""))))))</f>
        <v>0</v>
      </c>
      <c r="CM8" s="22" cm="1">
        <f t="array" ref="CM8">_xlfn.MAP('6161 - Wallpaper'!B8:B507, '6161 - Wallpaper'!CM8:CM507, _xlfn.LAMBDA(_xlpm.part, _xlpm.val, IF(_xlpm.part = "", "", IF(AND(_xlpm.val = "", CM$3="Required"), IF(OR('6161 - Wallpaper'!CM$7 = "", '6161 - Wallpaper'!CM$7 = "N/A"), "3:Canada Product Restriction - Value is required", ""), ""))))</f>
        <v>0</v>
      </c>
      <c r="CN8" s="22" cm="1">
        <f t="array" ref="CN8">_xlfn.MAP('6161 - Wallpaper'!B8:B507, '6161 - Wallpaper'!CN8:CN507, '6161 - Wallpaper'!CM8:CM507, _xlfn.LAMBDA(_xlpm.part, _xlpm.val, _xlpm.dep1, IF(_xlpm.part = "", "", _xlfn.LET(_xlpm.check1, IF(AND(_xlpm.val = "", _xlpm.dep1 = "No"), "2:Autofill", ""), IF(LEN(_xlpm.check1) &gt; 0, _xlpm.check1, _xlfn.LET(_xlpm.check2, IF(_xlpm.dep1 = "No", IF(_xlpm.val &lt;&gt; "Does Not Apply", "1:Since Canada Product Restriction equals 'No', this value should be 'Does Not Apply'", ""), ""), IF(LEN(_xlpm.check2) &gt; 0, _xlpm.check2, _xlfn.LET(_xlpm.check3, IF(NOT(ISBLANK(_xlpm.val)),_xlfn.LET(_xlpm.items, _xlfn.TEXTSPLIT(_xlpm.val, ";"),_xlpm.trimmed, _xlfn.MAP(_xlpm.items, _xlfn.LAMBDA(_xlpm.x, TRIM(_xlpm.x))),_xlpm.invalid, _xlfn._xlws.FILTER(_xlpm.trimmed, ISNA(MATCH(_xlpm.trimmed, allowed251781, 0)), ""),IF(AND(_xlpm.invalid&lt;&gt;"", COUNTA(_xlpm.invalid)&gt;0),"1:Please select valid values from the provided list. Answers are case-sensitive and must be separated by a semicolon.","")), ""), IF(LEN(_xlpm.check3) &gt; 0, _xlpm.check3, _xlfn.LET(_xlpm.check4, IF(_xlpm.dep1 = "Yes", IF(_xlpm.val = "", IF(OR('6161 - Wallpaper'!CN$7 = "", '6161 - Wallpaper'!CN$7 = "N/A"), "3:Since Canada Product Restriction equals 'Yes', this field is required", ""), ""), ""), IF(LEN(_xlpm.check4) &gt; 0, _xlpm.check4, IF(AND(_xlpm.val = "", CN$3="Required"), IF(OR('6161 - Wallpaper'!CN$7 = "", '6161 - Wallpaper'!CN$7 = "N/A"), "3:Reason for Restriction - Value is required", ""), ""))))))))))))</f>
        <v>0</v>
      </c>
      <c r="CO8" s="22" cm="1">
        <f t="array" ref="CO8">_xlfn.MAP('6161 - Wallpaper'!B8:B507, '6161 - Wallpaper'!CO8:CO507, _xlfn.LAMBDA(_xlpm.part, _xlpm.val, IF(_xlpm.part = "", "", IF(AND(_xlpm.val = "", CO$3="Required"), IF(OR('6161 - Wallpaper'!CO$7 = "", '6161 - Wallpaper'!CO$7 = "N/A"), "3:Sustainability &amp; Social Responsibility Certifications (North America Only) - Value is required", ""), ""))))</f>
        <v>0</v>
      </c>
      <c r="CP8" s="22" cm="1">
        <f t="array" ref="CP8">_xlfn.MAP('6161 - Wallpaper'!B8:B507, '6161 - Wallpaper'!CP8:CP507, _xlfn.LAMBDA(_xlpm.part, _xlpm.val, IF(_xlpm.part = "", "", IF(AND(_xlpm.val = "", CP$3="Required"), IF(OR('6161 - Wallpaper'!CP$7 = "", '6161 - Wallpaper'!CP$7 = "N/A"), "3:Warning Required - Value is required", ""), ""))))</f>
        <v>0</v>
      </c>
      <c r="CQ8" s="22" cm="1">
        <f t="array" ref="CQ8">_xlfn.MAP('6161 - Wallpaper'!B8:B507, '6161 - Wallpaper'!CQ8:CQ507, '6161 - Wallpaper'!CR8:CR507, '6161 - Wallpaper'!CP8:CP507, _xlfn.LAMBDA(_xlpm.part, _xlpm.val, _xlpm.dep1, _xlpm.dep2, IF(_xlpm.part = "", "", _xlfn.LET(_xlpm.check1, IF(AND(_xlpm.val = "", CQ$3="Required"), IF(OR('6161 - Wallpaper'!CQ$7 = "", '6161 - Wallpaper'!CQ$7 = "N/A"), "3:Chemical - Value is required", ""), ""), IF(LEN(_xlpm.check1) &gt; 0, _xlpm.check1, _xlfn.LET(_xlpm.check2, IF(_xlpm.dep1 &lt;&gt; "", IF(_xlpm.val = "", IF(OR('6161 - Wallpaper'!CQ$7 = "", '6161 - Wallpaper'!CQ$7 = "N/A"), "3:Please provide a chemical", ""), ""), ""), IF(LEN(_xlpm.check2) &gt; 0, _xlpm.check2, IF(_xlpm.dep2 = "Yes", IF(_xlpm.val = "", IF(OR('6161 - Wallpaper'!CQ$7 = "", '6161 - Wallpaper'!CQ$7 = "N/A"), "3:If a warning is required, then a chemical must also be provided", ""), ""), ""))))))))</f>
        <v>0</v>
      </c>
      <c r="CR8" s="22" cm="1">
        <f t="array" ref="CR8">_xlfn.MAP('6161 - Wallpaper'!B8:B507, '6161 - Wallpaper'!CR8:CR507, '6161 - Wallpaper'!CQ8:CQ507, '6161 - Wallpaper'!CP8:CP507, _xlfn.LAMBDA(_xlpm.part, _xlpm.val, _xlpm.dep1, _xlpm.dep2, IF(_xlpm.part = "", "", _xlfn.LET(_xlpm.check1, IF(NOT(ISBLANK(_xlpm.val)),_xlfn.LET(_xlpm.items, _xlfn.TEXTSPLIT(_xlpm.val, ";"),_xlpm.trimmed, _xlfn.MAP(_xlpm.items, _xlfn.LAMBDA(_xlpm.x, TRIM(_xlpm.x))),_xlpm.invalid, _xlfn._xlws.FILTER(_xlpm.trimmed, ISNA(MATCH(_xlpm.trimmed, allowedpropSixtyFive__toxicity, 0)), ""),IF(AND(_xlpm.invalid&lt;&gt;"", COUNTA(_xlpm.invalid)&gt;0),"1:Please select valid values from the provided list. Answers are case-sensitive and must be separated by a semicolon.","")), ""), IF(LEN(_xlpm.check1) &gt; 0, _xlpm.check1, _xlfn.LET(_xlpm.check2, IF(AND(_xlpm.val = "", CR$3="Required"), IF(OR('6161 - Wallpaper'!CR$7 = "", '6161 - Wallpaper'!CR$7 = "N/A"), "3:Toxicity - Value is required", ""), ""), IF(LEN(_xlpm.check2) &gt; 0, _xlpm.check2, _xlfn.LET(_xlpm.check3, IF(_xlpm.dep1 &lt;&gt; "", IF(_xlpm.val = "", IF(OR('6161 - Wallpaper'!CR$7 = "", '6161 - Wallpaper'!CR$7 = "N/A"), "3:Please select a toxicity from the provided dropdown", ""), ""), ""), IF(LEN(_xlpm.check3) &gt; 0, _xlpm.check3, IF(_xlpm.dep2 = "Yes", IF(_xlpm.val = "", IF(OR('6161 - Wallpaper'!CR$7 = "", '6161 - Wallpaper'!CR$7 = "N/A"), "3:If a warning is required, then a chemical must also be provided", ""), ""), ""))))))))))</f>
        <v>0</v>
      </c>
      <c r="CS8" s="22" cm="1">
        <f t="array" ref="CS8">_xlfn.MAP('6161 - Wallpaper'!B8:B507, '6161 - Wallpaper'!CS8:CS507, '6161 - Wallpaper'!J8:J507, _xlfn.LAMBDA(_xlpm.part, _xlpm.val, _xlpm.dep1, IF(_xlpm.part = "", "", _xlfn.LET(_xlpm.check1, IF(AND(_xlpm.val = "", _xlpm.dep1 = "NON-PRIMARY VARIANT"), "2:Autofill", ""), IF(LEN(_xlpm.check1) &gt; 0, _xlpm.check1, IF(AND(_xlpm.val = "", CS$3="Required"), IF(OR('6161 - Wallpaper'!CS$7 = "", '6161 - Wallpaper'!CS$7 = "N/A"), "3:Country Of Manufacturer - Value is required", ""), ""))))))</f>
        <v>0</v>
      </c>
    </row>
  </sheetData>
  <sheetProtection password="FB4D" sheet="1" objects="1" scenarios="1"/>
  <mergeCells count="9">
    <mergeCell ref="B2:I2"/>
    <mergeCell ref="J2:Q2"/>
    <mergeCell ref="R2:U2"/>
    <mergeCell ref="V2:AA2"/>
    <mergeCell ref="AB2:AL2"/>
    <mergeCell ref="AM2:AP2"/>
    <mergeCell ref="AQ2:BH2"/>
    <mergeCell ref="BI2:CO2"/>
    <mergeCell ref="CP2:CS2"/>
  </mergeCells>
  <dataValidations count="77">
    <dataValidation type="list" allowBlank="1" showInputMessage="1" showErrorMessage="1" errorTitle="Invalid Brand" error="The value provided is not a valid Brand." promptTitle="" prompt="If all products in this class consistently have the same answer, you can set a default value to apply automatically. For any exceptions, you can modify the answer for specific products without changing the default." sqref="D7">
      <formula1>'WAYFAIR_USE_ONLY'!$O$7:$O8</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H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S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T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U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V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W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X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Y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Z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A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B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C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D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E7">
      <formula1>32767</formula1>
    </dataValidation>
    <dataValidation type="list" allowBlank="1" showInputMessage="1" showErrorMessage="1" errorTitle="Invalid Ship Type" error="The value provided is not a valid Ship Type." promptTitle="" prompt="If all products in this class consistently have the same answer, you can set a default value to apply automatically. For any exceptions, you can modify the answer for specific products without changing the default." sqref="AF7">
      <formula1>'WAYFAIR_USE_ONLY'!$T$7:$T9</formula1>
    </dataValidation>
    <dataValidation type="list" allowBlank="1" showInputMessage="1" showErrorMessage="1" errorTitle="Invalid Freight Class" error="The value provided is not a valid Freight Class." promptTitle="" prompt="If all products in this class consistently have the same answer, you can set a default value to apply automatically. For any exceptions, you can modify the answer for specific products without changing the default." sqref="AG7">
      <formula1>'WAYFAIR_USE_ONLY'!$U$7:$U25</formula1>
    </dataValidation>
    <dataValidation type="list" allowBlank="1" showInputMessage="1" showErrorMessage="1" errorTitle="Invalid Lead Time" error="The value provided is not a valid Lead Time." promptTitle="" prompt="If all products in this class consistently have the same answer, you can set a default value to apply automatically. For any exceptions, you can modify the answer for specific products without changing the default." sqref="AH7">
      <formula1>'WAYFAIR_USE_ONLY'!$V$7:$V24</formula1>
    </dataValidation>
    <dataValidation type="list" allowBlank="1" showInputMessage="1" showErrorMessage="1" errorTitle="Invalid Replacement Lead Time" error="The value provided is not a valid Replacement Lead Time." promptTitle="" prompt="If all products in this class consistently have the same answer, you can set a default value to apply automatically. For any exceptions, you can modify the answer for specific products without changing the default." sqref="AI7">
      <formula1>'WAYFAIR_USE_ONLY'!$W$7:$W13</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J7">
      <formula1>32767</formula1>
    </dataValidation>
    <dataValidation type="list" allowBlank="1" showInputMessage="1" showErrorMessage="1" errorTitle="Invalid Flat Pack" error="The value provided is not a valid Flat Pack." promptTitle="" prompt="If all products in this class consistently have the same answer, you can set a default value to apply automatically. For any exceptions, you can modify the answer for specific products without changing the default." sqref="AK7">
      <formula1>'WAYFAIR_USE_ONLY'!$X$7:$X9</formula1>
    </dataValidation>
    <dataValidation type="list" allowBlank="1" showInputMessage="1" showErrorMessage="1" errorTitle="Invalid Ship Palletized" error="The value provided is not a valid Ship Palletized." promptTitle="" prompt="If all products in this class consistently have the same answer, you can set a default value to apply automatically. For any exceptions, you can modify the answer for specific products without changing the default." sqref="AL7">
      <formula1>'WAYFAIR_USE_ONLY'!$Y$7:$Y9</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M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N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O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P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W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Y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AZ7">
      <formula1>'WAYFAIR_USE_ONLY'!$P$7:$P11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A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C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D7">
      <formula1>'WAYFAIR_USE_ONLY'!$P$7:$P11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E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F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G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H7">
      <formula1>'WAYFAIR_USE_ONLY'!$P$7:$P11</formula1>
    </dataValidation>
    <dataValidation type="list" allowBlank="1" showInputMessage="1" showErrorMessage="1" errorTitle="Invalid Product Type" error="The value provided is not a valid Product Type." promptTitle="" prompt="If all products in this class consistently have the same answer, you can set a default value to apply automatically. For any exceptions, you can modify the answer for specific products without changing the default." sqref="BI7">
      <formula1>'WAYFAIR_USE_ONLY'!$AB$7:$AB15</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J7"/>
    <dataValidation type="list" errorStyle="warning" allowBlank="1" showInputMessage="1" showErrorMessage="1" errorTitle="Invalid Wallpaper Texture" error="The value provided is not a valid Wallpaper Texture. Would you like to provide a custom answer?" promptTitle="" prompt="If all products in this class consistently have the same answer, you can set a default value to apply automatically. For any exceptions, you can modify the answer for specific products without changing the default." sqref="BK7">
      <formula1>'WAYFAIR_USE_ONLY'!$AC$7:$AC13</formula1>
    </dataValidation>
    <dataValidation type="list" errorStyle="warning" allowBlank="1" showInputMessage="1" showErrorMessage="1" errorTitle="Invalid Application Type" error="The value provided is not a valid Application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L7">
      <formula1>'WAYFAIR_USE_ONLY'!$AD$7:$AD12</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M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N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O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P7"/>
    <dataValidation type="list" allowBlank="1" showInputMessage="1" showErrorMessage="1" errorTitle="Invalid BPA Free" error="The value provided is not a valid BPA Free." promptTitle="" prompt="If all products in this class consistently have the same answer, you can set a default value to apply automatically. For any exceptions, you can modify the answer for specific products without changing the default." sqref="BQ7">
      <formula1>'WAYFAIR_USE_ONLY'!$AE$7:$AE11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R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S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T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U7"/>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BV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W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Y7"/>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BZ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A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C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D7"/>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E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F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G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H7">
      <formula1>32767</formula1>
    </dataValidation>
    <dataValidation type="list" allowBlank="1" showInputMessage="1" showErrorMessage="1" errorTitle="Invalid Commercial Warranty" error="The value provided is not a valid Commercial Warranty." promptTitle="" prompt="If all products in this class consistently have the same answer, you can set a default value to apply automatically. For any exceptions, you can modify the answer for specific products without changing the default." sqref="CI7">
      <formula1>'WAYFAIR_USE_ONLY'!$AG$7:$AG10</formula1>
    </dataValidation>
    <dataValidation allowBlank="1" showInputMessage="1" showErrorMessage="1" promptTitle="Class Specific Child Question" prompt="This Question is directly related to the tag &quot;Commercial Warranty Your answer to the related question may influence which answers are accepted here." sqref="CJ4"/>
    <dataValidation type="list" allowBlank="1" showInputMessage="1" showErrorMessage="1" errorTitle="Invalid Commercial Warranty Leng" error="The value provided is not a valid Commercial Warranty Length." promptTitle="" prompt="If all products in this class consistently have the same answer, you can set a default value to apply automatically. For any exceptions, you can modify the answer for specific products without changing the default." sqref="CJ7">
      <formula1>'WAYFAIR_USE_ONLY'!$AF$7:$AF32</formula1>
    </dataValidation>
    <dataValidation type="list" allowBlank="1" showInputMessage="1" showErrorMessage="1" errorTitle="Invalid Wayfair Compliance Verif" error="The value provided is not a valid Wayfair Compliance Verified Program (including Baby Safety Alliance fka JPMA) for this product category." promptTitle="" prompt="If all products in this class consistently have the same answer, you can set a default value to apply automatically. For any exceptions, you can modify the answer for specific products without changing the default." sqref="CK7">
      <formula1>'WAYFAIR_USE_ONLY'!$AH$7:$AH9</formula1>
    </dataValidation>
    <dataValidation type="list" allowBlank="1" showInputMessage="1" showErrorMessage="1" errorTitle="Invalid Uniform Packaging and La" error="The value provided is not a valid Uniform Packaging and Labeling Regulations (UPLR) Compliant." promptTitle="" prompt="If all products in this class consistently have the same answer, you can set a default value to apply automatically. For any exceptions, you can modify the answer for specific products without changing the default." sqref="CL7">
      <formula1>'WAYFAIR_USE_ONLY'!$AI$7:$AI9</formula1>
    </dataValidation>
    <dataValidation type="list" allowBlank="1" showInputMessage="1" showErrorMessage="1" errorTitle="Invalid Canada Product Restricti" error="The value provided is not a valid Canada Product Restriction." promptTitle="" prompt="If all products in this class consistently have the same answer, you can set a default value to apply automatically. For any exceptions, you can modify the answer for specific products without changing the default." sqref="CM7">
      <formula1>'WAYFAIR_USE_ONLY'!$AJ$7:$AJ9</formula1>
    </dataValidation>
    <dataValidation allowBlank="1" showInputMessage="1" showErrorMessage="1" promptTitle="Class Specific Child Question" prompt="This Question is directly related to the tag &quot;Canada Product Restriction Your answer to the related question may influence which answers are accepted here." sqref="CN4"/>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N7"/>
    <dataValidation type="list" allowBlank="1" showInputMessage="1" showErrorMessage="1" errorTitle="Invalid Sustainability &amp; Social " error="The value provided is not a valid Sustainability &amp; Social Responsibility Certifications (North America Only)." promptTitle="" prompt="If all products in this class consistently have the same answer, you can set a default value to apply automatically. For any exceptions, you can modify the answer for specific products without changing the default." sqref="CO7">
      <formula1>'WAYFAIR_USE_ONLY'!$AK$7:$AK10</formula1>
    </dataValidation>
    <dataValidation type="list" allowBlank="1" showInputMessage="1" showErrorMessage="1" errorTitle="Invalid Warning Required" error="The value provided is not a valid Warning Required." promptTitle="" prompt="If all products in this class consistently have the same answer, you can set a default value to apply automatically. For any exceptions, you can modify the answer for specific products without changing the default." sqref="CP7">
      <formula1>'WAYFAIR_USE_ONLY'!$Q$7:$Q9</formula1>
    </dataValidation>
    <dataValidation type="list" allowBlank="1" showInputMessage="1" showErrorMessage="1" errorTitle="Invalid Chemical" error="The value provided is not a valid Chemical." promptTitle="" prompt="If all products in this class consistently have the same answer, you can set a default value to apply automatically. For any exceptions, you can modify the answer for specific products without changing the default." sqref="CQ7">
      <formula1>'WAYFAIR_USE_ONLY'!$R$7:$R908</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R7"/>
    <dataValidation type="list" allowBlank="1" showInputMessage="1" showErrorMessage="1" errorTitle="Invalid Country Of Manufacturer" error="The value provided is not a valid Country Of Manufacturer." promptTitle="" prompt="If all products in this class consistently have the same answer, you can set a default value to apply automatically. For any exceptions, you can modify the answer for specific products without changing the default." sqref="CS7">
      <formula1>'WAYFAIR_USE_ONLY'!$S$7:$S254</formula1>
    </dataValidation>
  </dataValidations>
  <hyperlinks>
    <hyperlink ref="D6" location="'Valid Values'!A1" display="Select"/>
    <hyperlink ref="J6" location="'Valid Values'!B1" display="Select"/>
    <hyperlink ref="L6" location="'Valid Values'!D1" display="Select"/>
    <hyperlink ref="N6" location="'Valid Values'!D1" display="Select"/>
    <hyperlink ref="P6" location="'Valid Values'!D1" display="Select"/>
    <hyperlink ref="AF6" location="'Valid Values'!E1" display="Select"/>
    <hyperlink ref="AG6" location="'Valid Values'!F1" display="Select"/>
    <hyperlink ref="AH6" location="'Valid Values'!G1" display="Select"/>
    <hyperlink ref="AI6" location="'Valid Values'!H1" display="Select"/>
    <hyperlink ref="AX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AY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AZ6" location="'Valid Values'!K1" display="Select"/>
    <hyperlink ref="BB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C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D6" location="'Valid Values'!K1" display="Select"/>
    <hyperlink ref="BF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G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H6" location="'Valid Values'!K1" display="Select"/>
    <hyperlink ref="BI6" location="'Valid Values'!AJ1" display="Select"/>
    <hyperlink ref="BJ6" location="'Valid Values'!AK1" display="Please choose one or more from the following, using a semicolon (;) to separate each value: Striped; Plaid; Chevron; Damask; Paisley; Geometric; Abstract; Gingham; Animal Print; Camouflage; Polka Dots; Ikat; Houndstooth; Toile; Patchwork; Ombre; Checkered; Floral; Argyle; Solid Color; No Pattern; Trellis; Dots; Starburst; Geometric Shapes; Marble; Brick; Irish Chain; Wood &amp; Shiplap; Chevron / Zig Zag; Clear; Stone; Drunkard's Path; Moroccan; Oriental; Block Print; Arc; Vintage Look; Does Not Apply"/>
    <hyperlink ref="BK6" location="'Valid Values'!AL1" display="Select"/>
    <hyperlink ref="BL6" location="'Valid Values'!AM1" display="Select"/>
    <hyperlink ref="BM6" location="'Valid Values'!AN1" display="Please choose one or more from the following, using a semicolon (;) to separate each value: Drop; Straight; Random; Unavailable; Does Not Apply"/>
    <hyperlink ref="BN6" location="'Valid Values'!AO1" display="Please choose one or more from the following, using a semicolon (;) to separate each value: Peelable; Strippable; Solution Required; Unavailable; Does Not Apply"/>
    <hyperlink ref="BO6" location="'Valid Values'!AP1" display="Please choose one or more from the following, using a semicolon (;) to separate each value: Made in USA; Made in USA of Imported Materials; Product of Canada; Made In Canada; Does Not Apply"/>
    <hyperlink ref="BP6" location="'Valid Values'!AQ1" display="Please choose one or more from the following, using a semicolon (;) to separate each value: Non Residential Use; Residential Use"/>
    <hyperlink ref="BR6" location="'Valid Values'!AR1" display="Please choose one or more from the following, using a semicolon (;) to separate each value: Mold / Mildew Resistant; Water Resistant; No Durability Features; Drip Free; Fade Resistant; Heat Resistant; Stain Resistant; Reinforced; Non-Porous; Fray Resistant; Non-Staining"/>
    <hyperlink ref="BS6" location="'Valid Values'!AS1" display="Please choose one or more from the following, using a semicolon (;) to separate each value: Achille Castiglioni; Alfredo Llorens; Becky Bailey; Badeloft; Alain Van Havre; Bannoura; Ann Gish; Ambesonne; Alberto Tabellini &amp; David Reiss; Andres Martinez; Allison Paladino; AERIN; Alexa Hampton; Antonio Citterio; BergHOFF; Ardmore; Arnold Krog; Bruno Marashlian; Carol Benson-Cobb; Campania International; Debra Ann of Atomic Mobiles; ARTCANVAS; Karen Didion; Maceteros; Rosiland Solomon; Ysnay; Ashley Norton; University frames; Ashley Helms; B2U; Artwall; Aviva Stanoff; ArtVerse; Artorang; ACROMA; Barrow Industries; Barclay Butera; Aqua Gallery; Barrow Fabric; Barbara Barry; Aston; Barry Goralnick; Barbara and James Restin; Arshs Fine Rugs; Brightech; C.L.L Collections; Bunny Williams; Busalt Design; Candice Olson; Betsy Drake Interiors; Bhawna's Fusion; Capital Lighting Fixture Co.; Booth &amp; Williams; Berbermade; Caroline's Treasures; Christian Lacroix; Chic Teak; Chapman &amp; Myers; ChiChi Decor; Celerie Kemble; ChildBeWild; Casa Fine Arts; Bespoky Rugs; Dawn Sweitzer; Dana Gibson; David Chipperfield; Darren Gygi; Creative Matters Inc.; Dana McMillan; Danielle Davis; David Phoenix; Christopher Fareed; E by Design; COXBRIGHT; Coe Steinwart; DreamLine; Daphne Polselli; Diane Beesley; Denny Knight; Diane Keaton; echo; Ebros Gift; EGLO; Duravit; Eleonora Ferragatta; E. F. Chapman; Elaine Smith; East West Furniture; iCanvas; Empava; Ernest Massuet; James Restin; Enrico Lavazzi; Ella's Bubbles; Emissary; Jaime Hayon; Evergreen; Jean-Marie Massaud; J Paul; Jennifer Hollack Raboin; Javier Mariscal; Jasper Morrison; James Brooksberry; Jamie Graney; J. Kent Martin; Jonathan Adler; Jennifer Ridel; Jose Javier Malavia; John Beard; JMV; Jordan Glassco Smith; Europatex; Jorge Pensi; Jose Luis Santes; John Strauss/Carisa Marie; Jose Maria Reina; Ettore Sottsass; Enrico Cosi &amp; Sergio Tabellini; Eugeni Quitllet; Jose Santaeulalia; Jessica Hollander; JoyJolt; Jim and Phoebe Howard; Julia Knight; Kelly Wearstler; Laura Park; Kurt Merki Jr.; Karin Reiter; Karo Martirosyan"/>
    <hyperlink ref="BT6" location="'Valid Values'!AT1" display="Please choose one or more from the following, using a semicolon (;) to separate each value: Hand wash recommended; Spot clean only; Clean with soap and water; Clean spills immediately; Non-Abrasive, Neutral Ph Cleaner; Vacuum with no beater bar/rotating brush; Professional / Dry Clean Recommended; Vacuum with upholstery attachment; Use product specific cleaner; Wipe clean with a dry cloth; Avoid use of abrasive cleaners; Do not wash; Dust mop; Hose down; Spot clean; Wipe with wet cloth; Spot clean with water; No washing / drying care; Do not bleach; After cleaning, use sealant; Vacuum; Avoid direct sunlight; Clean with cloth, mild soap, and warm water; Spot clean with mild detergent; Spot clean as needed; Do not use any cleaning agents; Machine wash; Dry clean recommended; Use dry, solvent-based cleaner; Wipe down with mild soap and water; Wipe with cloth; Wipe Clean Only; Hand Wash Only - Towel Dry Immediately; Wipe clean with a damp cloth; Does Not Apply"/>
    <hyperlink ref="BU6" location="'Valid Values'!AU1" display="Please choose one or more from the following, using a semicolon (;) to separate each value: Blue; Black; Brown; Red; Beige; Yellow; Pink; Purple; Gold; White; Ivory; Tan; Teal; Navy; Orange; Silver; Gray; Green; Cream; Clear"/>
    <hyperlink ref="BW6" location="'Valid Values'!AV1" display="Please choose one or more from the following, using a semicolon (;) to separate each value: Acacia; Alder; Ash; Bamboo; Beech; Birch; Camphor; Cedar; Cherry; Elm; Eucalyptus; Fir; Hickory; Mahogany; Mango; Maple; Oak; Pine; Poplar; Rosewood; Rubberwood; Sheesham; Spruce; Teak; Walnut; Wenge; Pecan; Shorea; Paulownia; Chestnut; Hemlock; Aspen; Mindi; Ipe; Olive; Ajo; Agarwood; Afzelia; Afrormosia; Bubinga; Brazilwood; Cumaru; Cedar, Mulanje; Cedar, Spanish; Aloewood; Lignum vitae; Mahogany, African; Mahogany, Mexican; Padauk, African; Macacauba; Ebony, Madagascar; Lignum vitae, Argentine; Gavilan; Mahogany, Honduran; Mahogany, Cuban; Stinkwood, red; Yew, Chinese; Pau rosa, Brazilian; Sandalwood, East African; Ramin; Zitan; Yew, Himalayan; Yew, Japanese; Rosewood, Siamese; Yew, Taiwan; Burlwood; Platane Wood; Sungkai; Does Not Apply"/>
    <hyperlink ref="BX6" location="'Valid Values'!AW1" display="Please choose one or more from the following, using a semicolon (;) to separate each value: MLB Atlanta Braves; MLB Chicago Cubs; MLB Arizona Diamondbacks; MLB Baltimore Orioles; MLB Kansas City Royals; MLB Boston Red Sox; MLB Milwaukee Brewers; MLB Detroit Tigers; MLB Cincinnati Reds; MLB Los Angeles Dodgers; MLB Colorado Rockies; MLB Chicago White Sox; MLB Houston Astros; MLB Miami Marlins; MLB Minnesota Twins; MLB Philadelphia Phillies; NBA New York Knicks; NHL Edmonton Oilers; MLB Los Angeles Angels; MLB New York Mets; MLB New York Yankees; MLB Pittsburgh Pirates; MLB San Diego Padres; MLB San Francisco Giants; NHL Los Angeles Kings; NHL Pittsburgh Penguins; MLB Seattle Mariners; MLB Cleveland Guardians; MLB Tampa Bay Rays; MLB Toronto Blue Jays; MLB Washington Nationals; NBA Boston Celtics; NBA Charlotte Hornets; NBA Denver Nuggets; NBA Golden State Warriors; NFL Houston Texans; NFL Baltimore Ravens; NBA Detroit Pistons; NBA Cleveland Cavaliers; NBA Houston Rockets; NBA Atlanta Hawks; NHL Washington Capitals; NBA Los Angeles Clippers; NBA Minnesota Timberwolves; NBA Brooklyn Nets; NBA Sacramento Kings; NBA Washington Wizards; NBA San Antonio Spurs; NHL Calgary Flames; NHL Carolina Hurricanes; NBA Indiana Pacers; NBA New Orleans Pelicans; NFL New York Giants; NBA Memphis Grizzlies; MLB Oakland Athletics; NHL Detroit Red Wings; NHL Colorado Avalanche; NHL New York Islanders; NBA Chicago Bulls; NBA Utah Jazz; NBA Philadelphia 76ers; NBA Milwaukee Bucks; NBA Miami Heat; NBA Oklahoma City Thunder; NBA Orlando Magic; NHL Montreal Canadiens; NHL Vancouver Canucks; NHL San Jose Sharks; NHL Arizona Coyotes; NHL Winnipeg Jets; NHL Buffalo Sabres; NHL Boston Bruins; NHL Vegas Golden Knights; NFL Buffalo Bills; NBA Toronto Raptors; NFL Arizona Cardinals; MLB Texas Rangers; NFL Cincinnati Bengals; NFL Carolina Panthers; NFL Detroit Lions; NFL Atlanta Falcons; NFL Green Bay Packers; NFL Denver Broncos; NFL Miami Dolphins; NFL Jacksonville Jaguars; NHL Dallas Stars; NFL Kansas City Chiefs; NHL Florida Panthers; NHL Minnesota Wild; NBA Phoenix Suns; NFL "/>
    <hyperlink ref="BY6" location="'Valid Values'!AX1" display="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hyperlink ref="CA6" location="'Valid Values'!AY1" display="Please choose one or more from the following, using a semicolon (;) to separate each value: Breathable; Dual Sided; Paintable / Stainable"/>
    <hyperlink ref="CB6" location="'Valid Values'!AZ1" display="Please choose one or more from the following, using a semicolon (;) to separate each value: Aluminum; Cast Iron; Fabric; Paper; Plastic; PVC; Steel; Vinyl; Wood; Fleece; Grass Cloth; MDF; Non-Woven; Particle Board / Chipboard; Plywood / Laminate Board"/>
    <hyperlink ref="CC6" location="'Valid Values'!BA1" display="Please choose one or more from the following, using a semicolon (;) to separate each value: Newborn (Birth - 6 months old); Infant (6 - 12 Months); Toddler (1 - 3 Years); Pre-school (3 - 5 Years); Youth (5 - 8 Years); Pre-teen (9 - 12 Years); Teen (13+); Adult (18+); All Ages; Adult; Baby; Kid; Teen; Toddler; Unavailable"/>
    <hyperlink ref="CD6" location="'Valid Values'!BB1" display="Please choose one or more from the following, using a semicolon (;) to separate each value: Satin; Gloss; Rubber Coated; Neoprene Dipped; Distressed; Glitter / Shimmer; Low-Gloss; Matte; Metallic; Primed; Semi Gloss"/>
    <hyperlink ref="CJ6" location="'Valid Values'!BC1" display="Select"/>
    <hyperlink ref="CK6" location="'Valid Values'!BD1" display="Select"/>
    <hyperlink ref="CL6" location="'Valid Values'!BE1" display="Select"/>
    <hyperlink ref="CN6" location="'Valid Values'!BF1" display="Please choose one or more from the following, using a semicolon (;) to separate each value: Dual Language; Distribution Conflict; Logistics; Does Not Apply"/>
    <hyperlink ref="CQ6" location="'Valid Values'!AG1" display="Select"/>
    <hyperlink ref="CR6" location="'Valid Values'!AH1" display="Please choose one or more from the following, using a semicolon (;) to separate each value: Cancer; Developmental"/>
    <hyperlink ref="CS6" location="'Valid Values'!AI1" display="Select"/>
  </hyperlink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dimension ref="A1:CS8"/>
  <sheetViews>
    <sheetView workbookViewId="0"/>
  </sheetViews>
  <sheetFormatPr defaultRowHeight="15"/>
  <cols>
    <col min="2" max="2" width="25.7109375" style="22" customWidth="1"/>
    <col min="3" max="3" width="22.7109375" style="22" customWidth="1"/>
    <col min="4" max="4" width="10.7109375" style="22" customWidth="1"/>
    <col min="5" max="5" width="29.7109375" style="22" customWidth="1"/>
    <col min="6" max="6" width="27.7109375" style="22" customWidth="1"/>
    <col min="7" max="7" width="17.7109375" style="22" customWidth="1"/>
    <col min="8" max="8" width="20.7109375" style="22" customWidth="1"/>
    <col min="9" max="9" width="29.7109375" style="22" customWidth="1"/>
    <col min="10" max="10" width="17.7109375" style="22" customWidth="1"/>
    <col min="11" max="12" width="23.7109375" style="22" customWidth="1"/>
    <col min="13" max="13" width="37.7109375" style="22" customWidth="1"/>
    <col min="14" max="14" width="23.7109375" style="22" customWidth="1"/>
    <col min="15" max="15" width="37.7109375" style="22" customWidth="1"/>
    <col min="16" max="16" width="23.7109375" style="22" customWidth="1"/>
    <col min="17" max="17" width="37.7109375" style="22" customWidth="1"/>
    <col min="18" max="18" width="14.7109375" style="22" customWidth="1"/>
    <col min="19" max="19" width="29.7109375" style="22" customWidth="1"/>
    <col min="20" max="20" width="40.7109375" style="22" customWidth="1"/>
    <col min="21" max="21" width="31.7109375" style="22" customWidth="1"/>
    <col min="22" max="22" width="19.7109375" style="22" customWidth="1"/>
    <col min="23" max="27" width="21.7109375" style="22" customWidth="1"/>
    <col min="28" max="28" width="27.7109375" style="22" customWidth="1"/>
    <col min="29" max="29" width="30.7109375" style="22" customWidth="1"/>
    <col min="30" max="30" width="25.7109375" style="22" customWidth="1"/>
    <col min="31" max="31" width="19.7109375" style="22" customWidth="1"/>
    <col min="32" max="32" width="14.7109375" style="22" customWidth="1"/>
    <col min="33" max="33" width="18.7109375" style="22" customWidth="1"/>
    <col min="34" max="34" width="14.7109375" style="22" customWidth="1"/>
    <col min="35" max="35" width="26.7109375" style="22" customWidth="1"/>
    <col min="36" max="36" width="33.7109375" style="22" customWidth="1"/>
    <col min="37" max="37" width="14.7109375" style="22" customWidth="1"/>
    <col min="38" max="40" width="20.7109375" style="22" customWidth="1"/>
    <col min="41" max="42" width="19.7109375" style="22" customWidth="1"/>
    <col min="43" max="48" width="29.7109375" style="22" customWidth="1"/>
    <col min="49" max="49" width="32.7109375" style="22" customWidth="1"/>
    <col min="50" max="50" width="20.7109375" style="22" customWidth="1"/>
    <col min="51" max="51" width="26.7109375" style="22" customWidth="1"/>
    <col min="52" max="52" width="22.7109375" style="22" customWidth="1"/>
    <col min="53" max="53" width="32.7109375" style="22" customWidth="1"/>
    <col min="54" max="54" width="20.7109375" style="22" customWidth="1"/>
    <col min="55" max="55" width="26.7109375" style="22" customWidth="1"/>
    <col min="56" max="56" width="22.7109375" style="22" customWidth="1"/>
    <col min="57" max="57" width="32.7109375" style="22" customWidth="1"/>
    <col min="58" max="58" width="20.7109375" style="22" customWidth="1"/>
    <col min="59" max="59" width="26.7109375" style="22" customWidth="1"/>
    <col min="60" max="60" width="22.7109375" style="22" customWidth="1"/>
    <col min="61" max="61" width="17.7109375" style="22" customWidth="1"/>
    <col min="62" max="62" width="12.7109375" style="22" customWidth="1"/>
    <col min="63" max="63" width="22.7109375" style="22" customWidth="1"/>
    <col min="64" max="64" width="21.7109375" style="22" customWidth="1"/>
    <col min="65" max="65" width="15.7109375" style="22" customWidth="1"/>
    <col min="66" max="66" width="17.7109375" style="22" customWidth="1"/>
    <col min="67" max="67" width="43.7109375" style="22" customWidth="1"/>
    <col min="68" max="68" width="39.7109375" style="22" customWidth="1"/>
    <col min="69" max="69" width="13.7109375" style="22" customWidth="1"/>
    <col min="70" max="70" width="15.7109375" style="22" customWidth="1"/>
    <col min="71" max="71" width="13.7109375" style="22" customWidth="1"/>
    <col min="72" max="72" width="17.7109375" style="22" customWidth="1"/>
    <col min="73" max="73" width="10.7109375" style="22" customWidth="1"/>
    <col min="74" max="74" width="29.7109375" style="22" customWidth="1"/>
    <col min="75" max="75" width="17.7109375" style="22" customWidth="1"/>
    <col min="76" max="76" width="21.7109375" style="22" customWidth="1"/>
    <col min="77" max="77" width="29.7109375" style="22" customWidth="1"/>
    <col min="78" max="79" width="21.7109375" style="22" customWidth="1"/>
    <col min="80" max="80" width="13.7109375" style="22" customWidth="1"/>
    <col min="81" max="81" width="14.7109375" style="22" customWidth="1"/>
    <col min="82" max="82" width="11.7109375" style="22" customWidth="1"/>
    <col min="83" max="83" width="40.7109375" style="22" customWidth="1"/>
    <col min="84" max="84" width="33.7109375" style="22" customWidth="1"/>
    <col min="85" max="85" width="28.7109375" style="22" customWidth="1"/>
    <col min="86" max="86" width="27.7109375" style="22" customWidth="1"/>
    <col min="87" max="87" width="24.7109375" style="22" customWidth="1"/>
    <col min="88" max="88" width="31.7109375" style="22" customWidth="1"/>
    <col min="89" max="89" width="108.7109375" style="22" customWidth="1"/>
    <col min="90" max="90" width="64.7109375" style="22" customWidth="1"/>
    <col min="91" max="91" width="31.7109375" style="22" customWidth="1"/>
    <col min="92" max="92" width="27.7109375" style="22" customWidth="1"/>
    <col min="93" max="93" width="79.7109375" style="22" customWidth="1"/>
    <col min="94" max="94" width="21.7109375" style="22" customWidth="1"/>
    <col min="95" max="96" width="15.7109375" style="22" customWidth="1"/>
    <col min="97" max="97" width="28.7109375" style="22" customWidth="1"/>
  </cols>
  <sheetData>
    <row r="1" spans="1:97" hidden="1">
      <c r="B1" s="22" t="s">
        <v>2221</v>
      </c>
      <c r="C1" s="22" t="s">
        <v>2225</v>
      </c>
      <c r="D1" s="22" t="s">
        <v>2229</v>
      </c>
      <c r="E1" s="22" t="s">
        <v>2233</v>
      </c>
      <c r="F1" s="22" t="s">
        <v>2236</v>
      </c>
      <c r="G1" s="22" t="s">
        <v>2239</v>
      </c>
      <c r="H1" s="22" t="s">
        <v>2242</v>
      </c>
      <c r="I1" s="22" t="s">
        <v>2245</v>
      </c>
      <c r="J1" s="22" t="s">
        <v>2248</v>
      </c>
      <c r="K1" s="22" t="s">
        <v>2251</v>
      </c>
      <c r="L1" s="22" t="s">
        <v>2254</v>
      </c>
      <c r="M1" s="22" t="s">
        <v>2257</v>
      </c>
      <c r="N1" s="22" t="s">
        <v>2254</v>
      </c>
      <c r="O1" s="22" t="s">
        <v>2257</v>
      </c>
      <c r="P1" s="22" t="s">
        <v>2254</v>
      </c>
      <c r="Q1" s="22" t="s">
        <v>2257</v>
      </c>
      <c r="R1" s="22" t="s">
        <v>2264</v>
      </c>
      <c r="S1" s="22" t="s">
        <v>2268</v>
      </c>
      <c r="T1" s="22" t="s">
        <v>2271</v>
      </c>
      <c r="U1" s="22" t="s">
        <v>2274</v>
      </c>
      <c r="V1" s="22" t="s">
        <v>2277</v>
      </c>
      <c r="W1" s="22" t="s">
        <v>2280</v>
      </c>
      <c r="X1" s="22" t="s">
        <v>2280</v>
      </c>
      <c r="Y1" s="22" t="s">
        <v>2280</v>
      </c>
      <c r="Z1" s="22" t="s">
        <v>2280</v>
      </c>
      <c r="AA1" s="22" t="s">
        <v>2280</v>
      </c>
      <c r="AB1" s="22" t="s">
        <v>2287</v>
      </c>
      <c r="AC1" s="22" t="s">
        <v>2291</v>
      </c>
      <c r="AD1" s="22" t="s">
        <v>2294</v>
      </c>
      <c r="AE1" s="22" t="s">
        <v>2297</v>
      </c>
      <c r="AF1" s="22" t="s">
        <v>2300</v>
      </c>
      <c r="AG1" s="22" t="s">
        <v>2303</v>
      </c>
      <c r="AH1" s="22" t="s">
        <v>2306</v>
      </c>
      <c r="AI1" s="22" t="s">
        <v>2309</v>
      </c>
      <c r="AJ1" s="22" t="s">
        <v>2312</v>
      </c>
      <c r="AK1" s="22" t="s">
        <v>2315</v>
      </c>
      <c r="AL1" s="22" t="s">
        <v>2318</v>
      </c>
      <c r="AM1" s="22" t="s">
        <v>2321</v>
      </c>
      <c r="AN1" s="22" t="s">
        <v>2324</v>
      </c>
      <c r="AO1" s="22" t="s">
        <v>2327</v>
      </c>
      <c r="AP1" s="22" t="s">
        <v>2330</v>
      </c>
      <c r="AQ1" s="22" t="s">
        <v>2333</v>
      </c>
      <c r="AR1" s="22" t="s">
        <v>2333</v>
      </c>
      <c r="AS1" s="22" t="s">
        <v>2333</v>
      </c>
      <c r="AT1" s="22" t="s">
        <v>2333</v>
      </c>
      <c r="AU1" s="22" t="s">
        <v>2333</v>
      </c>
      <c r="AV1" s="22" t="s">
        <v>2340</v>
      </c>
      <c r="AW1" s="22" t="s">
        <v>2343</v>
      </c>
      <c r="AX1" s="22" t="s">
        <v>2346</v>
      </c>
      <c r="AY1" s="22" t="s">
        <v>2350</v>
      </c>
      <c r="AZ1" s="22" t="s">
        <v>2354</v>
      </c>
      <c r="BA1" s="22" t="s">
        <v>2343</v>
      </c>
      <c r="BB1" s="22" t="s">
        <v>2346</v>
      </c>
      <c r="BC1" s="22" t="s">
        <v>2350</v>
      </c>
      <c r="BD1" s="22" t="s">
        <v>2354</v>
      </c>
      <c r="BE1" s="22" t="s">
        <v>2343</v>
      </c>
      <c r="BF1" s="22" t="s">
        <v>2346</v>
      </c>
      <c r="BG1" s="22" t="s">
        <v>2350</v>
      </c>
      <c r="BH1" s="22" t="s">
        <v>2354</v>
      </c>
      <c r="BI1" s="22" t="s">
        <v>2486</v>
      </c>
      <c r="BJ1" s="22" t="s">
        <v>2487</v>
      </c>
      <c r="BK1" s="22" t="s">
        <v>2491</v>
      </c>
      <c r="BL1" s="22" t="s">
        <v>2494</v>
      </c>
      <c r="BM1" s="22" t="s">
        <v>2497</v>
      </c>
      <c r="BN1" s="22" t="s">
        <v>2501</v>
      </c>
      <c r="BO1" s="22" t="s">
        <v>2505</v>
      </c>
      <c r="BP1" s="22" t="s">
        <v>2506</v>
      </c>
      <c r="BQ1" s="22" t="s">
        <v>2510</v>
      </c>
      <c r="BR1" s="22" t="s">
        <v>2511</v>
      </c>
      <c r="BS1" s="22" t="s">
        <v>2513</v>
      </c>
      <c r="BT1" s="22" t="s">
        <v>2517</v>
      </c>
      <c r="BU1" s="22" t="s">
        <v>2521</v>
      </c>
      <c r="BV1" s="22" t="s">
        <v>2522</v>
      </c>
      <c r="BW1" s="22" t="s">
        <v>2525</v>
      </c>
      <c r="BX1" s="22" t="s">
        <v>2529</v>
      </c>
      <c r="BY1" s="22" t="s">
        <v>2533</v>
      </c>
      <c r="BZ1" s="22" t="s">
        <v>2534</v>
      </c>
      <c r="CA1" s="22" t="s">
        <v>2537</v>
      </c>
      <c r="CB1" s="22" t="s">
        <v>2539</v>
      </c>
      <c r="CC1" s="22" t="s">
        <v>2541</v>
      </c>
      <c r="CD1" s="22" t="s">
        <v>2542</v>
      </c>
      <c r="CE1" s="22" t="s">
        <v>2546</v>
      </c>
      <c r="CF1" s="22" t="s">
        <v>2549</v>
      </c>
      <c r="CG1" s="22" t="s">
        <v>2550</v>
      </c>
      <c r="CH1" s="22" t="s">
        <v>2553</v>
      </c>
      <c r="CI1" s="22" t="s">
        <v>2556</v>
      </c>
      <c r="CJ1" s="22" t="s">
        <v>2557</v>
      </c>
      <c r="CK1" s="22" t="s">
        <v>2558</v>
      </c>
      <c r="CL1" s="22" t="s">
        <v>2559</v>
      </c>
      <c r="CM1" s="22" t="s">
        <v>2560</v>
      </c>
      <c r="CN1" s="22" t="s">
        <v>2561</v>
      </c>
      <c r="CO1" s="22" t="s">
        <v>2562</v>
      </c>
      <c r="CP1" s="22" t="s">
        <v>2464</v>
      </c>
      <c r="CQ1" s="22" t="s">
        <v>2467</v>
      </c>
      <c r="CR1" s="22" t="s">
        <v>2470</v>
      </c>
      <c r="CS1" s="22" t="s">
        <v>2474</v>
      </c>
    </row>
    <row r="2" spans="1:97">
      <c r="B2" s="23" t="s">
        <v>2477</v>
      </c>
      <c r="J2" s="24" t="s">
        <v>2478</v>
      </c>
      <c r="R2" s="25" t="s">
        <v>2479</v>
      </c>
      <c r="V2" s="26" t="s">
        <v>2480</v>
      </c>
      <c r="AB2" s="27" t="s">
        <v>2481</v>
      </c>
      <c r="AM2" s="28" t="s">
        <v>2482</v>
      </c>
      <c r="AQ2" s="29" t="s">
        <v>2483</v>
      </c>
      <c r="BI2" s="30" t="s">
        <v>2484</v>
      </c>
      <c r="CP2" s="31" t="s">
        <v>2485</v>
      </c>
    </row>
    <row r="3" spans="1:97">
      <c r="B3" s="32" t="s">
        <v>58</v>
      </c>
      <c r="C3" s="32" t="s">
        <v>62</v>
      </c>
      <c r="D3" s="32" t="s">
        <v>58</v>
      </c>
      <c r="E3" s="32" t="s">
        <v>58</v>
      </c>
      <c r="F3" s="32" t="s">
        <v>60</v>
      </c>
      <c r="G3" s="32" t="s">
        <v>58</v>
      </c>
      <c r="H3" s="32" t="s">
        <v>62</v>
      </c>
      <c r="I3" s="32" t="s">
        <v>62</v>
      </c>
      <c r="J3" s="32" t="s">
        <v>58</v>
      </c>
      <c r="K3" s="32" t="s">
        <v>64</v>
      </c>
      <c r="L3" s="32" t="s">
        <v>60</v>
      </c>
      <c r="M3" s="32" t="s">
        <v>64</v>
      </c>
      <c r="N3" s="32" t="s">
        <v>60</v>
      </c>
      <c r="O3" s="32" t="s">
        <v>64</v>
      </c>
      <c r="P3" s="32" t="s">
        <v>60</v>
      </c>
      <c r="Q3" s="32" t="s">
        <v>64</v>
      </c>
      <c r="R3" s="32" t="s">
        <v>58</v>
      </c>
      <c r="S3" s="32" t="s">
        <v>62</v>
      </c>
      <c r="T3" s="32" t="s">
        <v>62</v>
      </c>
      <c r="U3" s="32" t="s">
        <v>62</v>
      </c>
      <c r="V3" s="32" t="s">
        <v>64</v>
      </c>
      <c r="W3" s="32" t="s">
        <v>64</v>
      </c>
      <c r="X3" s="32" t="s">
        <v>64</v>
      </c>
      <c r="Y3" s="32" t="s">
        <v>64</v>
      </c>
      <c r="Z3" s="32" t="s">
        <v>64</v>
      </c>
      <c r="AA3" s="32" t="s">
        <v>64</v>
      </c>
      <c r="AB3" s="32" t="s">
        <v>58</v>
      </c>
      <c r="AC3" s="32" t="s">
        <v>58</v>
      </c>
      <c r="AD3" s="32" t="s">
        <v>58</v>
      </c>
      <c r="AE3" s="32" t="s">
        <v>58</v>
      </c>
      <c r="AF3" s="32" t="s">
        <v>58</v>
      </c>
      <c r="AG3" s="32" t="s">
        <v>64</v>
      </c>
      <c r="AH3" s="32" t="s">
        <v>58</v>
      </c>
      <c r="AI3" s="32" t="s">
        <v>58</v>
      </c>
      <c r="AJ3" s="32" t="s">
        <v>62</v>
      </c>
      <c r="AK3" s="32" t="s">
        <v>62</v>
      </c>
      <c r="AL3" s="32" t="s">
        <v>62</v>
      </c>
      <c r="AM3" s="32" t="s">
        <v>58</v>
      </c>
      <c r="AN3" s="32" t="s">
        <v>58</v>
      </c>
      <c r="AO3" s="32" t="s">
        <v>58</v>
      </c>
      <c r="AP3" s="32" t="s">
        <v>58</v>
      </c>
      <c r="AQ3" s="32" t="s">
        <v>58</v>
      </c>
      <c r="AR3" s="32" t="s">
        <v>62</v>
      </c>
      <c r="AS3" s="32" t="s">
        <v>62</v>
      </c>
      <c r="AT3" s="32" t="s">
        <v>62</v>
      </c>
      <c r="AU3" s="32" t="s">
        <v>62</v>
      </c>
      <c r="AV3" s="32" t="s">
        <v>62</v>
      </c>
      <c r="AW3" s="32" t="s">
        <v>64</v>
      </c>
      <c r="AX3" s="32" t="s">
        <v>64</v>
      </c>
      <c r="AY3" s="32" t="s">
        <v>64</v>
      </c>
      <c r="AZ3" s="32" t="s">
        <v>64</v>
      </c>
      <c r="BA3" s="32" t="s">
        <v>64</v>
      </c>
      <c r="BB3" s="32" t="s">
        <v>64</v>
      </c>
      <c r="BC3" s="32" t="s">
        <v>64</v>
      </c>
      <c r="BD3" s="32" t="s">
        <v>64</v>
      </c>
      <c r="BE3" s="32" t="s">
        <v>64</v>
      </c>
      <c r="BF3" s="32" t="s">
        <v>64</v>
      </c>
      <c r="BG3" s="32" t="s">
        <v>64</v>
      </c>
      <c r="BH3" s="32" t="s">
        <v>64</v>
      </c>
      <c r="BI3" s="32" t="s">
        <v>58</v>
      </c>
      <c r="BJ3" s="32" t="s">
        <v>60</v>
      </c>
      <c r="BK3" s="32" t="s">
        <v>60</v>
      </c>
      <c r="BL3" s="32" t="s">
        <v>60</v>
      </c>
      <c r="BM3" s="32" t="s">
        <v>60</v>
      </c>
      <c r="BN3" s="32" t="s">
        <v>60</v>
      </c>
      <c r="BO3" s="32" t="s">
        <v>62</v>
      </c>
      <c r="BP3" s="32" t="s">
        <v>58</v>
      </c>
      <c r="BQ3" s="32" t="s">
        <v>58</v>
      </c>
      <c r="BR3" s="32" t="s">
        <v>60</v>
      </c>
      <c r="BS3" s="32" t="s">
        <v>60</v>
      </c>
      <c r="BT3" s="32" t="s">
        <v>60</v>
      </c>
      <c r="BU3" s="32" t="s">
        <v>58</v>
      </c>
      <c r="BV3" s="32" t="s">
        <v>60</v>
      </c>
      <c r="BW3" s="32" t="s">
        <v>60</v>
      </c>
      <c r="BX3" s="32" t="s">
        <v>60</v>
      </c>
      <c r="BY3" s="32" t="s">
        <v>60</v>
      </c>
      <c r="BZ3" s="32" t="s">
        <v>60</v>
      </c>
      <c r="CA3" s="32" t="s">
        <v>60</v>
      </c>
      <c r="CB3" s="32" t="s">
        <v>58</v>
      </c>
      <c r="CC3" s="32" t="s">
        <v>60</v>
      </c>
      <c r="CD3" s="32" t="s">
        <v>58</v>
      </c>
      <c r="CE3" s="32" t="s">
        <v>58</v>
      </c>
      <c r="CF3" s="32" t="s">
        <v>58</v>
      </c>
      <c r="CG3" s="32" t="s">
        <v>58</v>
      </c>
      <c r="CH3" s="32" t="s">
        <v>60</v>
      </c>
      <c r="CI3" s="32" t="s">
        <v>58</v>
      </c>
      <c r="CJ3" s="32" t="s">
        <v>60</v>
      </c>
      <c r="CK3" s="32" t="s">
        <v>58</v>
      </c>
      <c r="CL3" s="32" t="s">
        <v>58</v>
      </c>
      <c r="CM3" s="32" t="s">
        <v>58</v>
      </c>
      <c r="CN3" s="32" t="s">
        <v>58</v>
      </c>
      <c r="CO3" s="32" t="s">
        <v>60</v>
      </c>
      <c r="CP3" s="32" t="s">
        <v>58</v>
      </c>
      <c r="CQ3" s="32" t="s">
        <v>64</v>
      </c>
      <c r="CR3" s="32" t="s">
        <v>64</v>
      </c>
      <c r="CS3" s="32" t="s">
        <v>58</v>
      </c>
    </row>
    <row r="4" spans="1:97" ht="50" customHeight="1">
      <c r="B4" s="19" t="s">
        <v>2222</v>
      </c>
      <c r="C4" s="19" t="s">
        <v>2226</v>
      </c>
      <c r="D4" s="19" t="s">
        <v>2230</v>
      </c>
      <c r="E4" s="19" t="s">
        <v>2234</v>
      </c>
      <c r="F4" s="19" t="s">
        <v>2237</v>
      </c>
      <c r="G4" s="19" t="s">
        <v>2240</v>
      </c>
      <c r="H4" s="19" t="s">
        <v>2243</v>
      </c>
      <c r="I4" s="19" t="s">
        <v>2246</v>
      </c>
      <c r="J4" s="19" t="s">
        <v>2249</v>
      </c>
      <c r="K4" s="19" t="s">
        <v>2252</v>
      </c>
      <c r="L4" s="19" t="s">
        <v>2255</v>
      </c>
      <c r="M4" s="19" t="s">
        <v>2258</v>
      </c>
      <c r="N4" s="19" t="s">
        <v>2260</v>
      </c>
      <c r="O4" s="19" t="s">
        <v>2261</v>
      </c>
      <c r="P4" s="19" t="s">
        <v>2262</v>
      </c>
      <c r="Q4" s="19" t="s">
        <v>2263</v>
      </c>
      <c r="R4" s="19" t="s">
        <v>2265</v>
      </c>
      <c r="S4" s="19" t="s">
        <v>2269</v>
      </c>
      <c r="T4" s="19" t="s">
        <v>2272</v>
      </c>
      <c r="U4" s="19" t="s">
        <v>2275</v>
      </c>
      <c r="V4" s="19" t="s">
        <v>2278</v>
      </c>
      <c r="W4" s="19" t="s">
        <v>2281</v>
      </c>
      <c r="X4" s="19" t="s">
        <v>2283</v>
      </c>
      <c r="Y4" s="19" t="s">
        <v>2284</v>
      </c>
      <c r="Z4" s="19" t="s">
        <v>2285</v>
      </c>
      <c r="AA4" s="19" t="s">
        <v>2286</v>
      </c>
      <c r="AB4" s="19" t="s">
        <v>2288</v>
      </c>
      <c r="AC4" s="19" t="s">
        <v>2292</v>
      </c>
      <c r="AD4" s="19" t="s">
        <v>2295</v>
      </c>
      <c r="AE4" s="19" t="s">
        <v>2298</v>
      </c>
      <c r="AF4" s="19" t="s">
        <v>2301</v>
      </c>
      <c r="AG4" s="19" t="s">
        <v>2304</v>
      </c>
      <c r="AH4" s="19" t="s">
        <v>2307</v>
      </c>
      <c r="AI4" s="19" t="s">
        <v>2310</v>
      </c>
      <c r="AJ4" s="19" t="s">
        <v>2313</v>
      </c>
      <c r="AK4" s="19" t="s">
        <v>2316</v>
      </c>
      <c r="AL4" s="19" t="s">
        <v>2319</v>
      </c>
      <c r="AM4" s="19" t="s">
        <v>2322</v>
      </c>
      <c r="AN4" s="19" t="s">
        <v>2325</v>
      </c>
      <c r="AO4" s="19" t="s">
        <v>2328</v>
      </c>
      <c r="AP4" s="19" t="s">
        <v>2331</v>
      </c>
      <c r="AQ4" s="19" t="s">
        <v>2334</v>
      </c>
      <c r="AR4" s="19" t="s">
        <v>2336</v>
      </c>
      <c r="AS4" s="19" t="s">
        <v>2337</v>
      </c>
      <c r="AT4" s="19" t="s">
        <v>2338</v>
      </c>
      <c r="AU4" s="19" t="s">
        <v>2339</v>
      </c>
      <c r="AV4" s="19" t="s">
        <v>2341</v>
      </c>
      <c r="AW4" s="19" t="s">
        <v>2344</v>
      </c>
      <c r="AX4" s="19" t="s">
        <v>2347</v>
      </c>
      <c r="AY4" s="19" t="s">
        <v>2351</v>
      </c>
      <c r="AZ4" s="19" t="s">
        <v>2355</v>
      </c>
      <c r="BA4" s="19" t="s">
        <v>2357</v>
      </c>
      <c r="BB4" s="19" t="s">
        <v>2358</v>
      </c>
      <c r="BC4" s="19" t="s">
        <v>2359</v>
      </c>
      <c r="BD4" s="19" t="s">
        <v>2360</v>
      </c>
      <c r="BE4" s="19" t="s">
        <v>2361</v>
      </c>
      <c r="BF4" s="19" t="s">
        <v>2362</v>
      </c>
      <c r="BG4" s="19" t="s">
        <v>2363</v>
      </c>
      <c r="BH4" s="19" t="s">
        <v>2364</v>
      </c>
      <c r="BI4" s="19" t="s">
        <v>2366</v>
      </c>
      <c r="BJ4" s="19" t="s">
        <v>2488</v>
      </c>
      <c r="BK4" s="19" t="s">
        <v>2492</v>
      </c>
      <c r="BL4" s="19" t="s">
        <v>2495</v>
      </c>
      <c r="BM4" s="19" t="s">
        <v>2498</v>
      </c>
      <c r="BN4" s="19" t="s">
        <v>2502</v>
      </c>
      <c r="BO4" s="19" t="s">
        <v>2394</v>
      </c>
      <c r="BP4" s="19" t="s">
        <v>2507</v>
      </c>
      <c r="BQ4" s="19" t="s">
        <v>2398</v>
      </c>
      <c r="BR4" s="19" t="s">
        <v>2404</v>
      </c>
      <c r="BS4" s="19" t="s">
        <v>2514</v>
      </c>
      <c r="BT4" s="19" t="s">
        <v>2518</v>
      </c>
      <c r="BU4" s="19" t="s">
        <v>2200</v>
      </c>
      <c r="BV4" s="19" t="s">
        <v>2523</v>
      </c>
      <c r="BW4" s="19" t="s">
        <v>2526</v>
      </c>
      <c r="BX4" s="19" t="s">
        <v>2530</v>
      </c>
      <c r="BY4" s="19" t="s">
        <v>2422</v>
      </c>
      <c r="BZ4" s="19" t="s">
        <v>2535</v>
      </c>
      <c r="CA4" s="19" t="s">
        <v>2426</v>
      </c>
      <c r="CB4" s="19" t="s">
        <v>2376</v>
      </c>
      <c r="CC4" s="19" t="s">
        <v>2430</v>
      </c>
      <c r="CD4" s="19" t="s">
        <v>2543</v>
      </c>
      <c r="CE4" s="19" t="s">
        <v>2547</v>
      </c>
      <c r="CF4" s="19" t="s">
        <v>2437</v>
      </c>
      <c r="CG4" s="19" t="s">
        <v>2551</v>
      </c>
      <c r="CH4" s="19" t="s">
        <v>2554</v>
      </c>
      <c r="CI4" s="33" t="s">
        <v>2440</v>
      </c>
      <c r="CJ4" s="34" t="s">
        <v>2443</v>
      </c>
      <c r="CK4" s="19" t="s">
        <v>2446</v>
      </c>
      <c r="CL4" s="19" t="s">
        <v>2449</v>
      </c>
      <c r="CM4" s="33" t="s">
        <v>2452</v>
      </c>
      <c r="CN4" s="34" t="s">
        <v>2455</v>
      </c>
      <c r="CO4" s="19" t="s">
        <v>2462</v>
      </c>
      <c r="CP4" s="19" t="s">
        <v>2465</v>
      </c>
      <c r="CQ4" s="19" t="s">
        <v>2468</v>
      </c>
      <c r="CR4" s="19" t="s">
        <v>2471</v>
      </c>
      <c r="CS4" s="19" t="s">
        <v>2475</v>
      </c>
    </row>
    <row r="5" spans="1:97" ht="50" customHeight="1">
      <c r="B5" s="35" t="s">
        <v>2223</v>
      </c>
      <c r="C5" s="35" t="s">
        <v>2227</v>
      </c>
      <c r="D5" s="35" t="s">
        <v>2231</v>
      </c>
      <c r="E5" s="35" t="s">
        <v>2235</v>
      </c>
      <c r="F5" s="35" t="s">
        <v>2238</v>
      </c>
      <c r="G5" s="35" t="s">
        <v>2241</v>
      </c>
      <c r="H5" s="35" t="s">
        <v>2244</v>
      </c>
      <c r="I5" s="35" t="s">
        <v>2247</v>
      </c>
      <c r="J5" s="35" t="s">
        <v>2250</v>
      </c>
      <c r="K5" s="35" t="s">
        <v>2253</v>
      </c>
      <c r="L5" s="35" t="s">
        <v>2256</v>
      </c>
      <c r="M5" s="35" t="s">
        <v>2259</v>
      </c>
      <c r="N5" s="35" t="s">
        <v>2256</v>
      </c>
      <c r="O5" s="35" t="s">
        <v>2259</v>
      </c>
      <c r="P5" s="35" t="s">
        <v>2256</v>
      </c>
      <c r="Q5" s="35" t="s">
        <v>2259</v>
      </c>
      <c r="R5" s="35" t="s">
        <v>2266</v>
      </c>
      <c r="S5" s="35" t="s">
        <v>2270</v>
      </c>
      <c r="T5" s="35" t="s">
        <v>2273</v>
      </c>
      <c r="U5" s="35" t="s">
        <v>2276</v>
      </c>
      <c r="V5" s="35" t="s">
        <v>2279</v>
      </c>
      <c r="W5" s="35" t="s">
        <v>2282</v>
      </c>
      <c r="X5" s="35" t="s">
        <v>2282</v>
      </c>
      <c r="Y5" s="35" t="s">
        <v>2282</v>
      </c>
      <c r="Z5" s="35" t="s">
        <v>2282</v>
      </c>
      <c r="AA5" s="35" t="s">
        <v>2282</v>
      </c>
      <c r="AB5" s="35" t="s">
        <v>2289</v>
      </c>
      <c r="AC5" s="35" t="s">
        <v>2293</v>
      </c>
      <c r="AD5" s="35" t="s">
        <v>2296</v>
      </c>
      <c r="AE5" s="35" t="s">
        <v>2299</v>
      </c>
      <c r="AF5" s="35" t="s">
        <v>2302</v>
      </c>
      <c r="AG5" s="35" t="s">
        <v>2305</v>
      </c>
      <c r="AH5" s="35" t="s">
        <v>2308</v>
      </c>
      <c r="AI5" s="35" t="s">
        <v>2311</v>
      </c>
      <c r="AJ5" s="35" t="s">
        <v>2314</v>
      </c>
      <c r="AK5" s="35" t="s">
        <v>2317</v>
      </c>
      <c r="AL5" s="35" t="s">
        <v>2320</v>
      </c>
      <c r="AM5" s="35" t="s">
        <v>2323</v>
      </c>
      <c r="AN5" s="35" t="s">
        <v>2326</v>
      </c>
      <c r="AO5" s="35" t="s">
        <v>2329</v>
      </c>
      <c r="AP5" s="35" t="s">
        <v>2332</v>
      </c>
      <c r="AQ5" s="35" t="s">
        <v>2335</v>
      </c>
      <c r="AR5" s="35" t="s">
        <v>2335</v>
      </c>
      <c r="AS5" s="35" t="s">
        <v>2335</v>
      </c>
      <c r="AT5" s="35" t="s">
        <v>2335</v>
      </c>
      <c r="AU5" s="35" t="s">
        <v>2335</v>
      </c>
      <c r="AV5" s="35" t="s">
        <v>2342</v>
      </c>
      <c r="AW5" s="35" t="s">
        <v>2345</v>
      </c>
      <c r="AX5" s="35" t="s">
        <v>2348</v>
      </c>
      <c r="AY5" s="35" t="s">
        <v>2352</v>
      </c>
      <c r="AZ5" s="35" t="s">
        <v>2356</v>
      </c>
      <c r="BA5" s="35" t="s">
        <v>2345</v>
      </c>
      <c r="BB5" s="35" t="s">
        <v>2348</v>
      </c>
      <c r="BC5" s="35" t="s">
        <v>2352</v>
      </c>
      <c r="BD5" s="35" t="s">
        <v>2356</v>
      </c>
      <c r="BE5" s="35" t="s">
        <v>2345</v>
      </c>
      <c r="BF5" s="35" t="s">
        <v>2348</v>
      </c>
      <c r="BG5" s="35" t="s">
        <v>2352</v>
      </c>
      <c r="BH5" s="35" t="s">
        <v>2356</v>
      </c>
      <c r="BI5" s="35" t="s">
        <v>2367</v>
      </c>
      <c r="BJ5" s="35" t="s">
        <v>2489</v>
      </c>
      <c r="BK5" s="35" t="s">
        <v>2493</v>
      </c>
      <c r="BL5" s="35" t="s">
        <v>2496</v>
      </c>
      <c r="BM5" s="35" t="s">
        <v>2499</v>
      </c>
      <c r="BN5" s="35" t="s">
        <v>2503</v>
      </c>
      <c r="BO5" s="35" t="s">
        <v>2395</v>
      </c>
      <c r="BP5" s="35" t="s">
        <v>2508</v>
      </c>
      <c r="BQ5" s="35" t="s">
        <v>2399</v>
      </c>
      <c r="BR5" s="35" t="s">
        <v>2405</v>
      </c>
      <c r="BS5" s="35" t="s">
        <v>2515</v>
      </c>
      <c r="BT5" s="35" t="s">
        <v>2519</v>
      </c>
      <c r="BU5" s="35" t="s">
        <v>2412</v>
      </c>
      <c r="BV5" s="35" t="s">
        <v>2524</v>
      </c>
      <c r="BW5" s="35" t="s">
        <v>2527</v>
      </c>
      <c r="BX5" s="35" t="s">
        <v>2531</v>
      </c>
      <c r="BY5" s="35" t="s">
        <v>2423</v>
      </c>
      <c r="BZ5" s="35" t="s">
        <v>2536</v>
      </c>
      <c r="CA5" s="35" t="s">
        <v>2427</v>
      </c>
      <c r="CB5" s="35" t="s">
        <v>2377</v>
      </c>
      <c r="CC5" s="35" t="s">
        <v>2431</v>
      </c>
      <c r="CD5" s="35" t="s">
        <v>2544</v>
      </c>
      <c r="CE5" s="35" t="s">
        <v>2548</v>
      </c>
      <c r="CF5" s="35" t="s">
        <v>2438</v>
      </c>
      <c r="CG5" s="35" t="s">
        <v>2552</v>
      </c>
      <c r="CH5" s="35" t="s">
        <v>2555</v>
      </c>
      <c r="CI5" s="35" t="s">
        <v>2441</v>
      </c>
      <c r="CJ5" s="35" t="s">
        <v>2444</v>
      </c>
      <c r="CK5" s="35" t="s">
        <v>2447</v>
      </c>
      <c r="CL5" s="35" t="s">
        <v>2450</v>
      </c>
      <c r="CM5" s="35" t="s">
        <v>2453</v>
      </c>
      <c r="CN5" s="35" t="s">
        <v>2456</v>
      </c>
      <c r="CO5" s="35" t="s">
        <v>2463</v>
      </c>
      <c r="CP5" s="35" t="s">
        <v>2466</v>
      </c>
      <c r="CQ5" s="35" t="s">
        <v>2469</v>
      </c>
      <c r="CR5" s="35" t="s">
        <v>2472</v>
      </c>
      <c r="CS5" s="35" t="s">
        <v>2476</v>
      </c>
    </row>
    <row r="6" spans="1:97" ht="50" customHeight="1">
      <c r="B6" s="35" t="s">
        <v>67</v>
      </c>
      <c r="C6" s="35" t="s">
        <v>67</v>
      </c>
      <c r="D6" s="36" t="s">
        <v>2232</v>
      </c>
      <c r="E6" s="35" t="s">
        <v>67</v>
      </c>
      <c r="F6" s="35" t="s">
        <v>67</v>
      </c>
      <c r="G6" s="35" t="s">
        <v>67</v>
      </c>
      <c r="H6" s="35" t="s">
        <v>67</v>
      </c>
      <c r="I6" s="35" t="s">
        <v>67</v>
      </c>
      <c r="J6" s="36" t="s">
        <v>2232</v>
      </c>
      <c r="K6" s="35" t="s">
        <v>67</v>
      </c>
      <c r="L6" s="36" t="s">
        <v>2232</v>
      </c>
      <c r="M6" s="35" t="s">
        <v>67</v>
      </c>
      <c r="N6" s="36" t="s">
        <v>2232</v>
      </c>
      <c r="O6" s="35" t="s">
        <v>67</v>
      </c>
      <c r="P6" s="36" t="s">
        <v>2232</v>
      </c>
      <c r="Q6" s="35" t="s">
        <v>67</v>
      </c>
      <c r="R6" s="35" t="s">
        <v>2267</v>
      </c>
      <c r="S6" s="35" t="s">
        <v>2267</v>
      </c>
      <c r="T6" s="35" t="s">
        <v>2267</v>
      </c>
      <c r="U6" s="35" t="s">
        <v>2267</v>
      </c>
      <c r="V6" s="35" t="s">
        <v>67</v>
      </c>
      <c r="W6" s="35" t="s">
        <v>67</v>
      </c>
      <c r="X6" s="35" t="s">
        <v>67</v>
      </c>
      <c r="Y6" s="35" t="s">
        <v>67</v>
      </c>
      <c r="Z6" s="35" t="s">
        <v>67</v>
      </c>
      <c r="AA6" s="35" t="s">
        <v>67</v>
      </c>
      <c r="AB6" s="35" t="s">
        <v>2290</v>
      </c>
      <c r="AC6" s="35" t="s">
        <v>2290</v>
      </c>
      <c r="AD6" s="35" t="s">
        <v>2290</v>
      </c>
      <c r="AE6" s="35" t="s">
        <v>2267</v>
      </c>
      <c r="AF6" s="36" t="s">
        <v>2232</v>
      </c>
      <c r="AG6" s="36" t="s">
        <v>2232</v>
      </c>
      <c r="AH6" s="36" t="s">
        <v>2232</v>
      </c>
      <c r="AI6" s="36" t="s">
        <v>2232</v>
      </c>
      <c r="AJ6" s="35" t="s">
        <v>67</v>
      </c>
      <c r="AK6" s="35" t="s">
        <v>77</v>
      </c>
      <c r="AL6" s="35" t="s">
        <v>77</v>
      </c>
      <c r="AM6" s="35" t="s">
        <v>2267</v>
      </c>
      <c r="AN6" s="35" t="s">
        <v>2267</v>
      </c>
      <c r="AO6" s="35" t="s">
        <v>2267</v>
      </c>
      <c r="AP6" s="35" t="s">
        <v>2267</v>
      </c>
      <c r="AQ6" s="35" t="s">
        <v>67</v>
      </c>
      <c r="AR6" s="35" t="s">
        <v>67</v>
      </c>
      <c r="AS6" s="35" t="s">
        <v>67</v>
      </c>
      <c r="AT6" s="35" t="s">
        <v>67</v>
      </c>
      <c r="AU6" s="35" t="s">
        <v>67</v>
      </c>
      <c r="AV6" s="35" t="s">
        <v>67</v>
      </c>
      <c r="AW6" s="35" t="s">
        <v>67</v>
      </c>
      <c r="AX6" s="36" t="s">
        <v>2349</v>
      </c>
      <c r="AY6" s="36" t="s">
        <v>3108</v>
      </c>
      <c r="AZ6" s="36" t="s">
        <v>2232</v>
      </c>
      <c r="BA6" s="35" t="s">
        <v>67</v>
      </c>
      <c r="BB6" s="36" t="s">
        <v>2349</v>
      </c>
      <c r="BC6" s="36" t="s">
        <v>3108</v>
      </c>
      <c r="BD6" s="36" t="s">
        <v>2232</v>
      </c>
      <c r="BE6" s="35" t="s">
        <v>67</v>
      </c>
      <c r="BF6" s="36" t="s">
        <v>2349</v>
      </c>
      <c r="BG6" s="36" t="s">
        <v>3108</v>
      </c>
      <c r="BH6" s="36" t="s">
        <v>2232</v>
      </c>
      <c r="BI6" s="36" t="s">
        <v>2232</v>
      </c>
      <c r="BJ6" s="36" t="s">
        <v>2490</v>
      </c>
      <c r="BK6" s="36" t="s">
        <v>2232</v>
      </c>
      <c r="BL6" s="36" t="s">
        <v>2232</v>
      </c>
      <c r="BM6" s="36" t="s">
        <v>2500</v>
      </c>
      <c r="BN6" s="36" t="s">
        <v>2504</v>
      </c>
      <c r="BO6" s="36" t="s">
        <v>2396</v>
      </c>
      <c r="BP6" s="36" t="s">
        <v>2509</v>
      </c>
      <c r="BQ6" s="35" t="s">
        <v>77</v>
      </c>
      <c r="BR6" s="36" t="s">
        <v>2512</v>
      </c>
      <c r="BS6" s="36" t="s">
        <v>4026</v>
      </c>
      <c r="BT6" s="36" t="s">
        <v>2520</v>
      </c>
      <c r="BU6" s="36" t="s">
        <v>2413</v>
      </c>
      <c r="BV6" s="35" t="s">
        <v>2290</v>
      </c>
      <c r="BW6" s="36" t="s">
        <v>2528</v>
      </c>
      <c r="BX6" s="36" t="s">
        <v>4686</v>
      </c>
      <c r="BY6" s="36" t="s">
        <v>3645</v>
      </c>
      <c r="BZ6" s="35" t="s">
        <v>2267</v>
      </c>
      <c r="CA6" s="36" t="s">
        <v>2538</v>
      </c>
      <c r="CB6" s="36" t="s">
        <v>2540</v>
      </c>
      <c r="CC6" s="36" t="s">
        <v>2432</v>
      </c>
      <c r="CD6" s="36" t="s">
        <v>2545</v>
      </c>
      <c r="CE6" s="35" t="s">
        <v>2267</v>
      </c>
      <c r="CF6" s="35" t="s">
        <v>2267</v>
      </c>
      <c r="CG6" s="35" t="s">
        <v>2267</v>
      </c>
      <c r="CH6" s="35" t="s">
        <v>2267</v>
      </c>
      <c r="CI6" s="35" t="s">
        <v>77</v>
      </c>
      <c r="CJ6" s="36" t="s">
        <v>2232</v>
      </c>
      <c r="CK6" s="36" t="s">
        <v>2232</v>
      </c>
      <c r="CL6" s="36" t="s">
        <v>2232</v>
      </c>
      <c r="CM6" s="35" t="s">
        <v>77</v>
      </c>
      <c r="CN6" s="36" t="s">
        <v>2457</v>
      </c>
      <c r="CO6" s="35" t="s">
        <v>77</v>
      </c>
      <c r="CP6" s="35" t="s">
        <v>77</v>
      </c>
      <c r="CQ6" s="36" t="s">
        <v>2232</v>
      </c>
      <c r="CR6" s="36" t="s">
        <v>2473</v>
      </c>
      <c r="CS6" s="36" t="s">
        <v>2232</v>
      </c>
    </row>
    <row r="7" spans="1:97">
      <c r="B7" s="37" t="s">
        <v>2224</v>
      </c>
      <c r="C7" s="37" t="s">
        <v>2228</v>
      </c>
      <c r="D7" s="38"/>
      <c r="E7" s="37" t="s">
        <v>2228</v>
      </c>
      <c r="F7" s="37" t="s">
        <v>2228</v>
      </c>
      <c r="G7" s="37" t="s">
        <v>2228</v>
      </c>
      <c r="H7" s="38"/>
      <c r="I7" s="37" t="s">
        <v>2228</v>
      </c>
      <c r="J7" s="37" t="s">
        <v>2228</v>
      </c>
      <c r="K7" s="37" t="s">
        <v>2228</v>
      </c>
      <c r="L7" s="37" t="s">
        <v>2228</v>
      </c>
      <c r="M7" s="37" t="s">
        <v>2228</v>
      </c>
      <c r="N7" s="37" t="s">
        <v>2228</v>
      </c>
      <c r="O7" s="37" t="s">
        <v>2228</v>
      </c>
      <c r="P7" s="37" t="s">
        <v>2228</v>
      </c>
      <c r="Q7" s="37" t="s">
        <v>2228</v>
      </c>
      <c r="R7" s="37" t="s">
        <v>2228</v>
      </c>
      <c r="S7" s="38"/>
      <c r="T7" s="38"/>
      <c r="U7" s="38"/>
      <c r="V7" s="38"/>
      <c r="W7" s="38"/>
      <c r="X7" s="38"/>
      <c r="Y7" s="38"/>
      <c r="Z7" s="38"/>
      <c r="AA7" s="38"/>
      <c r="AB7" s="38"/>
      <c r="AC7" s="38"/>
      <c r="AD7" s="38"/>
      <c r="AE7" s="38"/>
      <c r="AF7" s="38"/>
      <c r="AG7" s="38"/>
      <c r="AH7" s="38"/>
      <c r="AI7" s="38"/>
      <c r="AJ7" s="38"/>
      <c r="AK7" s="38"/>
      <c r="AL7" s="38"/>
      <c r="AM7" s="38"/>
      <c r="AN7" s="38"/>
      <c r="AO7" s="38"/>
      <c r="AP7" s="38"/>
      <c r="AQ7" s="37" t="s">
        <v>2228</v>
      </c>
      <c r="AR7" s="37" t="s">
        <v>2228</v>
      </c>
      <c r="AS7" s="37" t="s">
        <v>2228</v>
      </c>
      <c r="AT7" s="37" t="s">
        <v>2228</v>
      </c>
      <c r="AU7" s="37" t="s">
        <v>2228</v>
      </c>
      <c r="AV7" s="37" t="s">
        <v>2228</v>
      </c>
      <c r="AW7" s="38"/>
      <c r="AX7" s="38"/>
      <c r="AY7" s="38"/>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c r="CM7" s="38"/>
      <c r="CN7" s="38"/>
      <c r="CO7" s="38"/>
      <c r="CP7" s="38"/>
      <c r="CQ7" s="38"/>
      <c r="CR7" s="38"/>
      <c r="CS7" s="38"/>
    </row>
    <row r="8" spans="1:97">
      <c r="A8" cm="1">
        <f t="array" ref="A8">_xlfn.BYROW(B8:CT507, _xlfn.LAMBDA(_xlpm.r, _xlfn.LET(_xlpm.high_priority_idx, IFERROR(MATCH(TRUE, (_xlpm.r = "Error") + (_xlpm.r = "Required") &gt; 0, 0), 0), IF(_xlpm.high_priority_idx &gt; 0, _xlpm.high_priority_idx + 1, IFERROR(MATCH(1, (_xlpm.r = "Warning") * 1, 0) + 1, "")))))</f>
        <v>0</v>
      </c>
      <c r="B8" s="22" cm="1">
        <f t="array" ref="B8">_xlfn.MAP('6161 - Wallpaper'!B8:B507, '6161 - Wallpaper'!B8:B507, '6161 - Wallpaper-WUO_ERR'!B8:B507, _xlfn.LAMBDA(_xlpm.part, _xlpm.val, _xlpm.error, IF(_xlpm.part = "", "", IF(LEN(_xlpm.error), _xlfn.SWITCH(IFERROR(_xlfn.TEXTBEFORE(_xlpm.error,":"), ""), "1", "Error", "2", "Disabled", "3", "Required", "4", "Warning", "Valid"), "Valid"))))</f>
        <v>0</v>
      </c>
      <c r="C8" s="22" cm="1">
        <f t="array" ref="C8">_xlfn.MAP('6161 - Wallpaper'!B8:B507, '6161 - Wallpaper'!C8:C507, '6161 - Wallpaper-WUO_ERR'!C8:C507, _xlfn.LAMBDA(_xlpm.part, _xlpm.val, _xlpm.error, IF(_xlpm.part = "", "", IF(LEN(_xlpm.error), _xlfn.SWITCH(IFERROR(_xlfn.TEXTBEFORE(_xlpm.error,":"), ""), "1", "Error", "2", "Disabled", "3", "Required", "4", "Warning", "Valid"), "Valid"))))</f>
        <v>0</v>
      </c>
      <c r="D8" s="22" cm="1">
        <f t="array" ref="D8">_xlfn.MAP('6161 - Wallpaper'!B8:B507, '6161 - Wallpaper'!D8:D507, '6161 - Wallpaper-WUO_ERR'!D8:D507, _xlfn.LAMBDA(_xlpm.part, _xlpm.val, _xlpm.error, IF(_xlpm.part = "", "", IF(LEN(_xlpm.error), _xlfn.SWITCH(IFERROR(_xlfn.TEXTBEFORE(_xlpm.error,":"), ""), "1", "Error", "2", "Disabled", "3", "Required", "4", "Warning", "Valid"), "Valid"))))</f>
        <v>0</v>
      </c>
      <c r="E8" s="22" cm="1">
        <f t="array" ref="E8">_xlfn.MAP('6161 - Wallpaper'!B8:B507, '6161 - Wallpaper'!E8:E507, '6161 - Wallpaper-WUO_ERR'!E8:E507, _xlfn.LAMBDA(_xlpm.part, _xlpm.val, _xlpm.error, IF(_xlpm.part = "", "", IF(LEN(_xlpm.error), _xlfn.SWITCH(IFERROR(_xlfn.TEXTBEFORE(_xlpm.error,":"), ""), "1", "Error", "2", "Disabled", "3", "Required", "4", "Warning", "Valid"), "Valid"))))</f>
        <v>0</v>
      </c>
      <c r="F8" s="22" cm="1">
        <f t="array" ref="F8">_xlfn.MAP('6161 - Wallpaper'!B8:B507, '6161 - Wallpaper'!F8:F507, '6161 - Wallpaper-WUO_ERR'!F8:F507, _xlfn.LAMBDA(_xlpm.part, _xlpm.val, _xlpm.error, IF(_xlpm.part = "", "", IF(LEN(_xlpm.error), _xlfn.SWITCH(IFERROR(_xlfn.TEXTBEFORE(_xlpm.error,":"), ""), "1", "Error", "2", "Disabled", "3", "Required", "4", "Warning", "Valid"), "Valid"))))</f>
        <v>0</v>
      </c>
      <c r="G8" s="22" cm="1">
        <f t="array" ref="G8">_xlfn.MAP('6161 - Wallpaper'!B8:B507, '6161 - Wallpaper'!G8:G507, '6161 - Wallpaper-WUO_ERR'!G8:G507, _xlfn.LAMBDA(_xlpm.part, _xlpm.val, _xlpm.error, IF(_xlpm.part = "", "", IF(LEN(_xlpm.error), _xlfn.SWITCH(IFERROR(_xlfn.TEXTBEFORE(_xlpm.error,":"), ""), "1", "Error", "2", "Disabled", "3", "Required", "4", "Warning", "Valid"), "Valid"))))</f>
        <v>0</v>
      </c>
      <c r="H8" s="22" cm="1">
        <f t="array" ref="H8">_xlfn.MAP('6161 - Wallpaper'!B8:B507, '6161 - Wallpaper'!H8:H507, '6161 - Wallpaper-WUO_ERR'!H8:H507, _xlfn.LAMBDA(_xlpm.part, _xlpm.val, _xlpm.error, IF(_xlpm.part = "", "", IF(LEN(_xlpm.error), _xlfn.SWITCH(IFERROR(_xlfn.TEXTBEFORE(_xlpm.error,":"), ""), "1", "Error", "2", "Disabled", "3", "Required", "4", "Warning", "Valid"), "Valid"))))</f>
        <v>0</v>
      </c>
      <c r="I8" s="22" cm="1">
        <f t="array" ref="I8">_xlfn.MAP('6161 - Wallpaper'!B8:B507, '6161 - Wallpaper'!I8:I507, '6161 - Wallpaper-WUO_ERR'!I8:I507, _xlfn.LAMBDA(_xlpm.part, _xlpm.val, _xlpm.error, IF(_xlpm.part = "", "", IF(LEN(_xlpm.error), _xlfn.SWITCH(IFERROR(_xlfn.TEXTBEFORE(_xlpm.error,":"), ""), "1", "Error", "2", "Disabled", "3", "Required", "4", "Warning", "Valid"), "Valid"))))</f>
        <v>0</v>
      </c>
      <c r="J8" s="22" cm="1">
        <f t="array" ref="J8">_xlfn.MAP('6161 - Wallpaper'!B8:B507, '6161 - Wallpaper'!J8:J507, '6161 - Wallpaper-WUO_ERR'!J8:J507, _xlfn.LAMBDA(_xlpm.part, _xlpm.val, _xlpm.error, IF(_xlpm.part = "", "", IF(LEN(_xlpm.error), _xlfn.SWITCH(IFERROR(_xlfn.TEXTBEFORE(_xlpm.error,":"), ""), "1", "Error", "2", "Disabled", "3", "Required", "4", "Warning", "Valid"), "Valid"))))</f>
        <v>0</v>
      </c>
      <c r="K8" s="22" cm="1">
        <f t="array" ref="K8">_xlfn.MAP('6161 - Wallpaper'!B8:B507, '6161 - Wallpaper'!K8:K507, '6161 - Wallpaper-WUO_ERR'!K8:K507, _xlfn.LAMBDA(_xlpm.part, _xlpm.val, _xlpm.error, IF(_xlpm.part = "", "", IF(LEN(_xlpm.error), _xlfn.SWITCH(IFERROR(_xlfn.TEXTBEFORE(_xlpm.error,":"), ""), "1", "Error", "2", "Disabled", "3", "Required", "4", "Warning", "Valid"), "Valid"))))</f>
        <v>0</v>
      </c>
      <c r="L8" s="22" cm="1">
        <f t="array" ref="L8">_xlfn.MAP('6161 - Wallpaper'!B8:B507, '6161 - Wallpaper'!L8:L507, '6161 - Wallpaper-WUO_ERR'!L8:L507, _xlfn.LAMBDA(_xlpm.part, _xlpm.val, _xlpm.error, IF(_xlpm.part = "", "", IF(LEN(_xlpm.error), _xlfn.SWITCH(IFERROR(_xlfn.TEXTBEFORE(_xlpm.error,":"), ""), "1", "Error", "2", "Disabled", "3", "Required", "4", "Warning", "Valid"), "Valid"))))</f>
        <v>0</v>
      </c>
      <c r="M8" s="22" cm="1">
        <f t="array" ref="M8">_xlfn.MAP('6161 - Wallpaper'!B8:B507, '6161 - Wallpaper'!M8:M507, '6161 - Wallpaper-WUO_ERR'!M8:M507, _xlfn.LAMBDA(_xlpm.part, _xlpm.val, _xlpm.error, IF(_xlpm.part = "", "", IF(LEN(_xlpm.error), _xlfn.SWITCH(IFERROR(_xlfn.TEXTBEFORE(_xlpm.error,":"), ""), "1", "Error", "2", "Disabled", "3", "Required", "4", "Warning", "Valid"), "Valid"))))</f>
        <v>0</v>
      </c>
      <c r="N8" s="22" cm="1">
        <f t="array" ref="N8">_xlfn.MAP('6161 - Wallpaper'!B8:B507, '6161 - Wallpaper'!N8:N507, '6161 - Wallpaper-WUO_ERR'!N8:N507, _xlfn.LAMBDA(_xlpm.part, _xlpm.val, _xlpm.error, IF(_xlpm.part = "", "", IF(LEN(_xlpm.error), _xlfn.SWITCH(IFERROR(_xlfn.TEXTBEFORE(_xlpm.error,":"), ""), "1", "Error", "2", "Disabled", "3", "Required", "4", "Warning", "Valid"), "Valid"))))</f>
        <v>0</v>
      </c>
      <c r="O8" s="22" cm="1">
        <f t="array" ref="O8">_xlfn.MAP('6161 - Wallpaper'!B8:B507, '6161 - Wallpaper'!O8:O507, '6161 - Wallpaper-WUO_ERR'!O8:O507, _xlfn.LAMBDA(_xlpm.part, _xlpm.val, _xlpm.error, IF(_xlpm.part = "", "", IF(LEN(_xlpm.error), _xlfn.SWITCH(IFERROR(_xlfn.TEXTBEFORE(_xlpm.error,":"), ""), "1", "Error", "2", "Disabled", "3", "Required", "4", "Warning", "Valid"), "Valid"))))</f>
        <v>0</v>
      </c>
      <c r="P8" s="22" cm="1">
        <f t="array" ref="P8">_xlfn.MAP('6161 - Wallpaper'!B8:B507, '6161 - Wallpaper'!P8:P507, '6161 - Wallpaper-WUO_ERR'!P8:P507, _xlfn.LAMBDA(_xlpm.part, _xlpm.val, _xlpm.error, IF(_xlpm.part = "", "", IF(LEN(_xlpm.error), _xlfn.SWITCH(IFERROR(_xlfn.TEXTBEFORE(_xlpm.error,":"), ""), "1", "Error", "2", "Disabled", "3", "Required", "4", "Warning", "Valid"), "Valid"))))</f>
        <v>0</v>
      </c>
      <c r="Q8" s="22" cm="1">
        <f t="array" ref="Q8">_xlfn.MAP('6161 - Wallpaper'!B8:B507, '6161 - Wallpaper'!Q8:Q507, '6161 - Wallpaper-WUO_ERR'!Q8:Q507, _xlfn.LAMBDA(_xlpm.part, _xlpm.val, _xlpm.error, IF(_xlpm.part = "", "", IF(LEN(_xlpm.error), _xlfn.SWITCH(IFERROR(_xlfn.TEXTBEFORE(_xlpm.error,":"), ""), "1", "Error", "2", "Disabled", "3", "Required", "4", "Warning", "Valid"), "Valid"))))</f>
        <v>0</v>
      </c>
      <c r="R8" s="22" cm="1">
        <f t="array" ref="R8">_xlfn.MAP('6161 - Wallpaper'!B8:B507, '6161 - Wallpaper'!R8:R507, '6161 - Wallpaper-WUO_ERR'!R8:R507, _xlfn.LAMBDA(_xlpm.part, _xlpm.val, _xlpm.error, IF(_xlpm.part = "", "", IF(LEN(_xlpm.error), _xlfn.SWITCH(IFERROR(_xlfn.TEXTBEFORE(_xlpm.error,":"), ""), "1", "Error", "2", "Disabled", "3", "Required", "4", "Warning", "Valid"), "Valid"))))</f>
        <v>0</v>
      </c>
      <c r="S8" s="22" cm="1">
        <f t="array" ref="S8">_xlfn.MAP('6161 - Wallpaper'!B8:B507, '6161 - Wallpaper'!S8:S507, '6161 - Wallpaper-WUO_ERR'!S8:S507, _xlfn.LAMBDA(_xlpm.part, _xlpm.val, _xlpm.error, IF(_xlpm.part = "", "", IF(LEN(_xlpm.error), _xlfn.SWITCH(IFERROR(_xlfn.TEXTBEFORE(_xlpm.error,":"), ""), "1", "Error", "2", "Disabled", "3", "Required", "4", "Warning", "Valid"), "Valid"))))</f>
        <v>0</v>
      </c>
      <c r="T8" s="22" cm="1">
        <f t="array" ref="T8">_xlfn.MAP('6161 - Wallpaper'!B8:B507, '6161 - Wallpaper'!T8:T507, '6161 - Wallpaper-WUO_ERR'!T8:T507, _xlfn.LAMBDA(_xlpm.part, _xlpm.val, _xlpm.error, IF(_xlpm.part = "", "", IF(LEN(_xlpm.error), _xlfn.SWITCH(IFERROR(_xlfn.TEXTBEFORE(_xlpm.error,":"), ""), "1", "Error", "2", "Disabled", "3", "Required", "4", "Warning", "Valid"), "Valid"))))</f>
        <v>0</v>
      </c>
      <c r="U8" s="22" cm="1">
        <f t="array" ref="U8">_xlfn.MAP('6161 - Wallpaper'!B8:B507, '6161 - Wallpaper'!U8:U507, '6161 - Wallpaper-WUO_ERR'!U8:U507, _xlfn.LAMBDA(_xlpm.part, _xlpm.val, _xlpm.error, IF(_xlpm.part = "", "", IF(LEN(_xlpm.error), _xlfn.SWITCH(IFERROR(_xlfn.TEXTBEFORE(_xlpm.error,":"), ""), "1", "Error", "2", "Disabled", "3", "Required", "4", "Warning", "Valid"), "Valid"))))</f>
        <v>0</v>
      </c>
      <c r="V8" s="22" cm="1">
        <f t="array" ref="V8">_xlfn.MAP('6161 - Wallpaper'!B8:B507, '6161 - Wallpaper'!V8:V507, '6161 - Wallpaper-WUO_ERR'!V8:V507, _xlfn.LAMBDA(_xlpm.part, _xlpm.val, _xlpm.error, IF(_xlpm.part = "", "", IF(LEN(_xlpm.error), _xlfn.SWITCH(IFERROR(_xlfn.TEXTBEFORE(_xlpm.error,":"), ""), "1", "Error", "2", "Disabled", "3", "Required", "4", "Warning", "Valid"), "Valid"))))</f>
        <v>0</v>
      </c>
      <c r="W8" s="22" cm="1">
        <f t="array" ref="W8">_xlfn.MAP('6161 - Wallpaper'!B8:B507, '6161 - Wallpaper'!W8:W507, '6161 - Wallpaper-WUO_ERR'!W8:W507, _xlfn.LAMBDA(_xlpm.part, _xlpm.val, _xlpm.error, IF(_xlpm.part = "", "", IF(LEN(_xlpm.error), _xlfn.SWITCH(IFERROR(_xlfn.TEXTBEFORE(_xlpm.error,":"), ""), "1", "Error", "2", "Disabled", "3", "Required", "4", "Warning", "Valid"), "Valid"))))</f>
        <v>0</v>
      </c>
      <c r="X8" s="22" cm="1">
        <f t="array" ref="X8">_xlfn.MAP('6161 - Wallpaper'!B8:B507, '6161 - Wallpaper'!X8:X507, '6161 - Wallpaper-WUO_ERR'!X8:X507, _xlfn.LAMBDA(_xlpm.part, _xlpm.val, _xlpm.error, IF(_xlpm.part = "", "", IF(LEN(_xlpm.error), _xlfn.SWITCH(IFERROR(_xlfn.TEXTBEFORE(_xlpm.error,":"), ""), "1", "Error", "2", "Disabled", "3", "Required", "4", "Warning", "Valid"), "Valid"))))</f>
        <v>0</v>
      </c>
      <c r="Y8" s="22" cm="1">
        <f t="array" ref="Y8">_xlfn.MAP('6161 - Wallpaper'!B8:B507, '6161 - Wallpaper'!Y8:Y507, '6161 - Wallpaper-WUO_ERR'!Y8:Y507, _xlfn.LAMBDA(_xlpm.part, _xlpm.val, _xlpm.error, IF(_xlpm.part = "", "", IF(LEN(_xlpm.error), _xlfn.SWITCH(IFERROR(_xlfn.TEXTBEFORE(_xlpm.error,":"), ""), "1", "Error", "2", "Disabled", "3", "Required", "4", "Warning", "Valid"), "Valid"))))</f>
        <v>0</v>
      </c>
      <c r="Z8" s="22" cm="1">
        <f t="array" ref="Z8">_xlfn.MAP('6161 - Wallpaper'!B8:B507, '6161 - Wallpaper'!Z8:Z507, '6161 - Wallpaper-WUO_ERR'!Z8:Z507, _xlfn.LAMBDA(_xlpm.part, _xlpm.val, _xlpm.error, IF(_xlpm.part = "", "", IF(LEN(_xlpm.error), _xlfn.SWITCH(IFERROR(_xlfn.TEXTBEFORE(_xlpm.error,":"), ""), "1", "Error", "2", "Disabled", "3", "Required", "4", "Warning", "Valid"), "Valid"))))</f>
        <v>0</v>
      </c>
      <c r="AA8" s="22" cm="1">
        <f t="array" ref="AA8">_xlfn.MAP('6161 - Wallpaper'!B8:B507, '6161 - Wallpaper'!AA8:AA507, '6161 - Wallpaper-WUO_ERR'!AA8:AA507, _xlfn.LAMBDA(_xlpm.part, _xlpm.val, _xlpm.error, IF(_xlpm.part = "", "", IF(LEN(_xlpm.error), _xlfn.SWITCH(IFERROR(_xlfn.TEXTBEFORE(_xlpm.error,":"), ""), "1", "Error", "2", "Disabled", "3", "Required", "4", "Warning", "Valid"), "Valid"))))</f>
        <v>0</v>
      </c>
      <c r="AB8" s="22" cm="1">
        <f t="array" ref="AB8">_xlfn.MAP('6161 - Wallpaper'!B8:B507, '6161 - Wallpaper'!AB8:AB507, '6161 - Wallpaper-WUO_ERR'!AB8:AB507, _xlfn.LAMBDA(_xlpm.part, _xlpm.val, _xlpm.error, IF(_xlpm.part = "", "", IF(LEN(_xlpm.error), _xlfn.SWITCH(IFERROR(_xlfn.TEXTBEFORE(_xlpm.error,":"), ""), "1", "Error", "2", "Disabled", "3", "Required", "4", "Warning", "Valid"), "Valid"))))</f>
        <v>0</v>
      </c>
      <c r="AC8" s="22" cm="1">
        <f t="array" ref="AC8">_xlfn.MAP('6161 - Wallpaper'!B8:B507, '6161 - Wallpaper'!AC8:AC507, '6161 - Wallpaper-WUO_ERR'!AC8:AC507, _xlfn.LAMBDA(_xlpm.part, _xlpm.val, _xlpm.error, IF(_xlpm.part = "", "", IF(LEN(_xlpm.error), _xlfn.SWITCH(IFERROR(_xlfn.TEXTBEFORE(_xlpm.error,":"), ""), "1", "Error", "2", "Disabled", "3", "Required", "4", "Warning", "Valid"), "Valid"))))</f>
        <v>0</v>
      </c>
      <c r="AD8" s="22" cm="1">
        <f t="array" ref="AD8">_xlfn.MAP('6161 - Wallpaper'!B8:B507, '6161 - Wallpaper'!AD8:AD507, '6161 - Wallpaper-WUO_ERR'!AD8:AD507, _xlfn.LAMBDA(_xlpm.part, _xlpm.val, _xlpm.error, IF(_xlpm.part = "", "", IF(LEN(_xlpm.error), _xlfn.SWITCH(IFERROR(_xlfn.TEXTBEFORE(_xlpm.error,":"), ""), "1", "Error", "2", "Disabled", "3", "Required", "4", "Warning", "Valid"), "Valid"))))</f>
        <v>0</v>
      </c>
      <c r="AE8" s="22" cm="1">
        <f t="array" ref="AE8">_xlfn.MAP('6161 - Wallpaper'!B8:B507, '6161 - Wallpaper'!AE8:AE507, '6161 - Wallpaper-WUO_ERR'!AE8:AE507, _xlfn.LAMBDA(_xlpm.part, _xlpm.val, _xlpm.error, IF(_xlpm.part = "", "", IF(LEN(_xlpm.error), _xlfn.SWITCH(IFERROR(_xlfn.TEXTBEFORE(_xlpm.error,":"), ""), "1", "Error", "2", "Disabled", "3", "Required", "4", "Warning", "Valid"), "Valid"))))</f>
        <v>0</v>
      </c>
      <c r="AF8" s="22" cm="1">
        <f t="array" ref="AF8">_xlfn.MAP('6161 - Wallpaper'!B8:B507, '6161 - Wallpaper'!AF8:AF507, '6161 - Wallpaper-WUO_ERR'!AF8:AF507, _xlfn.LAMBDA(_xlpm.part, _xlpm.val, _xlpm.error, IF(_xlpm.part = "", "", IF(LEN(_xlpm.error), _xlfn.SWITCH(IFERROR(_xlfn.TEXTBEFORE(_xlpm.error,":"), ""), "1", "Error", "2", "Disabled", "3", "Required", "4", "Warning", "Valid"), "Valid"))))</f>
        <v>0</v>
      </c>
      <c r="AG8" s="22" cm="1">
        <f t="array" ref="AG8">_xlfn.MAP('6161 - Wallpaper'!B8:B507, '6161 - Wallpaper'!AG8:AG507, '6161 - Wallpaper-WUO_ERR'!AG8:AG507, _xlfn.LAMBDA(_xlpm.part, _xlpm.val, _xlpm.error, IF(_xlpm.part = "", "", IF(LEN(_xlpm.error), _xlfn.SWITCH(IFERROR(_xlfn.TEXTBEFORE(_xlpm.error,":"), ""), "1", "Error", "2", "Disabled", "3", "Required", "4", "Warning", "Valid"), "Valid"))))</f>
        <v>0</v>
      </c>
      <c r="AH8" s="22" cm="1">
        <f t="array" ref="AH8">_xlfn.MAP('6161 - Wallpaper'!B8:B507, '6161 - Wallpaper'!AH8:AH507, '6161 - Wallpaper-WUO_ERR'!AH8:AH507, _xlfn.LAMBDA(_xlpm.part, _xlpm.val, _xlpm.error, IF(_xlpm.part = "", "", IF(LEN(_xlpm.error), _xlfn.SWITCH(IFERROR(_xlfn.TEXTBEFORE(_xlpm.error,":"), ""), "1", "Error", "2", "Disabled", "3", "Required", "4", "Warning", "Valid"), "Valid"))))</f>
        <v>0</v>
      </c>
      <c r="AI8" s="22" cm="1">
        <f t="array" ref="AI8">_xlfn.MAP('6161 - Wallpaper'!B8:B507, '6161 - Wallpaper'!AI8:AI507, '6161 - Wallpaper-WUO_ERR'!AI8:AI507, _xlfn.LAMBDA(_xlpm.part, _xlpm.val, _xlpm.error, IF(_xlpm.part = "", "", IF(LEN(_xlpm.error), _xlfn.SWITCH(IFERROR(_xlfn.TEXTBEFORE(_xlpm.error,":"), ""), "1", "Error", "2", "Disabled", "3", "Required", "4", "Warning", "Valid"), "Valid"))))</f>
        <v>0</v>
      </c>
      <c r="AJ8" s="22" cm="1">
        <f t="array" ref="AJ8">_xlfn.MAP('6161 - Wallpaper'!B8:B507, '6161 - Wallpaper'!AJ8:AJ507, '6161 - Wallpaper-WUO_ERR'!AJ8:AJ507, _xlfn.LAMBDA(_xlpm.part, _xlpm.val, _xlpm.error, IF(_xlpm.part = "", "", IF(LEN(_xlpm.error), _xlfn.SWITCH(IFERROR(_xlfn.TEXTBEFORE(_xlpm.error,":"), ""), "1", "Error", "2", "Disabled", "3", "Required", "4", "Warning", "Valid"), "Valid"))))</f>
        <v>0</v>
      </c>
      <c r="AK8" s="22" cm="1">
        <f t="array" ref="AK8">_xlfn.MAP('6161 - Wallpaper'!B8:B507, '6161 - Wallpaper'!AK8:AK507, '6161 - Wallpaper-WUO_ERR'!AK8:AK507, _xlfn.LAMBDA(_xlpm.part, _xlpm.val, _xlpm.error, IF(_xlpm.part = "", "", IF(LEN(_xlpm.error), _xlfn.SWITCH(IFERROR(_xlfn.TEXTBEFORE(_xlpm.error,":"), ""), "1", "Error", "2", "Disabled", "3", "Required", "4", "Warning", "Valid"), "Valid"))))</f>
        <v>0</v>
      </c>
      <c r="AL8" s="22" cm="1">
        <f t="array" ref="AL8">_xlfn.MAP('6161 - Wallpaper'!B8:B507, '6161 - Wallpaper'!AL8:AL507, '6161 - Wallpaper-WUO_ERR'!AL8:AL507, _xlfn.LAMBDA(_xlpm.part, _xlpm.val, _xlpm.error, IF(_xlpm.part = "", "", IF(LEN(_xlpm.error), _xlfn.SWITCH(IFERROR(_xlfn.TEXTBEFORE(_xlpm.error,":"), ""), "1", "Error", "2", "Disabled", "3", "Required", "4", "Warning", "Valid"), "Valid"))))</f>
        <v>0</v>
      </c>
      <c r="AM8" s="22" cm="1">
        <f t="array" ref="AM8">_xlfn.MAP('6161 - Wallpaper'!B8:B507, '6161 - Wallpaper'!AM8:AM507, '6161 - Wallpaper-WUO_ERR'!AM8:AM507, _xlfn.LAMBDA(_xlpm.part, _xlpm.val, _xlpm.error, IF(_xlpm.part = "", "", IF(LEN(_xlpm.error), _xlfn.SWITCH(IFERROR(_xlfn.TEXTBEFORE(_xlpm.error,":"), ""), "1", "Error", "2", "Disabled", "3", "Required", "4", "Warning", "Valid"), "Valid"))))</f>
        <v>0</v>
      </c>
      <c r="AN8" s="22" cm="1">
        <f t="array" ref="AN8">_xlfn.MAP('6161 - Wallpaper'!B8:B507, '6161 - Wallpaper'!AN8:AN507, '6161 - Wallpaper-WUO_ERR'!AN8:AN507, _xlfn.LAMBDA(_xlpm.part, _xlpm.val, _xlpm.error, IF(_xlpm.part = "", "", IF(LEN(_xlpm.error), _xlfn.SWITCH(IFERROR(_xlfn.TEXTBEFORE(_xlpm.error,":"), ""), "1", "Error", "2", "Disabled", "3", "Required", "4", "Warning", "Valid"), "Valid"))))</f>
        <v>0</v>
      </c>
      <c r="AO8" s="22" cm="1">
        <f t="array" ref="AO8">_xlfn.MAP('6161 - Wallpaper'!B8:B507, '6161 - Wallpaper'!AO8:AO507, '6161 - Wallpaper-WUO_ERR'!AO8:AO507, _xlfn.LAMBDA(_xlpm.part, _xlpm.val, _xlpm.error, IF(_xlpm.part = "", "", IF(LEN(_xlpm.error), _xlfn.SWITCH(IFERROR(_xlfn.TEXTBEFORE(_xlpm.error,":"), ""), "1", "Error", "2", "Disabled", "3", "Required", "4", "Warning", "Valid"), "Valid"))))</f>
        <v>0</v>
      </c>
      <c r="AP8" s="22" cm="1">
        <f t="array" ref="AP8">_xlfn.MAP('6161 - Wallpaper'!B8:B507, '6161 - Wallpaper'!AP8:AP507, '6161 - Wallpaper-WUO_ERR'!AP8:AP507, _xlfn.LAMBDA(_xlpm.part, _xlpm.val, _xlpm.error, IF(_xlpm.part = "", "", IF(LEN(_xlpm.error), _xlfn.SWITCH(IFERROR(_xlfn.TEXTBEFORE(_xlpm.error,":"), ""), "1", "Error", "2", "Disabled", "3", "Required", "4", "Warning", "Valid"), "Valid"))))</f>
        <v>0</v>
      </c>
      <c r="AQ8" s="22" cm="1">
        <f t="array" ref="AQ8">_xlfn.MAP('6161 - Wallpaper'!B8:B507, '6161 - Wallpaper'!AQ8:AQ507, '6161 - Wallpaper-WUO_ERR'!AQ8:AQ507, _xlfn.LAMBDA(_xlpm.part, _xlpm.val, _xlpm.error, IF(_xlpm.part = "", "", IF(LEN(_xlpm.error), _xlfn.SWITCH(IFERROR(_xlfn.TEXTBEFORE(_xlpm.error,":"), ""), "1", "Error", "2", "Disabled", "3", "Required", "4", "Warning", "Valid"), "Valid"))))</f>
        <v>0</v>
      </c>
      <c r="AR8" s="22" cm="1">
        <f t="array" ref="AR8">_xlfn.MAP('6161 - Wallpaper'!B8:B507, '6161 - Wallpaper'!AR8:AR507, '6161 - Wallpaper-WUO_ERR'!AR8:AR507, _xlfn.LAMBDA(_xlpm.part, _xlpm.val, _xlpm.error, IF(_xlpm.part = "", "", IF(LEN(_xlpm.error), _xlfn.SWITCH(IFERROR(_xlfn.TEXTBEFORE(_xlpm.error,":"), ""), "1", "Error", "2", "Disabled", "3", "Required", "4", "Warning", "Valid"), "Valid"))))</f>
        <v>0</v>
      </c>
      <c r="AS8" s="22" cm="1">
        <f t="array" ref="AS8">_xlfn.MAP('6161 - Wallpaper'!B8:B507, '6161 - Wallpaper'!AS8:AS507, '6161 - Wallpaper-WUO_ERR'!AS8:AS507, _xlfn.LAMBDA(_xlpm.part, _xlpm.val, _xlpm.error, IF(_xlpm.part = "", "", IF(LEN(_xlpm.error), _xlfn.SWITCH(IFERROR(_xlfn.TEXTBEFORE(_xlpm.error,":"), ""), "1", "Error", "2", "Disabled", "3", "Required", "4", "Warning", "Valid"), "Valid"))))</f>
        <v>0</v>
      </c>
      <c r="AT8" s="22" cm="1">
        <f t="array" ref="AT8">_xlfn.MAP('6161 - Wallpaper'!B8:B507, '6161 - Wallpaper'!AT8:AT507, '6161 - Wallpaper-WUO_ERR'!AT8:AT507, _xlfn.LAMBDA(_xlpm.part, _xlpm.val, _xlpm.error, IF(_xlpm.part = "", "", IF(LEN(_xlpm.error), _xlfn.SWITCH(IFERROR(_xlfn.TEXTBEFORE(_xlpm.error,":"), ""), "1", "Error", "2", "Disabled", "3", "Required", "4", "Warning", "Valid"), "Valid"))))</f>
        <v>0</v>
      </c>
      <c r="AU8" s="22" cm="1">
        <f t="array" ref="AU8">_xlfn.MAP('6161 - Wallpaper'!B8:B507, '6161 - Wallpaper'!AU8:AU507, '6161 - Wallpaper-WUO_ERR'!AU8:AU507, _xlfn.LAMBDA(_xlpm.part, _xlpm.val, _xlpm.error, IF(_xlpm.part = "", "", IF(LEN(_xlpm.error), _xlfn.SWITCH(IFERROR(_xlfn.TEXTBEFORE(_xlpm.error,":"), ""), "1", "Error", "2", "Disabled", "3", "Required", "4", "Warning", "Valid"), "Valid"))))</f>
        <v>0</v>
      </c>
      <c r="AV8" s="22" cm="1">
        <f t="array" ref="AV8">_xlfn.MAP('6161 - Wallpaper'!B8:B507, '6161 - Wallpaper'!AV8:AV507, '6161 - Wallpaper-WUO_ERR'!AV8:AV507, _xlfn.LAMBDA(_xlpm.part, _xlpm.val, _xlpm.error, IF(_xlpm.part = "", "", IF(LEN(_xlpm.error), _xlfn.SWITCH(IFERROR(_xlfn.TEXTBEFORE(_xlpm.error,":"), ""), "1", "Error", "2", "Disabled", "3", "Required", "4", "Warning", "Valid"), "Valid"))))</f>
        <v>0</v>
      </c>
      <c r="AW8" s="22" cm="1">
        <f t="array" ref="AW8">_xlfn.MAP('6161 - Wallpaper'!B8:B507, '6161 - Wallpaper'!AW8:AW507, '6161 - Wallpaper-WUO_ERR'!AW8:AW507, _xlfn.LAMBDA(_xlpm.part, _xlpm.val, _xlpm.error, IF(_xlpm.part = "", "", IF(LEN(_xlpm.error), _xlfn.SWITCH(IFERROR(_xlfn.TEXTBEFORE(_xlpm.error,":"), ""), "1", "Error", "2", "Disabled", "3", "Required", "4", "Warning", "Valid"), "Valid"))))</f>
        <v>0</v>
      </c>
      <c r="AX8" s="22" cm="1">
        <f t="array" ref="AX8">_xlfn.MAP('6161 - Wallpaper'!B8:B507, '6161 - Wallpaper'!AX8:AX507, '6161 - Wallpaper-WUO_ERR'!AX8:AX507, _xlfn.LAMBDA(_xlpm.part, _xlpm.val, _xlpm.error, IF(_xlpm.part = "", "", IF(LEN(_xlpm.error), _xlfn.SWITCH(IFERROR(_xlfn.TEXTBEFORE(_xlpm.error,":"), ""), "1", "Error", "2", "Disabled", "3", "Required", "4", "Warning", "Valid"), "Valid"))))</f>
        <v>0</v>
      </c>
      <c r="AY8" s="22" cm="1">
        <f t="array" ref="AY8">_xlfn.MAP('6161 - Wallpaper'!B8:B507, '6161 - Wallpaper'!AY8:AY507, '6161 - Wallpaper-WUO_ERR'!AY8:AY507, _xlfn.LAMBDA(_xlpm.part, _xlpm.val, _xlpm.error, IF(_xlpm.part = "", "", IF(LEN(_xlpm.error), _xlfn.SWITCH(IFERROR(_xlfn.TEXTBEFORE(_xlpm.error,":"), ""), "1", "Error", "2", "Disabled", "3", "Required", "4", "Warning", "Valid"), "Valid"))))</f>
        <v>0</v>
      </c>
      <c r="AZ8" s="22" cm="1">
        <f t="array" ref="AZ8">_xlfn.MAP('6161 - Wallpaper'!B8:B507, '6161 - Wallpaper'!AZ8:AZ507, '6161 - Wallpaper-WUO_ERR'!AZ8:AZ507, _xlfn.LAMBDA(_xlpm.part, _xlpm.val, _xlpm.error, IF(_xlpm.part = "", "", IF(LEN(_xlpm.error), _xlfn.SWITCH(IFERROR(_xlfn.TEXTBEFORE(_xlpm.error,":"), ""), "1", "Error", "2", "Disabled", "3", "Required", "4", "Warning", "Valid"), "Valid"))))</f>
        <v>0</v>
      </c>
      <c r="BA8" s="22" cm="1">
        <f t="array" ref="BA8">_xlfn.MAP('6161 - Wallpaper'!B8:B507, '6161 - Wallpaper'!BA8:BA507, '6161 - Wallpaper-WUO_ERR'!BA8:BA507, _xlfn.LAMBDA(_xlpm.part, _xlpm.val, _xlpm.error, IF(_xlpm.part = "", "", IF(LEN(_xlpm.error), _xlfn.SWITCH(IFERROR(_xlfn.TEXTBEFORE(_xlpm.error,":"), ""), "1", "Error", "2", "Disabled", "3", "Required", "4", "Warning", "Valid"), "Valid"))))</f>
        <v>0</v>
      </c>
      <c r="BB8" s="22" cm="1">
        <f t="array" ref="BB8">_xlfn.MAP('6161 - Wallpaper'!B8:B507, '6161 - Wallpaper'!BB8:BB507, '6161 - Wallpaper-WUO_ERR'!BB8:BB507, _xlfn.LAMBDA(_xlpm.part, _xlpm.val, _xlpm.error, IF(_xlpm.part = "", "", IF(LEN(_xlpm.error), _xlfn.SWITCH(IFERROR(_xlfn.TEXTBEFORE(_xlpm.error,":"), ""), "1", "Error", "2", "Disabled", "3", "Required", "4", "Warning", "Valid"), "Valid"))))</f>
        <v>0</v>
      </c>
      <c r="BC8" s="22" cm="1">
        <f t="array" ref="BC8">_xlfn.MAP('6161 - Wallpaper'!B8:B507, '6161 - Wallpaper'!BC8:BC507, '6161 - Wallpaper-WUO_ERR'!BC8:BC507, _xlfn.LAMBDA(_xlpm.part, _xlpm.val, _xlpm.error, IF(_xlpm.part = "", "", IF(LEN(_xlpm.error), _xlfn.SWITCH(IFERROR(_xlfn.TEXTBEFORE(_xlpm.error,":"), ""), "1", "Error", "2", "Disabled", "3", "Required", "4", "Warning", "Valid"), "Valid"))))</f>
        <v>0</v>
      </c>
      <c r="BD8" s="22" cm="1">
        <f t="array" ref="BD8">_xlfn.MAP('6161 - Wallpaper'!B8:B507, '6161 - Wallpaper'!BD8:BD507, '6161 - Wallpaper-WUO_ERR'!BD8:BD507, _xlfn.LAMBDA(_xlpm.part, _xlpm.val, _xlpm.error, IF(_xlpm.part = "", "", IF(LEN(_xlpm.error), _xlfn.SWITCH(IFERROR(_xlfn.TEXTBEFORE(_xlpm.error,":"), ""), "1", "Error", "2", "Disabled", "3", "Required", "4", "Warning", "Valid"), "Valid"))))</f>
        <v>0</v>
      </c>
      <c r="BE8" s="22" cm="1">
        <f t="array" ref="BE8">_xlfn.MAP('6161 - Wallpaper'!B8:B507, '6161 - Wallpaper'!BE8:BE507, '6161 - Wallpaper-WUO_ERR'!BE8:BE507, _xlfn.LAMBDA(_xlpm.part, _xlpm.val, _xlpm.error, IF(_xlpm.part = "", "", IF(LEN(_xlpm.error), _xlfn.SWITCH(IFERROR(_xlfn.TEXTBEFORE(_xlpm.error,":"), ""), "1", "Error", "2", "Disabled", "3", "Required", "4", "Warning", "Valid"), "Valid"))))</f>
        <v>0</v>
      </c>
      <c r="BF8" s="22" cm="1">
        <f t="array" ref="BF8">_xlfn.MAP('6161 - Wallpaper'!B8:B507, '6161 - Wallpaper'!BF8:BF507, '6161 - Wallpaper-WUO_ERR'!BF8:BF507, _xlfn.LAMBDA(_xlpm.part, _xlpm.val, _xlpm.error, IF(_xlpm.part = "", "", IF(LEN(_xlpm.error), _xlfn.SWITCH(IFERROR(_xlfn.TEXTBEFORE(_xlpm.error,":"), ""), "1", "Error", "2", "Disabled", "3", "Required", "4", "Warning", "Valid"), "Valid"))))</f>
        <v>0</v>
      </c>
      <c r="BG8" s="22" cm="1">
        <f t="array" ref="BG8">_xlfn.MAP('6161 - Wallpaper'!B8:B507, '6161 - Wallpaper'!BG8:BG507, '6161 - Wallpaper-WUO_ERR'!BG8:BG507, _xlfn.LAMBDA(_xlpm.part, _xlpm.val, _xlpm.error, IF(_xlpm.part = "", "", IF(LEN(_xlpm.error), _xlfn.SWITCH(IFERROR(_xlfn.TEXTBEFORE(_xlpm.error,":"), ""), "1", "Error", "2", "Disabled", "3", "Required", "4", "Warning", "Valid"), "Valid"))))</f>
        <v>0</v>
      </c>
      <c r="BH8" s="22" cm="1">
        <f t="array" ref="BH8">_xlfn.MAP('6161 - Wallpaper'!B8:B507, '6161 - Wallpaper'!BH8:BH507, '6161 - Wallpaper-WUO_ERR'!BH8:BH507, _xlfn.LAMBDA(_xlpm.part, _xlpm.val, _xlpm.error, IF(_xlpm.part = "", "", IF(LEN(_xlpm.error), _xlfn.SWITCH(IFERROR(_xlfn.TEXTBEFORE(_xlpm.error,":"), ""), "1", "Error", "2", "Disabled", "3", "Required", "4", "Warning", "Valid"), "Valid"))))</f>
        <v>0</v>
      </c>
      <c r="BI8" s="22" cm="1">
        <f t="array" ref="BI8">_xlfn.MAP('6161 - Wallpaper'!B8:B507, '6161 - Wallpaper'!BI8:BI507, '6161 - Wallpaper-WUO_ERR'!BI8:BI507, _xlfn.LAMBDA(_xlpm.part, _xlpm.val, _xlpm.error, IF(_xlpm.part = "", "", IF(LEN(_xlpm.error), _xlfn.SWITCH(IFERROR(_xlfn.TEXTBEFORE(_xlpm.error,":"), ""), "1", "Error", "2", "Disabled", "3", "Required", "4", "Warning", "Valid"), "Valid"))))</f>
        <v>0</v>
      </c>
      <c r="BJ8" s="22" cm="1">
        <f t="array" ref="BJ8">_xlfn.MAP('6161 - Wallpaper'!B8:B507, '6161 - Wallpaper'!BJ8:BJ507, '6161 - Wallpaper-WUO_ERR'!BJ8:BJ507, _xlfn.LAMBDA(_xlpm.part, _xlpm.val, _xlpm.error, IF(_xlpm.part = "", "", IF(LEN(_xlpm.error), _xlfn.SWITCH(IFERROR(_xlfn.TEXTBEFORE(_xlpm.error,":"), ""), "1", "Error", "2", "Disabled", "3", "Required", "4", "Warning", "Valid"), "Valid"))))</f>
        <v>0</v>
      </c>
      <c r="BK8" s="22" cm="1">
        <f t="array" ref="BK8">_xlfn.MAP('6161 - Wallpaper'!B8:B507, '6161 - Wallpaper'!BK8:BK507, '6161 - Wallpaper-WUO_ERR'!BK8:BK507, _xlfn.LAMBDA(_xlpm.part, _xlpm.val, _xlpm.error, IF(_xlpm.part = "", "", IF(LEN(_xlpm.error), _xlfn.SWITCH(IFERROR(_xlfn.TEXTBEFORE(_xlpm.error,":"), ""), "1", "Error", "2", "Disabled", "3", "Required", "4", "Warning", "Valid"), "Valid"))))</f>
        <v>0</v>
      </c>
      <c r="BL8" s="22" cm="1">
        <f t="array" ref="BL8">_xlfn.MAP('6161 - Wallpaper'!B8:B507, '6161 - Wallpaper'!BL8:BL507, '6161 - Wallpaper-WUO_ERR'!BL8:BL507, _xlfn.LAMBDA(_xlpm.part, _xlpm.val, _xlpm.error, IF(_xlpm.part = "", "", IF(LEN(_xlpm.error), _xlfn.SWITCH(IFERROR(_xlfn.TEXTBEFORE(_xlpm.error,":"), ""), "1", "Error", "2", "Disabled", "3", "Required", "4", "Warning", "Valid"), "Valid"))))</f>
        <v>0</v>
      </c>
      <c r="BM8" s="22" cm="1">
        <f t="array" ref="BM8">_xlfn.MAP('6161 - Wallpaper'!B8:B507, '6161 - Wallpaper'!BM8:BM507, '6161 - Wallpaper-WUO_ERR'!BM8:BM507, _xlfn.LAMBDA(_xlpm.part, _xlpm.val, _xlpm.error, IF(_xlpm.part = "", "", IF(LEN(_xlpm.error), _xlfn.SWITCH(IFERROR(_xlfn.TEXTBEFORE(_xlpm.error,":"), ""), "1", "Error", "2", "Disabled", "3", "Required", "4", "Warning", "Valid"), "Valid"))))</f>
        <v>0</v>
      </c>
      <c r="BN8" s="22" cm="1">
        <f t="array" ref="BN8">_xlfn.MAP('6161 - Wallpaper'!B8:B507, '6161 - Wallpaper'!BN8:BN507, '6161 - Wallpaper-WUO_ERR'!BN8:BN507, _xlfn.LAMBDA(_xlpm.part, _xlpm.val, _xlpm.error, IF(_xlpm.part = "", "", IF(LEN(_xlpm.error), _xlfn.SWITCH(IFERROR(_xlfn.TEXTBEFORE(_xlpm.error,":"), ""), "1", "Error", "2", "Disabled", "3", "Required", "4", "Warning", "Valid"), "Valid"))))</f>
        <v>0</v>
      </c>
      <c r="BO8" s="22" cm="1">
        <f t="array" ref="BO8">_xlfn.MAP('6161 - Wallpaper'!B8:B507, '6161 - Wallpaper'!BO8:BO507, '6161 - Wallpaper-WUO_ERR'!BO8:BO507, _xlfn.LAMBDA(_xlpm.part, _xlpm.val, _xlpm.error, IF(_xlpm.part = "", "", IF(LEN(_xlpm.error), _xlfn.SWITCH(IFERROR(_xlfn.TEXTBEFORE(_xlpm.error,":"), ""), "1", "Error", "2", "Disabled", "3", "Required", "4", "Warning", "Valid"), "Valid"))))</f>
        <v>0</v>
      </c>
      <c r="BP8" s="22" cm="1">
        <f t="array" ref="BP8">_xlfn.MAP('6161 - Wallpaper'!B8:B507, '6161 - Wallpaper'!BP8:BP507, '6161 - Wallpaper-WUO_ERR'!BP8:BP507, _xlfn.LAMBDA(_xlpm.part, _xlpm.val, _xlpm.error, IF(_xlpm.part = "", "", IF(LEN(_xlpm.error), _xlfn.SWITCH(IFERROR(_xlfn.TEXTBEFORE(_xlpm.error,":"), ""), "1", "Error", "2", "Disabled", "3", "Required", "4", "Warning", "Valid"), "Valid"))))</f>
        <v>0</v>
      </c>
      <c r="BQ8" s="22" cm="1">
        <f t="array" ref="BQ8">_xlfn.MAP('6161 - Wallpaper'!B8:B507, '6161 - Wallpaper'!BQ8:BQ507, '6161 - Wallpaper-WUO_ERR'!BQ8:BQ507, _xlfn.LAMBDA(_xlpm.part, _xlpm.val, _xlpm.error, IF(_xlpm.part = "", "", IF(LEN(_xlpm.error), _xlfn.SWITCH(IFERROR(_xlfn.TEXTBEFORE(_xlpm.error,":"), ""), "1", "Error", "2", "Disabled", "3", "Required", "4", "Warning", "Valid"), "Valid"))))</f>
        <v>0</v>
      </c>
      <c r="BR8" s="22" cm="1">
        <f t="array" ref="BR8">_xlfn.MAP('6161 - Wallpaper'!B8:B507, '6161 - Wallpaper'!BR8:BR507, '6161 - Wallpaper-WUO_ERR'!BR8:BR507, _xlfn.LAMBDA(_xlpm.part, _xlpm.val, _xlpm.error, IF(_xlpm.part = "", "", IF(LEN(_xlpm.error), _xlfn.SWITCH(IFERROR(_xlfn.TEXTBEFORE(_xlpm.error,":"), ""), "1", "Error", "2", "Disabled", "3", "Required", "4", "Warning", "Valid"), "Valid"))))</f>
        <v>0</v>
      </c>
      <c r="BS8" s="22" cm="1">
        <f t="array" ref="BS8">_xlfn.MAP('6161 - Wallpaper'!B8:B507, '6161 - Wallpaper'!BS8:BS507, '6161 - Wallpaper-WUO_ERR'!BS8:BS507, _xlfn.LAMBDA(_xlpm.part, _xlpm.val, _xlpm.error, IF(_xlpm.part = "", "", IF(LEN(_xlpm.error), _xlfn.SWITCH(IFERROR(_xlfn.TEXTBEFORE(_xlpm.error,":"), ""), "1", "Error", "2", "Disabled", "3", "Required", "4", "Warning", "Valid"), "Valid"))))</f>
        <v>0</v>
      </c>
      <c r="BT8" s="22" cm="1">
        <f t="array" ref="BT8">_xlfn.MAP('6161 - Wallpaper'!B8:B507, '6161 - Wallpaper'!BT8:BT507, '6161 - Wallpaper-WUO_ERR'!BT8:BT507, _xlfn.LAMBDA(_xlpm.part, _xlpm.val, _xlpm.error, IF(_xlpm.part = "", "", IF(LEN(_xlpm.error), _xlfn.SWITCH(IFERROR(_xlfn.TEXTBEFORE(_xlpm.error,":"), ""), "1", "Error", "2", "Disabled", "3", "Required", "4", "Warning", "Valid"), "Valid"))))</f>
        <v>0</v>
      </c>
      <c r="BU8" s="22" cm="1">
        <f t="array" ref="BU8">_xlfn.MAP('6161 - Wallpaper'!B8:B507, '6161 - Wallpaper'!BU8:BU507, '6161 - Wallpaper-WUO_ERR'!BU8:BU507, _xlfn.LAMBDA(_xlpm.part, _xlpm.val, _xlpm.error, IF(_xlpm.part = "", "", IF(LEN(_xlpm.error), _xlfn.SWITCH(IFERROR(_xlfn.TEXTBEFORE(_xlpm.error,":"), ""), "1", "Error", "2", "Disabled", "3", "Required", "4", "Warning", "Valid"), "Valid"))))</f>
        <v>0</v>
      </c>
      <c r="BV8" s="22" cm="1">
        <f t="array" ref="BV8">_xlfn.MAP('6161 - Wallpaper'!B8:B507, '6161 - Wallpaper'!BV8:BV507, '6161 - Wallpaper-WUO_ERR'!BV8:BV507, _xlfn.LAMBDA(_xlpm.part, _xlpm.val, _xlpm.error, IF(_xlpm.part = "", "", IF(LEN(_xlpm.error), _xlfn.SWITCH(IFERROR(_xlfn.TEXTBEFORE(_xlpm.error,":"), ""), "1", "Error", "2", "Disabled", "3", "Required", "4", "Warning", "Valid"), "Valid"))))</f>
        <v>0</v>
      </c>
      <c r="BW8" s="22" cm="1">
        <f t="array" ref="BW8">_xlfn.MAP('6161 - Wallpaper'!B8:B507, '6161 - Wallpaper'!BW8:BW507, '6161 - Wallpaper-WUO_ERR'!BW8:BW507, _xlfn.LAMBDA(_xlpm.part, _xlpm.val, _xlpm.error, IF(_xlpm.part = "", "", IF(LEN(_xlpm.error), _xlfn.SWITCH(IFERROR(_xlfn.TEXTBEFORE(_xlpm.error,":"), ""), "1", "Error", "2", "Disabled", "3", "Required", "4", "Warning", "Valid"), "Valid"))))</f>
        <v>0</v>
      </c>
      <c r="BX8" s="22" cm="1">
        <f t="array" ref="BX8">_xlfn.MAP('6161 - Wallpaper'!B8:B507, '6161 - Wallpaper'!BX8:BX507, '6161 - Wallpaper-WUO_ERR'!BX8:BX507, _xlfn.LAMBDA(_xlpm.part, _xlpm.val, _xlpm.error, IF(_xlpm.part = "", "", IF(LEN(_xlpm.error), _xlfn.SWITCH(IFERROR(_xlfn.TEXTBEFORE(_xlpm.error,":"), ""), "1", "Error", "2", "Disabled", "3", "Required", "4", "Warning", "Valid"), "Valid"))))</f>
        <v>0</v>
      </c>
      <c r="BY8" s="22" cm="1">
        <f t="array" ref="BY8">_xlfn.MAP('6161 - Wallpaper'!B8:B507, '6161 - Wallpaper'!BY8:BY507, '6161 - Wallpaper-WUO_ERR'!BY8:BY507, _xlfn.LAMBDA(_xlpm.part, _xlpm.val, _xlpm.error, IF(_xlpm.part = "", "", IF(LEN(_xlpm.error), _xlfn.SWITCH(IFERROR(_xlfn.TEXTBEFORE(_xlpm.error,":"), ""), "1", "Error", "2", "Disabled", "3", "Required", "4", "Warning", "Valid"), "Valid"))))</f>
        <v>0</v>
      </c>
      <c r="BZ8" s="22" cm="1">
        <f t="array" ref="BZ8">_xlfn.MAP('6161 - Wallpaper'!B8:B507, '6161 - Wallpaper'!BZ8:BZ507, '6161 - Wallpaper-WUO_ERR'!BZ8:BZ507, _xlfn.LAMBDA(_xlpm.part, _xlpm.val, _xlpm.error, IF(_xlpm.part = "", "", IF(LEN(_xlpm.error), _xlfn.SWITCH(IFERROR(_xlfn.TEXTBEFORE(_xlpm.error,":"), ""), "1", "Error", "2", "Disabled", "3", "Required", "4", "Warning", "Valid"), "Valid"))))</f>
        <v>0</v>
      </c>
      <c r="CA8" s="22" cm="1">
        <f t="array" ref="CA8">_xlfn.MAP('6161 - Wallpaper'!B8:B507, '6161 - Wallpaper'!CA8:CA507, '6161 - Wallpaper-WUO_ERR'!CA8:CA507, _xlfn.LAMBDA(_xlpm.part, _xlpm.val, _xlpm.error, IF(_xlpm.part = "", "", IF(LEN(_xlpm.error), _xlfn.SWITCH(IFERROR(_xlfn.TEXTBEFORE(_xlpm.error,":"), ""), "1", "Error", "2", "Disabled", "3", "Required", "4", "Warning", "Valid"), "Valid"))))</f>
        <v>0</v>
      </c>
      <c r="CB8" s="22" cm="1">
        <f t="array" ref="CB8">_xlfn.MAP('6161 - Wallpaper'!B8:B507, '6161 - Wallpaper'!CB8:CB507, '6161 - Wallpaper-WUO_ERR'!CB8:CB507, _xlfn.LAMBDA(_xlpm.part, _xlpm.val, _xlpm.error, IF(_xlpm.part = "", "", IF(LEN(_xlpm.error), _xlfn.SWITCH(IFERROR(_xlfn.TEXTBEFORE(_xlpm.error,":"), ""), "1", "Error", "2", "Disabled", "3", "Required", "4", "Warning", "Valid"), "Valid"))))</f>
        <v>0</v>
      </c>
      <c r="CC8" s="22" cm="1">
        <f t="array" ref="CC8">_xlfn.MAP('6161 - Wallpaper'!B8:B507, '6161 - Wallpaper'!CC8:CC507, '6161 - Wallpaper-WUO_ERR'!CC8:CC507, _xlfn.LAMBDA(_xlpm.part, _xlpm.val, _xlpm.error, IF(_xlpm.part = "", "", IF(LEN(_xlpm.error), _xlfn.SWITCH(IFERROR(_xlfn.TEXTBEFORE(_xlpm.error,":"), ""), "1", "Error", "2", "Disabled", "3", "Required", "4", "Warning", "Valid"), "Valid"))))</f>
        <v>0</v>
      </c>
      <c r="CD8" s="22" cm="1">
        <f t="array" ref="CD8">_xlfn.MAP('6161 - Wallpaper'!B8:B507, '6161 - Wallpaper'!CD8:CD507, '6161 - Wallpaper-WUO_ERR'!CD8:CD507, _xlfn.LAMBDA(_xlpm.part, _xlpm.val, _xlpm.error, IF(_xlpm.part = "", "", IF(LEN(_xlpm.error), _xlfn.SWITCH(IFERROR(_xlfn.TEXTBEFORE(_xlpm.error,":"), ""), "1", "Error", "2", "Disabled", "3", "Required", "4", "Warning", "Valid"), "Valid"))))</f>
        <v>0</v>
      </c>
      <c r="CE8" s="22" cm="1">
        <f t="array" ref="CE8">_xlfn.MAP('6161 - Wallpaper'!B8:B507, '6161 - Wallpaper'!CE8:CE507, '6161 - Wallpaper-WUO_ERR'!CE8:CE507, _xlfn.LAMBDA(_xlpm.part, _xlpm.val, _xlpm.error, IF(_xlpm.part = "", "", IF(LEN(_xlpm.error), _xlfn.SWITCH(IFERROR(_xlfn.TEXTBEFORE(_xlpm.error,":"), ""), "1", "Error", "2", "Disabled", "3", "Required", "4", "Warning", "Valid"), "Valid"))))</f>
        <v>0</v>
      </c>
      <c r="CF8" s="22" cm="1">
        <f t="array" ref="CF8">_xlfn.MAP('6161 - Wallpaper'!B8:B507, '6161 - Wallpaper'!CF8:CF507, '6161 - Wallpaper-WUO_ERR'!CF8:CF507, _xlfn.LAMBDA(_xlpm.part, _xlpm.val, _xlpm.error, IF(_xlpm.part = "", "", IF(LEN(_xlpm.error), _xlfn.SWITCH(IFERROR(_xlfn.TEXTBEFORE(_xlpm.error,":"), ""), "1", "Error", "2", "Disabled", "3", "Required", "4", "Warning", "Valid"), "Valid"))))</f>
        <v>0</v>
      </c>
      <c r="CG8" s="22" cm="1">
        <f t="array" ref="CG8">_xlfn.MAP('6161 - Wallpaper'!B8:B507, '6161 - Wallpaper'!CG8:CG507, '6161 - Wallpaper-WUO_ERR'!CG8:CG507, _xlfn.LAMBDA(_xlpm.part, _xlpm.val, _xlpm.error, IF(_xlpm.part = "", "", IF(LEN(_xlpm.error), _xlfn.SWITCH(IFERROR(_xlfn.TEXTBEFORE(_xlpm.error,":"), ""), "1", "Error", "2", "Disabled", "3", "Required", "4", "Warning", "Valid"), "Valid"))))</f>
        <v>0</v>
      </c>
      <c r="CH8" s="22" cm="1">
        <f t="array" ref="CH8">_xlfn.MAP('6161 - Wallpaper'!B8:B507, '6161 - Wallpaper'!CH8:CH507, '6161 - Wallpaper-WUO_ERR'!CH8:CH507, _xlfn.LAMBDA(_xlpm.part, _xlpm.val, _xlpm.error, IF(_xlpm.part = "", "", IF(LEN(_xlpm.error), _xlfn.SWITCH(IFERROR(_xlfn.TEXTBEFORE(_xlpm.error,":"), ""), "1", "Error", "2", "Disabled", "3", "Required", "4", "Warning", "Valid"), "Valid"))))</f>
        <v>0</v>
      </c>
      <c r="CI8" s="22" cm="1">
        <f t="array" ref="CI8">_xlfn.MAP('6161 - Wallpaper'!B8:B507, '6161 - Wallpaper'!CI8:CI507, '6161 - Wallpaper-WUO_ERR'!CI8:CI507, _xlfn.LAMBDA(_xlpm.part, _xlpm.val, _xlpm.error, IF(_xlpm.part = "", "", IF(LEN(_xlpm.error), _xlfn.SWITCH(IFERROR(_xlfn.TEXTBEFORE(_xlpm.error,":"), ""), "1", "Error", "2", "Disabled", "3", "Required", "4", "Warning", "Valid"), "Valid"))))</f>
        <v>0</v>
      </c>
      <c r="CJ8" s="22" cm="1">
        <f t="array" ref="CJ8">_xlfn.MAP('6161 - Wallpaper'!B8:B507, '6161 - Wallpaper'!CJ8:CJ507, '6161 - Wallpaper-WUO_ERR'!CJ8:CJ507, _xlfn.LAMBDA(_xlpm.part, _xlpm.val, _xlpm.error, IF(_xlpm.part = "", "", IF(LEN(_xlpm.error), _xlfn.SWITCH(IFERROR(_xlfn.TEXTBEFORE(_xlpm.error,":"), ""), "1", "Error", "2", "Disabled", "3", "Required", "4", "Warning", "Valid"), "Valid"))))</f>
        <v>0</v>
      </c>
      <c r="CK8" s="22" cm="1">
        <f t="array" ref="CK8">_xlfn.MAP('6161 - Wallpaper'!B8:B507, '6161 - Wallpaper'!CK8:CK507, '6161 - Wallpaper-WUO_ERR'!CK8:CK507, _xlfn.LAMBDA(_xlpm.part, _xlpm.val, _xlpm.error, IF(_xlpm.part = "", "", IF(LEN(_xlpm.error), _xlfn.SWITCH(IFERROR(_xlfn.TEXTBEFORE(_xlpm.error,":"), ""), "1", "Error", "2", "Disabled", "3", "Required", "4", "Warning", "Valid"), "Valid"))))</f>
        <v>0</v>
      </c>
      <c r="CL8" s="22" cm="1">
        <f t="array" ref="CL8">_xlfn.MAP('6161 - Wallpaper'!B8:B507, '6161 - Wallpaper'!CL8:CL507, '6161 - Wallpaper-WUO_ERR'!CL8:CL507, _xlfn.LAMBDA(_xlpm.part, _xlpm.val, _xlpm.error, IF(_xlpm.part = "", "", IF(LEN(_xlpm.error), _xlfn.SWITCH(IFERROR(_xlfn.TEXTBEFORE(_xlpm.error,":"), ""), "1", "Error", "2", "Disabled", "3", "Required", "4", "Warning", "Valid"), "Valid"))))</f>
        <v>0</v>
      </c>
      <c r="CM8" s="22" cm="1">
        <f t="array" ref="CM8">_xlfn.MAP('6161 - Wallpaper'!B8:B507, '6161 - Wallpaper'!CM8:CM507, '6161 - Wallpaper-WUO_ERR'!CM8:CM507, _xlfn.LAMBDA(_xlpm.part, _xlpm.val, _xlpm.error, IF(_xlpm.part = "", "", IF(LEN(_xlpm.error), _xlfn.SWITCH(IFERROR(_xlfn.TEXTBEFORE(_xlpm.error,":"), ""), "1", "Error", "2", "Disabled", "3", "Required", "4", "Warning", "Valid"), "Valid"))))</f>
        <v>0</v>
      </c>
      <c r="CN8" s="22" cm="1">
        <f t="array" ref="CN8">_xlfn.MAP('6161 - Wallpaper'!B8:B507, '6161 - Wallpaper'!CN8:CN507, '6161 - Wallpaper-WUO_ERR'!CN8:CN507, _xlfn.LAMBDA(_xlpm.part, _xlpm.val, _xlpm.error, IF(_xlpm.part = "", "", IF(LEN(_xlpm.error), _xlfn.SWITCH(IFERROR(_xlfn.TEXTBEFORE(_xlpm.error,":"), ""), "1", "Error", "2", "Disabled", "3", "Required", "4", "Warning", "Valid"), "Valid"))))</f>
        <v>0</v>
      </c>
      <c r="CO8" s="22" cm="1">
        <f t="array" ref="CO8">_xlfn.MAP('6161 - Wallpaper'!B8:B507, '6161 - Wallpaper'!CO8:CO507, '6161 - Wallpaper-WUO_ERR'!CO8:CO507, _xlfn.LAMBDA(_xlpm.part, _xlpm.val, _xlpm.error, IF(_xlpm.part = "", "", IF(LEN(_xlpm.error), _xlfn.SWITCH(IFERROR(_xlfn.TEXTBEFORE(_xlpm.error,":"), ""), "1", "Error", "2", "Disabled", "3", "Required", "4", "Warning", "Valid"), "Valid"))))</f>
        <v>0</v>
      </c>
      <c r="CP8" s="22" cm="1">
        <f t="array" ref="CP8">_xlfn.MAP('6161 - Wallpaper'!B8:B507, '6161 - Wallpaper'!CP8:CP507, '6161 - Wallpaper-WUO_ERR'!CP8:CP507, _xlfn.LAMBDA(_xlpm.part, _xlpm.val, _xlpm.error, IF(_xlpm.part = "", "", IF(LEN(_xlpm.error), _xlfn.SWITCH(IFERROR(_xlfn.TEXTBEFORE(_xlpm.error,":"), ""), "1", "Error", "2", "Disabled", "3", "Required", "4", "Warning", "Valid"), "Valid"))))</f>
        <v>0</v>
      </c>
      <c r="CQ8" s="22" cm="1">
        <f t="array" ref="CQ8">_xlfn.MAP('6161 - Wallpaper'!B8:B507, '6161 - Wallpaper'!CQ8:CQ507, '6161 - Wallpaper-WUO_ERR'!CQ8:CQ507, _xlfn.LAMBDA(_xlpm.part, _xlpm.val, _xlpm.error, IF(_xlpm.part = "", "", IF(LEN(_xlpm.error), _xlfn.SWITCH(IFERROR(_xlfn.TEXTBEFORE(_xlpm.error,":"), ""), "1", "Error", "2", "Disabled", "3", "Required", "4", "Warning", "Valid"), "Valid"))))</f>
        <v>0</v>
      </c>
      <c r="CR8" s="22" cm="1">
        <f t="array" ref="CR8">_xlfn.MAP('6161 - Wallpaper'!B8:B507, '6161 - Wallpaper'!CR8:CR507, '6161 - Wallpaper-WUO_ERR'!CR8:CR507, _xlfn.LAMBDA(_xlpm.part, _xlpm.val, _xlpm.error, IF(_xlpm.part = "", "", IF(LEN(_xlpm.error), _xlfn.SWITCH(IFERROR(_xlfn.TEXTBEFORE(_xlpm.error,":"), ""), "1", "Error", "2", "Disabled", "3", "Required", "4", "Warning", "Valid"), "Valid"))))</f>
        <v>0</v>
      </c>
      <c r="CS8" s="22" cm="1">
        <f t="array" ref="CS8">_xlfn.MAP('6161 - Wallpaper'!B8:B507, '6161 - Wallpaper'!CS8:CS507, '6161 - Wallpaper-WUO_ERR'!CS8:CS507, _xlfn.LAMBDA(_xlpm.part, _xlpm.val, _xlpm.error, IF(_xlpm.part = "", "", IF(LEN(_xlpm.error), _xlfn.SWITCH(IFERROR(_xlfn.TEXTBEFORE(_xlpm.error,":"), ""), "1", "Error", "2", "Disabled", "3", "Required", "4", "Warning", "Valid"), "Valid"))))</f>
        <v>0</v>
      </c>
    </row>
  </sheetData>
  <sheetProtection password="C1CD" sheet="1" objects="1" scenarios="1"/>
  <mergeCells count="9">
    <mergeCell ref="B2:I2"/>
    <mergeCell ref="J2:Q2"/>
    <mergeCell ref="R2:U2"/>
    <mergeCell ref="V2:AA2"/>
    <mergeCell ref="AB2:AL2"/>
    <mergeCell ref="AM2:AP2"/>
    <mergeCell ref="AQ2:BH2"/>
    <mergeCell ref="BI2:CO2"/>
    <mergeCell ref="CP2:CS2"/>
  </mergeCells>
  <dataValidations count="77">
    <dataValidation type="list" allowBlank="1" showInputMessage="1" showErrorMessage="1" errorTitle="Invalid Brand" error="The value provided is not a valid Brand." promptTitle="" prompt="If all products in this class consistently have the same answer, you can set a default value to apply automatically. For any exceptions, you can modify the answer for specific products without changing the default." sqref="D7">
      <formula1>'WAYFAIR_USE_ONLY'!$O$7:$O8</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H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S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T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U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V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W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X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Y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Z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A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B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C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D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E7">
      <formula1>32767</formula1>
    </dataValidation>
    <dataValidation type="list" allowBlank="1" showInputMessage="1" showErrorMessage="1" errorTitle="Invalid Ship Type" error="The value provided is not a valid Ship Type." promptTitle="" prompt="If all products in this class consistently have the same answer, you can set a default value to apply automatically. For any exceptions, you can modify the answer for specific products without changing the default." sqref="AF7">
      <formula1>'WAYFAIR_USE_ONLY'!$T$7:$T9</formula1>
    </dataValidation>
    <dataValidation type="list" allowBlank="1" showInputMessage="1" showErrorMessage="1" errorTitle="Invalid Freight Class" error="The value provided is not a valid Freight Class." promptTitle="" prompt="If all products in this class consistently have the same answer, you can set a default value to apply automatically. For any exceptions, you can modify the answer for specific products without changing the default." sqref="AG7">
      <formula1>'WAYFAIR_USE_ONLY'!$U$7:$U25</formula1>
    </dataValidation>
    <dataValidation type="list" allowBlank="1" showInputMessage="1" showErrorMessage="1" errorTitle="Invalid Lead Time" error="The value provided is not a valid Lead Time." promptTitle="" prompt="If all products in this class consistently have the same answer, you can set a default value to apply automatically. For any exceptions, you can modify the answer for specific products without changing the default." sqref="AH7">
      <formula1>'WAYFAIR_USE_ONLY'!$V$7:$V24</formula1>
    </dataValidation>
    <dataValidation type="list" allowBlank="1" showInputMessage="1" showErrorMessage="1" errorTitle="Invalid Replacement Lead Time" error="The value provided is not a valid Replacement Lead Time." promptTitle="" prompt="If all products in this class consistently have the same answer, you can set a default value to apply automatically. For any exceptions, you can modify the answer for specific products without changing the default." sqref="AI7">
      <formula1>'WAYFAIR_USE_ONLY'!$W$7:$W13</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J7">
      <formula1>32767</formula1>
    </dataValidation>
    <dataValidation type="list" allowBlank="1" showInputMessage="1" showErrorMessage="1" errorTitle="Invalid Flat Pack" error="The value provided is not a valid Flat Pack." promptTitle="" prompt="If all products in this class consistently have the same answer, you can set a default value to apply automatically. For any exceptions, you can modify the answer for specific products without changing the default." sqref="AK7">
      <formula1>'WAYFAIR_USE_ONLY'!$X$7:$X9</formula1>
    </dataValidation>
    <dataValidation type="list" allowBlank="1" showInputMessage="1" showErrorMessage="1" errorTitle="Invalid Ship Palletized" error="The value provided is not a valid Ship Palletized." promptTitle="" prompt="If all products in this class consistently have the same answer, you can set a default value to apply automatically. For any exceptions, you can modify the answer for specific products without changing the default." sqref="AL7">
      <formula1>'WAYFAIR_USE_ONLY'!$Y$7:$Y9</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M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N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O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P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W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Y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AZ7">
      <formula1>'WAYFAIR_USE_ONLY'!$P$7:$P11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A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C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D7">
      <formula1>'WAYFAIR_USE_ONLY'!$P$7:$P11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E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F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G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H7">
      <formula1>'WAYFAIR_USE_ONLY'!$P$7:$P11</formula1>
    </dataValidation>
    <dataValidation type="list" allowBlank="1" showInputMessage="1" showErrorMessage="1" errorTitle="Invalid Product Type" error="The value provided is not a valid Product Type." promptTitle="" prompt="If all products in this class consistently have the same answer, you can set a default value to apply automatically. For any exceptions, you can modify the answer for specific products without changing the default." sqref="BI7">
      <formula1>'WAYFAIR_USE_ONLY'!$AB$7:$AB15</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J7"/>
    <dataValidation type="list" errorStyle="warning" allowBlank="1" showInputMessage="1" showErrorMessage="1" errorTitle="Invalid Wallpaper Texture" error="The value provided is not a valid Wallpaper Texture. Would you like to provide a custom answer?" promptTitle="" prompt="If all products in this class consistently have the same answer, you can set a default value to apply automatically. For any exceptions, you can modify the answer for specific products without changing the default." sqref="BK7">
      <formula1>'WAYFAIR_USE_ONLY'!$AC$7:$AC13</formula1>
    </dataValidation>
    <dataValidation type="list" errorStyle="warning" allowBlank="1" showInputMessage="1" showErrorMessage="1" errorTitle="Invalid Application Type" error="The value provided is not a valid Application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L7">
      <formula1>'WAYFAIR_USE_ONLY'!$AD$7:$AD12</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M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N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O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P7"/>
    <dataValidation type="list" allowBlank="1" showInputMessage="1" showErrorMessage="1" errorTitle="Invalid BPA Free" error="The value provided is not a valid BPA Free." promptTitle="" prompt="If all products in this class consistently have the same answer, you can set a default value to apply automatically. For any exceptions, you can modify the answer for specific products without changing the default." sqref="BQ7">
      <formula1>'WAYFAIR_USE_ONLY'!$AE$7:$AE11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R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S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T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U7"/>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BV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W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Y7"/>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BZ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A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C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D7"/>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E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F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G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H7">
      <formula1>32767</formula1>
    </dataValidation>
    <dataValidation type="list" allowBlank="1" showInputMessage="1" showErrorMessage="1" errorTitle="Invalid Commercial Warranty" error="The value provided is not a valid Commercial Warranty." promptTitle="" prompt="If all products in this class consistently have the same answer, you can set a default value to apply automatically. For any exceptions, you can modify the answer for specific products without changing the default." sqref="CI7">
      <formula1>'WAYFAIR_USE_ONLY'!$AG$7:$AG10</formula1>
    </dataValidation>
    <dataValidation allowBlank="1" showInputMessage="1" showErrorMessage="1" promptTitle="Class Specific Child Question" prompt="This Question is directly related to the tag &quot;Commercial Warranty Your answer to the related question may influence which answers are accepted here." sqref="CJ4"/>
    <dataValidation type="list" allowBlank="1" showInputMessage="1" showErrorMessage="1" errorTitle="Invalid Commercial Warranty Leng" error="The value provided is not a valid Commercial Warranty Length." promptTitle="" prompt="If all products in this class consistently have the same answer, you can set a default value to apply automatically. For any exceptions, you can modify the answer for specific products without changing the default." sqref="CJ7">
      <formula1>'WAYFAIR_USE_ONLY'!$AF$7:$AF32</formula1>
    </dataValidation>
    <dataValidation type="list" allowBlank="1" showInputMessage="1" showErrorMessage="1" errorTitle="Invalid Wayfair Compliance Verif" error="The value provided is not a valid Wayfair Compliance Verified Program (including Baby Safety Alliance fka JPMA) for this product category." promptTitle="" prompt="If all products in this class consistently have the same answer, you can set a default value to apply automatically. For any exceptions, you can modify the answer for specific products without changing the default." sqref="CK7">
      <formula1>'WAYFAIR_USE_ONLY'!$AH$7:$AH9</formula1>
    </dataValidation>
    <dataValidation type="list" allowBlank="1" showInputMessage="1" showErrorMessage="1" errorTitle="Invalid Uniform Packaging and La" error="The value provided is not a valid Uniform Packaging and Labeling Regulations (UPLR) Compliant." promptTitle="" prompt="If all products in this class consistently have the same answer, you can set a default value to apply automatically. For any exceptions, you can modify the answer for specific products without changing the default." sqref="CL7">
      <formula1>'WAYFAIR_USE_ONLY'!$AI$7:$AI9</formula1>
    </dataValidation>
    <dataValidation type="list" allowBlank="1" showInputMessage="1" showErrorMessage="1" errorTitle="Invalid Canada Product Restricti" error="The value provided is not a valid Canada Product Restriction." promptTitle="" prompt="If all products in this class consistently have the same answer, you can set a default value to apply automatically. For any exceptions, you can modify the answer for specific products without changing the default." sqref="CM7">
      <formula1>'WAYFAIR_USE_ONLY'!$AJ$7:$AJ9</formula1>
    </dataValidation>
    <dataValidation allowBlank="1" showInputMessage="1" showErrorMessage="1" promptTitle="Class Specific Child Question" prompt="This Question is directly related to the tag &quot;Canada Product Restriction Your answer to the related question may influence which answers are accepted here." sqref="CN4"/>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N7"/>
    <dataValidation type="list" allowBlank="1" showInputMessage="1" showErrorMessage="1" errorTitle="Invalid Sustainability &amp; Social " error="The value provided is not a valid Sustainability &amp; Social Responsibility Certifications (North America Only)." promptTitle="" prompt="If all products in this class consistently have the same answer, you can set a default value to apply automatically. For any exceptions, you can modify the answer for specific products without changing the default." sqref="CO7">
      <formula1>'WAYFAIR_USE_ONLY'!$AK$7:$AK10</formula1>
    </dataValidation>
    <dataValidation type="list" allowBlank="1" showInputMessage="1" showErrorMessage="1" errorTitle="Invalid Warning Required" error="The value provided is not a valid Warning Required." promptTitle="" prompt="If all products in this class consistently have the same answer, you can set a default value to apply automatically. For any exceptions, you can modify the answer for specific products without changing the default." sqref="CP7">
      <formula1>'WAYFAIR_USE_ONLY'!$Q$7:$Q9</formula1>
    </dataValidation>
    <dataValidation type="list" allowBlank="1" showInputMessage="1" showErrorMessage="1" errorTitle="Invalid Chemical" error="The value provided is not a valid Chemical." promptTitle="" prompt="If all products in this class consistently have the same answer, you can set a default value to apply automatically. For any exceptions, you can modify the answer for specific products without changing the default." sqref="CQ7">
      <formula1>'WAYFAIR_USE_ONLY'!$R$7:$R908</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R7"/>
    <dataValidation type="list" allowBlank="1" showInputMessage="1" showErrorMessage="1" errorTitle="Invalid Country Of Manufacturer" error="The value provided is not a valid Country Of Manufacturer." promptTitle="" prompt="If all products in this class consistently have the same answer, you can set a default value to apply automatically. For any exceptions, you can modify the answer for specific products without changing the default." sqref="CS7">
      <formula1>'WAYFAIR_USE_ONLY'!$S$7:$S254</formula1>
    </dataValidation>
  </dataValidations>
  <hyperlinks>
    <hyperlink ref="D6" location="'Valid Values'!A1" display="Select"/>
    <hyperlink ref="J6" location="'Valid Values'!B1" display="Select"/>
    <hyperlink ref="L6" location="'Valid Values'!D1" display="Select"/>
    <hyperlink ref="N6" location="'Valid Values'!D1" display="Select"/>
    <hyperlink ref="P6" location="'Valid Values'!D1" display="Select"/>
    <hyperlink ref="AF6" location="'Valid Values'!E1" display="Select"/>
    <hyperlink ref="AG6" location="'Valid Values'!F1" display="Select"/>
    <hyperlink ref="AH6" location="'Valid Values'!G1" display="Select"/>
    <hyperlink ref="AI6" location="'Valid Values'!H1" display="Select"/>
    <hyperlink ref="AX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AY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AZ6" location="'Valid Values'!K1" display="Select"/>
    <hyperlink ref="BB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C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D6" location="'Valid Values'!K1" display="Select"/>
    <hyperlink ref="BF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G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H6" location="'Valid Values'!K1" display="Select"/>
    <hyperlink ref="BI6" location="'Valid Values'!AJ1" display="Select"/>
    <hyperlink ref="BJ6" location="'Valid Values'!AK1" display="Please choose one or more from the following, using a semicolon (;) to separate each value: Striped; Plaid; Chevron; Damask; Paisley; Geometric; Abstract; Gingham; Animal Print; Camouflage; Polka Dots; Ikat; Houndstooth; Toile; Patchwork; Ombre; Checkered; Floral; Argyle; Solid Color; No Pattern; Trellis; Dots; Starburst; Geometric Shapes; Marble; Brick; Irish Chain; Wood &amp; Shiplap; Chevron / Zig Zag; Clear; Stone; Drunkard's Path; Moroccan; Oriental; Block Print; Arc; Vintage Look; Does Not Apply"/>
    <hyperlink ref="BK6" location="'Valid Values'!AL1" display="Select"/>
    <hyperlink ref="BL6" location="'Valid Values'!AM1" display="Select"/>
    <hyperlink ref="BM6" location="'Valid Values'!AN1" display="Please choose one or more from the following, using a semicolon (;) to separate each value: Drop; Straight; Random; Unavailable; Does Not Apply"/>
    <hyperlink ref="BN6" location="'Valid Values'!AO1" display="Please choose one or more from the following, using a semicolon (;) to separate each value: Peelable; Strippable; Solution Required; Unavailable; Does Not Apply"/>
    <hyperlink ref="BO6" location="'Valid Values'!AP1" display="Please choose one or more from the following, using a semicolon (;) to separate each value: Made in USA; Made in USA of Imported Materials; Product of Canada; Made In Canada; Does Not Apply"/>
    <hyperlink ref="BP6" location="'Valid Values'!AQ1" display="Please choose one or more from the following, using a semicolon (;) to separate each value: Non Residential Use; Residential Use"/>
    <hyperlink ref="BR6" location="'Valid Values'!AR1" display="Please choose one or more from the following, using a semicolon (;) to separate each value: Mold / Mildew Resistant; Water Resistant; No Durability Features; Drip Free; Fade Resistant; Heat Resistant; Stain Resistant; Reinforced; Non-Porous; Fray Resistant; Non-Staining"/>
    <hyperlink ref="BS6" location="'Valid Values'!AS1" display="Please choose one or more from the following, using a semicolon (;) to separate each value: Achille Castiglioni; Alfredo Llorens; Becky Bailey; Badeloft; Alain Van Havre; Bannoura; Ann Gish; Ambesonne; Alberto Tabellini &amp; David Reiss; Andres Martinez; Allison Paladino; AERIN; Alexa Hampton; Antonio Citterio; BergHOFF; Ardmore; Arnold Krog; Bruno Marashlian; Carol Benson-Cobb; Campania International; Debra Ann of Atomic Mobiles; ARTCANVAS; Karen Didion; Maceteros; Rosiland Solomon; Ysnay; Ashley Norton; University frames; Ashley Helms; B2U; Artwall; Aviva Stanoff; ArtVerse; Artorang; ACROMA; Barrow Industries; Barclay Butera; Aqua Gallery; Barrow Fabric; Barbara Barry; Aston; Barry Goralnick; Barbara and James Restin; Arshs Fine Rugs; Brightech; C.L.L Collections; Bunny Williams; Busalt Design; Candice Olson; Betsy Drake Interiors; Bhawna's Fusion; Capital Lighting Fixture Co.; Booth &amp; Williams; Berbermade; Caroline's Treasures; Christian Lacroix; Chic Teak; Chapman &amp; Myers; ChiChi Decor; Celerie Kemble; ChildBeWild; Casa Fine Arts; Bespoky Rugs; Dawn Sweitzer; Dana Gibson; David Chipperfield; Darren Gygi; Creative Matters Inc.; Dana McMillan; Danielle Davis; David Phoenix; Christopher Fareed; E by Design; COXBRIGHT; Coe Steinwart; DreamLine; Daphne Polselli; Diane Beesley; Denny Knight; Diane Keaton; echo; Ebros Gift; EGLO; Duravit; Eleonora Ferragatta; E. F. Chapman; Elaine Smith; East West Furniture; iCanvas; Empava; Ernest Massuet; James Restin; Enrico Lavazzi; Ella's Bubbles; Emissary; Jaime Hayon; Evergreen; Jean-Marie Massaud; J Paul; Jennifer Hollack Raboin; Javier Mariscal; Jasper Morrison; James Brooksberry; Jamie Graney; J. Kent Martin; Jonathan Adler; Jennifer Ridel; Jose Javier Malavia; John Beard; JMV; Jordan Glassco Smith; Europatex; Jorge Pensi; Jose Luis Santes; John Strauss/Carisa Marie; Jose Maria Reina; Ettore Sottsass; Enrico Cosi &amp; Sergio Tabellini; Eugeni Quitllet; Jose Santaeulalia; Jessica Hollander; JoyJolt; Jim and Phoebe Howard; Julia Knight; Kelly Wearstler; Laura Park; Kurt Merki Jr.; Karin Reiter; Karo Martirosyan"/>
    <hyperlink ref="BT6" location="'Valid Values'!AT1" display="Please choose one or more from the following, using a semicolon (;) to separate each value: Hand wash recommended; Spot clean only; Clean with soap and water; Clean spills immediately; Non-Abrasive, Neutral Ph Cleaner; Vacuum with no beater bar/rotating brush; Professional / Dry Clean Recommended; Vacuum with upholstery attachment; Use product specific cleaner; Wipe clean with a dry cloth; Avoid use of abrasive cleaners; Do not wash; Dust mop; Hose down; Spot clean; Wipe with wet cloth; Spot clean with water; No washing / drying care; Do not bleach; After cleaning, use sealant; Vacuum; Avoid direct sunlight; Clean with cloth, mild soap, and warm water; Spot clean with mild detergent; Spot clean as needed; Do not use any cleaning agents; Machine wash; Dry clean recommended; Use dry, solvent-based cleaner; Wipe down with mild soap and water; Wipe with cloth; Wipe Clean Only; Hand Wash Only - Towel Dry Immediately; Wipe clean with a damp cloth; Does Not Apply"/>
    <hyperlink ref="BU6" location="'Valid Values'!AU1" display="Please choose one or more from the following, using a semicolon (;) to separate each value: Blue; Black; Brown; Red; Beige; Yellow; Pink; Purple; Gold; White; Ivory; Tan; Teal; Navy; Orange; Silver; Gray; Green; Cream; Clear"/>
    <hyperlink ref="BW6" location="'Valid Values'!AV1" display="Please choose one or more from the following, using a semicolon (;) to separate each value: Acacia; Alder; Ash; Bamboo; Beech; Birch; Camphor; Cedar; Cherry; Elm; Eucalyptus; Fir; Hickory; Mahogany; Mango; Maple; Oak; Pine; Poplar; Rosewood; Rubberwood; Sheesham; Spruce; Teak; Walnut; Wenge; Pecan; Shorea; Paulownia; Chestnut; Hemlock; Aspen; Mindi; Ipe; Olive; Ajo; Agarwood; Afzelia; Afrormosia; Bubinga; Brazilwood; Cumaru; Cedar, Mulanje; Cedar, Spanish; Aloewood; Lignum vitae; Mahogany, African; Mahogany, Mexican; Padauk, African; Macacauba; Ebony, Madagascar; Lignum vitae, Argentine; Gavilan; Mahogany, Honduran; Mahogany, Cuban; Stinkwood, red; Yew, Chinese; Pau rosa, Brazilian; Sandalwood, East African; Ramin; Zitan; Yew, Himalayan; Yew, Japanese; Rosewood, Siamese; Yew, Taiwan; Burlwood; Platane Wood; Sungkai; Does Not Apply"/>
    <hyperlink ref="BX6" location="'Valid Values'!AW1" display="Please choose one or more from the following, using a semicolon (;) to separate each value: MLB Atlanta Braves; MLB Chicago Cubs; MLB Arizona Diamondbacks; MLB Baltimore Orioles; MLB Kansas City Royals; MLB Boston Red Sox; MLB Milwaukee Brewers; MLB Detroit Tigers; MLB Cincinnati Reds; MLB Los Angeles Dodgers; MLB Colorado Rockies; MLB Chicago White Sox; MLB Houston Astros; MLB Miami Marlins; MLB Minnesota Twins; MLB Philadelphia Phillies; NBA New York Knicks; NHL Edmonton Oilers; MLB Los Angeles Angels; MLB New York Mets; MLB New York Yankees; MLB Pittsburgh Pirates; MLB San Diego Padres; MLB San Francisco Giants; NHL Los Angeles Kings; NHL Pittsburgh Penguins; MLB Seattle Mariners; MLB Cleveland Guardians; MLB Tampa Bay Rays; MLB Toronto Blue Jays; MLB Washington Nationals; NBA Boston Celtics; NBA Charlotte Hornets; NBA Denver Nuggets; NBA Golden State Warriors; NFL Houston Texans; NFL Baltimore Ravens; NBA Detroit Pistons; NBA Cleveland Cavaliers; NBA Houston Rockets; NBA Atlanta Hawks; NHL Washington Capitals; NBA Los Angeles Clippers; NBA Minnesota Timberwolves; NBA Brooklyn Nets; NBA Sacramento Kings; NBA Washington Wizards; NBA San Antonio Spurs; NHL Calgary Flames; NHL Carolina Hurricanes; NBA Indiana Pacers; NBA New Orleans Pelicans; NFL New York Giants; NBA Memphis Grizzlies; MLB Oakland Athletics; NHL Detroit Red Wings; NHL Colorado Avalanche; NHL New York Islanders; NBA Chicago Bulls; NBA Utah Jazz; NBA Philadelphia 76ers; NBA Milwaukee Bucks; NBA Miami Heat; NBA Oklahoma City Thunder; NBA Orlando Magic; NHL Montreal Canadiens; NHL Vancouver Canucks; NHL San Jose Sharks; NHL Arizona Coyotes; NHL Winnipeg Jets; NHL Buffalo Sabres; NHL Boston Bruins; NHL Vegas Golden Knights; NFL Buffalo Bills; NBA Toronto Raptors; NFL Arizona Cardinals; MLB Texas Rangers; NFL Cincinnati Bengals; NFL Carolina Panthers; NFL Detroit Lions; NFL Atlanta Falcons; NFL Green Bay Packers; NFL Denver Broncos; NFL Miami Dolphins; NFL Jacksonville Jaguars; NHL Dallas Stars; NFL Kansas City Chiefs; NHL Florida Panthers; NHL Minnesota Wild; NBA Phoenix Suns; NFL "/>
    <hyperlink ref="BY6" location="'Valid Values'!AX1" display="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hyperlink ref="CA6" location="'Valid Values'!AY1" display="Please choose one or more from the following, using a semicolon (;) to separate each value: Breathable; Dual Sided; Paintable / Stainable"/>
    <hyperlink ref="CB6" location="'Valid Values'!AZ1" display="Please choose one or more from the following, using a semicolon (;) to separate each value: Aluminum; Cast Iron; Fabric; Paper; Plastic; PVC; Steel; Vinyl; Wood; Fleece; Grass Cloth; MDF; Non-Woven; Particle Board / Chipboard; Plywood / Laminate Board"/>
    <hyperlink ref="CC6" location="'Valid Values'!BA1" display="Please choose one or more from the following, using a semicolon (;) to separate each value: Newborn (Birth - 6 months old); Infant (6 - 12 Months); Toddler (1 - 3 Years); Pre-school (3 - 5 Years); Youth (5 - 8 Years); Pre-teen (9 - 12 Years); Teen (13+); Adult (18+); All Ages; Adult; Baby; Kid; Teen; Toddler; Unavailable"/>
    <hyperlink ref="CD6" location="'Valid Values'!BB1" display="Please choose one or more from the following, using a semicolon (;) to separate each value: Satin; Gloss; Rubber Coated; Neoprene Dipped; Distressed; Glitter / Shimmer; Low-Gloss; Matte; Metallic; Primed; Semi Gloss"/>
    <hyperlink ref="CJ6" location="'Valid Values'!BC1" display="Select"/>
    <hyperlink ref="CK6" location="'Valid Values'!BD1" display="Select"/>
    <hyperlink ref="CL6" location="'Valid Values'!BE1" display="Select"/>
    <hyperlink ref="CN6" location="'Valid Values'!BF1" display="Please choose one or more from the following, using a semicolon (;) to separate each value: Dual Language; Distribution Conflict; Logistics; Does Not Apply"/>
    <hyperlink ref="CQ6" location="'Valid Values'!AG1" display="Select"/>
    <hyperlink ref="CR6" location="'Valid Values'!AH1" display="Please choose one or more from the following, using a semicolon (;) to separate each value: Cancer; Developmental"/>
    <hyperlink ref="CS6" location="'Valid Values'!AI1" display="Select"/>
  </hyperlink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dimension ref="A1:Z507"/>
  <sheetViews>
    <sheetView workbookViewId="0"/>
  </sheetViews>
  <sheetFormatPr defaultRowHeight="15"/>
  <cols>
    <col min="1" max="1" width="35.7109375" customWidth="1"/>
    <col min="2" max="2" width="25.7109375" style="22" customWidth="1"/>
    <col min="3" max="4" width="18.7109375" style="22" customWidth="1"/>
    <col min="5" max="6" width="17.7109375" style="22" customWidth="1"/>
    <col min="26" max="26" width="0" hidden="1" customWidth="1"/>
  </cols>
  <sheetData>
    <row r="1" spans="1:26" hidden="1">
      <c r="B1" s="22" t="s">
        <v>2221</v>
      </c>
      <c r="C1" s="22" t="s">
        <v>2321</v>
      </c>
      <c r="D1" s="22" t="s">
        <v>2324</v>
      </c>
      <c r="E1" s="22" t="s">
        <v>2327</v>
      </c>
      <c r="F1" s="22" t="s">
        <v>2330</v>
      </c>
    </row>
    <row r="2" spans="1:26">
      <c r="B2" s="23" t="s">
        <v>2477</v>
      </c>
      <c r="C2" s="28" t="s">
        <v>2482</v>
      </c>
    </row>
    <row r="3" spans="1:26">
      <c r="B3" s="32" t="s">
        <v>58</v>
      </c>
      <c r="C3" s="32" t="s">
        <v>64</v>
      </c>
      <c r="D3" s="32" t="s">
        <v>64</v>
      </c>
      <c r="E3" s="32" t="s">
        <v>64</v>
      </c>
      <c r="F3" s="32" t="s">
        <v>64</v>
      </c>
    </row>
    <row r="4" spans="1:26" ht="50" customHeight="1">
      <c r="A4" s="19" t="s">
        <v>2218</v>
      </c>
      <c r="B4" s="19" t="s">
        <v>2222</v>
      </c>
      <c r="C4" s="19" t="s">
        <v>2563</v>
      </c>
      <c r="D4" s="19" t="s">
        <v>2564</v>
      </c>
      <c r="E4" s="19" t="s">
        <v>2565</v>
      </c>
      <c r="F4" s="19" t="s">
        <v>2566</v>
      </c>
    </row>
    <row r="5" spans="1:26" ht="50" customHeight="1">
      <c r="A5" s="35" t="s">
        <v>2219</v>
      </c>
      <c r="B5" s="35" t="s">
        <v>2223</v>
      </c>
      <c r="C5" s="35" t="s">
        <v>2323</v>
      </c>
      <c r="D5" s="35" t="s">
        <v>2326</v>
      </c>
      <c r="E5" s="35" t="s">
        <v>2329</v>
      </c>
      <c r="F5" s="35" t="s">
        <v>2332</v>
      </c>
    </row>
    <row r="6" spans="1:26" ht="50" customHeight="1">
      <c r="A6" s="35" t="s">
        <v>2220</v>
      </c>
      <c r="B6" s="35" t="s">
        <v>67</v>
      </c>
      <c r="C6" s="35" t="s">
        <v>2267</v>
      </c>
      <c r="D6" s="35" t="s">
        <v>2267</v>
      </c>
      <c r="E6" s="35" t="s">
        <v>2267</v>
      </c>
      <c r="F6" s="35" t="s">
        <v>2267</v>
      </c>
    </row>
    <row r="7" spans="1:26">
      <c r="A7" s="39">
        <f>IF('Additional Cartons'!B7 = "", "", IF('Additional Cartons-WUO_ERR'!A7 = "", "Validated", HYPERLINK("#" &amp; ADDRESS(7, 'Additional Cartons-WUO_TRK'!A7),_xlfn.TEXTAFTER('Additional Cartons-WUO_ERR'!A7, ":"))))</f>
        <v>0</v>
      </c>
      <c r="Z7" cm="1">
        <f t="array" ref="Z7">IF(B7:B507="", "", IFERROR(_xlfn.XLOOKUP(B7:B507, _xlfn.VSTACK('3757 - Wall Stickers'!B7:B507, '6161 - Wallpaper'!B7:B507), _xlfn.VSTACK('3757 - Wall Stickers'!G7:G507, '6161 - Wallpaper'!G7:G507)), ""))</f>
        <v>0</v>
      </c>
    </row>
    <row r="8" spans="1:26">
      <c r="A8" s="39">
        <f>IF('Additional Cartons'!B8 = "", "", IF('Additional Cartons-WUO_ERR'!A8 = "", "Validated", HYPERLINK("#" &amp; ADDRESS(8, 'Additional Cartons-WUO_TRK'!A8),_xlfn.TEXTAFTER('Additional Cartons-WUO_ERR'!A8, ":"))))</f>
        <v>0</v>
      </c>
    </row>
    <row r="9" spans="1:26">
      <c r="A9" s="39">
        <f>IF('Additional Cartons'!B9 = "", "", IF('Additional Cartons-WUO_ERR'!A9 = "", "Validated", HYPERLINK("#" &amp; ADDRESS(9, 'Additional Cartons-WUO_TRK'!A9),_xlfn.TEXTAFTER('Additional Cartons-WUO_ERR'!A9, ":"))))</f>
        <v>0</v>
      </c>
    </row>
    <row r="10" spans="1:26">
      <c r="A10" s="39">
        <f>IF('Additional Cartons'!B10 = "", "", IF('Additional Cartons-WUO_ERR'!A10 = "", "Validated", HYPERLINK("#" &amp; ADDRESS(10, 'Additional Cartons-WUO_TRK'!A10),_xlfn.TEXTAFTER('Additional Cartons-WUO_ERR'!A10, ":"))))</f>
        <v>0</v>
      </c>
    </row>
    <row r="11" spans="1:26">
      <c r="A11" s="39">
        <f>IF('Additional Cartons'!B11 = "", "", IF('Additional Cartons-WUO_ERR'!A11 = "", "Validated", HYPERLINK("#" &amp; ADDRESS(11, 'Additional Cartons-WUO_TRK'!A11),_xlfn.TEXTAFTER('Additional Cartons-WUO_ERR'!A11, ":"))))</f>
        <v>0</v>
      </c>
    </row>
    <row r="12" spans="1:26">
      <c r="A12" s="39">
        <f>IF('Additional Cartons'!B12 = "", "", IF('Additional Cartons-WUO_ERR'!A12 = "", "Validated", HYPERLINK("#" &amp; ADDRESS(12, 'Additional Cartons-WUO_TRK'!A12),_xlfn.TEXTAFTER('Additional Cartons-WUO_ERR'!A12, ":"))))</f>
        <v>0</v>
      </c>
    </row>
    <row r="13" spans="1:26">
      <c r="A13" s="39">
        <f>IF('Additional Cartons'!B13 = "", "", IF('Additional Cartons-WUO_ERR'!A13 = "", "Validated", HYPERLINK("#" &amp; ADDRESS(13, 'Additional Cartons-WUO_TRK'!A13),_xlfn.TEXTAFTER('Additional Cartons-WUO_ERR'!A13, ":"))))</f>
        <v>0</v>
      </c>
    </row>
    <row r="14" spans="1:26">
      <c r="A14" s="39">
        <f>IF('Additional Cartons'!B14 = "", "", IF('Additional Cartons-WUO_ERR'!A14 = "", "Validated", HYPERLINK("#" &amp; ADDRESS(14, 'Additional Cartons-WUO_TRK'!A14),_xlfn.TEXTAFTER('Additional Cartons-WUO_ERR'!A14, ":"))))</f>
        <v>0</v>
      </c>
    </row>
    <row r="15" spans="1:26">
      <c r="A15" s="39">
        <f>IF('Additional Cartons'!B15 = "", "", IF('Additional Cartons-WUO_ERR'!A15 = "", "Validated", HYPERLINK("#" &amp; ADDRESS(15, 'Additional Cartons-WUO_TRK'!A15),_xlfn.TEXTAFTER('Additional Cartons-WUO_ERR'!A15, ":"))))</f>
        <v>0</v>
      </c>
    </row>
    <row r="16" spans="1:26">
      <c r="A16" s="39">
        <f>IF('Additional Cartons'!B16 = "", "", IF('Additional Cartons-WUO_ERR'!A16 = "", "Validated", HYPERLINK("#" &amp; ADDRESS(16, 'Additional Cartons-WUO_TRK'!A16),_xlfn.TEXTAFTER('Additional Cartons-WUO_ERR'!A16, ":"))))</f>
        <v>0</v>
      </c>
    </row>
    <row r="17" spans="1:1">
      <c r="A17" s="39">
        <f>IF('Additional Cartons'!B17 = "", "", IF('Additional Cartons-WUO_ERR'!A17 = "", "Validated", HYPERLINK("#" &amp; ADDRESS(17, 'Additional Cartons-WUO_TRK'!A17),_xlfn.TEXTAFTER('Additional Cartons-WUO_ERR'!A17, ":"))))</f>
        <v>0</v>
      </c>
    </row>
    <row r="18" spans="1:1">
      <c r="A18" s="39">
        <f>IF('Additional Cartons'!B18 = "", "", IF('Additional Cartons-WUO_ERR'!A18 = "", "Validated", HYPERLINK("#" &amp; ADDRESS(18, 'Additional Cartons-WUO_TRK'!A18),_xlfn.TEXTAFTER('Additional Cartons-WUO_ERR'!A18, ":"))))</f>
        <v>0</v>
      </c>
    </row>
    <row r="19" spans="1:1">
      <c r="A19" s="39">
        <f>IF('Additional Cartons'!B19 = "", "", IF('Additional Cartons-WUO_ERR'!A19 = "", "Validated", HYPERLINK("#" &amp; ADDRESS(19, 'Additional Cartons-WUO_TRK'!A19),_xlfn.TEXTAFTER('Additional Cartons-WUO_ERR'!A19, ":"))))</f>
        <v>0</v>
      </c>
    </row>
    <row r="20" spans="1:1">
      <c r="A20" s="39">
        <f>IF('Additional Cartons'!B20 = "", "", IF('Additional Cartons-WUO_ERR'!A20 = "", "Validated", HYPERLINK("#" &amp; ADDRESS(20, 'Additional Cartons-WUO_TRK'!A20),_xlfn.TEXTAFTER('Additional Cartons-WUO_ERR'!A20, ":"))))</f>
        <v>0</v>
      </c>
    </row>
    <row r="21" spans="1:1">
      <c r="A21" s="39">
        <f>IF('Additional Cartons'!B21 = "", "", IF('Additional Cartons-WUO_ERR'!A21 = "", "Validated", HYPERLINK("#" &amp; ADDRESS(21, 'Additional Cartons-WUO_TRK'!A21),_xlfn.TEXTAFTER('Additional Cartons-WUO_ERR'!A21, ":"))))</f>
        <v>0</v>
      </c>
    </row>
    <row r="22" spans="1:1">
      <c r="A22" s="39">
        <f>IF('Additional Cartons'!B22 = "", "", IF('Additional Cartons-WUO_ERR'!A22 = "", "Validated", HYPERLINK("#" &amp; ADDRESS(22, 'Additional Cartons-WUO_TRK'!A22),_xlfn.TEXTAFTER('Additional Cartons-WUO_ERR'!A22, ":"))))</f>
        <v>0</v>
      </c>
    </row>
    <row r="23" spans="1:1">
      <c r="A23" s="39">
        <f>IF('Additional Cartons'!B23 = "", "", IF('Additional Cartons-WUO_ERR'!A23 = "", "Validated", HYPERLINK("#" &amp; ADDRESS(23, 'Additional Cartons-WUO_TRK'!A23),_xlfn.TEXTAFTER('Additional Cartons-WUO_ERR'!A23, ":"))))</f>
        <v>0</v>
      </c>
    </row>
    <row r="24" spans="1:1">
      <c r="A24" s="39">
        <f>IF('Additional Cartons'!B24 = "", "", IF('Additional Cartons-WUO_ERR'!A24 = "", "Validated", HYPERLINK("#" &amp; ADDRESS(24, 'Additional Cartons-WUO_TRK'!A24),_xlfn.TEXTAFTER('Additional Cartons-WUO_ERR'!A24, ":"))))</f>
        <v>0</v>
      </c>
    </row>
    <row r="25" spans="1:1">
      <c r="A25" s="39">
        <f>IF('Additional Cartons'!B25 = "", "", IF('Additional Cartons-WUO_ERR'!A25 = "", "Validated", HYPERLINK("#" &amp; ADDRESS(25, 'Additional Cartons-WUO_TRK'!A25),_xlfn.TEXTAFTER('Additional Cartons-WUO_ERR'!A25, ":"))))</f>
        <v>0</v>
      </c>
    </row>
    <row r="26" spans="1:1">
      <c r="A26" s="39">
        <f>IF('Additional Cartons'!B26 = "", "", IF('Additional Cartons-WUO_ERR'!A26 = "", "Validated", HYPERLINK("#" &amp; ADDRESS(26, 'Additional Cartons-WUO_TRK'!A26),_xlfn.TEXTAFTER('Additional Cartons-WUO_ERR'!A26, ":"))))</f>
        <v>0</v>
      </c>
    </row>
    <row r="27" spans="1:1">
      <c r="A27" s="39">
        <f>IF('Additional Cartons'!B27 = "", "", IF('Additional Cartons-WUO_ERR'!A27 = "", "Validated", HYPERLINK("#" &amp; ADDRESS(27, 'Additional Cartons-WUO_TRK'!A27),_xlfn.TEXTAFTER('Additional Cartons-WUO_ERR'!A27, ":"))))</f>
        <v>0</v>
      </c>
    </row>
    <row r="28" spans="1:1">
      <c r="A28" s="39">
        <f>IF('Additional Cartons'!B28 = "", "", IF('Additional Cartons-WUO_ERR'!A28 = "", "Validated", HYPERLINK("#" &amp; ADDRESS(28, 'Additional Cartons-WUO_TRK'!A28),_xlfn.TEXTAFTER('Additional Cartons-WUO_ERR'!A28, ":"))))</f>
        <v>0</v>
      </c>
    </row>
    <row r="29" spans="1:1">
      <c r="A29" s="39">
        <f>IF('Additional Cartons'!B29 = "", "", IF('Additional Cartons-WUO_ERR'!A29 = "", "Validated", HYPERLINK("#" &amp; ADDRESS(29, 'Additional Cartons-WUO_TRK'!A29),_xlfn.TEXTAFTER('Additional Cartons-WUO_ERR'!A29, ":"))))</f>
        <v>0</v>
      </c>
    </row>
    <row r="30" spans="1:1">
      <c r="A30" s="39">
        <f>IF('Additional Cartons'!B30 = "", "", IF('Additional Cartons-WUO_ERR'!A30 = "", "Validated", HYPERLINK("#" &amp; ADDRESS(30, 'Additional Cartons-WUO_TRK'!A30),_xlfn.TEXTAFTER('Additional Cartons-WUO_ERR'!A30, ":"))))</f>
        <v>0</v>
      </c>
    </row>
    <row r="31" spans="1:1">
      <c r="A31" s="39">
        <f>IF('Additional Cartons'!B31 = "", "", IF('Additional Cartons-WUO_ERR'!A31 = "", "Validated", HYPERLINK("#" &amp; ADDRESS(31, 'Additional Cartons-WUO_TRK'!A31),_xlfn.TEXTAFTER('Additional Cartons-WUO_ERR'!A31, ":"))))</f>
        <v>0</v>
      </c>
    </row>
    <row r="32" spans="1:1">
      <c r="A32" s="39">
        <f>IF('Additional Cartons'!B32 = "", "", IF('Additional Cartons-WUO_ERR'!A32 = "", "Validated", HYPERLINK("#" &amp; ADDRESS(32, 'Additional Cartons-WUO_TRK'!A32),_xlfn.TEXTAFTER('Additional Cartons-WUO_ERR'!A32, ":"))))</f>
        <v>0</v>
      </c>
    </row>
    <row r="33" spans="1:1">
      <c r="A33" s="39">
        <f>IF('Additional Cartons'!B33 = "", "", IF('Additional Cartons-WUO_ERR'!A33 = "", "Validated", HYPERLINK("#" &amp; ADDRESS(33, 'Additional Cartons-WUO_TRK'!A33),_xlfn.TEXTAFTER('Additional Cartons-WUO_ERR'!A33, ":"))))</f>
        <v>0</v>
      </c>
    </row>
    <row r="34" spans="1:1">
      <c r="A34" s="39">
        <f>IF('Additional Cartons'!B34 = "", "", IF('Additional Cartons-WUO_ERR'!A34 = "", "Validated", HYPERLINK("#" &amp; ADDRESS(34, 'Additional Cartons-WUO_TRK'!A34),_xlfn.TEXTAFTER('Additional Cartons-WUO_ERR'!A34, ":"))))</f>
        <v>0</v>
      </c>
    </row>
    <row r="35" spans="1:1">
      <c r="A35" s="39">
        <f>IF('Additional Cartons'!B35 = "", "", IF('Additional Cartons-WUO_ERR'!A35 = "", "Validated", HYPERLINK("#" &amp; ADDRESS(35, 'Additional Cartons-WUO_TRK'!A35),_xlfn.TEXTAFTER('Additional Cartons-WUO_ERR'!A35, ":"))))</f>
        <v>0</v>
      </c>
    </row>
    <row r="36" spans="1:1">
      <c r="A36" s="39">
        <f>IF('Additional Cartons'!B36 = "", "", IF('Additional Cartons-WUO_ERR'!A36 = "", "Validated", HYPERLINK("#" &amp; ADDRESS(36, 'Additional Cartons-WUO_TRK'!A36),_xlfn.TEXTAFTER('Additional Cartons-WUO_ERR'!A36, ":"))))</f>
        <v>0</v>
      </c>
    </row>
    <row r="37" spans="1:1">
      <c r="A37" s="39">
        <f>IF('Additional Cartons'!B37 = "", "", IF('Additional Cartons-WUO_ERR'!A37 = "", "Validated", HYPERLINK("#" &amp; ADDRESS(37, 'Additional Cartons-WUO_TRK'!A37),_xlfn.TEXTAFTER('Additional Cartons-WUO_ERR'!A37, ":"))))</f>
        <v>0</v>
      </c>
    </row>
    <row r="38" spans="1:1">
      <c r="A38" s="39">
        <f>IF('Additional Cartons'!B38 = "", "", IF('Additional Cartons-WUO_ERR'!A38 = "", "Validated", HYPERLINK("#" &amp; ADDRESS(38, 'Additional Cartons-WUO_TRK'!A38),_xlfn.TEXTAFTER('Additional Cartons-WUO_ERR'!A38, ":"))))</f>
        <v>0</v>
      </c>
    </row>
    <row r="39" spans="1:1">
      <c r="A39" s="39">
        <f>IF('Additional Cartons'!B39 = "", "", IF('Additional Cartons-WUO_ERR'!A39 = "", "Validated", HYPERLINK("#" &amp; ADDRESS(39, 'Additional Cartons-WUO_TRK'!A39),_xlfn.TEXTAFTER('Additional Cartons-WUO_ERR'!A39, ":"))))</f>
        <v>0</v>
      </c>
    </row>
    <row r="40" spans="1:1">
      <c r="A40" s="39">
        <f>IF('Additional Cartons'!B40 = "", "", IF('Additional Cartons-WUO_ERR'!A40 = "", "Validated", HYPERLINK("#" &amp; ADDRESS(40, 'Additional Cartons-WUO_TRK'!A40),_xlfn.TEXTAFTER('Additional Cartons-WUO_ERR'!A40, ":"))))</f>
        <v>0</v>
      </c>
    </row>
    <row r="41" spans="1:1">
      <c r="A41" s="39">
        <f>IF('Additional Cartons'!B41 = "", "", IF('Additional Cartons-WUO_ERR'!A41 = "", "Validated", HYPERLINK("#" &amp; ADDRESS(41, 'Additional Cartons-WUO_TRK'!A41),_xlfn.TEXTAFTER('Additional Cartons-WUO_ERR'!A41, ":"))))</f>
        <v>0</v>
      </c>
    </row>
    <row r="42" spans="1:1">
      <c r="A42" s="39">
        <f>IF('Additional Cartons'!B42 = "", "", IF('Additional Cartons-WUO_ERR'!A42 = "", "Validated", HYPERLINK("#" &amp; ADDRESS(42, 'Additional Cartons-WUO_TRK'!A42),_xlfn.TEXTAFTER('Additional Cartons-WUO_ERR'!A42, ":"))))</f>
        <v>0</v>
      </c>
    </row>
    <row r="43" spans="1:1">
      <c r="A43" s="39">
        <f>IF('Additional Cartons'!B43 = "", "", IF('Additional Cartons-WUO_ERR'!A43 = "", "Validated", HYPERLINK("#" &amp; ADDRESS(43, 'Additional Cartons-WUO_TRK'!A43),_xlfn.TEXTAFTER('Additional Cartons-WUO_ERR'!A43, ":"))))</f>
        <v>0</v>
      </c>
    </row>
    <row r="44" spans="1:1">
      <c r="A44" s="39">
        <f>IF('Additional Cartons'!B44 = "", "", IF('Additional Cartons-WUO_ERR'!A44 = "", "Validated", HYPERLINK("#" &amp; ADDRESS(44, 'Additional Cartons-WUO_TRK'!A44),_xlfn.TEXTAFTER('Additional Cartons-WUO_ERR'!A44, ":"))))</f>
        <v>0</v>
      </c>
    </row>
    <row r="45" spans="1:1">
      <c r="A45" s="39">
        <f>IF('Additional Cartons'!B45 = "", "", IF('Additional Cartons-WUO_ERR'!A45 = "", "Validated", HYPERLINK("#" &amp; ADDRESS(45, 'Additional Cartons-WUO_TRK'!A45),_xlfn.TEXTAFTER('Additional Cartons-WUO_ERR'!A45, ":"))))</f>
        <v>0</v>
      </c>
    </row>
    <row r="46" spans="1:1">
      <c r="A46" s="39">
        <f>IF('Additional Cartons'!B46 = "", "", IF('Additional Cartons-WUO_ERR'!A46 = "", "Validated", HYPERLINK("#" &amp; ADDRESS(46, 'Additional Cartons-WUO_TRK'!A46),_xlfn.TEXTAFTER('Additional Cartons-WUO_ERR'!A46, ":"))))</f>
        <v>0</v>
      </c>
    </row>
    <row r="47" spans="1:1">
      <c r="A47" s="39">
        <f>IF('Additional Cartons'!B47 = "", "", IF('Additional Cartons-WUO_ERR'!A47 = "", "Validated", HYPERLINK("#" &amp; ADDRESS(47, 'Additional Cartons-WUO_TRK'!A47),_xlfn.TEXTAFTER('Additional Cartons-WUO_ERR'!A47, ":"))))</f>
        <v>0</v>
      </c>
    </row>
    <row r="48" spans="1:1">
      <c r="A48" s="39">
        <f>IF('Additional Cartons'!B48 = "", "", IF('Additional Cartons-WUO_ERR'!A48 = "", "Validated", HYPERLINK("#" &amp; ADDRESS(48, 'Additional Cartons-WUO_TRK'!A48),_xlfn.TEXTAFTER('Additional Cartons-WUO_ERR'!A48, ":"))))</f>
        <v>0</v>
      </c>
    </row>
    <row r="49" spans="1:1">
      <c r="A49" s="39">
        <f>IF('Additional Cartons'!B49 = "", "", IF('Additional Cartons-WUO_ERR'!A49 = "", "Validated", HYPERLINK("#" &amp; ADDRESS(49, 'Additional Cartons-WUO_TRK'!A49),_xlfn.TEXTAFTER('Additional Cartons-WUO_ERR'!A49, ":"))))</f>
        <v>0</v>
      </c>
    </row>
    <row r="50" spans="1:1">
      <c r="A50" s="39">
        <f>IF('Additional Cartons'!B50 = "", "", IF('Additional Cartons-WUO_ERR'!A50 = "", "Validated", HYPERLINK("#" &amp; ADDRESS(50, 'Additional Cartons-WUO_TRK'!A50),_xlfn.TEXTAFTER('Additional Cartons-WUO_ERR'!A50, ":"))))</f>
        <v>0</v>
      </c>
    </row>
    <row r="51" spans="1:1">
      <c r="A51" s="39">
        <f>IF('Additional Cartons'!B51 = "", "", IF('Additional Cartons-WUO_ERR'!A51 = "", "Validated", HYPERLINK("#" &amp; ADDRESS(51, 'Additional Cartons-WUO_TRK'!A51),_xlfn.TEXTAFTER('Additional Cartons-WUO_ERR'!A51, ":"))))</f>
        <v>0</v>
      </c>
    </row>
    <row r="52" spans="1:1">
      <c r="A52" s="39">
        <f>IF('Additional Cartons'!B52 = "", "", IF('Additional Cartons-WUO_ERR'!A52 = "", "Validated", HYPERLINK("#" &amp; ADDRESS(52, 'Additional Cartons-WUO_TRK'!A52),_xlfn.TEXTAFTER('Additional Cartons-WUO_ERR'!A52, ":"))))</f>
        <v>0</v>
      </c>
    </row>
    <row r="53" spans="1:1">
      <c r="A53" s="39">
        <f>IF('Additional Cartons'!B53 = "", "", IF('Additional Cartons-WUO_ERR'!A53 = "", "Validated", HYPERLINK("#" &amp; ADDRESS(53, 'Additional Cartons-WUO_TRK'!A53),_xlfn.TEXTAFTER('Additional Cartons-WUO_ERR'!A53, ":"))))</f>
        <v>0</v>
      </c>
    </row>
    <row r="54" spans="1:1">
      <c r="A54" s="39">
        <f>IF('Additional Cartons'!B54 = "", "", IF('Additional Cartons-WUO_ERR'!A54 = "", "Validated", HYPERLINK("#" &amp; ADDRESS(54, 'Additional Cartons-WUO_TRK'!A54),_xlfn.TEXTAFTER('Additional Cartons-WUO_ERR'!A54, ":"))))</f>
        <v>0</v>
      </c>
    </row>
    <row r="55" spans="1:1">
      <c r="A55" s="39">
        <f>IF('Additional Cartons'!B55 = "", "", IF('Additional Cartons-WUO_ERR'!A55 = "", "Validated", HYPERLINK("#" &amp; ADDRESS(55, 'Additional Cartons-WUO_TRK'!A55),_xlfn.TEXTAFTER('Additional Cartons-WUO_ERR'!A55, ":"))))</f>
        <v>0</v>
      </c>
    </row>
    <row r="56" spans="1:1">
      <c r="A56" s="39">
        <f>IF('Additional Cartons'!B56 = "", "", IF('Additional Cartons-WUO_ERR'!A56 = "", "Validated", HYPERLINK("#" &amp; ADDRESS(56, 'Additional Cartons-WUO_TRK'!A56),_xlfn.TEXTAFTER('Additional Cartons-WUO_ERR'!A56, ":"))))</f>
        <v>0</v>
      </c>
    </row>
    <row r="57" spans="1:1">
      <c r="A57" s="39">
        <f>IF('Additional Cartons'!B57 = "", "", IF('Additional Cartons-WUO_ERR'!A57 = "", "Validated", HYPERLINK("#" &amp; ADDRESS(57, 'Additional Cartons-WUO_TRK'!A57),_xlfn.TEXTAFTER('Additional Cartons-WUO_ERR'!A57, ":"))))</f>
        <v>0</v>
      </c>
    </row>
    <row r="58" spans="1:1">
      <c r="A58" s="39">
        <f>IF('Additional Cartons'!B58 = "", "", IF('Additional Cartons-WUO_ERR'!A58 = "", "Validated", HYPERLINK("#" &amp; ADDRESS(58, 'Additional Cartons-WUO_TRK'!A58),_xlfn.TEXTAFTER('Additional Cartons-WUO_ERR'!A58, ":"))))</f>
        <v>0</v>
      </c>
    </row>
    <row r="59" spans="1:1">
      <c r="A59" s="39">
        <f>IF('Additional Cartons'!B59 = "", "", IF('Additional Cartons-WUO_ERR'!A59 = "", "Validated", HYPERLINK("#" &amp; ADDRESS(59, 'Additional Cartons-WUO_TRK'!A59),_xlfn.TEXTAFTER('Additional Cartons-WUO_ERR'!A59, ":"))))</f>
        <v>0</v>
      </c>
    </row>
    <row r="60" spans="1:1">
      <c r="A60" s="39">
        <f>IF('Additional Cartons'!B60 = "", "", IF('Additional Cartons-WUO_ERR'!A60 = "", "Validated", HYPERLINK("#" &amp; ADDRESS(60, 'Additional Cartons-WUO_TRK'!A60),_xlfn.TEXTAFTER('Additional Cartons-WUO_ERR'!A60, ":"))))</f>
        <v>0</v>
      </c>
    </row>
    <row r="61" spans="1:1">
      <c r="A61" s="39">
        <f>IF('Additional Cartons'!B61 = "", "", IF('Additional Cartons-WUO_ERR'!A61 = "", "Validated", HYPERLINK("#" &amp; ADDRESS(61, 'Additional Cartons-WUO_TRK'!A61),_xlfn.TEXTAFTER('Additional Cartons-WUO_ERR'!A61, ":"))))</f>
        <v>0</v>
      </c>
    </row>
    <row r="62" spans="1:1">
      <c r="A62" s="39">
        <f>IF('Additional Cartons'!B62 = "", "", IF('Additional Cartons-WUO_ERR'!A62 = "", "Validated", HYPERLINK("#" &amp; ADDRESS(62, 'Additional Cartons-WUO_TRK'!A62),_xlfn.TEXTAFTER('Additional Cartons-WUO_ERR'!A62, ":"))))</f>
        <v>0</v>
      </c>
    </row>
    <row r="63" spans="1:1">
      <c r="A63" s="39">
        <f>IF('Additional Cartons'!B63 = "", "", IF('Additional Cartons-WUO_ERR'!A63 = "", "Validated", HYPERLINK("#" &amp; ADDRESS(63, 'Additional Cartons-WUO_TRK'!A63),_xlfn.TEXTAFTER('Additional Cartons-WUO_ERR'!A63, ":"))))</f>
        <v>0</v>
      </c>
    </row>
    <row r="64" spans="1:1">
      <c r="A64" s="39">
        <f>IF('Additional Cartons'!B64 = "", "", IF('Additional Cartons-WUO_ERR'!A64 = "", "Validated", HYPERLINK("#" &amp; ADDRESS(64, 'Additional Cartons-WUO_TRK'!A64),_xlfn.TEXTAFTER('Additional Cartons-WUO_ERR'!A64, ":"))))</f>
        <v>0</v>
      </c>
    </row>
    <row r="65" spans="1:1">
      <c r="A65" s="39">
        <f>IF('Additional Cartons'!B65 = "", "", IF('Additional Cartons-WUO_ERR'!A65 = "", "Validated", HYPERLINK("#" &amp; ADDRESS(65, 'Additional Cartons-WUO_TRK'!A65),_xlfn.TEXTAFTER('Additional Cartons-WUO_ERR'!A65, ":"))))</f>
        <v>0</v>
      </c>
    </row>
    <row r="66" spans="1:1">
      <c r="A66" s="39">
        <f>IF('Additional Cartons'!B66 = "", "", IF('Additional Cartons-WUO_ERR'!A66 = "", "Validated", HYPERLINK("#" &amp; ADDRESS(66, 'Additional Cartons-WUO_TRK'!A66),_xlfn.TEXTAFTER('Additional Cartons-WUO_ERR'!A66, ":"))))</f>
        <v>0</v>
      </c>
    </row>
    <row r="67" spans="1:1">
      <c r="A67" s="39">
        <f>IF('Additional Cartons'!B67 = "", "", IF('Additional Cartons-WUO_ERR'!A67 = "", "Validated", HYPERLINK("#" &amp; ADDRESS(67, 'Additional Cartons-WUO_TRK'!A67),_xlfn.TEXTAFTER('Additional Cartons-WUO_ERR'!A67, ":"))))</f>
        <v>0</v>
      </c>
    </row>
    <row r="68" spans="1:1">
      <c r="A68" s="39">
        <f>IF('Additional Cartons'!B68 = "", "", IF('Additional Cartons-WUO_ERR'!A68 = "", "Validated", HYPERLINK("#" &amp; ADDRESS(68, 'Additional Cartons-WUO_TRK'!A68),_xlfn.TEXTAFTER('Additional Cartons-WUO_ERR'!A68, ":"))))</f>
        <v>0</v>
      </c>
    </row>
    <row r="69" spans="1:1">
      <c r="A69" s="39">
        <f>IF('Additional Cartons'!B69 = "", "", IF('Additional Cartons-WUO_ERR'!A69 = "", "Validated", HYPERLINK("#" &amp; ADDRESS(69, 'Additional Cartons-WUO_TRK'!A69),_xlfn.TEXTAFTER('Additional Cartons-WUO_ERR'!A69, ":"))))</f>
        <v>0</v>
      </c>
    </row>
    <row r="70" spans="1:1">
      <c r="A70" s="39">
        <f>IF('Additional Cartons'!B70 = "", "", IF('Additional Cartons-WUO_ERR'!A70 = "", "Validated", HYPERLINK("#" &amp; ADDRESS(70, 'Additional Cartons-WUO_TRK'!A70),_xlfn.TEXTAFTER('Additional Cartons-WUO_ERR'!A70, ":"))))</f>
        <v>0</v>
      </c>
    </row>
    <row r="71" spans="1:1">
      <c r="A71" s="39">
        <f>IF('Additional Cartons'!B71 = "", "", IF('Additional Cartons-WUO_ERR'!A71 = "", "Validated", HYPERLINK("#" &amp; ADDRESS(71, 'Additional Cartons-WUO_TRK'!A71),_xlfn.TEXTAFTER('Additional Cartons-WUO_ERR'!A71, ":"))))</f>
        <v>0</v>
      </c>
    </row>
    <row r="72" spans="1:1">
      <c r="A72" s="39">
        <f>IF('Additional Cartons'!B72 = "", "", IF('Additional Cartons-WUO_ERR'!A72 = "", "Validated", HYPERLINK("#" &amp; ADDRESS(72, 'Additional Cartons-WUO_TRK'!A72),_xlfn.TEXTAFTER('Additional Cartons-WUO_ERR'!A72, ":"))))</f>
        <v>0</v>
      </c>
    </row>
    <row r="73" spans="1:1">
      <c r="A73" s="39">
        <f>IF('Additional Cartons'!B73 = "", "", IF('Additional Cartons-WUO_ERR'!A73 = "", "Validated", HYPERLINK("#" &amp; ADDRESS(73, 'Additional Cartons-WUO_TRK'!A73),_xlfn.TEXTAFTER('Additional Cartons-WUO_ERR'!A73, ":"))))</f>
        <v>0</v>
      </c>
    </row>
    <row r="74" spans="1:1">
      <c r="A74" s="39">
        <f>IF('Additional Cartons'!B74 = "", "", IF('Additional Cartons-WUO_ERR'!A74 = "", "Validated", HYPERLINK("#" &amp; ADDRESS(74, 'Additional Cartons-WUO_TRK'!A74),_xlfn.TEXTAFTER('Additional Cartons-WUO_ERR'!A74, ":"))))</f>
        <v>0</v>
      </c>
    </row>
    <row r="75" spans="1:1">
      <c r="A75" s="39">
        <f>IF('Additional Cartons'!B75 = "", "", IF('Additional Cartons-WUO_ERR'!A75 = "", "Validated", HYPERLINK("#" &amp; ADDRESS(75, 'Additional Cartons-WUO_TRK'!A75),_xlfn.TEXTAFTER('Additional Cartons-WUO_ERR'!A75, ":"))))</f>
        <v>0</v>
      </c>
    </row>
    <row r="76" spans="1:1">
      <c r="A76" s="39">
        <f>IF('Additional Cartons'!B76 = "", "", IF('Additional Cartons-WUO_ERR'!A76 = "", "Validated", HYPERLINK("#" &amp; ADDRESS(76, 'Additional Cartons-WUO_TRK'!A76),_xlfn.TEXTAFTER('Additional Cartons-WUO_ERR'!A76, ":"))))</f>
        <v>0</v>
      </c>
    </row>
    <row r="77" spans="1:1">
      <c r="A77" s="39">
        <f>IF('Additional Cartons'!B77 = "", "", IF('Additional Cartons-WUO_ERR'!A77 = "", "Validated", HYPERLINK("#" &amp; ADDRESS(77, 'Additional Cartons-WUO_TRK'!A77),_xlfn.TEXTAFTER('Additional Cartons-WUO_ERR'!A77, ":"))))</f>
        <v>0</v>
      </c>
    </row>
    <row r="78" spans="1:1">
      <c r="A78" s="39">
        <f>IF('Additional Cartons'!B78 = "", "", IF('Additional Cartons-WUO_ERR'!A78 = "", "Validated", HYPERLINK("#" &amp; ADDRESS(78, 'Additional Cartons-WUO_TRK'!A78),_xlfn.TEXTAFTER('Additional Cartons-WUO_ERR'!A78, ":"))))</f>
        <v>0</v>
      </c>
    </row>
    <row r="79" spans="1:1">
      <c r="A79" s="39">
        <f>IF('Additional Cartons'!B79 = "", "", IF('Additional Cartons-WUO_ERR'!A79 = "", "Validated", HYPERLINK("#" &amp; ADDRESS(79, 'Additional Cartons-WUO_TRK'!A79),_xlfn.TEXTAFTER('Additional Cartons-WUO_ERR'!A79, ":"))))</f>
        <v>0</v>
      </c>
    </row>
    <row r="80" spans="1:1">
      <c r="A80" s="39">
        <f>IF('Additional Cartons'!B80 = "", "", IF('Additional Cartons-WUO_ERR'!A80 = "", "Validated", HYPERLINK("#" &amp; ADDRESS(80, 'Additional Cartons-WUO_TRK'!A80),_xlfn.TEXTAFTER('Additional Cartons-WUO_ERR'!A80, ":"))))</f>
        <v>0</v>
      </c>
    </row>
    <row r="81" spans="1:1">
      <c r="A81" s="39">
        <f>IF('Additional Cartons'!B81 = "", "", IF('Additional Cartons-WUO_ERR'!A81 = "", "Validated", HYPERLINK("#" &amp; ADDRESS(81, 'Additional Cartons-WUO_TRK'!A81),_xlfn.TEXTAFTER('Additional Cartons-WUO_ERR'!A81, ":"))))</f>
        <v>0</v>
      </c>
    </row>
    <row r="82" spans="1:1">
      <c r="A82" s="39">
        <f>IF('Additional Cartons'!B82 = "", "", IF('Additional Cartons-WUO_ERR'!A82 = "", "Validated", HYPERLINK("#" &amp; ADDRESS(82, 'Additional Cartons-WUO_TRK'!A82),_xlfn.TEXTAFTER('Additional Cartons-WUO_ERR'!A82, ":"))))</f>
        <v>0</v>
      </c>
    </row>
    <row r="83" spans="1:1">
      <c r="A83" s="39">
        <f>IF('Additional Cartons'!B83 = "", "", IF('Additional Cartons-WUO_ERR'!A83 = "", "Validated", HYPERLINK("#" &amp; ADDRESS(83, 'Additional Cartons-WUO_TRK'!A83),_xlfn.TEXTAFTER('Additional Cartons-WUO_ERR'!A83, ":"))))</f>
        <v>0</v>
      </c>
    </row>
    <row r="84" spans="1:1">
      <c r="A84" s="39">
        <f>IF('Additional Cartons'!B84 = "", "", IF('Additional Cartons-WUO_ERR'!A84 = "", "Validated", HYPERLINK("#" &amp; ADDRESS(84, 'Additional Cartons-WUO_TRK'!A84),_xlfn.TEXTAFTER('Additional Cartons-WUO_ERR'!A84, ":"))))</f>
        <v>0</v>
      </c>
    </row>
    <row r="85" spans="1:1">
      <c r="A85" s="39">
        <f>IF('Additional Cartons'!B85 = "", "", IF('Additional Cartons-WUO_ERR'!A85 = "", "Validated", HYPERLINK("#" &amp; ADDRESS(85, 'Additional Cartons-WUO_TRK'!A85),_xlfn.TEXTAFTER('Additional Cartons-WUO_ERR'!A85, ":"))))</f>
        <v>0</v>
      </c>
    </row>
    <row r="86" spans="1:1">
      <c r="A86" s="39">
        <f>IF('Additional Cartons'!B86 = "", "", IF('Additional Cartons-WUO_ERR'!A86 = "", "Validated", HYPERLINK("#" &amp; ADDRESS(86, 'Additional Cartons-WUO_TRK'!A86),_xlfn.TEXTAFTER('Additional Cartons-WUO_ERR'!A86, ":"))))</f>
        <v>0</v>
      </c>
    </row>
    <row r="87" spans="1:1">
      <c r="A87" s="39">
        <f>IF('Additional Cartons'!B87 = "", "", IF('Additional Cartons-WUO_ERR'!A87 = "", "Validated", HYPERLINK("#" &amp; ADDRESS(87, 'Additional Cartons-WUO_TRK'!A87),_xlfn.TEXTAFTER('Additional Cartons-WUO_ERR'!A87, ":"))))</f>
        <v>0</v>
      </c>
    </row>
    <row r="88" spans="1:1">
      <c r="A88" s="39">
        <f>IF('Additional Cartons'!B88 = "", "", IF('Additional Cartons-WUO_ERR'!A88 = "", "Validated", HYPERLINK("#" &amp; ADDRESS(88, 'Additional Cartons-WUO_TRK'!A88),_xlfn.TEXTAFTER('Additional Cartons-WUO_ERR'!A88, ":"))))</f>
        <v>0</v>
      </c>
    </row>
    <row r="89" spans="1:1">
      <c r="A89" s="39">
        <f>IF('Additional Cartons'!B89 = "", "", IF('Additional Cartons-WUO_ERR'!A89 = "", "Validated", HYPERLINK("#" &amp; ADDRESS(89, 'Additional Cartons-WUO_TRK'!A89),_xlfn.TEXTAFTER('Additional Cartons-WUO_ERR'!A89, ":"))))</f>
        <v>0</v>
      </c>
    </row>
    <row r="90" spans="1:1">
      <c r="A90" s="39">
        <f>IF('Additional Cartons'!B90 = "", "", IF('Additional Cartons-WUO_ERR'!A90 = "", "Validated", HYPERLINK("#" &amp; ADDRESS(90, 'Additional Cartons-WUO_TRK'!A90),_xlfn.TEXTAFTER('Additional Cartons-WUO_ERR'!A90, ":"))))</f>
        <v>0</v>
      </c>
    </row>
    <row r="91" spans="1:1">
      <c r="A91" s="39">
        <f>IF('Additional Cartons'!B91 = "", "", IF('Additional Cartons-WUO_ERR'!A91 = "", "Validated", HYPERLINK("#" &amp; ADDRESS(91, 'Additional Cartons-WUO_TRK'!A91),_xlfn.TEXTAFTER('Additional Cartons-WUO_ERR'!A91, ":"))))</f>
        <v>0</v>
      </c>
    </row>
    <row r="92" spans="1:1">
      <c r="A92" s="39">
        <f>IF('Additional Cartons'!B92 = "", "", IF('Additional Cartons-WUO_ERR'!A92 = "", "Validated", HYPERLINK("#" &amp; ADDRESS(92, 'Additional Cartons-WUO_TRK'!A92),_xlfn.TEXTAFTER('Additional Cartons-WUO_ERR'!A92, ":"))))</f>
        <v>0</v>
      </c>
    </row>
    <row r="93" spans="1:1">
      <c r="A93" s="39">
        <f>IF('Additional Cartons'!B93 = "", "", IF('Additional Cartons-WUO_ERR'!A93 = "", "Validated", HYPERLINK("#" &amp; ADDRESS(93, 'Additional Cartons-WUO_TRK'!A93),_xlfn.TEXTAFTER('Additional Cartons-WUO_ERR'!A93, ":"))))</f>
        <v>0</v>
      </c>
    </row>
    <row r="94" spans="1:1">
      <c r="A94" s="39">
        <f>IF('Additional Cartons'!B94 = "", "", IF('Additional Cartons-WUO_ERR'!A94 = "", "Validated", HYPERLINK("#" &amp; ADDRESS(94, 'Additional Cartons-WUO_TRK'!A94),_xlfn.TEXTAFTER('Additional Cartons-WUO_ERR'!A94, ":"))))</f>
        <v>0</v>
      </c>
    </row>
    <row r="95" spans="1:1">
      <c r="A95" s="39">
        <f>IF('Additional Cartons'!B95 = "", "", IF('Additional Cartons-WUO_ERR'!A95 = "", "Validated", HYPERLINK("#" &amp; ADDRESS(95, 'Additional Cartons-WUO_TRK'!A95),_xlfn.TEXTAFTER('Additional Cartons-WUO_ERR'!A95, ":"))))</f>
        <v>0</v>
      </c>
    </row>
    <row r="96" spans="1:1">
      <c r="A96" s="39">
        <f>IF('Additional Cartons'!B96 = "", "", IF('Additional Cartons-WUO_ERR'!A96 = "", "Validated", HYPERLINK("#" &amp; ADDRESS(96, 'Additional Cartons-WUO_TRK'!A96),_xlfn.TEXTAFTER('Additional Cartons-WUO_ERR'!A96, ":"))))</f>
        <v>0</v>
      </c>
    </row>
    <row r="97" spans="1:1">
      <c r="A97" s="39">
        <f>IF('Additional Cartons'!B97 = "", "", IF('Additional Cartons-WUO_ERR'!A97 = "", "Validated", HYPERLINK("#" &amp; ADDRESS(97, 'Additional Cartons-WUO_TRK'!A97),_xlfn.TEXTAFTER('Additional Cartons-WUO_ERR'!A97, ":"))))</f>
        <v>0</v>
      </c>
    </row>
    <row r="98" spans="1:1">
      <c r="A98" s="39">
        <f>IF('Additional Cartons'!B98 = "", "", IF('Additional Cartons-WUO_ERR'!A98 = "", "Validated", HYPERLINK("#" &amp; ADDRESS(98, 'Additional Cartons-WUO_TRK'!A98),_xlfn.TEXTAFTER('Additional Cartons-WUO_ERR'!A98, ":"))))</f>
        <v>0</v>
      </c>
    </row>
    <row r="99" spans="1:1">
      <c r="A99" s="39">
        <f>IF('Additional Cartons'!B99 = "", "", IF('Additional Cartons-WUO_ERR'!A99 = "", "Validated", HYPERLINK("#" &amp; ADDRESS(99, 'Additional Cartons-WUO_TRK'!A99),_xlfn.TEXTAFTER('Additional Cartons-WUO_ERR'!A99, ":"))))</f>
        <v>0</v>
      </c>
    </row>
    <row r="100" spans="1:1">
      <c r="A100" s="39">
        <f>IF('Additional Cartons'!B100 = "", "", IF('Additional Cartons-WUO_ERR'!A100 = "", "Validated", HYPERLINK("#" &amp; ADDRESS(100, 'Additional Cartons-WUO_TRK'!A100),_xlfn.TEXTAFTER('Additional Cartons-WUO_ERR'!A100, ":"))))</f>
        <v>0</v>
      </c>
    </row>
    <row r="101" spans="1:1">
      <c r="A101" s="39">
        <f>IF('Additional Cartons'!B101 = "", "", IF('Additional Cartons-WUO_ERR'!A101 = "", "Validated", HYPERLINK("#" &amp; ADDRESS(101, 'Additional Cartons-WUO_TRK'!A101),_xlfn.TEXTAFTER('Additional Cartons-WUO_ERR'!A101, ":"))))</f>
        <v>0</v>
      </c>
    </row>
    <row r="102" spans="1:1">
      <c r="A102" s="39">
        <f>IF('Additional Cartons'!B102 = "", "", IF('Additional Cartons-WUO_ERR'!A102 = "", "Validated", HYPERLINK("#" &amp; ADDRESS(102, 'Additional Cartons-WUO_TRK'!A102),_xlfn.TEXTAFTER('Additional Cartons-WUO_ERR'!A102, ":"))))</f>
        <v>0</v>
      </c>
    </row>
    <row r="103" spans="1:1">
      <c r="A103" s="39">
        <f>IF('Additional Cartons'!B103 = "", "", IF('Additional Cartons-WUO_ERR'!A103 = "", "Validated", HYPERLINK("#" &amp; ADDRESS(103, 'Additional Cartons-WUO_TRK'!A103),_xlfn.TEXTAFTER('Additional Cartons-WUO_ERR'!A103, ":"))))</f>
        <v>0</v>
      </c>
    </row>
    <row r="104" spans="1:1">
      <c r="A104" s="39">
        <f>IF('Additional Cartons'!B104 = "", "", IF('Additional Cartons-WUO_ERR'!A104 = "", "Validated", HYPERLINK("#" &amp; ADDRESS(104, 'Additional Cartons-WUO_TRK'!A104),_xlfn.TEXTAFTER('Additional Cartons-WUO_ERR'!A104, ":"))))</f>
        <v>0</v>
      </c>
    </row>
    <row r="105" spans="1:1">
      <c r="A105" s="39">
        <f>IF('Additional Cartons'!B105 = "", "", IF('Additional Cartons-WUO_ERR'!A105 = "", "Validated", HYPERLINK("#" &amp; ADDRESS(105, 'Additional Cartons-WUO_TRK'!A105),_xlfn.TEXTAFTER('Additional Cartons-WUO_ERR'!A105, ":"))))</f>
        <v>0</v>
      </c>
    </row>
    <row r="106" spans="1:1">
      <c r="A106" s="39">
        <f>IF('Additional Cartons'!B106 = "", "", IF('Additional Cartons-WUO_ERR'!A106 = "", "Validated", HYPERLINK("#" &amp; ADDRESS(106, 'Additional Cartons-WUO_TRK'!A106),_xlfn.TEXTAFTER('Additional Cartons-WUO_ERR'!A106, ":"))))</f>
        <v>0</v>
      </c>
    </row>
    <row r="107" spans="1:1">
      <c r="A107" s="39">
        <f>IF('Additional Cartons'!B107 = "", "", IF('Additional Cartons-WUO_ERR'!A107 = "", "Validated", HYPERLINK("#" &amp; ADDRESS(107, 'Additional Cartons-WUO_TRK'!A107),_xlfn.TEXTAFTER('Additional Cartons-WUO_ERR'!A107, ":"))))</f>
        <v>0</v>
      </c>
    </row>
    <row r="108" spans="1:1">
      <c r="A108" s="39">
        <f>IF('Additional Cartons'!B108 = "", "", IF('Additional Cartons-WUO_ERR'!A108 = "", "Validated", HYPERLINK("#" &amp; ADDRESS(108, 'Additional Cartons-WUO_TRK'!A108),_xlfn.TEXTAFTER('Additional Cartons-WUO_ERR'!A108, ":"))))</f>
        <v>0</v>
      </c>
    </row>
    <row r="109" spans="1:1">
      <c r="A109" s="39">
        <f>IF('Additional Cartons'!B109 = "", "", IF('Additional Cartons-WUO_ERR'!A109 = "", "Validated", HYPERLINK("#" &amp; ADDRESS(109, 'Additional Cartons-WUO_TRK'!A109),_xlfn.TEXTAFTER('Additional Cartons-WUO_ERR'!A109, ":"))))</f>
        <v>0</v>
      </c>
    </row>
    <row r="110" spans="1:1">
      <c r="A110" s="39">
        <f>IF('Additional Cartons'!B110 = "", "", IF('Additional Cartons-WUO_ERR'!A110 = "", "Validated", HYPERLINK("#" &amp; ADDRESS(110, 'Additional Cartons-WUO_TRK'!A110),_xlfn.TEXTAFTER('Additional Cartons-WUO_ERR'!A110, ":"))))</f>
        <v>0</v>
      </c>
    </row>
    <row r="111" spans="1:1">
      <c r="A111" s="39">
        <f>IF('Additional Cartons'!B111 = "", "", IF('Additional Cartons-WUO_ERR'!A111 = "", "Validated", HYPERLINK("#" &amp; ADDRESS(111, 'Additional Cartons-WUO_TRK'!A111),_xlfn.TEXTAFTER('Additional Cartons-WUO_ERR'!A111, ":"))))</f>
        <v>0</v>
      </c>
    </row>
    <row r="112" spans="1:1">
      <c r="A112" s="39">
        <f>IF('Additional Cartons'!B112 = "", "", IF('Additional Cartons-WUO_ERR'!A112 = "", "Validated", HYPERLINK("#" &amp; ADDRESS(112, 'Additional Cartons-WUO_TRK'!A112),_xlfn.TEXTAFTER('Additional Cartons-WUO_ERR'!A112, ":"))))</f>
        <v>0</v>
      </c>
    </row>
    <row r="113" spans="1:1">
      <c r="A113" s="39">
        <f>IF('Additional Cartons'!B113 = "", "", IF('Additional Cartons-WUO_ERR'!A113 = "", "Validated", HYPERLINK("#" &amp; ADDRESS(113, 'Additional Cartons-WUO_TRK'!A113),_xlfn.TEXTAFTER('Additional Cartons-WUO_ERR'!A113, ":"))))</f>
        <v>0</v>
      </c>
    </row>
    <row r="114" spans="1:1">
      <c r="A114" s="39">
        <f>IF('Additional Cartons'!B114 = "", "", IF('Additional Cartons-WUO_ERR'!A114 = "", "Validated", HYPERLINK("#" &amp; ADDRESS(114, 'Additional Cartons-WUO_TRK'!A114),_xlfn.TEXTAFTER('Additional Cartons-WUO_ERR'!A114, ":"))))</f>
        <v>0</v>
      </c>
    </row>
    <row r="115" spans="1:1">
      <c r="A115" s="39">
        <f>IF('Additional Cartons'!B115 = "", "", IF('Additional Cartons-WUO_ERR'!A115 = "", "Validated", HYPERLINK("#" &amp; ADDRESS(115, 'Additional Cartons-WUO_TRK'!A115),_xlfn.TEXTAFTER('Additional Cartons-WUO_ERR'!A115, ":"))))</f>
        <v>0</v>
      </c>
    </row>
    <row r="116" spans="1:1">
      <c r="A116" s="39">
        <f>IF('Additional Cartons'!B116 = "", "", IF('Additional Cartons-WUO_ERR'!A116 = "", "Validated", HYPERLINK("#" &amp; ADDRESS(116, 'Additional Cartons-WUO_TRK'!A116),_xlfn.TEXTAFTER('Additional Cartons-WUO_ERR'!A116, ":"))))</f>
        <v>0</v>
      </c>
    </row>
    <row r="117" spans="1:1">
      <c r="A117" s="39">
        <f>IF('Additional Cartons'!B117 = "", "", IF('Additional Cartons-WUO_ERR'!A117 = "", "Validated", HYPERLINK("#" &amp; ADDRESS(117, 'Additional Cartons-WUO_TRK'!A117),_xlfn.TEXTAFTER('Additional Cartons-WUO_ERR'!A117, ":"))))</f>
        <v>0</v>
      </c>
    </row>
    <row r="118" spans="1:1">
      <c r="A118" s="39">
        <f>IF('Additional Cartons'!B118 = "", "", IF('Additional Cartons-WUO_ERR'!A118 = "", "Validated", HYPERLINK("#" &amp; ADDRESS(118, 'Additional Cartons-WUO_TRK'!A118),_xlfn.TEXTAFTER('Additional Cartons-WUO_ERR'!A118, ":"))))</f>
        <v>0</v>
      </c>
    </row>
    <row r="119" spans="1:1">
      <c r="A119" s="39">
        <f>IF('Additional Cartons'!B119 = "", "", IF('Additional Cartons-WUO_ERR'!A119 = "", "Validated", HYPERLINK("#" &amp; ADDRESS(119, 'Additional Cartons-WUO_TRK'!A119),_xlfn.TEXTAFTER('Additional Cartons-WUO_ERR'!A119, ":"))))</f>
        <v>0</v>
      </c>
    </row>
    <row r="120" spans="1:1">
      <c r="A120" s="39">
        <f>IF('Additional Cartons'!B120 = "", "", IF('Additional Cartons-WUO_ERR'!A120 = "", "Validated", HYPERLINK("#" &amp; ADDRESS(120, 'Additional Cartons-WUO_TRK'!A120),_xlfn.TEXTAFTER('Additional Cartons-WUO_ERR'!A120, ":"))))</f>
        <v>0</v>
      </c>
    </row>
    <row r="121" spans="1:1">
      <c r="A121" s="39">
        <f>IF('Additional Cartons'!B121 = "", "", IF('Additional Cartons-WUO_ERR'!A121 = "", "Validated", HYPERLINK("#" &amp; ADDRESS(121, 'Additional Cartons-WUO_TRK'!A121),_xlfn.TEXTAFTER('Additional Cartons-WUO_ERR'!A121, ":"))))</f>
        <v>0</v>
      </c>
    </row>
    <row r="122" spans="1:1">
      <c r="A122" s="39">
        <f>IF('Additional Cartons'!B122 = "", "", IF('Additional Cartons-WUO_ERR'!A122 = "", "Validated", HYPERLINK("#" &amp; ADDRESS(122, 'Additional Cartons-WUO_TRK'!A122),_xlfn.TEXTAFTER('Additional Cartons-WUO_ERR'!A122, ":"))))</f>
        <v>0</v>
      </c>
    </row>
    <row r="123" spans="1:1">
      <c r="A123" s="39">
        <f>IF('Additional Cartons'!B123 = "", "", IF('Additional Cartons-WUO_ERR'!A123 = "", "Validated", HYPERLINK("#" &amp; ADDRESS(123, 'Additional Cartons-WUO_TRK'!A123),_xlfn.TEXTAFTER('Additional Cartons-WUO_ERR'!A123, ":"))))</f>
        <v>0</v>
      </c>
    </row>
    <row r="124" spans="1:1">
      <c r="A124" s="39">
        <f>IF('Additional Cartons'!B124 = "", "", IF('Additional Cartons-WUO_ERR'!A124 = "", "Validated", HYPERLINK("#" &amp; ADDRESS(124, 'Additional Cartons-WUO_TRK'!A124),_xlfn.TEXTAFTER('Additional Cartons-WUO_ERR'!A124, ":"))))</f>
        <v>0</v>
      </c>
    </row>
    <row r="125" spans="1:1">
      <c r="A125" s="39">
        <f>IF('Additional Cartons'!B125 = "", "", IF('Additional Cartons-WUO_ERR'!A125 = "", "Validated", HYPERLINK("#" &amp; ADDRESS(125, 'Additional Cartons-WUO_TRK'!A125),_xlfn.TEXTAFTER('Additional Cartons-WUO_ERR'!A125, ":"))))</f>
        <v>0</v>
      </c>
    </row>
    <row r="126" spans="1:1">
      <c r="A126" s="39">
        <f>IF('Additional Cartons'!B126 = "", "", IF('Additional Cartons-WUO_ERR'!A126 = "", "Validated", HYPERLINK("#" &amp; ADDRESS(126, 'Additional Cartons-WUO_TRK'!A126),_xlfn.TEXTAFTER('Additional Cartons-WUO_ERR'!A126, ":"))))</f>
        <v>0</v>
      </c>
    </row>
    <row r="127" spans="1:1">
      <c r="A127" s="39">
        <f>IF('Additional Cartons'!B127 = "", "", IF('Additional Cartons-WUO_ERR'!A127 = "", "Validated", HYPERLINK("#" &amp; ADDRESS(127, 'Additional Cartons-WUO_TRK'!A127),_xlfn.TEXTAFTER('Additional Cartons-WUO_ERR'!A127, ":"))))</f>
        <v>0</v>
      </c>
    </row>
    <row r="128" spans="1:1">
      <c r="A128" s="39">
        <f>IF('Additional Cartons'!B128 = "", "", IF('Additional Cartons-WUO_ERR'!A128 = "", "Validated", HYPERLINK("#" &amp; ADDRESS(128, 'Additional Cartons-WUO_TRK'!A128),_xlfn.TEXTAFTER('Additional Cartons-WUO_ERR'!A128, ":"))))</f>
        <v>0</v>
      </c>
    </row>
    <row r="129" spans="1:1">
      <c r="A129" s="39">
        <f>IF('Additional Cartons'!B129 = "", "", IF('Additional Cartons-WUO_ERR'!A129 = "", "Validated", HYPERLINK("#" &amp; ADDRESS(129, 'Additional Cartons-WUO_TRK'!A129),_xlfn.TEXTAFTER('Additional Cartons-WUO_ERR'!A129, ":"))))</f>
        <v>0</v>
      </c>
    </row>
    <row r="130" spans="1:1">
      <c r="A130" s="39">
        <f>IF('Additional Cartons'!B130 = "", "", IF('Additional Cartons-WUO_ERR'!A130 = "", "Validated", HYPERLINK("#" &amp; ADDRESS(130, 'Additional Cartons-WUO_TRK'!A130),_xlfn.TEXTAFTER('Additional Cartons-WUO_ERR'!A130, ":"))))</f>
        <v>0</v>
      </c>
    </row>
    <row r="131" spans="1:1">
      <c r="A131" s="39">
        <f>IF('Additional Cartons'!B131 = "", "", IF('Additional Cartons-WUO_ERR'!A131 = "", "Validated", HYPERLINK("#" &amp; ADDRESS(131, 'Additional Cartons-WUO_TRK'!A131),_xlfn.TEXTAFTER('Additional Cartons-WUO_ERR'!A131, ":"))))</f>
        <v>0</v>
      </c>
    </row>
    <row r="132" spans="1:1">
      <c r="A132" s="39">
        <f>IF('Additional Cartons'!B132 = "", "", IF('Additional Cartons-WUO_ERR'!A132 = "", "Validated", HYPERLINK("#" &amp; ADDRESS(132, 'Additional Cartons-WUO_TRK'!A132),_xlfn.TEXTAFTER('Additional Cartons-WUO_ERR'!A132, ":"))))</f>
        <v>0</v>
      </c>
    </row>
    <row r="133" spans="1:1">
      <c r="A133" s="39">
        <f>IF('Additional Cartons'!B133 = "", "", IF('Additional Cartons-WUO_ERR'!A133 = "", "Validated", HYPERLINK("#" &amp; ADDRESS(133, 'Additional Cartons-WUO_TRK'!A133),_xlfn.TEXTAFTER('Additional Cartons-WUO_ERR'!A133, ":"))))</f>
        <v>0</v>
      </c>
    </row>
    <row r="134" spans="1:1">
      <c r="A134" s="39">
        <f>IF('Additional Cartons'!B134 = "", "", IF('Additional Cartons-WUO_ERR'!A134 = "", "Validated", HYPERLINK("#" &amp; ADDRESS(134, 'Additional Cartons-WUO_TRK'!A134),_xlfn.TEXTAFTER('Additional Cartons-WUO_ERR'!A134, ":"))))</f>
        <v>0</v>
      </c>
    </row>
    <row r="135" spans="1:1">
      <c r="A135" s="39">
        <f>IF('Additional Cartons'!B135 = "", "", IF('Additional Cartons-WUO_ERR'!A135 = "", "Validated", HYPERLINK("#" &amp; ADDRESS(135, 'Additional Cartons-WUO_TRK'!A135),_xlfn.TEXTAFTER('Additional Cartons-WUO_ERR'!A135, ":"))))</f>
        <v>0</v>
      </c>
    </row>
    <row r="136" spans="1:1">
      <c r="A136" s="39">
        <f>IF('Additional Cartons'!B136 = "", "", IF('Additional Cartons-WUO_ERR'!A136 = "", "Validated", HYPERLINK("#" &amp; ADDRESS(136, 'Additional Cartons-WUO_TRK'!A136),_xlfn.TEXTAFTER('Additional Cartons-WUO_ERR'!A136, ":"))))</f>
        <v>0</v>
      </c>
    </row>
    <row r="137" spans="1:1">
      <c r="A137" s="39">
        <f>IF('Additional Cartons'!B137 = "", "", IF('Additional Cartons-WUO_ERR'!A137 = "", "Validated", HYPERLINK("#" &amp; ADDRESS(137, 'Additional Cartons-WUO_TRK'!A137),_xlfn.TEXTAFTER('Additional Cartons-WUO_ERR'!A137, ":"))))</f>
        <v>0</v>
      </c>
    </row>
    <row r="138" spans="1:1">
      <c r="A138" s="39">
        <f>IF('Additional Cartons'!B138 = "", "", IF('Additional Cartons-WUO_ERR'!A138 = "", "Validated", HYPERLINK("#" &amp; ADDRESS(138, 'Additional Cartons-WUO_TRK'!A138),_xlfn.TEXTAFTER('Additional Cartons-WUO_ERR'!A138, ":"))))</f>
        <v>0</v>
      </c>
    </row>
    <row r="139" spans="1:1">
      <c r="A139" s="39">
        <f>IF('Additional Cartons'!B139 = "", "", IF('Additional Cartons-WUO_ERR'!A139 = "", "Validated", HYPERLINK("#" &amp; ADDRESS(139, 'Additional Cartons-WUO_TRK'!A139),_xlfn.TEXTAFTER('Additional Cartons-WUO_ERR'!A139, ":"))))</f>
        <v>0</v>
      </c>
    </row>
    <row r="140" spans="1:1">
      <c r="A140" s="39">
        <f>IF('Additional Cartons'!B140 = "", "", IF('Additional Cartons-WUO_ERR'!A140 = "", "Validated", HYPERLINK("#" &amp; ADDRESS(140, 'Additional Cartons-WUO_TRK'!A140),_xlfn.TEXTAFTER('Additional Cartons-WUO_ERR'!A140, ":"))))</f>
        <v>0</v>
      </c>
    </row>
    <row r="141" spans="1:1">
      <c r="A141" s="39">
        <f>IF('Additional Cartons'!B141 = "", "", IF('Additional Cartons-WUO_ERR'!A141 = "", "Validated", HYPERLINK("#" &amp; ADDRESS(141, 'Additional Cartons-WUO_TRK'!A141),_xlfn.TEXTAFTER('Additional Cartons-WUO_ERR'!A141, ":"))))</f>
        <v>0</v>
      </c>
    </row>
    <row r="142" spans="1:1">
      <c r="A142" s="39">
        <f>IF('Additional Cartons'!B142 = "", "", IF('Additional Cartons-WUO_ERR'!A142 = "", "Validated", HYPERLINK("#" &amp; ADDRESS(142, 'Additional Cartons-WUO_TRK'!A142),_xlfn.TEXTAFTER('Additional Cartons-WUO_ERR'!A142, ":"))))</f>
        <v>0</v>
      </c>
    </row>
    <row r="143" spans="1:1">
      <c r="A143" s="39">
        <f>IF('Additional Cartons'!B143 = "", "", IF('Additional Cartons-WUO_ERR'!A143 = "", "Validated", HYPERLINK("#" &amp; ADDRESS(143, 'Additional Cartons-WUO_TRK'!A143),_xlfn.TEXTAFTER('Additional Cartons-WUO_ERR'!A143, ":"))))</f>
        <v>0</v>
      </c>
    </row>
    <row r="144" spans="1:1">
      <c r="A144" s="39">
        <f>IF('Additional Cartons'!B144 = "", "", IF('Additional Cartons-WUO_ERR'!A144 = "", "Validated", HYPERLINK("#" &amp; ADDRESS(144, 'Additional Cartons-WUO_TRK'!A144),_xlfn.TEXTAFTER('Additional Cartons-WUO_ERR'!A144, ":"))))</f>
        <v>0</v>
      </c>
    </row>
    <row r="145" spans="1:1">
      <c r="A145" s="39">
        <f>IF('Additional Cartons'!B145 = "", "", IF('Additional Cartons-WUO_ERR'!A145 = "", "Validated", HYPERLINK("#" &amp; ADDRESS(145, 'Additional Cartons-WUO_TRK'!A145),_xlfn.TEXTAFTER('Additional Cartons-WUO_ERR'!A145, ":"))))</f>
        <v>0</v>
      </c>
    </row>
    <row r="146" spans="1:1">
      <c r="A146" s="39">
        <f>IF('Additional Cartons'!B146 = "", "", IF('Additional Cartons-WUO_ERR'!A146 = "", "Validated", HYPERLINK("#" &amp; ADDRESS(146, 'Additional Cartons-WUO_TRK'!A146),_xlfn.TEXTAFTER('Additional Cartons-WUO_ERR'!A146, ":"))))</f>
        <v>0</v>
      </c>
    </row>
    <row r="147" spans="1:1">
      <c r="A147" s="39">
        <f>IF('Additional Cartons'!B147 = "", "", IF('Additional Cartons-WUO_ERR'!A147 = "", "Validated", HYPERLINK("#" &amp; ADDRESS(147, 'Additional Cartons-WUO_TRK'!A147),_xlfn.TEXTAFTER('Additional Cartons-WUO_ERR'!A147, ":"))))</f>
        <v>0</v>
      </c>
    </row>
    <row r="148" spans="1:1">
      <c r="A148" s="39">
        <f>IF('Additional Cartons'!B148 = "", "", IF('Additional Cartons-WUO_ERR'!A148 = "", "Validated", HYPERLINK("#" &amp; ADDRESS(148, 'Additional Cartons-WUO_TRK'!A148),_xlfn.TEXTAFTER('Additional Cartons-WUO_ERR'!A148, ":"))))</f>
        <v>0</v>
      </c>
    </row>
    <row r="149" spans="1:1">
      <c r="A149" s="39">
        <f>IF('Additional Cartons'!B149 = "", "", IF('Additional Cartons-WUO_ERR'!A149 = "", "Validated", HYPERLINK("#" &amp; ADDRESS(149, 'Additional Cartons-WUO_TRK'!A149),_xlfn.TEXTAFTER('Additional Cartons-WUO_ERR'!A149, ":"))))</f>
        <v>0</v>
      </c>
    </row>
    <row r="150" spans="1:1">
      <c r="A150" s="39">
        <f>IF('Additional Cartons'!B150 = "", "", IF('Additional Cartons-WUO_ERR'!A150 = "", "Validated", HYPERLINK("#" &amp; ADDRESS(150, 'Additional Cartons-WUO_TRK'!A150),_xlfn.TEXTAFTER('Additional Cartons-WUO_ERR'!A150, ":"))))</f>
        <v>0</v>
      </c>
    </row>
    <row r="151" spans="1:1">
      <c r="A151" s="39">
        <f>IF('Additional Cartons'!B151 = "", "", IF('Additional Cartons-WUO_ERR'!A151 = "", "Validated", HYPERLINK("#" &amp; ADDRESS(151, 'Additional Cartons-WUO_TRK'!A151),_xlfn.TEXTAFTER('Additional Cartons-WUO_ERR'!A151, ":"))))</f>
        <v>0</v>
      </c>
    </row>
    <row r="152" spans="1:1">
      <c r="A152" s="39">
        <f>IF('Additional Cartons'!B152 = "", "", IF('Additional Cartons-WUO_ERR'!A152 = "", "Validated", HYPERLINK("#" &amp; ADDRESS(152, 'Additional Cartons-WUO_TRK'!A152),_xlfn.TEXTAFTER('Additional Cartons-WUO_ERR'!A152, ":"))))</f>
        <v>0</v>
      </c>
    </row>
    <row r="153" spans="1:1">
      <c r="A153" s="39">
        <f>IF('Additional Cartons'!B153 = "", "", IF('Additional Cartons-WUO_ERR'!A153 = "", "Validated", HYPERLINK("#" &amp; ADDRESS(153, 'Additional Cartons-WUO_TRK'!A153),_xlfn.TEXTAFTER('Additional Cartons-WUO_ERR'!A153, ":"))))</f>
        <v>0</v>
      </c>
    </row>
    <row r="154" spans="1:1">
      <c r="A154" s="39">
        <f>IF('Additional Cartons'!B154 = "", "", IF('Additional Cartons-WUO_ERR'!A154 = "", "Validated", HYPERLINK("#" &amp; ADDRESS(154, 'Additional Cartons-WUO_TRK'!A154),_xlfn.TEXTAFTER('Additional Cartons-WUO_ERR'!A154, ":"))))</f>
        <v>0</v>
      </c>
    </row>
    <row r="155" spans="1:1">
      <c r="A155" s="39">
        <f>IF('Additional Cartons'!B155 = "", "", IF('Additional Cartons-WUO_ERR'!A155 = "", "Validated", HYPERLINK("#" &amp; ADDRESS(155, 'Additional Cartons-WUO_TRK'!A155),_xlfn.TEXTAFTER('Additional Cartons-WUO_ERR'!A155, ":"))))</f>
        <v>0</v>
      </c>
    </row>
    <row r="156" spans="1:1">
      <c r="A156" s="39">
        <f>IF('Additional Cartons'!B156 = "", "", IF('Additional Cartons-WUO_ERR'!A156 = "", "Validated", HYPERLINK("#" &amp; ADDRESS(156, 'Additional Cartons-WUO_TRK'!A156),_xlfn.TEXTAFTER('Additional Cartons-WUO_ERR'!A156, ":"))))</f>
        <v>0</v>
      </c>
    </row>
    <row r="157" spans="1:1">
      <c r="A157" s="39">
        <f>IF('Additional Cartons'!B157 = "", "", IF('Additional Cartons-WUO_ERR'!A157 = "", "Validated", HYPERLINK("#" &amp; ADDRESS(157, 'Additional Cartons-WUO_TRK'!A157),_xlfn.TEXTAFTER('Additional Cartons-WUO_ERR'!A157, ":"))))</f>
        <v>0</v>
      </c>
    </row>
    <row r="158" spans="1:1">
      <c r="A158" s="39">
        <f>IF('Additional Cartons'!B158 = "", "", IF('Additional Cartons-WUO_ERR'!A158 = "", "Validated", HYPERLINK("#" &amp; ADDRESS(158, 'Additional Cartons-WUO_TRK'!A158),_xlfn.TEXTAFTER('Additional Cartons-WUO_ERR'!A158, ":"))))</f>
        <v>0</v>
      </c>
    </row>
    <row r="159" spans="1:1">
      <c r="A159" s="39">
        <f>IF('Additional Cartons'!B159 = "", "", IF('Additional Cartons-WUO_ERR'!A159 = "", "Validated", HYPERLINK("#" &amp; ADDRESS(159, 'Additional Cartons-WUO_TRK'!A159),_xlfn.TEXTAFTER('Additional Cartons-WUO_ERR'!A159, ":"))))</f>
        <v>0</v>
      </c>
    </row>
    <row r="160" spans="1:1">
      <c r="A160" s="39">
        <f>IF('Additional Cartons'!B160 = "", "", IF('Additional Cartons-WUO_ERR'!A160 = "", "Validated", HYPERLINK("#" &amp; ADDRESS(160, 'Additional Cartons-WUO_TRK'!A160),_xlfn.TEXTAFTER('Additional Cartons-WUO_ERR'!A160, ":"))))</f>
        <v>0</v>
      </c>
    </row>
    <row r="161" spans="1:1">
      <c r="A161" s="39">
        <f>IF('Additional Cartons'!B161 = "", "", IF('Additional Cartons-WUO_ERR'!A161 = "", "Validated", HYPERLINK("#" &amp; ADDRESS(161, 'Additional Cartons-WUO_TRK'!A161),_xlfn.TEXTAFTER('Additional Cartons-WUO_ERR'!A161, ":"))))</f>
        <v>0</v>
      </c>
    </row>
    <row r="162" spans="1:1">
      <c r="A162" s="39">
        <f>IF('Additional Cartons'!B162 = "", "", IF('Additional Cartons-WUO_ERR'!A162 = "", "Validated", HYPERLINK("#" &amp; ADDRESS(162, 'Additional Cartons-WUO_TRK'!A162),_xlfn.TEXTAFTER('Additional Cartons-WUO_ERR'!A162, ":"))))</f>
        <v>0</v>
      </c>
    </row>
    <row r="163" spans="1:1">
      <c r="A163" s="39">
        <f>IF('Additional Cartons'!B163 = "", "", IF('Additional Cartons-WUO_ERR'!A163 = "", "Validated", HYPERLINK("#" &amp; ADDRESS(163, 'Additional Cartons-WUO_TRK'!A163),_xlfn.TEXTAFTER('Additional Cartons-WUO_ERR'!A163, ":"))))</f>
        <v>0</v>
      </c>
    </row>
    <row r="164" spans="1:1">
      <c r="A164" s="39">
        <f>IF('Additional Cartons'!B164 = "", "", IF('Additional Cartons-WUO_ERR'!A164 = "", "Validated", HYPERLINK("#" &amp; ADDRESS(164, 'Additional Cartons-WUO_TRK'!A164),_xlfn.TEXTAFTER('Additional Cartons-WUO_ERR'!A164, ":"))))</f>
        <v>0</v>
      </c>
    </row>
    <row r="165" spans="1:1">
      <c r="A165" s="39">
        <f>IF('Additional Cartons'!B165 = "", "", IF('Additional Cartons-WUO_ERR'!A165 = "", "Validated", HYPERLINK("#" &amp; ADDRESS(165, 'Additional Cartons-WUO_TRK'!A165),_xlfn.TEXTAFTER('Additional Cartons-WUO_ERR'!A165, ":"))))</f>
        <v>0</v>
      </c>
    </row>
    <row r="166" spans="1:1">
      <c r="A166" s="39">
        <f>IF('Additional Cartons'!B166 = "", "", IF('Additional Cartons-WUO_ERR'!A166 = "", "Validated", HYPERLINK("#" &amp; ADDRESS(166, 'Additional Cartons-WUO_TRK'!A166),_xlfn.TEXTAFTER('Additional Cartons-WUO_ERR'!A166, ":"))))</f>
        <v>0</v>
      </c>
    </row>
    <row r="167" spans="1:1">
      <c r="A167" s="39">
        <f>IF('Additional Cartons'!B167 = "", "", IF('Additional Cartons-WUO_ERR'!A167 = "", "Validated", HYPERLINK("#" &amp; ADDRESS(167, 'Additional Cartons-WUO_TRK'!A167),_xlfn.TEXTAFTER('Additional Cartons-WUO_ERR'!A167, ":"))))</f>
        <v>0</v>
      </c>
    </row>
    <row r="168" spans="1:1">
      <c r="A168" s="39">
        <f>IF('Additional Cartons'!B168 = "", "", IF('Additional Cartons-WUO_ERR'!A168 = "", "Validated", HYPERLINK("#" &amp; ADDRESS(168, 'Additional Cartons-WUO_TRK'!A168),_xlfn.TEXTAFTER('Additional Cartons-WUO_ERR'!A168, ":"))))</f>
        <v>0</v>
      </c>
    </row>
    <row r="169" spans="1:1">
      <c r="A169" s="39">
        <f>IF('Additional Cartons'!B169 = "", "", IF('Additional Cartons-WUO_ERR'!A169 = "", "Validated", HYPERLINK("#" &amp; ADDRESS(169, 'Additional Cartons-WUO_TRK'!A169),_xlfn.TEXTAFTER('Additional Cartons-WUO_ERR'!A169, ":"))))</f>
        <v>0</v>
      </c>
    </row>
    <row r="170" spans="1:1">
      <c r="A170" s="39">
        <f>IF('Additional Cartons'!B170 = "", "", IF('Additional Cartons-WUO_ERR'!A170 = "", "Validated", HYPERLINK("#" &amp; ADDRESS(170, 'Additional Cartons-WUO_TRK'!A170),_xlfn.TEXTAFTER('Additional Cartons-WUO_ERR'!A170, ":"))))</f>
        <v>0</v>
      </c>
    </row>
    <row r="171" spans="1:1">
      <c r="A171" s="39">
        <f>IF('Additional Cartons'!B171 = "", "", IF('Additional Cartons-WUO_ERR'!A171 = "", "Validated", HYPERLINK("#" &amp; ADDRESS(171, 'Additional Cartons-WUO_TRK'!A171),_xlfn.TEXTAFTER('Additional Cartons-WUO_ERR'!A171, ":"))))</f>
        <v>0</v>
      </c>
    </row>
    <row r="172" spans="1:1">
      <c r="A172" s="39">
        <f>IF('Additional Cartons'!B172 = "", "", IF('Additional Cartons-WUO_ERR'!A172 = "", "Validated", HYPERLINK("#" &amp; ADDRESS(172, 'Additional Cartons-WUO_TRK'!A172),_xlfn.TEXTAFTER('Additional Cartons-WUO_ERR'!A172, ":"))))</f>
        <v>0</v>
      </c>
    </row>
    <row r="173" spans="1:1">
      <c r="A173" s="39">
        <f>IF('Additional Cartons'!B173 = "", "", IF('Additional Cartons-WUO_ERR'!A173 = "", "Validated", HYPERLINK("#" &amp; ADDRESS(173, 'Additional Cartons-WUO_TRK'!A173),_xlfn.TEXTAFTER('Additional Cartons-WUO_ERR'!A173, ":"))))</f>
        <v>0</v>
      </c>
    </row>
    <row r="174" spans="1:1">
      <c r="A174" s="39">
        <f>IF('Additional Cartons'!B174 = "", "", IF('Additional Cartons-WUO_ERR'!A174 = "", "Validated", HYPERLINK("#" &amp; ADDRESS(174, 'Additional Cartons-WUO_TRK'!A174),_xlfn.TEXTAFTER('Additional Cartons-WUO_ERR'!A174, ":"))))</f>
        <v>0</v>
      </c>
    </row>
    <row r="175" spans="1:1">
      <c r="A175" s="39">
        <f>IF('Additional Cartons'!B175 = "", "", IF('Additional Cartons-WUO_ERR'!A175 = "", "Validated", HYPERLINK("#" &amp; ADDRESS(175, 'Additional Cartons-WUO_TRK'!A175),_xlfn.TEXTAFTER('Additional Cartons-WUO_ERR'!A175, ":"))))</f>
        <v>0</v>
      </c>
    </row>
    <row r="176" spans="1:1">
      <c r="A176" s="39">
        <f>IF('Additional Cartons'!B176 = "", "", IF('Additional Cartons-WUO_ERR'!A176 = "", "Validated", HYPERLINK("#" &amp; ADDRESS(176, 'Additional Cartons-WUO_TRK'!A176),_xlfn.TEXTAFTER('Additional Cartons-WUO_ERR'!A176, ":"))))</f>
        <v>0</v>
      </c>
    </row>
    <row r="177" spans="1:1">
      <c r="A177" s="39">
        <f>IF('Additional Cartons'!B177 = "", "", IF('Additional Cartons-WUO_ERR'!A177 = "", "Validated", HYPERLINK("#" &amp; ADDRESS(177, 'Additional Cartons-WUO_TRK'!A177),_xlfn.TEXTAFTER('Additional Cartons-WUO_ERR'!A177, ":"))))</f>
        <v>0</v>
      </c>
    </row>
    <row r="178" spans="1:1">
      <c r="A178" s="39">
        <f>IF('Additional Cartons'!B178 = "", "", IF('Additional Cartons-WUO_ERR'!A178 = "", "Validated", HYPERLINK("#" &amp; ADDRESS(178, 'Additional Cartons-WUO_TRK'!A178),_xlfn.TEXTAFTER('Additional Cartons-WUO_ERR'!A178, ":"))))</f>
        <v>0</v>
      </c>
    </row>
    <row r="179" spans="1:1">
      <c r="A179" s="39">
        <f>IF('Additional Cartons'!B179 = "", "", IF('Additional Cartons-WUO_ERR'!A179 = "", "Validated", HYPERLINK("#" &amp; ADDRESS(179, 'Additional Cartons-WUO_TRK'!A179),_xlfn.TEXTAFTER('Additional Cartons-WUO_ERR'!A179, ":"))))</f>
        <v>0</v>
      </c>
    </row>
    <row r="180" spans="1:1">
      <c r="A180" s="39">
        <f>IF('Additional Cartons'!B180 = "", "", IF('Additional Cartons-WUO_ERR'!A180 = "", "Validated", HYPERLINK("#" &amp; ADDRESS(180, 'Additional Cartons-WUO_TRK'!A180),_xlfn.TEXTAFTER('Additional Cartons-WUO_ERR'!A180, ":"))))</f>
        <v>0</v>
      </c>
    </row>
    <row r="181" spans="1:1">
      <c r="A181" s="39">
        <f>IF('Additional Cartons'!B181 = "", "", IF('Additional Cartons-WUO_ERR'!A181 = "", "Validated", HYPERLINK("#" &amp; ADDRESS(181, 'Additional Cartons-WUO_TRK'!A181),_xlfn.TEXTAFTER('Additional Cartons-WUO_ERR'!A181, ":"))))</f>
        <v>0</v>
      </c>
    </row>
    <row r="182" spans="1:1">
      <c r="A182" s="39">
        <f>IF('Additional Cartons'!B182 = "", "", IF('Additional Cartons-WUO_ERR'!A182 = "", "Validated", HYPERLINK("#" &amp; ADDRESS(182, 'Additional Cartons-WUO_TRK'!A182),_xlfn.TEXTAFTER('Additional Cartons-WUO_ERR'!A182, ":"))))</f>
        <v>0</v>
      </c>
    </row>
    <row r="183" spans="1:1">
      <c r="A183" s="39">
        <f>IF('Additional Cartons'!B183 = "", "", IF('Additional Cartons-WUO_ERR'!A183 = "", "Validated", HYPERLINK("#" &amp; ADDRESS(183, 'Additional Cartons-WUO_TRK'!A183),_xlfn.TEXTAFTER('Additional Cartons-WUO_ERR'!A183, ":"))))</f>
        <v>0</v>
      </c>
    </row>
    <row r="184" spans="1:1">
      <c r="A184" s="39">
        <f>IF('Additional Cartons'!B184 = "", "", IF('Additional Cartons-WUO_ERR'!A184 = "", "Validated", HYPERLINK("#" &amp; ADDRESS(184, 'Additional Cartons-WUO_TRK'!A184),_xlfn.TEXTAFTER('Additional Cartons-WUO_ERR'!A184, ":"))))</f>
        <v>0</v>
      </c>
    </row>
    <row r="185" spans="1:1">
      <c r="A185" s="39">
        <f>IF('Additional Cartons'!B185 = "", "", IF('Additional Cartons-WUO_ERR'!A185 = "", "Validated", HYPERLINK("#" &amp; ADDRESS(185, 'Additional Cartons-WUO_TRK'!A185),_xlfn.TEXTAFTER('Additional Cartons-WUO_ERR'!A185, ":"))))</f>
        <v>0</v>
      </c>
    </row>
    <row r="186" spans="1:1">
      <c r="A186" s="39">
        <f>IF('Additional Cartons'!B186 = "", "", IF('Additional Cartons-WUO_ERR'!A186 = "", "Validated", HYPERLINK("#" &amp; ADDRESS(186, 'Additional Cartons-WUO_TRK'!A186),_xlfn.TEXTAFTER('Additional Cartons-WUO_ERR'!A186, ":"))))</f>
        <v>0</v>
      </c>
    </row>
    <row r="187" spans="1:1">
      <c r="A187" s="39">
        <f>IF('Additional Cartons'!B187 = "", "", IF('Additional Cartons-WUO_ERR'!A187 = "", "Validated", HYPERLINK("#" &amp; ADDRESS(187, 'Additional Cartons-WUO_TRK'!A187),_xlfn.TEXTAFTER('Additional Cartons-WUO_ERR'!A187, ":"))))</f>
        <v>0</v>
      </c>
    </row>
    <row r="188" spans="1:1">
      <c r="A188" s="39">
        <f>IF('Additional Cartons'!B188 = "", "", IF('Additional Cartons-WUO_ERR'!A188 = "", "Validated", HYPERLINK("#" &amp; ADDRESS(188, 'Additional Cartons-WUO_TRK'!A188),_xlfn.TEXTAFTER('Additional Cartons-WUO_ERR'!A188, ":"))))</f>
        <v>0</v>
      </c>
    </row>
    <row r="189" spans="1:1">
      <c r="A189" s="39">
        <f>IF('Additional Cartons'!B189 = "", "", IF('Additional Cartons-WUO_ERR'!A189 = "", "Validated", HYPERLINK("#" &amp; ADDRESS(189, 'Additional Cartons-WUO_TRK'!A189),_xlfn.TEXTAFTER('Additional Cartons-WUO_ERR'!A189, ":"))))</f>
        <v>0</v>
      </c>
    </row>
    <row r="190" spans="1:1">
      <c r="A190" s="39">
        <f>IF('Additional Cartons'!B190 = "", "", IF('Additional Cartons-WUO_ERR'!A190 = "", "Validated", HYPERLINK("#" &amp; ADDRESS(190, 'Additional Cartons-WUO_TRK'!A190),_xlfn.TEXTAFTER('Additional Cartons-WUO_ERR'!A190, ":"))))</f>
        <v>0</v>
      </c>
    </row>
    <row r="191" spans="1:1">
      <c r="A191" s="39">
        <f>IF('Additional Cartons'!B191 = "", "", IF('Additional Cartons-WUO_ERR'!A191 = "", "Validated", HYPERLINK("#" &amp; ADDRESS(191, 'Additional Cartons-WUO_TRK'!A191),_xlfn.TEXTAFTER('Additional Cartons-WUO_ERR'!A191, ":"))))</f>
        <v>0</v>
      </c>
    </row>
    <row r="192" spans="1:1">
      <c r="A192" s="39">
        <f>IF('Additional Cartons'!B192 = "", "", IF('Additional Cartons-WUO_ERR'!A192 = "", "Validated", HYPERLINK("#" &amp; ADDRESS(192, 'Additional Cartons-WUO_TRK'!A192),_xlfn.TEXTAFTER('Additional Cartons-WUO_ERR'!A192, ":"))))</f>
        <v>0</v>
      </c>
    </row>
    <row r="193" spans="1:1">
      <c r="A193" s="39">
        <f>IF('Additional Cartons'!B193 = "", "", IF('Additional Cartons-WUO_ERR'!A193 = "", "Validated", HYPERLINK("#" &amp; ADDRESS(193, 'Additional Cartons-WUO_TRK'!A193),_xlfn.TEXTAFTER('Additional Cartons-WUO_ERR'!A193, ":"))))</f>
        <v>0</v>
      </c>
    </row>
    <row r="194" spans="1:1">
      <c r="A194" s="39">
        <f>IF('Additional Cartons'!B194 = "", "", IF('Additional Cartons-WUO_ERR'!A194 = "", "Validated", HYPERLINK("#" &amp; ADDRESS(194, 'Additional Cartons-WUO_TRK'!A194),_xlfn.TEXTAFTER('Additional Cartons-WUO_ERR'!A194, ":"))))</f>
        <v>0</v>
      </c>
    </row>
    <row r="195" spans="1:1">
      <c r="A195" s="39">
        <f>IF('Additional Cartons'!B195 = "", "", IF('Additional Cartons-WUO_ERR'!A195 = "", "Validated", HYPERLINK("#" &amp; ADDRESS(195, 'Additional Cartons-WUO_TRK'!A195),_xlfn.TEXTAFTER('Additional Cartons-WUO_ERR'!A195, ":"))))</f>
        <v>0</v>
      </c>
    </row>
    <row r="196" spans="1:1">
      <c r="A196" s="39">
        <f>IF('Additional Cartons'!B196 = "", "", IF('Additional Cartons-WUO_ERR'!A196 = "", "Validated", HYPERLINK("#" &amp; ADDRESS(196, 'Additional Cartons-WUO_TRK'!A196),_xlfn.TEXTAFTER('Additional Cartons-WUO_ERR'!A196, ":"))))</f>
        <v>0</v>
      </c>
    </row>
    <row r="197" spans="1:1">
      <c r="A197" s="39">
        <f>IF('Additional Cartons'!B197 = "", "", IF('Additional Cartons-WUO_ERR'!A197 = "", "Validated", HYPERLINK("#" &amp; ADDRESS(197, 'Additional Cartons-WUO_TRK'!A197),_xlfn.TEXTAFTER('Additional Cartons-WUO_ERR'!A197, ":"))))</f>
        <v>0</v>
      </c>
    </row>
    <row r="198" spans="1:1">
      <c r="A198" s="39">
        <f>IF('Additional Cartons'!B198 = "", "", IF('Additional Cartons-WUO_ERR'!A198 = "", "Validated", HYPERLINK("#" &amp; ADDRESS(198, 'Additional Cartons-WUO_TRK'!A198),_xlfn.TEXTAFTER('Additional Cartons-WUO_ERR'!A198, ":"))))</f>
        <v>0</v>
      </c>
    </row>
    <row r="199" spans="1:1">
      <c r="A199" s="39">
        <f>IF('Additional Cartons'!B199 = "", "", IF('Additional Cartons-WUO_ERR'!A199 = "", "Validated", HYPERLINK("#" &amp; ADDRESS(199, 'Additional Cartons-WUO_TRK'!A199),_xlfn.TEXTAFTER('Additional Cartons-WUO_ERR'!A199, ":"))))</f>
        <v>0</v>
      </c>
    </row>
    <row r="200" spans="1:1">
      <c r="A200" s="39">
        <f>IF('Additional Cartons'!B200 = "", "", IF('Additional Cartons-WUO_ERR'!A200 = "", "Validated", HYPERLINK("#" &amp; ADDRESS(200, 'Additional Cartons-WUO_TRK'!A200),_xlfn.TEXTAFTER('Additional Cartons-WUO_ERR'!A200, ":"))))</f>
        <v>0</v>
      </c>
    </row>
    <row r="201" spans="1:1">
      <c r="A201" s="39">
        <f>IF('Additional Cartons'!B201 = "", "", IF('Additional Cartons-WUO_ERR'!A201 = "", "Validated", HYPERLINK("#" &amp; ADDRESS(201, 'Additional Cartons-WUO_TRK'!A201),_xlfn.TEXTAFTER('Additional Cartons-WUO_ERR'!A201, ":"))))</f>
        <v>0</v>
      </c>
    </row>
    <row r="202" spans="1:1">
      <c r="A202" s="39">
        <f>IF('Additional Cartons'!B202 = "", "", IF('Additional Cartons-WUO_ERR'!A202 = "", "Validated", HYPERLINK("#" &amp; ADDRESS(202, 'Additional Cartons-WUO_TRK'!A202),_xlfn.TEXTAFTER('Additional Cartons-WUO_ERR'!A202, ":"))))</f>
        <v>0</v>
      </c>
    </row>
    <row r="203" spans="1:1">
      <c r="A203" s="39">
        <f>IF('Additional Cartons'!B203 = "", "", IF('Additional Cartons-WUO_ERR'!A203 = "", "Validated", HYPERLINK("#" &amp; ADDRESS(203, 'Additional Cartons-WUO_TRK'!A203),_xlfn.TEXTAFTER('Additional Cartons-WUO_ERR'!A203, ":"))))</f>
        <v>0</v>
      </c>
    </row>
    <row r="204" spans="1:1">
      <c r="A204" s="39">
        <f>IF('Additional Cartons'!B204 = "", "", IF('Additional Cartons-WUO_ERR'!A204 = "", "Validated", HYPERLINK("#" &amp; ADDRESS(204, 'Additional Cartons-WUO_TRK'!A204),_xlfn.TEXTAFTER('Additional Cartons-WUO_ERR'!A204, ":"))))</f>
        <v>0</v>
      </c>
    </row>
    <row r="205" spans="1:1">
      <c r="A205" s="39">
        <f>IF('Additional Cartons'!B205 = "", "", IF('Additional Cartons-WUO_ERR'!A205 = "", "Validated", HYPERLINK("#" &amp; ADDRESS(205, 'Additional Cartons-WUO_TRK'!A205),_xlfn.TEXTAFTER('Additional Cartons-WUO_ERR'!A205, ":"))))</f>
        <v>0</v>
      </c>
    </row>
    <row r="206" spans="1:1">
      <c r="A206" s="39">
        <f>IF('Additional Cartons'!B206 = "", "", IF('Additional Cartons-WUO_ERR'!A206 = "", "Validated", HYPERLINK("#" &amp; ADDRESS(206, 'Additional Cartons-WUO_TRK'!A206),_xlfn.TEXTAFTER('Additional Cartons-WUO_ERR'!A206, ":"))))</f>
        <v>0</v>
      </c>
    </row>
    <row r="207" spans="1:1">
      <c r="A207" s="39">
        <f>IF('Additional Cartons'!B207 = "", "", IF('Additional Cartons-WUO_ERR'!A207 = "", "Validated", HYPERLINK("#" &amp; ADDRESS(207, 'Additional Cartons-WUO_TRK'!A207),_xlfn.TEXTAFTER('Additional Cartons-WUO_ERR'!A207, ":"))))</f>
        <v>0</v>
      </c>
    </row>
    <row r="208" spans="1:1">
      <c r="A208" s="39">
        <f>IF('Additional Cartons'!B208 = "", "", IF('Additional Cartons-WUO_ERR'!A208 = "", "Validated", HYPERLINK("#" &amp; ADDRESS(208, 'Additional Cartons-WUO_TRK'!A208),_xlfn.TEXTAFTER('Additional Cartons-WUO_ERR'!A208, ":"))))</f>
        <v>0</v>
      </c>
    </row>
    <row r="209" spans="1:1">
      <c r="A209" s="39">
        <f>IF('Additional Cartons'!B209 = "", "", IF('Additional Cartons-WUO_ERR'!A209 = "", "Validated", HYPERLINK("#" &amp; ADDRESS(209, 'Additional Cartons-WUO_TRK'!A209),_xlfn.TEXTAFTER('Additional Cartons-WUO_ERR'!A209, ":"))))</f>
        <v>0</v>
      </c>
    </row>
    <row r="210" spans="1:1">
      <c r="A210" s="39">
        <f>IF('Additional Cartons'!B210 = "", "", IF('Additional Cartons-WUO_ERR'!A210 = "", "Validated", HYPERLINK("#" &amp; ADDRESS(210, 'Additional Cartons-WUO_TRK'!A210),_xlfn.TEXTAFTER('Additional Cartons-WUO_ERR'!A210, ":"))))</f>
        <v>0</v>
      </c>
    </row>
    <row r="211" spans="1:1">
      <c r="A211" s="39">
        <f>IF('Additional Cartons'!B211 = "", "", IF('Additional Cartons-WUO_ERR'!A211 = "", "Validated", HYPERLINK("#" &amp; ADDRESS(211, 'Additional Cartons-WUO_TRK'!A211),_xlfn.TEXTAFTER('Additional Cartons-WUO_ERR'!A211, ":"))))</f>
        <v>0</v>
      </c>
    </row>
    <row r="212" spans="1:1">
      <c r="A212" s="39">
        <f>IF('Additional Cartons'!B212 = "", "", IF('Additional Cartons-WUO_ERR'!A212 = "", "Validated", HYPERLINK("#" &amp; ADDRESS(212, 'Additional Cartons-WUO_TRK'!A212),_xlfn.TEXTAFTER('Additional Cartons-WUO_ERR'!A212, ":"))))</f>
        <v>0</v>
      </c>
    </row>
    <row r="213" spans="1:1">
      <c r="A213" s="39">
        <f>IF('Additional Cartons'!B213 = "", "", IF('Additional Cartons-WUO_ERR'!A213 = "", "Validated", HYPERLINK("#" &amp; ADDRESS(213, 'Additional Cartons-WUO_TRK'!A213),_xlfn.TEXTAFTER('Additional Cartons-WUO_ERR'!A213, ":"))))</f>
        <v>0</v>
      </c>
    </row>
    <row r="214" spans="1:1">
      <c r="A214" s="39">
        <f>IF('Additional Cartons'!B214 = "", "", IF('Additional Cartons-WUO_ERR'!A214 = "", "Validated", HYPERLINK("#" &amp; ADDRESS(214, 'Additional Cartons-WUO_TRK'!A214),_xlfn.TEXTAFTER('Additional Cartons-WUO_ERR'!A214, ":"))))</f>
        <v>0</v>
      </c>
    </row>
    <row r="215" spans="1:1">
      <c r="A215" s="39">
        <f>IF('Additional Cartons'!B215 = "", "", IF('Additional Cartons-WUO_ERR'!A215 = "", "Validated", HYPERLINK("#" &amp; ADDRESS(215, 'Additional Cartons-WUO_TRK'!A215),_xlfn.TEXTAFTER('Additional Cartons-WUO_ERR'!A215, ":"))))</f>
        <v>0</v>
      </c>
    </row>
    <row r="216" spans="1:1">
      <c r="A216" s="39">
        <f>IF('Additional Cartons'!B216 = "", "", IF('Additional Cartons-WUO_ERR'!A216 = "", "Validated", HYPERLINK("#" &amp; ADDRESS(216, 'Additional Cartons-WUO_TRK'!A216),_xlfn.TEXTAFTER('Additional Cartons-WUO_ERR'!A216, ":"))))</f>
        <v>0</v>
      </c>
    </row>
    <row r="217" spans="1:1">
      <c r="A217" s="39">
        <f>IF('Additional Cartons'!B217 = "", "", IF('Additional Cartons-WUO_ERR'!A217 = "", "Validated", HYPERLINK("#" &amp; ADDRESS(217, 'Additional Cartons-WUO_TRK'!A217),_xlfn.TEXTAFTER('Additional Cartons-WUO_ERR'!A217, ":"))))</f>
        <v>0</v>
      </c>
    </row>
    <row r="218" spans="1:1">
      <c r="A218" s="39">
        <f>IF('Additional Cartons'!B218 = "", "", IF('Additional Cartons-WUO_ERR'!A218 = "", "Validated", HYPERLINK("#" &amp; ADDRESS(218, 'Additional Cartons-WUO_TRK'!A218),_xlfn.TEXTAFTER('Additional Cartons-WUO_ERR'!A218, ":"))))</f>
        <v>0</v>
      </c>
    </row>
    <row r="219" spans="1:1">
      <c r="A219" s="39">
        <f>IF('Additional Cartons'!B219 = "", "", IF('Additional Cartons-WUO_ERR'!A219 = "", "Validated", HYPERLINK("#" &amp; ADDRESS(219, 'Additional Cartons-WUO_TRK'!A219),_xlfn.TEXTAFTER('Additional Cartons-WUO_ERR'!A219, ":"))))</f>
        <v>0</v>
      </c>
    </row>
    <row r="220" spans="1:1">
      <c r="A220" s="39">
        <f>IF('Additional Cartons'!B220 = "", "", IF('Additional Cartons-WUO_ERR'!A220 = "", "Validated", HYPERLINK("#" &amp; ADDRESS(220, 'Additional Cartons-WUO_TRK'!A220),_xlfn.TEXTAFTER('Additional Cartons-WUO_ERR'!A220, ":"))))</f>
        <v>0</v>
      </c>
    </row>
    <row r="221" spans="1:1">
      <c r="A221" s="39">
        <f>IF('Additional Cartons'!B221 = "", "", IF('Additional Cartons-WUO_ERR'!A221 = "", "Validated", HYPERLINK("#" &amp; ADDRESS(221, 'Additional Cartons-WUO_TRK'!A221),_xlfn.TEXTAFTER('Additional Cartons-WUO_ERR'!A221, ":"))))</f>
        <v>0</v>
      </c>
    </row>
    <row r="222" spans="1:1">
      <c r="A222" s="39">
        <f>IF('Additional Cartons'!B222 = "", "", IF('Additional Cartons-WUO_ERR'!A222 = "", "Validated", HYPERLINK("#" &amp; ADDRESS(222, 'Additional Cartons-WUO_TRK'!A222),_xlfn.TEXTAFTER('Additional Cartons-WUO_ERR'!A222, ":"))))</f>
        <v>0</v>
      </c>
    </row>
    <row r="223" spans="1:1">
      <c r="A223" s="39">
        <f>IF('Additional Cartons'!B223 = "", "", IF('Additional Cartons-WUO_ERR'!A223 = "", "Validated", HYPERLINK("#" &amp; ADDRESS(223, 'Additional Cartons-WUO_TRK'!A223),_xlfn.TEXTAFTER('Additional Cartons-WUO_ERR'!A223, ":"))))</f>
        <v>0</v>
      </c>
    </row>
    <row r="224" spans="1:1">
      <c r="A224" s="39">
        <f>IF('Additional Cartons'!B224 = "", "", IF('Additional Cartons-WUO_ERR'!A224 = "", "Validated", HYPERLINK("#" &amp; ADDRESS(224, 'Additional Cartons-WUO_TRK'!A224),_xlfn.TEXTAFTER('Additional Cartons-WUO_ERR'!A224, ":"))))</f>
        <v>0</v>
      </c>
    </row>
    <row r="225" spans="1:1">
      <c r="A225" s="39">
        <f>IF('Additional Cartons'!B225 = "", "", IF('Additional Cartons-WUO_ERR'!A225 = "", "Validated", HYPERLINK("#" &amp; ADDRESS(225, 'Additional Cartons-WUO_TRK'!A225),_xlfn.TEXTAFTER('Additional Cartons-WUO_ERR'!A225, ":"))))</f>
        <v>0</v>
      </c>
    </row>
    <row r="226" spans="1:1">
      <c r="A226" s="39">
        <f>IF('Additional Cartons'!B226 = "", "", IF('Additional Cartons-WUO_ERR'!A226 = "", "Validated", HYPERLINK("#" &amp; ADDRESS(226, 'Additional Cartons-WUO_TRK'!A226),_xlfn.TEXTAFTER('Additional Cartons-WUO_ERR'!A226, ":"))))</f>
        <v>0</v>
      </c>
    </row>
    <row r="227" spans="1:1">
      <c r="A227" s="39">
        <f>IF('Additional Cartons'!B227 = "", "", IF('Additional Cartons-WUO_ERR'!A227 = "", "Validated", HYPERLINK("#" &amp; ADDRESS(227, 'Additional Cartons-WUO_TRK'!A227),_xlfn.TEXTAFTER('Additional Cartons-WUO_ERR'!A227, ":"))))</f>
        <v>0</v>
      </c>
    </row>
    <row r="228" spans="1:1">
      <c r="A228" s="39">
        <f>IF('Additional Cartons'!B228 = "", "", IF('Additional Cartons-WUO_ERR'!A228 = "", "Validated", HYPERLINK("#" &amp; ADDRESS(228, 'Additional Cartons-WUO_TRK'!A228),_xlfn.TEXTAFTER('Additional Cartons-WUO_ERR'!A228, ":"))))</f>
        <v>0</v>
      </c>
    </row>
    <row r="229" spans="1:1">
      <c r="A229" s="39">
        <f>IF('Additional Cartons'!B229 = "", "", IF('Additional Cartons-WUO_ERR'!A229 = "", "Validated", HYPERLINK("#" &amp; ADDRESS(229, 'Additional Cartons-WUO_TRK'!A229),_xlfn.TEXTAFTER('Additional Cartons-WUO_ERR'!A229, ":"))))</f>
        <v>0</v>
      </c>
    </row>
    <row r="230" spans="1:1">
      <c r="A230" s="39">
        <f>IF('Additional Cartons'!B230 = "", "", IF('Additional Cartons-WUO_ERR'!A230 = "", "Validated", HYPERLINK("#" &amp; ADDRESS(230, 'Additional Cartons-WUO_TRK'!A230),_xlfn.TEXTAFTER('Additional Cartons-WUO_ERR'!A230, ":"))))</f>
        <v>0</v>
      </c>
    </row>
    <row r="231" spans="1:1">
      <c r="A231" s="39">
        <f>IF('Additional Cartons'!B231 = "", "", IF('Additional Cartons-WUO_ERR'!A231 = "", "Validated", HYPERLINK("#" &amp; ADDRESS(231, 'Additional Cartons-WUO_TRK'!A231),_xlfn.TEXTAFTER('Additional Cartons-WUO_ERR'!A231, ":"))))</f>
        <v>0</v>
      </c>
    </row>
    <row r="232" spans="1:1">
      <c r="A232" s="39">
        <f>IF('Additional Cartons'!B232 = "", "", IF('Additional Cartons-WUO_ERR'!A232 = "", "Validated", HYPERLINK("#" &amp; ADDRESS(232, 'Additional Cartons-WUO_TRK'!A232),_xlfn.TEXTAFTER('Additional Cartons-WUO_ERR'!A232, ":"))))</f>
        <v>0</v>
      </c>
    </row>
    <row r="233" spans="1:1">
      <c r="A233" s="39">
        <f>IF('Additional Cartons'!B233 = "", "", IF('Additional Cartons-WUO_ERR'!A233 = "", "Validated", HYPERLINK("#" &amp; ADDRESS(233, 'Additional Cartons-WUO_TRK'!A233),_xlfn.TEXTAFTER('Additional Cartons-WUO_ERR'!A233, ":"))))</f>
        <v>0</v>
      </c>
    </row>
    <row r="234" spans="1:1">
      <c r="A234" s="39">
        <f>IF('Additional Cartons'!B234 = "", "", IF('Additional Cartons-WUO_ERR'!A234 = "", "Validated", HYPERLINK("#" &amp; ADDRESS(234, 'Additional Cartons-WUO_TRK'!A234),_xlfn.TEXTAFTER('Additional Cartons-WUO_ERR'!A234, ":"))))</f>
        <v>0</v>
      </c>
    </row>
    <row r="235" spans="1:1">
      <c r="A235" s="39">
        <f>IF('Additional Cartons'!B235 = "", "", IF('Additional Cartons-WUO_ERR'!A235 = "", "Validated", HYPERLINK("#" &amp; ADDRESS(235, 'Additional Cartons-WUO_TRK'!A235),_xlfn.TEXTAFTER('Additional Cartons-WUO_ERR'!A235, ":"))))</f>
        <v>0</v>
      </c>
    </row>
    <row r="236" spans="1:1">
      <c r="A236" s="39">
        <f>IF('Additional Cartons'!B236 = "", "", IF('Additional Cartons-WUO_ERR'!A236 = "", "Validated", HYPERLINK("#" &amp; ADDRESS(236, 'Additional Cartons-WUO_TRK'!A236),_xlfn.TEXTAFTER('Additional Cartons-WUO_ERR'!A236, ":"))))</f>
        <v>0</v>
      </c>
    </row>
    <row r="237" spans="1:1">
      <c r="A237" s="39">
        <f>IF('Additional Cartons'!B237 = "", "", IF('Additional Cartons-WUO_ERR'!A237 = "", "Validated", HYPERLINK("#" &amp; ADDRESS(237, 'Additional Cartons-WUO_TRK'!A237),_xlfn.TEXTAFTER('Additional Cartons-WUO_ERR'!A237, ":"))))</f>
        <v>0</v>
      </c>
    </row>
    <row r="238" spans="1:1">
      <c r="A238" s="39">
        <f>IF('Additional Cartons'!B238 = "", "", IF('Additional Cartons-WUO_ERR'!A238 = "", "Validated", HYPERLINK("#" &amp; ADDRESS(238, 'Additional Cartons-WUO_TRK'!A238),_xlfn.TEXTAFTER('Additional Cartons-WUO_ERR'!A238, ":"))))</f>
        <v>0</v>
      </c>
    </row>
    <row r="239" spans="1:1">
      <c r="A239" s="39">
        <f>IF('Additional Cartons'!B239 = "", "", IF('Additional Cartons-WUO_ERR'!A239 = "", "Validated", HYPERLINK("#" &amp; ADDRESS(239, 'Additional Cartons-WUO_TRK'!A239),_xlfn.TEXTAFTER('Additional Cartons-WUO_ERR'!A239, ":"))))</f>
        <v>0</v>
      </c>
    </row>
    <row r="240" spans="1:1">
      <c r="A240" s="39">
        <f>IF('Additional Cartons'!B240 = "", "", IF('Additional Cartons-WUO_ERR'!A240 = "", "Validated", HYPERLINK("#" &amp; ADDRESS(240, 'Additional Cartons-WUO_TRK'!A240),_xlfn.TEXTAFTER('Additional Cartons-WUO_ERR'!A240, ":"))))</f>
        <v>0</v>
      </c>
    </row>
    <row r="241" spans="1:1">
      <c r="A241" s="39">
        <f>IF('Additional Cartons'!B241 = "", "", IF('Additional Cartons-WUO_ERR'!A241 = "", "Validated", HYPERLINK("#" &amp; ADDRESS(241, 'Additional Cartons-WUO_TRK'!A241),_xlfn.TEXTAFTER('Additional Cartons-WUO_ERR'!A241, ":"))))</f>
        <v>0</v>
      </c>
    </row>
    <row r="242" spans="1:1">
      <c r="A242" s="39">
        <f>IF('Additional Cartons'!B242 = "", "", IF('Additional Cartons-WUO_ERR'!A242 = "", "Validated", HYPERLINK("#" &amp; ADDRESS(242, 'Additional Cartons-WUO_TRK'!A242),_xlfn.TEXTAFTER('Additional Cartons-WUO_ERR'!A242, ":"))))</f>
        <v>0</v>
      </c>
    </row>
    <row r="243" spans="1:1">
      <c r="A243" s="39">
        <f>IF('Additional Cartons'!B243 = "", "", IF('Additional Cartons-WUO_ERR'!A243 = "", "Validated", HYPERLINK("#" &amp; ADDRESS(243, 'Additional Cartons-WUO_TRK'!A243),_xlfn.TEXTAFTER('Additional Cartons-WUO_ERR'!A243, ":"))))</f>
        <v>0</v>
      </c>
    </row>
    <row r="244" spans="1:1">
      <c r="A244" s="39">
        <f>IF('Additional Cartons'!B244 = "", "", IF('Additional Cartons-WUO_ERR'!A244 = "", "Validated", HYPERLINK("#" &amp; ADDRESS(244, 'Additional Cartons-WUO_TRK'!A244),_xlfn.TEXTAFTER('Additional Cartons-WUO_ERR'!A244, ":"))))</f>
        <v>0</v>
      </c>
    </row>
    <row r="245" spans="1:1">
      <c r="A245" s="39">
        <f>IF('Additional Cartons'!B245 = "", "", IF('Additional Cartons-WUO_ERR'!A245 = "", "Validated", HYPERLINK("#" &amp; ADDRESS(245, 'Additional Cartons-WUO_TRK'!A245),_xlfn.TEXTAFTER('Additional Cartons-WUO_ERR'!A245, ":"))))</f>
        <v>0</v>
      </c>
    </row>
    <row r="246" spans="1:1">
      <c r="A246" s="39">
        <f>IF('Additional Cartons'!B246 = "", "", IF('Additional Cartons-WUO_ERR'!A246 = "", "Validated", HYPERLINK("#" &amp; ADDRESS(246, 'Additional Cartons-WUO_TRK'!A246),_xlfn.TEXTAFTER('Additional Cartons-WUO_ERR'!A246, ":"))))</f>
        <v>0</v>
      </c>
    </row>
    <row r="247" spans="1:1">
      <c r="A247" s="39">
        <f>IF('Additional Cartons'!B247 = "", "", IF('Additional Cartons-WUO_ERR'!A247 = "", "Validated", HYPERLINK("#" &amp; ADDRESS(247, 'Additional Cartons-WUO_TRK'!A247),_xlfn.TEXTAFTER('Additional Cartons-WUO_ERR'!A247, ":"))))</f>
        <v>0</v>
      </c>
    </row>
    <row r="248" spans="1:1">
      <c r="A248" s="39">
        <f>IF('Additional Cartons'!B248 = "", "", IF('Additional Cartons-WUO_ERR'!A248 = "", "Validated", HYPERLINK("#" &amp; ADDRESS(248, 'Additional Cartons-WUO_TRK'!A248),_xlfn.TEXTAFTER('Additional Cartons-WUO_ERR'!A248, ":"))))</f>
        <v>0</v>
      </c>
    </row>
    <row r="249" spans="1:1">
      <c r="A249" s="39">
        <f>IF('Additional Cartons'!B249 = "", "", IF('Additional Cartons-WUO_ERR'!A249 = "", "Validated", HYPERLINK("#" &amp; ADDRESS(249, 'Additional Cartons-WUO_TRK'!A249),_xlfn.TEXTAFTER('Additional Cartons-WUO_ERR'!A249, ":"))))</f>
        <v>0</v>
      </c>
    </row>
    <row r="250" spans="1:1">
      <c r="A250" s="39">
        <f>IF('Additional Cartons'!B250 = "", "", IF('Additional Cartons-WUO_ERR'!A250 = "", "Validated", HYPERLINK("#" &amp; ADDRESS(250, 'Additional Cartons-WUO_TRK'!A250),_xlfn.TEXTAFTER('Additional Cartons-WUO_ERR'!A250, ":"))))</f>
        <v>0</v>
      </c>
    </row>
    <row r="251" spans="1:1">
      <c r="A251" s="39">
        <f>IF('Additional Cartons'!B251 = "", "", IF('Additional Cartons-WUO_ERR'!A251 = "", "Validated", HYPERLINK("#" &amp; ADDRESS(251, 'Additional Cartons-WUO_TRK'!A251),_xlfn.TEXTAFTER('Additional Cartons-WUO_ERR'!A251, ":"))))</f>
        <v>0</v>
      </c>
    </row>
    <row r="252" spans="1:1">
      <c r="A252" s="39">
        <f>IF('Additional Cartons'!B252 = "", "", IF('Additional Cartons-WUO_ERR'!A252 = "", "Validated", HYPERLINK("#" &amp; ADDRESS(252, 'Additional Cartons-WUO_TRK'!A252),_xlfn.TEXTAFTER('Additional Cartons-WUO_ERR'!A252, ":"))))</f>
        <v>0</v>
      </c>
    </row>
    <row r="253" spans="1:1">
      <c r="A253" s="39">
        <f>IF('Additional Cartons'!B253 = "", "", IF('Additional Cartons-WUO_ERR'!A253 = "", "Validated", HYPERLINK("#" &amp; ADDRESS(253, 'Additional Cartons-WUO_TRK'!A253),_xlfn.TEXTAFTER('Additional Cartons-WUO_ERR'!A253, ":"))))</f>
        <v>0</v>
      </c>
    </row>
    <row r="254" spans="1:1">
      <c r="A254" s="39">
        <f>IF('Additional Cartons'!B254 = "", "", IF('Additional Cartons-WUO_ERR'!A254 = "", "Validated", HYPERLINK("#" &amp; ADDRESS(254, 'Additional Cartons-WUO_TRK'!A254),_xlfn.TEXTAFTER('Additional Cartons-WUO_ERR'!A254, ":"))))</f>
        <v>0</v>
      </c>
    </row>
    <row r="255" spans="1:1">
      <c r="A255" s="39">
        <f>IF('Additional Cartons'!B255 = "", "", IF('Additional Cartons-WUO_ERR'!A255 = "", "Validated", HYPERLINK("#" &amp; ADDRESS(255, 'Additional Cartons-WUO_TRK'!A255),_xlfn.TEXTAFTER('Additional Cartons-WUO_ERR'!A255, ":"))))</f>
        <v>0</v>
      </c>
    </row>
    <row r="256" spans="1:1">
      <c r="A256" s="39">
        <f>IF('Additional Cartons'!B256 = "", "", IF('Additional Cartons-WUO_ERR'!A256 = "", "Validated", HYPERLINK("#" &amp; ADDRESS(256, 'Additional Cartons-WUO_TRK'!A256),_xlfn.TEXTAFTER('Additional Cartons-WUO_ERR'!A256, ":"))))</f>
        <v>0</v>
      </c>
    </row>
    <row r="257" spans="1:1">
      <c r="A257" s="39">
        <f>IF('Additional Cartons'!B257 = "", "", IF('Additional Cartons-WUO_ERR'!A257 = "", "Validated", HYPERLINK("#" &amp; ADDRESS(257, 'Additional Cartons-WUO_TRK'!A257),_xlfn.TEXTAFTER('Additional Cartons-WUO_ERR'!A257, ":"))))</f>
        <v>0</v>
      </c>
    </row>
    <row r="258" spans="1:1">
      <c r="A258" s="39">
        <f>IF('Additional Cartons'!B258 = "", "", IF('Additional Cartons-WUO_ERR'!A258 = "", "Validated", HYPERLINK("#" &amp; ADDRESS(258, 'Additional Cartons-WUO_TRK'!A258),_xlfn.TEXTAFTER('Additional Cartons-WUO_ERR'!A258, ":"))))</f>
        <v>0</v>
      </c>
    </row>
    <row r="259" spans="1:1">
      <c r="A259" s="39">
        <f>IF('Additional Cartons'!B259 = "", "", IF('Additional Cartons-WUO_ERR'!A259 = "", "Validated", HYPERLINK("#" &amp; ADDRESS(259, 'Additional Cartons-WUO_TRK'!A259),_xlfn.TEXTAFTER('Additional Cartons-WUO_ERR'!A259, ":"))))</f>
        <v>0</v>
      </c>
    </row>
    <row r="260" spans="1:1">
      <c r="A260" s="39">
        <f>IF('Additional Cartons'!B260 = "", "", IF('Additional Cartons-WUO_ERR'!A260 = "", "Validated", HYPERLINK("#" &amp; ADDRESS(260, 'Additional Cartons-WUO_TRK'!A260),_xlfn.TEXTAFTER('Additional Cartons-WUO_ERR'!A260, ":"))))</f>
        <v>0</v>
      </c>
    </row>
    <row r="261" spans="1:1">
      <c r="A261" s="39">
        <f>IF('Additional Cartons'!B261 = "", "", IF('Additional Cartons-WUO_ERR'!A261 = "", "Validated", HYPERLINK("#" &amp; ADDRESS(261, 'Additional Cartons-WUO_TRK'!A261),_xlfn.TEXTAFTER('Additional Cartons-WUO_ERR'!A261, ":"))))</f>
        <v>0</v>
      </c>
    </row>
    <row r="262" spans="1:1">
      <c r="A262" s="39">
        <f>IF('Additional Cartons'!B262 = "", "", IF('Additional Cartons-WUO_ERR'!A262 = "", "Validated", HYPERLINK("#" &amp; ADDRESS(262, 'Additional Cartons-WUO_TRK'!A262),_xlfn.TEXTAFTER('Additional Cartons-WUO_ERR'!A262, ":"))))</f>
        <v>0</v>
      </c>
    </row>
    <row r="263" spans="1:1">
      <c r="A263" s="39">
        <f>IF('Additional Cartons'!B263 = "", "", IF('Additional Cartons-WUO_ERR'!A263 = "", "Validated", HYPERLINK("#" &amp; ADDRESS(263, 'Additional Cartons-WUO_TRK'!A263),_xlfn.TEXTAFTER('Additional Cartons-WUO_ERR'!A263, ":"))))</f>
        <v>0</v>
      </c>
    </row>
    <row r="264" spans="1:1">
      <c r="A264" s="39">
        <f>IF('Additional Cartons'!B264 = "", "", IF('Additional Cartons-WUO_ERR'!A264 = "", "Validated", HYPERLINK("#" &amp; ADDRESS(264, 'Additional Cartons-WUO_TRK'!A264),_xlfn.TEXTAFTER('Additional Cartons-WUO_ERR'!A264, ":"))))</f>
        <v>0</v>
      </c>
    </row>
    <row r="265" spans="1:1">
      <c r="A265" s="39">
        <f>IF('Additional Cartons'!B265 = "", "", IF('Additional Cartons-WUO_ERR'!A265 = "", "Validated", HYPERLINK("#" &amp; ADDRESS(265, 'Additional Cartons-WUO_TRK'!A265),_xlfn.TEXTAFTER('Additional Cartons-WUO_ERR'!A265, ":"))))</f>
        <v>0</v>
      </c>
    </row>
    <row r="266" spans="1:1">
      <c r="A266" s="39">
        <f>IF('Additional Cartons'!B266 = "", "", IF('Additional Cartons-WUO_ERR'!A266 = "", "Validated", HYPERLINK("#" &amp; ADDRESS(266, 'Additional Cartons-WUO_TRK'!A266),_xlfn.TEXTAFTER('Additional Cartons-WUO_ERR'!A266, ":"))))</f>
        <v>0</v>
      </c>
    </row>
    <row r="267" spans="1:1">
      <c r="A267" s="39">
        <f>IF('Additional Cartons'!B267 = "", "", IF('Additional Cartons-WUO_ERR'!A267 = "", "Validated", HYPERLINK("#" &amp; ADDRESS(267, 'Additional Cartons-WUO_TRK'!A267),_xlfn.TEXTAFTER('Additional Cartons-WUO_ERR'!A267, ":"))))</f>
        <v>0</v>
      </c>
    </row>
    <row r="268" spans="1:1">
      <c r="A268" s="39">
        <f>IF('Additional Cartons'!B268 = "", "", IF('Additional Cartons-WUO_ERR'!A268 = "", "Validated", HYPERLINK("#" &amp; ADDRESS(268, 'Additional Cartons-WUO_TRK'!A268),_xlfn.TEXTAFTER('Additional Cartons-WUO_ERR'!A268, ":"))))</f>
        <v>0</v>
      </c>
    </row>
    <row r="269" spans="1:1">
      <c r="A269" s="39">
        <f>IF('Additional Cartons'!B269 = "", "", IF('Additional Cartons-WUO_ERR'!A269 = "", "Validated", HYPERLINK("#" &amp; ADDRESS(269, 'Additional Cartons-WUO_TRK'!A269),_xlfn.TEXTAFTER('Additional Cartons-WUO_ERR'!A269, ":"))))</f>
        <v>0</v>
      </c>
    </row>
    <row r="270" spans="1:1">
      <c r="A270" s="39">
        <f>IF('Additional Cartons'!B270 = "", "", IF('Additional Cartons-WUO_ERR'!A270 = "", "Validated", HYPERLINK("#" &amp; ADDRESS(270, 'Additional Cartons-WUO_TRK'!A270),_xlfn.TEXTAFTER('Additional Cartons-WUO_ERR'!A270, ":"))))</f>
        <v>0</v>
      </c>
    </row>
    <row r="271" spans="1:1">
      <c r="A271" s="39">
        <f>IF('Additional Cartons'!B271 = "", "", IF('Additional Cartons-WUO_ERR'!A271 = "", "Validated", HYPERLINK("#" &amp; ADDRESS(271, 'Additional Cartons-WUO_TRK'!A271),_xlfn.TEXTAFTER('Additional Cartons-WUO_ERR'!A271, ":"))))</f>
        <v>0</v>
      </c>
    </row>
    <row r="272" spans="1:1">
      <c r="A272" s="39">
        <f>IF('Additional Cartons'!B272 = "", "", IF('Additional Cartons-WUO_ERR'!A272 = "", "Validated", HYPERLINK("#" &amp; ADDRESS(272, 'Additional Cartons-WUO_TRK'!A272),_xlfn.TEXTAFTER('Additional Cartons-WUO_ERR'!A272, ":"))))</f>
        <v>0</v>
      </c>
    </row>
    <row r="273" spans="1:1">
      <c r="A273" s="39">
        <f>IF('Additional Cartons'!B273 = "", "", IF('Additional Cartons-WUO_ERR'!A273 = "", "Validated", HYPERLINK("#" &amp; ADDRESS(273, 'Additional Cartons-WUO_TRK'!A273),_xlfn.TEXTAFTER('Additional Cartons-WUO_ERR'!A273, ":"))))</f>
        <v>0</v>
      </c>
    </row>
    <row r="274" spans="1:1">
      <c r="A274" s="39">
        <f>IF('Additional Cartons'!B274 = "", "", IF('Additional Cartons-WUO_ERR'!A274 = "", "Validated", HYPERLINK("#" &amp; ADDRESS(274, 'Additional Cartons-WUO_TRK'!A274),_xlfn.TEXTAFTER('Additional Cartons-WUO_ERR'!A274, ":"))))</f>
        <v>0</v>
      </c>
    </row>
    <row r="275" spans="1:1">
      <c r="A275" s="39">
        <f>IF('Additional Cartons'!B275 = "", "", IF('Additional Cartons-WUO_ERR'!A275 = "", "Validated", HYPERLINK("#" &amp; ADDRESS(275, 'Additional Cartons-WUO_TRK'!A275),_xlfn.TEXTAFTER('Additional Cartons-WUO_ERR'!A275, ":"))))</f>
        <v>0</v>
      </c>
    </row>
    <row r="276" spans="1:1">
      <c r="A276" s="39">
        <f>IF('Additional Cartons'!B276 = "", "", IF('Additional Cartons-WUO_ERR'!A276 = "", "Validated", HYPERLINK("#" &amp; ADDRESS(276, 'Additional Cartons-WUO_TRK'!A276),_xlfn.TEXTAFTER('Additional Cartons-WUO_ERR'!A276, ":"))))</f>
        <v>0</v>
      </c>
    </row>
    <row r="277" spans="1:1">
      <c r="A277" s="39">
        <f>IF('Additional Cartons'!B277 = "", "", IF('Additional Cartons-WUO_ERR'!A277 = "", "Validated", HYPERLINK("#" &amp; ADDRESS(277, 'Additional Cartons-WUO_TRK'!A277),_xlfn.TEXTAFTER('Additional Cartons-WUO_ERR'!A277, ":"))))</f>
        <v>0</v>
      </c>
    </row>
    <row r="278" spans="1:1">
      <c r="A278" s="39">
        <f>IF('Additional Cartons'!B278 = "", "", IF('Additional Cartons-WUO_ERR'!A278 = "", "Validated", HYPERLINK("#" &amp; ADDRESS(278, 'Additional Cartons-WUO_TRK'!A278),_xlfn.TEXTAFTER('Additional Cartons-WUO_ERR'!A278, ":"))))</f>
        <v>0</v>
      </c>
    </row>
    <row r="279" spans="1:1">
      <c r="A279" s="39">
        <f>IF('Additional Cartons'!B279 = "", "", IF('Additional Cartons-WUO_ERR'!A279 = "", "Validated", HYPERLINK("#" &amp; ADDRESS(279, 'Additional Cartons-WUO_TRK'!A279),_xlfn.TEXTAFTER('Additional Cartons-WUO_ERR'!A279, ":"))))</f>
        <v>0</v>
      </c>
    </row>
    <row r="280" spans="1:1">
      <c r="A280" s="39">
        <f>IF('Additional Cartons'!B280 = "", "", IF('Additional Cartons-WUO_ERR'!A280 = "", "Validated", HYPERLINK("#" &amp; ADDRESS(280, 'Additional Cartons-WUO_TRK'!A280),_xlfn.TEXTAFTER('Additional Cartons-WUO_ERR'!A280, ":"))))</f>
        <v>0</v>
      </c>
    </row>
    <row r="281" spans="1:1">
      <c r="A281" s="39">
        <f>IF('Additional Cartons'!B281 = "", "", IF('Additional Cartons-WUO_ERR'!A281 = "", "Validated", HYPERLINK("#" &amp; ADDRESS(281, 'Additional Cartons-WUO_TRK'!A281),_xlfn.TEXTAFTER('Additional Cartons-WUO_ERR'!A281, ":"))))</f>
        <v>0</v>
      </c>
    </row>
    <row r="282" spans="1:1">
      <c r="A282" s="39">
        <f>IF('Additional Cartons'!B282 = "", "", IF('Additional Cartons-WUO_ERR'!A282 = "", "Validated", HYPERLINK("#" &amp; ADDRESS(282, 'Additional Cartons-WUO_TRK'!A282),_xlfn.TEXTAFTER('Additional Cartons-WUO_ERR'!A282, ":"))))</f>
        <v>0</v>
      </c>
    </row>
    <row r="283" spans="1:1">
      <c r="A283" s="39">
        <f>IF('Additional Cartons'!B283 = "", "", IF('Additional Cartons-WUO_ERR'!A283 = "", "Validated", HYPERLINK("#" &amp; ADDRESS(283, 'Additional Cartons-WUO_TRK'!A283),_xlfn.TEXTAFTER('Additional Cartons-WUO_ERR'!A283, ":"))))</f>
        <v>0</v>
      </c>
    </row>
    <row r="284" spans="1:1">
      <c r="A284" s="39">
        <f>IF('Additional Cartons'!B284 = "", "", IF('Additional Cartons-WUO_ERR'!A284 = "", "Validated", HYPERLINK("#" &amp; ADDRESS(284, 'Additional Cartons-WUO_TRK'!A284),_xlfn.TEXTAFTER('Additional Cartons-WUO_ERR'!A284, ":"))))</f>
        <v>0</v>
      </c>
    </row>
    <row r="285" spans="1:1">
      <c r="A285" s="39">
        <f>IF('Additional Cartons'!B285 = "", "", IF('Additional Cartons-WUO_ERR'!A285 = "", "Validated", HYPERLINK("#" &amp; ADDRESS(285, 'Additional Cartons-WUO_TRK'!A285),_xlfn.TEXTAFTER('Additional Cartons-WUO_ERR'!A285, ":"))))</f>
        <v>0</v>
      </c>
    </row>
    <row r="286" spans="1:1">
      <c r="A286" s="39">
        <f>IF('Additional Cartons'!B286 = "", "", IF('Additional Cartons-WUO_ERR'!A286 = "", "Validated", HYPERLINK("#" &amp; ADDRESS(286, 'Additional Cartons-WUO_TRK'!A286),_xlfn.TEXTAFTER('Additional Cartons-WUO_ERR'!A286, ":"))))</f>
        <v>0</v>
      </c>
    </row>
    <row r="287" spans="1:1">
      <c r="A287" s="39">
        <f>IF('Additional Cartons'!B287 = "", "", IF('Additional Cartons-WUO_ERR'!A287 = "", "Validated", HYPERLINK("#" &amp; ADDRESS(287, 'Additional Cartons-WUO_TRK'!A287),_xlfn.TEXTAFTER('Additional Cartons-WUO_ERR'!A287, ":"))))</f>
        <v>0</v>
      </c>
    </row>
    <row r="288" spans="1:1">
      <c r="A288" s="39">
        <f>IF('Additional Cartons'!B288 = "", "", IF('Additional Cartons-WUO_ERR'!A288 = "", "Validated", HYPERLINK("#" &amp; ADDRESS(288, 'Additional Cartons-WUO_TRK'!A288),_xlfn.TEXTAFTER('Additional Cartons-WUO_ERR'!A288, ":"))))</f>
        <v>0</v>
      </c>
    </row>
    <row r="289" spans="1:1">
      <c r="A289" s="39">
        <f>IF('Additional Cartons'!B289 = "", "", IF('Additional Cartons-WUO_ERR'!A289 = "", "Validated", HYPERLINK("#" &amp; ADDRESS(289, 'Additional Cartons-WUO_TRK'!A289),_xlfn.TEXTAFTER('Additional Cartons-WUO_ERR'!A289, ":"))))</f>
        <v>0</v>
      </c>
    </row>
    <row r="290" spans="1:1">
      <c r="A290" s="39">
        <f>IF('Additional Cartons'!B290 = "", "", IF('Additional Cartons-WUO_ERR'!A290 = "", "Validated", HYPERLINK("#" &amp; ADDRESS(290, 'Additional Cartons-WUO_TRK'!A290),_xlfn.TEXTAFTER('Additional Cartons-WUO_ERR'!A290, ":"))))</f>
        <v>0</v>
      </c>
    </row>
    <row r="291" spans="1:1">
      <c r="A291" s="39">
        <f>IF('Additional Cartons'!B291 = "", "", IF('Additional Cartons-WUO_ERR'!A291 = "", "Validated", HYPERLINK("#" &amp; ADDRESS(291, 'Additional Cartons-WUO_TRK'!A291),_xlfn.TEXTAFTER('Additional Cartons-WUO_ERR'!A291, ":"))))</f>
        <v>0</v>
      </c>
    </row>
    <row r="292" spans="1:1">
      <c r="A292" s="39">
        <f>IF('Additional Cartons'!B292 = "", "", IF('Additional Cartons-WUO_ERR'!A292 = "", "Validated", HYPERLINK("#" &amp; ADDRESS(292, 'Additional Cartons-WUO_TRK'!A292),_xlfn.TEXTAFTER('Additional Cartons-WUO_ERR'!A292, ":"))))</f>
        <v>0</v>
      </c>
    </row>
    <row r="293" spans="1:1">
      <c r="A293" s="39">
        <f>IF('Additional Cartons'!B293 = "", "", IF('Additional Cartons-WUO_ERR'!A293 = "", "Validated", HYPERLINK("#" &amp; ADDRESS(293, 'Additional Cartons-WUO_TRK'!A293),_xlfn.TEXTAFTER('Additional Cartons-WUO_ERR'!A293, ":"))))</f>
        <v>0</v>
      </c>
    </row>
    <row r="294" spans="1:1">
      <c r="A294" s="39">
        <f>IF('Additional Cartons'!B294 = "", "", IF('Additional Cartons-WUO_ERR'!A294 = "", "Validated", HYPERLINK("#" &amp; ADDRESS(294, 'Additional Cartons-WUO_TRK'!A294),_xlfn.TEXTAFTER('Additional Cartons-WUO_ERR'!A294, ":"))))</f>
        <v>0</v>
      </c>
    </row>
    <row r="295" spans="1:1">
      <c r="A295" s="39">
        <f>IF('Additional Cartons'!B295 = "", "", IF('Additional Cartons-WUO_ERR'!A295 = "", "Validated", HYPERLINK("#" &amp; ADDRESS(295, 'Additional Cartons-WUO_TRK'!A295),_xlfn.TEXTAFTER('Additional Cartons-WUO_ERR'!A295, ":"))))</f>
        <v>0</v>
      </c>
    </row>
    <row r="296" spans="1:1">
      <c r="A296" s="39">
        <f>IF('Additional Cartons'!B296 = "", "", IF('Additional Cartons-WUO_ERR'!A296 = "", "Validated", HYPERLINK("#" &amp; ADDRESS(296, 'Additional Cartons-WUO_TRK'!A296),_xlfn.TEXTAFTER('Additional Cartons-WUO_ERR'!A296, ":"))))</f>
        <v>0</v>
      </c>
    </row>
    <row r="297" spans="1:1">
      <c r="A297" s="39">
        <f>IF('Additional Cartons'!B297 = "", "", IF('Additional Cartons-WUO_ERR'!A297 = "", "Validated", HYPERLINK("#" &amp; ADDRESS(297, 'Additional Cartons-WUO_TRK'!A297),_xlfn.TEXTAFTER('Additional Cartons-WUO_ERR'!A297, ":"))))</f>
        <v>0</v>
      </c>
    </row>
    <row r="298" spans="1:1">
      <c r="A298" s="39">
        <f>IF('Additional Cartons'!B298 = "", "", IF('Additional Cartons-WUO_ERR'!A298 = "", "Validated", HYPERLINK("#" &amp; ADDRESS(298, 'Additional Cartons-WUO_TRK'!A298),_xlfn.TEXTAFTER('Additional Cartons-WUO_ERR'!A298, ":"))))</f>
        <v>0</v>
      </c>
    </row>
    <row r="299" spans="1:1">
      <c r="A299" s="39">
        <f>IF('Additional Cartons'!B299 = "", "", IF('Additional Cartons-WUO_ERR'!A299 = "", "Validated", HYPERLINK("#" &amp; ADDRESS(299, 'Additional Cartons-WUO_TRK'!A299),_xlfn.TEXTAFTER('Additional Cartons-WUO_ERR'!A299, ":"))))</f>
        <v>0</v>
      </c>
    </row>
    <row r="300" spans="1:1">
      <c r="A300" s="39">
        <f>IF('Additional Cartons'!B300 = "", "", IF('Additional Cartons-WUO_ERR'!A300 = "", "Validated", HYPERLINK("#" &amp; ADDRESS(300, 'Additional Cartons-WUO_TRK'!A300),_xlfn.TEXTAFTER('Additional Cartons-WUO_ERR'!A300, ":"))))</f>
        <v>0</v>
      </c>
    </row>
    <row r="301" spans="1:1">
      <c r="A301" s="39">
        <f>IF('Additional Cartons'!B301 = "", "", IF('Additional Cartons-WUO_ERR'!A301 = "", "Validated", HYPERLINK("#" &amp; ADDRESS(301, 'Additional Cartons-WUO_TRK'!A301),_xlfn.TEXTAFTER('Additional Cartons-WUO_ERR'!A301, ":"))))</f>
        <v>0</v>
      </c>
    </row>
    <row r="302" spans="1:1">
      <c r="A302" s="39">
        <f>IF('Additional Cartons'!B302 = "", "", IF('Additional Cartons-WUO_ERR'!A302 = "", "Validated", HYPERLINK("#" &amp; ADDRESS(302, 'Additional Cartons-WUO_TRK'!A302),_xlfn.TEXTAFTER('Additional Cartons-WUO_ERR'!A302, ":"))))</f>
        <v>0</v>
      </c>
    </row>
    <row r="303" spans="1:1">
      <c r="A303" s="39">
        <f>IF('Additional Cartons'!B303 = "", "", IF('Additional Cartons-WUO_ERR'!A303 = "", "Validated", HYPERLINK("#" &amp; ADDRESS(303, 'Additional Cartons-WUO_TRK'!A303),_xlfn.TEXTAFTER('Additional Cartons-WUO_ERR'!A303, ":"))))</f>
        <v>0</v>
      </c>
    </row>
    <row r="304" spans="1:1">
      <c r="A304" s="39">
        <f>IF('Additional Cartons'!B304 = "", "", IF('Additional Cartons-WUO_ERR'!A304 = "", "Validated", HYPERLINK("#" &amp; ADDRESS(304, 'Additional Cartons-WUO_TRK'!A304),_xlfn.TEXTAFTER('Additional Cartons-WUO_ERR'!A304, ":"))))</f>
        <v>0</v>
      </c>
    </row>
    <row r="305" spans="1:1">
      <c r="A305" s="39">
        <f>IF('Additional Cartons'!B305 = "", "", IF('Additional Cartons-WUO_ERR'!A305 = "", "Validated", HYPERLINK("#" &amp; ADDRESS(305, 'Additional Cartons-WUO_TRK'!A305),_xlfn.TEXTAFTER('Additional Cartons-WUO_ERR'!A305, ":"))))</f>
        <v>0</v>
      </c>
    </row>
    <row r="306" spans="1:1">
      <c r="A306" s="39">
        <f>IF('Additional Cartons'!B306 = "", "", IF('Additional Cartons-WUO_ERR'!A306 = "", "Validated", HYPERLINK("#" &amp; ADDRESS(306, 'Additional Cartons-WUO_TRK'!A306),_xlfn.TEXTAFTER('Additional Cartons-WUO_ERR'!A306, ":"))))</f>
        <v>0</v>
      </c>
    </row>
    <row r="307" spans="1:1">
      <c r="A307" s="39">
        <f>IF('Additional Cartons'!B307 = "", "", IF('Additional Cartons-WUO_ERR'!A307 = "", "Validated", HYPERLINK("#" &amp; ADDRESS(307, 'Additional Cartons-WUO_TRK'!A307),_xlfn.TEXTAFTER('Additional Cartons-WUO_ERR'!A307, ":"))))</f>
        <v>0</v>
      </c>
    </row>
    <row r="308" spans="1:1">
      <c r="A308" s="39">
        <f>IF('Additional Cartons'!B308 = "", "", IF('Additional Cartons-WUO_ERR'!A308 = "", "Validated", HYPERLINK("#" &amp; ADDRESS(308, 'Additional Cartons-WUO_TRK'!A308),_xlfn.TEXTAFTER('Additional Cartons-WUO_ERR'!A308, ":"))))</f>
        <v>0</v>
      </c>
    </row>
    <row r="309" spans="1:1">
      <c r="A309" s="39">
        <f>IF('Additional Cartons'!B309 = "", "", IF('Additional Cartons-WUO_ERR'!A309 = "", "Validated", HYPERLINK("#" &amp; ADDRESS(309, 'Additional Cartons-WUO_TRK'!A309),_xlfn.TEXTAFTER('Additional Cartons-WUO_ERR'!A309, ":"))))</f>
        <v>0</v>
      </c>
    </row>
    <row r="310" spans="1:1">
      <c r="A310" s="39">
        <f>IF('Additional Cartons'!B310 = "", "", IF('Additional Cartons-WUO_ERR'!A310 = "", "Validated", HYPERLINK("#" &amp; ADDRESS(310, 'Additional Cartons-WUO_TRK'!A310),_xlfn.TEXTAFTER('Additional Cartons-WUO_ERR'!A310, ":"))))</f>
        <v>0</v>
      </c>
    </row>
    <row r="311" spans="1:1">
      <c r="A311" s="39">
        <f>IF('Additional Cartons'!B311 = "", "", IF('Additional Cartons-WUO_ERR'!A311 = "", "Validated", HYPERLINK("#" &amp; ADDRESS(311, 'Additional Cartons-WUO_TRK'!A311),_xlfn.TEXTAFTER('Additional Cartons-WUO_ERR'!A311, ":"))))</f>
        <v>0</v>
      </c>
    </row>
    <row r="312" spans="1:1">
      <c r="A312" s="39">
        <f>IF('Additional Cartons'!B312 = "", "", IF('Additional Cartons-WUO_ERR'!A312 = "", "Validated", HYPERLINK("#" &amp; ADDRESS(312, 'Additional Cartons-WUO_TRK'!A312),_xlfn.TEXTAFTER('Additional Cartons-WUO_ERR'!A312, ":"))))</f>
        <v>0</v>
      </c>
    </row>
    <row r="313" spans="1:1">
      <c r="A313" s="39">
        <f>IF('Additional Cartons'!B313 = "", "", IF('Additional Cartons-WUO_ERR'!A313 = "", "Validated", HYPERLINK("#" &amp; ADDRESS(313, 'Additional Cartons-WUO_TRK'!A313),_xlfn.TEXTAFTER('Additional Cartons-WUO_ERR'!A313, ":"))))</f>
        <v>0</v>
      </c>
    </row>
    <row r="314" spans="1:1">
      <c r="A314" s="39">
        <f>IF('Additional Cartons'!B314 = "", "", IF('Additional Cartons-WUO_ERR'!A314 = "", "Validated", HYPERLINK("#" &amp; ADDRESS(314, 'Additional Cartons-WUO_TRK'!A314),_xlfn.TEXTAFTER('Additional Cartons-WUO_ERR'!A314, ":"))))</f>
        <v>0</v>
      </c>
    </row>
    <row r="315" spans="1:1">
      <c r="A315" s="39">
        <f>IF('Additional Cartons'!B315 = "", "", IF('Additional Cartons-WUO_ERR'!A315 = "", "Validated", HYPERLINK("#" &amp; ADDRESS(315, 'Additional Cartons-WUO_TRK'!A315),_xlfn.TEXTAFTER('Additional Cartons-WUO_ERR'!A315, ":"))))</f>
        <v>0</v>
      </c>
    </row>
    <row r="316" spans="1:1">
      <c r="A316" s="39">
        <f>IF('Additional Cartons'!B316 = "", "", IF('Additional Cartons-WUO_ERR'!A316 = "", "Validated", HYPERLINK("#" &amp; ADDRESS(316, 'Additional Cartons-WUO_TRK'!A316),_xlfn.TEXTAFTER('Additional Cartons-WUO_ERR'!A316, ":"))))</f>
        <v>0</v>
      </c>
    </row>
    <row r="317" spans="1:1">
      <c r="A317" s="39">
        <f>IF('Additional Cartons'!B317 = "", "", IF('Additional Cartons-WUO_ERR'!A317 = "", "Validated", HYPERLINK("#" &amp; ADDRESS(317, 'Additional Cartons-WUO_TRK'!A317),_xlfn.TEXTAFTER('Additional Cartons-WUO_ERR'!A317, ":"))))</f>
        <v>0</v>
      </c>
    </row>
    <row r="318" spans="1:1">
      <c r="A318" s="39">
        <f>IF('Additional Cartons'!B318 = "", "", IF('Additional Cartons-WUO_ERR'!A318 = "", "Validated", HYPERLINK("#" &amp; ADDRESS(318, 'Additional Cartons-WUO_TRK'!A318),_xlfn.TEXTAFTER('Additional Cartons-WUO_ERR'!A318, ":"))))</f>
        <v>0</v>
      </c>
    </row>
    <row r="319" spans="1:1">
      <c r="A319" s="39">
        <f>IF('Additional Cartons'!B319 = "", "", IF('Additional Cartons-WUO_ERR'!A319 = "", "Validated", HYPERLINK("#" &amp; ADDRESS(319, 'Additional Cartons-WUO_TRK'!A319),_xlfn.TEXTAFTER('Additional Cartons-WUO_ERR'!A319, ":"))))</f>
        <v>0</v>
      </c>
    </row>
    <row r="320" spans="1:1">
      <c r="A320" s="39">
        <f>IF('Additional Cartons'!B320 = "", "", IF('Additional Cartons-WUO_ERR'!A320 = "", "Validated", HYPERLINK("#" &amp; ADDRESS(320, 'Additional Cartons-WUO_TRK'!A320),_xlfn.TEXTAFTER('Additional Cartons-WUO_ERR'!A320, ":"))))</f>
        <v>0</v>
      </c>
    </row>
    <row r="321" spans="1:1">
      <c r="A321" s="39">
        <f>IF('Additional Cartons'!B321 = "", "", IF('Additional Cartons-WUO_ERR'!A321 = "", "Validated", HYPERLINK("#" &amp; ADDRESS(321, 'Additional Cartons-WUO_TRK'!A321),_xlfn.TEXTAFTER('Additional Cartons-WUO_ERR'!A321, ":"))))</f>
        <v>0</v>
      </c>
    </row>
    <row r="322" spans="1:1">
      <c r="A322" s="39">
        <f>IF('Additional Cartons'!B322 = "", "", IF('Additional Cartons-WUO_ERR'!A322 = "", "Validated", HYPERLINK("#" &amp; ADDRESS(322, 'Additional Cartons-WUO_TRK'!A322),_xlfn.TEXTAFTER('Additional Cartons-WUO_ERR'!A322, ":"))))</f>
        <v>0</v>
      </c>
    </row>
    <row r="323" spans="1:1">
      <c r="A323" s="39">
        <f>IF('Additional Cartons'!B323 = "", "", IF('Additional Cartons-WUO_ERR'!A323 = "", "Validated", HYPERLINK("#" &amp; ADDRESS(323, 'Additional Cartons-WUO_TRK'!A323),_xlfn.TEXTAFTER('Additional Cartons-WUO_ERR'!A323, ":"))))</f>
        <v>0</v>
      </c>
    </row>
    <row r="324" spans="1:1">
      <c r="A324" s="39">
        <f>IF('Additional Cartons'!B324 = "", "", IF('Additional Cartons-WUO_ERR'!A324 = "", "Validated", HYPERLINK("#" &amp; ADDRESS(324, 'Additional Cartons-WUO_TRK'!A324),_xlfn.TEXTAFTER('Additional Cartons-WUO_ERR'!A324, ":"))))</f>
        <v>0</v>
      </c>
    </row>
    <row r="325" spans="1:1">
      <c r="A325" s="39">
        <f>IF('Additional Cartons'!B325 = "", "", IF('Additional Cartons-WUO_ERR'!A325 = "", "Validated", HYPERLINK("#" &amp; ADDRESS(325, 'Additional Cartons-WUO_TRK'!A325),_xlfn.TEXTAFTER('Additional Cartons-WUO_ERR'!A325, ":"))))</f>
        <v>0</v>
      </c>
    </row>
    <row r="326" spans="1:1">
      <c r="A326" s="39">
        <f>IF('Additional Cartons'!B326 = "", "", IF('Additional Cartons-WUO_ERR'!A326 = "", "Validated", HYPERLINK("#" &amp; ADDRESS(326, 'Additional Cartons-WUO_TRK'!A326),_xlfn.TEXTAFTER('Additional Cartons-WUO_ERR'!A326, ":"))))</f>
        <v>0</v>
      </c>
    </row>
    <row r="327" spans="1:1">
      <c r="A327" s="39">
        <f>IF('Additional Cartons'!B327 = "", "", IF('Additional Cartons-WUO_ERR'!A327 = "", "Validated", HYPERLINK("#" &amp; ADDRESS(327, 'Additional Cartons-WUO_TRK'!A327),_xlfn.TEXTAFTER('Additional Cartons-WUO_ERR'!A327, ":"))))</f>
        <v>0</v>
      </c>
    </row>
    <row r="328" spans="1:1">
      <c r="A328" s="39">
        <f>IF('Additional Cartons'!B328 = "", "", IF('Additional Cartons-WUO_ERR'!A328 = "", "Validated", HYPERLINK("#" &amp; ADDRESS(328, 'Additional Cartons-WUO_TRK'!A328),_xlfn.TEXTAFTER('Additional Cartons-WUO_ERR'!A328, ":"))))</f>
        <v>0</v>
      </c>
    </row>
    <row r="329" spans="1:1">
      <c r="A329" s="39">
        <f>IF('Additional Cartons'!B329 = "", "", IF('Additional Cartons-WUO_ERR'!A329 = "", "Validated", HYPERLINK("#" &amp; ADDRESS(329, 'Additional Cartons-WUO_TRK'!A329),_xlfn.TEXTAFTER('Additional Cartons-WUO_ERR'!A329, ":"))))</f>
        <v>0</v>
      </c>
    </row>
    <row r="330" spans="1:1">
      <c r="A330" s="39">
        <f>IF('Additional Cartons'!B330 = "", "", IF('Additional Cartons-WUO_ERR'!A330 = "", "Validated", HYPERLINK("#" &amp; ADDRESS(330, 'Additional Cartons-WUO_TRK'!A330),_xlfn.TEXTAFTER('Additional Cartons-WUO_ERR'!A330, ":"))))</f>
        <v>0</v>
      </c>
    </row>
    <row r="331" spans="1:1">
      <c r="A331" s="39">
        <f>IF('Additional Cartons'!B331 = "", "", IF('Additional Cartons-WUO_ERR'!A331 = "", "Validated", HYPERLINK("#" &amp; ADDRESS(331, 'Additional Cartons-WUO_TRK'!A331),_xlfn.TEXTAFTER('Additional Cartons-WUO_ERR'!A331, ":"))))</f>
        <v>0</v>
      </c>
    </row>
    <row r="332" spans="1:1">
      <c r="A332" s="39">
        <f>IF('Additional Cartons'!B332 = "", "", IF('Additional Cartons-WUO_ERR'!A332 = "", "Validated", HYPERLINK("#" &amp; ADDRESS(332, 'Additional Cartons-WUO_TRK'!A332),_xlfn.TEXTAFTER('Additional Cartons-WUO_ERR'!A332, ":"))))</f>
        <v>0</v>
      </c>
    </row>
    <row r="333" spans="1:1">
      <c r="A333" s="39">
        <f>IF('Additional Cartons'!B333 = "", "", IF('Additional Cartons-WUO_ERR'!A333 = "", "Validated", HYPERLINK("#" &amp; ADDRESS(333, 'Additional Cartons-WUO_TRK'!A333),_xlfn.TEXTAFTER('Additional Cartons-WUO_ERR'!A333, ":"))))</f>
        <v>0</v>
      </c>
    </row>
    <row r="334" spans="1:1">
      <c r="A334" s="39">
        <f>IF('Additional Cartons'!B334 = "", "", IF('Additional Cartons-WUO_ERR'!A334 = "", "Validated", HYPERLINK("#" &amp; ADDRESS(334, 'Additional Cartons-WUO_TRK'!A334),_xlfn.TEXTAFTER('Additional Cartons-WUO_ERR'!A334, ":"))))</f>
        <v>0</v>
      </c>
    </row>
    <row r="335" spans="1:1">
      <c r="A335" s="39">
        <f>IF('Additional Cartons'!B335 = "", "", IF('Additional Cartons-WUO_ERR'!A335 = "", "Validated", HYPERLINK("#" &amp; ADDRESS(335, 'Additional Cartons-WUO_TRK'!A335),_xlfn.TEXTAFTER('Additional Cartons-WUO_ERR'!A335, ":"))))</f>
        <v>0</v>
      </c>
    </row>
    <row r="336" spans="1:1">
      <c r="A336" s="39">
        <f>IF('Additional Cartons'!B336 = "", "", IF('Additional Cartons-WUO_ERR'!A336 = "", "Validated", HYPERLINK("#" &amp; ADDRESS(336, 'Additional Cartons-WUO_TRK'!A336),_xlfn.TEXTAFTER('Additional Cartons-WUO_ERR'!A336, ":"))))</f>
        <v>0</v>
      </c>
    </row>
    <row r="337" spans="1:1">
      <c r="A337" s="39">
        <f>IF('Additional Cartons'!B337 = "", "", IF('Additional Cartons-WUO_ERR'!A337 = "", "Validated", HYPERLINK("#" &amp; ADDRESS(337, 'Additional Cartons-WUO_TRK'!A337),_xlfn.TEXTAFTER('Additional Cartons-WUO_ERR'!A337, ":"))))</f>
        <v>0</v>
      </c>
    </row>
    <row r="338" spans="1:1">
      <c r="A338" s="39">
        <f>IF('Additional Cartons'!B338 = "", "", IF('Additional Cartons-WUO_ERR'!A338 = "", "Validated", HYPERLINK("#" &amp; ADDRESS(338, 'Additional Cartons-WUO_TRK'!A338),_xlfn.TEXTAFTER('Additional Cartons-WUO_ERR'!A338, ":"))))</f>
        <v>0</v>
      </c>
    </row>
    <row r="339" spans="1:1">
      <c r="A339" s="39">
        <f>IF('Additional Cartons'!B339 = "", "", IF('Additional Cartons-WUO_ERR'!A339 = "", "Validated", HYPERLINK("#" &amp; ADDRESS(339, 'Additional Cartons-WUO_TRK'!A339),_xlfn.TEXTAFTER('Additional Cartons-WUO_ERR'!A339, ":"))))</f>
        <v>0</v>
      </c>
    </row>
    <row r="340" spans="1:1">
      <c r="A340" s="39">
        <f>IF('Additional Cartons'!B340 = "", "", IF('Additional Cartons-WUO_ERR'!A340 = "", "Validated", HYPERLINK("#" &amp; ADDRESS(340, 'Additional Cartons-WUO_TRK'!A340),_xlfn.TEXTAFTER('Additional Cartons-WUO_ERR'!A340, ":"))))</f>
        <v>0</v>
      </c>
    </row>
    <row r="341" spans="1:1">
      <c r="A341" s="39">
        <f>IF('Additional Cartons'!B341 = "", "", IF('Additional Cartons-WUO_ERR'!A341 = "", "Validated", HYPERLINK("#" &amp; ADDRESS(341, 'Additional Cartons-WUO_TRK'!A341),_xlfn.TEXTAFTER('Additional Cartons-WUO_ERR'!A341, ":"))))</f>
        <v>0</v>
      </c>
    </row>
    <row r="342" spans="1:1">
      <c r="A342" s="39">
        <f>IF('Additional Cartons'!B342 = "", "", IF('Additional Cartons-WUO_ERR'!A342 = "", "Validated", HYPERLINK("#" &amp; ADDRESS(342, 'Additional Cartons-WUO_TRK'!A342),_xlfn.TEXTAFTER('Additional Cartons-WUO_ERR'!A342, ":"))))</f>
        <v>0</v>
      </c>
    </row>
    <row r="343" spans="1:1">
      <c r="A343" s="39">
        <f>IF('Additional Cartons'!B343 = "", "", IF('Additional Cartons-WUO_ERR'!A343 = "", "Validated", HYPERLINK("#" &amp; ADDRESS(343, 'Additional Cartons-WUO_TRK'!A343),_xlfn.TEXTAFTER('Additional Cartons-WUO_ERR'!A343, ":"))))</f>
        <v>0</v>
      </c>
    </row>
    <row r="344" spans="1:1">
      <c r="A344" s="39">
        <f>IF('Additional Cartons'!B344 = "", "", IF('Additional Cartons-WUO_ERR'!A344 = "", "Validated", HYPERLINK("#" &amp; ADDRESS(344, 'Additional Cartons-WUO_TRK'!A344),_xlfn.TEXTAFTER('Additional Cartons-WUO_ERR'!A344, ":"))))</f>
        <v>0</v>
      </c>
    </row>
    <row r="345" spans="1:1">
      <c r="A345" s="39">
        <f>IF('Additional Cartons'!B345 = "", "", IF('Additional Cartons-WUO_ERR'!A345 = "", "Validated", HYPERLINK("#" &amp; ADDRESS(345, 'Additional Cartons-WUO_TRK'!A345),_xlfn.TEXTAFTER('Additional Cartons-WUO_ERR'!A345, ":"))))</f>
        <v>0</v>
      </c>
    </row>
    <row r="346" spans="1:1">
      <c r="A346" s="39">
        <f>IF('Additional Cartons'!B346 = "", "", IF('Additional Cartons-WUO_ERR'!A346 = "", "Validated", HYPERLINK("#" &amp; ADDRESS(346, 'Additional Cartons-WUO_TRK'!A346),_xlfn.TEXTAFTER('Additional Cartons-WUO_ERR'!A346, ":"))))</f>
        <v>0</v>
      </c>
    </row>
    <row r="347" spans="1:1">
      <c r="A347" s="39">
        <f>IF('Additional Cartons'!B347 = "", "", IF('Additional Cartons-WUO_ERR'!A347 = "", "Validated", HYPERLINK("#" &amp; ADDRESS(347, 'Additional Cartons-WUO_TRK'!A347),_xlfn.TEXTAFTER('Additional Cartons-WUO_ERR'!A347, ":"))))</f>
        <v>0</v>
      </c>
    </row>
    <row r="348" spans="1:1">
      <c r="A348" s="39">
        <f>IF('Additional Cartons'!B348 = "", "", IF('Additional Cartons-WUO_ERR'!A348 = "", "Validated", HYPERLINK("#" &amp; ADDRESS(348, 'Additional Cartons-WUO_TRK'!A348),_xlfn.TEXTAFTER('Additional Cartons-WUO_ERR'!A348, ":"))))</f>
        <v>0</v>
      </c>
    </row>
    <row r="349" spans="1:1">
      <c r="A349" s="39">
        <f>IF('Additional Cartons'!B349 = "", "", IF('Additional Cartons-WUO_ERR'!A349 = "", "Validated", HYPERLINK("#" &amp; ADDRESS(349, 'Additional Cartons-WUO_TRK'!A349),_xlfn.TEXTAFTER('Additional Cartons-WUO_ERR'!A349, ":"))))</f>
        <v>0</v>
      </c>
    </row>
    <row r="350" spans="1:1">
      <c r="A350" s="39">
        <f>IF('Additional Cartons'!B350 = "", "", IF('Additional Cartons-WUO_ERR'!A350 = "", "Validated", HYPERLINK("#" &amp; ADDRESS(350, 'Additional Cartons-WUO_TRK'!A350),_xlfn.TEXTAFTER('Additional Cartons-WUO_ERR'!A350, ":"))))</f>
        <v>0</v>
      </c>
    </row>
    <row r="351" spans="1:1">
      <c r="A351" s="39">
        <f>IF('Additional Cartons'!B351 = "", "", IF('Additional Cartons-WUO_ERR'!A351 = "", "Validated", HYPERLINK("#" &amp; ADDRESS(351, 'Additional Cartons-WUO_TRK'!A351),_xlfn.TEXTAFTER('Additional Cartons-WUO_ERR'!A351, ":"))))</f>
        <v>0</v>
      </c>
    </row>
    <row r="352" spans="1:1">
      <c r="A352" s="39">
        <f>IF('Additional Cartons'!B352 = "", "", IF('Additional Cartons-WUO_ERR'!A352 = "", "Validated", HYPERLINK("#" &amp; ADDRESS(352, 'Additional Cartons-WUO_TRK'!A352),_xlfn.TEXTAFTER('Additional Cartons-WUO_ERR'!A352, ":"))))</f>
        <v>0</v>
      </c>
    </row>
    <row r="353" spans="1:1">
      <c r="A353" s="39">
        <f>IF('Additional Cartons'!B353 = "", "", IF('Additional Cartons-WUO_ERR'!A353 = "", "Validated", HYPERLINK("#" &amp; ADDRESS(353, 'Additional Cartons-WUO_TRK'!A353),_xlfn.TEXTAFTER('Additional Cartons-WUO_ERR'!A353, ":"))))</f>
        <v>0</v>
      </c>
    </row>
    <row r="354" spans="1:1">
      <c r="A354" s="39">
        <f>IF('Additional Cartons'!B354 = "", "", IF('Additional Cartons-WUO_ERR'!A354 = "", "Validated", HYPERLINK("#" &amp; ADDRESS(354, 'Additional Cartons-WUO_TRK'!A354),_xlfn.TEXTAFTER('Additional Cartons-WUO_ERR'!A354, ":"))))</f>
        <v>0</v>
      </c>
    </row>
    <row r="355" spans="1:1">
      <c r="A355" s="39">
        <f>IF('Additional Cartons'!B355 = "", "", IF('Additional Cartons-WUO_ERR'!A355 = "", "Validated", HYPERLINK("#" &amp; ADDRESS(355, 'Additional Cartons-WUO_TRK'!A355),_xlfn.TEXTAFTER('Additional Cartons-WUO_ERR'!A355, ":"))))</f>
        <v>0</v>
      </c>
    </row>
    <row r="356" spans="1:1">
      <c r="A356" s="39">
        <f>IF('Additional Cartons'!B356 = "", "", IF('Additional Cartons-WUO_ERR'!A356 = "", "Validated", HYPERLINK("#" &amp; ADDRESS(356, 'Additional Cartons-WUO_TRK'!A356),_xlfn.TEXTAFTER('Additional Cartons-WUO_ERR'!A356, ":"))))</f>
        <v>0</v>
      </c>
    </row>
    <row r="357" spans="1:1">
      <c r="A357" s="39">
        <f>IF('Additional Cartons'!B357 = "", "", IF('Additional Cartons-WUO_ERR'!A357 = "", "Validated", HYPERLINK("#" &amp; ADDRESS(357, 'Additional Cartons-WUO_TRK'!A357),_xlfn.TEXTAFTER('Additional Cartons-WUO_ERR'!A357, ":"))))</f>
        <v>0</v>
      </c>
    </row>
    <row r="358" spans="1:1">
      <c r="A358" s="39">
        <f>IF('Additional Cartons'!B358 = "", "", IF('Additional Cartons-WUO_ERR'!A358 = "", "Validated", HYPERLINK("#" &amp; ADDRESS(358, 'Additional Cartons-WUO_TRK'!A358),_xlfn.TEXTAFTER('Additional Cartons-WUO_ERR'!A358, ":"))))</f>
        <v>0</v>
      </c>
    </row>
    <row r="359" spans="1:1">
      <c r="A359" s="39">
        <f>IF('Additional Cartons'!B359 = "", "", IF('Additional Cartons-WUO_ERR'!A359 = "", "Validated", HYPERLINK("#" &amp; ADDRESS(359, 'Additional Cartons-WUO_TRK'!A359),_xlfn.TEXTAFTER('Additional Cartons-WUO_ERR'!A359, ":"))))</f>
        <v>0</v>
      </c>
    </row>
    <row r="360" spans="1:1">
      <c r="A360" s="39">
        <f>IF('Additional Cartons'!B360 = "", "", IF('Additional Cartons-WUO_ERR'!A360 = "", "Validated", HYPERLINK("#" &amp; ADDRESS(360, 'Additional Cartons-WUO_TRK'!A360),_xlfn.TEXTAFTER('Additional Cartons-WUO_ERR'!A360, ":"))))</f>
        <v>0</v>
      </c>
    </row>
    <row r="361" spans="1:1">
      <c r="A361" s="39">
        <f>IF('Additional Cartons'!B361 = "", "", IF('Additional Cartons-WUO_ERR'!A361 = "", "Validated", HYPERLINK("#" &amp; ADDRESS(361, 'Additional Cartons-WUO_TRK'!A361),_xlfn.TEXTAFTER('Additional Cartons-WUO_ERR'!A361, ":"))))</f>
        <v>0</v>
      </c>
    </row>
    <row r="362" spans="1:1">
      <c r="A362" s="39">
        <f>IF('Additional Cartons'!B362 = "", "", IF('Additional Cartons-WUO_ERR'!A362 = "", "Validated", HYPERLINK("#" &amp; ADDRESS(362, 'Additional Cartons-WUO_TRK'!A362),_xlfn.TEXTAFTER('Additional Cartons-WUO_ERR'!A362, ":"))))</f>
        <v>0</v>
      </c>
    </row>
    <row r="363" spans="1:1">
      <c r="A363" s="39">
        <f>IF('Additional Cartons'!B363 = "", "", IF('Additional Cartons-WUO_ERR'!A363 = "", "Validated", HYPERLINK("#" &amp; ADDRESS(363, 'Additional Cartons-WUO_TRK'!A363),_xlfn.TEXTAFTER('Additional Cartons-WUO_ERR'!A363, ":"))))</f>
        <v>0</v>
      </c>
    </row>
    <row r="364" spans="1:1">
      <c r="A364" s="39">
        <f>IF('Additional Cartons'!B364 = "", "", IF('Additional Cartons-WUO_ERR'!A364 = "", "Validated", HYPERLINK("#" &amp; ADDRESS(364, 'Additional Cartons-WUO_TRK'!A364),_xlfn.TEXTAFTER('Additional Cartons-WUO_ERR'!A364, ":"))))</f>
        <v>0</v>
      </c>
    </row>
    <row r="365" spans="1:1">
      <c r="A365" s="39">
        <f>IF('Additional Cartons'!B365 = "", "", IF('Additional Cartons-WUO_ERR'!A365 = "", "Validated", HYPERLINK("#" &amp; ADDRESS(365, 'Additional Cartons-WUO_TRK'!A365),_xlfn.TEXTAFTER('Additional Cartons-WUO_ERR'!A365, ":"))))</f>
        <v>0</v>
      </c>
    </row>
    <row r="366" spans="1:1">
      <c r="A366" s="39">
        <f>IF('Additional Cartons'!B366 = "", "", IF('Additional Cartons-WUO_ERR'!A366 = "", "Validated", HYPERLINK("#" &amp; ADDRESS(366, 'Additional Cartons-WUO_TRK'!A366),_xlfn.TEXTAFTER('Additional Cartons-WUO_ERR'!A366, ":"))))</f>
        <v>0</v>
      </c>
    </row>
    <row r="367" spans="1:1">
      <c r="A367" s="39">
        <f>IF('Additional Cartons'!B367 = "", "", IF('Additional Cartons-WUO_ERR'!A367 = "", "Validated", HYPERLINK("#" &amp; ADDRESS(367, 'Additional Cartons-WUO_TRK'!A367),_xlfn.TEXTAFTER('Additional Cartons-WUO_ERR'!A367, ":"))))</f>
        <v>0</v>
      </c>
    </row>
    <row r="368" spans="1:1">
      <c r="A368" s="39">
        <f>IF('Additional Cartons'!B368 = "", "", IF('Additional Cartons-WUO_ERR'!A368 = "", "Validated", HYPERLINK("#" &amp; ADDRESS(368, 'Additional Cartons-WUO_TRK'!A368),_xlfn.TEXTAFTER('Additional Cartons-WUO_ERR'!A368, ":"))))</f>
        <v>0</v>
      </c>
    </row>
    <row r="369" spans="1:1">
      <c r="A369" s="39">
        <f>IF('Additional Cartons'!B369 = "", "", IF('Additional Cartons-WUO_ERR'!A369 = "", "Validated", HYPERLINK("#" &amp; ADDRESS(369, 'Additional Cartons-WUO_TRK'!A369),_xlfn.TEXTAFTER('Additional Cartons-WUO_ERR'!A369, ":"))))</f>
        <v>0</v>
      </c>
    </row>
    <row r="370" spans="1:1">
      <c r="A370" s="39">
        <f>IF('Additional Cartons'!B370 = "", "", IF('Additional Cartons-WUO_ERR'!A370 = "", "Validated", HYPERLINK("#" &amp; ADDRESS(370, 'Additional Cartons-WUO_TRK'!A370),_xlfn.TEXTAFTER('Additional Cartons-WUO_ERR'!A370, ":"))))</f>
        <v>0</v>
      </c>
    </row>
    <row r="371" spans="1:1">
      <c r="A371" s="39">
        <f>IF('Additional Cartons'!B371 = "", "", IF('Additional Cartons-WUO_ERR'!A371 = "", "Validated", HYPERLINK("#" &amp; ADDRESS(371, 'Additional Cartons-WUO_TRK'!A371),_xlfn.TEXTAFTER('Additional Cartons-WUO_ERR'!A371, ":"))))</f>
        <v>0</v>
      </c>
    </row>
    <row r="372" spans="1:1">
      <c r="A372" s="39">
        <f>IF('Additional Cartons'!B372 = "", "", IF('Additional Cartons-WUO_ERR'!A372 = "", "Validated", HYPERLINK("#" &amp; ADDRESS(372, 'Additional Cartons-WUO_TRK'!A372),_xlfn.TEXTAFTER('Additional Cartons-WUO_ERR'!A372, ":"))))</f>
        <v>0</v>
      </c>
    </row>
    <row r="373" spans="1:1">
      <c r="A373" s="39">
        <f>IF('Additional Cartons'!B373 = "", "", IF('Additional Cartons-WUO_ERR'!A373 = "", "Validated", HYPERLINK("#" &amp; ADDRESS(373, 'Additional Cartons-WUO_TRK'!A373),_xlfn.TEXTAFTER('Additional Cartons-WUO_ERR'!A373, ":"))))</f>
        <v>0</v>
      </c>
    </row>
    <row r="374" spans="1:1">
      <c r="A374" s="39">
        <f>IF('Additional Cartons'!B374 = "", "", IF('Additional Cartons-WUO_ERR'!A374 = "", "Validated", HYPERLINK("#" &amp; ADDRESS(374, 'Additional Cartons-WUO_TRK'!A374),_xlfn.TEXTAFTER('Additional Cartons-WUO_ERR'!A374, ":"))))</f>
        <v>0</v>
      </c>
    </row>
    <row r="375" spans="1:1">
      <c r="A375" s="39">
        <f>IF('Additional Cartons'!B375 = "", "", IF('Additional Cartons-WUO_ERR'!A375 = "", "Validated", HYPERLINK("#" &amp; ADDRESS(375, 'Additional Cartons-WUO_TRK'!A375),_xlfn.TEXTAFTER('Additional Cartons-WUO_ERR'!A375, ":"))))</f>
        <v>0</v>
      </c>
    </row>
    <row r="376" spans="1:1">
      <c r="A376" s="39">
        <f>IF('Additional Cartons'!B376 = "", "", IF('Additional Cartons-WUO_ERR'!A376 = "", "Validated", HYPERLINK("#" &amp; ADDRESS(376, 'Additional Cartons-WUO_TRK'!A376),_xlfn.TEXTAFTER('Additional Cartons-WUO_ERR'!A376, ":"))))</f>
        <v>0</v>
      </c>
    </row>
    <row r="377" spans="1:1">
      <c r="A377" s="39">
        <f>IF('Additional Cartons'!B377 = "", "", IF('Additional Cartons-WUO_ERR'!A377 = "", "Validated", HYPERLINK("#" &amp; ADDRESS(377, 'Additional Cartons-WUO_TRK'!A377),_xlfn.TEXTAFTER('Additional Cartons-WUO_ERR'!A377, ":"))))</f>
        <v>0</v>
      </c>
    </row>
    <row r="378" spans="1:1">
      <c r="A378" s="39">
        <f>IF('Additional Cartons'!B378 = "", "", IF('Additional Cartons-WUO_ERR'!A378 = "", "Validated", HYPERLINK("#" &amp; ADDRESS(378, 'Additional Cartons-WUO_TRK'!A378),_xlfn.TEXTAFTER('Additional Cartons-WUO_ERR'!A378, ":"))))</f>
        <v>0</v>
      </c>
    </row>
    <row r="379" spans="1:1">
      <c r="A379" s="39">
        <f>IF('Additional Cartons'!B379 = "", "", IF('Additional Cartons-WUO_ERR'!A379 = "", "Validated", HYPERLINK("#" &amp; ADDRESS(379, 'Additional Cartons-WUO_TRK'!A379),_xlfn.TEXTAFTER('Additional Cartons-WUO_ERR'!A379, ":"))))</f>
        <v>0</v>
      </c>
    </row>
    <row r="380" spans="1:1">
      <c r="A380" s="39">
        <f>IF('Additional Cartons'!B380 = "", "", IF('Additional Cartons-WUO_ERR'!A380 = "", "Validated", HYPERLINK("#" &amp; ADDRESS(380, 'Additional Cartons-WUO_TRK'!A380),_xlfn.TEXTAFTER('Additional Cartons-WUO_ERR'!A380, ":"))))</f>
        <v>0</v>
      </c>
    </row>
    <row r="381" spans="1:1">
      <c r="A381" s="39">
        <f>IF('Additional Cartons'!B381 = "", "", IF('Additional Cartons-WUO_ERR'!A381 = "", "Validated", HYPERLINK("#" &amp; ADDRESS(381, 'Additional Cartons-WUO_TRK'!A381),_xlfn.TEXTAFTER('Additional Cartons-WUO_ERR'!A381, ":"))))</f>
        <v>0</v>
      </c>
    </row>
    <row r="382" spans="1:1">
      <c r="A382" s="39">
        <f>IF('Additional Cartons'!B382 = "", "", IF('Additional Cartons-WUO_ERR'!A382 = "", "Validated", HYPERLINK("#" &amp; ADDRESS(382, 'Additional Cartons-WUO_TRK'!A382),_xlfn.TEXTAFTER('Additional Cartons-WUO_ERR'!A382, ":"))))</f>
        <v>0</v>
      </c>
    </row>
    <row r="383" spans="1:1">
      <c r="A383" s="39">
        <f>IF('Additional Cartons'!B383 = "", "", IF('Additional Cartons-WUO_ERR'!A383 = "", "Validated", HYPERLINK("#" &amp; ADDRESS(383, 'Additional Cartons-WUO_TRK'!A383),_xlfn.TEXTAFTER('Additional Cartons-WUO_ERR'!A383, ":"))))</f>
        <v>0</v>
      </c>
    </row>
    <row r="384" spans="1:1">
      <c r="A384" s="39">
        <f>IF('Additional Cartons'!B384 = "", "", IF('Additional Cartons-WUO_ERR'!A384 = "", "Validated", HYPERLINK("#" &amp; ADDRESS(384, 'Additional Cartons-WUO_TRK'!A384),_xlfn.TEXTAFTER('Additional Cartons-WUO_ERR'!A384, ":"))))</f>
        <v>0</v>
      </c>
    </row>
    <row r="385" spans="1:1">
      <c r="A385" s="39">
        <f>IF('Additional Cartons'!B385 = "", "", IF('Additional Cartons-WUO_ERR'!A385 = "", "Validated", HYPERLINK("#" &amp; ADDRESS(385, 'Additional Cartons-WUO_TRK'!A385),_xlfn.TEXTAFTER('Additional Cartons-WUO_ERR'!A385, ":"))))</f>
        <v>0</v>
      </c>
    </row>
    <row r="386" spans="1:1">
      <c r="A386" s="39">
        <f>IF('Additional Cartons'!B386 = "", "", IF('Additional Cartons-WUO_ERR'!A386 = "", "Validated", HYPERLINK("#" &amp; ADDRESS(386, 'Additional Cartons-WUO_TRK'!A386),_xlfn.TEXTAFTER('Additional Cartons-WUO_ERR'!A386, ":"))))</f>
        <v>0</v>
      </c>
    </row>
    <row r="387" spans="1:1">
      <c r="A387" s="39">
        <f>IF('Additional Cartons'!B387 = "", "", IF('Additional Cartons-WUO_ERR'!A387 = "", "Validated", HYPERLINK("#" &amp; ADDRESS(387, 'Additional Cartons-WUO_TRK'!A387),_xlfn.TEXTAFTER('Additional Cartons-WUO_ERR'!A387, ":"))))</f>
        <v>0</v>
      </c>
    </row>
    <row r="388" spans="1:1">
      <c r="A388" s="39">
        <f>IF('Additional Cartons'!B388 = "", "", IF('Additional Cartons-WUO_ERR'!A388 = "", "Validated", HYPERLINK("#" &amp; ADDRESS(388, 'Additional Cartons-WUO_TRK'!A388),_xlfn.TEXTAFTER('Additional Cartons-WUO_ERR'!A388, ":"))))</f>
        <v>0</v>
      </c>
    </row>
    <row r="389" spans="1:1">
      <c r="A389" s="39">
        <f>IF('Additional Cartons'!B389 = "", "", IF('Additional Cartons-WUO_ERR'!A389 = "", "Validated", HYPERLINK("#" &amp; ADDRESS(389, 'Additional Cartons-WUO_TRK'!A389),_xlfn.TEXTAFTER('Additional Cartons-WUO_ERR'!A389, ":"))))</f>
        <v>0</v>
      </c>
    </row>
    <row r="390" spans="1:1">
      <c r="A390" s="39">
        <f>IF('Additional Cartons'!B390 = "", "", IF('Additional Cartons-WUO_ERR'!A390 = "", "Validated", HYPERLINK("#" &amp; ADDRESS(390, 'Additional Cartons-WUO_TRK'!A390),_xlfn.TEXTAFTER('Additional Cartons-WUO_ERR'!A390, ":"))))</f>
        <v>0</v>
      </c>
    </row>
    <row r="391" spans="1:1">
      <c r="A391" s="39">
        <f>IF('Additional Cartons'!B391 = "", "", IF('Additional Cartons-WUO_ERR'!A391 = "", "Validated", HYPERLINK("#" &amp; ADDRESS(391, 'Additional Cartons-WUO_TRK'!A391),_xlfn.TEXTAFTER('Additional Cartons-WUO_ERR'!A391, ":"))))</f>
        <v>0</v>
      </c>
    </row>
    <row r="392" spans="1:1">
      <c r="A392" s="39">
        <f>IF('Additional Cartons'!B392 = "", "", IF('Additional Cartons-WUO_ERR'!A392 = "", "Validated", HYPERLINK("#" &amp; ADDRESS(392, 'Additional Cartons-WUO_TRK'!A392),_xlfn.TEXTAFTER('Additional Cartons-WUO_ERR'!A392, ":"))))</f>
        <v>0</v>
      </c>
    </row>
    <row r="393" spans="1:1">
      <c r="A393" s="39">
        <f>IF('Additional Cartons'!B393 = "", "", IF('Additional Cartons-WUO_ERR'!A393 = "", "Validated", HYPERLINK("#" &amp; ADDRESS(393, 'Additional Cartons-WUO_TRK'!A393),_xlfn.TEXTAFTER('Additional Cartons-WUO_ERR'!A393, ":"))))</f>
        <v>0</v>
      </c>
    </row>
    <row r="394" spans="1:1">
      <c r="A394" s="39">
        <f>IF('Additional Cartons'!B394 = "", "", IF('Additional Cartons-WUO_ERR'!A394 = "", "Validated", HYPERLINK("#" &amp; ADDRESS(394, 'Additional Cartons-WUO_TRK'!A394),_xlfn.TEXTAFTER('Additional Cartons-WUO_ERR'!A394, ":"))))</f>
        <v>0</v>
      </c>
    </row>
    <row r="395" spans="1:1">
      <c r="A395" s="39">
        <f>IF('Additional Cartons'!B395 = "", "", IF('Additional Cartons-WUO_ERR'!A395 = "", "Validated", HYPERLINK("#" &amp; ADDRESS(395, 'Additional Cartons-WUO_TRK'!A395),_xlfn.TEXTAFTER('Additional Cartons-WUO_ERR'!A395, ":"))))</f>
        <v>0</v>
      </c>
    </row>
    <row r="396" spans="1:1">
      <c r="A396" s="39">
        <f>IF('Additional Cartons'!B396 = "", "", IF('Additional Cartons-WUO_ERR'!A396 = "", "Validated", HYPERLINK("#" &amp; ADDRESS(396, 'Additional Cartons-WUO_TRK'!A396),_xlfn.TEXTAFTER('Additional Cartons-WUO_ERR'!A396, ":"))))</f>
        <v>0</v>
      </c>
    </row>
    <row r="397" spans="1:1">
      <c r="A397" s="39">
        <f>IF('Additional Cartons'!B397 = "", "", IF('Additional Cartons-WUO_ERR'!A397 = "", "Validated", HYPERLINK("#" &amp; ADDRESS(397, 'Additional Cartons-WUO_TRK'!A397),_xlfn.TEXTAFTER('Additional Cartons-WUO_ERR'!A397, ":"))))</f>
        <v>0</v>
      </c>
    </row>
    <row r="398" spans="1:1">
      <c r="A398" s="39">
        <f>IF('Additional Cartons'!B398 = "", "", IF('Additional Cartons-WUO_ERR'!A398 = "", "Validated", HYPERLINK("#" &amp; ADDRESS(398, 'Additional Cartons-WUO_TRK'!A398),_xlfn.TEXTAFTER('Additional Cartons-WUO_ERR'!A398, ":"))))</f>
        <v>0</v>
      </c>
    </row>
    <row r="399" spans="1:1">
      <c r="A399" s="39">
        <f>IF('Additional Cartons'!B399 = "", "", IF('Additional Cartons-WUO_ERR'!A399 = "", "Validated", HYPERLINK("#" &amp; ADDRESS(399, 'Additional Cartons-WUO_TRK'!A399),_xlfn.TEXTAFTER('Additional Cartons-WUO_ERR'!A399, ":"))))</f>
        <v>0</v>
      </c>
    </row>
    <row r="400" spans="1:1">
      <c r="A400" s="39">
        <f>IF('Additional Cartons'!B400 = "", "", IF('Additional Cartons-WUO_ERR'!A400 = "", "Validated", HYPERLINK("#" &amp; ADDRESS(400, 'Additional Cartons-WUO_TRK'!A400),_xlfn.TEXTAFTER('Additional Cartons-WUO_ERR'!A400, ":"))))</f>
        <v>0</v>
      </c>
    </row>
    <row r="401" spans="1:1">
      <c r="A401" s="39">
        <f>IF('Additional Cartons'!B401 = "", "", IF('Additional Cartons-WUO_ERR'!A401 = "", "Validated", HYPERLINK("#" &amp; ADDRESS(401, 'Additional Cartons-WUO_TRK'!A401),_xlfn.TEXTAFTER('Additional Cartons-WUO_ERR'!A401, ":"))))</f>
        <v>0</v>
      </c>
    </row>
    <row r="402" spans="1:1">
      <c r="A402" s="39">
        <f>IF('Additional Cartons'!B402 = "", "", IF('Additional Cartons-WUO_ERR'!A402 = "", "Validated", HYPERLINK("#" &amp; ADDRESS(402, 'Additional Cartons-WUO_TRK'!A402),_xlfn.TEXTAFTER('Additional Cartons-WUO_ERR'!A402, ":"))))</f>
        <v>0</v>
      </c>
    </row>
    <row r="403" spans="1:1">
      <c r="A403" s="39">
        <f>IF('Additional Cartons'!B403 = "", "", IF('Additional Cartons-WUO_ERR'!A403 = "", "Validated", HYPERLINK("#" &amp; ADDRESS(403, 'Additional Cartons-WUO_TRK'!A403),_xlfn.TEXTAFTER('Additional Cartons-WUO_ERR'!A403, ":"))))</f>
        <v>0</v>
      </c>
    </row>
    <row r="404" spans="1:1">
      <c r="A404" s="39">
        <f>IF('Additional Cartons'!B404 = "", "", IF('Additional Cartons-WUO_ERR'!A404 = "", "Validated", HYPERLINK("#" &amp; ADDRESS(404, 'Additional Cartons-WUO_TRK'!A404),_xlfn.TEXTAFTER('Additional Cartons-WUO_ERR'!A404, ":"))))</f>
        <v>0</v>
      </c>
    </row>
    <row r="405" spans="1:1">
      <c r="A405" s="39">
        <f>IF('Additional Cartons'!B405 = "", "", IF('Additional Cartons-WUO_ERR'!A405 = "", "Validated", HYPERLINK("#" &amp; ADDRESS(405, 'Additional Cartons-WUO_TRK'!A405),_xlfn.TEXTAFTER('Additional Cartons-WUO_ERR'!A405, ":"))))</f>
        <v>0</v>
      </c>
    </row>
    <row r="406" spans="1:1">
      <c r="A406" s="39">
        <f>IF('Additional Cartons'!B406 = "", "", IF('Additional Cartons-WUO_ERR'!A406 = "", "Validated", HYPERLINK("#" &amp; ADDRESS(406, 'Additional Cartons-WUO_TRK'!A406),_xlfn.TEXTAFTER('Additional Cartons-WUO_ERR'!A406, ":"))))</f>
        <v>0</v>
      </c>
    </row>
    <row r="407" spans="1:1">
      <c r="A407" s="39">
        <f>IF('Additional Cartons'!B407 = "", "", IF('Additional Cartons-WUO_ERR'!A407 = "", "Validated", HYPERLINK("#" &amp; ADDRESS(407, 'Additional Cartons-WUO_TRK'!A407),_xlfn.TEXTAFTER('Additional Cartons-WUO_ERR'!A407, ":"))))</f>
        <v>0</v>
      </c>
    </row>
    <row r="408" spans="1:1">
      <c r="A408" s="39">
        <f>IF('Additional Cartons'!B408 = "", "", IF('Additional Cartons-WUO_ERR'!A408 = "", "Validated", HYPERLINK("#" &amp; ADDRESS(408, 'Additional Cartons-WUO_TRK'!A408),_xlfn.TEXTAFTER('Additional Cartons-WUO_ERR'!A408, ":"))))</f>
        <v>0</v>
      </c>
    </row>
    <row r="409" spans="1:1">
      <c r="A409" s="39">
        <f>IF('Additional Cartons'!B409 = "", "", IF('Additional Cartons-WUO_ERR'!A409 = "", "Validated", HYPERLINK("#" &amp; ADDRESS(409, 'Additional Cartons-WUO_TRK'!A409),_xlfn.TEXTAFTER('Additional Cartons-WUO_ERR'!A409, ":"))))</f>
        <v>0</v>
      </c>
    </row>
    <row r="410" spans="1:1">
      <c r="A410" s="39">
        <f>IF('Additional Cartons'!B410 = "", "", IF('Additional Cartons-WUO_ERR'!A410 = "", "Validated", HYPERLINK("#" &amp; ADDRESS(410, 'Additional Cartons-WUO_TRK'!A410),_xlfn.TEXTAFTER('Additional Cartons-WUO_ERR'!A410, ":"))))</f>
        <v>0</v>
      </c>
    </row>
    <row r="411" spans="1:1">
      <c r="A411" s="39">
        <f>IF('Additional Cartons'!B411 = "", "", IF('Additional Cartons-WUO_ERR'!A411 = "", "Validated", HYPERLINK("#" &amp; ADDRESS(411, 'Additional Cartons-WUO_TRK'!A411),_xlfn.TEXTAFTER('Additional Cartons-WUO_ERR'!A411, ":"))))</f>
        <v>0</v>
      </c>
    </row>
    <row r="412" spans="1:1">
      <c r="A412" s="39">
        <f>IF('Additional Cartons'!B412 = "", "", IF('Additional Cartons-WUO_ERR'!A412 = "", "Validated", HYPERLINK("#" &amp; ADDRESS(412, 'Additional Cartons-WUO_TRK'!A412),_xlfn.TEXTAFTER('Additional Cartons-WUO_ERR'!A412, ":"))))</f>
        <v>0</v>
      </c>
    </row>
    <row r="413" spans="1:1">
      <c r="A413" s="39">
        <f>IF('Additional Cartons'!B413 = "", "", IF('Additional Cartons-WUO_ERR'!A413 = "", "Validated", HYPERLINK("#" &amp; ADDRESS(413, 'Additional Cartons-WUO_TRK'!A413),_xlfn.TEXTAFTER('Additional Cartons-WUO_ERR'!A413, ":"))))</f>
        <v>0</v>
      </c>
    </row>
    <row r="414" spans="1:1">
      <c r="A414" s="39">
        <f>IF('Additional Cartons'!B414 = "", "", IF('Additional Cartons-WUO_ERR'!A414 = "", "Validated", HYPERLINK("#" &amp; ADDRESS(414, 'Additional Cartons-WUO_TRK'!A414),_xlfn.TEXTAFTER('Additional Cartons-WUO_ERR'!A414, ":"))))</f>
        <v>0</v>
      </c>
    </row>
    <row r="415" spans="1:1">
      <c r="A415" s="39">
        <f>IF('Additional Cartons'!B415 = "", "", IF('Additional Cartons-WUO_ERR'!A415 = "", "Validated", HYPERLINK("#" &amp; ADDRESS(415, 'Additional Cartons-WUO_TRK'!A415),_xlfn.TEXTAFTER('Additional Cartons-WUO_ERR'!A415, ":"))))</f>
        <v>0</v>
      </c>
    </row>
    <row r="416" spans="1:1">
      <c r="A416" s="39">
        <f>IF('Additional Cartons'!B416 = "", "", IF('Additional Cartons-WUO_ERR'!A416 = "", "Validated", HYPERLINK("#" &amp; ADDRESS(416, 'Additional Cartons-WUO_TRK'!A416),_xlfn.TEXTAFTER('Additional Cartons-WUO_ERR'!A416, ":"))))</f>
        <v>0</v>
      </c>
    </row>
    <row r="417" spans="1:1">
      <c r="A417" s="39">
        <f>IF('Additional Cartons'!B417 = "", "", IF('Additional Cartons-WUO_ERR'!A417 = "", "Validated", HYPERLINK("#" &amp; ADDRESS(417, 'Additional Cartons-WUO_TRK'!A417),_xlfn.TEXTAFTER('Additional Cartons-WUO_ERR'!A417, ":"))))</f>
        <v>0</v>
      </c>
    </row>
    <row r="418" spans="1:1">
      <c r="A418" s="39">
        <f>IF('Additional Cartons'!B418 = "", "", IF('Additional Cartons-WUO_ERR'!A418 = "", "Validated", HYPERLINK("#" &amp; ADDRESS(418, 'Additional Cartons-WUO_TRK'!A418),_xlfn.TEXTAFTER('Additional Cartons-WUO_ERR'!A418, ":"))))</f>
        <v>0</v>
      </c>
    </row>
    <row r="419" spans="1:1">
      <c r="A419" s="39">
        <f>IF('Additional Cartons'!B419 = "", "", IF('Additional Cartons-WUO_ERR'!A419 = "", "Validated", HYPERLINK("#" &amp; ADDRESS(419, 'Additional Cartons-WUO_TRK'!A419),_xlfn.TEXTAFTER('Additional Cartons-WUO_ERR'!A419, ":"))))</f>
        <v>0</v>
      </c>
    </row>
    <row r="420" spans="1:1">
      <c r="A420" s="39">
        <f>IF('Additional Cartons'!B420 = "", "", IF('Additional Cartons-WUO_ERR'!A420 = "", "Validated", HYPERLINK("#" &amp; ADDRESS(420, 'Additional Cartons-WUO_TRK'!A420),_xlfn.TEXTAFTER('Additional Cartons-WUO_ERR'!A420, ":"))))</f>
        <v>0</v>
      </c>
    </row>
    <row r="421" spans="1:1">
      <c r="A421" s="39">
        <f>IF('Additional Cartons'!B421 = "", "", IF('Additional Cartons-WUO_ERR'!A421 = "", "Validated", HYPERLINK("#" &amp; ADDRESS(421, 'Additional Cartons-WUO_TRK'!A421),_xlfn.TEXTAFTER('Additional Cartons-WUO_ERR'!A421, ":"))))</f>
        <v>0</v>
      </c>
    </row>
    <row r="422" spans="1:1">
      <c r="A422" s="39">
        <f>IF('Additional Cartons'!B422 = "", "", IF('Additional Cartons-WUO_ERR'!A422 = "", "Validated", HYPERLINK("#" &amp; ADDRESS(422, 'Additional Cartons-WUO_TRK'!A422),_xlfn.TEXTAFTER('Additional Cartons-WUO_ERR'!A422, ":"))))</f>
        <v>0</v>
      </c>
    </row>
    <row r="423" spans="1:1">
      <c r="A423" s="39">
        <f>IF('Additional Cartons'!B423 = "", "", IF('Additional Cartons-WUO_ERR'!A423 = "", "Validated", HYPERLINK("#" &amp; ADDRESS(423, 'Additional Cartons-WUO_TRK'!A423),_xlfn.TEXTAFTER('Additional Cartons-WUO_ERR'!A423, ":"))))</f>
        <v>0</v>
      </c>
    </row>
    <row r="424" spans="1:1">
      <c r="A424" s="39">
        <f>IF('Additional Cartons'!B424 = "", "", IF('Additional Cartons-WUO_ERR'!A424 = "", "Validated", HYPERLINK("#" &amp; ADDRESS(424, 'Additional Cartons-WUO_TRK'!A424),_xlfn.TEXTAFTER('Additional Cartons-WUO_ERR'!A424, ":"))))</f>
        <v>0</v>
      </c>
    </row>
    <row r="425" spans="1:1">
      <c r="A425" s="39">
        <f>IF('Additional Cartons'!B425 = "", "", IF('Additional Cartons-WUO_ERR'!A425 = "", "Validated", HYPERLINK("#" &amp; ADDRESS(425, 'Additional Cartons-WUO_TRK'!A425),_xlfn.TEXTAFTER('Additional Cartons-WUO_ERR'!A425, ":"))))</f>
        <v>0</v>
      </c>
    </row>
    <row r="426" spans="1:1">
      <c r="A426" s="39">
        <f>IF('Additional Cartons'!B426 = "", "", IF('Additional Cartons-WUO_ERR'!A426 = "", "Validated", HYPERLINK("#" &amp; ADDRESS(426, 'Additional Cartons-WUO_TRK'!A426),_xlfn.TEXTAFTER('Additional Cartons-WUO_ERR'!A426, ":"))))</f>
        <v>0</v>
      </c>
    </row>
    <row r="427" spans="1:1">
      <c r="A427" s="39">
        <f>IF('Additional Cartons'!B427 = "", "", IF('Additional Cartons-WUO_ERR'!A427 = "", "Validated", HYPERLINK("#" &amp; ADDRESS(427, 'Additional Cartons-WUO_TRK'!A427),_xlfn.TEXTAFTER('Additional Cartons-WUO_ERR'!A427, ":"))))</f>
        <v>0</v>
      </c>
    </row>
    <row r="428" spans="1:1">
      <c r="A428" s="39">
        <f>IF('Additional Cartons'!B428 = "", "", IF('Additional Cartons-WUO_ERR'!A428 = "", "Validated", HYPERLINK("#" &amp; ADDRESS(428, 'Additional Cartons-WUO_TRK'!A428),_xlfn.TEXTAFTER('Additional Cartons-WUO_ERR'!A428, ":"))))</f>
        <v>0</v>
      </c>
    </row>
    <row r="429" spans="1:1">
      <c r="A429" s="39">
        <f>IF('Additional Cartons'!B429 = "", "", IF('Additional Cartons-WUO_ERR'!A429 = "", "Validated", HYPERLINK("#" &amp; ADDRESS(429, 'Additional Cartons-WUO_TRK'!A429),_xlfn.TEXTAFTER('Additional Cartons-WUO_ERR'!A429, ":"))))</f>
        <v>0</v>
      </c>
    </row>
    <row r="430" spans="1:1">
      <c r="A430" s="39">
        <f>IF('Additional Cartons'!B430 = "", "", IF('Additional Cartons-WUO_ERR'!A430 = "", "Validated", HYPERLINK("#" &amp; ADDRESS(430, 'Additional Cartons-WUO_TRK'!A430),_xlfn.TEXTAFTER('Additional Cartons-WUO_ERR'!A430, ":"))))</f>
        <v>0</v>
      </c>
    </row>
    <row r="431" spans="1:1">
      <c r="A431" s="39">
        <f>IF('Additional Cartons'!B431 = "", "", IF('Additional Cartons-WUO_ERR'!A431 = "", "Validated", HYPERLINK("#" &amp; ADDRESS(431, 'Additional Cartons-WUO_TRK'!A431),_xlfn.TEXTAFTER('Additional Cartons-WUO_ERR'!A431, ":"))))</f>
        <v>0</v>
      </c>
    </row>
    <row r="432" spans="1:1">
      <c r="A432" s="39">
        <f>IF('Additional Cartons'!B432 = "", "", IF('Additional Cartons-WUO_ERR'!A432 = "", "Validated", HYPERLINK("#" &amp; ADDRESS(432, 'Additional Cartons-WUO_TRK'!A432),_xlfn.TEXTAFTER('Additional Cartons-WUO_ERR'!A432, ":"))))</f>
        <v>0</v>
      </c>
    </row>
    <row r="433" spans="1:1">
      <c r="A433" s="39">
        <f>IF('Additional Cartons'!B433 = "", "", IF('Additional Cartons-WUO_ERR'!A433 = "", "Validated", HYPERLINK("#" &amp; ADDRESS(433, 'Additional Cartons-WUO_TRK'!A433),_xlfn.TEXTAFTER('Additional Cartons-WUO_ERR'!A433, ":"))))</f>
        <v>0</v>
      </c>
    </row>
    <row r="434" spans="1:1">
      <c r="A434" s="39">
        <f>IF('Additional Cartons'!B434 = "", "", IF('Additional Cartons-WUO_ERR'!A434 = "", "Validated", HYPERLINK("#" &amp; ADDRESS(434, 'Additional Cartons-WUO_TRK'!A434),_xlfn.TEXTAFTER('Additional Cartons-WUO_ERR'!A434, ":"))))</f>
        <v>0</v>
      </c>
    </row>
    <row r="435" spans="1:1">
      <c r="A435" s="39">
        <f>IF('Additional Cartons'!B435 = "", "", IF('Additional Cartons-WUO_ERR'!A435 = "", "Validated", HYPERLINK("#" &amp; ADDRESS(435, 'Additional Cartons-WUO_TRK'!A435),_xlfn.TEXTAFTER('Additional Cartons-WUO_ERR'!A435, ":"))))</f>
        <v>0</v>
      </c>
    </row>
    <row r="436" spans="1:1">
      <c r="A436" s="39">
        <f>IF('Additional Cartons'!B436 = "", "", IF('Additional Cartons-WUO_ERR'!A436 = "", "Validated", HYPERLINK("#" &amp; ADDRESS(436, 'Additional Cartons-WUO_TRK'!A436),_xlfn.TEXTAFTER('Additional Cartons-WUO_ERR'!A436, ":"))))</f>
        <v>0</v>
      </c>
    </row>
    <row r="437" spans="1:1">
      <c r="A437" s="39">
        <f>IF('Additional Cartons'!B437 = "", "", IF('Additional Cartons-WUO_ERR'!A437 = "", "Validated", HYPERLINK("#" &amp; ADDRESS(437, 'Additional Cartons-WUO_TRK'!A437),_xlfn.TEXTAFTER('Additional Cartons-WUO_ERR'!A437, ":"))))</f>
        <v>0</v>
      </c>
    </row>
    <row r="438" spans="1:1">
      <c r="A438" s="39">
        <f>IF('Additional Cartons'!B438 = "", "", IF('Additional Cartons-WUO_ERR'!A438 = "", "Validated", HYPERLINK("#" &amp; ADDRESS(438, 'Additional Cartons-WUO_TRK'!A438),_xlfn.TEXTAFTER('Additional Cartons-WUO_ERR'!A438, ":"))))</f>
        <v>0</v>
      </c>
    </row>
    <row r="439" spans="1:1">
      <c r="A439" s="39">
        <f>IF('Additional Cartons'!B439 = "", "", IF('Additional Cartons-WUO_ERR'!A439 = "", "Validated", HYPERLINK("#" &amp; ADDRESS(439, 'Additional Cartons-WUO_TRK'!A439),_xlfn.TEXTAFTER('Additional Cartons-WUO_ERR'!A439, ":"))))</f>
        <v>0</v>
      </c>
    </row>
    <row r="440" spans="1:1">
      <c r="A440" s="39">
        <f>IF('Additional Cartons'!B440 = "", "", IF('Additional Cartons-WUO_ERR'!A440 = "", "Validated", HYPERLINK("#" &amp; ADDRESS(440, 'Additional Cartons-WUO_TRK'!A440),_xlfn.TEXTAFTER('Additional Cartons-WUO_ERR'!A440, ":"))))</f>
        <v>0</v>
      </c>
    </row>
    <row r="441" spans="1:1">
      <c r="A441" s="39">
        <f>IF('Additional Cartons'!B441 = "", "", IF('Additional Cartons-WUO_ERR'!A441 = "", "Validated", HYPERLINK("#" &amp; ADDRESS(441, 'Additional Cartons-WUO_TRK'!A441),_xlfn.TEXTAFTER('Additional Cartons-WUO_ERR'!A441, ":"))))</f>
        <v>0</v>
      </c>
    </row>
    <row r="442" spans="1:1">
      <c r="A442" s="39">
        <f>IF('Additional Cartons'!B442 = "", "", IF('Additional Cartons-WUO_ERR'!A442 = "", "Validated", HYPERLINK("#" &amp; ADDRESS(442, 'Additional Cartons-WUO_TRK'!A442),_xlfn.TEXTAFTER('Additional Cartons-WUO_ERR'!A442, ":"))))</f>
        <v>0</v>
      </c>
    </row>
    <row r="443" spans="1:1">
      <c r="A443" s="39">
        <f>IF('Additional Cartons'!B443 = "", "", IF('Additional Cartons-WUO_ERR'!A443 = "", "Validated", HYPERLINK("#" &amp; ADDRESS(443, 'Additional Cartons-WUO_TRK'!A443),_xlfn.TEXTAFTER('Additional Cartons-WUO_ERR'!A443, ":"))))</f>
        <v>0</v>
      </c>
    </row>
    <row r="444" spans="1:1">
      <c r="A444" s="39">
        <f>IF('Additional Cartons'!B444 = "", "", IF('Additional Cartons-WUO_ERR'!A444 = "", "Validated", HYPERLINK("#" &amp; ADDRESS(444, 'Additional Cartons-WUO_TRK'!A444),_xlfn.TEXTAFTER('Additional Cartons-WUO_ERR'!A444, ":"))))</f>
        <v>0</v>
      </c>
    </row>
    <row r="445" spans="1:1">
      <c r="A445" s="39">
        <f>IF('Additional Cartons'!B445 = "", "", IF('Additional Cartons-WUO_ERR'!A445 = "", "Validated", HYPERLINK("#" &amp; ADDRESS(445, 'Additional Cartons-WUO_TRK'!A445),_xlfn.TEXTAFTER('Additional Cartons-WUO_ERR'!A445, ":"))))</f>
        <v>0</v>
      </c>
    </row>
    <row r="446" spans="1:1">
      <c r="A446" s="39">
        <f>IF('Additional Cartons'!B446 = "", "", IF('Additional Cartons-WUO_ERR'!A446 = "", "Validated", HYPERLINK("#" &amp; ADDRESS(446, 'Additional Cartons-WUO_TRK'!A446),_xlfn.TEXTAFTER('Additional Cartons-WUO_ERR'!A446, ":"))))</f>
        <v>0</v>
      </c>
    </row>
    <row r="447" spans="1:1">
      <c r="A447" s="39">
        <f>IF('Additional Cartons'!B447 = "", "", IF('Additional Cartons-WUO_ERR'!A447 = "", "Validated", HYPERLINK("#" &amp; ADDRESS(447, 'Additional Cartons-WUO_TRK'!A447),_xlfn.TEXTAFTER('Additional Cartons-WUO_ERR'!A447, ":"))))</f>
        <v>0</v>
      </c>
    </row>
    <row r="448" spans="1:1">
      <c r="A448" s="39">
        <f>IF('Additional Cartons'!B448 = "", "", IF('Additional Cartons-WUO_ERR'!A448 = "", "Validated", HYPERLINK("#" &amp; ADDRESS(448, 'Additional Cartons-WUO_TRK'!A448),_xlfn.TEXTAFTER('Additional Cartons-WUO_ERR'!A448, ":"))))</f>
        <v>0</v>
      </c>
    </row>
    <row r="449" spans="1:1">
      <c r="A449" s="39">
        <f>IF('Additional Cartons'!B449 = "", "", IF('Additional Cartons-WUO_ERR'!A449 = "", "Validated", HYPERLINK("#" &amp; ADDRESS(449, 'Additional Cartons-WUO_TRK'!A449),_xlfn.TEXTAFTER('Additional Cartons-WUO_ERR'!A449, ":"))))</f>
        <v>0</v>
      </c>
    </row>
    <row r="450" spans="1:1">
      <c r="A450" s="39">
        <f>IF('Additional Cartons'!B450 = "", "", IF('Additional Cartons-WUO_ERR'!A450 = "", "Validated", HYPERLINK("#" &amp; ADDRESS(450, 'Additional Cartons-WUO_TRK'!A450),_xlfn.TEXTAFTER('Additional Cartons-WUO_ERR'!A450, ":"))))</f>
        <v>0</v>
      </c>
    </row>
    <row r="451" spans="1:1">
      <c r="A451" s="39">
        <f>IF('Additional Cartons'!B451 = "", "", IF('Additional Cartons-WUO_ERR'!A451 = "", "Validated", HYPERLINK("#" &amp; ADDRESS(451, 'Additional Cartons-WUO_TRK'!A451),_xlfn.TEXTAFTER('Additional Cartons-WUO_ERR'!A451, ":"))))</f>
        <v>0</v>
      </c>
    </row>
    <row r="452" spans="1:1">
      <c r="A452" s="39">
        <f>IF('Additional Cartons'!B452 = "", "", IF('Additional Cartons-WUO_ERR'!A452 = "", "Validated", HYPERLINK("#" &amp; ADDRESS(452, 'Additional Cartons-WUO_TRK'!A452),_xlfn.TEXTAFTER('Additional Cartons-WUO_ERR'!A452, ":"))))</f>
        <v>0</v>
      </c>
    </row>
    <row r="453" spans="1:1">
      <c r="A453" s="39">
        <f>IF('Additional Cartons'!B453 = "", "", IF('Additional Cartons-WUO_ERR'!A453 = "", "Validated", HYPERLINK("#" &amp; ADDRESS(453, 'Additional Cartons-WUO_TRK'!A453),_xlfn.TEXTAFTER('Additional Cartons-WUO_ERR'!A453, ":"))))</f>
        <v>0</v>
      </c>
    </row>
    <row r="454" spans="1:1">
      <c r="A454" s="39">
        <f>IF('Additional Cartons'!B454 = "", "", IF('Additional Cartons-WUO_ERR'!A454 = "", "Validated", HYPERLINK("#" &amp; ADDRESS(454, 'Additional Cartons-WUO_TRK'!A454),_xlfn.TEXTAFTER('Additional Cartons-WUO_ERR'!A454, ":"))))</f>
        <v>0</v>
      </c>
    </row>
    <row r="455" spans="1:1">
      <c r="A455" s="39">
        <f>IF('Additional Cartons'!B455 = "", "", IF('Additional Cartons-WUO_ERR'!A455 = "", "Validated", HYPERLINK("#" &amp; ADDRESS(455, 'Additional Cartons-WUO_TRK'!A455),_xlfn.TEXTAFTER('Additional Cartons-WUO_ERR'!A455, ":"))))</f>
        <v>0</v>
      </c>
    </row>
    <row r="456" spans="1:1">
      <c r="A456" s="39">
        <f>IF('Additional Cartons'!B456 = "", "", IF('Additional Cartons-WUO_ERR'!A456 = "", "Validated", HYPERLINK("#" &amp; ADDRESS(456, 'Additional Cartons-WUO_TRK'!A456),_xlfn.TEXTAFTER('Additional Cartons-WUO_ERR'!A456, ":"))))</f>
        <v>0</v>
      </c>
    </row>
    <row r="457" spans="1:1">
      <c r="A457" s="39">
        <f>IF('Additional Cartons'!B457 = "", "", IF('Additional Cartons-WUO_ERR'!A457 = "", "Validated", HYPERLINK("#" &amp; ADDRESS(457, 'Additional Cartons-WUO_TRK'!A457),_xlfn.TEXTAFTER('Additional Cartons-WUO_ERR'!A457, ":"))))</f>
        <v>0</v>
      </c>
    </row>
    <row r="458" spans="1:1">
      <c r="A458" s="39">
        <f>IF('Additional Cartons'!B458 = "", "", IF('Additional Cartons-WUO_ERR'!A458 = "", "Validated", HYPERLINK("#" &amp; ADDRESS(458, 'Additional Cartons-WUO_TRK'!A458),_xlfn.TEXTAFTER('Additional Cartons-WUO_ERR'!A458, ":"))))</f>
        <v>0</v>
      </c>
    </row>
    <row r="459" spans="1:1">
      <c r="A459" s="39">
        <f>IF('Additional Cartons'!B459 = "", "", IF('Additional Cartons-WUO_ERR'!A459 = "", "Validated", HYPERLINK("#" &amp; ADDRESS(459, 'Additional Cartons-WUO_TRK'!A459),_xlfn.TEXTAFTER('Additional Cartons-WUO_ERR'!A459, ":"))))</f>
        <v>0</v>
      </c>
    </row>
    <row r="460" spans="1:1">
      <c r="A460" s="39">
        <f>IF('Additional Cartons'!B460 = "", "", IF('Additional Cartons-WUO_ERR'!A460 = "", "Validated", HYPERLINK("#" &amp; ADDRESS(460, 'Additional Cartons-WUO_TRK'!A460),_xlfn.TEXTAFTER('Additional Cartons-WUO_ERR'!A460, ":"))))</f>
        <v>0</v>
      </c>
    </row>
    <row r="461" spans="1:1">
      <c r="A461" s="39">
        <f>IF('Additional Cartons'!B461 = "", "", IF('Additional Cartons-WUO_ERR'!A461 = "", "Validated", HYPERLINK("#" &amp; ADDRESS(461, 'Additional Cartons-WUO_TRK'!A461),_xlfn.TEXTAFTER('Additional Cartons-WUO_ERR'!A461, ":"))))</f>
        <v>0</v>
      </c>
    </row>
    <row r="462" spans="1:1">
      <c r="A462" s="39">
        <f>IF('Additional Cartons'!B462 = "", "", IF('Additional Cartons-WUO_ERR'!A462 = "", "Validated", HYPERLINK("#" &amp; ADDRESS(462, 'Additional Cartons-WUO_TRK'!A462),_xlfn.TEXTAFTER('Additional Cartons-WUO_ERR'!A462, ":"))))</f>
        <v>0</v>
      </c>
    </row>
    <row r="463" spans="1:1">
      <c r="A463" s="39">
        <f>IF('Additional Cartons'!B463 = "", "", IF('Additional Cartons-WUO_ERR'!A463 = "", "Validated", HYPERLINK("#" &amp; ADDRESS(463, 'Additional Cartons-WUO_TRK'!A463),_xlfn.TEXTAFTER('Additional Cartons-WUO_ERR'!A463, ":"))))</f>
        <v>0</v>
      </c>
    </row>
    <row r="464" spans="1:1">
      <c r="A464" s="39">
        <f>IF('Additional Cartons'!B464 = "", "", IF('Additional Cartons-WUO_ERR'!A464 = "", "Validated", HYPERLINK("#" &amp; ADDRESS(464, 'Additional Cartons-WUO_TRK'!A464),_xlfn.TEXTAFTER('Additional Cartons-WUO_ERR'!A464, ":"))))</f>
        <v>0</v>
      </c>
    </row>
    <row r="465" spans="1:1">
      <c r="A465" s="39">
        <f>IF('Additional Cartons'!B465 = "", "", IF('Additional Cartons-WUO_ERR'!A465 = "", "Validated", HYPERLINK("#" &amp; ADDRESS(465, 'Additional Cartons-WUO_TRK'!A465),_xlfn.TEXTAFTER('Additional Cartons-WUO_ERR'!A465, ":"))))</f>
        <v>0</v>
      </c>
    </row>
    <row r="466" spans="1:1">
      <c r="A466" s="39">
        <f>IF('Additional Cartons'!B466 = "", "", IF('Additional Cartons-WUO_ERR'!A466 = "", "Validated", HYPERLINK("#" &amp; ADDRESS(466, 'Additional Cartons-WUO_TRK'!A466),_xlfn.TEXTAFTER('Additional Cartons-WUO_ERR'!A466, ":"))))</f>
        <v>0</v>
      </c>
    </row>
    <row r="467" spans="1:1">
      <c r="A467" s="39">
        <f>IF('Additional Cartons'!B467 = "", "", IF('Additional Cartons-WUO_ERR'!A467 = "", "Validated", HYPERLINK("#" &amp; ADDRESS(467, 'Additional Cartons-WUO_TRK'!A467),_xlfn.TEXTAFTER('Additional Cartons-WUO_ERR'!A467, ":"))))</f>
        <v>0</v>
      </c>
    </row>
    <row r="468" spans="1:1">
      <c r="A468" s="39">
        <f>IF('Additional Cartons'!B468 = "", "", IF('Additional Cartons-WUO_ERR'!A468 = "", "Validated", HYPERLINK("#" &amp; ADDRESS(468, 'Additional Cartons-WUO_TRK'!A468),_xlfn.TEXTAFTER('Additional Cartons-WUO_ERR'!A468, ":"))))</f>
        <v>0</v>
      </c>
    </row>
    <row r="469" spans="1:1">
      <c r="A469" s="39">
        <f>IF('Additional Cartons'!B469 = "", "", IF('Additional Cartons-WUO_ERR'!A469 = "", "Validated", HYPERLINK("#" &amp; ADDRESS(469, 'Additional Cartons-WUO_TRK'!A469),_xlfn.TEXTAFTER('Additional Cartons-WUO_ERR'!A469, ":"))))</f>
        <v>0</v>
      </c>
    </row>
    <row r="470" spans="1:1">
      <c r="A470" s="39">
        <f>IF('Additional Cartons'!B470 = "", "", IF('Additional Cartons-WUO_ERR'!A470 = "", "Validated", HYPERLINK("#" &amp; ADDRESS(470, 'Additional Cartons-WUO_TRK'!A470),_xlfn.TEXTAFTER('Additional Cartons-WUO_ERR'!A470, ":"))))</f>
        <v>0</v>
      </c>
    </row>
    <row r="471" spans="1:1">
      <c r="A471" s="39">
        <f>IF('Additional Cartons'!B471 = "", "", IF('Additional Cartons-WUO_ERR'!A471 = "", "Validated", HYPERLINK("#" &amp; ADDRESS(471, 'Additional Cartons-WUO_TRK'!A471),_xlfn.TEXTAFTER('Additional Cartons-WUO_ERR'!A471, ":"))))</f>
        <v>0</v>
      </c>
    </row>
    <row r="472" spans="1:1">
      <c r="A472" s="39">
        <f>IF('Additional Cartons'!B472 = "", "", IF('Additional Cartons-WUO_ERR'!A472 = "", "Validated", HYPERLINK("#" &amp; ADDRESS(472, 'Additional Cartons-WUO_TRK'!A472),_xlfn.TEXTAFTER('Additional Cartons-WUO_ERR'!A472, ":"))))</f>
        <v>0</v>
      </c>
    </row>
    <row r="473" spans="1:1">
      <c r="A473" s="39">
        <f>IF('Additional Cartons'!B473 = "", "", IF('Additional Cartons-WUO_ERR'!A473 = "", "Validated", HYPERLINK("#" &amp; ADDRESS(473, 'Additional Cartons-WUO_TRK'!A473),_xlfn.TEXTAFTER('Additional Cartons-WUO_ERR'!A473, ":"))))</f>
        <v>0</v>
      </c>
    </row>
    <row r="474" spans="1:1">
      <c r="A474" s="39">
        <f>IF('Additional Cartons'!B474 = "", "", IF('Additional Cartons-WUO_ERR'!A474 = "", "Validated", HYPERLINK("#" &amp; ADDRESS(474, 'Additional Cartons-WUO_TRK'!A474),_xlfn.TEXTAFTER('Additional Cartons-WUO_ERR'!A474, ":"))))</f>
        <v>0</v>
      </c>
    </row>
    <row r="475" spans="1:1">
      <c r="A475" s="39">
        <f>IF('Additional Cartons'!B475 = "", "", IF('Additional Cartons-WUO_ERR'!A475 = "", "Validated", HYPERLINK("#" &amp; ADDRESS(475, 'Additional Cartons-WUO_TRK'!A475),_xlfn.TEXTAFTER('Additional Cartons-WUO_ERR'!A475, ":"))))</f>
        <v>0</v>
      </c>
    </row>
    <row r="476" spans="1:1">
      <c r="A476" s="39">
        <f>IF('Additional Cartons'!B476 = "", "", IF('Additional Cartons-WUO_ERR'!A476 = "", "Validated", HYPERLINK("#" &amp; ADDRESS(476, 'Additional Cartons-WUO_TRK'!A476),_xlfn.TEXTAFTER('Additional Cartons-WUO_ERR'!A476, ":"))))</f>
        <v>0</v>
      </c>
    </row>
    <row r="477" spans="1:1">
      <c r="A477" s="39">
        <f>IF('Additional Cartons'!B477 = "", "", IF('Additional Cartons-WUO_ERR'!A477 = "", "Validated", HYPERLINK("#" &amp; ADDRESS(477, 'Additional Cartons-WUO_TRK'!A477),_xlfn.TEXTAFTER('Additional Cartons-WUO_ERR'!A477, ":"))))</f>
        <v>0</v>
      </c>
    </row>
    <row r="478" spans="1:1">
      <c r="A478" s="39">
        <f>IF('Additional Cartons'!B478 = "", "", IF('Additional Cartons-WUO_ERR'!A478 = "", "Validated", HYPERLINK("#" &amp; ADDRESS(478, 'Additional Cartons-WUO_TRK'!A478),_xlfn.TEXTAFTER('Additional Cartons-WUO_ERR'!A478, ":"))))</f>
        <v>0</v>
      </c>
    </row>
    <row r="479" spans="1:1">
      <c r="A479" s="39">
        <f>IF('Additional Cartons'!B479 = "", "", IF('Additional Cartons-WUO_ERR'!A479 = "", "Validated", HYPERLINK("#" &amp; ADDRESS(479, 'Additional Cartons-WUO_TRK'!A479),_xlfn.TEXTAFTER('Additional Cartons-WUO_ERR'!A479, ":"))))</f>
        <v>0</v>
      </c>
    </row>
    <row r="480" spans="1:1">
      <c r="A480" s="39">
        <f>IF('Additional Cartons'!B480 = "", "", IF('Additional Cartons-WUO_ERR'!A480 = "", "Validated", HYPERLINK("#" &amp; ADDRESS(480, 'Additional Cartons-WUO_TRK'!A480),_xlfn.TEXTAFTER('Additional Cartons-WUO_ERR'!A480, ":"))))</f>
        <v>0</v>
      </c>
    </row>
    <row r="481" spans="1:1">
      <c r="A481" s="39">
        <f>IF('Additional Cartons'!B481 = "", "", IF('Additional Cartons-WUO_ERR'!A481 = "", "Validated", HYPERLINK("#" &amp; ADDRESS(481, 'Additional Cartons-WUO_TRK'!A481),_xlfn.TEXTAFTER('Additional Cartons-WUO_ERR'!A481, ":"))))</f>
        <v>0</v>
      </c>
    </row>
    <row r="482" spans="1:1">
      <c r="A482" s="39">
        <f>IF('Additional Cartons'!B482 = "", "", IF('Additional Cartons-WUO_ERR'!A482 = "", "Validated", HYPERLINK("#" &amp; ADDRESS(482, 'Additional Cartons-WUO_TRK'!A482),_xlfn.TEXTAFTER('Additional Cartons-WUO_ERR'!A482, ":"))))</f>
        <v>0</v>
      </c>
    </row>
    <row r="483" spans="1:1">
      <c r="A483" s="39">
        <f>IF('Additional Cartons'!B483 = "", "", IF('Additional Cartons-WUO_ERR'!A483 = "", "Validated", HYPERLINK("#" &amp; ADDRESS(483, 'Additional Cartons-WUO_TRK'!A483),_xlfn.TEXTAFTER('Additional Cartons-WUO_ERR'!A483, ":"))))</f>
        <v>0</v>
      </c>
    </row>
    <row r="484" spans="1:1">
      <c r="A484" s="39">
        <f>IF('Additional Cartons'!B484 = "", "", IF('Additional Cartons-WUO_ERR'!A484 = "", "Validated", HYPERLINK("#" &amp; ADDRESS(484, 'Additional Cartons-WUO_TRK'!A484),_xlfn.TEXTAFTER('Additional Cartons-WUO_ERR'!A484, ":"))))</f>
        <v>0</v>
      </c>
    </row>
    <row r="485" spans="1:1">
      <c r="A485" s="39">
        <f>IF('Additional Cartons'!B485 = "", "", IF('Additional Cartons-WUO_ERR'!A485 = "", "Validated", HYPERLINK("#" &amp; ADDRESS(485, 'Additional Cartons-WUO_TRK'!A485),_xlfn.TEXTAFTER('Additional Cartons-WUO_ERR'!A485, ":"))))</f>
        <v>0</v>
      </c>
    </row>
    <row r="486" spans="1:1">
      <c r="A486" s="39">
        <f>IF('Additional Cartons'!B486 = "", "", IF('Additional Cartons-WUO_ERR'!A486 = "", "Validated", HYPERLINK("#" &amp; ADDRESS(486, 'Additional Cartons-WUO_TRK'!A486),_xlfn.TEXTAFTER('Additional Cartons-WUO_ERR'!A486, ":"))))</f>
        <v>0</v>
      </c>
    </row>
    <row r="487" spans="1:1">
      <c r="A487" s="39">
        <f>IF('Additional Cartons'!B487 = "", "", IF('Additional Cartons-WUO_ERR'!A487 = "", "Validated", HYPERLINK("#" &amp; ADDRESS(487, 'Additional Cartons-WUO_TRK'!A487),_xlfn.TEXTAFTER('Additional Cartons-WUO_ERR'!A487, ":"))))</f>
        <v>0</v>
      </c>
    </row>
    <row r="488" spans="1:1">
      <c r="A488" s="39">
        <f>IF('Additional Cartons'!B488 = "", "", IF('Additional Cartons-WUO_ERR'!A488 = "", "Validated", HYPERLINK("#" &amp; ADDRESS(488, 'Additional Cartons-WUO_TRK'!A488),_xlfn.TEXTAFTER('Additional Cartons-WUO_ERR'!A488, ":"))))</f>
        <v>0</v>
      </c>
    </row>
    <row r="489" spans="1:1">
      <c r="A489" s="39">
        <f>IF('Additional Cartons'!B489 = "", "", IF('Additional Cartons-WUO_ERR'!A489 = "", "Validated", HYPERLINK("#" &amp; ADDRESS(489, 'Additional Cartons-WUO_TRK'!A489),_xlfn.TEXTAFTER('Additional Cartons-WUO_ERR'!A489, ":"))))</f>
        <v>0</v>
      </c>
    </row>
    <row r="490" spans="1:1">
      <c r="A490" s="39">
        <f>IF('Additional Cartons'!B490 = "", "", IF('Additional Cartons-WUO_ERR'!A490 = "", "Validated", HYPERLINK("#" &amp; ADDRESS(490, 'Additional Cartons-WUO_TRK'!A490),_xlfn.TEXTAFTER('Additional Cartons-WUO_ERR'!A490, ":"))))</f>
        <v>0</v>
      </c>
    </row>
    <row r="491" spans="1:1">
      <c r="A491" s="39">
        <f>IF('Additional Cartons'!B491 = "", "", IF('Additional Cartons-WUO_ERR'!A491 = "", "Validated", HYPERLINK("#" &amp; ADDRESS(491, 'Additional Cartons-WUO_TRK'!A491),_xlfn.TEXTAFTER('Additional Cartons-WUO_ERR'!A491, ":"))))</f>
        <v>0</v>
      </c>
    </row>
    <row r="492" spans="1:1">
      <c r="A492" s="39">
        <f>IF('Additional Cartons'!B492 = "", "", IF('Additional Cartons-WUO_ERR'!A492 = "", "Validated", HYPERLINK("#" &amp; ADDRESS(492, 'Additional Cartons-WUO_TRK'!A492),_xlfn.TEXTAFTER('Additional Cartons-WUO_ERR'!A492, ":"))))</f>
        <v>0</v>
      </c>
    </row>
    <row r="493" spans="1:1">
      <c r="A493" s="39">
        <f>IF('Additional Cartons'!B493 = "", "", IF('Additional Cartons-WUO_ERR'!A493 = "", "Validated", HYPERLINK("#" &amp; ADDRESS(493, 'Additional Cartons-WUO_TRK'!A493),_xlfn.TEXTAFTER('Additional Cartons-WUO_ERR'!A493, ":"))))</f>
        <v>0</v>
      </c>
    </row>
    <row r="494" spans="1:1">
      <c r="A494" s="39">
        <f>IF('Additional Cartons'!B494 = "", "", IF('Additional Cartons-WUO_ERR'!A494 = "", "Validated", HYPERLINK("#" &amp; ADDRESS(494, 'Additional Cartons-WUO_TRK'!A494),_xlfn.TEXTAFTER('Additional Cartons-WUO_ERR'!A494, ":"))))</f>
        <v>0</v>
      </c>
    </row>
    <row r="495" spans="1:1">
      <c r="A495" s="39">
        <f>IF('Additional Cartons'!B495 = "", "", IF('Additional Cartons-WUO_ERR'!A495 = "", "Validated", HYPERLINK("#" &amp; ADDRESS(495, 'Additional Cartons-WUO_TRK'!A495),_xlfn.TEXTAFTER('Additional Cartons-WUO_ERR'!A495, ":"))))</f>
        <v>0</v>
      </c>
    </row>
    <row r="496" spans="1:1">
      <c r="A496" s="39">
        <f>IF('Additional Cartons'!B496 = "", "", IF('Additional Cartons-WUO_ERR'!A496 = "", "Validated", HYPERLINK("#" &amp; ADDRESS(496, 'Additional Cartons-WUO_TRK'!A496),_xlfn.TEXTAFTER('Additional Cartons-WUO_ERR'!A496, ":"))))</f>
        <v>0</v>
      </c>
    </row>
    <row r="497" spans="1:1">
      <c r="A497" s="39">
        <f>IF('Additional Cartons'!B497 = "", "", IF('Additional Cartons-WUO_ERR'!A497 = "", "Validated", HYPERLINK("#" &amp; ADDRESS(497, 'Additional Cartons-WUO_TRK'!A497),_xlfn.TEXTAFTER('Additional Cartons-WUO_ERR'!A497, ":"))))</f>
        <v>0</v>
      </c>
    </row>
    <row r="498" spans="1:1">
      <c r="A498" s="39">
        <f>IF('Additional Cartons'!B498 = "", "", IF('Additional Cartons-WUO_ERR'!A498 = "", "Validated", HYPERLINK("#" &amp; ADDRESS(498, 'Additional Cartons-WUO_TRK'!A498),_xlfn.TEXTAFTER('Additional Cartons-WUO_ERR'!A498, ":"))))</f>
        <v>0</v>
      </c>
    </row>
    <row r="499" spans="1:1">
      <c r="A499" s="39">
        <f>IF('Additional Cartons'!B499 = "", "", IF('Additional Cartons-WUO_ERR'!A499 = "", "Validated", HYPERLINK("#" &amp; ADDRESS(499, 'Additional Cartons-WUO_TRK'!A499),_xlfn.TEXTAFTER('Additional Cartons-WUO_ERR'!A499, ":"))))</f>
        <v>0</v>
      </c>
    </row>
    <row r="500" spans="1:1">
      <c r="A500" s="39">
        <f>IF('Additional Cartons'!B500 = "", "", IF('Additional Cartons-WUO_ERR'!A500 = "", "Validated", HYPERLINK("#" &amp; ADDRESS(500, 'Additional Cartons-WUO_TRK'!A500),_xlfn.TEXTAFTER('Additional Cartons-WUO_ERR'!A500, ":"))))</f>
        <v>0</v>
      </c>
    </row>
    <row r="501" spans="1:1">
      <c r="A501" s="39">
        <f>IF('Additional Cartons'!B501 = "", "", IF('Additional Cartons-WUO_ERR'!A501 = "", "Validated", HYPERLINK("#" &amp; ADDRESS(501, 'Additional Cartons-WUO_TRK'!A501),_xlfn.TEXTAFTER('Additional Cartons-WUO_ERR'!A501, ":"))))</f>
        <v>0</v>
      </c>
    </row>
    <row r="502" spans="1:1">
      <c r="A502" s="39">
        <f>IF('Additional Cartons'!B502 = "", "", IF('Additional Cartons-WUO_ERR'!A502 = "", "Validated", HYPERLINK("#" &amp; ADDRESS(502, 'Additional Cartons-WUO_TRK'!A502),_xlfn.TEXTAFTER('Additional Cartons-WUO_ERR'!A502, ":"))))</f>
        <v>0</v>
      </c>
    </row>
    <row r="503" spans="1:1">
      <c r="A503" s="39">
        <f>IF('Additional Cartons'!B503 = "", "", IF('Additional Cartons-WUO_ERR'!A503 = "", "Validated", HYPERLINK("#" &amp; ADDRESS(503, 'Additional Cartons-WUO_TRK'!A503),_xlfn.TEXTAFTER('Additional Cartons-WUO_ERR'!A503, ":"))))</f>
        <v>0</v>
      </c>
    </row>
    <row r="504" spans="1:1">
      <c r="A504" s="39">
        <f>IF('Additional Cartons'!B504 = "", "", IF('Additional Cartons-WUO_ERR'!A504 = "", "Validated", HYPERLINK("#" &amp; ADDRESS(504, 'Additional Cartons-WUO_TRK'!A504),_xlfn.TEXTAFTER('Additional Cartons-WUO_ERR'!A504, ":"))))</f>
        <v>0</v>
      </c>
    </row>
    <row r="505" spans="1:1">
      <c r="A505" s="39">
        <f>IF('Additional Cartons'!B505 = "", "", IF('Additional Cartons-WUO_ERR'!A505 = "", "Validated", HYPERLINK("#" &amp; ADDRESS(505, 'Additional Cartons-WUO_TRK'!A505),_xlfn.TEXTAFTER('Additional Cartons-WUO_ERR'!A505, ":"))))</f>
        <v>0</v>
      </c>
    </row>
    <row r="506" spans="1:1">
      <c r="A506" s="39">
        <f>IF('Additional Cartons'!B506 = "", "", IF('Additional Cartons-WUO_ERR'!A506 = "", "Validated", HYPERLINK("#" &amp; ADDRESS(506, 'Additional Cartons-WUO_TRK'!A506),_xlfn.TEXTAFTER('Additional Cartons-WUO_ERR'!A506, ":"))))</f>
        <v>0</v>
      </c>
    </row>
    <row r="507" spans="1:1">
      <c r="A507" s="39">
        <f>IF('Additional Cartons'!B507 = "", "", IF('Additional Cartons-WUO_ERR'!A507 = "", "Validated", HYPERLINK("#" &amp; ADDRESS(507, 'Additional Cartons-WUO_TRK'!A507),_xlfn.TEXTAFTER('Additional Cartons-WUO_ERR'!A507, ":"))))</f>
        <v>0</v>
      </c>
    </row>
  </sheetData>
  <sheetProtection password="E718" sheet="1" objects="1" scenarios="1" formatColumns="0" formatRows="0"/>
  <protectedRanges>
    <protectedRange sqref="B7:G10000" name="Range1"/>
  </protectedRanges>
  <mergeCells count="1">
    <mergeCell ref="C2:F2"/>
  </mergeCells>
  <conditionalFormatting sqref="A7:A507">
    <cfRule type="expression" dxfId="4" priority="5">
      <formula>A7="Validated"</formula>
    </cfRule>
    <cfRule type="expression" dxfId="5" priority="6">
      <formula>OR(COUNTIF('Additional Cartons-WUO_TRK'!B7:G7,"Error"),COUNTIF('Additional Cartons-WUO_TRK'!B7:G7,"Required"))</formula>
    </cfRule>
    <cfRule type="expression" dxfId="6" priority="7">
      <formula>COUNTIF('Additional Cartons-WUO_TRK'!B7:G7,"Warning")</formula>
    </cfRule>
  </conditionalFormatting>
  <conditionalFormatting sqref="B7:G507">
    <cfRule type="expression" dxfId="0" priority="1">
      <formula>'Additional Cartons-WUO_TRK'!B7="Error"</formula>
    </cfRule>
    <cfRule type="expression" dxfId="1" priority="2">
      <formula>'Additional Cartons-WUO_TRK'!B7="Required"</formula>
    </cfRule>
    <cfRule type="expression" dxfId="2" priority="3">
      <formula>'Additional Cartons-WUO_TRK'!B7="Warning"</formula>
    </cfRule>
    <cfRule type="expression" dxfId="3" priority="4">
      <formula>'Additional Cartons-WUO_TRK'!B7="Disabled"</formula>
    </cfRule>
  </conditionalFormatting>
  <dataValidations count="4">
    <dataValidation type="textLength" operator="lessThanOrEqual" errorStyle="warning" showInputMessage="1" showErrorMessage="1" errorTitle="Invalid Number" error="The value provided is not a valid Number." promptTitle="Carton Weight" prompt="Please enter Number" sqref="C7:C2500">
      <formula1>32767</formula1>
    </dataValidation>
    <dataValidation type="textLength" operator="lessThanOrEqual" errorStyle="warning" showInputMessage="1" showErrorMessage="1" errorTitle="Invalid Number" error="The value provided is not a valid Number." promptTitle="Carton Height" prompt="Please enter Number" sqref="D7:D2500">
      <formula1>32767</formula1>
    </dataValidation>
    <dataValidation type="textLength" operator="lessThanOrEqual" errorStyle="warning" showInputMessage="1" showErrorMessage="1" errorTitle="Invalid Number" error="The value provided is not a valid Number." promptTitle="Carton Width" prompt="Please enter Number" sqref="E7:E2500">
      <formula1>32767</formula1>
    </dataValidation>
    <dataValidation type="textLength" operator="lessThanOrEqual" errorStyle="warning" showInputMessage="1" showErrorMessage="1" errorTitle="Invalid Number" error="The value provided is not a valid Number." promptTitle="Carton Depth" prompt="Please enter Number" sqref="F7:F2500">
      <formula1>32767</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F7"/>
  <sheetViews>
    <sheetView workbookViewId="0"/>
  </sheetViews>
  <sheetFormatPr defaultRowHeight="15"/>
  <cols>
    <col min="2" max="2" width="25.7109375" style="22" customWidth="1"/>
    <col min="3" max="4" width="18.7109375" style="22" customWidth="1"/>
    <col min="5" max="6" width="17.7109375" style="22" customWidth="1"/>
  </cols>
  <sheetData>
    <row r="1" spans="1:6" hidden="1">
      <c r="B1" s="22" t="s">
        <v>2221</v>
      </c>
      <c r="C1" s="22" t="s">
        <v>2321</v>
      </c>
      <c r="D1" s="22" t="s">
        <v>2324</v>
      </c>
      <c r="E1" s="22" t="s">
        <v>2327</v>
      </c>
      <c r="F1" s="22" t="s">
        <v>2330</v>
      </c>
    </row>
    <row r="3" spans="1:6">
      <c r="B3" s="32" t="s">
        <v>58</v>
      </c>
      <c r="C3" s="32" t="s">
        <v>64</v>
      </c>
      <c r="D3" s="32" t="s">
        <v>64</v>
      </c>
      <c r="E3" s="32" t="s">
        <v>64</v>
      </c>
      <c r="F3" s="32" t="s">
        <v>64</v>
      </c>
    </row>
    <row r="4" spans="1:6" ht="50" customHeight="1">
      <c r="B4" s="19" t="s">
        <v>2222</v>
      </c>
      <c r="C4" s="19" t="s">
        <v>2563</v>
      </c>
      <c r="D4" s="19" t="s">
        <v>2564</v>
      </c>
      <c r="E4" s="19" t="s">
        <v>2565</v>
      </c>
      <c r="F4" s="19" t="s">
        <v>2566</v>
      </c>
    </row>
    <row r="5" spans="1:6" ht="50" customHeight="1">
      <c r="B5" s="35" t="s">
        <v>2223</v>
      </c>
      <c r="C5" s="35" t="s">
        <v>2323</v>
      </c>
      <c r="D5" s="35" t="s">
        <v>2326</v>
      </c>
      <c r="E5" s="35" t="s">
        <v>2329</v>
      </c>
      <c r="F5" s="35" t="s">
        <v>2332</v>
      </c>
    </row>
    <row r="6" spans="1:6" ht="50" customHeight="1">
      <c r="B6" s="35" t="s">
        <v>67</v>
      </c>
      <c r="C6" s="35" t="s">
        <v>2267</v>
      </c>
      <c r="D6" s="35" t="s">
        <v>2267</v>
      </c>
      <c r="E6" s="35" t="s">
        <v>2267</v>
      </c>
      <c r="F6" s="35" t="s">
        <v>2267</v>
      </c>
    </row>
    <row r="7" spans="1:6">
      <c r="A7" cm="1">
        <f t="array" ref="A7">_xlfn.BYROW(B7:G507, _xlfn.LAMBDA(_xlpm.r, _xlfn.LET(_xlpm.high_priority, IFERROR(INDEX(_xlpm.r, MATCH(TRUE, (_xlpm.r &lt;&gt; "") * ((LEFT(_xlpm.r, 2) = "1:") + (LEFT(_xlpm.r, 2) = "3:")) &gt; 0, 0)), ""), IF(_xlpm.high_priority &lt;&gt; "", _xlpm.high_priority, IFERROR(INDEX(_xlpm.r, MATCH(TRUE, (_xlpm.r &lt;&gt; "") * (LEFT(_xlpm.r, 2) = "4:") &gt; 0, 0)), "")))))</f>
        <v>0</v>
      </c>
      <c r="B7" s="22" cm="1">
        <f t="array" ref="B7">_xlfn.MAP('Additional Cartons'!B7:B507, 'Additional Cartons'!B7:B507,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"3:Supplier Part Number - Value is required", ""))))))))</f>
        <v>0</v>
      </c>
      <c r="C7" s="22" cm="1">
        <f t="array" ref="C7">_xlfn.MAP('Additional Cartons'!B7:B507, 'Additional Cartons'!C7:C507, 'Additional Cartons'!D7:D507, 'Additional Cartons'!E7:E507, 'Additional Cartons'!F7:F507, _xlfn.LAMBDA(_xlpm.part, _xlpm.val, _xlpm.dep1, _xlpm.dep2, _xlpm.dep3, IF(_xlpm.part = "", "", _xlfn.LET(_xlpm.check1, IF(AND(NOT(ISBLANK(_xlpm.val)),OR(NOT(ISNUMBER(IFERROR(VALUE(_xlpm.val), ""))), IFERROR(VALUE(_xlpm.val), -1) &lt; 0)), "1:Carton Weight - Value should be numeric", ""), IF(LEN(_xlpm.check1) &gt; 0, _xlpm.check1, _xlfn.LET(_xlpm.check2, IF(AND(_xlpm.val &lt;&gt; "" ,IFERROR(VALUE(_xlpm.val), _xlpm.val)&lt;0), "1:Shipping weight must be a positive number", ""), IF(LEN(_xlpm.check2) &gt; 0, _xlpm.check2, _xlfn.LET(_xlpm.check3, IF(AND(_xlpm.val = "", C$3="Required"), "3:Carton Weight - Value is required", ""), IF(LEN(_xlpm.check3) &gt; 0, _xlpm.check3, _xlfn.LET(_xlpm.check4, IF(OR(_xlpm.dep1 &lt;&gt; "", _xlpm.dep2 &lt;&gt; "", _xlpm.dep3 &lt;&gt; ""), IF(_xlpm.val = "", "3:Shipping weight is required", ""), ""), IF(LEN(_xlpm.check4) &gt; 0, _xlpm.check4, IF(AND(_xlpm.dep3 = "", _xlpm.dep1 = "", _xlpm.dep2 = ""), IF(_xlpm.val = "", "3:Shipping weight is required", ""), ""))))))))))))</f>
        <v>0</v>
      </c>
      <c r="D7" s="22" cm="1">
        <f t="array" ref="D7">_xlfn.MAP('Additional Cartons'!B7:B507, 'Additional Cartons'!D7:D507, 'Additional Cartons'!C7:C507, 'Additional Cartons'!E7:E507, 'Additional Cartons'!F7:F507, _xlfn.LAMBDA(_xlpm.part, _xlpm.val, _xlpm.dep1, _xlpm.dep2, _xlpm.dep3, IF(_xlpm.part = "", "", _xlfn.LET(_xlpm.check1, IF(AND(NOT(ISBLANK(_xlpm.val)),OR(NOT(ISNUMBER(IFERROR(VALUE(_xlpm.val), ""))), IFERROR(VALUE(_xlpm.val), -1) &lt; 0)), "1:Carton Height - Value should be numeric", ""), IF(LEN(_xlpm.check1) &gt; 0, _xlpm.check1, _xlfn.LET(_xlpm.check2, IF(AND(_xlpm.val &lt;&gt; "" ,IFERROR(VALUE(_xlpm.val), _xlpm.val)&lt;0), "1:Carton height must be a positive number", ""), IF(LEN(_xlpm.check2) &gt; 0, _xlpm.check2, _xlfn.LET(_xlpm.check3, IF(AND(_xlpm.val = "", D$3="Required"), "3:Carton Height - Value is required", ""), IF(LEN(_xlpm.check3) &gt; 0, _xlpm.check3, _xlfn.LET(_xlpm.check4, IF(OR(_xlpm.dep1 &lt;&gt; "", _xlpm.dep2 &lt;&gt; "", _xlpm.dep3 &lt;&gt; ""), IF(_xlpm.val = "", "3:Carton height is required", ""), ""), IF(LEN(_xlpm.check4) &gt; 0, _xlpm.check4, IF(AND(_xlpm.dep1 = "", _xlpm.dep3 = "", _xlpm.dep2 = ""), IF(_xlpm.val = "", "3:Carton height is required", ""), ""))))))))))))</f>
        <v>0</v>
      </c>
      <c r="E7" s="22" cm="1">
        <f t="array" ref="E7">_xlfn.MAP('Additional Cartons'!B7:B507, 'Additional Cartons'!E7:E507, 'Additional Cartons'!C7:C507, 'Additional Cartons'!D7:D507, 'Additional Cartons'!F7:F507, _xlfn.LAMBDA(_xlpm.part, _xlpm.val, _xlpm.dep1, _xlpm.dep2, _xlpm.dep3, IF(_xlpm.part = "", "", _xlfn.LET(_xlpm.check1, IF(AND(NOT(ISBLANK(_xlpm.val)),OR(NOT(ISNUMBER(IFERROR(VALUE(_xlpm.val), ""))), IFERROR(VALUE(_xlpm.val), -1) &lt; 0)), "1:Carton Width - Value should be numeric", ""), IF(LEN(_xlpm.check1) &gt; 0, _xlpm.check1, _xlfn.LET(_xlpm.check2, IF(AND(_xlpm.val &lt;&gt; "" ,IFERROR(VALUE(_xlpm.val), _xlpm.val)&lt;0), "1:Carton width must be a positive number", ""), IF(LEN(_xlpm.check2) &gt; 0, _xlpm.check2, _xlfn.LET(_xlpm.check3, IF(AND(_xlpm.val = "", E$3="Required"), "3:Carton Width - Value is required", ""), IF(LEN(_xlpm.check3) &gt; 0, _xlpm.check3, _xlfn.LET(_xlpm.check4, IF(OR(_xlpm.dep1 &lt;&gt; "", _xlpm.dep2 &lt;&gt; "", _xlpm.dep3 &lt;&gt; ""), IF(_xlpm.val = "", "3:Carton width is required", ""), ""), IF(LEN(_xlpm.check4) &gt; 0, _xlpm.check4, IF(AND(_xlpm.dep1 = "", _xlpm.dep2 = "", _xlpm.dep3 = ""), IF(_xlpm.val = "", "3:Carton width is required", ""), ""))))))))))))</f>
        <v>0</v>
      </c>
      <c r="F7" s="22" cm="1">
        <f t="array" ref="F7">_xlfn.MAP('Additional Cartons'!B7:B507, 'Additional Cartons'!F7:F507, 'Additional Cartons'!C7:C507, 'Additional Cartons'!D7:D507, 'Additional Cartons'!E7:E507, _xlfn.LAMBDA(_xlpm.part, _xlpm.val, _xlpm.dep1, _xlpm.dep2, _xlpm.dep3, IF(_xlpm.part = "", "", _xlfn.LET(_xlpm.check1, IF(AND(NOT(ISBLANK(_xlpm.val)),OR(NOT(ISNUMBER(IFERROR(VALUE(_xlpm.val), ""))), IFERROR(VALUE(_xlpm.val), -1) &lt; 0)), "1:Carton Depth - Value should be numeric", ""), IF(LEN(_xlpm.check1) &gt; 0, _xlpm.check1, _xlfn.LET(_xlpm.check2, IF(AND(_xlpm.val &lt;&gt; "" ,IFERROR(VALUE(_xlpm.val), _xlpm.val)&lt;0), "1:Carton depth must be a positive number", ""), IF(LEN(_xlpm.check2) &gt; 0, _xlpm.check2, _xlfn.LET(_xlpm.check3, IF(AND(_xlpm.val = "", F$3="Required"), "3:Carton Depth - Value is required", ""), IF(LEN(_xlpm.check3) &gt; 0, _xlpm.check3, _xlfn.LET(_xlpm.check4, IF(OR(_xlpm.dep1 &lt;&gt; "", _xlpm.dep2 &lt;&gt; "", _xlpm.dep3 &lt;&gt; ""), IF(_xlpm.val = "", "3:Carton depth is required", ""), ""), IF(LEN(_xlpm.check4) &gt; 0, _xlpm.check4, IF(AND(_xlpm.dep1 = "", _xlpm.dep2 = "", _xlpm.dep3 = ""), IF(_xlpm.val = "", "3:Carton depth is required", ""), ""))))))))))))</f>
        <v>0</v>
      </c>
    </row>
  </sheetData>
  <sheetProtection password="D0E6" sheet="1" objects="1" scenarios="1"/>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F7"/>
  <sheetViews>
    <sheetView workbookViewId="0"/>
  </sheetViews>
  <sheetFormatPr defaultRowHeight="15"/>
  <cols>
    <col min="2" max="2" width="25.7109375" style="22" customWidth="1"/>
    <col min="3" max="4" width="18.7109375" style="22" customWidth="1"/>
    <col min="5" max="6" width="17.7109375" style="22" customWidth="1"/>
  </cols>
  <sheetData>
    <row r="1" spans="1:6" hidden="1">
      <c r="B1" s="22" t="s">
        <v>2221</v>
      </c>
      <c r="C1" s="22" t="s">
        <v>2321</v>
      </c>
      <c r="D1" s="22" t="s">
        <v>2324</v>
      </c>
      <c r="E1" s="22" t="s">
        <v>2327</v>
      </c>
      <c r="F1" s="22" t="s">
        <v>2330</v>
      </c>
    </row>
    <row r="3" spans="1:6">
      <c r="B3" s="32" t="s">
        <v>58</v>
      </c>
      <c r="C3" s="32" t="s">
        <v>64</v>
      </c>
      <c r="D3" s="32" t="s">
        <v>64</v>
      </c>
      <c r="E3" s="32" t="s">
        <v>64</v>
      </c>
      <c r="F3" s="32" t="s">
        <v>64</v>
      </c>
    </row>
    <row r="4" spans="1:6" ht="50" customHeight="1">
      <c r="B4" s="19" t="s">
        <v>2222</v>
      </c>
      <c r="C4" s="19" t="s">
        <v>2563</v>
      </c>
      <c r="D4" s="19" t="s">
        <v>2564</v>
      </c>
      <c r="E4" s="19" t="s">
        <v>2565</v>
      </c>
      <c r="F4" s="19" t="s">
        <v>2566</v>
      </c>
    </row>
    <row r="5" spans="1:6" ht="50" customHeight="1">
      <c r="B5" s="35" t="s">
        <v>2223</v>
      </c>
      <c r="C5" s="35" t="s">
        <v>2323</v>
      </c>
      <c r="D5" s="35" t="s">
        <v>2326</v>
      </c>
      <c r="E5" s="35" t="s">
        <v>2329</v>
      </c>
      <c r="F5" s="35" t="s">
        <v>2332</v>
      </c>
    </row>
    <row r="6" spans="1:6" ht="50" customHeight="1">
      <c r="B6" s="35" t="s">
        <v>67</v>
      </c>
      <c r="C6" s="35" t="s">
        <v>2267</v>
      </c>
      <c r="D6" s="35" t="s">
        <v>2267</v>
      </c>
      <c r="E6" s="35" t="s">
        <v>2267</v>
      </c>
      <c r="F6" s="35" t="s">
        <v>2267</v>
      </c>
    </row>
    <row r="7" spans="1:6">
      <c r="A7" cm="1">
        <f t="array" ref="A7">_xlfn.BYROW(B7:G507, _xlfn.LAMBDA(_xlpm.r, _xlfn.LET(_xlpm.high_priority_idx, IFERROR(MATCH(TRUE, (_xlpm.r = "Error") + (_xlpm.r = "Required") &gt; 0, 0), 0), IF(_xlpm.high_priority_idx &gt; 0, _xlpm.high_priority_idx + 1, IFERROR(MATCH(1, (_xlpm.r = "Warning") * 1, 0) + 1, "")))))</f>
        <v>0</v>
      </c>
      <c r="B7" s="22" cm="1">
        <f t="array" ref="B7">_xlfn.MAP('Additional Cartons'!B7:B507, 'Additional Cartons'!B7:B507, 'Additional Cartons-WUO_ERR'!B7:B507, _xlfn.LAMBDA(_xlpm.part, _xlpm.val, _xlpm.error, IF(_xlpm.part = "", "", IF(LEN(_xlpm.error), _xlfn.SWITCH(IFERROR(_xlfn.TEXTBEFORE(_xlpm.error,":"), ""), "1", "Error", "2", "Disabled", "3", "Required", "4", "Warning", "Valid"), "Valid"))))</f>
        <v>0</v>
      </c>
      <c r="C7" s="22" cm="1">
        <f t="array" ref="C7">_xlfn.MAP('Additional Cartons'!B7:B507, 'Additional Cartons'!C7:C507, 'Additional Cartons-WUO_ERR'!C7:C507, _xlfn.LAMBDA(_xlpm.part, _xlpm.val, _xlpm.error, IF(_xlpm.part = "", "", IF(LEN(_xlpm.error), _xlfn.SWITCH(IFERROR(_xlfn.TEXTBEFORE(_xlpm.error,":"), ""), "1", "Error", "2", "Disabled", "3", "Required", "4", "Warning", "Valid"), "Valid"))))</f>
        <v>0</v>
      </c>
      <c r="D7" s="22" cm="1">
        <f t="array" ref="D7">_xlfn.MAP('Additional Cartons'!B7:B507, 'Additional Cartons'!D7:D507, 'Additional Cartons-WUO_ERR'!D7:D507, _xlfn.LAMBDA(_xlpm.part, _xlpm.val, _xlpm.error, IF(_xlpm.part = "", "", IF(LEN(_xlpm.error), _xlfn.SWITCH(IFERROR(_xlfn.TEXTBEFORE(_xlpm.error,":"), ""), "1", "Error", "2", "Disabled", "3", "Required", "4", "Warning", "Valid"), "Valid"))))</f>
        <v>0</v>
      </c>
      <c r="E7" s="22" cm="1">
        <f t="array" ref="E7">_xlfn.MAP('Additional Cartons'!B7:B507, 'Additional Cartons'!E7:E507, 'Additional Cartons-WUO_ERR'!E7:E507, _xlfn.LAMBDA(_xlpm.part, _xlpm.val, _xlpm.error, IF(_xlpm.part = "", "", IF(LEN(_xlpm.error), _xlfn.SWITCH(IFERROR(_xlfn.TEXTBEFORE(_xlpm.error,":"), ""), "1", "Error", "2", "Disabled", "3", "Required", "4", "Warning", "Valid"), "Valid"))))</f>
        <v>0</v>
      </c>
      <c r="F7" s="22" cm="1">
        <f t="array" ref="F7">_xlfn.MAP('Additional Cartons'!B7:B507, 'Additional Cartons'!F7:F507, 'Additional Cartons-WUO_ERR'!F7:F507, _xlfn.LAMBDA(_xlpm.part, _xlpm.val, _xlpm.error, IF(_xlpm.part = "", "", IF(LEN(_xlpm.error), _xlfn.SWITCH(IFERROR(_xlfn.TEXTBEFORE(_xlpm.error,":"), ""), "1", "Error", "2", "Disabled", "3", "Required", "4", "Warning", "Valid"), "Valid"))))</f>
        <v>0</v>
      </c>
    </row>
  </sheetData>
  <sheetProtection password="BAE7" sheet="1" objects="1" scenarios="1"/>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Z507"/>
  <sheetViews>
    <sheetView workbookViewId="0"/>
  </sheetViews>
  <sheetFormatPr defaultRowHeight="15"/>
  <cols>
    <col min="1" max="1" width="35.7109375" customWidth="1"/>
    <col min="2" max="2" width="25.7109375" style="22" customWidth="1"/>
    <col min="3" max="3" width="27.7109375" style="22" customWidth="1"/>
    <col min="26" max="26" width="0" hidden="1" customWidth="1"/>
  </cols>
  <sheetData>
    <row r="1" spans="1:26" hidden="1">
      <c r="B1" s="22" t="s">
        <v>2221</v>
      </c>
      <c r="C1" s="22" t="s">
        <v>2333</v>
      </c>
    </row>
    <row r="2" spans="1:26">
      <c r="B2" s="23" t="s">
        <v>2477</v>
      </c>
      <c r="C2" s="29" t="s">
        <v>2483</v>
      </c>
    </row>
    <row r="3" spans="1:26">
      <c r="B3" s="32" t="s">
        <v>58</v>
      </c>
      <c r="C3" s="32" t="s">
        <v>62</v>
      </c>
    </row>
    <row r="4" spans="1:26" ht="50" customHeight="1">
      <c r="A4" s="19" t="s">
        <v>2218</v>
      </c>
      <c r="B4" s="19" t="s">
        <v>2222</v>
      </c>
      <c r="C4" s="19" t="s">
        <v>2567</v>
      </c>
    </row>
    <row r="5" spans="1:26" ht="50" customHeight="1">
      <c r="A5" s="35" t="s">
        <v>2219</v>
      </c>
      <c r="B5" s="35" t="s">
        <v>2223</v>
      </c>
      <c r="C5" s="35" t="s">
        <v>2335</v>
      </c>
    </row>
    <row r="6" spans="1:26" ht="50" customHeight="1">
      <c r="A6" s="35" t="s">
        <v>2220</v>
      </c>
      <c r="B6" s="35" t="s">
        <v>67</v>
      </c>
      <c r="C6" s="35" t="s">
        <v>67</v>
      </c>
    </row>
    <row r="7" spans="1:26">
      <c r="A7" s="39">
        <f>IF('Additional Images'!B7 = "", "", IF('Additional Images-WUO_ERR'!A7 = "", "Validated", HYPERLINK("#" &amp; ADDRESS(7, 'Additional Images-WUO_TRK'!A7),_xlfn.TEXTAFTER('Additional Images-WUO_ERR'!A7, ":"))))</f>
        <v>0</v>
      </c>
      <c r="Z7" cm="1">
        <f t="array" ref="Z7">IF(B7:B507="", "", IFERROR(_xlfn.XLOOKUP(B7:B507, _xlfn.VSTACK('3757 - Wall Stickers'!B7:B507, '6161 - Wallpaper'!B7:B507), _xlfn.VSTACK('3757 - Wall Stickers'!G7:G507, '6161 - Wallpaper'!G7:G507)), ""))</f>
        <v>0</v>
      </c>
    </row>
    <row r="8" spans="1:26">
      <c r="A8" s="39">
        <f>IF('Additional Images'!B8 = "", "", IF('Additional Images-WUO_ERR'!A8 = "", "Validated", HYPERLINK("#" &amp; ADDRESS(8, 'Additional Images-WUO_TRK'!A8),_xlfn.TEXTAFTER('Additional Images-WUO_ERR'!A8, ":"))))</f>
        <v>0</v>
      </c>
    </row>
    <row r="9" spans="1:26">
      <c r="A9" s="39">
        <f>IF('Additional Images'!B9 = "", "", IF('Additional Images-WUO_ERR'!A9 = "", "Validated", HYPERLINK("#" &amp; ADDRESS(9, 'Additional Images-WUO_TRK'!A9),_xlfn.TEXTAFTER('Additional Images-WUO_ERR'!A9, ":"))))</f>
        <v>0</v>
      </c>
    </row>
    <row r="10" spans="1:26">
      <c r="A10" s="39">
        <f>IF('Additional Images'!B10 = "", "", IF('Additional Images-WUO_ERR'!A10 = "", "Validated", HYPERLINK("#" &amp; ADDRESS(10, 'Additional Images-WUO_TRK'!A10),_xlfn.TEXTAFTER('Additional Images-WUO_ERR'!A10, ":"))))</f>
        <v>0</v>
      </c>
    </row>
    <row r="11" spans="1:26">
      <c r="A11" s="39">
        <f>IF('Additional Images'!B11 = "", "", IF('Additional Images-WUO_ERR'!A11 = "", "Validated", HYPERLINK("#" &amp; ADDRESS(11, 'Additional Images-WUO_TRK'!A11),_xlfn.TEXTAFTER('Additional Images-WUO_ERR'!A11, ":"))))</f>
        <v>0</v>
      </c>
    </row>
    <row r="12" spans="1:26">
      <c r="A12" s="39">
        <f>IF('Additional Images'!B12 = "", "", IF('Additional Images-WUO_ERR'!A12 = "", "Validated", HYPERLINK("#" &amp; ADDRESS(12, 'Additional Images-WUO_TRK'!A12),_xlfn.TEXTAFTER('Additional Images-WUO_ERR'!A12, ":"))))</f>
        <v>0</v>
      </c>
    </row>
    <row r="13" spans="1:26">
      <c r="A13" s="39">
        <f>IF('Additional Images'!B13 = "", "", IF('Additional Images-WUO_ERR'!A13 = "", "Validated", HYPERLINK("#" &amp; ADDRESS(13, 'Additional Images-WUO_TRK'!A13),_xlfn.TEXTAFTER('Additional Images-WUO_ERR'!A13, ":"))))</f>
        <v>0</v>
      </c>
    </row>
    <row r="14" spans="1:26">
      <c r="A14" s="39">
        <f>IF('Additional Images'!B14 = "", "", IF('Additional Images-WUO_ERR'!A14 = "", "Validated", HYPERLINK("#" &amp; ADDRESS(14, 'Additional Images-WUO_TRK'!A14),_xlfn.TEXTAFTER('Additional Images-WUO_ERR'!A14, ":"))))</f>
        <v>0</v>
      </c>
    </row>
    <row r="15" spans="1:26">
      <c r="A15" s="39">
        <f>IF('Additional Images'!B15 = "", "", IF('Additional Images-WUO_ERR'!A15 = "", "Validated", HYPERLINK("#" &amp; ADDRESS(15, 'Additional Images-WUO_TRK'!A15),_xlfn.TEXTAFTER('Additional Images-WUO_ERR'!A15, ":"))))</f>
        <v>0</v>
      </c>
    </row>
    <row r="16" spans="1:26">
      <c r="A16" s="39">
        <f>IF('Additional Images'!B16 = "", "", IF('Additional Images-WUO_ERR'!A16 = "", "Validated", HYPERLINK("#" &amp; ADDRESS(16, 'Additional Images-WUO_TRK'!A16),_xlfn.TEXTAFTER('Additional Images-WUO_ERR'!A16, ":"))))</f>
        <v>0</v>
      </c>
    </row>
    <row r="17" spans="1:1">
      <c r="A17" s="39">
        <f>IF('Additional Images'!B17 = "", "", IF('Additional Images-WUO_ERR'!A17 = "", "Validated", HYPERLINK("#" &amp; ADDRESS(17, 'Additional Images-WUO_TRK'!A17),_xlfn.TEXTAFTER('Additional Images-WUO_ERR'!A17, ":"))))</f>
        <v>0</v>
      </c>
    </row>
    <row r="18" spans="1:1">
      <c r="A18" s="39">
        <f>IF('Additional Images'!B18 = "", "", IF('Additional Images-WUO_ERR'!A18 = "", "Validated", HYPERLINK("#" &amp; ADDRESS(18, 'Additional Images-WUO_TRK'!A18),_xlfn.TEXTAFTER('Additional Images-WUO_ERR'!A18, ":"))))</f>
        <v>0</v>
      </c>
    </row>
    <row r="19" spans="1:1">
      <c r="A19" s="39">
        <f>IF('Additional Images'!B19 = "", "", IF('Additional Images-WUO_ERR'!A19 = "", "Validated", HYPERLINK("#" &amp; ADDRESS(19, 'Additional Images-WUO_TRK'!A19),_xlfn.TEXTAFTER('Additional Images-WUO_ERR'!A19, ":"))))</f>
        <v>0</v>
      </c>
    </row>
    <row r="20" spans="1:1">
      <c r="A20" s="39">
        <f>IF('Additional Images'!B20 = "", "", IF('Additional Images-WUO_ERR'!A20 = "", "Validated", HYPERLINK("#" &amp; ADDRESS(20, 'Additional Images-WUO_TRK'!A20),_xlfn.TEXTAFTER('Additional Images-WUO_ERR'!A20, ":"))))</f>
        <v>0</v>
      </c>
    </row>
    <row r="21" spans="1:1">
      <c r="A21" s="39">
        <f>IF('Additional Images'!B21 = "", "", IF('Additional Images-WUO_ERR'!A21 = "", "Validated", HYPERLINK("#" &amp; ADDRESS(21, 'Additional Images-WUO_TRK'!A21),_xlfn.TEXTAFTER('Additional Images-WUO_ERR'!A21, ":"))))</f>
        <v>0</v>
      </c>
    </row>
    <row r="22" spans="1:1">
      <c r="A22" s="39">
        <f>IF('Additional Images'!B22 = "", "", IF('Additional Images-WUO_ERR'!A22 = "", "Validated", HYPERLINK("#" &amp; ADDRESS(22, 'Additional Images-WUO_TRK'!A22),_xlfn.TEXTAFTER('Additional Images-WUO_ERR'!A22, ":"))))</f>
        <v>0</v>
      </c>
    </row>
    <row r="23" spans="1:1">
      <c r="A23" s="39">
        <f>IF('Additional Images'!B23 = "", "", IF('Additional Images-WUO_ERR'!A23 = "", "Validated", HYPERLINK("#" &amp; ADDRESS(23, 'Additional Images-WUO_TRK'!A23),_xlfn.TEXTAFTER('Additional Images-WUO_ERR'!A23, ":"))))</f>
        <v>0</v>
      </c>
    </row>
    <row r="24" spans="1:1">
      <c r="A24" s="39">
        <f>IF('Additional Images'!B24 = "", "", IF('Additional Images-WUO_ERR'!A24 = "", "Validated", HYPERLINK("#" &amp; ADDRESS(24, 'Additional Images-WUO_TRK'!A24),_xlfn.TEXTAFTER('Additional Images-WUO_ERR'!A24, ":"))))</f>
        <v>0</v>
      </c>
    </row>
    <row r="25" spans="1:1">
      <c r="A25" s="39">
        <f>IF('Additional Images'!B25 = "", "", IF('Additional Images-WUO_ERR'!A25 = "", "Validated", HYPERLINK("#" &amp; ADDRESS(25, 'Additional Images-WUO_TRK'!A25),_xlfn.TEXTAFTER('Additional Images-WUO_ERR'!A25, ":"))))</f>
        <v>0</v>
      </c>
    </row>
    <row r="26" spans="1:1">
      <c r="A26" s="39">
        <f>IF('Additional Images'!B26 = "", "", IF('Additional Images-WUO_ERR'!A26 = "", "Validated", HYPERLINK("#" &amp; ADDRESS(26, 'Additional Images-WUO_TRK'!A26),_xlfn.TEXTAFTER('Additional Images-WUO_ERR'!A26, ":"))))</f>
        <v>0</v>
      </c>
    </row>
    <row r="27" spans="1:1">
      <c r="A27" s="39">
        <f>IF('Additional Images'!B27 = "", "", IF('Additional Images-WUO_ERR'!A27 = "", "Validated", HYPERLINK("#" &amp; ADDRESS(27, 'Additional Images-WUO_TRK'!A27),_xlfn.TEXTAFTER('Additional Images-WUO_ERR'!A27, ":"))))</f>
        <v>0</v>
      </c>
    </row>
    <row r="28" spans="1:1">
      <c r="A28" s="39">
        <f>IF('Additional Images'!B28 = "", "", IF('Additional Images-WUO_ERR'!A28 = "", "Validated", HYPERLINK("#" &amp; ADDRESS(28, 'Additional Images-WUO_TRK'!A28),_xlfn.TEXTAFTER('Additional Images-WUO_ERR'!A28, ":"))))</f>
        <v>0</v>
      </c>
    </row>
    <row r="29" spans="1:1">
      <c r="A29" s="39">
        <f>IF('Additional Images'!B29 = "", "", IF('Additional Images-WUO_ERR'!A29 = "", "Validated", HYPERLINK("#" &amp; ADDRESS(29, 'Additional Images-WUO_TRK'!A29),_xlfn.TEXTAFTER('Additional Images-WUO_ERR'!A29, ":"))))</f>
        <v>0</v>
      </c>
    </row>
    <row r="30" spans="1:1">
      <c r="A30" s="39">
        <f>IF('Additional Images'!B30 = "", "", IF('Additional Images-WUO_ERR'!A30 = "", "Validated", HYPERLINK("#" &amp; ADDRESS(30, 'Additional Images-WUO_TRK'!A30),_xlfn.TEXTAFTER('Additional Images-WUO_ERR'!A30, ":"))))</f>
        <v>0</v>
      </c>
    </row>
    <row r="31" spans="1:1">
      <c r="A31" s="39">
        <f>IF('Additional Images'!B31 = "", "", IF('Additional Images-WUO_ERR'!A31 = "", "Validated", HYPERLINK("#" &amp; ADDRESS(31, 'Additional Images-WUO_TRK'!A31),_xlfn.TEXTAFTER('Additional Images-WUO_ERR'!A31, ":"))))</f>
        <v>0</v>
      </c>
    </row>
    <row r="32" spans="1:1">
      <c r="A32" s="39">
        <f>IF('Additional Images'!B32 = "", "", IF('Additional Images-WUO_ERR'!A32 = "", "Validated", HYPERLINK("#" &amp; ADDRESS(32, 'Additional Images-WUO_TRK'!A32),_xlfn.TEXTAFTER('Additional Images-WUO_ERR'!A32, ":"))))</f>
        <v>0</v>
      </c>
    </row>
    <row r="33" spans="1:1">
      <c r="A33" s="39">
        <f>IF('Additional Images'!B33 = "", "", IF('Additional Images-WUO_ERR'!A33 = "", "Validated", HYPERLINK("#" &amp; ADDRESS(33, 'Additional Images-WUO_TRK'!A33),_xlfn.TEXTAFTER('Additional Images-WUO_ERR'!A33, ":"))))</f>
        <v>0</v>
      </c>
    </row>
    <row r="34" spans="1:1">
      <c r="A34" s="39">
        <f>IF('Additional Images'!B34 = "", "", IF('Additional Images-WUO_ERR'!A34 = "", "Validated", HYPERLINK("#" &amp; ADDRESS(34, 'Additional Images-WUO_TRK'!A34),_xlfn.TEXTAFTER('Additional Images-WUO_ERR'!A34, ":"))))</f>
        <v>0</v>
      </c>
    </row>
    <row r="35" spans="1:1">
      <c r="A35" s="39">
        <f>IF('Additional Images'!B35 = "", "", IF('Additional Images-WUO_ERR'!A35 = "", "Validated", HYPERLINK("#" &amp; ADDRESS(35, 'Additional Images-WUO_TRK'!A35),_xlfn.TEXTAFTER('Additional Images-WUO_ERR'!A35, ":"))))</f>
        <v>0</v>
      </c>
    </row>
    <row r="36" spans="1:1">
      <c r="A36" s="39">
        <f>IF('Additional Images'!B36 = "", "", IF('Additional Images-WUO_ERR'!A36 = "", "Validated", HYPERLINK("#" &amp; ADDRESS(36, 'Additional Images-WUO_TRK'!A36),_xlfn.TEXTAFTER('Additional Images-WUO_ERR'!A36, ":"))))</f>
        <v>0</v>
      </c>
    </row>
    <row r="37" spans="1:1">
      <c r="A37" s="39">
        <f>IF('Additional Images'!B37 = "", "", IF('Additional Images-WUO_ERR'!A37 = "", "Validated", HYPERLINK("#" &amp; ADDRESS(37, 'Additional Images-WUO_TRK'!A37),_xlfn.TEXTAFTER('Additional Images-WUO_ERR'!A37, ":"))))</f>
        <v>0</v>
      </c>
    </row>
    <row r="38" spans="1:1">
      <c r="A38" s="39">
        <f>IF('Additional Images'!B38 = "", "", IF('Additional Images-WUO_ERR'!A38 = "", "Validated", HYPERLINK("#" &amp; ADDRESS(38, 'Additional Images-WUO_TRK'!A38),_xlfn.TEXTAFTER('Additional Images-WUO_ERR'!A38, ":"))))</f>
        <v>0</v>
      </c>
    </row>
    <row r="39" spans="1:1">
      <c r="A39" s="39">
        <f>IF('Additional Images'!B39 = "", "", IF('Additional Images-WUO_ERR'!A39 = "", "Validated", HYPERLINK("#" &amp; ADDRESS(39, 'Additional Images-WUO_TRK'!A39),_xlfn.TEXTAFTER('Additional Images-WUO_ERR'!A39, ":"))))</f>
        <v>0</v>
      </c>
    </row>
    <row r="40" spans="1:1">
      <c r="A40" s="39">
        <f>IF('Additional Images'!B40 = "", "", IF('Additional Images-WUO_ERR'!A40 = "", "Validated", HYPERLINK("#" &amp; ADDRESS(40, 'Additional Images-WUO_TRK'!A40),_xlfn.TEXTAFTER('Additional Images-WUO_ERR'!A40, ":"))))</f>
        <v>0</v>
      </c>
    </row>
    <row r="41" spans="1:1">
      <c r="A41" s="39">
        <f>IF('Additional Images'!B41 = "", "", IF('Additional Images-WUO_ERR'!A41 = "", "Validated", HYPERLINK("#" &amp; ADDRESS(41, 'Additional Images-WUO_TRK'!A41),_xlfn.TEXTAFTER('Additional Images-WUO_ERR'!A41, ":"))))</f>
        <v>0</v>
      </c>
    </row>
    <row r="42" spans="1:1">
      <c r="A42" s="39">
        <f>IF('Additional Images'!B42 = "", "", IF('Additional Images-WUO_ERR'!A42 = "", "Validated", HYPERLINK("#" &amp; ADDRESS(42, 'Additional Images-WUO_TRK'!A42),_xlfn.TEXTAFTER('Additional Images-WUO_ERR'!A42, ":"))))</f>
        <v>0</v>
      </c>
    </row>
    <row r="43" spans="1:1">
      <c r="A43" s="39">
        <f>IF('Additional Images'!B43 = "", "", IF('Additional Images-WUO_ERR'!A43 = "", "Validated", HYPERLINK("#" &amp; ADDRESS(43, 'Additional Images-WUO_TRK'!A43),_xlfn.TEXTAFTER('Additional Images-WUO_ERR'!A43, ":"))))</f>
        <v>0</v>
      </c>
    </row>
    <row r="44" spans="1:1">
      <c r="A44" s="39">
        <f>IF('Additional Images'!B44 = "", "", IF('Additional Images-WUO_ERR'!A44 = "", "Validated", HYPERLINK("#" &amp; ADDRESS(44, 'Additional Images-WUO_TRK'!A44),_xlfn.TEXTAFTER('Additional Images-WUO_ERR'!A44, ":"))))</f>
        <v>0</v>
      </c>
    </row>
    <row r="45" spans="1:1">
      <c r="A45" s="39">
        <f>IF('Additional Images'!B45 = "", "", IF('Additional Images-WUO_ERR'!A45 = "", "Validated", HYPERLINK("#" &amp; ADDRESS(45, 'Additional Images-WUO_TRK'!A45),_xlfn.TEXTAFTER('Additional Images-WUO_ERR'!A45, ":"))))</f>
        <v>0</v>
      </c>
    </row>
    <row r="46" spans="1:1">
      <c r="A46" s="39">
        <f>IF('Additional Images'!B46 = "", "", IF('Additional Images-WUO_ERR'!A46 = "", "Validated", HYPERLINK("#" &amp; ADDRESS(46, 'Additional Images-WUO_TRK'!A46),_xlfn.TEXTAFTER('Additional Images-WUO_ERR'!A46, ":"))))</f>
        <v>0</v>
      </c>
    </row>
    <row r="47" spans="1:1">
      <c r="A47" s="39">
        <f>IF('Additional Images'!B47 = "", "", IF('Additional Images-WUO_ERR'!A47 = "", "Validated", HYPERLINK("#" &amp; ADDRESS(47, 'Additional Images-WUO_TRK'!A47),_xlfn.TEXTAFTER('Additional Images-WUO_ERR'!A47, ":"))))</f>
        <v>0</v>
      </c>
    </row>
    <row r="48" spans="1:1">
      <c r="A48" s="39">
        <f>IF('Additional Images'!B48 = "", "", IF('Additional Images-WUO_ERR'!A48 = "", "Validated", HYPERLINK("#" &amp; ADDRESS(48, 'Additional Images-WUO_TRK'!A48),_xlfn.TEXTAFTER('Additional Images-WUO_ERR'!A48, ":"))))</f>
        <v>0</v>
      </c>
    </row>
    <row r="49" spans="1:1">
      <c r="A49" s="39">
        <f>IF('Additional Images'!B49 = "", "", IF('Additional Images-WUO_ERR'!A49 = "", "Validated", HYPERLINK("#" &amp; ADDRESS(49, 'Additional Images-WUO_TRK'!A49),_xlfn.TEXTAFTER('Additional Images-WUO_ERR'!A49, ":"))))</f>
        <v>0</v>
      </c>
    </row>
    <row r="50" spans="1:1">
      <c r="A50" s="39">
        <f>IF('Additional Images'!B50 = "", "", IF('Additional Images-WUO_ERR'!A50 = "", "Validated", HYPERLINK("#" &amp; ADDRESS(50, 'Additional Images-WUO_TRK'!A50),_xlfn.TEXTAFTER('Additional Images-WUO_ERR'!A50, ":"))))</f>
        <v>0</v>
      </c>
    </row>
    <row r="51" spans="1:1">
      <c r="A51" s="39">
        <f>IF('Additional Images'!B51 = "", "", IF('Additional Images-WUO_ERR'!A51 = "", "Validated", HYPERLINK("#" &amp; ADDRESS(51, 'Additional Images-WUO_TRK'!A51),_xlfn.TEXTAFTER('Additional Images-WUO_ERR'!A51, ":"))))</f>
        <v>0</v>
      </c>
    </row>
    <row r="52" spans="1:1">
      <c r="A52" s="39">
        <f>IF('Additional Images'!B52 = "", "", IF('Additional Images-WUO_ERR'!A52 = "", "Validated", HYPERLINK("#" &amp; ADDRESS(52, 'Additional Images-WUO_TRK'!A52),_xlfn.TEXTAFTER('Additional Images-WUO_ERR'!A52, ":"))))</f>
        <v>0</v>
      </c>
    </row>
    <row r="53" spans="1:1">
      <c r="A53" s="39">
        <f>IF('Additional Images'!B53 = "", "", IF('Additional Images-WUO_ERR'!A53 = "", "Validated", HYPERLINK("#" &amp; ADDRESS(53, 'Additional Images-WUO_TRK'!A53),_xlfn.TEXTAFTER('Additional Images-WUO_ERR'!A53, ":"))))</f>
        <v>0</v>
      </c>
    </row>
    <row r="54" spans="1:1">
      <c r="A54" s="39">
        <f>IF('Additional Images'!B54 = "", "", IF('Additional Images-WUO_ERR'!A54 = "", "Validated", HYPERLINK("#" &amp; ADDRESS(54, 'Additional Images-WUO_TRK'!A54),_xlfn.TEXTAFTER('Additional Images-WUO_ERR'!A54, ":"))))</f>
        <v>0</v>
      </c>
    </row>
    <row r="55" spans="1:1">
      <c r="A55" s="39">
        <f>IF('Additional Images'!B55 = "", "", IF('Additional Images-WUO_ERR'!A55 = "", "Validated", HYPERLINK("#" &amp; ADDRESS(55, 'Additional Images-WUO_TRK'!A55),_xlfn.TEXTAFTER('Additional Images-WUO_ERR'!A55, ":"))))</f>
        <v>0</v>
      </c>
    </row>
    <row r="56" spans="1:1">
      <c r="A56" s="39">
        <f>IF('Additional Images'!B56 = "", "", IF('Additional Images-WUO_ERR'!A56 = "", "Validated", HYPERLINK("#" &amp; ADDRESS(56, 'Additional Images-WUO_TRK'!A56),_xlfn.TEXTAFTER('Additional Images-WUO_ERR'!A56, ":"))))</f>
        <v>0</v>
      </c>
    </row>
    <row r="57" spans="1:1">
      <c r="A57" s="39">
        <f>IF('Additional Images'!B57 = "", "", IF('Additional Images-WUO_ERR'!A57 = "", "Validated", HYPERLINK("#" &amp; ADDRESS(57, 'Additional Images-WUO_TRK'!A57),_xlfn.TEXTAFTER('Additional Images-WUO_ERR'!A57, ":"))))</f>
        <v>0</v>
      </c>
    </row>
    <row r="58" spans="1:1">
      <c r="A58" s="39">
        <f>IF('Additional Images'!B58 = "", "", IF('Additional Images-WUO_ERR'!A58 = "", "Validated", HYPERLINK("#" &amp; ADDRESS(58, 'Additional Images-WUO_TRK'!A58),_xlfn.TEXTAFTER('Additional Images-WUO_ERR'!A58, ":"))))</f>
        <v>0</v>
      </c>
    </row>
    <row r="59" spans="1:1">
      <c r="A59" s="39">
        <f>IF('Additional Images'!B59 = "", "", IF('Additional Images-WUO_ERR'!A59 = "", "Validated", HYPERLINK("#" &amp; ADDRESS(59, 'Additional Images-WUO_TRK'!A59),_xlfn.TEXTAFTER('Additional Images-WUO_ERR'!A59, ":"))))</f>
        <v>0</v>
      </c>
    </row>
    <row r="60" spans="1:1">
      <c r="A60" s="39">
        <f>IF('Additional Images'!B60 = "", "", IF('Additional Images-WUO_ERR'!A60 = "", "Validated", HYPERLINK("#" &amp; ADDRESS(60, 'Additional Images-WUO_TRK'!A60),_xlfn.TEXTAFTER('Additional Images-WUO_ERR'!A60, ":"))))</f>
        <v>0</v>
      </c>
    </row>
    <row r="61" spans="1:1">
      <c r="A61" s="39">
        <f>IF('Additional Images'!B61 = "", "", IF('Additional Images-WUO_ERR'!A61 = "", "Validated", HYPERLINK("#" &amp; ADDRESS(61, 'Additional Images-WUO_TRK'!A61),_xlfn.TEXTAFTER('Additional Images-WUO_ERR'!A61, ":"))))</f>
        <v>0</v>
      </c>
    </row>
    <row r="62" spans="1:1">
      <c r="A62" s="39">
        <f>IF('Additional Images'!B62 = "", "", IF('Additional Images-WUO_ERR'!A62 = "", "Validated", HYPERLINK("#" &amp; ADDRESS(62, 'Additional Images-WUO_TRK'!A62),_xlfn.TEXTAFTER('Additional Images-WUO_ERR'!A62, ":"))))</f>
        <v>0</v>
      </c>
    </row>
    <row r="63" spans="1:1">
      <c r="A63" s="39">
        <f>IF('Additional Images'!B63 = "", "", IF('Additional Images-WUO_ERR'!A63 = "", "Validated", HYPERLINK("#" &amp; ADDRESS(63, 'Additional Images-WUO_TRK'!A63),_xlfn.TEXTAFTER('Additional Images-WUO_ERR'!A63, ":"))))</f>
        <v>0</v>
      </c>
    </row>
    <row r="64" spans="1:1">
      <c r="A64" s="39">
        <f>IF('Additional Images'!B64 = "", "", IF('Additional Images-WUO_ERR'!A64 = "", "Validated", HYPERLINK("#" &amp; ADDRESS(64, 'Additional Images-WUO_TRK'!A64),_xlfn.TEXTAFTER('Additional Images-WUO_ERR'!A64, ":"))))</f>
        <v>0</v>
      </c>
    </row>
    <row r="65" spans="1:1">
      <c r="A65" s="39">
        <f>IF('Additional Images'!B65 = "", "", IF('Additional Images-WUO_ERR'!A65 = "", "Validated", HYPERLINK("#" &amp; ADDRESS(65, 'Additional Images-WUO_TRK'!A65),_xlfn.TEXTAFTER('Additional Images-WUO_ERR'!A65, ":"))))</f>
        <v>0</v>
      </c>
    </row>
    <row r="66" spans="1:1">
      <c r="A66" s="39">
        <f>IF('Additional Images'!B66 = "", "", IF('Additional Images-WUO_ERR'!A66 = "", "Validated", HYPERLINK("#" &amp; ADDRESS(66, 'Additional Images-WUO_TRK'!A66),_xlfn.TEXTAFTER('Additional Images-WUO_ERR'!A66, ":"))))</f>
        <v>0</v>
      </c>
    </row>
    <row r="67" spans="1:1">
      <c r="A67" s="39">
        <f>IF('Additional Images'!B67 = "", "", IF('Additional Images-WUO_ERR'!A67 = "", "Validated", HYPERLINK("#" &amp; ADDRESS(67, 'Additional Images-WUO_TRK'!A67),_xlfn.TEXTAFTER('Additional Images-WUO_ERR'!A67, ":"))))</f>
        <v>0</v>
      </c>
    </row>
    <row r="68" spans="1:1">
      <c r="A68" s="39">
        <f>IF('Additional Images'!B68 = "", "", IF('Additional Images-WUO_ERR'!A68 = "", "Validated", HYPERLINK("#" &amp; ADDRESS(68, 'Additional Images-WUO_TRK'!A68),_xlfn.TEXTAFTER('Additional Images-WUO_ERR'!A68, ":"))))</f>
        <v>0</v>
      </c>
    </row>
    <row r="69" spans="1:1">
      <c r="A69" s="39">
        <f>IF('Additional Images'!B69 = "", "", IF('Additional Images-WUO_ERR'!A69 = "", "Validated", HYPERLINK("#" &amp; ADDRESS(69, 'Additional Images-WUO_TRK'!A69),_xlfn.TEXTAFTER('Additional Images-WUO_ERR'!A69, ":"))))</f>
        <v>0</v>
      </c>
    </row>
    <row r="70" spans="1:1">
      <c r="A70" s="39">
        <f>IF('Additional Images'!B70 = "", "", IF('Additional Images-WUO_ERR'!A70 = "", "Validated", HYPERLINK("#" &amp; ADDRESS(70, 'Additional Images-WUO_TRK'!A70),_xlfn.TEXTAFTER('Additional Images-WUO_ERR'!A70, ":"))))</f>
        <v>0</v>
      </c>
    </row>
    <row r="71" spans="1:1">
      <c r="A71" s="39">
        <f>IF('Additional Images'!B71 = "", "", IF('Additional Images-WUO_ERR'!A71 = "", "Validated", HYPERLINK("#" &amp; ADDRESS(71, 'Additional Images-WUO_TRK'!A71),_xlfn.TEXTAFTER('Additional Images-WUO_ERR'!A71, ":"))))</f>
        <v>0</v>
      </c>
    </row>
    <row r="72" spans="1:1">
      <c r="A72" s="39">
        <f>IF('Additional Images'!B72 = "", "", IF('Additional Images-WUO_ERR'!A72 = "", "Validated", HYPERLINK("#" &amp; ADDRESS(72, 'Additional Images-WUO_TRK'!A72),_xlfn.TEXTAFTER('Additional Images-WUO_ERR'!A72, ":"))))</f>
        <v>0</v>
      </c>
    </row>
    <row r="73" spans="1:1">
      <c r="A73" s="39">
        <f>IF('Additional Images'!B73 = "", "", IF('Additional Images-WUO_ERR'!A73 = "", "Validated", HYPERLINK("#" &amp; ADDRESS(73, 'Additional Images-WUO_TRK'!A73),_xlfn.TEXTAFTER('Additional Images-WUO_ERR'!A73, ":"))))</f>
        <v>0</v>
      </c>
    </row>
    <row r="74" spans="1:1">
      <c r="A74" s="39">
        <f>IF('Additional Images'!B74 = "", "", IF('Additional Images-WUO_ERR'!A74 = "", "Validated", HYPERLINK("#" &amp; ADDRESS(74, 'Additional Images-WUO_TRK'!A74),_xlfn.TEXTAFTER('Additional Images-WUO_ERR'!A74, ":"))))</f>
        <v>0</v>
      </c>
    </row>
    <row r="75" spans="1:1">
      <c r="A75" s="39">
        <f>IF('Additional Images'!B75 = "", "", IF('Additional Images-WUO_ERR'!A75 = "", "Validated", HYPERLINK("#" &amp; ADDRESS(75, 'Additional Images-WUO_TRK'!A75),_xlfn.TEXTAFTER('Additional Images-WUO_ERR'!A75, ":"))))</f>
        <v>0</v>
      </c>
    </row>
    <row r="76" spans="1:1">
      <c r="A76" s="39">
        <f>IF('Additional Images'!B76 = "", "", IF('Additional Images-WUO_ERR'!A76 = "", "Validated", HYPERLINK("#" &amp; ADDRESS(76, 'Additional Images-WUO_TRK'!A76),_xlfn.TEXTAFTER('Additional Images-WUO_ERR'!A76, ":"))))</f>
        <v>0</v>
      </c>
    </row>
    <row r="77" spans="1:1">
      <c r="A77" s="39">
        <f>IF('Additional Images'!B77 = "", "", IF('Additional Images-WUO_ERR'!A77 = "", "Validated", HYPERLINK("#" &amp; ADDRESS(77, 'Additional Images-WUO_TRK'!A77),_xlfn.TEXTAFTER('Additional Images-WUO_ERR'!A77, ":"))))</f>
        <v>0</v>
      </c>
    </row>
    <row r="78" spans="1:1">
      <c r="A78" s="39">
        <f>IF('Additional Images'!B78 = "", "", IF('Additional Images-WUO_ERR'!A78 = "", "Validated", HYPERLINK("#" &amp; ADDRESS(78, 'Additional Images-WUO_TRK'!A78),_xlfn.TEXTAFTER('Additional Images-WUO_ERR'!A78, ":"))))</f>
        <v>0</v>
      </c>
    </row>
    <row r="79" spans="1:1">
      <c r="A79" s="39">
        <f>IF('Additional Images'!B79 = "", "", IF('Additional Images-WUO_ERR'!A79 = "", "Validated", HYPERLINK("#" &amp; ADDRESS(79, 'Additional Images-WUO_TRK'!A79),_xlfn.TEXTAFTER('Additional Images-WUO_ERR'!A79, ":"))))</f>
        <v>0</v>
      </c>
    </row>
    <row r="80" spans="1:1">
      <c r="A80" s="39">
        <f>IF('Additional Images'!B80 = "", "", IF('Additional Images-WUO_ERR'!A80 = "", "Validated", HYPERLINK("#" &amp; ADDRESS(80, 'Additional Images-WUO_TRK'!A80),_xlfn.TEXTAFTER('Additional Images-WUO_ERR'!A80, ":"))))</f>
        <v>0</v>
      </c>
    </row>
    <row r="81" spans="1:1">
      <c r="A81" s="39">
        <f>IF('Additional Images'!B81 = "", "", IF('Additional Images-WUO_ERR'!A81 = "", "Validated", HYPERLINK("#" &amp; ADDRESS(81, 'Additional Images-WUO_TRK'!A81),_xlfn.TEXTAFTER('Additional Images-WUO_ERR'!A81, ":"))))</f>
        <v>0</v>
      </c>
    </row>
    <row r="82" spans="1:1">
      <c r="A82" s="39">
        <f>IF('Additional Images'!B82 = "", "", IF('Additional Images-WUO_ERR'!A82 = "", "Validated", HYPERLINK("#" &amp; ADDRESS(82, 'Additional Images-WUO_TRK'!A82),_xlfn.TEXTAFTER('Additional Images-WUO_ERR'!A82, ":"))))</f>
        <v>0</v>
      </c>
    </row>
    <row r="83" spans="1:1">
      <c r="A83" s="39">
        <f>IF('Additional Images'!B83 = "", "", IF('Additional Images-WUO_ERR'!A83 = "", "Validated", HYPERLINK("#" &amp; ADDRESS(83, 'Additional Images-WUO_TRK'!A83),_xlfn.TEXTAFTER('Additional Images-WUO_ERR'!A83, ":"))))</f>
        <v>0</v>
      </c>
    </row>
    <row r="84" spans="1:1">
      <c r="A84" s="39">
        <f>IF('Additional Images'!B84 = "", "", IF('Additional Images-WUO_ERR'!A84 = "", "Validated", HYPERLINK("#" &amp; ADDRESS(84, 'Additional Images-WUO_TRK'!A84),_xlfn.TEXTAFTER('Additional Images-WUO_ERR'!A84, ":"))))</f>
        <v>0</v>
      </c>
    </row>
    <row r="85" spans="1:1">
      <c r="A85" s="39">
        <f>IF('Additional Images'!B85 = "", "", IF('Additional Images-WUO_ERR'!A85 = "", "Validated", HYPERLINK("#" &amp; ADDRESS(85, 'Additional Images-WUO_TRK'!A85),_xlfn.TEXTAFTER('Additional Images-WUO_ERR'!A85, ":"))))</f>
        <v>0</v>
      </c>
    </row>
    <row r="86" spans="1:1">
      <c r="A86" s="39">
        <f>IF('Additional Images'!B86 = "", "", IF('Additional Images-WUO_ERR'!A86 = "", "Validated", HYPERLINK("#" &amp; ADDRESS(86, 'Additional Images-WUO_TRK'!A86),_xlfn.TEXTAFTER('Additional Images-WUO_ERR'!A86, ":"))))</f>
        <v>0</v>
      </c>
    </row>
    <row r="87" spans="1:1">
      <c r="A87" s="39">
        <f>IF('Additional Images'!B87 = "", "", IF('Additional Images-WUO_ERR'!A87 = "", "Validated", HYPERLINK("#" &amp; ADDRESS(87, 'Additional Images-WUO_TRK'!A87),_xlfn.TEXTAFTER('Additional Images-WUO_ERR'!A87, ":"))))</f>
        <v>0</v>
      </c>
    </row>
    <row r="88" spans="1:1">
      <c r="A88" s="39">
        <f>IF('Additional Images'!B88 = "", "", IF('Additional Images-WUO_ERR'!A88 = "", "Validated", HYPERLINK("#" &amp; ADDRESS(88, 'Additional Images-WUO_TRK'!A88),_xlfn.TEXTAFTER('Additional Images-WUO_ERR'!A88, ":"))))</f>
        <v>0</v>
      </c>
    </row>
    <row r="89" spans="1:1">
      <c r="A89" s="39">
        <f>IF('Additional Images'!B89 = "", "", IF('Additional Images-WUO_ERR'!A89 = "", "Validated", HYPERLINK("#" &amp; ADDRESS(89, 'Additional Images-WUO_TRK'!A89),_xlfn.TEXTAFTER('Additional Images-WUO_ERR'!A89, ":"))))</f>
        <v>0</v>
      </c>
    </row>
    <row r="90" spans="1:1">
      <c r="A90" s="39">
        <f>IF('Additional Images'!B90 = "", "", IF('Additional Images-WUO_ERR'!A90 = "", "Validated", HYPERLINK("#" &amp; ADDRESS(90, 'Additional Images-WUO_TRK'!A90),_xlfn.TEXTAFTER('Additional Images-WUO_ERR'!A90, ":"))))</f>
        <v>0</v>
      </c>
    </row>
    <row r="91" spans="1:1">
      <c r="A91" s="39">
        <f>IF('Additional Images'!B91 = "", "", IF('Additional Images-WUO_ERR'!A91 = "", "Validated", HYPERLINK("#" &amp; ADDRESS(91, 'Additional Images-WUO_TRK'!A91),_xlfn.TEXTAFTER('Additional Images-WUO_ERR'!A91, ":"))))</f>
        <v>0</v>
      </c>
    </row>
    <row r="92" spans="1:1">
      <c r="A92" s="39">
        <f>IF('Additional Images'!B92 = "", "", IF('Additional Images-WUO_ERR'!A92 = "", "Validated", HYPERLINK("#" &amp; ADDRESS(92, 'Additional Images-WUO_TRK'!A92),_xlfn.TEXTAFTER('Additional Images-WUO_ERR'!A92, ":"))))</f>
        <v>0</v>
      </c>
    </row>
    <row r="93" spans="1:1">
      <c r="A93" s="39">
        <f>IF('Additional Images'!B93 = "", "", IF('Additional Images-WUO_ERR'!A93 = "", "Validated", HYPERLINK("#" &amp; ADDRESS(93, 'Additional Images-WUO_TRK'!A93),_xlfn.TEXTAFTER('Additional Images-WUO_ERR'!A93, ":"))))</f>
        <v>0</v>
      </c>
    </row>
    <row r="94" spans="1:1">
      <c r="A94" s="39">
        <f>IF('Additional Images'!B94 = "", "", IF('Additional Images-WUO_ERR'!A94 = "", "Validated", HYPERLINK("#" &amp; ADDRESS(94, 'Additional Images-WUO_TRK'!A94),_xlfn.TEXTAFTER('Additional Images-WUO_ERR'!A94, ":"))))</f>
        <v>0</v>
      </c>
    </row>
    <row r="95" spans="1:1">
      <c r="A95" s="39">
        <f>IF('Additional Images'!B95 = "", "", IF('Additional Images-WUO_ERR'!A95 = "", "Validated", HYPERLINK("#" &amp; ADDRESS(95, 'Additional Images-WUO_TRK'!A95),_xlfn.TEXTAFTER('Additional Images-WUO_ERR'!A95, ":"))))</f>
        <v>0</v>
      </c>
    </row>
    <row r="96" spans="1:1">
      <c r="A96" s="39">
        <f>IF('Additional Images'!B96 = "", "", IF('Additional Images-WUO_ERR'!A96 = "", "Validated", HYPERLINK("#" &amp; ADDRESS(96, 'Additional Images-WUO_TRK'!A96),_xlfn.TEXTAFTER('Additional Images-WUO_ERR'!A96, ":"))))</f>
        <v>0</v>
      </c>
    </row>
    <row r="97" spans="1:1">
      <c r="A97" s="39">
        <f>IF('Additional Images'!B97 = "", "", IF('Additional Images-WUO_ERR'!A97 = "", "Validated", HYPERLINK("#" &amp; ADDRESS(97, 'Additional Images-WUO_TRK'!A97),_xlfn.TEXTAFTER('Additional Images-WUO_ERR'!A97, ":"))))</f>
        <v>0</v>
      </c>
    </row>
    <row r="98" spans="1:1">
      <c r="A98" s="39">
        <f>IF('Additional Images'!B98 = "", "", IF('Additional Images-WUO_ERR'!A98 = "", "Validated", HYPERLINK("#" &amp; ADDRESS(98, 'Additional Images-WUO_TRK'!A98),_xlfn.TEXTAFTER('Additional Images-WUO_ERR'!A98, ":"))))</f>
        <v>0</v>
      </c>
    </row>
    <row r="99" spans="1:1">
      <c r="A99" s="39">
        <f>IF('Additional Images'!B99 = "", "", IF('Additional Images-WUO_ERR'!A99 = "", "Validated", HYPERLINK("#" &amp; ADDRESS(99, 'Additional Images-WUO_TRK'!A99),_xlfn.TEXTAFTER('Additional Images-WUO_ERR'!A99, ":"))))</f>
        <v>0</v>
      </c>
    </row>
    <row r="100" spans="1:1">
      <c r="A100" s="39">
        <f>IF('Additional Images'!B100 = "", "", IF('Additional Images-WUO_ERR'!A100 = "", "Validated", HYPERLINK("#" &amp; ADDRESS(100, 'Additional Images-WUO_TRK'!A100),_xlfn.TEXTAFTER('Additional Images-WUO_ERR'!A100, ":"))))</f>
        <v>0</v>
      </c>
    </row>
    <row r="101" spans="1:1">
      <c r="A101" s="39">
        <f>IF('Additional Images'!B101 = "", "", IF('Additional Images-WUO_ERR'!A101 = "", "Validated", HYPERLINK("#" &amp; ADDRESS(101, 'Additional Images-WUO_TRK'!A101),_xlfn.TEXTAFTER('Additional Images-WUO_ERR'!A101, ":"))))</f>
        <v>0</v>
      </c>
    </row>
    <row r="102" spans="1:1">
      <c r="A102" s="39">
        <f>IF('Additional Images'!B102 = "", "", IF('Additional Images-WUO_ERR'!A102 = "", "Validated", HYPERLINK("#" &amp; ADDRESS(102, 'Additional Images-WUO_TRK'!A102),_xlfn.TEXTAFTER('Additional Images-WUO_ERR'!A102, ":"))))</f>
        <v>0</v>
      </c>
    </row>
    <row r="103" spans="1:1">
      <c r="A103" s="39">
        <f>IF('Additional Images'!B103 = "", "", IF('Additional Images-WUO_ERR'!A103 = "", "Validated", HYPERLINK("#" &amp; ADDRESS(103, 'Additional Images-WUO_TRK'!A103),_xlfn.TEXTAFTER('Additional Images-WUO_ERR'!A103, ":"))))</f>
        <v>0</v>
      </c>
    </row>
    <row r="104" spans="1:1">
      <c r="A104" s="39">
        <f>IF('Additional Images'!B104 = "", "", IF('Additional Images-WUO_ERR'!A104 = "", "Validated", HYPERLINK("#" &amp; ADDRESS(104, 'Additional Images-WUO_TRK'!A104),_xlfn.TEXTAFTER('Additional Images-WUO_ERR'!A104, ":"))))</f>
        <v>0</v>
      </c>
    </row>
    <row r="105" spans="1:1">
      <c r="A105" s="39">
        <f>IF('Additional Images'!B105 = "", "", IF('Additional Images-WUO_ERR'!A105 = "", "Validated", HYPERLINK("#" &amp; ADDRESS(105, 'Additional Images-WUO_TRK'!A105),_xlfn.TEXTAFTER('Additional Images-WUO_ERR'!A105, ":"))))</f>
        <v>0</v>
      </c>
    </row>
    <row r="106" spans="1:1">
      <c r="A106" s="39">
        <f>IF('Additional Images'!B106 = "", "", IF('Additional Images-WUO_ERR'!A106 = "", "Validated", HYPERLINK("#" &amp; ADDRESS(106, 'Additional Images-WUO_TRK'!A106),_xlfn.TEXTAFTER('Additional Images-WUO_ERR'!A106, ":"))))</f>
        <v>0</v>
      </c>
    </row>
    <row r="107" spans="1:1">
      <c r="A107" s="39">
        <f>IF('Additional Images'!B107 = "", "", IF('Additional Images-WUO_ERR'!A107 = "", "Validated", HYPERLINK("#" &amp; ADDRESS(107, 'Additional Images-WUO_TRK'!A107),_xlfn.TEXTAFTER('Additional Images-WUO_ERR'!A107, ":"))))</f>
        <v>0</v>
      </c>
    </row>
    <row r="108" spans="1:1">
      <c r="A108" s="39">
        <f>IF('Additional Images'!B108 = "", "", IF('Additional Images-WUO_ERR'!A108 = "", "Validated", HYPERLINK("#" &amp; ADDRESS(108, 'Additional Images-WUO_TRK'!A108),_xlfn.TEXTAFTER('Additional Images-WUO_ERR'!A108, ":"))))</f>
        <v>0</v>
      </c>
    </row>
    <row r="109" spans="1:1">
      <c r="A109" s="39">
        <f>IF('Additional Images'!B109 = "", "", IF('Additional Images-WUO_ERR'!A109 = "", "Validated", HYPERLINK("#" &amp; ADDRESS(109, 'Additional Images-WUO_TRK'!A109),_xlfn.TEXTAFTER('Additional Images-WUO_ERR'!A109, ":"))))</f>
        <v>0</v>
      </c>
    </row>
    <row r="110" spans="1:1">
      <c r="A110" s="39">
        <f>IF('Additional Images'!B110 = "", "", IF('Additional Images-WUO_ERR'!A110 = "", "Validated", HYPERLINK("#" &amp; ADDRESS(110, 'Additional Images-WUO_TRK'!A110),_xlfn.TEXTAFTER('Additional Images-WUO_ERR'!A110, ":"))))</f>
        <v>0</v>
      </c>
    </row>
    <row r="111" spans="1:1">
      <c r="A111" s="39">
        <f>IF('Additional Images'!B111 = "", "", IF('Additional Images-WUO_ERR'!A111 = "", "Validated", HYPERLINK("#" &amp; ADDRESS(111, 'Additional Images-WUO_TRK'!A111),_xlfn.TEXTAFTER('Additional Images-WUO_ERR'!A111, ":"))))</f>
        <v>0</v>
      </c>
    </row>
    <row r="112" spans="1:1">
      <c r="A112" s="39">
        <f>IF('Additional Images'!B112 = "", "", IF('Additional Images-WUO_ERR'!A112 = "", "Validated", HYPERLINK("#" &amp; ADDRESS(112, 'Additional Images-WUO_TRK'!A112),_xlfn.TEXTAFTER('Additional Images-WUO_ERR'!A112, ":"))))</f>
        <v>0</v>
      </c>
    </row>
    <row r="113" spans="1:1">
      <c r="A113" s="39">
        <f>IF('Additional Images'!B113 = "", "", IF('Additional Images-WUO_ERR'!A113 = "", "Validated", HYPERLINK("#" &amp; ADDRESS(113, 'Additional Images-WUO_TRK'!A113),_xlfn.TEXTAFTER('Additional Images-WUO_ERR'!A113, ":"))))</f>
        <v>0</v>
      </c>
    </row>
    <row r="114" spans="1:1">
      <c r="A114" s="39">
        <f>IF('Additional Images'!B114 = "", "", IF('Additional Images-WUO_ERR'!A114 = "", "Validated", HYPERLINK("#" &amp; ADDRESS(114, 'Additional Images-WUO_TRK'!A114),_xlfn.TEXTAFTER('Additional Images-WUO_ERR'!A114, ":"))))</f>
        <v>0</v>
      </c>
    </row>
    <row r="115" spans="1:1">
      <c r="A115" s="39">
        <f>IF('Additional Images'!B115 = "", "", IF('Additional Images-WUO_ERR'!A115 = "", "Validated", HYPERLINK("#" &amp; ADDRESS(115, 'Additional Images-WUO_TRK'!A115),_xlfn.TEXTAFTER('Additional Images-WUO_ERR'!A115, ":"))))</f>
        <v>0</v>
      </c>
    </row>
    <row r="116" spans="1:1">
      <c r="A116" s="39">
        <f>IF('Additional Images'!B116 = "", "", IF('Additional Images-WUO_ERR'!A116 = "", "Validated", HYPERLINK("#" &amp; ADDRESS(116, 'Additional Images-WUO_TRK'!A116),_xlfn.TEXTAFTER('Additional Images-WUO_ERR'!A116, ":"))))</f>
        <v>0</v>
      </c>
    </row>
    <row r="117" spans="1:1">
      <c r="A117" s="39">
        <f>IF('Additional Images'!B117 = "", "", IF('Additional Images-WUO_ERR'!A117 = "", "Validated", HYPERLINK("#" &amp; ADDRESS(117, 'Additional Images-WUO_TRK'!A117),_xlfn.TEXTAFTER('Additional Images-WUO_ERR'!A117, ":"))))</f>
        <v>0</v>
      </c>
    </row>
    <row r="118" spans="1:1">
      <c r="A118" s="39">
        <f>IF('Additional Images'!B118 = "", "", IF('Additional Images-WUO_ERR'!A118 = "", "Validated", HYPERLINK("#" &amp; ADDRESS(118, 'Additional Images-WUO_TRK'!A118),_xlfn.TEXTAFTER('Additional Images-WUO_ERR'!A118, ":"))))</f>
        <v>0</v>
      </c>
    </row>
    <row r="119" spans="1:1">
      <c r="A119" s="39">
        <f>IF('Additional Images'!B119 = "", "", IF('Additional Images-WUO_ERR'!A119 = "", "Validated", HYPERLINK("#" &amp; ADDRESS(119, 'Additional Images-WUO_TRK'!A119),_xlfn.TEXTAFTER('Additional Images-WUO_ERR'!A119, ":"))))</f>
        <v>0</v>
      </c>
    </row>
    <row r="120" spans="1:1">
      <c r="A120" s="39">
        <f>IF('Additional Images'!B120 = "", "", IF('Additional Images-WUO_ERR'!A120 = "", "Validated", HYPERLINK("#" &amp; ADDRESS(120, 'Additional Images-WUO_TRK'!A120),_xlfn.TEXTAFTER('Additional Images-WUO_ERR'!A120, ":"))))</f>
        <v>0</v>
      </c>
    </row>
    <row r="121" spans="1:1">
      <c r="A121" s="39">
        <f>IF('Additional Images'!B121 = "", "", IF('Additional Images-WUO_ERR'!A121 = "", "Validated", HYPERLINK("#" &amp; ADDRESS(121, 'Additional Images-WUO_TRK'!A121),_xlfn.TEXTAFTER('Additional Images-WUO_ERR'!A121, ":"))))</f>
        <v>0</v>
      </c>
    </row>
    <row r="122" spans="1:1">
      <c r="A122" s="39">
        <f>IF('Additional Images'!B122 = "", "", IF('Additional Images-WUO_ERR'!A122 = "", "Validated", HYPERLINK("#" &amp; ADDRESS(122, 'Additional Images-WUO_TRK'!A122),_xlfn.TEXTAFTER('Additional Images-WUO_ERR'!A122, ":"))))</f>
        <v>0</v>
      </c>
    </row>
    <row r="123" spans="1:1">
      <c r="A123" s="39">
        <f>IF('Additional Images'!B123 = "", "", IF('Additional Images-WUO_ERR'!A123 = "", "Validated", HYPERLINK("#" &amp; ADDRESS(123, 'Additional Images-WUO_TRK'!A123),_xlfn.TEXTAFTER('Additional Images-WUO_ERR'!A123, ":"))))</f>
        <v>0</v>
      </c>
    </row>
    <row r="124" spans="1:1">
      <c r="A124" s="39">
        <f>IF('Additional Images'!B124 = "", "", IF('Additional Images-WUO_ERR'!A124 = "", "Validated", HYPERLINK("#" &amp; ADDRESS(124, 'Additional Images-WUO_TRK'!A124),_xlfn.TEXTAFTER('Additional Images-WUO_ERR'!A124, ":"))))</f>
        <v>0</v>
      </c>
    </row>
    <row r="125" spans="1:1">
      <c r="A125" s="39">
        <f>IF('Additional Images'!B125 = "", "", IF('Additional Images-WUO_ERR'!A125 = "", "Validated", HYPERLINK("#" &amp; ADDRESS(125, 'Additional Images-WUO_TRK'!A125),_xlfn.TEXTAFTER('Additional Images-WUO_ERR'!A125, ":"))))</f>
        <v>0</v>
      </c>
    </row>
    <row r="126" spans="1:1">
      <c r="A126" s="39">
        <f>IF('Additional Images'!B126 = "", "", IF('Additional Images-WUO_ERR'!A126 = "", "Validated", HYPERLINK("#" &amp; ADDRESS(126, 'Additional Images-WUO_TRK'!A126),_xlfn.TEXTAFTER('Additional Images-WUO_ERR'!A126, ":"))))</f>
        <v>0</v>
      </c>
    </row>
    <row r="127" spans="1:1">
      <c r="A127" s="39">
        <f>IF('Additional Images'!B127 = "", "", IF('Additional Images-WUO_ERR'!A127 = "", "Validated", HYPERLINK("#" &amp; ADDRESS(127, 'Additional Images-WUO_TRK'!A127),_xlfn.TEXTAFTER('Additional Images-WUO_ERR'!A127, ":"))))</f>
        <v>0</v>
      </c>
    </row>
    <row r="128" spans="1:1">
      <c r="A128" s="39">
        <f>IF('Additional Images'!B128 = "", "", IF('Additional Images-WUO_ERR'!A128 = "", "Validated", HYPERLINK("#" &amp; ADDRESS(128, 'Additional Images-WUO_TRK'!A128),_xlfn.TEXTAFTER('Additional Images-WUO_ERR'!A128, ":"))))</f>
        <v>0</v>
      </c>
    </row>
    <row r="129" spans="1:1">
      <c r="A129" s="39">
        <f>IF('Additional Images'!B129 = "", "", IF('Additional Images-WUO_ERR'!A129 = "", "Validated", HYPERLINK("#" &amp; ADDRESS(129, 'Additional Images-WUO_TRK'!A129),_xlfn.TEXTAFTER('Additional Images-WUO_ERR'!A129, ":"))))</f>
        <v>0</v>
      </c>
    </row>
    <row r="130" spans="1:1">
      <c r="A130" s="39">
        <f>IF('Additional Images'!B130 = "", "", IF('Additional Images-WUO_ERR'!A130 = "", "Validated", HYPERLINK("#" &amp; ADDRESS(130, 'Additional Images-WUO_TRK'!A130),_xlfn.TEXTAFTER('Additional Images-WUO_ERR'!A130, ":"))))</f>
        <v>0</v>
      </c>
    </row>
    <row r="131" spans="1:1">
      <c r="A131" s="39">
        <f>IF('Additional Images'!B131 = "", "", IF('Additional Images-WUO_ERR'!A131 = "", "Validated", HYPERLINK("#" &amp; ADDRESS(131, 'Additional Images-WUO_TRK'!A131),_xlfn.TEXTAFTER('Additional Images-WUO_ERR'!A131, ":"))))</f>
        <v>0</v>
      </c>
    </row>
    <row r="132" spans="1:1">
      <c r="A132" s="39">
        <f>IF('Additional Images'!B132 = "", "", IF('Additional Images-WUO_ERR'!A132 = "", "Validated", HYPERLINK("#" &amp; ADDRESS(132, 'Additional Images-WUO_TRK'!A132),_xlfn.TEXTAFTER('Additional Images-WUO_ERR'!A132, ":"))))</f>
        <v>0</v>
      </c>
    </row>
    <row r="133" spans="1:1">
      <c r="A133" s="39">
        <f>IF('Additional Images'!B133 = "", "", IF('Additional Images-WUO_ERR'!A133 = "", "Validated", HYPERLINK("#" &amp; ADDRESS(133, 'Additional Images-WUO_TRK'!A133),_xlfn.TEXTAFTER('Additional Images-WUO_ERR'!A133, ":"))))</f>
        <v>0</v>
      </c>
    </row>
    <row r="134" spans="1:1">
      <c r="A134" s="39">
        <f>IF('Additional Images'!B134 = "", "", IF('Additional Images-WUO_ERR'!A134 = "", "Validated", HYPERLINK("#" &amp; ADDRESS(134, 'Additional Images-WUO_TRK'!A134),_xlfn.TEXTAFTER('Additional Images-WUO_ERR'!A134, ":"))))</f>
        <v>0</v>
      </c>
    </row>
    <row r="135" spans="1:1">
      <c r="A135" s="39">
        <f>IF('Additional Images'!B135 = "", "", IF('Additional Images-WUO_ERR'!A135 = "", "Validated", HYPERLINK("#" &amp; ADDRESS(135, 'Additional Images-WUO_TRK'!A135),_xlfn.TEXTAFTER('Additional Images-WUO_ERR'!A135, ":"))))</f>
        <v>0</v>
      </c>
    </row>
    <row r="136" spans="1:1">
      <c r="A136" s="39">
        <f>IF('Additional Images'!B136 = "", "", IF('Additional Images-WUO_ERR'!A136 = "", "Validated", HYPERLINK("#" &amp; ADDRESS(136, 'Additional Images-WUO_TRK'!A136),_xlfn.TEXTAFTER('Additional Images-WUO_ERR'!A136, ":"))))</f>
        <v>0</v>
      </c>
    </row>
    <row r="137" spans="1:1">
      <c r="A137" s="39">
        <f>IF('Additional Images'!B137 = "", "", IF('Additional Images-WUO_ERR'!A137 = "", "Validated", HYPERLINK("#" &amp; ADDRESS(137, 'Additional Images-WUO_TRK'!A137),_xlfn.TEXTAFTER('Additional Images-WUO_ERR'!A137, ":"))))</f>
        <v>0</v>
      </c>
    </row>
    <row r="138" spans="1:1">
      <c r="A138" s="39">
        <f>IF('Additional Images'!B138 = "", "", IF('Additional Images-WUO_ERR'!A138 = "", "Validated", HYPERLINK("#" &amp; ADDRESS(138, 'Additional Images-WUO_TRK'!A138),_xlfn.TEXTAFTER('Additional Images-WUO_ERR'!A138, ":"))))</f>
        <v>0</v>
      </c>
    </row>
    <row r="139" spans="1:1">
      <c r="A139" s="39">
        <f>IF('Additional Images'!B139 = "", "", IF('Additional Images-WUO_ERR'!A139 = "", "Validated", HYPERLINK("#" &amp; ADDRESS(139, 'Additional Images-WUO_TRK'!A139),_xlfn.TEXTAFTER('Additional Images-WUO_ERR'!A139, ":"))))</f>
        <v>0</v>
      </c>
    </row>
    <row r="140" spans="1:1">
      <c r="A140" s="39">
        <f>IF('Additional Images'!B140 = "", "", IF('Additional Images-WUO_ERR'!A140 = "", "Validated", HYPERLINK("#" &amp; ADDRESS(140, 'Additional Images-WUO_TRK'!A140),_xlfn.TEXTAFTER('Additional Images-WUO_ERR'!A140, ":"))))</f>
        <v>0</v>
      </c>
    </row>
    <row r="141" spans="1:1">
      <c r="A141" s="39">
        <f>IF('Additional Images'!B141 = "", "", IF('Additional Images-WUO_ERR'!A141 = "", "Validated", HYPERLINK("#" &amp; ADDRESS(141, 'Additional Images-WUO_TRK'!A141),_xlfn.TEXTAFTER('Additional Images-WUO_ERR'!A141, ":"))))</f>
        <v>0</v>
      </c>
    </row>
    <row r="142" spans="1:1">
      <c r="A142" s="39">
        <f>IF('Additional Images'!B142 = "", "", IF('Additional Images-WUO_ERR'!A142 = "", "Validated", HYPERLINK("#" &amp; ADDRESS(142, 'Additional Images-WUO_TRK'!A142),_xlfn.TEXTAFTER('Additional Images-WUO_ERR'!A142, ":"))))</f>
        <v>0</v>
      </c>
    </row>
    <row r="143" spans="1:1">
      <c r="A143" s="39">
        <f>IF('Additional Images'!B143 = "", "", IF('Additional Images-WUO_ERR'!A143 = "", "Validated", HYPERLINK("#" &amp; ADDRESS(143, 'Additional Images-WUO_TRK'!A143),_xlfn.TEXTAFTER('Additional Images-WUO_ERR'!A143, ":"))))</f>
        <v>0</v>
      </c>
    </row>
    <row r="144" spans="1:1">
      <c r="A144" s="39">
        <f>IF('Additional Images'!B144 = "", "", IF('Additional Images-WUO_ERR'!A144 = "", "Validated", HYPERLINK("#" &amp; ADDRESS(144, 'Additional Images-WUO_TRK'!A144),_xlfn.TEXTAFTER('Additional Images-WUO_ERR'!A144, ":"))))</f>
        <v>0</v>
      </c>
    </row>
    <row r="145" spans="1:1">
      <c r="A145" s="39">
        <f>IF('Additional Images'!B145 = "", "", IF('Additional Images-WUO_ERR'!A145 = "", "Validated", HYPERLINK("#" &amp; ADDRESS(145, 'Additional Images-WUO_TRK'!A145),_xlfn.TEXTAFTER('Additional Images-WUO_ERR'!A145, ":"))))</f>
        <v>0</v>
      </c>
    </row>
    <row r="146" spans="1:1">
      <c r="A146" s="39">
        <f>IF('Additional Images'!B146 = "", "", IF('Additional Images-WUO_ERR'!A146 = "", "Validated", HYPERLINK("#" &amp; ADDRESS(146, 'Additional Images-WUO_TRK'!A146),_xlfn.TEXTAFTER('Additional Images-WUO_ERR'!A146, ":"))))</f>
        <v>0</v>
      </c>
    </row>
    <row r="147" spans="1:1">
      <c r="A147" s="39">
        <f>IF('Additional Images'!B147 = "", "", IF('Additional Images-WUO_ERR'!A147 = "", "Validated", HYPERLINK("#" &amp; ADDRESS(147, 'Additional Images-WUO_TRK'!A147),_xlfn.TEXTAFTER('Additional Images-WUO_ERR'!A147, ":"))))</f>
        <v>0</v>
      </c>
    </row>
    <row r="148" spans="1:1">
      <c r="A148" s="39">
        <f>IF('Additional Images'!B148 = "", "", IF('Additional Images-WUO_ERR'!A148 = "", "Validated", HYPERLINK("#" &amp; ADDRESS(148, 'Additional Images-WUO_TRK'!A148),_xlfn.TEXTAFTER('Additional Images-WUO_ERR'!A148, ":"))))</f>
        <v>0</v>
      </c>
    </row>
    <row r="149" spans="1:1">
      <c r="A149" s="39">
        <f>IF('Additional Images'!B149 = "", "", IF('Additional Images-WUO_ERR'!A149 = "", "Validated", HYPERLINK("#" &amp; ADDRESS(149, 'Additional Images-WUO_TRK'!A149),_xlfn.TEXTAFTER('Additional Images-WUO_ERR'!A149, ":"))))</f>
        <v>0</v>
      </c>
    </row>
    <row r="150" spans="1:1">
      <c r="A150" s="39">
        <f>IF('Additional Images'!B150 = "", "", IF('Additional Images-WUO_ERR'!A150 = "", "Validated", HYPERLINK("#" &amp; ADDRESS(150, 'Additional Images-WUO_TRK'!A150),_xlfn.TEXTAFTER('Additional Images-WUO_ERR'!A150, ":"))))</f>
        <v>0</v>
      </c>
    </row>
    <row r="151" spans="1:1">
      <c r="A151" s="39">
        <f>IF('Additional Images'!B151 = "", "", IF('Additional Images-WUO_ERR'!A151 = "", "Validated", HYPERLINK("#" &amp; ADDRESS(151, 'Additional Images-WUO_TRK'!A151),_xlfn.TEXTAFTER('Additional Images-WUO_ERR'!A151, ":"))))</f>
        <v>0</v>
      </c>
    </row>
    <row r="152" spans="1:1">
      <c r="A152" s="39">
        <f>IF('Additional Images'!B152 = "", "", IF('Additional Images-WUO_ERR'!A152 = "", "Validated", HYPERLINK("#" &amp; ADDRESS(152, 'Additional Images-WUO_TRK'!A152),_xlfn.TEXTAFTER('Additional Images-WUO_ERR'!A152, ":"))))</f>
        <v>0</v>
      </c>
    </row>
    <row r="153" spans="1:1">
      <c r="A153" s="39">
        <f>IF('Additional Images'!B153 = "", "", IF('Additional Images-WUO_ERR'!A153 = "", "Validated", HYPERLINK("#" &amp; ADDRESS(153, 'Additional Images-WUO_TRK'!A153),_xlfn.TEXTAFTER('Additional Images-WUO_ERR'!A153, ":"))))</f>
        <v>0</v>
      </c>
    </row>
    <row r="154" spans="1:1">
      <c r="A154" s="39">
        <f>IF('Additional Images'!B154 = "", "", IF('Additional Images-WUO_ERR'!A154 = "", "Validated", HYPERLINK("#" &amp; ADDRESS(154, 'Additional Images-WUO_TRK'!A154),_xlfn.TEXTAFTER('Additional Images-WUO_ERR'!A154, ":"))))</f>
        <v>0</v>
      </c>
    </row>
    <row r="155" spans="1:1">
      <c r="A155" s="39">
        <f>IF('Additional Images'!B155 = "", "", IF('Additional Images-WUO_ERR'!A155 = "", "Validated", HYPERLINK("#" &amp; ADDRESS(155, 'Additional Images-WUO_TRK'!A155),_xlfn.TEXTAFTER('Additional Images-WUO_ERR'!A155, ":"))))</f>
        <v>0</v>
      </c>
    </row>
    <row r="156" spans="1:1">
      <c r="A156" s="39">
        <f>IF('Additional Images'!B156 = "", "", IF('Additional Images-WUO_ERR'!A156 = "", "Validated", HYPERLINK("#" &amp; ADDRESS(156, 'Additional Images-WUO_TRK'!A156),_xlfn.TEXTAFTER('Additional Images-WUO_ERR'!A156, ":"))))</f>
        <v>0</v>
      </c>
    </row>
    <row r="157" spans="1:1">
      <c r="A157" s="39">
        <f>IF('Additional Images'!B157 = "", "", IF('Additional Images-WUO_ERR'!A157 = "", "Validated", HYPERLINK("#" &amp; ADDRESS(157, 'Additional Images-WUO_TRK'!A157),_xlfn.TEXTAFTER('Additional Images-WUO_ERR'!A157, ":"))))</f>
        <v>0</v>
      </c>
    </row>
    <row r="158" spans="1:1">
      <c r="A158" s="39">
        <f>IF('Additional Images'!B158 = "", "", IF('Additional Images-WUO_ERR'!A158 = "", "Validated", HYPERLINK("#" &amp; ADDRESS(158, 'Additional Images-WUO_TRK'!A158),_xlfn.TEXTAFTER('Additional Images-WUO_ERR'!A158, ":"))))</f>
        <v>0</v>
      </c>
    </row>
    <row r="159" spans="1:1">
      <c r="A159" s="39">
        <f>IF('Additional Images'!B159 = "", "", IF('Additional Images-WUO_ERR'!A159 = "", "Validated", HYPERLINK("#" &amp; ADDRESS(159, 'Additional Images-WUO_TRK'!A159),_xlfn.TEXTAFTER('Additional Images-WUO_ERR'!A159, ":"))))</f>
        <v>0</v>
      </c>
    </row>
    <row r="160" spans="1:1">
      <c r="A160" s="39">
        <f>IF('Additional Images'!B160 = "", "", IF('Additional Images-WUO_ERR'!A160 = "", "Validated", HYPERLINK("#" &amp; ADDRESS(160, 'Additional Images-WUO_TRK'!A160),_xlfn.TEXTAFTER('Additional Images-WUO_ERR'!A160, ":"))))</f>
        <v>0</v>
      </c>
    </row>
    <row r="161" spans="1:1">
      <c r="A161" s="39">
        <f>IF('Additional Images'!B161 = "", "", IF('Additional Images-WUO_ERR'!A161 = "", "Validated", HYPERLINK("#" &amp; ADDRESS(161, 'Additional Images-WUO_TRK'!A161),_xlfn.TEXTAFTER('Additional Images-WUO_ERR'!A161, ":"))))</f>
        <v>0</v>
      </c>
    </row>
    <row r="162" spans="1:1">
      <c r="A162" s="39">
        <f>IF('Additional Images'!B162 = "", "", IF('Additional Images-WUO_ERR'!A162 = "", "Validated", HYPERLINK("#" &amp; ADDRESS(162, 'Additional Images-WUO_TRK'!A162),_xlfn.TEXTAFTER('Additional Images-WUO_ERR'!A162, ":"))))</f>
        <v>0</v>
      </c>
    </row>
    <row r="163" spans="1:1">
      <c r="A163" s="39">
        <f>IF('Additional Images'!B163 = "", "", IF('Additional Images-WUO_ERR'!A163 = "", "Validated", HYPERLINK("#" &amp; ADDRESS(163, 'Additional Images-WUO_TRK'!A163),_xlfn.TEXTAFTER('Additional Images-WUO_ERR'!A163, ":"))))</f>
        <v>0</v>
      </c>
    </row>
    <row r="164" spans="1:1">
      <c r="A164" s="39">
        <f>IF('Additional Images'!B164 = "", "", IF('Additional Images-WUO_ERR'!A164 = "", "Validated", HYPERLINK("#" &amp; ADDRESS(164, 'Additional Images-WUO_TRK'!A164),_xlfn.TEXTAFTER('Additional Images-WUO_ERR'!A164, ":"))))</f>
        <v>0</v>
      </c>
    </row>
    <row r="165" spans="1:1">
      <c r="A165" s="39">
        <f>IF('Additional Images'!B165 = "", "", IF('Additional Images-WUO_ERR'!A165 = "", "Validated", HYPERLINK("#" &amp; ADDRESS(165, 'Additional Images-WUO_TRK'!A165),_xlfn.TEXTAFTER('Additional Images-WUO_ERR'!A165, ":"))))</f>
        <v>0</v>
      </c>
    </row>
    <row r="166" spans="1:1">
      <c r="A166" s="39">
        <f>IF('Additional Images'!B166 = "", "", IF('Additional Images-WUO_ERR'!A166 = "", "Validated", HYPERLINK("#" &amp; ADDRESS(166, 'Additional Images-WUO_TRK'!A166),_xlfn.TEXTAFTER('Additional Images-WUO_ERR'!A166, ":"))))</f>
        <v>0</v>
      </c>
    </row>
    <row r="167" spans="1:1">
      <c r="A167" s="39">
        <f>IF('Additional Images'!B167 = "", "", IF('Additional Images-WUO_ERR'!A167 = "", "Validated", HYPERLINK("#" &amp; ADDRESS(167, 'Additional Images-WUO_TRK'!A167),_xlfn.TEXTAFTER('Additional Images-WUO_ERR'!A167, ":"))))</f>
        <v>0</v>
      </c>
    </row>
    <row r="168" spans="1:1">
      <c r="A168" s="39">
        <f>IF('Additional Images'!B168 = "", "", IF('Additional Images-WUO_ERR'!A168 = "", "Validated", HYPERLINK("#" &amp; ADDRESS(168, 'Additional Images-WUO_TRK'!A168),_xlfn.TEXTAFTER('Additional Images-WUO_ERR'!A168, ":"))))</f>
        <v>0</v>
      </c>
    </row>
    <row r="169" spans="1:1">
      <c r="A169" s="39">
        <f>IF('Additional Images'!B169 = "", "", IF('Additional Images-WUO_ERR'!A169 = "", "Validated", HYPERLINK("#" &amp; ADDRESS(169, 'Additional Images-WUO_TRK'!A169),_xlfn.TEXTAFTER('Additional Images-WUO_ERR'!A169, ":"))))</f>
        <v>0</v>
      </c>
    </row>
    <row r="170" spans="1:1">
      <c r="A170" s="39">
        <f>IF('Additional Images'!B170 = "", "", IF('Additional Images-WUO_ERR'!A170 = "", "Validated", HYPERLINK("#" &amp; ADDRESS(170, 'Additional Images-WUO_TRK'!A170),_xlfn.TEXTAFTER('Additional Images-WUO_ERR'!A170, ":"))))</f>
        <v>0</v>
      </c>
    </row>
    <row r="171" spans="1:1">
      <c r="A171" s="39">
        <f>IF('Additional Images'!B171 = "", "", IF('Additional Images-WUO_ERR'!A171 = "", "Validated", HYPERLINK("#" &amp; ADDRESS(171, 'Additional Images-WUO_TRK'!A171),_xlfn.TEXTAFTER('Additional Images-WUO_ERR'!A171, ":"))))</f>
        <v>0</v>
      </c>
    </row>
    <row r="172" spans="1:1">
      <c r="A172" s="39">
        <f>IF('Additional Images'!B172 = "", "", IF('Additional Images-WUO_ERR'!A172 = "", "Validated", HYPERLINK("#" &amp; ADDRESS(172, 'Additional Images-WUO_TRK'!A172),_xlfn.TEXTAFTER('Additional Images-WUO_ERR'!A172, ":"))))</f>
        <v>0</v>
      </c>
    </row>
    <row r="173" spans="1:1">
      <c r="A173" s="39">
        <f>IF('Additional Images'!B173 = "", "", IF('Additional Images-WUO_ERR'!A173 = "", "Validated", HYPERLINK("#" &amp; ADDRESS(173, 'Additional Images-WUO_TRK'!A173),_xlfn.TEXTAFTER('Additional Images-WUO_ERR'!A173, ":"))))</f>
        <v>0</v>
      </c>
    </row>
    <row r="174" spans="1:1">
      <c r="A174" s="39">
        <f>IF('Additional Images'!B174 = "", "", IF('Additional Images-WUO_ERR'!A174 = "", "Validated", HYPERLINK("#" &amp; ADDRESS(174, 'Additional Images-WUO_TRK'!A174),_xlfn.TEXTAFTER('Additional Images-WUO_ERR'!A174, ":"))))</f>
        <v>0</v>
      </c>
    </row>
    <row r="175" spans="1:1">
      <c r="A175" s="39">
        <f>IF('Additional Images'!B175 = "", "", IF('Additional Images-WUO_ERR'!A175 = "", "Validated", HYPERLINK("#" &amp; ADDRESS(175, 'Additional Images-WUO_TRK'!A175),_xlfn.TEXTAFTER('Additional Images-WUO_ERR'!A175, ":"))))</f>
        <v>0</v>
      </c>
    </row>
    <row r="176" spans="1:1">
      <c r="A176" s="39">
        <f>IF('Additional Images'!B176 = "", "", IF('Additional Images-WUO_ERR'!A176 = "", "Validated", HYPERLINK("#" &amp; ADDRESS(176, 'Additional Images-WUO_TRK'!A176),_xlfn.TEXTAFTER('Additional Images-WUO_ERR'!A176, ":"))))</f>
        <v>0</v>
      </c>
    </row>
    <row r="177" spans="1:1">
      <c r="A177" s="39">
        <f>IF('Additional Images'!B177 = "", "", IF('Additional Images-WUO_ERR'!A177 = "", "Validated", HYPERLINK("#" &amp; ADDRESS(177, 'Additional Images-WUO_TRK'!A177),_xlfn.TEXTAFTER('Additional Images-WUO_ERR'!A177, ":"))))</f>
        <v>0</v>
      </c>
    </row>
    <row r="178" spans="1:1">
      <c r="A178" s="39">
        <f>IF('Additional Images'!B178 = "", "", IF('Additional Images-WUO_ERR'!A178 = "", "Validated", HYPERLINK("#" &amp; ADDRESS(178, 'Additional Images-WUO_TRK'!A178),_xlfn.TEXTAFTER('Additional Images-WUO_ERR'!A178, ":"))))</f>
        <v>0</v>
      </c>
    </row>
    <row r="179" spans="1:1">
      <c r="A179" s="39">
        <f>IF('Additional Images'!B179 = "", "", IF('Additional Images-WUO_ERR'!A179 = "", "Validated", HYPERLINK("#" &amp; ADDRESS(179, 'Additional Images-WUO_TRK'!A179),_xlfn.TEXTAFTER('Additional Images-WUO_ERR'!A179, ":"))))</f>
        <v>0</v>
      </c>
    </row>
    <row r="180" spans="1:1">
      <c r="A180" s="39">
        <f>IF('Additional Images'!B180 = "", "", IF('Additional Images-WUO_ERR'!A180 = "", "Validated", HYPERLINK("#" &amp; ADDRESS(180, 'Additional Images-WUO_TRK'!A180),_xlfn.TEXTAFTER('Additional Images-WUO_ERR'!A180, ":"))))</f>
        <v>0</v>
      </c>
    </row>
    <row r="181" spans="1:1">
      <c r="A181" s="39">
        <f>IF('Additional Images'!B181 = "", "", IF('Additional Images-WUO_ERR'!A181 = "", "Validated", HYPERLINK("#" &amp; ADDRESS(181, 'Additional Images-WUO_TRK'!A181),_xlfn.TEXTAFTER('Additional Images-WUO_ERR'!A181, ":"))))</f>
        <v>0</v>
      </c>
    </row>
    <row r="182" spans="1:1">
      <c r="A182" s="39">
        <f>IF('Additional Images'!B182 = "", "", IF('Additional Images-WUO_ERR'!A182 = "", "Validated", HYPERLINK("#" &amp; ADDRESS(182, 'Additional Images-WUO_TRK'!A182),_xlfn.TEXTAFTER('Additional Images-WUO_ERR'!A182, ":"))))</f>
        <v>0</v>
      </c>
    </row>
    <row r="183" spans="1:1">
      <c r="A183" s="39">
        <f>IF('Additional Images'!B183 = "", "", IF('Additional Images-WUO_ERR'!A183 = "", "Validated", HYPERLINK("#" &amp; ADDRESS(183, 'Additional Images-WUO_TRK'!A183),_xlfn.TEXTAFTER('Additional Images-WUO_ERR'!A183, ":"))))</f>
        <v>0</v>
      </c>
    </row>
    <row r="184" spans="1:1">
      <c r="A184" s="39">
        <f>IF('Additional Images'!B184 = "", "", IF('Additional Images-WUO_ERR'!A184 = "", "Validated", HYPERLINK("#" &amp; ADDRESS(184, 'Additional Images-WUO_TRK'!A184),_xlfn.TEXTAFTER('Additional Images-WUO_ERR'!A184, ":"))))</f>
        <v>0</v>
      </c>
    </row>
    <row r="185" spans="1:1">
      <c r="A185" s="39">
        <f>IF('Additional Images'!B185 = "", "", IF('Additional Images-WUO_ERR'!A185 = "", "Validated", HYPERLINK("#" &amp; ADDRESS(185, 'Additional Images-WUO_TRK'!A185),_xlfn.TEXTAFTER('Additional Images-WUO_ERR'!A185, ":"))))</f>
        <v>0</v>
      </c>
    </row>
    <row r="186" spans="1:1">
      <c r="A186" s="39">
        <f>IF('Additional Images'!B186 = "", "", IF('Additional Images-WUO_ERR'!A186 = "", "Validated", HYPERLINK("#" &amp; ADDRESS(186, 'Additional Images-WUO_TRK'!A186),_xlfn.TEXTAFTER('Additional Images-WUO_ERR'!A186, ":"))))</f>
        <v>0</v>
      </c>
    </row>
    <row r="187" spans="1:1">
      <c r="A187" s="39">
        <f>IF('Additional Images'!B187 = "", "", IF('Additional Images-WUO_ERR'!A187 = "", "Validated", HYPERLINK("#" &amp; ADDRESS(187, 'Additional Images-WUO_TRK'!A187),_xlfn.TEXTAFTER('Additional Images-WUO_ERR'!A187, ":"))))</f>
        <v>0</v>
      </c>
    </row>
    <row r="188" spans="1:1">
      <c r="A188" s="39">
        <f>IF('Additional Images'!B188 = "", "", IF('Additional Images-WUO_ERR'!A188 = "", "Validated", HYPERLINK("#" &amp; ADDRESS(188, 'Additional Images-WUO_TRK'!A188),_xlfn.TEXTAFTER('Additional Images-WUO_ERR'!A188, ":"))))</f>
        <v>0</v>
      </c>
    </row>
    <row r="189" spans="1:1">
      <c r="A189" s="39">
        <f>IF('Additional Images'!B189 = "", "", IF('Additional Images-WUO_ERR'!A189 = "", "Validated", HYPERLINK("#" &amp; ADDRESS(189, 'Additional Images-WUO_TRK'!A189),_xlfn.TEXTAFTER('Additional Images-WUO_ERR'!A189, ":"))))</f>
        <v>0</v>
      </c>
    </row>
    <row r="190" spans="1:1">
      <c r="A190" s="39">
        <f>IF('Additional Images'!B190 = "", "", IF('Additional Images-WUO_ERR'!A190 = "", "Validated", HYPERLINK("#" &amp; ADDRESS(190, 'Additional Images-WUO_TRK'!A190),_xlfn.TEXTAFTER('Additional Images-WUO_ERR'!A190, ":"))))</f>
        <v>0</v>
      </c>
    </row>
    <row r="191" spans="1:1">
      <c r="A191" s="39">
        <f>IF('Additional Images'!B191 = "", "", IF('Additional Images-WUO_ERR'!A191 = "", "Validated", HYPERLINK("#" &amp; ADDRESS(191, 'Additional Images-WUO_TRK'!A191),_xlfn.TEXTAFTER('Additional Images-WUO_ERR'!A191, ":"))))</f>
        <v>0</v>
      </c>
    </row>
    <row r="192" spans="1:1">
      <c r="A192" s="39">
        <f>IF('Additional Images'!B192 = "", "", IF('Additional Images-WUO_ERR'!A192 = "", "Validated", HYPERLINK("#" &amp; ADDRESS(192, 'Additional Images-WUO_TRK'!A192),_xlfn.TEXTAFTER('Additional Images-WUO_ERR'!A192, ":"))))</f>
        <v>0</v>
      </c>
    </row>
    <row r="193" spans="1:1">
      <c r="A193" s="39">
        <f>IF('Additional Images'!B193 = "", "", IF('Additional Images-WUO_ERR'!A193 = "", "Validated", HYPERLINK("#" &amp; ADDRESS(193, 'Additional Images-WUO_TRK'!A193),_xlfn.TEXTAFTER('Additional Images-WUO_ERR'!A193, ":"))))</f>
        <v>0</v>
      </c>
    </row>
    <row r="194" spans="1:1">
      <c r="A194" s="39">
        <f>IF('Additional Images'!B194 = "", "", IF('Additional Images-WUO_ERR'!A194 = "", "Validated", HYPERLINK("#" &amp; ADDRESS(194, 'Additional Images-WUO_TRK'!A194),_xlfn.TEXTAFTER('Additional Images-WUO_ERR'!A194, ":"))))</f>
        <v>0</v>
      </c>
    </row>
    <row r="195" spans="1:1">
      <c r="A195" s="39">
        <f>IF('Additional Images'!B195 = "", "", IF('Additional Images-WUO_ERR'!A195 = "", "Validated", HYPERLINK("#" &amp; ADDRESS(195, 'Additional Images-WUO_TRK'!A195),_xlfn.TEXTAFTER('Additional Images-WUO_ERR'!A195, ":"))))</f>
        <v>0</v>
      </c>
    </row>
    <row r="196" spans="1:1">
      <c r="A196" s="39">
        <f>IF('Additional Images'!B196 = "", "", IF('Additional Images-WUO_ERR'!A196 = "", "Validated", HYPERLINK("#" &amp; ADDRESS(196, 'Additional Images-WUO_TRK'!A196),_xlfn.TEXTAFTER('Additional Images-WUO_ERR'!A196, ":"))))</f>
        <v>0</v>
      </c>
    </row>
    <row r="197" spans="1:1">
      <c r="A197" s="39">
        <f>IF('Additional Images'!B197 = "", "", IF('Additional Images-WUO_ERR'!A197 = "", "Validated", HYPERLINK("#" &amp; ADDRESS(197, 'Additional Images-WUO_TRK'!A197),_xlfn.TEXTAFTER('Additional Images-WUO_ERR'!A197, ":"))))</f>
        <v>0</v>
      </c>
    </row>
    <row r="198" spans="1:1">
      <c r="A198" s="39">
        <f>IF('Additional Images'!B198 = "", "", IF('Additional Images-WUO_ERR'!A198 = "", "Validated", HYPERLINK("#" &amp; ADDRESS(198, 'Additional Images-WUO_TRK'!A198),_xlfn.TEXTAFTER('Additional Images-WUO_ERR'!A198, ":"))))</f>
        <v>0</v>
      </c>
    </row>
    <row r="199" spans="1:1">
      <c r="A199" s="39">
        <f>IF('Additional Images'!B199 = "", "", IF('Additional Images-WUO_ERR'!A199 = "", "Validated", HYPERLINK("#" &amp; ADDRESS(199, 'Additional Images-WUO_TRK'!A199),_xlfn.TEXTAFTER('Additional Images-WUO_ERR'!A199, ":"))))</f>
        <v>0</v>
      </c>
    </row>
    <row r="200" spans="1:1">
      <c r="A200" s="39">
        <f>IF('Additional Images'!B200 = "", "", IF('Additional Images-WUO_ERR'!A200 = "", "Validated", HYPERLINK("#" &amp; ADDRESS(200, 'Additional Images-WUO_TRK'!A200),_xlfn.TEXTAFTER('Additional Images-WUO_ERR'!A200, ":"))))</f>
        <v>0</v>
      </c>
    </row>
    <row r="201" spans="1:1">
      <c r="A201" s="39">
        <f>IF('Additional Images'!B201 = "", "", IF('Additional Images-WUO_ERR'!A201 = "", "Validated", HYPERLINK("#" &amp; ADDRESS(201, 'Additional Images-WUO_TRK'!A201),_xlfn.TEXTAFTER('Additional Images-WUO_ERR'!A201, ":"))))</f>
        <v>0</v>
      </c>
    </row>
    <row r="202" spans="1:1">
      <c r="A202" s="39">
        <f>IF('Additional Images'!B202 = "", "", IF('Additional Images-WUO_ERR'!A202 = "", "Validated", HYPERLINK("#" &amp; ADDRESS(202, 'Additional Images-WUO_TRK'!A202),_xlfn.TEXTAFTER('Additional Images-WUO_ERR'!A202, ":"))))</f>
        <v>0</v>
      </c>
    </row>
    <row r="203" spans="1:1">
      <c r="A203" s="39">
        <f>IF('Additional Images'!B203 = "", "", IF('Additional Images-WUO_ERR'!A203 = "", "Validated", HYPERLINK("#" &amp; ADDRESS(203, 'Additional Images-WUO_TRK'!A203),_xlfn.TEXTAFTER('Additional Images-WUO_ERR'!A203, ":"))))</f>
        <v>0</v>
      </c>
    </row>
    <row r="204" spans="1:1">
      <c r="A204" s="39">
        <f>IF('Additional Images'!B204 = "", "", IF('Additional Images-WUO_ERR'!A204 = "", "Validated", HYPERLINK("#" &amp; ADDRESS(204, 'Additional Images-WUO_TRK'!A204),_xlfn.TEXTAFTER('Additional Images-WUO_ERR'!A204, ":"))))</f>
        <v>0</v>
      </c>
    </row>
    <row r="205" spans="1:1">
      <c r="A205" s="39">
        <f>IF('Additional Images'!B205 = "", "", IF('Additional Images-WUO_ERR'!A205 = "", "Validated", HYPERLINK("#" &amp; ADDRESS(205, 'Additional Images-WUO_TRK'!A205),_xlfn.TEXTAFTER('Additional Images-WUO_ERR'!A205, ":"))))</f>
        <v>0</v>
      </c>
    </row>
    <row r="206" spans="1:1">
      <c r="A206" s="39">
        <f>IF('Additional Images'!B206 = "", "", IF('Additional Images-WUO_ERR'!A206 = "", "Validated", HYPERLINK("#" &amp; ADDRESS(206, 'Additional Images-WUO_TRK'!A206),_xlfn.TEXTAFTER('Additional Images-WUO_ERR'!A206, ":"))))</f>
        <v>0</v>
      </c>
    </row>
    <row r="207" spans="1:1">
      <c r="A207" s="39">
        <f>IF('Additional Images'!B207 = "", "", IF('Additional Images-WUO_ERR'!A207 = "", "Validated", HYPERLINK("#" &amp; ADDRESS(207, 'Additional Images-WUO_TRK'!A207),_xlfn.TEXTAFTER('Additional Images-WUO_ERR'!A207, ":"))))</f>
        <v>0</v>
      </c>
    </row>
    <row r="208" spans="1:1">
      <c r="A208" s="39">
        <f>IF('Additional Images'!B208 = "", "", IF('Additional Images-WUO_ERR'!A208 = "", "Validated", HYPERLINK("#" &amp; ADDRESS(208, 'Additional Images-WUO_TRK'!A208),_xlfn.TEXTAFTER('Additional Images-WUO_ERR'!A208, ":"))))</f>
        <v>0</v>
      </c>
    </row>
    <row r="209" spans="1:1">
      <c r="A209" s="39">
        <f>IF('Additional Images'!B209 = "", "", IF('Additional Images-WUO_ERR'!A209 = "", "Validated", HYPERLINK("#" &amp; ADDRESS(209, 'Additional Images-WUO_TRK'!A209),_xlfn.TEXTAFTER('Additional Images-WUO_ERR'!A209, ":"))))</f>
        <v>0</v>
      </c>
    </row>
    <row r="210" spans="1:1">
      <c r="A210" s="39">
        <f>IF('Additional Images'!B210 = "", "", IF('Additional Images-WUO_ERR'!A210 = "", "Validated", HYPERLINK("#" &amp; ADDRESS(210, 'Additional Images-WUO_TRK'!A210),_xlfn.TEXTAFTER('Additional Images-WUO_ERR'!A210, ":"))))</f>
        <v>0</v>
      </c>
    </row>
    <row r="211" spans="1:1">
      <c r="A211" s="39">
        <f>IF('Additional Images'!B211 = "", "", IF('Additional Images-WUO_ERR'!A211 = "", "Validated", HYPERLINK("#" &amp; ADDRESS(211, 'Additional Images-WUO_TRK'!A211),_xlfn.TEXTAFTER('Additional Images-WUO_ERR'!A211, ":"))))</f>
        <v>0</v>
      </c>
    </row>
    <row r="212" spans="1:1">
      <c r="A212" s="39">
        <f>IF('Additional Images'!B212 = "", "", IF('Additional Images-WUO_ERR'!A212 = "", "Validated", HYPERLINK("#" &amp; ADDRESS(212, 'Additional Images-WUO_TRK'!A212),_xlfn.TEXTAFTER('Additional Images-WUO_ERR'!A212, ":"))))</f>
        <v>0</v>
      </c>
    </row>
    <row r="213" spans="1:1">
      <c r="A213" s="39">
        <f>IF('Additional Images'!B213 = "", "", IF('Additional Images-WUO_ERR'!A213 = "", "Validated", HYPERLINK("#" &amp; ADDRESS(213, 'Additional Images-WUO_TRK'!A213),_xlfn.TEXTAFTER('Additional Images-WUO_ERR'!A213, ":"))))</f>
        <v>0</v>
      </c>
    </row>
    <row r="214" spans="1:1">
      <c r="A214" s="39">
        <f>IF('Additional Images'!B214 = "", "", IF('Additional Images-WUO_ERR'!A214 = "", "Validated", HYPERLINK("#" &amp; ADDRESS(214, 'Additional Images-WUO_TRK'!A214),_xlfn.TEXTAFTER('Additional Images-WUO_ERR'!A214, ":"))))</f>
        <v>0</v>
      </c>
    </row>
    <row r="215" spans="1:1">
      <c r="A215" s="39">
        <f>IF('Additional Images'!B215 = "", "", IF('Additional Images-WUO_ERR'!A215 = "", "Validated", HYPERLINK("#" &amp; ADDRESS(215, 'Additional Images-WUO_TRK'!A215),_xlfn.TEXTAFTER('Additional Images-WUO_ERR'!A215, ":"))))</f>
        <v>0</v>
      </c>
    </row>
    <row r="216" spans="1:1">
      <c r="A216" s="39">
        <f>IF('Additional Images'!B216 = "", "", IF('Additional Images-WUO_ERR'!A216 = "", "Validated", HYPERLINK("#" &amp; ADDRESS(216, 'Additional Images-WUO_TRK'!A216),_xlfn.TEXTAFTER('Additional Images-WUO_ERR'!A216, ":"))))</f>
        <v>0</v>
      </c>
    </row>
    <row r="217" spans="1:1">
      <c r="A217" s="39">
        <f>IF('Additional Images'!B217 = "", "", IF('Additional Images-WUO_ERR'!A217 = "", "Validated", HYPERLINK("#" &amp; ADDRESS(217, 'Additional Images-WUO_TRK'!A217),_xlfn.TEXTAFTER('Additional Images-WUO_ERR'!A217, ":"))))</f>
        <v>0</v>
      </c>
    </row>
    <row r="218" spans="1:1">
      <c r="A218" s="39">
        <f>IF('Additional Images'!B218 = "", "", IF('Additional Images-WUO_ERR'!A218 = "", "Validated", HYPERLINK("#" &amp; ADDRESS(218, 'Additional Images-WUO_TRK'!A218),_xlfn.TEXTAFTER('Additional Images-WUO_ERR'!A218, ":"))))</f>
        <v>0</v>
      </c>
    </row>
    <row r="219" spans="1:1">
      <c r="A219" s="39">
        <f>IF('Additional Images'!B219 = "", "", IF('Additional Images-WUO_ERR'!A219 = "", "Validated", HYPERLINK("#" &amp; ADDRESS(219, 'Additional Images-WUO_TRK'!A219),_xlfn.TEXTAFTER('Additional Images-WUO_ERR'!A219, ":"))))</f>
        <v>0</v>
      </c>
    </row>
    <row r="220" spans="1:1">
      <c r="A220" s="39">
        <f>IF('Additional Images'!B220 = "", "", IF('Additional Images-WUO_ERR'!A220 = "", "Validated", HYPERLINK("#" &amp; ADDRESS(220, 'Additional Images-WUO_TRK'!A220),_xlfn.TEXTAFTER('Additional Images-WUO_ERR'!A220, ":"))))</f>
        <v>0</v>
      </c>
    </row>
    <row r="221" spans="1:1">
      <c r="A221" s="39">
        <f>IF('Additional Images'!B221 = "", "", IF('Additional Images-WUO_ERR'!A221 = "", "Validated", HYPERLINK("#" &amp; ADDRESS(221, 'Additional Images-WUO_TRK'!A221),_xlfn.TEXTAFTER('Additional Images-WUO_ERR'!A221, ":"))))</f>
        <v>0</v>
      </c>
    </row>
    <row r="222" spans="1:1">
      <c r="A222" s="39">
        <f>IF('Additional Images'!B222 = "", "", IF('Additional Images-WUO_ERR'!A222 = "", "Validated", HYPERLINK("#" &amp; ADDRESS(222, 'Additional Images-WUO_TRK'!A222),_xlfn.TEXTAFTER('Additional Images-WUO_ERR'!A222, ":"))))</f>
        <v>0</v>
      </c>
    </row>
    <row r="223" spans="1:1">
      <c r="A223" s="39">
        <f>IF('Additional Images'!B223 = "", "", IF('Additional Images-WUO_ERR'!A223 = "", "Validated", HYPERLINK("#" &amp; ADDRESS(223, 'Additional Images-WUO_TRK'!A223),_xlfn.TEXTAFTER('Additional Images-WUO_ERR'!A223, ":"))))</f>
        <v>0</v>
      </c>
    </row>
    <row r="224" spans="1:1">
      <c r="A224" s="39">
        <f>IF('Additional Images'!B224 = "", "", IF('Additional Images-WUO_ERR'!A224 = "", "Validated", HYPERLINK("#" &amp; ADDRESS(224, 'Additional Images-WUO_TRK'!A224),_xlfn.TEXTAFTER('Additional Images-WUO_ERR'!A224, ":"))))</f>
        <v>0</v>
      </c>
    </row>
    <row r="225" spans="1:1">
      <c r="A225" s="39">
        <f>IF('Additional Images'!B225 = "", "", IF('Additional Images-WUO_ERR'!A225 = "", "Validated", HYPERLINK("#" &amp; ADDRESS(225, 'Additional Images-WUO_TRK'!A225),_xlfn.TEXTAFTER('Additional Images-WUO_ERR'!A225, ":"))))</f>
        <v>0</v>
      </c>
    </row>
    <row r="226" spans="1:1">
      <c r="A226" s="39">
        <f>IF('Additional Images'!B226 = "", "", IF('Additional Images-WUO_ERR'!A226 = "", "Validated", HYPERLINK("#" &amp; ADDRESS(226, 'Additional Images-WUO_TRK'!A226),_xlfn.TEXTAFTER('Additional Images-WUO_ERR'!A226, ":"))))</f>
        <v>0</v>
      </c>
    </row>
    <row r="227" spans="1:1">
      <c r="A227" s="39">
        <f>IF('Additional Images'!B227 = "", "", IF('Additional Images-WUO_ERR'!A227 = "", "Validated", HYPERLINK("#" &amp; ADDRESS(227, 'Additional Images-WUO_TRK'!A227),_xlfn.TEXTAFTER('Additional Images-WUO_ERR'!A227, ":"))))</f>
        <v>0</v>
      </c>
    </row>
    <row r="228" spans="1:1">
      <c r="A228" s="39">
        <f>IF('Additional Images'!B228 = "", "", IF('Additional Images-WUO_ERR'!A228 = "", "Validated", HYPERLINK("#" &amp; ADDRESS(228, 'Additional Images-WUO_TRK'!A228),_xlfn.TEXTAFTER('Additional Images-WUO_ERR'!A228, ":"))))</f>
        <v>0</v>
      </c>
    </row>
    <row r="229" spans="1:1">
      <c r="A229" s="39">
        <f>IF('Additional Images'!B229 = "", "", IF('Additional Images-WUO_ERR'!A229 = "", "Validated", HYPERLINK("#" &amp; ADDRESS(229, 'Additional Images-WUO_TRK'!A229),_xlfn.TEXTAFTER('Additional Images-WUO_ERR'!A229, ":"))))</f>
        <v>0</v>
      </c>
    </row>
    <row r="230" spans="1:1">
      <c r="A230" s="39">
        <f>IF('Additional Images'!B230 = "", "", IF('Additional Images-WUO_ERR'!A230 = "", "Validated", HYPERLINK("#" &amp; ADDRESS(230, 'Additional Images-WUO_TRK'!A230),_xlfn.TEXTAFTER('Additional Images-WUO_ERR'!A230, ":"))))</f>
        <v>0</v>
      </c>
    </row>
    <row r="231" spans="1:1">
      <c r="A231" s="39">
        <f>IF('Additional Images'!B231 = "", "", IF('Additional Images-WUO_ERR'!A231 = "", "Validated", HYPERLINK("#" &amp; ADDRESS(231, 'Additional Images-WUO_TRK'!A231),_xlfn.TEXTAFTER('Additional Images-WUO_ERR'!A231, ":"))))</f>
        <v>0</v>
      </c>
    </row>
    <row r="232" spans="1:1">
      <c r="A232" s="39">
        <f>IF('Additional Images'!B232 = "", "", IF('Additional Images-WUO_ERR'!A232 = "", "Validated", HYPERLINK("#" &amp; ADDRESS(232, 'Additional Images-WUO_TRK'!A232),_xlfn.TEXTAFTER('Additional Images-WUO_ERR'!A232, ":"))))</f>
        <v>0</v>
      </c>
    </row>
    <row r="233" spans="1:1">
      <c r="A233" s="39">
        <f>IF('Additional Images'!B233 = "", "", IF('Additional Images-WUO_ERR'!A233 = "", "Validated", HYPERLINK("#" &amp; ADDRESS(233, 'Additional Images-WUO_TRK'!A233),_xlfn.TEXTAFTER('Additional Images-WUO_ERR'!A233, ":"))))</f>
        <v>0</v>
      </c>
    </row>
    <row r="234" spans="1:1">
      <c r="A234" s="39">
        <f>IF('Additional Images'!B234 = "", "", IF('Additional Images-WUO_ERR'!A234 = "", "Validated", HYPERLINK("#" &amp; ADDRESS(234, 'Additional Images-WUO_TRK'!A234),_xlfn.TEXTAFTER('Additional Images-WUO_ERR'!A234, ":"))))</f>
        <v>0</v>
      </c>
    </row>
    <row r="235" spans="1:1">
      <c r="A235" s="39">
        <f>IF('Additional Images'!B235 = "", "", IF('Additional Images-WUO_ERR'!A235 = "", "Validated", HYPERLINK("#" &amp; ADDRESS(235, 'Additional Images-WUO_TRK'!A235),_xlfn.TEXTAFTER('Additional Images-WUO_ERR'!A235, ":"))))</f>
        <v>0</v>
      </c>
    </row>
    <row r="236" spans="1:1">
      <c r="A236" s="39">
        <f>IF('Additional Images'!B236 = "", "", IF('Additional Images-WUO_ERR'!A236 = "", "Validated", HYPERLINK("#" &amp; ADDRESS(236, 'Additional Images-WUO_TRK'!A236),_xlfn.TEXTAFTER('Additional Images-WUO_ERR'!A236, ":"))))</f>
        <v>0</v>
      </c>
    </row>
    <row r="237" spans="1:1">
      <c r="A237" s="39">
        <f>IF('Additional Images'!B237 = "", "", IF('Additional Images-WUO_ERR'!A237 = "", "Validated", HYPERLINK("#" &amp; ADDRESS(237, 'Additional Images-WUO_TRK'!A237),_xlfn.TEXTAFTER('Additional Images-WUO_ERR'!A237, ":"))))</f>
        <v>0</v>
      </c>
    </row>
    <row r="238" spans="1:1">
      <c r="A238" s="39">
        <f>IF('Additional Images'!B238 = "", "", IF('Additional Images-WUO_ERR'!A238 = "", "Validated", HYPERLINK("#" &amp; ADDRESS(238, 'Additional Images-WUO_TRK'!A238),_xlfn.TEXTAFTER('Additional Images-WUO_ERR'!A238, ":"))))</f>
        <v>0</v>
      </c>
    </row>
    <row r="239" spans="1:1">
      <c r="A239" s="39">
        <f>IF('Additional Images'!B239 = "", "", IF('Additional Images-WUO_ERR'!A239 = "", "Validated", HYPERLINK("#" &amp; ADDRESS(239, 'Additional Images-WUO_TRK'!A239),_xlfn.TEXTAFTER('Additional Images-WUO_ERR'!A239, ":"))))</f>
        <v>0</v>
      </c>
    </row>
    <row r="240" spans="1:1">
      <c r="A240" s="39">
        <f>IF('Additional Images'!B240 = "", "", IF('Additional Images-WUO_ERR'!A240 = "", "Validated", HYPERLINK("#" &amp; ADDRESS(240, 'Additional Images-WUO_TRK'!A240),_xlfn.TEXTAFTER('Additional Images-WUO_ERR'!A240, ":"))))</f>
        <v>0</v>
      </c>
    </row>
    <row r="241" spans="1:1">
      <c r="A241" s="39">
        <f>IF('Additional Images'!B241 = "", "", IF('Additional Images-WUO_ERR'!A241 = "", "Validated", HYPERLINK("#" &amp; ADDRESS(241, 'Additional Images-WUO_TRK'!A241),_xlfn.TEXTAFTER('Additional Images-WUO_ERR'!A241, ":"))))</f>
        <v>0</v>
      </c>
    </row>
    <row r="242" spans="1:1">
      <c r="A242" s="39">
        <f>IF('Additional Images'!B242 = "", "", IF('Additional Images-WUO_ERR'!A242 = "", "Validated", HYPERLINK("#" &amp; ADDRESS(242, 'Additional Images-WUO_TRK'!A242),_xlfn.TEXTAFTER('Additional Images-WUO_ERR'!A242, ":"))))</f>
        <v>0</v>
      </c>
    </row>
    <row r="243" spans="1:1">
      <c r="A243" s="39">
        <f>IF('Additional Images'!B243 = "", "", IF('Additional Images-WUO_ERR'!A243 = "", "Validated", HYPERLINK("#" &amp; ADDRESS(243, 'Additional Images-WUO_TRK'!A243),_xlfn.TEXTAFTER('Additional Images-WUO_ERR'!A243, ":"))))</f>
        <v>0</v>
      </c>
    </row>
    <row r="244" spans="1:1">
      <c r="A244" s="39">
        <f>IF('Additional Images'!B244 = "", "", IF('Additional Images-WUO_ERR'!A244 = "", "Validated", HYPERLINK("#" &amp; ADDRESS(244, 'Additional Images-WUO_TRK'!A244),_xlfn.TEXTAFTER('Additional Images-WUO_ERR'!A244, ":"))))</f>
        <v>0</v>
      </c>
    </row>
    <row r="245" spans="1:1">
      <c r="A245" s="39">
        <f>IF('Additional Images'!B245 = "", "", IF('Additional Images-WUO_ERR'!A245 = "", "Validated", HYPERLINK("#" &amp; ADDRESS(245, 'Additional Images-WUO_TRK'!A245),_xlfn.TEXTAFTER('Additional Images-WUO_ERR'!A245, ":"))))</f>
        <v>0</v>
      </c>
    </row>
    <row r="246" spans="1:1">
      <c r="A246" s="39">
        <f>IF('Additional Images'!B246 = "", "", IF('Additional Images-WUO_ERR'!A246 = "", "Validated", HYPERLINK("#" &amp; ADDRESS(246, 'Additional Images-WUO_TRK'!A246),_xlfn.TEXTAFTER('Additional Images-WUO_ERR'!A246, ":"))))</f>
        <v>0</v>
      </c>
    </row>
    <row r="247" spans="1:1">
      <c r="A247" s="39">
        <f>IF('Additional Images'!B247 = "", "", IF('Additional Images-WUO_ERR'!A247 = "", "Validated", HYPERLINK("#" &amp; ADDRESS(247, 'Additional Images-WUO_TRK'!A247),_xlfn.TEXTAFTER('Additional Images-WUO_ERR'!A247, ":"))))</f>
        <v>0</v>
      </c>
    </row>
    <row r="248" spans="1:1">
      <c r="A248" s="39">
        <f>IF('Additional Images'!B248 = "", "", IF('Additional Images-WUO_ERR'!A248 = "", "Validated", HYPERLINK("#" &amp; ADDRESS(248, 'Additional Images-WUO_TRK'!A248),_xlfn.TEXTAFTER('Additional Images-WUO_ERR'!A248, ":"))))</f>
        <v>0</v>
      </c>
    </row>
    <row r="249" spans="1:1">
      <c r="A249" s="39">
        <f>IF('Additional Images'!B249 = "", "", IF('Additional Images-WUO_ERR'!A249 = "", "Validated", HYPERLINK("#" &amp; ADDRESS(249, 'Additional Images-WUO_TRK'!A249),_xlfn.TEXTAFTER('Additional Images-WUO_ERR'!A249, ":"))))</f>
        <v>0</v>
      </c>
    </row>
    <row r="250" spans="1:1">
      <c r="A250" s="39">
        <f>IF('Additional Images'!B250 = "", "", IF('Additional Images-WUO_ERR'!A250 = "", "Validated", HYPERLINK("#" &amp; ADDRESS(250, 'Additional Images-WUO_TRK'!A250),_xlfn.TEXTAFTER('Additional Images-WUO_ERR'!A250, ":"))))</f>
        <v>0</v>
      </c>
    </row>
    <row r="251" spans="1:1">
      <c r="A251" s="39">
        <f>IF('Additional Images'!B251 = "", "", IF('Additional Images-WUO_ERR'!A251 = "", "Validated", HYPERLINK("#" &amp; ADDRESS(251, 'Additional Images-WUO_TRK'!A251),_xlfn.TEXTAFTER('Additional Images-WUO_ERR'!A251, ":"))))</f>
        <v>0</v>
      </c>
    </row>
    <row r="252" spans="1:1">
      <c r="A252" s="39">
        <f>IF('Additional Images'!B252 = "", "", IF('Additional Images-WUO_ERR'!A252 = "", "Validated", HYPERLINK("#" &amp; ADDRESS(252, 'Additional Images-WUO_TRK'!A252),_xlfn.TEXTAFTER('Additional Images-WUO_ERR'!A252, ":"))))</f>
        <v>0</v>
      </c>
    </row>
    <row r="253" spans="1:1">
      <c r="A253" s="39">
        <f>IF('Additional Images'!B253 = "", "", IF('Additional Images-WUO_ERR'!A253 = "", "Validated", HYPERLINK("#" &amp; ADDRESS(253, 'Additional Images-WUO_TRK'!A253),_xlfn.TEXTAFTER('Additional Images-WUO_ERR'!A253, ":"))))</f>
        <v>0</v>
      </c>
    </row>
    <row r="254" spans="1:1">
      <c r="A254" s="39">
        <f>IF('Additional Images'!B254 = "", "", IF('Additional Images-WUO_ERR'!A254 = "", "Validated", HYPERLINK("#" &amp; ADDRESS(254, 'Additional Images-WUO_TRK'!A254),_xlfn.TEXTAFTER('Additional Images-WUO_ERR'!A254, ":"))))</f>
        <v>0</v>
      </c>
    </row>
    <row r="255" spans="1:1">
      <c r="A255" s="39">
        <f>IF('Additional Images'!B255 = "", "", IF('Additional Images-WUO_ERR'!A255 = "", "Validated", HYPERLINK("#" &amp; ADDRESS(255, 'Additional Images-WUO_TRK'!A255),_xlfn.TEXTAFTER('Additional Images-WUO_ERR'!A255, ":"))))</f>
        <v>0</v>
      </c>
    </row>
    <row r="256" spans="1:1">
      <c r="A256" s="39">
        <f>IF('Additional Images'!B256 = "", "", IF('Additional Images-WUO_ERR'!A256 = "", "Validated", HYPERLINK("#" &amp; ADDRESS(256, 'Additional Images-WUO_TRK'!A256),_xlfn.TEXTAFTER('Additional Images-WUO_ERR'!A256, ":"))))</f>
        <v>0</v>
      </c>
    </row>
    <row r="257" spans="1:1">
      <c r="A257" s="39">
        <f>IF('Additional Images'!B257 = "", "", IF('Additional Images-WUO_ERR'!A257 = "", "Validated", HYPERLINK("#" &amp; ADDRESS(257, 'Additional Images-WUO_TRK'!A257),_xlfn.TEXTAFTER('Additional Images-WUO_ERR'!A257, ":"))))</f>
        <v>0</v>
      </c>
    </row>
    <row r="258" spans="1:1">
      <c r="A258" s="39">
        <f>IF('Additional Images'!B258 = "", "", IF('Additional Images-WUO_ERR'!A258 = "", "Validated", HYPERLINK("#" &amp; ADDRESS(258, 'Additional Images-WUO_TRK'!A258),_xlfn.TEXTAFTER('Additional Images-WUO_ERR'!A258, ":"))))</f>
        <v>0</v>
      </c>
    </row>
    <row r="259" spans="1:1">
      <c r="A259" s="39">
        <f>IF('Additional Images'!B259 = "", "", IF('Additional Images-WUO_ERR'!A259 = "", "Validated", HYPERLINK("#" &amp; ADDRESS(259, 'Additional Images-WUO_TRK'!A259),_xlfn.TEXTAFTER('Additional Images-WUO_ERR'!A259, ":"))))</f>
        <v>0</v>
      </c>
    </row>
    <row r="260" spans="1:1">
      <c r="A260" s="39">
        <f>IF('Additional Images'!B260 = "", "", IF('Additional Images-WUO_ERR'!A260 = "", "Validated", HYPERLINK("#" &amp; ADDRESS(260, 'Additional Images-WUO_TRK'!A260),_xlfn.TEXTAFTER('Additional Images-WUO_ERR'!A260, ":"))))</f>
        <v>0</v>
      </c>
    </row>
    <row r="261" spans="1:1">
      <c r="A261" s="39">
        <f>IF('Additional Images'!B261 = "", "", IF('Additional Images-WUO_ERR'!A261 = "", "Validated", HYPERLINK("#" &amp; ADDRESS(261, 'Additional Images-WUO_TRK'!A261),_xlfn.TEXTAFTER('Additional Images-WUO_ERR'!A261, ":"))))</f>
        <v>0</v>
      </c>
    </row>
    <row r="262" spans="1:1">
      <c r="A262" s="39">
        <f>IF('Additional Images'!B262 = "", "", IF('Additional Images-WUO_ERR'!A262 = "", "Validated", HYPERLINK("#" &amp; ADDRESS(262, 'Additional Images-WUO_TRK'!A262),_xlfn.TEXTAFTER('Additional Images-WUO_ERR'!A262, ":"))))</f>
        <v>0</v>
      </c>
    </row>
    <row r="263" spans="1:1">
      <c r="A263" s="39">
        <f>IF('Additional Images'!B263 = "", "", IF('Additional Images-WUO_ERR'!A263 = "", "Validated", HYPERLINK("#" &amp; ADDRESS(263, 'Additional Images-WUO_TRK'!A263),_xlfn.TEXTAFTER('Additional Images-WUO_ERR'!A263, ":"))))</f>
        <v>0</v>
      </c>
    </row>
    <row r="264" spans="1:1">
      <c r="A264" s="39">
        <f>IF('Additional Images'!B264 = "", "", IF('Additional Images-WUO_ERR'!A264 = "", "Validated", HYPERLINK("#" &amp; ADDRESS(264, 'Additional Images-WUO_TRK'!A264),_xlfn.TEXTAFTER('Additional Images-WUO_ERR'!A264, ":"))))</f>
        <v>0</v>
      </c>
    </row>
    <row r="265" spans="1:1">
      <c r="A265" s="39">
        <f>IF('Additional Images'!B265 = "", "", IF('Additional Images-WUO_ERR'!A265 = "", "Validated", HYPERLINK("#" &amp; ADDRESS(265, 'Additional Images-WUO_TRK'!A265),_xlfn.TEXTAFTER('Additional Images-WUO_ERR'!A265, ":"))))</f>
        <v>0</v>
      </c>
    </row>
    <row r="266" spans="1:1">
      <c r="A266" s="39">
        <f>IF('Additional Images'!B266 = "", "", IF('Additional Images-WUO_ERR'!A266 = "", "Validated", HYPERLINK("#" &amp; ADDRESS(266, 'Additional Images-WUO_TRK'!A266),_xlfn.TEXTAFTER('Additional Images-WUO_ERR'!A266, ":"))))</f>
        <v>0</v>
      </c>
    </row>
    <row r="267" spans="1:1">
      <c r="A267" s="39">
        <f>IF('Additional Images'!B267 = "", "", IF('Additional Images-WUO_ERR'!A267 = "", "Validated", HYPERLINK("#" &amp; ADDRESS(267, 'Additional Images-WUO_TRK'!A267),_xlfn.TEXTAFTER('Additional Images-WUO_ERR'!A267, ":"))))</f>
        <v>0</v>
      </c>
    </row>
    <row r="268" spans="1:1">
      <c r="A268" s="39">
        <f>IF('Additional Images'!B268 = "", "", IF('Additional Images-WUO_ERR'!A268 = "", "Validated", HYPERLINK("#" &amp; ADDRESS(268, 'Additional Images-WUO_TRK'!A268),_xlfn.TEXTAFTER('Additional Images-WUO_ERR'!A268, ":"))))</f>
        <v>0</v>
      </c>
    </row>
    <row r="269" spans="1:1">
      <c r="A269" s="39">
        <f>IF('Additional Images'!B269 = "", "", IF('Additional Images-WUO_ERR'!A269 = "", "Validated", HYPERLINK("#" &amp; ADDRESS(269, 'Additional Images-WUO_TRK'!A269),_xlfn.TEXTAFTER('Additional Images-WUO_ERR'!A269, ":"))))</f>
        <v>0</v>
      </c>
    </row>
    <row r="270" spans="1:1">
      <c r="A270" s="39">
        <f>IF('Additional Images'!B270 = "", "", IF('Additional Images-WUO_ERR'!A270 = "", "Validated", HYPERLINK("#" &amp; ADDRESS(270, 'Additional Images-WUO_TRK'!A270),_xlfn.TEXTAFTER('Additional Images-WUO_ERR'!A270, ":"))))</f>
        <v>0</v>
      </c>
    </row>
    <row r="271" spans="1:1">
      <c r="A271" s="39">
        <f>IF('Additional Images'!B271 = "", "", IF('Additional Images-WUO_ERR'!A271 = "", "Validated", HYPERLINK("#" &amp; ADDRESS(271, 'Additional Images-WUO_TRK'!A271),_xlfn.TEXTAFTER('Additional Images-WUO_ERR'!A271, ":"))))</f>
        <v>0</v>
      </c>
    </row>
    <row r="272" spans="1:1">
      <c r="A272" s="39">
        <f>IF('Additional Images'!B272 = "", "", IF('Additional Images-WUO_ERR'!A272 = "", "Validated", HYPERLINK("#" &amp; ADDRESS(272, 'Additional Images-WUO_TRK'!A272),_xlfn.TEXTAFTER('Additional Images-WUO_ERR'!A272, ":"))))</f>
        <v>0</v>
      </c>
    </row>
    <row r="273" spans="1:1">
      <c r="A273" s="39">
        <f>IF('Additional Images'!B273 = "", "", IF('Additional Images-WUO_ERR'!A273 = "", "Validated", HYPERLINK("#" &amp; ADDRESS(273, 'Additional Images-WUO_TRK'!A273),_xlfn.TEXTAFTER('Additional Images-WUO_ERR'!A273, ":"))))</f>
        <v>0</v>
      </c>
    </row>
    <row r="274" spans="1:1">
      <c r="A274" s="39">
        <f>IF('Additional Images'!B274 = "", "", IF('Additional Images-WUO_ERR'!A274 = "", "Validated", HYPERLINK("#" &amp; ADDRESS(274, 'Additional Images-WUO_TRK'!A274),_xlfn.TEXTAFTER('Additional Images-WUO_ERR'!A274, ":"))))</f>
        <v>0</v>
      </c>
    </row>
    <row r="275" spans="1:1">
      <c r="A275" s="39">
        <f>IF('Additional Images'!B275 = "", "", IF('Additional Images-WUO_ERR'!A275 = "", "Validated", HYPERLINK("#" &amp; ADDRESS(275, 'Additional Images-WUO_TRK'!A275),_xlfn.TEXTAFTER('Additional Images-WUO_ERR'!A275, ":"))))</f>
        <v>0</v>
      </c>
    </row>
    <row r="276" spans="1:1">
      <c r="A276" s="39">
        <f>IF('Additional Images'!B276 = "", "", IF('Additional Images-WUO_ERR'!A276 = "", "Validated", HYPERLINK("#" &amp; ADDRESS(276, 'Additional Images-WUO_TRK'!A276),_xlfn.TEXTAFTER('Additional Images-WUO_ERR'!A276, ":"))))</f>
        <v>0</v>
      </c>
    </row>
    <row r="277" spans="1:1">
      <c r="A277" s="39">
        <f>IF('Additional Images'!B277 = "", "", IF('Additional Images-WUO_ERR'!A277 = "", "Validated", HYPERLINK("#" &amp; ADDRESS(277, 'Additional Images-WUO_TRK'!A277),_xlfn.TEXTAFTER('Additional Images-WUO_ERR'!A277, ":"))))</f>
        <v>0</v>
      </c>
    </row>
    <row r="278" spans="1:1">
      <c r="A278" s="39">
        <f>IF('Additional Images'!B278 = "", "", IF('Additional Images-WUO_ERR'!A278 = "", "Validated", HYPERLINK("#" &amp; ADDRESS(278, 'Additional Images-WUO_TRK'!A278),_xlfn.TEXTAFTER('Additional Images-WUO_ERR'!A278, ":"))))</f>
        <v>0</v>
      </c>
    </row>
    <row r="279" spans="1:1">
      <c r="A279" s="39">
        <f>IF('Additional Images'!B279 = "", "", IF('Additional Images-WUO_ERR'!A279 = "", "Validated", HYPERLINK("#" &amp; ADDRESS(279, 'Additional Images-WUO_TRK'!A279),_xlfn.TEXTAFTER('Additional Images-WUO_ERR'!A279, ":"))))</f>
        <v>0</v>
      </c>
    </row>
    <row r="280" spans="1:1">
      <c r="A280" s="39">
        <f>IF('Additional Images'!B280 = "", "", IF('Additional Images-WUO_ERR'!A280 = "", "Validated", HYPERLINK("#" &amp; ADDRESS(280, 'Additional Images-WUO_TRK'!A280),_xlfn.TEXTAFTER('Additional Images-WUO_ERR'!A280, ":"))))</f>
        <v>0</v>
      </c>
    </row>
    <row r="281" spans="1:1">
      <c r="A281" s="39">
        <f>IF('Additional Images'!B281 = "", "", IF('Additional Images-WUO_ERR'!A281 = "", "Validated", HYPERLINK("#" &amp; ADDRESS(281, 'Additional Images-WUO_TRK'!A281),_xlfn.TEXTAFTER('Additional Images-WUO_ERR'!A281, ":"))))</f>
        <v>0</v>
      </c>
    </row>
    <row r="282" spans="1:1">
      <c r="A282" s="39">
        <f>IF('Additional Images'!B282 = "", "", IF('Additional Images-WUO_ERR'!A282 = "", "Validated", HYPERLINK("#" &amp; ADDRESS(282, 'Additional Images-WUO_TRK'!A282),_xlfn.TEXTAFTER('Additional Images-WUO_ERR'!A282, ":"))))</f>
        <v>0</v>
      </c>
    </row>
    <row r="283" spans="1:1">
      <c r="A283" s="39">
        <f>IF('Additional Images'!B283 = "", "", IF('Additional Images-WUO_ERR'!A283 = "", "Validated", HYPERLINK("#" &amp; ADDRESS(283, 'Additional Images-WUO_TRK'!A283),_xlfn.TEXTAFTER('Additional Images-WUO_ERR'!A283, ":"))))</f>
        <v>0</v>
      </c>
    </row>
    <row r="284" spans="1:1">
      <c r="A284" s="39">
        <f>IF('Additional Images'!B284 = "", "", IF('Additional Images-WUO_ERR'!A284 = "", "Validated", HYPERLINK("#" &amp; ADDRESS(284, 'Additional Images-WUO_TRK'!A284),_xlfn.TEXTAFTER('Additional Images-WUO_ERR'!A284, ":"))))</f>
        <v>0</v>
      </c>
    </row>
    <row r="285" spans="1:1">
      <c r="A285" s="39">
        <f>IF('Additional Images'!B285 = "", "", IF('Additional Images-WUO_ERR'!A285 = "", "Validated", HYPERLINK("#" &amp; ADDRESS(285, 'Additional Images-WUO_TRK'!A285),_xlfn.TEXTAFTER('Additional Images-WUO_ERR'!A285, ":"))))</f>
        <v>0</v>
      </c>
    </row>
    <row r="286" spans="1:1">
      <c r="A286" s="39">
        <f>IF('Additional Images'!B286 = "", "", IF('Additional Images-WUO_ERR'!A286 = "", "Validated", HYPERLINK("#" &amp; ADDRESS(286, 'Additional Images-WUO_TRK'!A286),_xlfn.TEXTAFTER('Additional Images-WUO_ERR'!A286, ":"))))</f>
        <v>0</v>
      </c>
    </row>
    <row r="287" spans="1:1">
      <c r="A287" s="39">
        <f>IF('Additional Images'!B287 = "", "", IF('Additional Images-WUO_ERR'!A287 = "", "Validated", HYPERLINK("#" &amp; ADDRESS(287, 'Additional Images-WUO_TRK'!A287),_xlfn.TEXTAFTER('Additional Images-WUO_ERR'!A287, ":"))))</f>
        <v>0</v>
      </c>
    </row>
    <row r="288" spans="1:1">
      <c r="A288" s="39">
        <f>IF('Additional Images'!B288 = "", "", IF('Additional Images-WUO_ERR'!A288 = "", "Validated", HYPERLINK("#" &amp; ADDRESS(288, 'Additional Images-WUO_TRK'!A288),_xlfn.TEXTAFTER('Additional Images-WUO_ERR'!A288, ":"))))</f>
        <v>0</v>
      </c>
    </row>
    <row r="289" spans="1:1">
      <c r="A289" s="39">
        <f>IF('Additional Images'!B289 = "", "", IF('Additional Images-WUO_ERR'!A289 = "", "Validated", HYPERLINK("#" &amp; ADDRESS(289, 'Additional Images-WUO_TRK'!A289),_xlfn.TEXTAFTER('Additional Images-WUO_ERR'!A289, ":"))))</f>
        <v>0</v>
      </c>
    </row>
    <row r="290" spans="1:1">
      <c r="A290" s="39">
        <f>IF('Additional Images'!B290 = "", "", IF('Additional Images-WUO_ERR'!A290 = "", "Validated", HYPERLINK("#" &amp; ADDRESS(290, 'Additional Images-WUO_TRK'!A290),_xlfn.TEXTAFTER('Additional Images-WUO_ERR'!A290, ":"))))</f>
        <v>0</v>
      </c>
    </row>
    <row r="291" spans="1:1">
      <c r="A291" s="39">
        <f>IF('Additional Images'!B291 = "", "", IF('Additional Images-WUO_ERR'!A291 = "", "Validated", HYPERLINK("#" &amp; ADDRESS(291, 'Additional Images-WUO_TRK'!A291),_xlfn.TEXTAFTER('Additional Images-WUO_ERR'!A291, ":"))))</f>
        <v>0</v>
      </c>
    </row>
    <row r="292" spans="1:1">
      <c r="A292" s="39">
        <f>IF('Additional Images'!B292 = "", "", IF('Additional Images-WUO_ERR'!A292 = "", "Validated", HYPERLINK("#" &amp; ADDRESS(292, 'Additional Images-WUO_TRK'!A292),_xlfn.TEXTAFTER('Additional Images-WUO_ERR'!A292, ":"))))</f>
        <v>0</v>
      </c>
    </row>
    <row r="293" spans="1:1">
      <c r="A293" s="39">
        <f>IF('Additional Images'!B293 = "", "", IF('Additional Images-WUO_ERR'!A293 = "", "Validated", HYPERLINK("#" &amp; ADDRESS(293, 'Additional Images-WUO_TRK'!A293),_xlfn.TEXTAFTER('Additional Images-WUO_ERR'!A293, ":"))))</f>
        <v>0</v>
      </c>
    </row>
    <row r="294" spans="1:1">
      <c r="A294" s="39">
        <f>IF('Additional Images'!B294 = "", "", IF('Additional Images-WUO_ERR'!A294 = "", "Validated", HYPERLINK("#" &amp; ADDRESS(294, 'Additional Images-WUO_TRK'!A294),_xlfn.TEXTAFTER('Additional Images-WUO_ERR'!A294, ":"))))</f>
        <v>0</v>
      </c>
    </row>
    <row r="295" spans="1:1">
      <c r="A295" s="39">
        <f>IF('Additional Images'!B295 = "", "", IF('Additional Images-WUO_ERR'!A295 = "", "Validated", HYPERLINK("#" &amp; ADDRESS(295, 'Additional Images-WUO_TRK'!A295),_xlfn.TEXTAFTER('Additional Images-WUO_ERR'!A295, ":"))))</f>
        <v>0</v>
      </c>
    </row>
    <row r="296" spans="1:1">
      <c r="A296" s="39">
        <f>IF('Additional Images'!B296 = "", "", IF('Additional Images-WUO_ERR'!A296 = "", "Validated", HYPERLINK("#" &amp; ADDRESS(296, 'Additional Images-WUO_TRK'!A296),_xlfn.TEXTAFTER('Additional Images-WUO_ERR'!A296, ":"))))</f>
        <v>0</v>
      </c>
    </row>
    <row r="297" spans="1:1">
      <c r="A297" s="39">
        <f>IF('Additional Images'!B297 = "", "", IF('Additional Images-WUO_ERR'!A297 = "", "Validated", HYPERLINK("#" &amp; ADDRESS(297, 'Additional Images-WUO_TRK'!A297),_xlfn.TEXTAFTER('Additional Images-WUO_ERR'!A297, ":"))))</f>
        <v>0</v>
      </c>
    </row>
    <row r="298" spans="1:1">
      <c r="A298" s="39">
        <f>IF('Additional Images'!B298 = "", "", IF('Additional Images-WUO_ERR'!A298 = "", "Validated", HYPERLINK("#" &amp; ADDRESS(298, 'Additional Images-WUO_TRK'!A298),_xlfn.TEXTAFTER('Additional Images-WUO_ERR'!A298, ":"))))</f>
        <v>0</v>
      </c>
    </row>
    <row r="299" spans="1:1">
      <c r="A299" s="39">
        <f>IF('Additional Images'!B299 = "", "", IF('Additional Images-WUO_ERR'!A299 = "", "Validated", HYPERLINK("#" &amp; ADDRESS(299, 'Additional Images-WUO_TRK'!A299),_xlfn.TEXTAFTER('Additional Images-WUO_ERR'!A299, ":"))))</f>
        <v>0</v>
      </c>
    </row>
    <row r="300" spans="1:1">
      <c r="A300" s="39">
        <f>IF('Additional Images'!B300 = "", "", IF('Additional Images-WUO_ERR'!A300 = "", "Validated", HYPERLINK("#" &amp; ADDRESS(300, 'Additional Images-WUO_TRK'!A300),_xlfn.TEXTAFTER('Additional Images-WUO_ERR'!A300, ":"))))</f>
        <v>0</v>
      </c>
    </row>
    <row r="301" spans="1:1">
      <c r="A301" s="39">
        <f>IF('Additional Images'!B301 = "", "", IF('Additional Images-WUO_ERR'!A301 = "", "Validated", HYPERLINK("#" &amp; ADDRESS(301, 'Additional Images-WUO_TRK'!A301),_xlfn.TEXTAFTER('Additional Images-WUO_ERR'!A301, ":"))))</f>
        <v>0</v>
      </c>
    </row>
    <row r="302" spans="1:1">
      <c r="A302" s="39">
        <f>IF('Additional Images'!B302 = "", "", IF('Additional Images-WUO_ERR'!A302 = "", "Validated", HYPERLINK("#" &amp; ADDRESS(302, 'Additional Images-WUO_TRK'!A302),_xlfn.TEXTAFTER('Additional Images-WUO_ERR'!A302, ":"))))</f>
        <v>0</v>
      </c>
    </row>
    <row r="303" spans="1:1">
      <c r="A303" s="39">
        <f>IF('Additional Images'!B303 = "", "", IF('Additional Images-WUO_ERR'!A303 = "", "Validated", HYPERLINK("#" &amp; ADDRESS(303, 'Additional Images-WUO_TRK'!A303),_xlfn.TEXTAFTER('Additional Images-WUO_ERR'!A303, ":"))))</f>
        <v>0</v>
      </c>
    </row>
    <row r="304" spans="1:1">
      <c r="A304" s="39">
        <f>IF('Additional Images'!B304 = "", "", IF('Additional Images-WUO_ERR'!A304 = "", "Validated", HYPERLINK("#" &amp; ADDRESS(304, 'Additional Images-WUO_TRK'!A304),_xlfn.TEXTAFTER('Additional Images-WUO_ERR'!A304, ":"))))</f>
        <v>0</v>
      </c>
    </row>
    <row r="305" spans="1:1">
      <c r="A305" s="39">
        <f>IF('Additional Images'!B305 = "", "", IF('Additional Images-WUO_ERR'!A305 = "", "Validated", HYPERLINK("#" &amp; ADDRESS(305, 'Additional Images-WUO_TRK'!A305),_xlfn.TEXTAFTER('Additional Images-WUO_ERR'!A305, ":"))))</f>
        <v>0</v>
      </c>
    </row>
    <row r="306" spans="1:1">
      <c r="A306" s="39">
        <f>IF('Additional Images'!B306 = "", "", IF('Additional Images-WUO_ERR'!A306 = "", "Validated", HYPERLINK("#" &amp; ADDRESS(306, 'Additional Images-WUO_TRK'!A306),_xlfn.TEXTAFTER('Additional Images-WUO_ERR'!A306, ":"))))</f>
        <v>0</v>
      </c>
    </row>
    <row r="307" spans="1:1">
      <c r="A307" s="39">
        <f>IF('Additional Images'!B307 = "", "", IF('Additional Images-WUO_ERR'!A307 = "", "Validated", HYPERLINK("#" &amp; ADDRESS(307, 'Additional Images-WUO_TRK'!A307),_xlfn.TEXTAFTER('Additional Images-WUO_ERR'!A307, ":"))))</f>
        <v>0</v>
      </c>
    </row>
    <row r="308" spans="1:1">
      <c r="A308" s="39">
        <f>IF('Additional Images'!B308 = "", "", IF('Additional Images-WUO_ERR'!A308 = "", "Validated", HYPERLINK("#" &amp; ADDRESS(308, 'Additional Images-WUO_TRK'!A308),_xlfn.TEXTAFTER('Additional Images-WUO_ERR'!A308, ":"))))</f>
        <v>0</v>
      </c>
    </row>
    <row r="309" spans="1:1">
      <c r="A309" s="39">
        <f>IF('Additional Images'!B309 = "", "", IF('Additional Images-WUO_ERR'!A309 = "", "Validated", HYPERLINK("#" &amp; ADDRESS(309, 'Additional Images-WUO_TRK'!A309),_xlfn.TEXTAFTER('Additional Images-WUO_ERR'!A309, ":"))))</f>
        <v>0</v>
      </c>
    </row>
    <row r="310" spans="1:1">
      <c r="A310" s="39">
        <f>IF('Additional Images'!B310 = "", "", IF('Additional Images-WUO_ERR'!A310 = "", "Validated", HYPERLINK("#" &amp; ADDRESS(310, 'Additional Images-WUO_TRK'!A310),_xlfn.TEXTAFTER('Additional Images-WUO_ERR'!A310, ":"))))</f>
        <v>0</v>
      </c>
    </row>
    <row r="311" spans="1:1">
      <c r="A311" s="39">
        <f>IF('Additional Images'!B311 = "", "", IF('Additional Images-WUO_ERR'!A311 = "", "Validated", HYPERLINK("#" &amp; ADDRESS(311, 'Additional Images-WUO_TRK'!A311),_xlfn.TEXTAFTER('Additional Images-WUO_ERR'!A311, ":"))))</f>
        <v>0</v>
      </c>
    </row>
    <row r="312" spans="1:1">
      <c r="A312" s="39">
        <f>IF('Additional Images'!B312 = "", "", IF('Additional Images-WUO_ERR'!A312 = "", "Validated", HYPERLINK("#" &amp; ADDRESS(312, 'Additional Images-WUO_TRK'!A312),_xlfn.TEXTAFTER('Additional Images-WUO_ERR'!A312, ":"))))</f>
        <v>0</v>
      </c>
    </row>
    <row r="313" spans="1:1">
      <c r="A313" s="39">
        <f>IF('Additional Images'!B313 = "", "", IF('Additional Images-WUO_ERR'!A313 = "", "Validated", HYPERLINK("#" &amp; ADDRESS(313, 'Additional Images-WUO_TRK'!A313),_xlfn.TEXTAFTER('Additional Images-WUO_ERR'!A313, ":"))))</f>
        <v>0</v>
      </c>
    </row>
    <row r="314" spans="1:1">
      <c r="A314" s="39">
        <f>IF('Additional Images'!B314 = "", "", IF('Additional Images-WUO_ERR'!A314 = "", "Validated", HYPERLINK("#" &amp; ADDRESS(314, 'Additional Images-WUO_TRK'!A314),_xlfn.TEXTAFTER('Additional Images-WUO_ERR'!A314, ":"))))</f>
        <v>0</v>
      </c>
    </row>
    <row r="315" spans="1:1">
      <c r="A315" s="39">
        <f>IF('Additional Images'!B315 = "", "", IF('Additional Images-WUO_ERR'!A315 = "", "Validated", HYPERLINK("#" &amp; ADDRESS(315, 'Additional Images-WUO_TRK'!A315),_xlfn.TEXTAFTER('Additional Images-WUO_ERR'!A315, ":"))))</f>
        <v>0</v>
      </c>
    </row>
    <row r="316" spans="1:1">
      <c r="A316" s="39">
        <f>IF('Additional Images'!B316 = "", "", IF('Additional Images-WUO_ERR'!A316 = "", "Validated", HYPERLINK("#" &amp; ADDRESS(316, 'Additional Images-WUO_TRK'!A316),_xlfn.TEXTAFTER('Additional Images-WUO_ERR'!A316, ":"))))</f>
        <v>0</v>
      </c>
    </row>
    <row r="317" spans="1:1">
      <c r="A317" s="39">
        <f>IF('Additional Images'!B317 = "", "", IF('Additional Images-WUO_ERR'!A317 = "", "Validated", HYPERLINK("#" &amp; ADDRESS(317, 'Additional Images-WUO_TRK'!A317),_xlfn.TEXTAFTER('Additional Images-WUO_ERR'!A317, ":"))))</f>
        <v>0</v>
      </c>
    </row>
    <row r="318" spans="1:1">
      <c r="A318" s="39">
        <f>IF('Additional Images'!B318 = "", "", IF('Additional Images-WUO_ERR'!A318 = "", "Validated", HYPERLINK("#" &amp; ADDRESS(318, 'Additional Images-WUO_TRK'!A318),_xlfn.TEXTAFTER('Additional Images-WUO_ERR'!A318, ":"))))</f>
        <v>0</v>
      </c>
    </row>
    <row r="319" spans="1:1">
      <c r="A319" s="39">
        <f>IF('Additional Images'!B319 = "", "", IF('Additional Images-WUO_ERR'!A319 = "", "Validated", HYPERLINK("#" &amp; ADDRESS(319, 'Additional Images-WUO_TRK'!A319),_xlfn.TEXTAFTER('Additional Images-WUO_ERR'!A319, ":"))))</f>
        <v>0</v>
      </c>
    </row>
    <row r="320" spans="1:1">
      <c r="A320" s="39">
        <f>IF('Additional Images'!B320 = "", "", IF('Additional Images-WUO_ERR'!A320 = "", "Validated", HYPERLINK("#" &amp; ADDRESS(320, 'Additional Images-WUO_TRK'!A320),_xlfn.TEXTAFTER('Additional Images-WUO_ERR'!A320, ":"))))</f>
        <v>0</v>
      </c>
    </row>
    <row r="321" spans="1:1">
      <c r="A321" s="39">
        <f>IF('Additional Images'!B321 = "", "", IF('Additional Images-WUO_ERR'!A321 = "", "Validated", HYPERLINK("#" &amp; ADDRESS(321, 'Additional Images-WUO_TRK'!A321),_xlfn.TEXTAFTER('Additional Images-WUO_ERR'!A321, ":"))))</f>
        <v>0</v>
      </c>
    </row>
    <row r="322" spans="1:1">
      <c r="A322" s="39">
        <f>IF('Additional Images'!B322 = "", "", IF('Additional Images-WUO_ERR'!A322 = "", "Validated", HYPERLINK("#" &amp; ADDRESS(322, 'Additional Images-WUO_TRK'!A322),_xlfn.TEXTAFTER('Additional Images-WUO_ERR'!A322, ":"))))</f>
        <v>0</v>
      </c>
    </row>
    <row r="323" spans="1:1">
      <c r="A323" s="39">
        <f>IF('Additional Images'!B323 = "", "", IF('Additional Images-WUO_ERR'!A323 = "", "Validated", HYPERLINK("#" &amp; ADDRESS(323, 'Additional Images-WUO_TRK'!A323),_xlfn.TEXTAFTER('Additional Images-WUO_ERR'!A323, ":"))))</f>
        <v>0</v>
      </c>
    </row>
    <row r="324" spans="1:1">
      <c r="A324" s="39">
        <f>IF('Additional Images'!B324 = "", "", IF('Additional Images-WUO_ERR'!A324 = "", "Validated", HYPERLINK("#" &amp; ADDRESS(324, 'Additional Images-WUO_TRK'!A324),_xlfn.TEXTAFTER('Additional Images-WUO_ERR'!A324, ":"))))</f>
        <v>0</v>
      </c>
    </row>
    <row r="325" spans="1:1">
      <c r="A325" s="39">
        <f>IF('Additional Images'!B325 = "", "", IF('Additional Images-WUO_ERR'!A325 = "", "Validated", HYPERLINK("#" &amp; ADDRESS(325, 'Additional Images-WUO_TRK'!A325),_xlfn.TEXTAFTER('Additional Images-WUO_ERR'!A325, ":"))))</f>
        <v>0</v>
      </c>
    </row>
    <row r="326" spans="1:1">
      <c r="A326" s="39">
        <f>IF('Additional Images'!B326 = "", "", IF('Additional Images-WUO_ERR'!A326 = "", "Validated", HYPERLINK("#" &amp; ADDRESS(326, 'Additional Images-WUO_TRK'!A326),_xlfn.TEXTAFTER('Additional Images-WUO_ERR'!A326, ":"))))</f>
        <v>0</v>
      </c>
    </row>
    <row r="327" spans="1:1">
      <c r="A327" s="39">
        <f>IF('Additional Images'!B327 = "", "", IF('Additional Images-WUO_ERR'!A327 = "", "Validated", HYPERLINK("#" &amp; ADDRESS(327, 'Additional Images-WUO_TRK'!A327),_xlfn.TEXTAFTER('Additional Images-WUO_ERR'!A327, ":"))))</f>
        <v>0</v>
      </c>
    </row>
    <row r="328" spans="1:1">
      <c r="A328" s="39">
        <f>IF('Additional Images'!B328 = "", "", IF('Additional Images-WUO_ERR'!A328 = "", "Validated", HYPERLINK("#" &amp; ADDRESS(328, 'Additional Images-WUO_TRK'!A328),_xlfn.TEXTAFTER('Additional Images-WUO_ERR'!A328, ":"))))</f>
        <v>0</v>
      </c>
    </row>
    <row r="329" spans="1:1">
      <c r="A329" s="39">
        <f>IF('Additional Images'!B329 = "", "", IF('Additional Images-WUO_ERR'!A329 = "", "Validated", HYPERLINK("#" &amp; ADDRESS(329, 'Additional Images-WUO_TRK'!A329),_xlfn.TEXTAFTER('Additional Images-WUO_ERR'!A329, ":"))))</f>
        <v>0</v>
      </c>
    </row>
    <row r="330" spans="1:1">
      <c r="A330" s="39">
        <f>IF('Additional Images'!B330 = "", "", IF('Additional Images-WUO_ERR'!A330 = "", "Validated", HYPERLINK("#" &amp; ADDRESS(330, 'Additional Images-WUO_TRK'!A330),_xlfn.TEXTAFTER('Additional Images-WUO_ERR'!A330, ":"))))</f>
        <v>0</v>
      </c>
    </row>
    <row r="331" spans="1:1">
      <c r="A331" s="39">
        <f>IF('Additional Images'!B331 = "", "", IF('Additional Images-WUO_ERR'!A331 = "", "Validated", HYPERLINK("#" &amp; ADDRESS(331, 'Additional Images-WUO_TRK'!A331),_xlfn.TEXTAFTER('Additional Images-WUO_ERR'!A331, ":"))))</f>
        <v>0</v>
      </c>
    </row>
    <row r="332" spans="1:1">
      <c r="A332" s="39">
        <f>IF('Additional Images'!B332 = "", "", IF('Additional Images-WUO_ERR'!A332 = "", "Validated", HYPERLINK("#" &amp; ADDRESS(332, 'Additional Images-WUO_TRK'!A332),_xlfn.TEXTAFTER('Additional Images-WUO_ERR'!A332, ":"))))</f>
        <v>0</v>
      </c>
    </row>
    <row r="333" spans="1:1">
      <c r="A333" s="39">
        <f>IF('Additional Images'!B333 = "", "", IF('Additional Images-WUO_ERR'!A333 = "", "Validated", HYPERLINK("#" &amp; ADDRESS(333, 'Additional Images-WUO_TRK'!A333),_xlfn.TEXTAFTER('Additional Images-WUO_ERR'!A333, ":"))))</f>
        <v>0</v>
      </c>
    </row>
    <row r="334" spans="1:1">
      <c r="A334" s="39">
        <f>IF('Additional Images'!B334 = "", "", IF('Additional Images-WUO_ERR'!A334 = "", "Validated", HYPERLINK("#" &amp; ADDRESS(334, 'Additional Images-WUO_TRK'!A334),_xlfn.TEXTAFTER('Additional Images-WUO_ERR'!A334, ":"))))</f>
        <v>0</v>
      </c>
    </row>
    <row r="335" spans="1:1">
      <c r="A335" s="39">
        <f>IF('Additional Images'!B335 = "", "", IF('Additional Images-WUO_ERR'!A335 = "", "Validated", HYPERLINK("#" &amp; ADDRESS(335, 'Additional Images-WUO_TRK'!A335),_xlfn.TEXTAFTER('Additional Images-WUO_ERR'!A335, ":"))))</f>
        <v>0</v>
      </c>
    </row>
    <row r="336" spans="1:1">
      <c r="A336" s="39">
        <f>IF('Additional Images'!B336 = "", "", IF('Additional Images-WUO_ERR'!A336 = "", "Validated", HYPERLINK("#" &amp; ADDRESS(336, 'Additional Images-WUO_TRK'!A336),_xlfn.TEXTAFTER('Additional Images-WUO_ERR'!A336, ":"))))</f>
        <v>0</v>
      </c>
    </row>
    <row r="337" spans="1:1">
      <c r="A337" s="39">
        <f>IF('Additional Images'!B337 = "", "", IF('Additional Images-WUO_ERR'!A337 = "", "Validated", HYPERLINK("#" &amp; ADDRESS(337, 'Additional Images-WUO_TRK'!A337),_xlfn.TEXTAFTER('Additional Images-WUO_ERR'!A337, ":"))))</f>
        <v>0</v>
      </c>
    </row>
    <row r="338" spans="1:1">
      <c r="A338" s="39">
        <f>IF('Additional Images'!B338 = "", "", IF('Additional Images-WUO_ERR'!A338 = "", "Validated", HYPERLINK("#" &amp; ADDRESS(338, 'Additional Images-WUO_TRK'!A338),_xlfn.TEXTAFTER('Additional Images-WUO_ERR'!A338, ":"))))</f>
        <v>0</v>
      </c>
    </row>
    <row r="339" spans="1:1">
      <c r="A339" s="39">
        <f>IF('Additional Images'!B339 = "", "", IF('Additional Images-WUO_ERR'!A339 = "", "Validated", HYPERLINK("#" &amp; ADDRESS(339, 'Additional Images-WUO_TRK'!A339),_xlfn.TEXTAFTER('Additional Images-WUO_ERR'!A339, ":"))))</f>
        <v>0</v>
      </c>
    </row>
    <row r="340" spans="1:1">
      <c r="A340" s="39">
        <f>IF('Additional Images'!B340 = "", "", IF('Additional Images-WUO_ERR'!A340 = "", "Validated", HYPERLINK("#" &amp; ADDRESS(340, 'Additional Images-WUO_TRK'!A340),_xlfn.TEXTAFTER('Additional Images-WUO_ERR'!A340, ":"))))</f>
        <v>0</v>
      </c>
    </row>
    <row r="341" spans="1:1">
      <c r="A341" s="39">
        <f>IF('Additional Images'!B341 = "", "", IF('Additional Images-WUO_ERR'!A341 = "", "Validated", HYPERLINK("#" &amp; ADDRESS(341, 'Additional Images-WUO_TRK'!A341),_xlfn.TEXTAFTER('Additional Images-WUO_ERR'!A341, ":"))))</f>
        <v>0</v>
      </c>
    </row>
    <row r="342" spans="1:1">
      <c r="A342" s="39">
        <f>IF('Additional Images'!B342 = "", "", IF('Additional Images-WUO_ERR'!A342 = "", "Validated", HYPERLINK("#" &amp; ADDRESS(342, 'Additional Images-WUO_TRK'!A342),_xlfn.TEXTAFTER('Additional Images-WUO_ERR'!A342, ":"))))</f>
        <v>0</v>
      </c>
    </row>
    <row r="343" spans="1:1">
      <c r="A343" s="39">
        <f>IF('Additional Images'!B343 = "", "", IF('Additional Images-WUO_ERR'!A343 = "", "Validated", HYPERLINK("#" &amp; ADDRESS(343, 'Additional Images-WUO_TRK'!A343),_xlfn.TEXTAFTER('Additional Images-WUO_ERR'!A343, ":"))))</f>
        <v>0</v>
      </c>
    </row>
    <row r="344" spans="1:1">
      <c r="A344" s="39">
        <f>IF('Additional Images'!B344 = "", "", IF('Additional Images-WUO_ERR'!A344 = "", "Validated", HYPERLINK("#" &amp; ADDRESS(344, 'Additional Images-WUO_TRK'!A344),_xlfn.TEXTAFTER('Additional Images-WUO_ERR'!A344, ":"))))</f>
        <v>0</v>
      </c>
    </row>
    <row r="345" spans="1:1">
      <c r="A345" s="39">
        <f>IF('Additional Images'!B345 = "", "", IF('Additional Images-WUO_ERR'!A345 = "", "Validated", HYPERLINK("#" &amp; ADDRESS(345, 'Additional Images-WUO_TRK'!A345),_xlfn.TEXTAFTER('Additional Images-WUO_ERR'!A345, ":"))))</f>
        <v>0</v>
      </c>
    </row>
    <row r="346" spans="1:1">
      <c r="A346" s="39">
        <f>IF('Additional Images'!B346 = "", "", IF('Additional Images-WUO_ERR'!A346 = "", "Validated", HYPERLINK("#" &amp; ADDRESS(346, 'Additional Images-WUO_TRK'!A346),_xlfn.TEXTAFTER('Additional Images-WUO_ERR'!A346, ":"))))</f>
        <v>0</v>
      </c>
    </row>
    <row r="347" spans="1:1">
      <c r="A347" s="39">
        <f>IF('Additional Images'!B347 = "", "", IF('Additional Images-WUO_ERR'!A347 = "", "Validated", HYPERLINK("#" &amp; ADDRESS(347, 'Additional Images-WUO_TRK'!A347),_xlfn.TEXTAFTER('Additional Images-WUO_ERR'!A347, ":"))))</f>
        <v>0</v>
      </c>
    </row>
    <row r="348" spans="1:1">
      <c r="A348" s="39">
        <f>IF('Additional Images'!B348 = "", "", IF('Additional Images-WUO_ERR'!A348 = "", "Validated", HYPERLINK("#" &amp; ADDRESS(348, 'Additional Images-WUO_TRK'!A348),_xlfn.TEXTAFTER('Additional Images-WUO_ERR'!A348, ":"))))</f>
        <v>0</v>
      </c>
    </row>
    <row r="349" spans="1:1">
      <c r="A349" s="39">
        <f>IF('Additional Images'!B349 = "", "", IF('Additional Images-WUO_ERR'!A349 = "", "Validated", HYPERLINK("#" &amp; ADDRESS(349, 'Additional Images-WUO_TRK'!A349),_xlfn.TEXTAFTER('Additional Images-WUO_ERR'!A349, ":"))))</f>
        <v>0</v>
      </c>
    </row>
    <row r="350" spans="1:1">
      <c r="A350" s="39">
        <f>IF('Additional Images'!B350 = "", "", IF('Additional Images-WUO_ERR'!A350 = "", "Validated", HYPERLINK("#" &amp; ADDRESS(350, 'Additional Images-WUO_TRK'!A350),_xlfn.TEXTAFTER('Additional Images-WUO_ERR'!A350, ":"))))</f>
        <v>0</v>
      </c>
    </row>
    <row r="351" spans="1:1">
      <c r="A351" s="39">
        <f>IF('Additional Images'!B351 = "", "", IF('Additional Images-WUO_ERR'!A351 = "", "Validated", HYPERLINK("#" &amp; ADDRESS(351, 'Additional Images-WUO_TRK'!A351),_xlfn.TEXTAFTER('Additional Images-WUO_ERR'!A351, ":"))))</f>
        <v>0</v>
      </c>
    </row>
    <row r="352" spans="1:1">
      <c r="A352" s="39">
        <f>IF('Additional Images'!B352 = "", "", IF('Additional Images-WUO_ERR'!A352 = "", "Validated", HYPERLINK("#" &amp; ADDRESS(352, 'Additional Images-WUO_TRK'!A352),_xlfn.TEXTAFTER('Additional Images-WUO_ERR'!A352, ":"))))</f>
        <v>0</v>
      </c>
    </row>
    <row r="353" spans="1:1">
      <c r="A353" s="39">
        <f>IF('Additional Images'!B353 = "", "", IF('Additional Images-WUO_ERR'!A353 = "", "Validated", HYPERLINK("#" &amp; ADDRESS(353, 'Additional Images-WUO_TRK'!A353),_xlfn.TEXTAFTER('Additional Images-WUO_ERR'!A353, ":"))))</f>
        <v>0</v>
      </c>
    </row>
    <row r="354" spans="1:1">
      <c r="A354" s="39">
        <f>IF('Additional Images'!B354 = "", "", IF('Additional Images-WUO_ERR'!A354 = "", "Validated", HYPERLINK("#" &amp; ADDRESS(354, 'Additional Images-WUO_TRK'!A354),_xlfn.TEXTAFTER('Additional Images-WUO_ERR'!A354, ":"))))</f>
        <v>0</v>
      </c>
    </row>
    <row r="355" spans="1:1">
      <c r="A355" s="39">
        <f>IF('Additional Images'!B355 = "", "", IF('Additional Images-WUO_ERR'!A355 = "", "Validated", HYPERLINK("#" &amp; ADDRESS(355, 'Additional Images-WUO_TRK'!A355),_xlfn.TEXTAFTER('Additional Images-WUO_ERR'!A355, ":"))))</f>
        <v>0</v>
      </c>
    </row>
    <row r="356" spans="1:1">
      <c r="A356" s="39">
        <f>IF('Additional Images'!B356 = "", "", IF('Additional Images-WUO_ERR'!A356 = "", "Validated", HYPERLINK("#" &amp; ADDRESS(356, 'Additional Images-WUO_TRK'!A356),_xlfn.TEXTAFTER('Additional Images-WUO_ERR'!A356, ":"))))</f>
        <v>0</v>
      </c>
    </row>
    <row r="357" spans="1:1">
      <c r="A357" s="39">
        <f>IF('Additional Images'!B357 = "", "", IF('Additional Images-WUO_ERR'!A357 = "", "Validated", HYPERLINK("#" &amp; ADDRESS(357, 'Additional Images-WUO_TRK'!A357),_xlfn.TEXTAFTER('Additional Images-WUO_ERR'!A357, ":"))))</f>
        <v>0</v>
      </c>
    </row>
    <row r="358" spans="1:1">
      <c r="A358" s="39">
        <f>IF('Additional Images'!B358 = "", "", IF('Additional Images-WUO_ERR'!A358 = "", "Validated", HYPERLINK("#" &amp; ADDRESS(358, 'Additional Images-WUO_TRK'!A358),_xlfn.TEXTAFTER('Additional Images-WUO_ERR'!A358, ":"))))</f>
        <v>0</v>
      </c>
    </row>
    <row r="359" spans="1:1">
      <c r="A359" s="39">
        <f>IF('Additional Images'!B359 = "", "", IF('Additional Images-WUO_ERR'!A359 = "", "Validated", HYPERLINK("#" &amp; ADDRESS(359, 'Additional Images-WUO_TRK'!A359),_xlfn.TEXTAFTER('Additional Images-WUO_ERR'!A359, ":"))))</f>
        <v>0</v>
      </c>
    </row>
    <row r="360" spans="1:1">
      <c r="A360" s="39">
        <f>IF('Additional Images'!B360 = "", "", IF('Additional Images-WUO_ERR'!A360 = "", "Validated", HYPERLINK("#" &amp; ADDRESS(360, 'Additional Images-WUO_TRK'!A360),_xlfn.TEXTAFTER('Additional Images-WUO_ERR'!A360, ":"))))</f>
        <v>0</v>
      </c>
    </row>
    <row r="361" spans="1:1">
      <c r="A361" s="39">
        <f>IF('Additional Images'!B361 = "", "", IF('Additional Images-WUO_ERR'!A361 = "", "Validated", HYPERLINK("#" &amp; ADDRESS(361, 'Additional Images-WUO_TRK'!A361),_xlfn.TEXTAFTER('Additional Images-WUO_ERR'!A361, ":"))))</f>
        <v>0</v>
      </c>
    </row>
    <row r="362" spans="1:1">
      <c r="A362" s="39">
        <f>IF('Additional Images'!B362 = "", "", IF('Additional Images-WUO_ERR'!A362 = "", "Validated", HYPERLINK("#" &amp; ADDRESS(362, 'Additional Images-WUO_TRK'!A362),_xlfn.TEXTAFTER('Additional Images-WUO_ERR'!A362, ":"))))</f>
        <v>0</v>
      </c>
    </row>
    <row r="363" spans="1:1">
      <c r="A363" s="39">
        <f>IF('Additional Images'!B363 = "", "", IF('Additional Images-WUO_ERR'!A363 = "", "Validated", HYPERLINK("#" &amp; ADDRESS(363, 'Additional Images-WUO_TRK'!A363),_xlfn.TEXTAFTER('Additional Images-WUO_ERR'!A363, ":"))))</f>
        <v>0</v>
      </c>
    </row>
    <row r="364" spans="1:1">
      <c r="A364" s="39">
        <f>IF('Additional Images'!B364 = "", "", IF('Additional Images-WUO_ERR'!A364 = "", "Validated", HYPERLINK("#" &amp; ADDRESS(364, 'Additional Images-WUO_TRK'!A364),_xlfn.TEXTAFTER('Additional Images-WUO_ERR'!A364, ":"))))</f>
        <v>0</v>
      </c>
    </row>
    <row r="365" spans="1:1">
      <c r="A365" s="39">
        <f>IF('Additional Images'!B365 = "", "", IF('Additional Images-WUO_ERR'!A365 = "", "Validated", HYPERLINK("#" &amp; ADDRESS(365, 'Additional Images-WUO_TRK'!A365),_xlfn.TEXTAFTER('Additional Images-WUO_ERR'!A365, ":"))))</f>
        <v>0</v>
      </c>
    </row>
    <row r="366" spans="1:1">
      <c r="A366" s="39">
        <f>IF('Additional Images'!B366 = "", "", IF('Additional Images-WUO_ERR'!A366 = "", "Validated", HYPERLINK("#" &amp; ADDRESS(366, 'Additional Images-WUO_TRK'!A366),_xlfn.TEXTAFTER('Additional Images-WUO_ERR'!A366, ":"))))</f>
        <v>0</v>
      </c>
    </row>
    <row r="367" spans="1:1">
      <c r="A367" s="39">
        <f>IF('Additional Images'!B367 = "", "", IF('Additional Images-WUO_ERR'!A367 = "", "Validated", HYPERLINK("#" &amp; ADDRESS(367, 'Additional Images-WUO_TRK'!A367),_xlfn.TEXTAFTER('Additional Images-WUO_ERR'!A367, ":"))))</f>
        <v>0</v>
      </c>
    </row>
    <row r="368" spans="1:1">
      <c r="A368" s="39">
        <f>IF('Additional Images'!B368 = "", "", IF('Additional Images-WUO_ERR'!A368 = "", "Validated", HYPERLINK("#" &amp; ADDRESS(368, 'Additional Images-WUO_TRK'!A368),_xlfn.TEXTAFTER('Additional Images-WUO_ERR'!A368, ":"))))</f>
        <v>0</v>
      </c>
    </row>
    <row r="369" spans="1:1">
      <c r="A369" s="39">
        <f>IF('Additional Images'!B369 = "", "", IF('Additional Images-WUO_ERR'!A369 = "", "Validated", HYPERLINK("#" &amp; ADDRESS(369, 'Additional Images-WUO_TRK'!A369),_xlfn.TEXTAFTER('Additional Images-WUO_ERR'!A369, ":"))))</f>
        <v>0</v>
      </c>
    </row>
    <row r="370" spans="1:1">
      <c r="A370" s="39">
        <f>IF('Additional Images'!B370 = "", "", IF('Additional Images-WUO_ERR'!A370 = "", "Validated", HYPERLINK("#" &amp; ADDRESS(370, 'Additional Images-WUO_TRK'!A370),_xlfn.TEXTAFTER('Additional Images-WUO_ERR'!A370, ":"))))</f>
        <v>0</v>
      </c>
    </row>
    <row r="371" spans="1:1">
      <c r="A371" s="39">
        <f>IF('Additional Images'!B371 = "", "", IF('Additional Images-WUO_ERR'!A371 = "", "Validated", HYPERLINK("#" &amp; ADDRESS(371, 'Additional Images-WUO_TRK'!A371),_xlfn.TEXTAFTER('Additional Images-WUO_ERR'!A371, ":"))))</f>
        <v>0</v>
      </c>
    </row>
    <row r="372" spans="1:1">
      <c r="A372" s="39">
        <f>IF('Additional Images'!B372 = "", "", IF('Additional Images-WUO_ERR'!A372 = "", "Validated", HYPERLINK("#" &amp; ADDRESS(372, 'Additional Images-WUO_TRK'!A372),_xlfn.TEXTAFTER('Additional Images-WUO_ERR'!A372, ":"))))</f>
        <v>0</v>
      </c>
    </row>
    <row r="373" spans="1:1">
      <c r="A373" s="39">
        <f>IF('Additional Images'!B373 = "", "", IF('Additional Images-WUO_ERR'!A373 = "", "Validated", HYPERLINK("#" &amp; ADDRESS(373, 'Additional Images-WUO_TRK'!A373),_xlfn.TEXTAFTER('Additional Images-WUO_ERR'!A373, ":"))))</f>
        <v>0</v>
      </c>
    </row>
    <row r="374" spans="1:1">
      <c r="A374" s="39">
        <f>IF('Additional Images'!B374 = "", "", IF('Additional Images-WUO_ERR'!A374 = "", "Validated", HYPERLINK("#" &amp; ADDRESS(374, 'Additional Images-WUO_TRK'!A374),_xlfn.TEXTAFTER('Additional Images-WUO_ERR'!A374, ":"))))</f>
        <v>0</v>
      </c>
    </row>
    <row r="375" spans="1:1">
      <c r="A375" s="39">
        <f>IF('Additional Images'!B375 = "", "", IF('Additional Images-WUO_ERR'!A375 = "", "Validated", HYPERLINK("#" &amp; ADDRESS(375, 'Additional Images-WUO_TRK'!A375),_xlfn.TEXTAFTER('Additional Images-WUO_ERR'!A375, ":"))))</f>
        <v>0</v>
      </c>
    </row>
    <row r="376" spans="1:1">
      <c r="A376" s="39">
        <f>IF('Additional Images'!B376 = "", "", IF('Additional Images-WUO_ERR'!A376 = "", "Validated", HYPERLINK("#" &amp; ADDRESS(376, 'Additional Images-WUO_TRK'!A376),_xlfn.TEXTAFTER('Additional Images-WUO_ERR'!A376, ":"))))</f>
        <v>0</v>
      </c>
    </row>
    <row r="377" spans="1:1">
      <c r="A377" s="39">
        <f>IF('Additional Images'!B377 = "", "", IF('Additional Images-WUO_ERR'!A377 = "", "Validated", HYPERLINK("#" &amp; ADDRESS(377, 'Additional Images-WUO_TRK'!A377),_xlfn.TEXTAFTER('Additional Images-WUO_ERR'!A377, ":"))))</f>
        <v>0</v>
      </c>
    </row>
    <row r="378" spans="1:1">
      <c r="A378" s="39">
        <f>IF('Additional Images'!B378 = "", "", IF('Additional Images-WUO_ERR'!A378 = "", "Validated", HYPERLINK("#" &amp; ADDRESS(378, 'Additional Images-WUO_TRK'!A378),_xlfn.TEXTAFTER('Additional Images-WUO_ERR'!A378, ":"))))</f>
        <v>0</v>
      </c>
    </row>
    <row r="379" spans="1:1">
      <c r="A379" s="39">
        <f>IF('Additional Images'!B379 = "", "", IF('Additional Images-WUO_ERR'!A379 = "", "Validated", HYPERLINK("#" &amp; ADDRESS(379, 'Additional Images-WUO_TRK'!A379),_xlfn.TEXTAFTER('Additional Images-WUO_ERR'!A379, ":"))))</f>
        <v>0</v>
      </c>
    </row>
    <row r="380" spans="1:1">
      <c r="A380" s="39">
        <f>IF('Additional Images'!B380 = "", "", IF('Additional Images-WUO_ERR'!A380 = "", "Validated", HYPERLINK("#" &amp; ADDRESS(380, 'Additional Images-WUO_TRK'!A380),_xlfn.TEXTAFTER('Additional Images-WUO_ERR'!A380, ":"))))</f>
        <v>0</v>
      </c>
    </row>
    <row r="381" spans="1:1">
      <c r="A381" s="39">
        <f>IF('Additional Images'!B381 = "", "", IF('Additional Images-WUO_ERR'!A381 = "", "Validated", HYPERLINK("#" &amp; ADDRESS(381, 'Additional Images-WUO_TRK'!A381),_xlfn.TEXTAFTER('Additional Images-WUO_ERR'!A381, ":"))))</f>
        <v>0</v>
      </c>
    </row>
    <row r="382" spans="1:1">
      <c r="A382" s="39">
        <f>IF('Additional Images'!B382 = "", "", IF('Additional Images-WUO_ERR'!A382 = "", "Validated", HYPERLINK("#" &amp; ADDRESS(382, 'Additional Images-WUO_TRK'!A382),_xlfn.TEXTAFTER('Additional Images-WUO_ERR'!A382, ":"))))</f>
        <v>0</v>
      </c>
    </row>
    <row r="383" spans="1:1">
      <c r="A383" s="39">
        <f>IF('Additional Images'!B383 = "", "", IF('Additional Images-WUO_ERR'!A383 = "", "Validated", HYPERLINK("#" &amp; ADDRESS(383, 'Additional Images-WUO_TRK'!A383),_xlfn.TEXTAFTER('Additional Images-WUO_ERR'!A383, ":"))))</f>
        <v>0</v>
      </c>
    </row>
    <row r="384" spans="1:1">
      <c r="A384" s="39">
        <f>IF('Additional Images'!B384 = "", "", IF('Additional Images-WUO_ERR'!A384 = "", "Validated", HYPERLINK("#" &amp; ADDRESS(384, 'Additional Images-WUO_TRK'!A384),_xlfn.TEXTAFTER('Additional Images-WUO_ERR'!A384, ":"))))</f>
        <v>0</v>
      </c>
    </row>
    <row r="385" spans="1:1">
      <c r="A385" s="39">
        <f>IF('Additional Images'!B385 = "", "", IF('Additional Images-WUO_ERR'!A385 = "", "Validated", HYPERLINK("#" &amp; ADDRESS(385, 'Additional Images-WUO_TRK'!A385),_xlfn.TEXTAFTER('Additional Images-WUO_ERR'!A385, ":"))))</f>
        <v>0</v>
      </c>
    </row>
    <row r="386" spans="1:1">
      <c r="A386" s="39">
        <f>IF('Additional Images'!B386 = "", "", IF('Additional Images-WUO_ERR'!A386 = "", "Validated", HYPERLINK("#" &amp; ADDRESS(386, 'Additional Images-WUO_TRK'!A386),_xlfn.TEXTAFTER('Additional Images-WUO_ERR'!A386, ":"))))</f>
        <v>0</v>
      </c>
    </row>
    <row r="387" spans="1:1">
      <c r="A387" s="39">
        <f>IF('Additional Images'!B387 = "", "", IF('Additional Images-WUO_ERR'!A387 = "", "Validated", HYPERLINK("#" &amp; ADDRESS(387, 'Additional Images-WUO_TRK'!A387),_xlfn.TEXTAFTER('Additional Images-WUO_ERR'!A387, ":"))))</f>
        <v>0</v>
      </c>
    </row>
    <row r="388" spans="1:1">
      <c r="A388" s="39">
        <f>IF('Additional Images'!B388 = "", "", IF('Additional Images-WUO_ERR'!A388 = "", "Validated", HYPERLINK("#" &amp; ADDRESS(388, 'Additional Images-WUO_TRK'!A388),_xlfn.TEXTAFTER('Additional Images-WUO_ERR'!A388, ":"))))</f>
        <v>0</v>
      </c>
    </row>
    <row r="389" spans="1:1">
      <c r="A389" s="39">
        <f>IF('Additional Images'!B389 = "", "", IF('Additional Images-WUO_ERR'!A389 = "", "Validated", HYPERLINK("#" &amp; ADDRESS(389, 'Additional Images-WUO_TRK'!A389),_xlfn.TEXTAFTER('Additional Images-WUO_ERR'!A389, ":"))))</f>
        <v>0</v>
      </c>
    </row>
    <row r="390" spans="1:1">
      <c r="A390" s="39">
        <f>IF('Additional Images'!B390 = "", "", IF('Additional Images-WUO_ERR'!A390 = "", "Validated", HYPERLINK("#" &amp; ADDRESS(390, 'Additional Images-WUO_TRK'!A390),_xlfn.TEXTAFTER('Additional Images-WUO_ERR'!A390, ":"))))</f>
        <v>0</v>
      </c>
    </row>
    <row r="391" spans="1:1">
      <c r="A391" s="39">
        <f>IF('Additional Images'!B391 = "", "", IF('Additional Images-WUO_ERR'!A391 = "", "Validated", HYPERLINK("#" &amp; ADDRESS(391, 'Additional Images-WUO_TRK'!A391),_xlfn.TEXTAFTER('Additional Images-WUO_ERR'!A391, ":"))))</f>
        <v>0</v>
      </c>
    </row>
    <row r="392" spans="1:1">
      <c r="A392" s="39">
        <f>IF('Additional Images'!B392 = "", "", IF('Additional Images-WUO_ERR'!A392 = "", "Validated", HYPERLINK("#" &amp; ADDRESS(392, 'Additional Images-WUO_TRK'!A392),_xlfn.TEXTAFTER('Additional Images-WUO_ERR'!A392, ":"))))</f>
        <v>0</v>
      </c>
    </row>
    <row r="393" spans="1:1">
      <c r="A393" s="39">
        <f>IF('Additional Images'!B393 = "", "", IF('Additional Images-WUO_ERR'!A393 = "", "Validated", HYPERLINK("#" &amp; ADDRESS(393, 'Additional Images-WUO_TRK'!A393),_xlfn.TEXTAFTER('Additional Images-WUO_ERR'!A393, ":"))))</f>
        <v>0</v>
      </c>
    </row>
    <row r="394" spans="1:1">
      <c r="A394" s="39">
        <f>IF('Additional Images'!B394 = "", "", IF('Additional Images-WUO_ERR'!A394 = "", "Validated", HYPERLINK("#" &amp; ADDRESS(394, 'Additional Images-WUO_TRK'!A394),_xlfn.TEXTAFTER('Additional Images-WUO_ERR'!A394, ":"))))</f>
        <v>0</v>
      </c>
    </row>
    <row r="395" spans="1:1">
      <c r="A395" s="39">
        <f>IF('Additional Images'!B395 = "", "", IF('Additional Images-WUO_ERR'!A395 = "", "Validated", HYPERLINK("#" &amp; ADDRESS(395, 'Additional Images-WUO_TRK'!A395),_xlfn.TEXTAFTER('Additional Images-WUO_ERR'!A395, ":"))))</f>
        <v>0</v>
      </c>
    </row>
    <row r="396" spans="1:1">
      <c r="A396" s="39">
        <f>IF('Additional Images'!B396 = "", "", IF('Additional Images-WUO_ERR'!A396 = "", "Validated", HYPERLINK("#" &amp; ADDRESS(396, 'Additional Images-WUO_TRK'!A396),_xlfn.TEXTAFTER('Additional Images-WUO_ERR'!A396, ":"))))</f>
        <v>0</v>
      </c>
    </row>
    <row r="397" spans="1:1">
      <c r="A397" s="39">
        <f>IF('Additional Images'!B397 = "", "", IF('Additional Images-WUO_ERR'!A397 = "", "Validated", HYPERLINK("#" &amp; ADDRESS(397, 'Additional Images-WUO_TRK'!A397),_xlfn.TEXTAFTER('Additional Images-WUO_ERR'!A397, ":"))))</f>
        <v>0</v>
      </c>
    </row>
    <row r="398" spans="1:1">
      <c r="A398" s="39">
        <f>IF('Additional Images'!B398 = "", "", IF('Additional Images-WUO_ERR'!A398 = "", "Validated", HYPERLINK("#" &amp; ADDRESS(398, 'Additional Images-WUO_TRK'!A398),_xlfn.TEXTAFTER('Additional Images-WUO_ERR'!A398, ":"))))</f>
        <v>0</v>
      </c>
    </row>
    <row r="399" spans="1:1">
      <c r="A399" s="39">
        <f>IF('Additional Images'!B399 = "", "", IF('Additional Images-WUO_ERR'!A399 = "", "Validated", HYPERLINK("#" &amp; ADDRESS(399, 'Additional Images-WUO_TRK'!A399),_xlfn.TEXTAFTER('Additional Images-WUO_ERR'!A399, ":"))))</f>
        <v>0</v>
      </c>
    </row>
    <row r="400" spans="1:1">
      <c r="A400" s="39">
        <f>IF('Additional Images'!B400 = "", "", IF('Additional Images-WUO_ERR'!A400 = "", "Validated", HYPERLINK("#" &amp; ADDRESS(400, 'Additional Images-WUO_TRK'!A400),_xlfn.TEXTAFTER('Additional Images-WUO_ERR'!A400, ":"))))</f>
        <v>0</v>
      </c>
    </row>
    <row r="401" spans="1:1">
      <c r="A401" s="39">
        <f>IF('Additional Images'!B401 = "", "", IF('Additional Images-WUO_ERR'!A401 = "", "Validated", HYPERLINK("#" &amp; ADDRESS(401, 'Additional Images-WUO_TRK'!A401),_xlfn.TEXTAFTER('Additional Images-WUO_ERR'!A401, ":"))))</f>
        <v>0</v>
      </c>
    </row>
    <row r="402" spans="1:1">
      <c r="A402" s="39">
        <f>IF('Additional Images'!B402 = "", "", IF('Additional Images-WUO_ERR'!A402 = "", "Validated", HYPERLINK("#" &amp; ADDRESS(402, 'Additional Images-WUO_TRK'!A402),_xlfn.TEXTAFTER('Additional Images-WUO_ERR'!A402, ":"))))</f>
        <v>0</v>
      </c>
    </row>
    <row r="403" spans="1:1">
      <c r="A403" s="39">
        <f>IF('Additional Images'!B403 = "", "", IF('Additional Images-WUO_ERR'!A403 = "", "Validated", HYPERLINK("#" &amp; ADDRESS(403, 'Additional Images-WUO_TRK'!A403),_xlfn.TEXTAFTER('Additional Images-WUO_ERR'!A403, ":"))))</f>
        <v>0</v>
      </c>
    </row>
    <row r="404" spans="1:1">
      <c r="A404" s="39">
        <f>IF('Additional Images'!B404 = "", "", IF('Additional Images-WUO_ERR'!A404 = "", "Validated", HYPERLINK("#" &amp; ADDRESS(404, 'Additional Images-WUO_TRK'!A404),_xlfn.TEXTAFTER('Additional Images-WUO_ERR'!A404, ":"))))</f>
        <v>0</v>
      </c>
    </row>
    <row r="405" spans="1:1">
      <c r="A405" s="39">
        <f>IF('Additional Images'!B405 = "", "", IF('Additional Images-WUO_ERR'!A405 = "", "Validated", HYPERLINK("#" &amp; ADDRESS(405, 'Additional Images-WUO_TRK'!A405),_xlfn.TEXTAFTER('Additional Images-WUO_ERR'!A405, ":"))))</f>
        <v>0</v>
      </c>
    </row>
    <row r="406" spans="1:1">
      <c r="A406" s="39">
        <f>IF('Additional Images'!B406 = "", "", IF('Additional Images-WUO_ERR'!A406 = "", "Validated", HYPERLINK("#" &amp; ADDRESS(406, 'Additional Images-WUO_TRK'!A406),_xlfn.TEXTAFTER('Additional Images-WUO_ERR'!A406, ":"))))</f>
        <v>0</v>
      </c>
    </row>
    <row r="407" spans="1:1">
      <c r="A407" s="39">
        <f>IF('Additional Images'!B407 = "", "", IF('Additional Images-WUO_ERR'!A407 = "", "Validated", HYPERLINK("#" &amp; ADDRESS(407, 'Additional Images-WUO_TRK'!A407),_xlfn.TEXTAFTER('Additional Images-WUO_ERR'!A407, ":"))))</f>
        <v>0</v>
      </c>
    </row>
    <row r="408" spans="1:1">
      <c r="A408" s="39">
        <f>IF('Additional Images'!B408 = "", "", IF('Additional Images-WUO_ERR'!A408 = "", "Validated", HYPERLINK("#" &amp; ADDRESS(408, 'Additional Images-WUO_TRK'!A408),_xlfn.TEXTAFTER('Additional Images-WUO_ERR'!A408, ":"))))</f>
        <v>0</v>
      </c>
    </row>
    <row r="409" spans="1:1">
      <c r="A409" s="39">
        <f>IF('Additional Images'!B409 = "", "", IF('Additional Images-WUO_ERR'!A409 = "", "Validated", HYPERLINK("#" &amp; ADDRESS(409, 'Additional Images-WUO_TRK'!A409),_xlfn.TEXTAFTER('Additional Images-WUO_ERR'!A409, ":"))))</f>
        <v>0</v>
      </c>
    </row>
    <row r="410" spans="1:1">
      <c r="A410" s="39">
        <f>IF('Additional Images'!B410 = "", "", IF('Additional Images-WUO_ERR'!A410 = "", "Validated", HYPERLINK("#" &amp; ADDRESS(410, 'Additional Images-WUO_TRK'!A410),_xlfn.TEXTAFTER('Additional Images-WUO_ERR'!A410, ":"))))</f>
        <v>0</v>
      </c>
    </row>
    <row r="411" spans="1:1">
      <c r="A411" s="39">
        <f>IF('Additional Images'!B411 = "", "", IF('Additional Images-WUO_ERR'!A411 = "", "Validated", HYPERLINK("#" &amp; ADDRESS(411, 'Additional Images-WUO_TRK'!A411),_xlfn.TEXTAFTER('Additional Images-WUO_ERR'!A411, ":"))))</f>
        <v>0</v>
      </c>
    </row>
    <row r="412" spans="1:1">
      <c r="A412" s="39">
        <f>IF('Additional Images'!B412 = "", "", IF('Additional Images-WUO_ERR'!A412 = "", "Validated", HYPERLINK("#" &amp; ADDRESS(412, 'Additional Images-WUO_TRK'!A412),_xlfn.TEXTAFTER('Additional Images-WUO_ERR'!A412, ":"))))</f>
        <v>0</v>
      </c>
    </row>
    <row r="413" spans="1:1">
      <c r="A413" s="39">
        <f>IF('Additional Images'!B413 = "", "", IF('Additional Images-WUO_ERR'!A413 = "", "Validated", HYPERLINK("#" &amp; ADDRESS(413, 'Additional Images-WUO_TRK'!A413),_xlfn.TEXTAFTER('Additional Images-WUO_ERR'!A413, ":"))))</f>
        <v>0</v>
      </c>
    </row>
    <row r="414" spans="1:1">
      <c r="A414" s="39">
        <f>IF('Additional Images'!B414 = "", "", IF('Additional Images-WUO_ERR'!A414 = "", "Validated", HYPERLINK("#" &amp; ADDRESS(414, 'Additional Images-WUO_TRK'!A414),_xlfn.TEXTAFTER('Additional Images-WUO_ERR'!A414, ":"))))</f>
        <v>0</v>
      </c>
    </row>
    <row r="415" spans="1:1">
      <c r="A415" s="39">
        <f>IF('Additional Images'!B415 = "", "", IF('Additional Images-WUO_ERR'!A415 = "", "Validated", HYPERLINK("#" &amp; ADDRESS(415, 'Additional Images-WUO_TRK'!A415),_xlfn.TEXTAFTER('Additional Images-WUO_ERR'!A415, ":"))))</f>
        <v>0</v>
      </c>
    </row>
    <row r="416" spans="1:1">
      <c r="A416" s="39">
        <f>IF('Additional Images'!B416 = "", "", IF('Additional Images-WUO_ERR'!A416 = "", "Validated", HYPERLINK("#" &amp; ADDRESS(416, 'Additional Images-WUO_TRK'!A416),_xlfn.TEXTAFTER('Additional Images-WUO_ERR'!A416, ":"))))</f>
        <v>0</v>
      </c>
    </row>
    <row r="417" spans="1:1">
      <c r="A417" s="39">
        <f>IF('Additional Images'!B417 = "", "", IF('Additional Images-WUO_ERR'!A417 = "", "Validated", HYPERLINK("#" &amp; ADDRESS(417, 'Additional Images-WUO_TRK'!A417),_xlfn.TEXTAFTER('Additional Images-WUO_ERR'!A417, ":"))))</f>
        <v>0</v>
      </c>
    </row>
    <row r="418" spans="1:1">
      <c r="A418" s="39">
        <f>IF('Additional Images'!B418 = "", "", IF('Additional Images-WUO_ERR'!A418 = "", "Validated", HYPERLINK("#" &amp; ADDRESS(418, 'Additional Images-WUO_TRK'!A418),_xlfn.TEXTAFTER('Additional Images-WUO_ERR'!A418, ":"))))</f>
        <v>0</v>
      </c>
    </row>
    <row r="419" spans="1:1">
      <c r="A419" s="39">
        <f>IF('Additional Images'!B419 = "", "", IF('Additional Images-WUO_ERR'!A419 = "", "Validated", HYPERLINK("#" &amp; ADDRESS(419, 'Additional Images-WUO_TRK'!A419),_xlfn.TEXTAFTER('Additional Images-WUO_ERR'!A419, ":"))))</f>
        <v>0</v>
      </c>
    </row>
    <row r="420" spans="1:1">
      <c r="A420" s="39">
        <f>IF('Additional Images'!B420 = "", "", IF('Additional Images-WUO_ERR'!A420 = "", "Validated", HYPERLINK("#" &amp; ADDRESS(420, 'Additional Images-WUO_TRK'!A420),_xlfn.TEXTAFTER('Additional Images-WUO_ERR'!A420, ":"))))</f>
        <v>0</v>
      </c>
    </row>
    <row r="421" spans="1:1">
      <c r="A421" s="39">
        <f>IF('Additional Images'!B421 = "", "", IF('Additional Images-WUO_ERR'!A421 = "", "Validated", HYPERLINK("#" &amp; ADDRESS(421, 'Additional Images-WUO_TRK'!A421),_xlfn.TEXTAFTER('Additional Images-WUO_ERR'!A421, ":"))))</f>
        <v>0</v>
      </c>
    </row>
    <row r="422" spans="1:1">
      <c r="A422" s="39">
        <f>IF('Additional Images'!B422 = "", "", IF('Additional Images-WUO_ERR'!A422 = "", "Validated", HYPERLINK("#" &amp; ADDRESS(422, 'Additional Images-WUO_TRK'!A422),_xlfn.TEXTAFTER('Additional Images-WUO_ERR'!A422, ":"))))</f>
        <v>0</v>
      </c>
    </row>
    <row r="423" spans="1:1">
      <c r="A423" s="39">
        <f>IF('Additional Images'!B423 = "", "", IF('Additional Images-WUO_ERR'!A423 = "", "Validated", HYPERLINK("#" &amp; ADDRESS(423, 'Additional Images-WUO_TRK'!A423),_xlfn.TEXTAFTER('Additional Images-WUO_ERR'!A423, ":"))))</f>
        <v>0</v>
      </c>
    </row>
    <row r="424" spans="1:1">
      <c r="A424" s="39">
        <f>IF('Additional Images'!B424 = "", "", IF('Additional Images-WUO_ERR'!A424 = "", "Validated", HYPERLINK("#" &amp; ADDRESS(424, 'Additional Images-WUO_TRK'!A424),_xlfn.TEXTAFTER('Additional Images-WUO_ERR'!A424, ":"))))</f>
        <v>0</v>
      </c>
    </row>
    <row r="425" spans="1:1">
      <c r="A425" s="39">
        <f>IF('Additional Images'!B425 = "", "", IF('Additional Images-WUO_ERR'!A425 = "", "Validated", HYPERLINK("#" &amp; ADDRESS(425, 'Additional Images-WUO_TRK'!A425),_xlfn.TEXTAFTER('Additional Images-WUO_ERR'!A425, ":"))))</f>
        <v>0</v>
      </c>
    </row>
    <row r="426" spans="1:1">
      <c r="A426" s="39">
        <f>IF('Additional Images'!B426 = "", "", IF('Additional Images-WUO_ERR'!A426 = "", "Validated", HYPERLINK("#" &amp; ADDRESS(426, 'Additional Images-WUO_TRK'!A426),_xlfn.TEXTAFTER('Additional Images-WUO_ERR'!A426, ":"))))</f>
        <v>0</v>
      </c>
    </row>
    <row r="427" spans="1:1">
      <c r="A427" s="39">
        <f>IF('Additional Images'!B427 = "", "", IF('Additional Images-WUO_ERR'!A427 = "", "Validated", HYPERLINK("#" &amp; ADDRESS(427, 'Additional Images-WUO_TRK'!A427),_xlfn.TEXTAFTER('Additional Images-WUO_ERR'!A427, ":"))))</f>
        <v>0</v>
      </c>
    </row>
    <row r="428" spans="1:1">
      <c r="A428" s="39">
        <f>IF('Additional Images'!B428 = "", "", IF('Additional Images-WUO_ERR'!A428 = "", "Validated", HYPERLINK("#" &amp; ADDRESS(428, 'Additional Images-WUO_TRK'!A428),_xlfn.TEXTAFTER('Additional Images-WUO_ERR'!A428, ":"))))</f>
        <v>0</v>
      </c>
    </row>
    <row r="429" spans="1:1">
      <c r="A429" s="39">
        <f>IF('Additional Images'!B429 = "", "", IF('Additional Images-WUO_ERR'!A429 = "", "Validated", HYPERLINK("#" &amp; ADDRESS(429, 'Additional Images-WUO_TRK'!A429),_xlfn.TEXTAFTER('Additional Images-WUO_ERR'!A429, ":"))))</f>
        <v>0</v>
      </c>
    </row>
    <row r="430" spans="1:1">
      <c r="A430" s="39">
        <f>IF('Additional Images'!B430 = "", "", IF('Additional Images-WUO_ERR'!A430 = "", "Validated", HYPERLINK("#" &amp; ADDRESS(430, 'Additional Images-WUO_TRK'!A430),_xlfn.TEXTAFTER('Additional Images-WUO_ERR'!A430, ":"))))</f>
        <v>0</v>
      </c>
    </row>
    <row r="431" spans="1:1">
      <c r="A431" s="39">
        <f>IF('Additional Images'!B431 = "", "", IF('Additional Images-WUO_ERR'!A431 = "", "Validated", HYPERLINK("#" &amp; ADDRESS(431, 'Additional Images-WUO_TRK'!A431),_xlfn.TEXTAFTER('Additional Images-WUO_ERR'!A431, ":"))))</f>
        <v>0</v>
      </c>
    </row>
    <row r="432" spans="1:1">
      <c r="A432" s="39">
        <f>IF('Additional Images'!B432 = "", "", IF('Additional Images-WUO_ERR'!A432 = "", "Validated", HYPERLINK("#" &amp; ADDRESS(432, 'Additional Images-WUO_TRK'!A432),_xlfn.TEXTAFTER('Additional Images-WUO_ERR'!A432, ":"))))</f>
        <v>0</v>
      </c>
    </row>
    <row r="433" spans="1:1">
      <c r="A433" s="39">
        <f>IF('Additional Images'!B433 = "", "", IF('Additional Images-WUO_ERR'!A433 = "", "Validated", HYPERLINK("#" &amp; ADDRESS(433, 'Additional Images-WUO_TRK'!A433),_xlfn.TEXTAFTER('Additional Images-WUO_ERR'!A433, ":"))))</f>
        <v>0</v>
      </c>
    </row>
    <row r="434" spans="1:1">
      <c r="A434" s="39">
        <f>IF('Additional Images'!B434 = "", "", IF('Additional Images-WUO_ERR'!A434 = "", "Validated", HYPERLINK("#" &amp; ADDRESS(434, 'Additional Images-WUO_TRK'!A434),_xlfn.TEXTAFTER('Additional Images-WUO_ERR'!A434, ":"))))</f>
        <v>0</v>
      </c>
    </row>
    <row r="435" spans="1:1">
      <c r="A435" s="39">
        <f>IF('Additional Images'!B435 = "", "", IF('Additional Images-WUO_ERR'!A435 = "", "Validated", HYPERLINK("#" &amp; ADDRESS(435, 'Additional Images-WUO_TRK'!A435),_xlfn.TEXTAFTER('Additional Images-WUO_ERR'!A435, ":"))))</f>
        <v>0</v>
      </c>
    </row>
    <row r="436" spans="1:1">
      <c r="A436" s="39">
        <f>IF('Additional Images'!B436 = "", "", IF('Additional Images-WUO_ERR'!A436 = "", "Validated", HYPERLINK("#" &amp; ADDRESS(436, 'Additional Images-WUO_TRK'!A436),_xlfn.TEXTAFTER('Additional Images-WUO_ERR'!A436, ":"))))</f>
        <v>0</v>
      </c>
    </row>
    <row r="437" spans="1:1">
      <c r="A437" s="39">
        <f>IF('Additional Images'!B437 = "", "", IF('Additional Images-WUO_ERR'!A437 = "", "Validated", HYPERLINK("#" &amp; ADDRESS(437, 'Additional Images-WUO_TRK'!A437),_xlfn.TEXTAFTER('Additional Images-WUO_ERR'!A437, ":"))))</f>
        <v>0</v>
      </c>
    </row>
    <row r="438" spans="1:1">
      <c r="A438" s="39">
        <f>IF('Additional Images'!B438 = "", "", IF('Additional Images-WUO_ERR'!A438 = "", "Validated", HYPERLINK("#" &amp; ADDRESS(438, 'Additional Images-WUO_TRK'!A438),_xlfn.TEXTAFTER('Additional Images-WUO_ERR'!A438, ":"))))</f>
        <v>0</v>
      </c>
    </row>
    <row r="439" spans="1:1">
      <c r="A439" s="39">
        <f>IF('Additional Images'!B439 = "", "", IF('Additional Images-WUO_ERR'!A439 = "", "Validated", HYPERLINK("#" &amp; ADDRESS(439, 'Additional Images-WUO_TRK'!A439),_xlfn.TEXTAFTER('Additional Images-WUO_ERR'!A439, ":"))))</f>
        <v>0</v>
      </c>
    </row>
    <row r="440" spans="1:1">
      <c r="A440" s="39">
        <f>IF('Additional Images'!B440 = "", "", IF('Additional Images-WUO_ERR'!A440 = "", "Validated", HYPERLINK("#" &amp; ADDRESS(440, 'Additional Images-WUO_TRK'!A440),_xlfn.TEXTAFTER('Additional Images-WUO_ERR'!A440, ":"))))</f>
        <v>0</v>
      </c>
    </row>
    <row r="441" spans="1:1">
      <c r="A441" s="39">
        <f>IF('Additional Images'!B441 = "", "", IF('Additional Images-WUO_ERR'!A441 = "", "Validated", HYPERLINK("#" &amp; ADDRESS(441, 'Additional Images-WUO_TRK'!A441),_xlfn.TEXTAFTER('Additional Images-WUO_ERR'!A441, ":"))))</f>
        <v>0</v>
      </c>
    </row>
    <row r="442" spans="1:1">
      <c r="A442" s="39">
        <f>IF('Additional Images'!B442 = "", "", IF('Additional Images-WUO_ERR'!A442 = "", "Validated", HYPERLINK("#" &amp; ADDRESS(442, 'Additional Images-WUO_TRK'!A442),_xlfn.TEXTAFTER('Additional Images-WUO_ERR'!A442, ":"))))</f>
        <v>0</v>
      </c>
    </row>
    <row r="443" spans="1:1">
      <c r="A443" s="39">
        <f>IF('Additional Images'!B443 = "", "", IF('Additional Images-WUO_ERR'!A443 = "", "Validated", HYPERLINK("#" &amp; ADDRESS(443, 'Additional Images-WUO_TRK'!A443),_xlfn.TEXTAFTER('Additional Images-WUO_ERR'!A443, ":"))))</f>
        <v>0</v>
      </c>
    </row>
    <row r="444" spans="1:1">
      <c r="A444" s="39">
        <f>IF('Additional Images'!B444 = "", "", IF('Additional Images-WUO_ERR'!A444 = "", "Validated", HYPERLINK("#" &amp; ADDRESS(444, 'Additional Images-WUO_TRK'!A444),_xlfn.TEXTAFTER('Additional Images-WUO_ERR'!A444, ":"))))</f>
        <v>0</v>
      </c>
    </row>
    <row r="445" spans="1:1">
      <c r="A445" s="39">
        <f>IF('Additional Images'!B445 = "", "", IF('Additional Images-WUO_ERR'!A445 = "", "Validated", HYPERLINK("#" &amp; ADDRESS(445, 'Additional Images-WUO_TRK'!A445),_xlfn.TEXTAFTER('Additional Images-WUO_ERR'!A445, ":"))))</f>
        <v>0</v>
      </c>
    </row>
    <row r="446" spans="1:1">
      <c r="A446" s="39">
        <f>IF('Additional Images'!B446 = "", "", IF('Additional Images-WUO_ERR'!A446 = "", "Validated", HYPERLINK("#" &amp; ADDRESS(446, 'Additional Images-WUO_TRK'!A446),_xlfn.TEXTAFTER('Additional Images-WUO_ERR'!A446, ":"))))</f>
        <v>0</v>
      </c>
    </row>
    <row r="447" spans="1:1">
      <c r="A447" s="39">
        <f>IF('Additional Images'!B447 = "", "", IF('Additional Images-WUO_ERR'!A447 = "", "Validated", HYPERLINK("#" &amp; ADDRESS(447, 'Additional Images-WUO_TRK'!A447),_xlfn.TEXTAFTER('Additional Images-WUO_ERR'!A447, ":"))))</f>
        <v>0</v>
      </c>
    </row>
    <row r="448" spans="1:1">
      <c r="A448" s="39">
        <f>IF('Additional Images'!B448 = "", "", IF('Additional Images-WUO_ERR'!A448 = "", "Validated", HYPERLINK("#" &amp; ADDRESS(448, 'Additional Images-WUO_TRK'!A448),_xlfn.TEXTAFTER('Additional Images-WUO_ERR'!A448, ":"))))</f>
        <v>0</v>
      </c>
    </row>
    <row r="449" spans="1:1">
      <c r="A449" s="39">
        <f>IF('Additional Images'!B449 = "", "", IF('Additional Images-WUO_ERR'!A449 = "", "Validated", HYPERLINK("#" &amp; ADDRESS(449, 'Additional Images-WUO_TRK'!A449),_xlfn.TEXTAFTER('Additional Images-WUO_ERR'!A449, ":"))))</f>
        <v>0</v>
      </c>
    </row>
    <row r="450" spans="1:1">
      <c r="A450" s="39">
        <f>IF('Additional Images'!B450 = "", "", IF('Additional Images-WUO_ERR'!A450 = "", "Validated", HYPERLINK("#" &amp; ADDRESS(450, 'Additional Images-WUO_TRK'!A450),_xlfn.TEXTAFTER('Additional Images-WUO_ERR'!A450, ":"))))</f>
        <v>0</v>
      </c>
    </row>
    <row r="451" spans="1:1">
      <c r="A451" s="39">
        <f>IF('Additional Images'!B451 = "", "", IF('Additional Images-WUO_ERR'!A451 = "", "Validated", HYPERLINK("#" &amp; ADDRESS(451, 'Additional Images-WUO_TRK'!A451),_xlfn.TEXTAFTER('Additional Images-WUO_ERR'!A451, ":"))))</f>
        <v>0</v>
      </c>
    </row>
    <row r="452" spans="1:1">
      <c r="A452" s="39">
        <f>IF('Additional Images'!B452 = "", "", IF('Additional Images-WUO_ERR'!A452 = "", "Validated", HYPERLINK("#" &amp; ADDRESS(452, 'Additional Images-WUO_TRK'!A452),_xlfn.TEXTAFTER('Additional Images-WUO_ERR'!A452, ":"))))</f>
        <v>0</v>
      </c>
    </row>
    <row r="453" spans="1:1">
      <c r="A453" s="39">
        <f>IF('Additional Images'!B453 = "", "", IF('Additional Images-WUO_ERR'!A453 = "", "Validated", HYPERLINK("#" &amp; ADDRESS(453, 'Additional Images-WUO_TRK'!A453),_xlfn.TEXTAFTER('Additional Images-WUO_ERR'!A453, ":"))))</f>
        <v>0</v>
      </c>
    </row>
    <row r="454" spans="1:1">
      <c r="A454" s="39">
        <f>IF('Additional Images'!B454 = "", "", IF('Additional Images-WUO_ERR'!A454 = "", "Validated", HYPERLINK("#" &amp; ADDRESS(454, 'Additional Images-WUO_TRK'!A454),_xlfn.TEXTAFTER('Additional Images-WUO_ERR'!A454, ":"))))</f>
        <v>0</v>
      </c>
    </row>
    <row r="455" spans="1:1">
      <c r="A455" s="39">
        <f>IF('Additional Images'!B455 = "", "", IF('Additional Images-WUO_ERR'!A455 = "", "Validated", HYPERLINK("#" &amp; ADDRESS(455, 'Additional Images-WUO_TRK'!A455),_xlfn.TEXTAFTER('Additional Images-WUO_ERR'!A455, ":"))))</f>
        <v>0</v>
      </c>
    </row>
    <row r="456" spans="1:1">
      <c r="A456" s="39">
        <f>IF('Additional Images'!B456 = "", "", IF('Additional Images-WUO_ERR'!A456 = "", "Validated", HYPERLINK("#" &amp; ADDRESS(456, 'Additional Images-WUO_TRK'!A456),_xlfn.TEXTAFTER('Additional Images-WUO_ERR'!A456, ":"))))</f>
        <v>0</v>
      </c>
    </row>
    <row r="457" spans="1:1">
      <c r="A457" s="39">
        <f>IF('Additional Images'!B457 = "", "", IF('Additional Images-WUO_ERR'!A457 = "", "Validated", HYPERLINK("#" &amp; ADDRESS(457, 'Additional Images-WUO_TRK'!A457),_xlfn.TEXTAFTER('Additional Images-WUO_ERR'!A457, ":"))))</f>
        <v>0</v>
      </c>
    </row>
    <row r="458" spans="1:1">
      <c r="A458" s="39">
        <f>IF('Additional Images'!B458 = "", "", IF('Additional Images-WUO_ERR'!A458 = "", "Validated", HYPERLINK("#" &amp; ADDRESS(458, 'Additional Images-WUO_TRK'!A458),_xlfn.TEXTAFTER('Additional Images-WUO_ERR'!A458, ":"))))</f>
        <v>0</v>
      </c>
    </row>
    <row r="459" spans="1:1">
      <c r="A459" s="39">
        <f>IF('Additional Images'!B459 = "", "", IF('Additional Images-WUO_ERR'!A459 = "", "Validated", HYPERLINK("#" &amp; ADDRESS(459, 'Additional Images-WUO_TRK'!A459),_xlfn.TEXTAFTER('Additional Images-WUO_ERR'!A459, ":"))))</f>
        <v>0</v>
      </c>
    </row>
    <row r="460" spans="1:1">
      <c r="A460" s="39">
        <f>IF('Additional Images'!B460 = "", "", IF('Additional Images-WUO_ERR'!A460 = "", "Validated", HYPERLINK("#" &amp; ADDRESS(460, 'Additional Images-WUO_TRK'!A460),_xlfn.TEXTAFTER('Additional Images-WUO_ERR'!A460, ":"))))</f>
        <v>0</v>
      </c>
    </row>
    <row r="461" spans="1:1">
      <c r="A461" s="39">
        <f>IF('Additional Images'!B461 = "", "", IF('Additional Images-WUO_ERR'!A461 = "", "Validated", HYPERLINK("#" &amp; ADDRESS(461, 'Additional Images-WUO_TRK'!A461),_xlfn.TEXTAFTER('Additional Images-WUO_ERR'!A461, ":"))))</f>
        <v>0</v>
      </c>
    </row>
    <row r="462" spans="1:1">
      <c r="A462" s="39">
        <f>IF('Additional Images'!B462 = "", "", IF('Additional Images-WUO_ERR'!A462 = "", "Validated", HYPERLINK("#" &amp; ADDRESS(462, 'Additional Images-WUO_TRK'!A462),_xlfn.TEXTAFTER('Additional Images-WUO_ERR'!A462, ":"))))</f>
        <v>0</v>
      </c>
    </row>
    <row r="463" spans="1:1">
      <c r="A463" s="39">
        <f>IF('Additional Images'!B463 = "", "", IF('Additional Images-WUO_ERR'!A463 = "", "Validated", HYPERLINK("#" &amp; ADDRESS(463, 'Additional Images-WUO_TRK'!A463),_xlfn.TEXTAFTER('Additional Images-WUO_ERR'!A463, ":"))))</f>
        <v>0</v>
      </c>
    </row>
    <row r="464" spans="1:1">
      <c r="A464" s="39">
        <f>IF('Additional Images'!B464 = "", "", IF('Additional Images-WUO_ERR'!A464 = "", "Validated", HYPERLINK("#" &amp; ADDRESS(464, 'Additional Images-WUO_TRK'!A464),_xlfn.TEXTAFTER('Additional Images-WUO_ERR'!A464, ":"))))</f>
        <v>0</v>
      </c>
    </row>
    <row r="465" spans="1:1">
      <c r="A465" s="39">
        <f>IF('Additional Images'!B465 = "", "", IF('Additional Images-WUO_ERR'!A465 = "", "Validated", HYPERLINK("#" &amp; ADDRESS(465, 'Additional Images-WUO_TRK'!A465),_xlfn.TEXTAFTER('Additional Images-WUO_ERR'!A465, ":"))))</f>
        <v>0</v>
      </c>
    </row>
    <row r="466" spans="1:1">
      <c r="A466" s="39">
        <f>IF('Additional Images'!B466 = "", "", IF('Additional Images-WUO_ERR'!A466 = "", "Validated", HYPERLINK("#" &amp; ADDRESS(466, 'Additional Images-WUO_TRK'!A466),_xlfn.TEXTAFTER('Additional Images-WUO_ERR'!A466, ":"))))</f>
        <v>0</v>
      </c>
    </row>
    <row r="467" spans="1:1">
      <c r="A467" s="39">
        <f>IF('Additional Images'!B467 = "", "", IF('Additional Images-WUO_ERR'!A467 = "", "Validated", HYPERLINK("#" &amp; ADDRESS(467, 'Additional Images-WUO_TRK'!A467),_xlfn.TEXTAFTER('Additional Images-WUO_ERR'!A467, ":"))))</f>
        <v>0</v>
      </c>
    </row>
    <row r="468" spans="1:1">
      <c r="A468" s="39">
        <f>IF('Additional Images'!B468 = "", "", IF('Additional Images-WUO_ERR'!A468 = "", "Validated", HYPERLINK("#" &amp; ADDRESS(468, 'Additional Images-WUO_TRK'!A468),_xlfn.TEXTAFTER('Additional Images-WUO_ERR'!A468, ":"))))</f>
        <v>0</v>
      </c>
    </row>
    <row r="469" spans="1:1">
      <c r="A469" s="39">
        <f>IF('Additional Images'!B469 = "", "", IF('Additional Images-WUO_ERR'!A469 = "", "Validated", HYPERLINK("#" &amp; ADDRESS(469, 'Additional Images-WUO_TRK'!A469),_xlfn.TEXTAFTER('Additional Images-WUO_ERR'!A469, ":"))))</f>
        <v>0</v>
      </c>
    </row>
    <row r="470" spans="1:1">
      <c r="A470" s="39">
        <f>IF('Additional Images'!B470 = "", "", IF('Additional Images-WUO_ERR'!A470 = "", "Validated", HYPERLINK("#" &amp; ADDRESS(470, 'Additional Images-WUO_TRK'!A470),_xlfn.TEXTAFTER('Additional Images-WUO_ERR'!A470, ":"))))</f>
        <v>0</v>
      </c>
    </row>
    <row r="471" spans="1:1">
      <c r="A471" s="39">
        <f>IF('Additional Images'!B471 = "", "", IF('Additional Images-WUO_ERR'!A471 = "", "Validated", HYPERLINK("#" &amp; ADDRESS(471, 'Additional Images-WUO_TRK'!A471),_xlfn.TEXTAFTER('Additional Images-WUO_ERR'!A471, ":"))))</f>
        <v>0</v>
      </c>
    </row>
    <row r="472" spans="1:1">
      <c r="A472" s="39">
        <f>IF('Additional Images'!B472 = "", "", IF('Additional Images-WUO_ERR'!A472 = "", "Validated", HYPERLINK("#" &amp; ADDRESS(472, 'Additional Images-WUO_TRK'!A472),_xlfn.TEXTAFTER('Additional Images-WUO_ERR'!A472, ":"))))</f>
        <v>0</v>
      </c>
    </row>
    <row r="473" spans="1:1">
      <c r="A473" s="39">
        <f>IF('Additional Images'!B473 = "", "", IF('Additional Images-WUO_ERR'!A473 = "", "Validated", HYPERLINK("#" &amp; ADDRESS(473, 'Additional Images-WUO_TRK'!A473),_xlfn.TEXTAFTER('Additional Images-WUO_ERR'!A473, ":"))))</f>
        <v>0</v>
      </c>
    </row>
    <row r="474" spans="1:1">
      <c r="A474" s="39">
        <f>IF('Additional Images'!B474 = "", "", IF('Additional Images-WUO_ERR'!A474 = "", "Validated", HYPERLINK("#" &amp; ADDRESS(474, 'Additional Images-WUO_TRK'!A474),_xlfn.TEXTAFTER('Additional Images-WUO_ERR'!A474, ":"))))</f>
        <v>0</v>
      </c>
    </row>
    <row r="475" spans="1:1">
      <c r="A475" s="39">
        <f>IF('Additional Images'!B475 = "", "", IF('Additional Images-WUO_ERR'!A475 = "", "Validated", HYPERLINK("#" &amp; ADDRESS(475, 'Additional Images-WUO_TRK'!A475),_xlfn.TEXTAFTER('Additional Images-WUO_ERR'!A475, ":"))))</f>
        <v>0</v>
      </c>
    </row>
    <row r="476" spans="1:1">
      <c r="A476" s="39">
        <f>IF('Additional Images'!B476 = "", "", IF('Additional Images-WUO_ERR'!A476 = "", "Validated", HYPERLINK("#" &amp; ADDRESS(476, 'Additional Images-WUO_TRK'!A476),_xlfn.TEXTAFTER('Additional Images-WUO_ERR'!A476, ":"))))</f>
        <v>0</v>
      </c>
    </row>
    <row r="477" spans="1:1">
      <c r="A477" s="39">
        <f>IF('Additional Images'!B477 = "", "", IF('Additional Images-WUO_ERR'!A477 = "", "Validated", HYPERLINK("#" &amp; ADDRESS(477, 'Additional Images-WUO_TRK'!A477),_xlfn.TEXTAFTER('Additional Images-WUO_ERR'!A477, ":"))))</f>
        <v>0</v>
      </c>
    </row>
    <row r="478" spans="1:1">
      <c r="A478" s="39">
        <f>IF('Additional Images'!B478 = "", "", IF('Additional Images-WUO_ERR'!A478 = "", "Validated", HYPERLINK("#" &amp; ADDRESS(478, 'Additional Images-WUO_TRK'!A478),_xlfn.TEXTAFTER('Additional Images-WUO_ERR'!A478, ":"))))</f>
        <v>0</v>
      </c>
    </row>
    <row r="479" spans="1:1">
      <c r="A479" s="39">
        <f>IF('Additional Images'!B479 = "", "", IF('Additional Images-WUO_ERR'!A479 = "", "Validated", HYPERLINK("#" &amp; ADDRESS(479, 'Additional Images-WUO_TRK'!A479),_xlfn.TEXTAFTER('Additional Images-WUO_ERR'!A479, ":"))))</f>
        <v>0</v>
      </c>
    </row>
    <row r="480" spans="1:1">
      <c r="A480" s="39">
        <f>IF('Additional Images'!B480 = "", "", IF('Additional Images-WUO_ERR'!A480 = "", "Validated", HYPERLINK("#" &amp; ADDRESS(480, 'Additional Images-WUO_TRK'!A480),_xlfn.TEXTAFTER('Additional Images-WUO_ERR'!A480, ":"))))</f>
        <v>0</v>
      </c>
    </row>
    <row r="481" spans="1:1">
      <c r="A481" s="39">
        <f>IF('Additional Images'!B481 = "", "", IF('Additional Images-WUO_ERR'!A481 = "", "Validated", HYPERLINK("#" &amp; ADDRESS(481, 'Additional Images-WUO_TRK'!A481),_xlfn.TEXTAFTER('Additional Images-WUO_ERR'!A481, ":"))))</f>
        <v>0</v>
      </c>
    </row>
    <row r="482" spans="1:1">
      <c r="A482" s="39">
        <f>IF('Additional Images'!B482 = "", "", IF('Additional Images-WUO_ERR'!A482 = "", "Validated", HYPERLINK("#" &amp; ADDRESS(482, 'Additional Images-WUO_TRK'!A482),_xlfn.TEXTAFTER('Additional Images-WUO_ERR'!A482, ":"))))</f>
        <v>0</v>
      </c>
    </row>
    <row r="483" spans="1:1">
      <c r="A483" s="39">
        <f>IF('Additional Images'!B483 = "", "", IF('Additional Images-WUO_ERR'!A483 = "", "Validated", HYPERLINK("#" &amp; ADDRESS(483, 'Additional Images-WUO_TRK'!A483),_xlfn.TEXTAFTER('Additional Images-WUO_ERR'!A483, ":"))))</f>
        <v>0</v>
      </c>
    </row>
    <row r="484" spans="1:1">
      <c r="A484" s="39">
        <f>IF('Additional Images'!B484 = "", "", IF('Additional Images-WUO_ERR'!A484 = "", "Validated", HYPERLINK("#" &amp; ADDRESS(484, 'Additional Images-WUO_TRK'!A484),_xlfn.TEXTAFTER('Additional Images-WUO_ERR'!A484, ":"))))</f>
        <v>0</v>
      </c>
    </row>
    <row r="485" spans="1:1">
      <c r="A485" s="39">
        <f>IF('Additional Images'!B485 = "", "", IF('Additional Images-WUO_ERR'!A485 = "", "Validated", HYPERLINK("#" &amp; ADDRESS(485, 'Additional Images-WUO_TRK'!A485),_xlfn.TEXTAFTER('Additional Images-WUO_ERR'!A485, ":"))))</f>
        <v>0</v>
      </c>
    </row>
    <row r="486" spans="1:1">
      <c r="A486" s="39">
        <f>IF('Additional Images'!B486 = "", "", IF('Additional Images-WUO_ERR'!A486 = "", "Validated", HYPERLINK("#" &amp; ADDRESS(486, 'Additional Images-WUO_TRK'!A486),_xlfn.TEXTAFTER('Additional Images-WUO_ERR'!A486, ":"))))</f>
        <v>0</v>
      </c>
    </row>
    <row r="487" spans="1:1">
      <c r="A487" s="39">
        <f>IF('Additional Images'!B487 = "", "", IF('Additional Images-WUO_ERR'!A487 = "", "Validated", HYPERLINK("#" &amp; ADDRESS(487, 'Additional Images-WUO_TRK'!A487),_xlfn.TEXTAFTER('Additional Images-WUO_ERR'!A487, ":"))))</f>
        <v>0</v>
      </c>
    </row>
    <row r="488" spans="1:1">
      <c r="A488" s="39">
        <f>IF('Additional Images'!B488 = "", "", IF('Additional Images-WUO_ERR'!A488 = "", "Validated", HYPERLINK("#" &amp; ADDRESS(488, 'Additional Images-WUO_TRK'!A488),_xlfn.TEXTAFTER('Additional Images-WUO_ERR'!A488, ":"))))</f>
        <v>0</v>
      </c>
    </row>
    <row r="489" spans="1:1">
      <c r="A489" s="39">
        <f>IF('Additional Images'!B489 = "", "", IF('Additional Images-WUO_ERR'!A489 = "", "Validated", HYPERLINK("#" &amp; ADDRESS(489, 'Additional Images-WUO_TRK'!A489),_xlfn.TEXTAFTER('Additional Images-WUO_ERR'!A489, ":"))))</f>
        <v>0</v>
      </c>
    </row>
    <row r="490" spans="1:1">
      <c r="A490" s="39">
        <f>IF('Additional Images'!B490 = "", "", IF('Additional Images-WUO_ERR'!A490 = "", "Validated", HYPERLINK("#" &amp; ADDRESS(490, 'Additional Images-WUO_TRK'!A490),_xlfn.TEXTAFTER('Additional Images-WUO_ERR'!A490, ":"))))</f>
        <v>0</v>
      </c>
    </row>
    <row r="491" spans="1:1">
      <c r="A491" s="39">
        <f>IF('Additional Images'!B491 = "", "", IF('Additional Images-WUO_ERR'!A491 = "", "Validated", HYPERLINK("#" &amp; ADDRESS(491, 'Additional Images-WUO_TRK'!A491),_xlfn.TEXTAFTER('Additional Images-WUO_ERR'!A491, ":"))))</f>
        <v>0</v>
      </c>
    </row>
    <row r="492" spans="1:1">
      <c r="A492" s="39">
        <f>IF('Additional Images'!B492 = "", "", IF('Additional Images-WUO_ERR'!A492 = "", "Validated", HYPERLINK("#" &amp; ADDRESS(492, 'Additional Images-WUO_TRK'!A492),_xlfn.TEXTAFTER('Additional Images-WUO_ERR'!A492, ":"))))</f>
        <v>0</v>
      </c>
    </row>
    <row r="493" spans="1:1">
      <c r="A493" s="39">
        <f>IF('Additional Images'!B493 = "", "", IF('Additional Images-WUO_ERR'!A493 = "", "Validated", HYPERLINK("#" &amp; ADDRESS(493, 'Additional Images-WUO_TRK'!A493),_xlfn.TEXTAFTER('Additional Images-WUO_ERR'!A493, ":"))))</f>
        <v>0</v>
      </c>
    </row>
    <row r="494" spans="1:1">
      <c r="A494" s="39">
        <f>IF('Additional Images'!B494 = "", "", IF('Additional Images-WUO_ERR'!A494 = "", "Validated", HYPERLINK("#" &amp; ADDRESS(494, 'Additional Images-WUO_TRK'!A494),_xlfn.TEXTAFTER('Additional Images-WUO_ERR'!A494, ":"))))</f>
        <v>0</v>
      </c>
    </row>
    <row r="495" spans="1:1">
      <c r="A495" s="39">
        <f>IF('Additional Images'!B495 = "", "", IF('Additional Images-WUO_ERR'!A495 = "", "Validated", HYPERLINK("#" &amp; ADDRESS(495, 'Additional Images-WUO_TRK'!A495),_xlfn.TEXTAFTER('Additional Images-WUO_ERR'!A495, ":"))))</f>
        <v>0</v>
      </c>
    </row>
    <row r="496" spans="1:1">
      <c r="A496" s="39">
        <f>IF('Additional Images'!B496 = "", "", IF('Additional Images-WUO_ERR'!A496 = "", "Validated", HYPERLINK("#" &amp; ADDRESS(496, 'Additional Images-WUO_TRK'!A496),_xlfn.TEXTAFTER('Additional Images-WUO_ERR'!A496, ":"))))</f>
        <v>0</v>
      </c>
    </row>
    <row r="497" spans="1:1">
      <c r="A497" s="39">
        <f>IF('Additional Images'!B497 = "", "", IF('Additional Images-WUO_ERR'!A497 = "", "Validated", HYPERLINK("#" &amp; ADDRESS(497, 'Additional Images-WUO_TRK'!A497),_xlfn.TEXTAFTER('Additional Images-WUO_ERR'!A497, ":"))))</f>
        <v>0</v>
      </c>
    </row>
    <row r="498" spans="1:1">
      <c r="A498" s="39">
        <f>IF('Additional Images'!B498 = "", "", IF('Additional Images-WUO_ERR'!A498 = "", "Validated", HYPERLINK("#" &amp; ADDRESS(498, 'Additional Images-WUO_TRK'!A498),_xlfn.TEXTAFTER('Additional Images-WUO_ERR'!A498, ":"))))</f>
        <v>0</v>
      </c>
    </row>
    <row r="499" spans="1:1">
      <c r="A499" s="39">
        <f>IF('Additional Images'!B499 = "", "", IF('Additional Images-WUO_ERR'!A499 = "", "Validated", HYPERLINK("#" &amp; ADDRESS(499, 'Additional Images-WUO_TRK'!A499),_xlfn.TEXTAFTER('Additional Images-WUO_ERR'!A499, ":"))))</f>
        <v>0</v>
      </c>
    </row>
    <row r="500" spans="1:1">
      <c r="A500" s="39">
        <f>IF('Additional Images'!B500 = "", "", IF('Additional Images-WUO_ERR'!A500 = "", "Validated", HYPERLINK("#" &amp; ADDRESS(500, 'Additional Images-WUO_TRK'!A500),_xlfn.TEXTAFTER('Additional Images-WUO_ERR'!A500, ":"))))</f>
        <v>0</v>
      </c>
    </row>
    <row r="501" spans="1:1">
      <c r="A501" s="39">
        <f>IF('Additional Images'!B501 = "", "", IF('Additional Images-WUO_ERR'!A501 = "", "Validated", HYPERLINK("#" &amp; ADDRESS(501, 'Additional Images-WUO_TRK'!A501),_xlfn.TEXTAFTER('Additional Images-WUO_ERR'!A501, ":"))))</f>
        <v>0</v>
      </c>
    </row>
    <row r="502" spans="1:1">
      <c r="A502" s="39">
        <f>IF('Additional Images'!B502 = "", "", IF('Additional Images-WUO_ERR'!A502 = "", "Validated", HYPERLINK("#" &amp; ADDRESS(502, 'Additional Images-WUO_TRK'!A502),_xlfn.TEXTAFTER('Additional Images-WUO_ERR'!A502, ":"))))</f>
        <v>0</v>
      </c>
    </row>
    <row r="503" spans="1:1">
      <c r="A503" s="39">
        <f>IF('Additional Images'!B503 = "", "", IF('Additional Images-WUO_ERR'!A503 = "", "Validated", HYPERLINK("#" &amp; ADDRESS(503, 'Additional Images-WUO_TRK'!A503),_xlfn.TEXTAFTER('Additional Images-WUO_ERR'!A503, ":"))))</f>
        <v>0</v>
      </c>
    </row>
    <row r="504" spans="1:1">
      <c r="A504" s="39">
        <f>IF('Additional Images'!B504 = "", "", IF('Additional Images-WUO_ERR'!A504 = "", "Validated", HYPERLINK("#" &amp; ADDRESS(504, 'Additional Images-WUO_TRK'!A504),_xlfn.TEXTAFTER('Additional Images-WUO_ERR'!A504, ":"))))</f>
        <v>0</v>
      </c>
    </row>
    <row r="505" spans="1:1">
      <c r="A505" s="39">
        <f>IF('Additional Images'!B505 = "", "", IF('Additional Images-WUO_ERR'!A505 = "", "Validated", HYPERLINK("#" &amp; ADDRESS(505, 'Additional Images-WUO_TRK'!A505),_xlfn.TEXTAFTER('Additional Images-WUO_ERR'!A505, ":"))))</f>
        <v>0</v>
      </c>
    </row>
    <row r="506" spans="1:1">
      <c r="A506" s="39">
        <f>IF('Additional Images'!B506 = "", "", IF('Additional Images-WUO_ERR'!A506 = "", "Validated", HYPERLINK("#" &amp; ADDRESS(506, 'Additional Images-WUO_TRK'!A506),_xlfn.TEXTAFTER('Additional Images-WUO_ERR'!A506, ":"))))</f>
        <v>0</v>
      </c>
    </row>
    <row r="507" spans="1:1">
      <c r="A507" s="39">
        <f>IF('Additional Images'!B507 = "", "", IF('Additional Images-WUO_ERR'!A507 = "", "Validated", HYPERLINK("#" &amp; ADDRESS(507, 'Additional Images-WUO_TRK'!A507),_xlfn.TEXTAFTER('Additional Images-WUO_ERR'!A507, ":"))))</f>
        <v>0</v>
      </c>
    </row>
  </sheetData>
  <sheetProtection password="84FB" sheet="1" objects="1" scenarios="1" formatColumns="0" formatRows="0"/>
  <protectedRanges>
    <protectedRange sqref="B7:D10000" name="Range1"/>
  </protectedRanges>
  <conditionalFormatting sqref="A7:A507">
    <cfRule type="expression" dxfId="4" priority="5">
      <formula>A7="Validated"</formula>
    </cfRule>
    <cfRule type="expression" dxfId="5" priority="6">
      <formula>OR(COUNTIF('Additional Images-WUO_TRK'!B7:D7,"Error"),COUNTIF('Additional Images-WUO_TRK'!B7:D7,"Required"))</formula>
    </cfRule>
    <cfRule type="expression" dxfId="6" priority="7">
      <formula>COUNTIF('Additional Images-WUO_TRK'!B7:D7,"Warning")</formula>
    </cfRule>
  </conditionalFormatting>
  <conditionalFormatting sqref="B7:D507">
    <cfRule type="expression" dxfId="0" priority="1">
      <formula>'Additional Images-WUO_TRK'!B7="Error"</formula>
    </cfRule>
    <cfRule type="expression" dxfId="1" priority="2">
      <formula>'Additional Images-WUO_TRK'!B7="Required"</formula>
    </cfRule>
    <cfRule type="expression" dxfId="2" priority="3">
      <formula>'Additional Images-WUO_TRK'!B7="Warning"</formula>
    </cfRule>
    <cfRule type="expression" dxfId="3" priority="4">
      <formula>'Additional Images-WUO_TRK'!B7="Disabled"</formula>
    </cfRule>
  </conditionalFormatting>
  <dataValidations count="1">
    <dataValidation type="textLength" operator="lessThanOrEqual" errorStyle="warning" showInputMessage="1" showErrorMessage="1" errorTitle="Invalid Text" error="The value provided is not a valid Text." promptTitle="Image File Name or URL" prompt="Please enter Text" sqref="C7:C2500">
      <formula1>32767</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C7"/>
  <sheetViews>
    <sheetView workbookViewId="0"/>
  </sheetViews>
  <sheetFormatPr defaultRowHeight="15"/>
  <cols>
    <col min="2" max="2" width="25.7109375" style="22" customWidth="1"/>
    <col min="3" max="3" width="27.7109375" style="22" customWidth="1"/>
  </cols>
  <sheetData>
    <row r="1" spans="1:3" hidden="1">
      <c r="B1" s="22" t="s">
        <v>2221</v>
      </c>
      <c r="C1" s="22" t="s">
        <v>2333</v>
      </c>
    </row>
    <row r="3" spans="1:3">
      <c r="B3" s="32" t="s">
        <v>58</v>
      </c>
      <c r="C3" s="32" t="s">
        <v>62</v>
      </c>
    </row>
    <row r="4" spans="1:3" ht="50" customHeight="1">
      <c r="B4" s="19" t="s">
        <v>2222</v>
      </c>
      <c r="C4" s="19" t="s">
        <v>2567</v>
      </c>
    </row>
    <row r="5" spans="1:3" ht="50" customHeight="1">
      <c r="B5" s="35" t="s">
        <v>2223</v>
      </c>
      <c r="C5" s="35" t="s">
        <v>2335</v>
      </c>
    </row>
    <row r="6" spans="1:3" ht="50" customHeight="1">
      <c r="B6" s="35" t="s">
        <v>67</v>
      </c>
      <c r="C6" s="35" t="s">
        <v>67</v>
      </c>
    </row>
    <row r="7" spans="1:3">
      <c r="A7" cm="1">
        <f t="array" ref="A7">_xlfn.BYROW(B7:D507, _xlfn.LAMBDA(_xlpm.r, _xlfn.LET(_xlpm.high_priority, IFERROR(INDEX(_xlpm.r, MATCH(TRUE, (_xlpm.r &lt;&gt; "") * ((LEFT(_xlpm.r, 2) = "1:") + (LEFT(_xlpm.r, 2) = "3:")) &gt; 0, 0)), ""), IF(_xlpm.high_priority &lt;&gt; "", _xlpm.high_priority, IFERROR(INDEX(_xlpm.r, MATCH(TRUE, (_xlpm.r &lt;&gt; "") * (LEFT(_xlpm.r, 2) = "4:") &gt; 0, 0)), "")))))</f>
        <v>0</v>
      </c>
      <c r="B7" s="22" cm="1">
        <f t="array" ref="B7">_xlfn.MAP('Additional Images'!B7:B507, 'Additional Images'!B7:B507,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"3:Supplier Part Number - Value is required", ""))))))))</f>
        <v>0</v>
      </c>
      <c r="C7" s="22" cm="1">
        <f t="array" ref="C7">_xlfn.MAP('Additional Images'!B7:B507, 'Additional Images'!C7:C507, _xlfn.LAMBDA(_xlpm.part, _xlpm.val, IF(_xlpm.part = "", "", IF(AND(_xlpm.val = "", C$3="Required"), "3:Image File Name or URL - Value is required", ""))))</f>
        <v>0</v>
      </c>
    </row>
  </sheetData>
  <sheetProtection password="9F08" sheet="1" objects="1" scenarios="1"/>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C7"/>
  <sheetViews>
    <sheetView workbookViewId="0"/>
  </sheetViews>
  <sheetFormatPr defaultRowHeight="15"/>
  <cols>
    <col min="2" max="2" width="25.7109375" style="22" customWidth="1"/>
    <col min="3" max="3" width="27.7109375" style="22" customWidth="1"/>
  </cols>
  <sheetData>
    <row r="1" spans="1:3" hidden="1">
      <c r="B1" s="22" t="s">
        <v>2221</v>
      </c>
      <c r="C1" s="22" t="s">
        <v>2333</v>
      </c>
    </row>
    <row r="3" spans="1:3">
      <c r="B3" s="32" t="s">
        <v>58</v>
      </c>
      <c r="C3" s="32" t="s">
        <v>62</v>
      </c>
    </row>
    <row r="4" spans="1:3" ht="50" customHeight="1">
      <c r="B4" s="19" t="s">
        <v>2222</v>
      </c>
      <c r="C4" s="19" t="s">
        <v>2567</v>
      </c>
    </row>
    <row r="5" spans="1:3" ht="50" customHeight="1">
      <c r="B5" s="35" t="s">
        <v>2223</v>
      </c>
      <c r="C5" s="35" t="s">
        <v>2335</v>
      </c>
    </row>
    <row r="6" spans="1:3" ht="50" customHeight="1">
      <c r="B6" s="35" t="s">
        <v>67</v>
      </c>
      <c r="C6" s="35" t="s">
        <v>67</v>
      </c>
    </row>
    <row r="7" spans="1:3">
      <c r="A7" cm="1">
        <f t="array" ref="A7">_xlfn.BYROW(B7:D507, _xlfn.LAMBDA(_xlpm.r, _xlfn.LET(_xlpm.high_priority_idx, IFERROR(MATCH(TRUE, (_xlpm.r = "Error") + (_xlpm.r = "Required") &gt; 0, 0), 0), IF(_xlpm.high_priority_idx &gt; 0, _xlpm.high_priority_idx + 1, IFERROR(MATCH(1, (_xlpm.r = "Warning") * 1, 0) + 1, "")))))</f>
        <v>0</v>
      </c>
      <c r="B7" s="22" cm="1">
        <f t="array" ref="B7">_xlfn.MAP('Additional Images'!B7:B507, 'Additional Images'!B7:B507, 'Additional Images-WUO_ERR'!B7:B507, _xlfn.LAMBDA(_xlpm.part, _xlpm.val, _xlpm.error, IF(_xlpm.part = "", "", IF(LEN(_xlpm.error), _xlfn.SWITCH(IFERROR(_xlfn.TEXTBEFORE(_xlpm.error,":"), ""), "1", "Error", "2", "Disabled", "3", "Required", "4", "Warning", "Valid"), "Valid"))))</f>
        <v>0</v>
      </c>
      <c r="C7" s="22" cm="1">
        <f t="array" ref="C7">_xlfn.MAP('Additional Images'!B7:B507, 'Additional Images'!C7:C507, 'Additional Images-WUO_ERR'!C7:C507, _xlfn.LAMBDA(_xlpm.part, _xlpm.val, _xlpm.error, IF(_xlpm.part = "", "", IF(LEN(_xlpm.error), _xlfn.SWITCH(IFERROR(_xlfn.TEXTBEFORE(_xlpm.error,":"), ""), "1", "Error", "2", "Disabled", "3", "Required", "4", "Warning", "Valid"), "Valid"))))</f>
        <v>0</v>
      </c>
    </row>
  </sheetData>
  <sheetProtection password="EA08" sheet="1" objects="1" scenarios="1"/>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Z507"/>
  <sheetViews>
    <sheetView workbookViewId="0"/>
  </sheetViews>
  <sheetFormatPr defaultRowHeight="15"/>
  <cols>
    <col min="1" max="1" width="35.7109375" customWidth="1"/>
    <col min="2" max="2" width="25.7109375" style="22" customWidth="1"/>
    <col min="3" max="3" width="27.7109375" style="22" customWidth="1"/>
    <col min="26" max="26" width="0" hidden="1" customWidth="1"/>
  </cols>
  <sheetData>
    <row r="1" spans="1:26" hidden="1">
      <c r="B1" s="22" t="s">
        <v>2221</v>
      </c>
      <c r="C1" s="22" t="s">
        <v>2340</v>
      </c>
    </row>
    <row r="2" spans="1:26">
      <c r="B2" s="23" t="s">
        <v>2477</v>
      </c>
      <c r="C2" s="29" t="s">
        <v>2483</v>
      </c>
    </row>
    <row r="3" spans="1:26">
      <c r="B3" s="32" t="s">
        <v>58</v>
      </c>
      <c r="C3" s="32" t="s">
        <v>62</v>
      </c>
    </row>
    <row r="4" spans="1:26" ht="50" customHeight="1">
      <c r="A4" s="19" t="s">
        <v>2218</v>
      </c>
      <c r="B4" s="19" t="s">
        <v>2222</v>
      </c>
      <c r="C4" s="19" t="s">
        <v>2568</v>
      </c>
    </row>
    <row r="5" spans="1:26" ht="50" customHeight="1">
      <c r="A5" s="35" t="s">
        <v>2219</v>
      </c>
      <c r="B5" s="35" t="s">
        <v>2223</v>
      </c>
      <c r="C5" s="35" t="s">
        <v>2342</v>
      </c>
    </row>
    <row r="6" spans="1:26" ht="50" customHeight="1">
      <c r="A6" s="35" t="s">
        <v>2220</v>
      </c>
      <c r="B6" s="35" t="s">
        <v>67</v>
      </c>
      <c r="C6" s="35" t="s">
        <v>67</v>
      </c>
    </row>
    <row r="7" spans="1:26">
      <c r="A7" s="39">
        <f>IF('Additional Videos'!B7 = "", "", IF('Additional Videos-WUO_ERR'!A7 = "", "Validated", HYPERLINK("#" &amp; ADDRESS(7, 'Additional Videos-WUO_TRK'!A7),_xlfn.TEXTAFTER('Additional Videos-WUO_ERR'!A7, ":"))))</f>
        <v>0</v>
      </c>
      <c r="Z7" cm="1">
        <f t="array" ref="Z7">IF(B7:B507="", "", IFERROR(_xlfn.XLOOKUP(B7:B507, _xlfn.VSTACK('3757 - Wall Stickers'!B7:B507, '6161 - Wallpaper'!B7:B507), _xlfn.VSTACK('3757 - Wall Stickers'!G7:G507, '6161 - Wallpaper'!G7:G507)), ""))</f>
        <v>0</v>
      </c>
    </row>
    <row r="8" spans="1:26">
      <c r="A8" s="39">
        <f>IF('Additional Videos'!B8 = "", "", IF('Additional Videos-WUO_ERR'!A8 = "", "Validated", HYPERLINK("#" &amp; ADDRESS(8, 'Additional Videos-WUO_TRK'!A8),_xlfn.TEXTAFTER('Additional Videos-WUO_ERR'!A8, ":"))))</f>
        <v>0</v>
      </c>
    </row>
    <row r="9" spans="1:26">
      <c r="A9" s="39">
        <f>IF('Additional Videos'!B9 = "", "", IF('Additional Videos-WUO_ERR'!A9 = "", "Validated", HYPERLINK("#" &amp; ADDRESS(9, 'Additional Videos-WUO_TRK'!A9),_xlfn.TEXTAFTER('Additional Videos-WUO_ERR'!A9, ":"))))</f>
        <v>0</v>
      </c>
    </row>
    <row r="10" spans="1:26">
      <c r="A10" s="39">
        <f>IF('Additional Videos'!B10 = "", "", IF('Additional Videos-WUO_ERR'!A10 = "", "Validated", HYPERLINK("#" &amp; ADDRESS(10, 'Additional Videos-WUO_TRK'!A10),_xlfn.TEXTAFTER('Additional Videos-WUO_ERR'!A10, ":"))))</f>
        <v>0</v>
      </c>
    </row>
    <row r="11" spans="1:26">
      <c r="A11" s="39">
        <f>IF('Additional Videos'!B11 = "", "", IF('Additional Videos-WUO_ERR'!A11 = "", "Validated", HYPERLINK("#" &amp; ADDRESS(11, 'Additional Videos-WUO_TRK'!A11),_xlfn.TEXTAFTER('Additional Videos-WUO_ERR'!A11, ":"))))</f>
        <v>0</v>
      </c>
    </row>
    <row r="12" spans="1:26">
      <c r="A12" s="39">
        <f>IF('Additional Videos'!B12 = "", "", IF('Additional Videos-WUO_ERR'!A12 = "", "Validated", HYPERLINK("#" &amp; ADDRESS(12, 'Additional Videos-WUO_TRK'!A12),_xlfn.TEXTAFTER('Additional Videos-WUO_ERR'!A12, ":"))))</f>
        <v>0</v>
      </c>
    </row>
    <row r="13" spans="1:26">
      <c r="A13" s="39">
        <f>IF('Additional Videos'!B13 = "", "", IF('Additional Videos-WUO_ERR'!A13 = "", "Validated", HYPERLINK("#" &amp; ADDRESS(13, 'Additional Videos-WUO_TRK'!A13),_xlfn.TEXTAFTER('Additional Videos-WUO_ERR'!A13, ":"))))</f>
        <v>0</v>
      </c>
    </row>
    <row r="14" spans="1:26">
      <c r="A14" s="39">
        <f>IF('Additional Videos'!B14 = "", "", IF('Additional Videos-WUO_ERR'!A14 = "", "Validated", HYPERLINK("#" &amp; ADDRESS(14, 'Additional Videos-WUO_TRK'!A14),_xlfn.TEXTAFTER('Additional Videos-WUO_ERR'!A14, ":"))))</f>
        <v>0</v>
      </c>
    </row>
    <row r="15" spans="1:26">
      <c r="A15" s="39">
        <f>IF('Additional Videos'!B15 = "", "", IF('Additional Videos-WUO_ERR'!A15 = "", "Validated", HYPERLINK("#" &amp; ADDRESS(15, 'Additional Videos-WUO_TRK'!A15),_xlfn.TEXTAFTER('Additional Videos-WUO_ERR'!A15, ":"))))</f>
        <v>0</v>
      </c>
    </row>
    <row r="16" spans="1:26">
      <c r="A16" s="39">
        <f>IF('Additional Videos'!B16 = "", "", IF('Additional Videos-WUO_ERR'!A16 = "", "Validated", HYPERLINK("#" &amp; ADDRESS(16, 'Additional Videos-WUO_TRK'!A16),_xlfn.TEXTAFTER('Additional Videos-WUO_ERR'!A16, ":"))))</f>
        <v>0</v>
      </c>
    </row>
    <row r="17" spans="1:1">
      <c r="A17" s="39">
        <f>IF('Additional Videos'!B17 = "", "", IF('Additional Videos-WUO_ERR'!A17 = "", "Validated", HYPERLINK("#" &amp; ADDRESS(17, 'Additional Videos-WUO_TRK'!A17),_xlfn.TEXTAFTER('Additional Videos-WUO_ERR'!A17, ":"))))</f>
        <v>0</v>
      </c>
    </row>
    <row r="18" spans="1:1">
      <c r="A18" s="39">
        <f>IF('Additional Videos'!B18 = "", "", IF('Additional Videos-WUO_ERR'!A18 = "", "Validated", HYPERLINK("#" &amp; ADDRESS(18, 'Additional Videos-WUO_TRK'!A18),_xlfn.TEXTAFTER('Additional Videos-WUO_ERR'!A18, ":"))))</f>
        <v>0</v>
      </c>
    </row>
    <row r="19" spans="1:1">
      <c r="A19" s="39">
        <f>IF('Additional Videos'!B19 = "", "", IF('Additional Videos-WUO_ERR'!A19 = "", "Validated", HYPERLINK("#" &amp; ADDRESS(19, 'Additional Videos-WUO_TRK'!A19),_xlfn.TEXTAFTER('Additional Videos-WUO_ERR'!A19, ":"))))</f>
        <v>0</v>
      </c>
    </row>
    <row r="20" spans="1:1">
      <c r="A20" s="39">
        <f>IF('Additional Videos'!B20 = "", "", IF('Additional Videos-WUO_ERR'!A20 = "", "Validated", HYPERLINK("#" &amp; ADDRESS(20, 'Additional Videos-WUO_TRK'!A20),_xlfn.TEXTAFTER('Additional Videos-WUO_ERR'!A20, ":"))))</f>
        <v>0</v>
      </c>
    </row>
    <row r="21" spans="1:1">
      <c r="A21" s="39">
        <f>IF('Additional Videos'!B21 = "", "", IF('Additional Videos-WUO_ERR'!A21 = "", "Validated", HYPERLINK("#" &amp; ADDRESS(21, 'Additional Videos-WUO_TRK'!A21),_xlfn.TEXTAFTER('Additional Videos-WUO_ERR'!A21, ":"))))</f>
        <v>0</v>
      </c>
    </row>
    <row r="22" spans="1:1">
      <c r="A22" s="39">
        <f>IF('Additional Videos'!B22 = "", "", IF('Additional Videos-WUO_ERR'!A22 = "", "Validated", HYPERLINK("#" &amp; ADDRESS(22, 'Additional Videos-WUO_TRK'!A22),_xlfn.TEXTAFTER('Additional Videos-WUO_ERR'!A22, ":"))))</f>
        <v>0</v>
      </c>
    </row>
    <row r="23" spans="1:1">
      <c r="A23" s="39">
        <f>IF('Additional Videos'!B23 = "", "", IF('Additional Videos-WUO_ERR'!A23 = "", "Validated", HYPERLINK("#" &amp; ADDRESS(23, 'Additional Videos-WUO_TRK'!A23),_xlfn.TEXTAFTER('Additional Videos-WUO_ERR'!A23, ":"))))</f>
        <v>0</v>
      </c>
    </row>
    <row r="24" spans="1:1">
      <c r="A24" s="39">
        <f>IF('Additional Videos'!B24 = "", "", IF('Additional Videos-WUO_ERR'!A24 = "", "Validated", HYPERLINK("#" &amp; ADDRESS(24, 'Additional Videos-WUO_TRK'!A24),_xlfn.TEXTAFTER('Additional Videos-WUO_ERR'!A24, ":"))))</f>
        <v>0</v>
      </c>
    </row>
    <row r="25" spans="1:1">
      <c r="A25" s="39">
        <f>IF('Additional Videos'!B25 = "", "", IF('Additional Videos-WUO_ERR'!A25 = "", "Validated", HYPERLINK("#" &amp; ADDRESS(25, 'Additional Videos-WUO_TRK'!A25),_xlfn.TEXTAFTER('Additional Videos-WUO_ERR'!A25, ":"))))</f>
        <v>0</v>
      </c>
    </row>
    <row r="26" spans="1:1">
      <c r="A26" s="39">
        <f>IF('Additional Videos'!B26 = "", "", IF('Additional Videos-WUO_ERR'!A26 = "", "Validated", HYPERLINK("#" &amp; ADDRESS(26, 'Additional Videos-WUO_TRK'!A26),_xlfn.TEXTAFTER('Additional Videos-WUO_ERR'!A26, ":"))))</f>
        <v>0</v>
      </c>
    </row>
    <row r="27" spans="1:1">
      <c r="A27" s="39">
        <f>IF('Additional Videos'!B27 = "", "", IF('Additional Videos-WUO_ERR'!A27 = "", "Validated", HYPERLINK("#" &amp; ADDRESS(27, 'Additional Videos-WUO_TRK'!A27),_xlfn.TEXTAFTER('Additional Videos-WUO_ERR'!A27, ":"))))</f>
        <v>0</v>
      </c>
    </row>
    <row r="28" spans="1:1">
      <c r="A28" s="39">
        <f>IF('Additional Videos'!B28 = "", "", IF('Additional Videos-WUO_ERR'!A28 = "", "Validated", HYPERLINK("#" &amp; ADDRESS(28, 'Additional Videos-WUO_TRK'!A28),_xlfn.TEXTAFTER('Additional Videos-WUO_ERR'!A28, ":"))))</f>
        <v>0</v>
      </c>
    </row>
    <row r="29" spans="1:1">
      <c r="A29" s="39">
        <f>IF('Additional Videos'!B29 = "", "", IF('Additional Videos-WUO_ERR'!A29 = "", "Validated", HYPERLINK("#" &amp; ADDRESS(29, 'Additional Videos-WUO_TRK'!A29),_xlfn.TEXTAFTER('Additional Videos-WUO_ERR'!A29, ":"))))</f>
        <v>0</v>
      </c>
    </row>
    <row r="30" spans="1:1">
      <c r="A30" s="39">
        <f>IF('Additional Videos'!B30 = "", "", IF('Additional Videos-WUO_ERR'!A30 = "", "Validated", HYPERLINK("#" &amp; ADDRESS(30, 'Additional Videos-WUO_TRK'!A30),_xlfn.TEXTAFTER('Additional Videos-WUO_ERR'!A30, ":"))))</f>
        <v>0</v>
      </c>
    </row>
    <row r="31" spans="1:1">
      <c r="A31" s="39">
        <f>IF('Additional Videos'!B31 = "", "", IF('Additional Videos-WUO_ERR'!A31 = "", "Validated", HYPERLINK("#" &amp; ADDRESS(31, 'Additional Videos-WUO_TRK'!A31),_xlfn.TEXTAFTER('Additional Videos-WUO_ERR'!A31, ":"))))</f>
        <v>0</v>
      </c>
    </row>
    <row r="32" spans="1:1">
      <c r="A32" s="39">
        <f>IF('Additional Videos'!B32 = "", "", IF('Additional Videos-WUO_ERR'!A32 = "", "Validated", HYPERLINK("#" &amp; ADDRESS(32, 'Additional Videos-WUO_TRK'!A32),_xlfn.TEXTAFTER('Additional Videos-WUO_ERR'!A32, ":"))))</f>
        <v>0</v>
      </c>
    </row>
    <row r="33" spans="1:1">
      <c r="A33" s="39">
        <f>IF('Additional Videos'!B33 = "", "", IF('Additional Videos-WUO_ERR'!A33 = "", "Validated", HYPERLINK("#" &amp; ADDRESS(33, 'Additional Videos-WUO_TRK'!A33),_xlfn.TEXTAFTER('Additional Videos-WUO_ERR'!A33, ":"))))</f>
        <v>0</v>
      </c>
    </row>
    <row r="34" spans="1:1">
      <c r="A34" s="39">
        <f>IF('Additional Videos'!B34 = "", "", IF('Additional Videos-WUO_ERR'!A34 = "", "Validated", HYPERLINK("#" &amp; ADDRESS(34, 'Additional Videos-WUO_TRK'!A34),_xlfn.TEXTAFTER('Additional Videos-WUO_ERR'!A34, ":"))))</f>
        <v>0</v>
      </c>
    </row>
    <row r="35" spans="1:1">
      <c r="A35" s="39">
        <f>IF('Additional Videos'!B35 = "", "", IF('Additional Videos-WUO_ERR'!A35 = "", "Validated", HYPERLINK("#" &amp; ADDRESS(35, 'Additional Videos-WUO_TRK'!A35),_xlfn.TEXTAFTER('Additional Videos-WUO_ERR'!A35, ":"))))</f>
        <v>0</v>
      </c>
    </row>
    <row r="36" spans="1:1">
      <c r="A36" s="39">
        <f>IF('Additional Videos'!B36 = "", "", IF('Additional Videos-WUO_ERR'!A36 = "", "Validated", HYPERLINK("#" &amp; ADDRESS(36, 'Additional Videos-WUO_TRK'!A36),_xlfn.TEXTAFTER('Additional Videos-WUO_ERR'!A36, ":"))))</f>
        <v>0</v>
      </c>
    </row>
    <row r="37" spans="1:1">
      <c r="A37" s="39">
        <f>IF('Additional Videos'!B37 = "", "", IF('Additional Videos-WUO_ERR'!A37 = "", "Validated", HYPERLINK("#" &amp; ADDRESS(37, 'Additional Videos-WUO_TRK'!A37),_xlfn.TEXTAFTER('Additional Videos-WUO_ERR'!A37, ":"))))</f>
        <v>0</v>
      </c>
    </row>
    <row r="38" spans="1:1">
      <c r="A38" s="39">
        <f>IF('Additional Videos'!B38 = "", "", IF('Additional Videos-WUO_ERR'!A38 = "", "Validated", HYPERLINK("#" &amp; ADDRESS(38, 'Additional Videos-WUO_TRK'!A38),_xlfn.TEXTAFTER('Additional Videos-WUO_ERR'!A38, ":"))))</f>
        <v>0</v>
      </c>
    </row>
    <row r="39" spans="1:1">
      <c r="A39" s="39">
        <f>IF('Additional Videos'!B39 = "", "", IF('Additional Videos-WUO_ERR'!A39 = "", "Validated", HYPERLINK("#" &amp; ADDRESS(39, 'Additional Videos-WUO_TRK'!A39),_xlfn.TEXTAFTER('Additional Videos-WUO_ERR'!A39, ":"))))</f>
        <v>0</v>
      </c>
    </row>
    <row r="40" spans="1:1">
      <c r="A40" s="39">
        <f>IF('Additional Videos'!B40 = "", "", IF('Additional Videos-WUO_ERR'!A40 = "", "Validated", HYPERLINK("#" &amp; ADDRESS(40, 'Additional Videos-WUO_TRK'!A40),_xlfn.TEXTAFTER('Additional Videos-WUO_ERR'!A40, ":"))))</f>
        <v>0</v>
      </c>
    </row>
    <row r="41" spans="1:1">
      <c r="A41" s="39">
        <f>IF('Additional Videos'!B41 = "", "", IF('Additional Videos-WUO_ERR'!A41 = "", "Validated", HYPERLINK("#" &amp; ADDRESS(41, 'Additional Videos-WUO_TRK'!A41),_xlfn.TEXTAFTER('Additional Videos-WUO_ERR'!A41, ":"))))</f>
        <v>0</v>
      </c>
    </row>
    <row r="42" spans="1:1">
      <c r="A42" s="39">
        <f>IF('Additional Videos'!B42 = "", "", IF('Additional Videos-WUO_ERR'!A42 = "", "Validated", HYPERLINK("#" &amp; ADDRESS(42, 'Additional Videos-WUO_TRK'!A42),_xlfn.TEXTAFTER('Additional Videos-WUO_ERR'!A42, ":"))))</f>
        <v>0</v>
      </c>
    </row>
    <row r="43" spans="1:1">
      <c r="A43" s="39">
        <f>IF('Additional Videos'!B43 = "", "", IF('Additional Videos-WUO_ERR'!A43 = "", "Validated", HYPERLINK("#" &amp; ADDRESS(43, 'Additional Videos-WUO_TRK'!A43),_xlfn.TEXTAFTER('Additional Videos-WUO_ERR'!A43, ":"))))</f>
        <v>0</v>
      </c>
    </row>
    <row r="44" spans="1:1">
      <c r="A44" s="39">
        <f>IF('Additional Videos'!B44 = "", "", IF('Additional Videos-WUO_ERR'!A44 = "", "Validated", HYPERLINK("#" &amp; ADDRESS(44, 'Additional Videos-WUO_TRK'!A44),_xlfn.TEXTAFTER('Additional Videos-WUO_ERR'!A44, ":"))))</f>
        <v>0</v>
      </c>
    </row>
    <row r="45" spans="1:1">
      <c r="A45" s="39">
        <f>IF('Additional Videos'!B45 = "", "", IF('Additional Videos-WUO_ERR'!A45 = "", "Validated", HYPERLINK("#" &amp; ADDRESS(45, 'Additional Videos-WUO_TRK'!A45),_xlfn.TEXTAFTER('Additional Videos-WUO_ERR'!A45, ":"))))</f>
        <v>0</v>
      </c>
    </row>
    <row r="46" spans="1:1">
      <c r="A46" s="39">
        <f>IF('Additional Videos'!B46 = "", "", IF('Additional Videos-WUO_ERR'!A46 = "", "Validated", HYPERLINK("#" &amp; ADDRESS(46, 'Additional Videos-WUO_TRK'!A46),_xlfn.TEXTAFTER('Additional Videos-WUO_ERR'!A46, ":"))))</f>
        <v>0</v>
      </c>
    </row>
    <row r="47" spans="1:1">
      <c r="A47" s="39">
        <f>IF('Additional Videos'!B47 = "", "", IF('Additional Videos-WUO_ERR'!A47 = "", "Validated", HYPERLINK("#" &amp; ADDRESS(47, 'Additional Videos-WUO_TRK'!A47),_xlfn.TEXTAFTER('Additional Videos-WUO_ERR'!A47, ":"))))</f>
        <v>0</v>
      </c>
    </row>
    <row r="48" spans="1:1">
      <c r="A48" s="39">
        <f>IF('Additional Videos'!B48 = "", "", IF('Additional Videos-WUO_ERR'!A48 = "", "Validated", HYPERLINK("#" &amp; ADDRESS(48, 'Additional Videos-WUO_TRK'!A48),_xlfn.TEXTAFTER('Additional Videos-WUO_ERR'!A48, ":"))))</f>
        <v>0</v>
      </c>
    </row>
    <row r="49" spans="1:1">
      <c r="A49" s="39">
        <f>IF('Additional Videos'!B49 = "", "", IF('Additional Videos-WUO_ERR'!A49 = "", "Validated", HYPERLINK("#" &amp; ADDRESS(49, 'Additional Videos-WUO_TRK'!A49),_xlfn.TEXTAFTER('Additional Videos-WUO_ERR'!A49, ":"))))</f>
        <v>0</v>
      </c>
    </row>
    <row r="50" spans="1:1">
      <c r="A50" s="39">
        <f>IF('Additional Videos'!B50 = "", "", IF('Additional Videos-WUO_ERR'!A50 = "", "Validated", HYPERLINK("#" &amp; ADDRESS(50, 'Additional Videos-WUO_TRK'!A50),_xlfn.TEXTAFTER('Additional Videos-WUO_ERR'!A50, ":"))))</f>
        <v>0</v>
      </c>
    </row>
    <row r="51" spans="1:1">
      <c r="A51" s="39">
        <f>IF('Additional Videos'!B51 = "", "", IF('Additional Videos-WUO_ERR'!A51 = "", "Validated", HYPERLINK("#" &amp; ADDRESS(51, 'Additional Videos-WUO_TRK'!A51),_xlfn.TEXTAFTER('Additional Videos-WUO_ERR'!A51, ":"))))</f>
        <v>0</v>
      </c>
    </row>
    <row r="52" spans="1:1">
      <c r="A52" s="39">
        <f>IF('Additional Videos'!B52 = "", "", IF('Additional Videos-WUO_ERR'!A52 = "", "Validated", HYPERLINK("#" &amp; ADDRESS(52, 'Additional Videos-WUO_TRK'!A52),_xlfn.TEXTAFTER('Additional Videos-WUO_ERR'!A52, ":"))))</f>
        <v>0</v>
      </c>
    </row>
    <row r="53" spans="1:1">
      <c r="A53" s="39">
        <f>IF('Additional Videos'!B53 = "", "", IF('Additional Videos-WUO_ERR'!A53 = "", "Validated", HYPERLINK("#" &amp; ADDRESS(53, 'Additional Videos-WUO_TRK'!A53),_xlfn.TEXTAFTER('Additional Videos-WUO_ERR'!A53, ":"))))</f>
        <v>0</v>
      </c>
    </row>
    <row r="54" spans="1:1">
      <c r="A54" s="39">
        <f>IF('Additional Videos'!B54 = "", "", IF('Additional Videos-WUO_ERR'!A54 = "", "Validated", HYPERLINK("#" &amp; ADDRESS(54, 'Additional Videos-WUO_TRK'!A54),_xlfn.TEXTAFTER('Additional Videos-WUO_ERR'!A54, ":"))))</f>
        <v>0</v>
      </c>
    </row>
    <row r="55" spans="1:1">
      <c r="A55" s="39">
        <f>IF('Additional Videos'!B55 = "", "", IF('Additional Videos-WUO_ERR'!A55 = "", "Validated", HYPERLINK("#" &amp; ADDRESS(55, 'Additional Videos-WUO_TRK'!A55),_xlfn.TEXTAFTER('Additional Videos-WUO_ERR'!A55, ":"))))</f>
        <v>0</v>
      </c>
    </row>
    <row r="56" spans="1:1">
      <c r="A56" s="39">
        <f>IF('Additional Videos'!B56 = "", "", IF('Additional Videos-WUO_ERR'!A56 = "", "Validated", HYPERLINK("#" &amp; ADDRESS(56, 'Additional Videos-WUO_TRK'!A56),_xlfn.TEXTAFTER('Additional Videos-WUO_ERR'!A56, ":"))))</f>
        <v>0</v>
      </c>
    </row>
    <row r="57" spans="1:1">
      <c r="A57" s="39">
        <f>IF('Additional Videos'!B57 = "", "", IF('Additional Videos-WUO_ERR'!A57 = "", "Validated", HYPERLINK("#" &amp; ADDRESS(57, 'Additional Videos-WUO_TRK'!A57),_xlfn.TEXTAFTER('Additional Videos-WUO_ERR'!A57, ":"))))</f>
        <v>0</v>
      </c>
    </row>
    <row r="58" spans="1:1">
      <c r="A58" s="39">
        <f>IF('Additional Videos'!B58 = "", "", IF('Additional Videos-WUO_ERR'!A58 = "", "Validated", HYPERLINK("#" &amp; ADDRESS(58, 'Additional Videos-WUO_TRK'!A58),_xlfn.TEXTAFTER('Additional Videos-WUO_ERR'!A58, ":"))))</f>
        <v>0</v>
      </c>
    </row>
    <row r="59" spans="1:1">
      <c r="A59" s="39">
        <f>IF('Additional Videos'!B59 = "", "", IF('Additional Videos-WUO_ERR'!A59 = "", "Validated", HYPERLINK("#" &amp; ADDRESS(59, 'Additional Videos-WUO_TRK'!A59),_xlfn.TEXTAFTER('Additional Videos-WUO_ERR'!A59, ":"))))</f>
        <v>0</v>
      </c>
    </row>
    <row r="60" spans="1:1">
      <c r="A60" s="39">
        <f>IF('Additional Videos'!B60 = "", "", IF('Additional Videos-WUO_ERR'!A60 = "", "Validated", HYPERLINK("#" &amp; ADDRESS(60, 'Additional Videos-WUO_TRK'!A60),_xlfn.TEXTAFTER('Additional Videos-WUO_ERR'!A60, ":"))))</f>
        <v>0</v>
      </c>
    </row>
    <row r="61" spans="1:1">
      <c r="A61" s="39">
        <f>IF('Additional Videos'!B61 = "", "", IF('Additional Videos-WUO_ERR'!A61 = "", "Validated", HYPERLINK("#" &amp; ADDRESS(61, 'Additional Videos-WUO_TRK'!A61),_xlfn.TEXTAFTER('Additional Videos-WUO_ERR'!A61, ":"))))</f>
        <v>0</v>
      </c>
    </row>
    <row r="62" spans="1:1">
      <c r="A62" s="39">
        <f>IF('Additional Videos'!B62 = "", "", IF('Additional Videos-WUO_ERR'!A62 = "", "Validated", HYPERLINK("#" &amp; ADDRESS(62, 'Additional Videos-WUO_TRK'!A62),_xlfn.TEXTAFTER('Additional Videos-WUO_ERR'!A62, ":"))))</f>
        <v>0</v>
      </c>
    </row>
    <row r="63" spans="1:1">
      <c r="A63" s="39">
        <f>IF('Additional Videos'!B63 = "", "", IF('Additional Videos-WUO_ERR'!A63 = "", "Validated", HYPERLINK("#" &amp; ADDRESS(63, 'Additional Videos-WUO_TRK'!A63),_xlfn.TEXTAFTER('Additional Videos-WUO_ERR'!A63, ":"))))</f>
        <v>0</v>
      </c>
    </row>
    <row r="64" spans="1:1">
      <c r="A64" s="39">
        <f>IF('Additional Videos'!B64 = "", "", IF('Additional Videos-WUO_ERR'!A64 = "", "Validated", HYPERLINK("#" &amp; ADDRESS(64, 'Additional Videos-WUO_TRK'!A64),_xlfn.TEXTAFTER('Additional Videos-WUO_ERR'!A64, ":"))))</f>
        <v>0</v>
      </c>
    </row>
    <row r="65" spans="1:1">
      <c r="A65" s="39">
        <f>IF('Additional Videos'!B65 = "", "", IF('Additional Videos-WUO_ERR'!A65 = "", "Validated", HYPERLINK("#" &amp; ADDRESS(65, 'Additional Videos-WUO_TRK'!A65),_xlfn.TEXTAFTER('Additional Videos-WUO_ERR'!A65, ":"))))</f>
        <v>0</v>
      </c>
    </row>
    <row r="66" spans="1:1">
      <c r="A66" s="39">
        <f>IF('Additional Videos'!B66 = "", "", IF('Additional Videos-WUO_ERR'!A66 = "", "Validated", HYPERLINK("#" &amp; ADDRESS(66, 'Additional Videos-WUO_TRK'!A66),_xlfn.TEXTAFTER('Additional Videos-WUO_ERR'!A66, ":"))))</f>
        <v>0</v>
      </c>
    </row>
    <row r="67" spans="1:1">
      <c r="A67" s="39">
        <f>IF('Additional Videos'!B67 = "", "", IF('Additional Videos-WUO_ERR'!A67 = "", "Validated", HYPERLINK("#" &amp; ADDRESS(67, 'Additional Videos-WUO_TRK'!A67),_xlfn.TEXTAFTER('Additional Videos-WUO_ERR'!A67, ":"))))</f>
        <v>0</v>
      </c>
    </row>
    <row r="68" spans="1:1">
      <c r="A68" s="39">
        <f>IF('Additional Videos'!B68 = "", "", IF('Additional Videos-WUO_ERR'!A68 = "", "Validated", HYPERLINK("#" &amp; ADDRESS(68, 'Additional Videos-WUO_TRK'!A68),_xlfn.TEXTAFTER('Additional Videos-WUO_ERR'!A68, ":"))))</f>
        <v>0</v>
      </c>
    </row>
    <row r="69" spans="1:1">
      <c r="A69" s="39">
        <f>IF('Additional Videos'!B69 = "", "", IF('Additional Videos-WUO_ERR'!A69 = "", "Validated", HYPERLINK("#" &amp; ADDRESS(69, 'Additional Videos-WUO_TRK'!A69),_xlfn.TEXTAFTER('Additional Videos-WUO_ERR'!A69, ":"))))</f>
        <v>0</v>
      </c>
    </row>
    <row r="70" spans="1:1">
      <c r="A70" s="39">
        <f>IF('Additional Videos'!B70 = "", "", IF('Additional Videos-WUO_ERR'!A70 = "", "Validated", HYPERLINK("#" &amp; ADDRESS(70, 'Additional Videos-WUO_TRK'!A70),_xlfn.TEXTAFTER('Additional Videos-WUO_ERR'!A70, ":"))))</f>
        <v>0</v>
      </c>
    </row>
    <row r="71" spans="1:1">
      <c r="A71" s="39">
        <f>IF('Additional Videos'!B71 = "", "", IF('Additional Videos-WUO_ERR'!A71 = "", "Validated", HYPERLINK("#" &amp; ADDRESS(71, 'Additional Videos-WUO_TRK'!A71),_xlfn.TEXTAFTER('Additional Videos-WUO_ERR'!A71, ":"))))</f>
        <v>0</v>
      </c>
    </row>
    <row r="72" spans="1:1">
      <c r="A72" s="39">
        <f>IF('Additional Videos'!B72 = "", "", IF('Additional Videos-WUO_ERR'!A72 = "", "Validated", HYPERLINK("#" &amp; ADDRESS(72, 'Additional Videos-WUO_TRK'!A72),_xlfn.TEXTAFTER('Additional Videos-WUO_ERR'!A72, ":"))))</f>
        <v>0</v>
      </c>
    </row>
    <row r="73" spans="1:1">
      <c r="A73" s="39">
        <f>IF('Additional Videos'!B73 = "", "", IF('Additional Videos-WUO_ERR'!A73 = "", "Validated", HYPERLINK("#" &amp; ADDRESS(73, 'Additional Videos-WUO_TRK'!A73),_xlfn.TEXTAFTER('Additional Videos-WUO_ERR'!A73, ":"))))</f>
        <v>0</v>
      </c>
    </row>
    <row r="74" spans="1:1">
      <c r="A74" s="39">
        <f>IF('Additional Videos'!B74 = "", "", IF('Additional Videos-WUO_ERR'!A74 = "", "Validated", HYPERLINK("#" &amp; ADDRESS(74, 'Additional Videos-WUO_TRK'!A74),_xlfn.TEXTAFTER('Additional Videos-WUO_ERR'!A74, ":"))))</f>
        <v>0</v>
      </c>
    </row>
    <row r="75" spans="1:1">
      <c r="A75" s="39">
        <f>IF('Additional Videos'!B75 = "", "", IF('Additional Videos-WUO_ERR'!A75 = "", "Validated", HYPERLINK("#" &amp; ADDRESS(75, 'Additional Videos-WUO_TRK'!A75),_xlfn.TEXTAFTER('Additional Videos-WUO_ERR'!A75, ":"))))</f>
        <v>0</v>
      </c>
    </row>
    <row r="76" spans="1:1">
      <c r="A76" s="39">
        <f>IF('Additional Videos'!B76 = "", "", IF('Additional Videos-WUO_ERR'!A76 = "", "Validated", HYPERLINK("#" &amp; ADDRESS(76, 'Additional Videos-WUO_TRK'!A76),_xlfn.TEXTAFTER('Additional Videos-WUO_ERR'!A76, ":"))))</f>
        <v>0</v>
      </c>
    </row>
    <row r="77" spans="1:1">
      <c r="A77" s="39">
        <f>IF('Additional Videos'!B77 = "", "", IF('Additional Videos-WUO_ERR'!A77 = "", "Validated", HYPERLINK("#" &amp; ADDRESS(77, 'Additional Videos-WUO_TRK'!A77),_xlfn.TEXTAFTER('Additional Videos-WUO_ERR'!A77, ":"))))</f>
        <v>0</v>
      </c>
    </row>
    <row r="78" spans="1:1">
      <c r="A78" s="39">
        <f>IF('Additional Videos'!B78 = "", "", IF('Additional Videos-WUO_ERR'!A78 = "", "Validated", HYPERLINK("#" &amp; ADDRESS(78, 'Additional Videos-WUO_TRK'!A78),_xlfn.TEXTAFTER('Additional Videos-WUO_ERR'!A78, ":"))))</f>
        <v>0</v>
      </c>
    </row>
    <row r="79" spans="1:1">
      <c r="A79" s="39">
        <f>IF('Additional Videos'!B79 = "", "", IF('Additional Videos-WUO_ERR'!A79 = "", "Validated", HYPERLINK("#" &amp; ADDRESS(79, 'Additional Videos-WUO_TRK'!A79),_xlfn.TEXTAFTER('Additional Videos-WUO_ERR'!A79, ":"))))</f>
        <v>0</v>
      </c>
    </row>
    <row r="80" spans="1:1">
      <c r="A80" s="39">
        <f>IF('Additional Videos'!B80 = "", "", IF('Additional Videos-WUO_ERR'!A80 = "", "Validated", HYPERLINK("#" &amp; ADDRESS(80, 'Additional Videos-WUO_TRK'!A80),_xlfn.TEXTAFTER('Additional Videos-WUO_ERR'!A80, ":"))))</f>
        <v>0</v>
      </c>
    </row>
    <row r="81" spans="1:1">
      <c r="A81" s="39">
        <f>IF('Additional Videos'!B81 = "", "", IF('Additional Videos-WUO_ERR'!A81 = "", "Validated", HYPERLINK("#" &amp; ADDRESS(81, 'Additional Videos-WUO_TRK'!A81),_xlfn.TEXTAFTER('Additional Videos-WUO_ERR'!A81, ":"))))</f>
        <v>0</v>
      </c>
    </row>
    <row r="82" spans="1:1">
      <c r="A82" s="39">
        <f>IF('Additional Videos'!B82 = "", "", IF('Additional Videos-WUO_ERR'!A82 = "", "Validated", HYPERLINK("#" &amp; ADDRESS(82, 'Additional Videos-WUO_TRK'!A82),_xlfn.TEXTAFTER('Additional Videos-WUO_ERR'!A82, ":"))))</f>
        <v>0</v>
      </c>
    </row>
    <row r="83" spans="1:1">
      <c r="A83" s="39">
        <f>IF('Additional Videos'!B83 = "", "", IF('Additional Videos-WUO_ERR'!A83 = "", "Validated", HYPERLINK("#" &amp; ADDRESS(83, 'Additional Videos-WUO_TRK'!A83),_xlfn.TEXTAFTER('Additional Videos-WUO_ERR'!A83, ":"))))</f>
        <v>0</v>
      </c>
    </row>
    <row r="84" spans="1:1">
      <c r="A84" s="39">
        <f>IF('Additional Videos'!B84 = "", "", IF('Additional Videos-WUO_ERR'!A84 = "", "Validated", HYPERLINK("#" &amp; ADDRESS(84, 'Additional Videos-WUO_TRK'!A84),_xlfn.TEXTAFTER('Additional Videos-WUO_ERR'!A84, ":"))))</f>
        <v>0</v>
      </c>
    </row>
    <row r="85" spans="1:1">
      <c r="A85" s="39">
        <f>IF('Additional Videos'!B85 = "", "", IF('Additional Videos-WUO_ERR'!A85 = "", "Validated", HYPERLINK("#" &amp; ADDRESS(85, 'Additional Videos-WUO_TRK'!A85),_xlfn.TEXTAFTER('Additional Videos-WUO_ERR'!A85, ":"))))</f>
        <v>0</v>
      </c>
    </row>
    <row r="86" spans="1:1">
      <c r="A86" s="39">
        <f>IF('Additional Videos'!B86 = "", "", IF('Additional Videos-WUO_ERR'!A86 = "", "Validated", HYPERLINK("#" &amp; ADDRESS(86, 'Additional Videos-WUO_TRK'!A86),_xlfn.TEXTAFTER('Additional Videos-WUO_ERR'!A86, ":"))))</f>
        <v>0</v>
      </c>
    </row>
    <row r="87" spans="1:1">
      <c r="A87" s="39">
        <f>IF('Additional Videos'!B87 = "", "", IF('Additional Videos-WUO_ERR'!A87 = "", "Validated", HYPERLINK("#" &amp; ADDRESS(87, 'Additional Videos-WUO_TRK'!A87),_xlfn.TEXTAFTER('Additional Videos-WUO_ERR'!A87, ":"))))</f>
        <v>0</v>
      </c>
    </row>
    <row r="88" spans="1:1">
      <c r="A88" s="39">
        <f>IF('Additional Videos'!B88 = "", "", IF('Additional Videos-WUO_ERR'!A88 = "", "Validated", HYPERLINK("#" &amp; ADDRESS(88, 'Additional Videos-WUO_TRK'!A88),_xlfn.TEXTAFTER('Additional Videos-WUO_ERR'!A88, ":"))))</f>
        <v>0</v>
      </c>
    </row>
    <row r="89" spans="1:1">
      <c r="A89" s="39">
        <f>IF('Additional Videos'!B89 = "", "", IF('Additional Videos-WUO_ERR'!A89 = "", "Validated", HYPERLINK("#" &amp; ADDRESS(89, 'Additional Videos-WUO_TRK'!A89),_xlfn.TEXTAFTER('Additional Videos-WUO_ERR'!A89, ":"))))</f>
        <v>0</v>
      </c>
    </row>
    <row r="90" spans="1:1">
      <c r="A90" s="39">
        <f>IF('Additional Videos'!B90 = "", "", IF('Additional Videos-WUO_ERR'!A90 = "", "Validated", HYPERLINK("#" &amp; ADDRESS(90, 'Additional Videos-WUO_TRK'!A90),_xlfn.TEXTAFTER('Additional Videos-WUO_ERR'!A90, ":"))))</f>
        <v>0</v>
      </c>
    </row>
    <row r="91" spans="1:1">
      <c r="A91" s="39">
        <f>IF('Additional Videos'!B91 = "", "", IF('Additional Videos-WUO_ERR'!A91 = "", "Validated", HYPERLINK("#" &amp; ADDRESS(91, 'Additional Videos-WUO_TRK'!A91),_xlfn.TEXTAFTER('Additional Videos-WUO_ERR'!A91, ":"))))</f>
        <v>0</v>
      </c>
    </row>
    <row r="92" spans="1:1">
      <c r="A92" s="39">
        <f>IF('Additional Videos'!B92 = "", "", IF('Additional Videos-WUO_ERR'!A92 = "", "Validated", HYPERLINK("#" &amp; ADDRESS(92, 'Additional Videos-WUO_TRK'!A92),_xlfn.TEXTAFTER('Additional Videos-WUO_ERR'!A92, ":"))))</f>
        <v>0</v>
      </c>
    </row>
    <row r="93" spans="1:1">
      <c r="A93" s="39">
        <f>IF('Additional Videos'!B93 = "", "", IF('Additional Videos-WUO_ERR'!A93 = "", "Validated", HYPERLINK("#" &amp; ADDRESS(93, 'Additional Videos-WUO_TRK'!A93),_xlfn.TEXTAFTER('Additional Videos-WUO_ERR'!A93, ":"))))</f>
        <v>0</v>
      </c>
    </row>
    <row r="94" spans="1:1">
      <c r="A94" s="39">
        <f>IF('Additional Videos'!B94 = "", "", IF('Additional Videos-WUO_ERR'!A94 = "", "Validated", HYPERLINK("#" &amp; ADDRESS(94, 'Additional Videos-WUO_TRK'!A94),_xlfn.TEXTAFTER('Additional Videos-WUO_ERR'!A94, ":"))))</f>
        <v>0</v>
      </c>
    </row>
    <row r="95" spans="1:1">
      <c r="A95" s="39">
        <f>IF('Additional Videos'!B95 = "", "", IF('Additional Videos-WUO_ERR'!A95 = "", "Validated", HYPERLINK("#" &amp; ADDRESS(95, 'Additional Videos-WUO_TRK'!A95),_xlfn.TEXTAFTER('Additional Videos-WUO_ERR'!A95, ":"))))</f>
        <v>0</v>
      </c>
    </row>
    <row r="96" spans="1:1">
      <c r="A96" s="39">
        <f>IF('Additional Videos'!B96 = "", "", IF('Additional Videos-WUO_ERR'!A96 = "", "Validated", HYPERLINK("#" &amp; ADDRESS(96, 'Additional Videos-WUO_TRK'!A96),_xlfn.TEXTAFTER('Additional Videos-WUO_ERR'!A96, ":"))))</f>
        <v>0</v>
      </c>
    </row>
    <row r="97" spans="1:1">
      <c r="A97" s="39">
        <f>IF('Additional Videos'!B97 = "", "", IF('Additional Videos-WUO_ERR'!A97 = "", "Validated", HYPERLINK("#" &amp; ADDRESS(97, 'Additional Videos-WUO_TRK'!A97),_xlfn.TEXTAFTER('Additional Videos-WUO_ERR'!A97, ":"))))</f>
        <v>0</v>
      </c>
    </row>
    <row r="98" spans="1:1">
      <c r="A98" s="39">
        <f>IF('Additional Videos'!B98 = "", "", IF('Additional Videos-WUO_ERR'!A98 = "", "Validated", HYPERLINK("#" &amp; ADDRESS(98, 'Additional Videos-WUO_TRK'!A98),_xlfn.TEXTAFTER('Additional Videos-WUO_ERR'!A98, ":"))))</f>
        <v>0</v>
      </c>
    </row>
    <row r="99" spans="1:1">
      <c r="A99" s="39">
        <f>IF('Additional Videos'!B99 = "", "", IF('Additional Videos-WUO_ERR'!A99 = "", "Validated", HYPERLINK("#" &amp; ADDRESS(99, 'Additional Videos-WUO_TRK'!A99),_xlfn.TEXTAFTER('Additional Videos-WUO_ERR'!A99, ":"))))</f>
        <v>0</v>
      </c>
    </row>
    <row r="100" spans="1:1">
      <c r="A100" s="39">
        <f>IF('Additional Videos'!B100 = "", "", IF('Additional Videos-WUO_ERR'!A100 = "", "Validated", HYPERLINK("#" &amp; ADDRESS(100, 'Additional Videos-WUO_TRK'!A100),_xlfn.TEXTAFTER('Additional Videos-WUO_ERR'!A100, ":"))))</f>
        <v>0</v>
      </c>
    </row>
    <row r="101" spans="1:1">
      <c r="A101" s="39">
        <f>IF('Additional Videos'!B101 = "", "", IF('Additional Videos-WUO_ERR'!A101 = "", "Validated", HYPERLINK("#" &amp; ADDRESS(101, 'Additional Videos-WUO_TRK'!A101),_xlfn.TEXTAFTER('Additional Videos-WUO_ERR'!A101, ":"))))</f>
        <v>0</v>
      </c>
    </row>
    <row r="102" spans="1:1">
      <c r="A102" s="39">
        <f>IF('Additional Videos'!B102 = "", "", IF('Additional Videos-WUO_ERR'!A102 = "", "Validated", HYPERLINK("#" &amp; ADDRESS(102, 'Additional Videos-WUO_TRK'!A102),_xlfn.TEXTAFTER('Additional Videos-WUO_ERR'!A102, ":"))))</f>
        <v>0</v>
      </c>
    </row>
    <row r="103" spans="1:1">
      <c r="A103" s="39">
        <f>IF('Additional Videos'!B103 = "", "", IF('Additional Videos-WUO_ERR'!A103 = "", "Validated", HYPERLINK("#" &amp; ADDRESS(103, 'Additional Videos-WUO_TRK'!A103),_xlfn.TEXTAFTER('Additional Videos-WUO_ERR'!A103, ":"))))</f>
        <v>0</v>
      </c>
    </row>
    <row r="104" spans="1:1">
      <c r="A104" s="39">
        <f>IF('Additional Videos'!B104 = "", "", IF('Additional Videos-WUO_ERR'!A104 = "", "Validated", HYPERLINK("#" &amp; ADDRESS(104, 'Additional Videos-WUO_TRK'!A104),_xlfn.TEXTAFTER('Additional Videos-WUO_ERR'!A104, ":"))))</f>
        <v>0</v>
      </c>
    </row>
    <row r="105" spans="1:1">
      <c r="A105" s="39">
        <f>IF('Additional Videos'!B105 = "", "", IF('Additional Videos-WUO_ERR'!A105 = "", "Validated", HYPERLINK("#" &amp; ADDRESS(105, 'Additional Videos-WUO_TRK'!A105),_xlfn.TEXTAFTER('Additional Videos-WUO_ERR'!A105, ":"))))</f>
        <v>0</v>
      </c>
    </row>
    <row r="106" spans="1:1">
      <c r="A106" s="39">
        <f>IF('Additional Videos'!B106 = "", "", IF('Additional Videos-WUO_ERR'!A106 = "", "Validated", HYPERLINK("#" &amp; ADDRESS(106, 'Additional Videos-WUO_TRK'!A106),_xlfn.TEXTAFTER('Additional Videos-WUO_ERR'!A106, ":"))))</f>
        <v>0</v>
      </c>
    </row>
    <row r="107" spans="1:1">
      <c r="A107" s="39">
        <f>IF('Additional Videos'!B107 = "", "", IF('Additional Videos-WUO_ERR'!A107 = "", "Validated", HYPERLINK("#" &amp; ADDRESS(107, 'Additional Videos-WUO_TRK'!A107),_xlfn.TEXTAFTER('Additional Videos-WUO_ERR'!A107, ":"))))</f>
        <v>0</v>
      </c>
    </row>
    <row r="108" spans="1:1">
      <c r="A108" s="39">
        <f>IF('Additional Videos'!B108 = "", "", IF('Additional Videos-WUO_ERR'!A108 = "", "Validated", HYPERLINK("#" &amp; ADDRESS(108, 'Additional Videos-WUO_TRK'!A108),_xlfn.TEXTAFTER('Additional Videos-WUO_ERR'!A108, ":"))))</f>
        <v>0</v>
      </c>
    </row>
    <row r="109" spans="1:1">
      <c r="A109" s="39">
        <f>IF('Additional Videos'!B109 = "", "", IF('Additional Videos-WUO_ERR'!A109 = "", "Validated", HYPERLINK("#" &amp; ADDRESS(109, 'Additional Videos-WUO_TRK'!A109),_xlfn.TEXTAFTER('Additional Videos-WUO_ERR'!A109, ":"))))</f>
        <v>0</v>
      </c>
    </row>
    <row r="110" spans="1:1">
      <c r="A110" s="39">
        <f>IF('Additional Videos'!B110 = "", "", IF('Additional Videos-WUO_ERR'!A110 = "", "Validated", HYPERLINK("#" &amp; ADDRESS(110, 'Additional Videos-WUO_TRK'!A110),_xlfn.TEXTAFTER('Additional Videos-WUO_ERR'!A110, ":"))))</f>
        <v>0</v>
      </c>
    </row>
    <row r="111" spans="1:1">
      <c r="A111" s="39">
        <f>IF('Additional Videos'!B111 = "", "", IF('Additional Videos-WUO_ERR'!A111 = "", "Validated", HYPERLINK("#" &amp; ADDRESS(111, 'Additional Videos-WUO_TRK'!A111),_xlfn.TEXTAFTER('Additional Videos-WUO_ERR'!A111, ":"))))</f>
        <v>0</v>
      </c>
    </row>
    <row r="112" spans="1:1">
      <c r="A112" s="39">
        <f>IF('Additional Videos'!B112 = "", "", IF('Additional Videos-WUO_ERR'!A112 = "", "Validated", HYPERLINK("#" &amp; ADDRESS(112, 'Additional Videos-WUO_TRK'!A112),_xlfn.TEXTAFTER('Additional Videos-WUO_ERR'!A112, ":"))))</f>
        <v>0</v>
      </c>
    </row>
    <row r="113" spans="1:1">
      <c r="A113" s="39">
        <f>IF('Additional Videos'!B113 = "", "", IF('Additional Videos-WUO_ERR'!A113 = "", "Validated", HYPERLINK("#" &amp; ADDRESS(113, 'Additional Videos-WUO_TRK'!A113),_xlfn.TEXTAFTER('Additional Videos-WUO_ERR'!A113, ":"))))</f>
        <v>0</v>
      </c>
    </row>
    <row r="114" spans="1:1">
      <c r="A114" s="39">
        <f>IF('Additional Videos'!B114 = "", "", IF('Additional Videos-WUO_ERR'!A114 = "", "Validated", HYPERLINK("#" &amp; ADDRESS(114, 'Additional Videos-WUO_TRK'!A114),_xlfn.TEXTAFTER('Additional Videos-WUO_ERR'!A114, ":"))))</f>
        <v>0</v>
      </c>
    </row>
    <row r="115" spans="1:1">
      <c r="A115" s="39">
        <f>IF('Additional Videos'!B115 = "", "", IF('Additional Videos-WUO_ERR'!A115 = "", "Validated", HYPERLINK("#" &amp; ADDRESS(115, 'Additional Videos-WUO_TRK'!A115),_xlfn.TEXTAFTER('Additional Videos-WUO_ERR'!A115, ":"))))</f>
        <v>0</v>
      </c>
    </row>
    <row r="116" spans="1:1">
      <c r="A116" s="39">
        <f>IF('Additional Videos'!B116 = "", "", IF('Additional Videos-WUO_ERR'!A116 = "", "Validated", HYPERLINK("#" &amp; ADDRESS(116, 'Additional Videos-WUO_TRK'!A116),_xlfn.TEXTAFTER('Additional Videos-WUO_ERR'!A116, ":"))))</f>
        <v>0</v>
      </c>
    </row>
    <row r="117" spans="1:1">
      <c r="A117" s="39">
        <f>IF('Additional Videos'!B117 = "", "", IF('Additional Videos-WUO_ERR'!A117 = "", "Validated", HYPERLINK("#" &amp; ADDRESS(117, 'Additional Videos-WUO_TRK'!A117),_xlfn.TEXTAFTER('Additional Videos-WUO_ERR'!A117, ":"))))</f>
        <v>0</v>
      </c>
    </row>
    <row r="118" spans="1:1">
      <c r="A118" s="39">
        <f>IF('Additional Videos'!B118 = "", "", IF('Additional Videos-WUO_ERR'!A118 = "", "Validated", HYPERLINK("#" &amp; ADDRESS(118, 'Additional Videos-WUO_TRK'!A118),_xlfn.TEXTAFTER('Additional Videos-WUO_ERR'!A118, ":"))))</f>
        <v>0</v>
      </c>
    </row>
    <row r="119" spans="1:1">
      <c r="A119" s="39">
        <f>IF('Additional Videos'!B119 = "", "", IF('Additional Videos-WUO_ERR'!A119 = "", "Validated", HYPERLINK("#" &amp; ADDRESS(119, 'Additional Videos-WUO_TRK'!A119),_xlfn.TEXTAFTER('Additional Videos-WUO_ERR'!A119, ":"))))</f>
        <v>0</v>
      </c>
    </row>
    <row r="120" spans="1:1">
      <c r="A120" s="39">
        <f>IF('Additional Videos'!B120 = "", "", IF('Additional Videos-WUO_ERR'!A120 = "", "Validated", HYPERLINK("#" &amp; ADDRESS(120, 'Additional Videos-WUO_TRK'!A120),_xlfn.TEXTAFTER('Additional Videos-WUO_ERR'!A120, ":"))))</f>
        <v>0</v>
      </c>
    </row>
    <row r="121" spans="1:1">
      <c r="A121" s="39">
        <f>IF('Additional Videos'!B121 = "", "", IF('Additional Videos-WUO_ERR'!A121 = "", "Validated", HYPERLINK("#" &amp; ADDRESS(121, 'Additional Videos-WUO_TRK'!A121),_xlfn.TEXTAFTER('Additional Videos-WUO_ERR'!A121, ":"))))</f>
        <v>0</v>
      </c>
    </row>
    <row r="122" spans="1:1">
      <c r="A122" s="39">
        <f>IF('Additional Videos'!B122 = "", "", IF('Additional Videos-WUO_ERR'!A122 = "", "Validated", HYPERLINK("#" &amp; ADDRESS(122, 'Additional Videos-WUO_TRK'!A122),_xlfn.TEXTAFTER('Additional Videos-WUO_ERR'!A122, ":"))))</f>
        <v>0</v>
      </c>
    </row>
    <row r="123" spans="1:1">
      <c r="A123" s="39">
        <f>IF('Additional Videos'!B123 = "", "", IF('Additional Videos-WUO_ERR'!A123 = "", "Validated", HYPERLINK("#" &amp; ADDRESS(123, 'Additional Videos-WUO_TRK'!A123),_xlfn.TEXTAFTER('Additional Videos-WUO_ERR'!A123, ":"))))</f>
        <v>0</v>
      </c>
    </row>
    <row r="124" spans="1:1">
      <c r="A124" s="39">
        <f>IF('Additional Videos'!B124 = "", "", IF('Additional Videos-WUO_ERR'!A124 = "", "Validated", HYPERLINK("#" &amp; ADDRESS(124, 'Additional Videos-WUO_TRK'!A124),_xlfn.TEXTAFTER('Additional Videos-WUO_ERR'!A124, ":"))))</f>
        <v>0</v>
      </c>
    </row>
    <row r="125" spans="1:1">
      <c r="A125" s="39">
        <f>IF('Additional Videos'!B125 = "", "", IF('Additional Videos-WUO_ERR'!A125 = "", "Validated", HYPERLINK("#" &amp; ADDRESS(125, 'Additional Videos-WUO_TRK'!A125),_xlfn.TEXTAFTER('Additional Videos-WUO_ERR'!A125, ":"))))</f>
        <v>0</v>
      </c>
    </row>
    <row r="126" spans="1:1">
      <c r="A126" s="39">
        <f>IF('Additional Videos'!B126 = "", "", IF('Additional Videos-WUO_ERR'!A126 = "", "Validated", HYPERLINK("#" &amp; ADDRESS(126, 'Additional Videos-WUO_TRK'!A126),_xlfn.TEXTAFTER('Additional Videos-WUO_ERR'!A126, ":"))))</f>
        <v>0</v>
      </c>
    </row>
    <row r="127" spans="1:1">
      <c r="A127" s="39">
        <f>IF('Additional Videos'!B127 = "", "", IF('Additional Videos-WUO_ERR'!A127 = "", "Validated", HYPERLINK("#" &amp; ADDRESS(127, 'Additional Videos-WUO_TRK'!A127),_xlfn.TEXTAFTER('Additional Videos-WUO_ERR'!A127, ":"))))</f>
        <v>0</v>
      </c>
    </row>
    <row r="128" spans="1:1">
      <c r="A128" s="39">
        <f>IF('Additional Videos'!B128 = "", "", IF('Additional Videos-WUO_ERR'!A128 = "", "Validated", HYPERLINK("#" &amp; ADDRESS(128, 'Additional Videos-WUO_TRK'!A128),_xlfn.TEXTAFTER('Additional Videos-WUO_ERR'!A128, ":"))))</f>
        <v>0</v>
      </c>
    </row>
    <row r="129" spans="1:1">
      <c r="A129" s="39">
        <f>IF('Additional Videos'!B129 = "", "", IF('Additional Videos-WUO_ERR'!A129 = "", "Validated", HYPERLINK("#" &amp; ADDRESS(129, 'Additional Videos-WUO_TRK'!A129),_xlfn.TEXTAFTER('Additional Videos-WUO_ERR'!A129, ":"))))</f>
        <v>0</v>
      </c>
    </row>
    <row r="130" spans="1:1">
      <c r="A130" s="39">
        <f>IF('Additional Videos'!B130 = "", "", IF('Additional Videos-WUO_ERR'!A130 = "", "Validated", HYPERLINK("#" &amp; ADDRESS(130, 'Additional Videos-WUO_TRK'!A130),_xlfn.TEXTAFTER('Additional Videos-WUO_ERR'!A130, ":"))))</f>
        <v>0</v>
      </c>
    </row>
    <row r="131" spans="1:1">
      <c r="A131" s="39">
        <f>IF('Additional Videos'!B131 = "", "", IF('Additional Videos-WUO_ERR'!A131 = "", "Validated", HYPERLINK("#" &amp; ADDRESS(131, 'Additional Videos-WUO_TRK'!A131),_xlfn.TEXTAFTER('Additional Videos-WUO_ERR'!A131, ":"))))</f>
        <v>0</v>
      </c>
    </row>
    <row r="132" spans="1:1">
      <c r="A132" s="39">
        <f>IF('Additional Videos'!B132 = "", "", IF('Additional Videos-WUO_ERR'!A132 = "", "Validated", HYPERLINK("#" &amp; ADDRESS(132, 'Additional Videos-WUO_TRK'!A132),_xlfn.TEXTAFTER('Additional Videos-WUO_ERR'!A132, ":"))))</f>
        <v>0</v>
      </c>
    </row>
    <row r="133" spans="1:1">
      <c r="A133" s="39">
        <f>IF('Additional Videos'!B133 = "", "", IF('Additional Videos-WUO_ERR'!A133 = "", "Validated", HYPERLINK("#" &amp; ADDRESS(133, 'Additional Videos-WUO_TRK'!A133),_xlfn.TEXTAFTER('Additional Videos-WUO_ERR'!A133, ":"))))</f>
        <v>0</v>
      </c>
    </row>
    <row r="134" spans="1:1">
      <c r="A134" s="39">
        <f>IF('Additional Videos'!B134 = "", "", IF('Additional Videos-WUO_ERR'!A134 = "", "Validated", HYPERLINK("#" &amp; ADDRESS(134, 'Additional Videos-WUO_TRK'!A134),_xlfn.TEXTAFTER('Additional Videos-WUO_ERR'!A134, ":"))))</f>
        <v>0</v>
      </c>
    </row>
    <row r="135" spans="1:1">
      <c r="A135" s="39">
        <f>IF('Additional Videos'!B135 = "", "", IF('Additional Videos-WUO_ERR'!A135 = "", "Validated", HYPERLINK("#" &amp; ADDRESS(135, 'Additional Videos-WUO_TRK'!A135),_xlfn.TEXTAFTER('Additional Videos-WUO_ERR'!A135, ":"))))</f>
        <v>0</v>
      </c>
    </row>
    <row r="136" spans="1:1">
      <c r="A136" s="39">
        <f>IF('Additional Videos'!B136 = "", "", IF('Additional Videos-WUO_ERR'!A136 = "", "Validated", HYPERLINK("#" &amp; ADDRESS(136, 'Additional Videos-WUO_TRK'!A136),_xlfn.TEXTAFTER('Additional Videos-WUO_ERR'!A136, ":"))))</f>
        <v>0</v>
      </c>
    </row>
    <row r="137" spans="1:1">
      <c r="A137" s="39">
        <f>IF('Additional Videos'!B137 = "", "", IF('Additional Videos-WUO_ERR'!A137 = "", "Validated", HYPERLINK("#" &amp; ADDRESS(137, 'Additional Videos-WUO_TRK'!A137),_xlfn.TEXTAFTER('Additional Videos-WUO_ERR'!A137, ":"))))</f>
        <v>0</v>
      </c>
    </row>
    <row r="138" spans="1:1">
      <c r="A138" s="39">
        <f>IF('Additional Videos'!B138 = "", "", IF('Additional Videos-WUO_ERR'!A138 = "", "Validated", HYPERLINK("#" &amp; ADDRESS(138, 'Additional Videos-WUO_TRK'!A138),_xlfn.TEXTAFTER('Additional Videos-WUO_ERR'!A138, ":"))))</f>
        <v>0</v>
      </c>
    </row>
    <row r="139" spans="1:1">
      <c r="A139" s="39">
        <f>IF('Additional Videos'!B139 = "", "", IF('Additional Videos-WUO_ERR'!A139 = "", "Validated", HYPERLINK("#" &amp; ADDRESS(139, 'Additional Videos-WUO_TRK'!A139),_xlfn.TEXTAFTER('Additional Videos-WUO_ERR'!A139, ":"))))</f>
        <v>0</v>
      </c>
    </row>
    <row r="140" spans="1:1">
      <c r="A140" s="39">
        <f>IF('Additional Videos'!B140 = "", "", IF('Additional Videos-WUO_ERR'!A140 = "", "Validated", HYPERLINK("#" &amp; ADDRESS(140, 'Additional Videos-WUO_TRK'!A140),_xlfn.TEXTAFTER('Additional Videos-WUO_ERR'!A140, ":"))))</f>
        <v>0</v>
      </c>
    </row>
    <row r="141" spans="1:1">
      <c r="A141" s="39">
        <f>IF('Additional Videos'!B141 = "", "", IF('Additional Videos-WUO_ERR'!A141 = "", "Validated", HYPERLINK("#" &amp; ADDRESS(141, 'Additional Videos-WUO_TRK'!A141),_xlfn.TEXTAFTER('Additional Videos-WUO_ERR'!A141, ":"))))</f>
        <v>0</v>
      </c>
    </row>
    <row r="142" spans="1:1">
      <c r="A142" s="39">
        <f>IF('Additional Videos'!B142 = "", "", IF('Additional Videos-WUO_ERR'!A142 = "", "Validated", HYPERLINK("#" &amp; ADDRESS(142, 'Additional Videos-WUO_TRK'!A142),_xlfn.TEXTAFTER('Additional Videos-WUO_ERR'!A142, ":"))))</f>
        <v>0</v>
      </c>
    </row>
    <row r="143" spans="1:1">
      <c r="A143" s="39">
        <f>IF('Additional Videos'!B143 = "", "", IF('Additional Videos-WUO_ERR'!A143 = "", "Validated", HYPERLINK("#" &amp; ADDRESS(143, 'Additional Videos-WUO_TRK'!A143),_xlfn.TEXTAFTER('Additional Videos-WUO_ERR'!A143, ":"))))</f>
        <v>0</v>
      </c>
    </row>
    <row r="144" spans="1:1">
      <c r="A144" s="39">
        <f>IF('Additional Videos'!B144 = "", "", IF('Additional Videos-WUO_ERR'!A144 = "", "Validated", HYPERLINK("#" &amp; ADDRESS(144, 'Additional Videos-WUO_TRK'!A144),_xlfn.TEXTAFTER('Additional Videos-WUO_ERR'!A144, ":"))))</f>
        <v>0</v>
      </c>
    </row>
    <row r="145" spans="1:1">
      <c r="A145" s="39">
        <f>IF('Additional Videos'!B145 = "", "", IF('Additional Videos-WUO_ERR'!A145 = "", "Validated", HYPERLINK("#" &amp; ADDRESS(145, 'Additional Videos-WUO_TRK'!A145),_xlfn.TEXTAFTER('Additional Videos-WUO_ERR'!A145, ":"))))</f>
        <v>0</v>
      </c>
    </row>
    <row r="146" spans="1:1">
      <c r="A146" s="39">
        <f>IF('Additional Videos'!B146 = "", "", IF('Additional Videos-WUO_ERR'!A146 = "", "Validated", HYPERLINK("#" &amp; ADDRESS(146, 'Additional Videos-WUO_TRK'!A146),_xlfn.TEXTAFTER('Additional Videos-WUO_ERR'!A146, ":"))))</f>
        <v>0</v>
      </c>
    </row>
    <row r="147" spans="1:1">
      <c r="A147" s="39">
        <f>IF('Additional Videos'!B147 = "", "", IF('Additional Videos-WUO_ERR'!A147 = "", "Validated", HYPERLINK("#" &amp; ADDRESS(147, 'Additional Videos-WUO_TRK'!A147),_xlfn.TEXTAFTER('Additional Videos-WUO_ERR'!A147, ":"))))</f>
        <v>0</v>
      </c>
    </row>
    <row r="148" spans="1:1">
      <c r="A148" s="39">
        <f>IF('Additional Videos'!B148 = "", "", IF('Additional Videos-WUO_ERR'!A148 = "", "Validated", HYPERLINK("#" &amp; ADDRESS(148, 'Additional Videos-WUO_TRK'!A148),_xlfn.TEXTAFTER('Additional Videos-WUO_ERR'!A148, ":"))))</f>
        <v>0</v>
      </c>
    </row>
    <row r="149" spans="1:1">
      <c r="A149" s="39">
        <f>IF('Additional Videos'!B149 = "", "", IF('Additional Videos-WUO_ERR'!A149 = "", "Validated", HYPERLINK("#" &amp; ADDRESS(149, 'Additional Videos-WUO_TRK'!A149),_xlfn.TEXTAFTER('Additional Videos-WUO_ERR'!A149, ":"))))</f>
        <v>0</v>
      </c>
    </row>
    <row r="150" spans="1:1">
      <c r="A150" s="39">
        <f>IF('Additional Videos'!B150 = "", "", IF('Additional Videos-WUO_ERR'!A150 = "", "Validated", HYPERLINK("#" &amp; ADDRESS(150, 'Additional Videos-WUO_TRK'!A150),_xlfn.TEXTAFTER('Additional Videos-WUO_ERR'!A150, ":"))))</f>
        <v>0</v>
      </c>
    </row>
    <row r="151" spans="1:1">
      <c r="A151" s="39">
        <f>IF('Additional Videos'!B151 = "", "", IF('Additional Videos-WUO_ERR'!A151 = "", "Validated", HYPERLINK("#" &amp; ADDRESS(151, 'Additional Videos-WUO_TRK'!A151),_xlfn.TEXTAFTER('Additional Videos-WUO_ERR'!A151, ":"))))</f>
        <v>0</v>
      </c>
    </row>
    <row r="152" spans="1:1">
      <c r="A152" s="39">
        <f>IF('Additional Videos'!B152 = "", "", IF('Additional Videos-WUO_ERR'!A152 = "", "Validated", HYPERLINK("#" &amp; ADDRESS(152, 'Additional Videos-WUO_TRK'!A152),_xlfn.TEXTAFTER('Additional Videos-WUO_ERR'!A152, ":"))))</f>
        <v>0</v>
      </c>
    </row>
    <row r="153" spans="1:1">
      <c r="A153" s="39">
        <f>IF('Additional Videos'!B153 = "", "", IF('Additional Videos-WUO_ERR'!A153 = "", "Validated", HYPERLINK("#" &amp; ADDRESS(153, 'Additional Videos-WUO_TRK'!A153),_xlfn.TEXTAFTER('Additional Videos-WUO_ERR'!A153, ":"))))</f>
        <v>0</v>
      </c>
    </row>
    <row r="154" spans="1:1">
      <c r="A154" s="39">
        <f>IF('Additional Videos'!B154 = "", "", IF('Additional Videos-WUO_ERR'!A154 = "", "Validated", HYPERLINK("#" &amp; ADDRESS(154, 'Additional Videos-WUO_TRK'!A154),_xlfn.TEXTAFTER('Additional Videos-WUO_ERR'!A154, ":"))))</f>
        <v>0</v>
      </c>
    </row>
    <row r="155" spans="1:1">
      <c r="A155" s="39">
        <f>IF('Additional Videos'!B155 = "", "", IF('Additional Videos-WUO_ERR'!A155 = "", "Validated", HYPERLINK("#" &amp; ADDRESS(155, 'Additional Videos-WUO_TRK'!A155),_xlfn.TEXTAFTER('Additional Videos-WUO_ERR'!A155, ":"))))</f>
        <v>0</v>
      </c>
    </row>
    <row r="156" spans="1:1">
      <c r="A156" s="39">
        <f>IF('Additional Videos'!B156 = "", "", IF('Additional Videos-WUO_ERR'!A156 = "", "Validated", HYPERLINK("#" &amp; ADDRESS(156, 'Additional Videos-WUO_TRK'!A156),_xlfn.TEXTAFTER('Additional Videos-WUO_ERR'!A156, ":"))))</f>
        <v>0</v>
      </c>
    </row>
    <row r="157" spans="1:1">
      <c r="A157" s="39">
        <f>IF('Additional Videos'!B157 = "", "", IF('Additional Videos-WUO_ERR'!A157 = "", "Validated", HYPERLINK("#" &amp; ADDRESS(157, 'Additional Videos-WUO_TRK'!A157),_xlfn.TEXTAFTER('Additional Videos-WUO_ERR'!A157, ":"))))</f>
        <v>0</v>
      </c>
    </row>
    <row r="158" spans="1:1">
      <c r="A158" s="39">
        <f>IF('Additional Videos'!B158 = "", "", IF('Additional Videos-WUO_ERR'!A158 = "", "Validated", HYPERLINK("#" &amp; ADDRESS(158, 'Additional Videos-WUO_TRK'!A158),_xlfn.TEXTAFTER('Additional Videos-WUO_ERR'!A158, ":"))))</f>
        <v>0</v>
      </c>
    </row>
    <row r="159" spans="1:1">
      <c r="A159" s="39">
        <f>IF('Additional Videos'!B159 = "", "", IF('Additional Videos-WUO_ERR'!A159 = "", "Validated", HYPERLINK("#" &amp; ADDRESS(159, 'Additional Videos-WUO_TRK'!A159),_xlfn.TEXTAFTER('Additional Videos-WUO_ERR'!A159, ":"))))</f>
        <v>0</v>
      </c>
    </row>
    <row r="160" spans="1:1">
      <c r="A160" s="39">
        <f>IF('Additional Videos'!B160 = "", "", IF('Additional Videos-WUO_ERR'!A160 = "", "Validated", HYPERLINK("#" &amp; ADDRESS(160, 'Additional Videos-WUO_TRK'!A160),_xlfn.TEXTAFTER('Additional Videos-WUO_ERR'!A160, ":"))))</f>
        <v>0</v>
      </c>
    </row>
    <row r="161" spans="1:1">
      <c r="A161" s="39">
        <f>IF('Additional Videos'!B161 = "", "", IF('Additional Videos-WUO_ERR'!A161 = "", "Validated", HYPERLINK("#" &amp; ADDRESS(161, 'Additional Videos-WUO_TRK'!A161),_xlfn.TEXTAFTER('Additional Videos-WUO_ERR'!A161, ":"))))</f>
        <v>0</v>
      </c>
    </row>
    <row r="162" spans="1:1">
      <c r="A162" s="39">
        <f>IF('Additional Videos'!B162 = "", "", IF('Additional Videos-WUO_ERR'!A162 = "", "Validated", HYPERLINK("#" &amp; ADDRESS(162, 'Additional Videos-WUO_TRK'!A162),_xlfn.TEXTAFTER('Additional Videos-WUO_ERR'!A162, ":"))))</f>
        <v>0</v>
      </c>
    </row>
    <row r="163" spans="1:1">
      <c r="A163" s="39">
        <f>IF('Additional Videos'!B163 = "", "", IF('Additional Videos-WUO_ERR'!A163 = "", "Validated", HYPERLINK("#" &amp; ADDRESS(163, 'Additional Videos-WUO_TRK'!A163),_xlfn.TEXTAFTER('Additional Videos-WUO_ERR'!A163, ":"))))</f>
        <v>0</v>
      </c>
    </row>
    <row r="164" spans="1:1">
      <c r="A164" s="39">
        <f>IF('Additional Videos'!B164 = "", "", IF('Additional Videos-WUO_ERR'!A164 = "", "Validated", HYPERLINK("#" &amp; ADDRESS(164, 'Additional Videos-WUO_TRK'!A164),_xlfn.TEXTAFTER('Additional Videos-WUO_ERR'!A164, ":"))))</f>
        <v>0</v>
      </c>
    </row>
    <row r="165" spans="1:1">
      <c r="A165" s="39">
        <f>IF('Additional Videos'!B165 = "", "", IF('Additional Videos-WUO_ERR'!A165 = "", "Validated", HYPERLINK("#" &amp; ADDRESS(165, 'Additional Videos-WUO_TRK'!A165),_xlfn.TEXTAFTER('Additional Videos-WUO_ERR'!A165, ":"))))</f>
        <v>0</v>
      </c>
    </row>
    <row r="166" spans="1:1">
      <c r="A166" s="39">
        <f>IF('Additional Videos'!B166 = "", "", IF('Additional Videos-WUO_ERR'!A166 = "", "Validated", HYPERLINK("#" &amp; ADDRESS(166, 'Additional Videos-WUO_TRK'!A166),_xlfn.TEXTAFTER('Additional Videos-WUO_ERR'!A166, ":"))))</f>
        <v>0</v>
      </c>
    </row>
    <row r="167" spans="1:1">
      <c r="A167" s="39">
        <f>IF('Additional Videos'!B167 = "", "", IF('Additional Videos-WUO_ERR'!A167 = "", "Validated", HYPERLINK("#" &amp; ADDRESS(167, 'Additional Videos-WUO_TRK'!A167),_xlfn.TEXTAFTER('Additional Videos-WUO_ERR'!A167, ":"))))</f>
        <v>0</v>
      </c>
    </row>
    <row r="168" spans="1:1">
      <c r="A168" s="39">
        <f>IF('Additional Videos'!B168 = "", "", IF('Additional Videos-WUO_ERR'!A168 = "", "Validated", HYPERLINK("#" &amp; ADDRESS(168, 'Additional Videos-WUO_TRK'!A168),_xlfn.TEXTAFTER('Additional Videos-WUO_ERR'!A168, ":"))))</f>
        <v>0</v>
      </c>
    </row>
    <row r="169" spans="1:1">
      <c r="A169" s="39">
        <f>IF('Additional Videos'!B169 = "", "", IF('Additional Videos-WUO_ERR'!A169 = "", "Validated", HYPERLINK("#" &amp; ADDRESS(169, 'Additional Videos-WUO_TRK'!A169),_xlfn.TEXTAFTER('Additional Videos-WUO_ERR'!A169, ":"))))</f>
        <v>0</v>
      </c>
    </row>
    <row r="170" spans="1:1">
      <c r="A170" s="39">
        <f>IF('Additional Videos'!B170 = "", "", IF('Additional Videos-WUO_ERR'!A170 = "", "Validated", HYPERLINK("#" &amp; ADDRESS(170, 'Additional Videos-WUO_TRK'!A170),_xlfn.TEXTAFTER('Additional Videos-WUO_ERR'!A170, ":"))))</f>
        <v>0</v>
      </c>
    </row>
    <row r="171" spans="1:1">
      <c r="A171" s="39">
        <f>IF('Additional Videos'!B171 = "", "", IF('Additional Videos-WUO_ERR'!A171 = "", "Validated", HYPERLINK("#" &amp; ADDRESS(171, 'Additional Videos-WUO_TRK'!A171),_xlfn.TEXTAFTER('Additional Videos-WUO_ERR'!A171, ":"))))</f>
        <v>0</v>
      </c>
    </row>
    <row r="172" spans="1:1">
      <c r="A172" s="39">
        <f>IF('Additional Videos'!B172 = "", "", IF('Additional Videos-WUO_ERR'!A172 = "", "Validated", HYPERLINK("#" &amp; ADDRESS(172, 'Additional Videos-WUO_TRK'!A172),_xlfn.TEXTAFTER('Additional Videos-WUO_ERR'!A172, ":"))))</f>
        <v>0</v>
      </c>
    </row>
    <row r="173" spans="1:1">
      <c r="A173" s="39">
        <f>IF('Additional Videos'!B173 = "", "", IF('Additional Videos-WUO_ERR'!A173 = "", "Validated", HYPERLINK("#" &amp; ADDRESS(173, 'Additional Videos-WUO_TRK'!A173),_xlfn.TEXTAFTER('Additional Videos-WUO_ERR'!A173, ":"))))</f>
        <v>0</v>
      </c>
    </row>
    <row r="174" spans="1:1">
      <c r="A174" s="39">
        <f>IF('Additional Videos'!B174 = "", "", IF('Additional Videos-WUO_ERR'!A174 = "", "Validated", HYPERLINK("#" &amp; ADDRESS(174, 'Additional Videos-WUO_TRK'!A174),_xlfn.TEXTAFTER('Additional Videos-WUO_ERR'!A174, ":"))))</f>
        <v>0</v>
      </c>
    </row>
    <row r="175" spans="1:1">
      <c r="A175" s="39">
        <f>IF('Additional Videos'!B175 = "", "", IF('Additional Videos-WUO_ERR'!A175 = "", "Validated", HYPERLINK("#" &amp; ADDRESS(175, 'Additional Videos-WUO_TRK'!A175),_xlfn.TEXTAFTER('Additional Videos-WUO_ERR'!A175, ":"))))</f>
        <v>0</v>
      </c>
    </row>
    <row r="176" spans="1:1">
      <c r="A176" s="39">
        <f>IF('Additional Videos'!B176 = "", "", IF('Additional Videos-WUO_ERR'!A176 = "", "Validated", HYPERLINK("#" &amp; ADDRESS(176, 'Additional Videos-WUO_TRK'!A176),_xlfn.TEXTAFTER('Additional Videos-WUO_ERR'!A176, ":"))))</f>
        <v>0</v>
      </c>
    </row>
    <row r="177" spans="1:1">
      <c r="A177" s="39">
        <f>IF('Additional Videos'!B177 = "", "", IF('Additional Videos-WUO_ERR'!A177 = "", "Validated", HYPERLINK("#" &amp; ADDRESS(177, 'Additional Videos-WUO_TRK'!A177),_xlfn.TEXTAFTER('Additional Videos-WUO_ERR'!A177, ":"))))</f>
        <v>0</v>
      </c>
    </row>
    <row r="178" spans="1:1">
      <c r="A178" s="39">
        <f>IF('Additional Videos'!B178 = "", "", IF('Additional Videos-WUO_ERR'!A178 = "", "Validated", HYPERLINK("#" &amp; ADDRESS(178, 'Additional Videos-WUO_TRK'!A178),_xlfn.TEXTAFTER('Additional Videos-WUO_ERR'!A178, ":"))))</f>
        <v>0</v>
      </c>
    </row>
    <row r="179" spans="1:1">
      <c r="A179" s="39">
        <f>IF('Additional Videos'!B179 = "", "", IF('Additional Videos-WUO_ERR'!A179 = "", "Validated", HYPERLINK("#" &amp; ADDRESS(179, 'Additional Videos-WUO_TRK'!A179),_xlfn.TEXTAFTER('Additional Videos-WUO_ERR'!A179, ":"))))</f>
        <v>0</v>
      </c>
    </row>
    <row r="180" spans="1:1">
      <c r="A180" s="39">
        <f>IF('Additional Videos'!B180 = "", "", IF('Additional Videos-WUO_ERR'!A180 = "", "Validated", HYPERLINK("#" &amp; ADDRESS(180, 'Additional Videos-WUO_TRK'!A180),_xlfn.TEXTAFTER('Additional Videos-WUO_ERR'!A180, ":"))))</f>
        <v>0</v>
      </c>
    </row>
    <row r="181" spans="1:1">
      <c r="A181" s="39">
        <f>IF('Additional Videos'!B181 = "", "", IF('Additional Videos-WUO_ERR'!A181 = "", "Validated", HYPERLINK("#" &amp; ADDRESS(181, 'Additional Videos-WUO_TRK'!A181),_xlfn.TEXTAFTER('Additional Videos-WUO_ERR'!A181, ":"))))</f>
        <v>0</v>
      </c>
    </row>
    <row r="182" spans="1:1">
      <c r="A182" s="39">
        <f>IF('Additional Videos'!B182 = "", "", IF('Additional Videos-WUO_ERR'!A182 = "", "Validated", HYPERLINK("#" &amp; ADDRESS(182, 'Additional Videos-WUO_TRK'!A182),_xlfn.TEXTAFTER('Additional Videos-WUO_ERR'!A182, ":"))))</f>
        <v>0</v>
      </c>
    </row>
    <row r="183" spans="1:1">
      <c r="A183" s="39">
        <f>IF('Additional Videos'!B183 = "", "", IF('Additional Videos-WUO_ERR'!A183 = "", "Validated", HYPERLINK("#" &amp; ADDRESS(183, 'Additional Videos-WUO_TRK'!A183),_xlfn.TEXTAFTER('Additional Videos-WUO_ERR'!A183, ":"))))</f>
        <v>0</v>
      </c>
    </row>
    <row r="184" spans="1:1">
      <c r="A184" s="39">
        <f>IF('Additional Videos'!B184 = "", "", IF('Additional Videos-WUO_ERR'!A184 = "", "Validated", HYPERLINK("#" &amp; ADDRESS(184, 'Additional Videos-WUO_TRK'!A184),_xlfn.TEXTAFTER('Additional Videos-WUO_ERR'!A184, ":"))))</f>
        <v>0</v>
      </c>
    </row>
    <row r="185" spans="1:1">
      <c r="A185" s="39">
        <f>IF('Additional Videos'!B185 = "", "", IF('Additional Videos-WUO_ERR'!A185 = "", "Validated", HYPERLINK("#" &amp; ADDRESS(185, 'Additional Videos-WUO_TRK'!A185),_xlfn.TEXTAFTER('Additional Videos-WUO_ERR'!A185, ":"))))</f>
        <v>0</v>
      </c>
    </row>
    <row r="186" spans="1:1">
      <c r="A186" s="39">
        <f>IF('Additional Videos'!B186 = "", "", IF('Additional Videos-WUO_ERR'!A186 = "", "Validated", HYPERLINK("#" &amp; ADDRESS(186, 'Additional Videos-WUO_TRK'!A186),_xlfn.TEXTAFTER('Additional Videos-WUO_ERR'!A186, ":"))))</f>
        <v>0</v>
      </c>
    </row>
    <row r="187" spans="1:1">
      <c r="A187" s="39">
        <f>IF('Additional Videos'!B187 = "", "", IF('Additional Videos-WUO_ERR'!A187 = "", "Validated", HYPERLINK("#" &amp; ADDRESS(187, 'Additional Videos-WUO_TRK'!A187),_xlfn.TEXTAFTER('Additional Videos-WUO_ERR'!A187, ":"))))</f>
        <v>0</v>
      </c>
    </row>
    <row r="188" spans="1:1">
      <c r="A188" s="39">
        <f>IF('Additional Videos'!B188 = "", "", IF('Additional Videos-WUO_ERR'!A188 = "", "Validated", HYPERLINK("#" &amp; ADDRESS(188, 'Additional Videos-WUO_TRK'!A188),_xlfn.TEXTAFTER('Additional Videos-WUO_ERR'!A188, ":"))))</f>
        <v>0</v>
      </c>
    </row>
    <row r="189" spans="1:1">
      <c r="A189" s="39">
        <f>IF('Additional Videos'!B189 = "", "", IF('Additional Videos-WUO_ERR'!A189 = "", "Validated", HYPERLINK("#" &amp; ADDRESS(189, 'Additional Videos-WUO_TRK'!A189),_xlfn.TEXTAFTER('Additional Videos-WUO_ERR'!A189, ":"))))</f>
        <v>0</v>
      </c>
    </row>
    <row r="190" spans="1:1">
      <c r="A190" s="39">
        <f>IF('Additional Videos'!B190 = "", "", IF('Additional Videos-WUO_ERR'!A190 = "", "Validated", HYPERLINK("#" &amp; ADDRESS(190, 'Additional Videos-WUO_TRK'!A190),_xlfn.TEXTAFTER('Additional Videos-WUO_ERR'!A190, ":"))))</f>
        <v>0</v>
      </c>
    </row>
    <row r="191" spans="1:1">
      <c r="A191" s="39">
        <f>IF('Additional Videos'!B191 = "", "", IF('Additional Videos-WUO_ERR'!A191 = "", "Validated", HYPERLINK("#" &amp; ADDRESS(191, 'Additional Videos-WUO_TRK'!A191),_xlfn.TEXTAFTER('Additional Videos-WUO_ERR'!A191, ":"))))</f>
        <v>0</v>
      </c>
    </row>
    <row r="192" spans="1:1">
      <c r="A192" s="39">
        <f>IF('Additional Videos'!B192 = "", "", IF('Additional Videos-WUO_ERR'!A192 = "", "Validated", HYPERLINK("#" &amp; ADDRESS(192, 'Additional Videos-WUO_TRK'!A192),_xlfn.TEXTAFTER('Additional Videos-WUO_ERR'!A192, ":"))))</f>
        <v>0</v>
      </c>
    </row>
    <row r="193" spans="1:1">
      <c r="A193" s="39">
        <f>IF('Additional Videos'!B193 = "", "", IF('Additional Videos-WUO_ERR'!A193 = "", "Validated", HYPERLINK("#" &amp; ADDRESS(193, 'Additional Videos-WUO_TRK'!A193),_xlfn.TEXTAFTER('Additional Videos-WUO_ERR'!A193, ":"))))</f>
        <v>0</v>
      </c>
    </row>
    <row r="194" spans="1:1">
      <c r="A194" s="39">
        <f>IF('Additional Videos'!B194 = "", "", IF('Additional Videos-WUO_ERR'!A194 = "", "Validated", HYPERLINK("#" &amp; ADDRESS(194, 'Additional Videos-WUO_TRK'!A194),_xlfn.TEXTAFTER('Additional Videos-WUO_ERR'!A194, ":"))))</f>
        <v>0</v>
      </c>
    </row>
    <row r="195" spans="1:1">
      <c r="A195" s="39">
        <f>IF('Additional Videos'!B195 = "", "", IF('Additional Videos-WUO_ERR'!A195 = "", "Validated", HYPERLINK("#" &amp; ADDRESS(195, 'Additional Videos-WUO_TRK'!A195),_xlfn.TEXTAFTER('Additional Videos-WUO_ERR'!A195, ":"))))</f>
        <v>0</v>
      </c>
    </row>
    <row r="196" spans="1:1">
      <c r="A196" s="39">
        <f>IF('Additional Videos'!B196 = "", "", IF('Additional Videos-WUO_ERR'!A196 = "", "Validated", HYPERLINK("#" &amp; ADDRESS(196, 'Additional Videos-WUO_TRK'!A196),_xlfn.TEXTAFTER('Additional Videos-WUO_ERR'!A196, ":"))))</f>
        <v>0</v>
      </c>
    </row>
    <row r="197" spans="1:1">
      <c r="A197" s="39">
        <f>IF('Additional Videos'!B197 = "", "", IF('Additional Videos-WUO_ERR'!A197 = "", "Validated", HYPERLINK("#" &amp; ADDRESS(197, 'Additional Videos-WUO_TRK'!A197),_xlfn.TEXTAFTER('Additional Videos-WUO_ERR'!A197, ":"))))</f>
        <v>0</v>
      </c>
    </row>
    <row r="198" spans="1:1">
      <c r="A198" s="39">
        <f>IF('Additional Videos'!B198 = "", "", IF('Additional Videos-WUO_ERR'!A198 = "", "Validated", HYPERLINK("#" &amp; ADDRESS(198, 'Additional Videos-WUO_TRK'!A198),_xlfn.TEXTAFTER('Additional Videos-WUO_ERR'!A198, ":"))))</f>
        <v>0</v>
      </c>
    </row>
    <row r="199" spans="1:1">
      <c r="A199" s="39">
        <f>IF('Additional Videos'!B199 = "", "", IF('Additional Videos-WUO_ERR'!A199 = "", "Validated", HYPERLINK("#" &amp; ADDRESS(199, 'Additional Videos-WUO_TRK'!A199),_xlfn.TEXTAFTER('Additional Videos-WUO_ERR'!A199, ":"))))</f>
        <v>0</v>
      </c>
    </row>
    <row r="200" spans="1:1">
      <c r="A200" s="39">
        <f>IF('Additional Videos'!B200 = "", "", IF('Additional Videos-WUO_ERR'!A200 = "", "Validated", HYPERLINK("#" &amp; ADDRESS(200, 'Additional Videos-WUO_TRK'!A200),_xlfn.TEXTAFTER('Additional Videos-WUO_ERR'!A200, ":"))))</f>
        <v>0</v>
      </c>
    </row>
    <row r="201" spans="1:1">
      <c r="A201" s="39">
        <f>IF('Additional Videos'!B201 = "", "", IF('Additional Videos-WUO_ERR'!A201 = "", "Validated", HYPERLINK("#" &amp; ADDRESS(201, 'Additional Videos-WUO_TRK'!A201),_xlfn.TEXTAFTER('Additional Videos-WUO_ERR'!A201, ":"))))</f>
        <v>0</v>
      </c>
    </row>
    <row r="202" spans="1:1">
      <c r="A202" s="39">
        <f>IF('Additional Videos'!B202 = "", "", IF('Additional Videos-WUO_ERR'!A202 = "", "Validated", HYPERLINK("#" &amp; ADDRESS(202, 'Additional Videos-WUO_TRK'!A202),_xlfn.TEXTAFTER('Additional Videos-WUO_ERR'!A202, ":"))))</f>
        <v>0</v>
      </c>
    </row>
    <row r="203" spans="1:1">
      <c r="A203" s="39">
        <f>IF('Additional Videos'!B203 = "", "", IF('Additional Videos-WUO_ERR'!A203 = "", "Validated", HYPERLINK("#" &amp; ADDRESS(203, 'Additional Videos-WUO_TRK'!A203),_xlfn.TEXTAFTER('Additional Videos-WUO_ERR'!A203, ":"))))</f>
        <v>0</v>
      </c>
    </row>
    <row r="204" spans="1:1">
      <c r="A204" s="39">
        <f>IF('Additional Videos'!B204 = "", "", IF('Additional Videos-WUO_ERR'!A204 = "", "Validated", HYPERLINK("#" &amp; ADDRESS(204, 'Additional Videos-WUO_TRK'!A204),_xlfn.TEXTAFTER('Additional Videos-WUO_ERR'!A204, ":"))))</f>
        <v>0</v>
      </c>
    </row>
    <row r="205" spans="1:1">
      <c r="A205" s="39">
        <f>IF('Additional Videos'!B205 = "", "", IF('Additional Videos-WUO_ERR'!A205 = "", "Validated", HYPERLINK("#" &amp; ADDRESS(205, 'Additional Videos-WUO_TRK'!A205),_xlfn.TEXTAFTER('Additional Videos-WUO_ERR'!A205, ":"))))</f>
        <v>0</v>
      </c>
    </row>
    <row r="206" spans="1:1">
      <c r="A206" s="39">
        <f>IF('Additional Videos'!B206 = "", "", IF('Additional Videos-WUO_ERR'!A206 = "", "Validated", HYPERLINK("#" &amp; ADDRESS(206, 'Additional Videos-WUO_TRK'!A206),_xlfn.TEXTAFTER('Additional Videos-WUO_ERR'!A206, ":"))))</f>
        <v>0</v>
      </c>
    </row>
    <row r="207" spans="1:1">
      <c r="A207" s="39">
        <f>IF('Additional Videos'!B207 = "", "", IF('Additional Videos-WUO_ERR'!A207 = "", "Validated", HYPERLINK("#" &amp; ADDRESS(207, 'Additional Videos-WUO_TRK'!A207),_xlfn.TEXTAFTER('Additional Videos-WUO_ERR'!A207, ":"))))</f>
        <v>0</v>
      </c>
    </row>
    <row r="208" spans="1:1">
      <c r="A208" s="39">
        <f>IF('Additional Videos'!B208 = "", "", IF('Additional Videos-WUO_ERR'!A208 = "", "Validated", HYPERLINK("#" &amp; ADDRESS(208, 'Additional Videos-WUO_TRK'!A208),_xlfn.TEXTAFTER('Additional Videos-WUO_ERR'!A208, ":"))))</f>
        <v>0</v>
      </c>
    </row>
    <row r="209" spans="1:1">
      <c r="A209" s="39">
        <f>IF('Additional Videos'!B209 = "", "", IF('Additional Videos-WUO_ERR'!A209 = "", "Validated", HYPERLINK("#" &amp; ADDRESS(209, 'Additional Videos-WUO_TRK'!A209),_xlfn.TEXTAFTER('Additional Videos-WUO_ERR'!A209, ":"))))</f>
        <v>0</v>
      </c>
    </row>
    <row r="210" spans="1:1">
      <c r="A210" s="39">
        <f>IF('Additional Videos'!B210 = "", "", IF('Additional Videos-WUO_ERR'!A210 = "", "Validated", HYPERLINK("#" &amp; ADDRESS(210, 'Additional Videos-WUO_TRK'!A210),_xlfn.TEXTAFTER('Additional Videos-WUO_ERR'!A210, ":"))))</f>
        <v>0</v>
      </c>
    </row>
    <row r="211" spans="1:1">
      <c r="A211" s="39">
        <f>IF('Additional Videos'!B211 = "", "", IF('Additional Videos-WUO_ERR'!A211 = "", "Validated", HYPERLINK("#" &amp; ADDRESS(211, 'Additional Videos-WUO_TRK'!A211),_xlfn.TEXTAFTER('Additional Videos-WUO_ERR'!A211, ":"))))</f>
        <v>0</v>
      </c>
    </row>
    <row r="212" spans="1:1">
      <c r="A212" s="39">
        <f>IF('Additional Videos'!B212 = "", "", IF('Additional Videos-WUO_ERR'!A212 = "", "Validated", HYPERLINK("#" &amp; ADDRESS(212, 'Additional Videos-WUO_TRK'!A212),_xlfn.TEXTAFTER('Additional Videos-WUO_ERR'!A212, ":"))))</f>
        <v>0</v>
      </c>
    </row>
    <row r="213" spans="1:1">
      <c r="A213" s="39">
        <f>IF('Additional Videos'!B213 = "", "", IF('Additional Videos-WUO_ERR'!A213 = "", "Validated", HYPERLINK("#" &amp; ADDRESS(213, 'Additional Videos-WUO_TRK'!A213),_xlfn.TEXTAFTER('Additional Videos-WUO_ERR'!A213, ":"))))</f>
        <v>0</v>
      </c>
    </row>
    <row r="214" spans="1:1">
      <c r="A214" s="39">
        <f>IF('Additional Videos'!B214 = "", "", IF('Additional Videos-WUO_ERR'!A214 = "", "Validated", HYPERLINK("#" &amp; ADDRESS(214, 'Additional Videos-WUO_TRK'!A214),_xlfn.TEXTAFTER('Additional Videos-WUO_ERR'!A214, ":"))))</f>
        <v>0</v>
      </c>
    </row>
    <row r="215" spans="1:1">
      <c r="A215" s="39">
        <f>IF('Additional Videos'!B215 = "", "", IF('Additional Videos-WUO_ERR'!A215 = "", "Validated", HYPERLINK("#" &amp; ADDRESS(215, 'Additional Videos-WUO_TRK'!A215),_xlfn.TEXTAFTER('Additional Videos-WUO_ERR'!A215, ":"))))</f>
        <v>0</v>
      </c>
    </row>
    <row r="216" spans="1:1">
      <c r="A216" s="39">
        <f>IF('Additional Videos'!B216 = "", "", IF('Additional Videos-WUO_ERR'!A216 = "", "Validated", HYPERLINK("#" &amp; ADDRESS(216, 'Additional Videos-WUO_TRK'!A216),_xlfn.TEXTAFTER('Additional Videos-WUO_ERR'!A216, ":"))))</f>
        <v>0</v>
      </c>
    </row>
    <row r="217" spans="1:1">
      <c r="A217" s="39">
        <f>IF('Additional Videos'!B217 = "", "", IF('Additional Videos-WUO_ERR'!A217 = "", "Validated", HYPERLINK("#" &amp; ADDRESS(217, 'Additional Videos-WUO_TRK'!A217),_xlfn.TEXTAFTER('Additional Videos-WUO_ERR'!A217, ":"))))</f>
        <v>0</v>
      </c>
    </row>
    <row r="218" spans="1:1">
      <c r="A218" s="39">
        <f>IF('Additional Videos'!B218 = "", "", IF('Additional Videos-WUO_ERR'!A218 = "", "Validated", HYPERLINK("#" &amp; ADDRESS(218, 'Additional Videos-WUO_TRK'!A218),_xlfn.TEXTAFTER('Additional Videos-WUO_ERR'!A218, ":"))))</f>
        <v>0</v>
      </c>
    </row>
    <row r="219" spans="1:1">
      <c r="A219" s="39">
        <f>IF('Additional Videos'!B219 = "", "", IF('Additional Videos-WUO_ERR'!A219 = "", "Validated", HYPERLINK("#" &amp; ADDRESS(219, 'Additional Videos-WUO_TRK'!A219),_xlfn.TEXTAFTER('Additional Videos-WUO_ERR'!A219, ":"))))</f>
        <v>0</v>
      </c>
    </row>
    <row r="220" spans="1:1">
      <c r="A220" s="39">
        <f>IF('Additional Videos'!B220 = "", "", IF('Additional Videos-WUO_ERR'!A220 = "", "Validated", HYPERLINK("#" &amp; ADDRESS(220, 'Additional Videos-WUO_TRK'!A220),_xlfn.TEXTAFTER('Additional Videos-WUO_ERR'!A220, ":"))))</f>
        <v>0</v>
      </c>
    </row>
    <row r="221" spans="1:1">
      <c r="A221" s="39">
        <f>IF('Additional Videos'!B221 = "", "", IF('Additional Videos-WUO_ERR'!A221 = "", "Validated", HYPERLINK("#" &amp; ADDRESS(221, 'Additional Videos-WUO_TRK'!A221),_xlfn.TEXTAFTER('Additional Videos-WUO_ERR'!A221, ":"))))</f>
        <v>0</v>
      </c>
    </row>
    <row r="222" spans="1:1">
      <c r="A222" s="39">
        <f>IF('Additional Videos'!B222 = "", "", IF('Additional Videos-WUO_ERR'!A222 = "", "Validated", HYPERLINK("#" &amp; ADDRESS(222, 'Additional Videos-WUO_TRK'!A222),_xlfn.TEXTAFTER('Additional Videos-WUO_ERR'!A222, ":"))))</f>
        <v>0</v>
      </c>
    </row>
    <row r="223" spans="1:1">
      <c r="A223" s="39">
        <f>IF('Additional Videos'!B223 = "", "", IF('Additional Videos-WUO_ERR'!A223 = "", "Validated", HYPERLINK("#" &amp; ADDRESS(223, 'Additional Videos-WUO_TRK'!A223),_xlfn.TEXTAFTER('Additional Videos-WUO_ERR'!A223, ":"))))</f>
        <v>0</v>
      </c>
    </row>
    <row r="224" spans="1:1">
      <c r="A224" s="39">
        <f>IF('Additional Videos'!B224 = "", "", IF('Additional Videos-WUO_ERR'!A224 = "", "Validated", HYPERLINK("#" &amp; ADDRESS(224, 'Additional Videos-WUO_TRK'!A224),_xlfn.TEXTAFTER('Additional Videos-WUO_ERR'!A224, ":"))))</f>
        <v>0</v>
      </c>
    </row>
    <row r="225" spans="1:1">
      <c r="A225" s="39">
        <f>IF('Additional Videos'!B225 = "", "", IF('Additional Videos-WUO_ERR'!A225 = "", "Validated", HYPERLINK("#" &amp; ADDRESS(225, 'Additional Videos-WUO_TRK'!A225),_xlfn.TEXTAFTER('Additional Videos-WUO_ERR'!A225, ":"))))</f>
        <v>0</v>
      </c>
    </row>
    <row r="226" spans="1:1">
      <c r="A226" s="39">
        <f>IF('Additional Videos'!B226 = "", "", IF('Additional Videos-WUO_ERR'!A226 = "", "Validated", HYPERLINK("#" &amp; ADDRESS(226, 'Additional Videos-WUO_TRK'!A226),_xlfn.TEXTAFTER('Additional Videos-WUO_ERR'!A226, ":"))))</f>
        <v>0</v>
      </c>
    </row>
    <row r="227" spans="1:1">
      <c r="A227" s="39">
        <f>IF('Additional Videos'!B227 = "", "", IF('Additional Videos-WUO_ERR'!A227 = "", "Validated", HYPERLINK("#" &amp; ADDRESS(227, 'Additional Videos-WUO_TRK'!A227),_xlfn.TEXTAFTER('Additional Videos-WUO_ERR'!A227, ":"))))</f>
        <v>0</v>
      </c>
    </row>
    <row r="228" spans="1:1">
      <c r="A228" s="39">
        <f>IF('Additional Videos'!B228 = "", "", IF('Additional Videos-WUO_ERR'!A228 = "", "Validated", HYPERLINK("#" &amp; ADDRESS(228, 'Additional Videos-WUO_TRK'!A228),_xlfn.TEXTAFTER('Additional Videos-WUO_ERR'!A228, ":"))))</f>
        <v>0</v>
      </c>
    </row>
    <row r="229" spans="1:1">
      <c r="A229" s="39">
        <f>IF('Additional Videos'!B229 = "", "", IF('Additional Videos-WUO_ERR'!A229 = "", "Validated", HYPERLINK("#" &amp; ADDRESS(229, 'Additional Videos-WUO_TRK'!A229),_xlfn.TEXTAFTER('Additional Videos-WUO_ERR'!A229, ":"))))</f>
        <v>0</v>
      </c>
    </row>
    <row r="230" spans="1:1">
      <c r="A230" s="39">
        <f>IF('Additional Videos'!B230 = "", "", IF('Additional Videos-WUO_ERR'!A230 = "", "Validated", HYPERLINK("#" &amp; ADDRESS(230, 'Additional Videos-WUO_TRK'!A230),_xlfn.TEXTAFTER('Additional Videos-WUO_ERR'!A230, ":"))))</f>
        <v>0</v>
      </c>
    </row>
    <row r="231" spans="1:1">
      <c r="A231" s="39">
        <f>IF('Additional Videos'!B231 = "", "", IF('Additional Videos-WUO_ERR'!A231 = "", "Validated", HYPERLINK("#" &amp; ADDRESS(231, 'Additional Videos-WUO_TRK'!A231),_xlfn.TEXTAFTER('Additional Videos-WUO_ERR'!A231, ":"))))</f>
        <v>0</v>
      </c>
    </row>
    <row r="232" spans="1:1">
      <c r="A232" s="39">
        <f>IF('Additional Videos'!B232 = "", "", IF('Additional Videos-WUO_ERR'!A232 = "", "Validated", HYPERLINK("#" &amp; ADDRESS(232, 'Additional Videos-WUO_TRK'!A232),_xlfn.TEXTAFTER('Additional Videos-WUO_ERR'!A232, ":"))))</f>
        <v>0</v>
      </c>
    </row>
    <row r="233" spans="1:1">
      <c r="A233" s="39">
        <f>IF('Additional Videos'!B233 = "", "", IF('Additional Videos-WUO_ERR'!A233 = "", "Validated", HYPERLINK("#" &amp; ADDRESS(233, 'Additional Videos-WUO_TRK'!A233),_xlfn.TEXTAFTER('Additional Videos-WUO_ERR'!A233, ":"))))</f>
        <v>0</v>
      </c>
    </row>
    <row r="234" spans="1:1">
      <c r="A234" s="39">
        <f>IF('Additional Videos'!B234 = "", "", IF('Additional Videos-WUO_ERR'!A234 = "", "Validated", HYPERLINK("#" &amp; ADDRESS(234, 'Additional Videos-WUO_TRK'!A234),_xlfn.TEXTAFTER('Additional Videos-WUO_ERR'!A234, ":"))))</f>
        <v>0</v>
      </c>
    </row>
    <row r="235" spans="1:1">
      <c r="A235" s="39">
        <f>IF('Additional Videos'!B235 = "", "", IF('Additional Videos-WUO_ERR'!A235 = "", "Validated", HYPERLINK("#" &amp; ADDRESS(235, 'Additional Videos-WUO_TRK'!A235),_xlfn.TEXTAFTER('Additional Videos-WUO_ERR'!A235, ":"))))</f>
        <v>0</v>
      </c>
    </row>
    <row r="236" spans="1:1">
      <c r="A236" s="39">
        <f>IF('Additional Videos'!B236 = "", "", IF('Additional Videos-WUO_ERR'!A236 = "", "Validated", HYPERLINK("#" &amp; ADDRESS(236, 'Additional Videos-WUO_TRK'!A236),_xlfn.TEXTAFTER('Additional Videos-WUO_ERR'!A236, ":"))))</f>
        <v>0</v>
      </c>
    </row>
    <row r="237" spans="1:1">
      <c r="A237" s="39">
        <f>IF('Additional Videos'!B237 = "", "", IF('Additional Videos-WUO_ERR'!A237 = "", "Validated", HYPERLINK("#" &amp; ADDRESS(237, 'Additional Videos-WUO_TRK'!A237),_xlfn.TEXTAFTER('Additional Videos-WUO_ERR'!A237, ":"))))</f>
        <v>0</v>
      </c>
    </row>
    <row r="238" spans="1:1">
      <c r="A238" s="39">
        <f>IF('Additional Videos'!B238 = "", "", IF('Additional Videos-WUO_ERR'!A238 = "", "Validated", HYPERLINK("#" &amp; ADDRESS(238, 'Additional Videos-WUO_TRK'!A238),_xlfn.TEXTAFTER('Additional Videos-WUO_ERR'!A238, ":"))))</f>
        <v>0</v>
      </c>
    </row>
    <row r="239" spans="1:1">
      <c r="A239" s="39">
        <f>IF('Additional Videos'!B239 = "", "", IF('Additional Videos-WUO_ERR'!A239 = "", "Validated", HYPERLINK("#" &amp; ADDRESS(239, 'Additional Videos-WUO_TRK'!A239),_xlfn.TEXTAFTER('Additional Videos-WUO_ERR'!A239, ":"))))</f>
        <v>0</v>
      </c>
    </row>
    <row r="240" spans="1:1">
      <c r="A240" s="39">
        <f>IF('Additional Videos'!B240 = "", "", IF('Additional Videos-WUO_ERR'!A240 = "", "Validated", HYPERLINK("#" &amp; ADDRESS(240, 'Additional Videos-WUO_TRK'!A240),_xlfn.TEXTAFTER('Additional Videos-WUO_ERR'!A240, ":"))))</f>
        <v>0</v>
      </c>
    </row>
    <row r="241" spans="1:1">
      <c r="A241" s="39">
        <f>IF('Additional Videos'!B241 = "", "", IF('Additional Videos-WUO_ERR'!A241 = "", "Validated", HYPERLINK("#" &amp; ADDRESS(241, 'Additional Videos-WUO_TRK'!A241),_xlfn.TEXTAFTER('Additional Videos-WUO_ERR'!A241, ":"))))</f>
        <v>0</v>
      </c>
    </row>
    <row r="242" spans="1:1">
      <c r="A242" s="39">
        <f>IF('Additional Videos'!B242 = "", "", IF('Additional Videos-WUO_ERR'!A242 = "", "Validated", HYPERLINK("#" &amp; ADDRESS(242, 'Additional Videos-WUO_TRK'!A242),_xlfn.TEXTAFTER('Additional Videos-WUO_ERR'!A242, ":"))))</f>
        <v>0</v>
      </c>
    </row>
    <row r="243" spans="1:1">
      <c r="A243" s="39">
        <f>IF('Additional Videos'!B243 = "", "", IF('Additional Videos-WUO_ERR'!A243 = "", "Validated", HYPERLINK("#" &amp; ADDRESS(243, 'Additional Videos-WUO_TRK'!A243),_xlfn.TEXTAFTER('Additional Videos-WUO_ERR'!A243, ":"))))</f>
        <v>0</v>
      </c>
    </row>
    <row r="244" spans="1:1">
      <c r="A244" s="39">
        <f>IF('Additional Videos'!B244 = "", "", IF('Additional Videos-WUO_ERR'!A244 = "", "Validated", HYPERLINK("#" &amp; ADDRESS(244, 'Additional Videos-WUO_TRK'!A244),_xlfn.TEXTAFTER('Additional Videos-WUO_ERR'!A244, ":"))))</f>
        <v>0</v>
      </c>
    </row>
    <row r="245" spans="1:1">
      <c r="A245" s="39">
        <f>IF('Additional Videos'!B245 = "", "", IF('Additional Videos-WUO_ERR'!A245 = "", "Validated", HYPERLINK("#" &amp; ADDRESS(245, 'Additional Videos-WUO_TRK'!A245),_xlfn.TEXTAFTER('Additional Videos-WUO_ERR'!A245, ":"))))</f>
        <v>0</v>
      </c>
    </row>
    <row r="246" spans="1:1">
      <c r="A246" s="39">
        <f>IF('Additional Videos'!B246 = "", "", IF('Additional Videos-WUO_ERR'!A246 = "", "Validated", HYPERLINK("#" &amp; ADDRESS(246, 'Additional Videos-WUO_TRK'!A246),_xlfn.TEXTAFTER('Additional Videos-WUO_ERR'!A246, ":"))))</f>
        <v>0</v>
      </c>
    </row>
    <row r="247" spans="1:1">
      <c r="A247" s="39">
        <f>IF('Additional Videos'!B247 = "", "", IF('Additional Videos-WUO_ERR'!A247 = "", "Validated", HYPERLINK("#" &amp; ADDRESS(247, 'Additional Videos-WUO_TRK'!A247),_xlfn.TEXTAFTER('Additional Videos-WUO_ERR'!A247, ":"))))</f>
        <v>0</v>
      </c>
    </row>
    <row r="248" spans="1:1">
      <c r="A248" s="39">
        <f>IF('Additional Videos'!B248 = "", "", IF('Additional Videos-WUO_ERR'!A248 = "", "Validated", HYPERLINK("#" &amp; ADDRESS(248, 'Additional Videos-WUO_TRK'!A248),_xlfn.TEXTAFTER('Additional Videos-WUO_ERR'!A248, ":"))))</f>
        <v>0</v>
      </c>
    </row>
    <row r="249" spans="1:1">
      <c r="A249" s="39">
        <f>IF('Additional Videos'!B249 = "", "", IF('Additional Videos-WUO_ERR'!A249 = "", "Validated", HYPERLINK("#" &amp; ADDRESS(249, 'Additional Videos-WUO_TRK'!A249),_xlfn.TEXTAFTER('Additional Videos-WUO_ERR'!A249, ":"))))</f>
        <v>0</v>
      </c>
    </row>
    <row r="250" spans="1:1">
      <c r="A250" s="39">
        <f>IF('Additional Videos'!B250 = "", "", IF('Additional Videos-WUO_ERR'!A250 = "", "Validated", HYPERLINK("#" &amp; ADDRESS(250, 'Additional Videos-WUO_TRK'!A250),_xlfn.TEXTAFTER('Additional Videos-WUO_ERR'!A250, ":"))))</f>
        <v>0</v>
      </c>
    </row>
    <row r="251" spans="1:1">
      <c r="A251" s="39">
        <f>IF('Additional Videos'!B251 = "", "", IF('Additional Videos-WUO_ERR'!A251 = "", "Validated", HYPERLINK("#" &amp; ADDRESS(251, 'Additional Videos-WUO_TRK'!A251),_xlfn.TEXTAFTER('Additional Videos-WUO_ERR'!A251, ":"))))</f>
        <v>0</v>
      </c>
    </row>
    <row r="252" spans="1:1">
      <c r="A252" s="39">
        <f>IF('Additional Videos'!B252 = "", "", IF('Additional Videos-WUO_ERR'!A252 = "", "Validated", HYPERLINK("#" &amp; ADDRESS(252, 'Additional Videos-WUO_TRK'!A252),_xlfn.TEXTAFTER('Additional Videos-WUO_ERR'!A252, ":"))))</f>
        <v>0</v>
      </c>
    </row>
    <row r="253" spans="1:1">
      <c r="A253" s="39">
        <f>IF('Additional Videos'!B253 = "", "", IF('Additional Videos-WUO_ERR'!A253 = "", "Validated", HYPERLINK("#" &amp; ADDRESS(253, 'Additional Videos-WUO_TRK'!A253),_xlfn.TEXTAFTER('Additional Videos-WUO_ERR'!A253, ":"))))</f>
        <v>0</v>
      </c>
    </row>
    <row r="254" spans="1:1">
      <c r="A254" s="39">
        <f>IF('Additional Videos'!B254 = "", "", IF('Additional Videos-WUO_ERR'!A254 = "", "Validated", HYPERLINK("#" &amp; ADDRESS(254, 'Additional Videos-WUO_TRK'!A254),_xlfn.TEXTAFTER('Additional Videos-WUO_ERR'!A254, ":"))))</f>
        <v>0</v>
      </c>
    </row>
    <row r="255" spans="1:1">
      <c r="A255" s="39">
        <f>IF('Additional Videos'!B255 = "", "", IF('Additional Videos-WUO_ERR'!A255 = "", "Validated", HYPERLINK("#" &amp; ADDRESS(255, 'Additional Videos-WUO_TRK'!A255),_xlfn.TEXTAFTER('Additional Videos-WUO_ERR'!A255, ":"))))</f>
        <v>0</v>
      </c>
    </row>
    <row r="256" spans="1:1">
      <c r="A256" s="39">
        <f>IF('Additional Videos'!B256 = "", "", IF('Additional Videos-WUO_ERR'!A256 = "", "Validated", HYPERLINK("#" &amp; ADDRESS(256, 'Additional Videos-WUO_TRK'!A256),_xlfn.TEXTAFTER('Additional Videos-WUO_ERR'!A256, ":"))))</f>
        <v>0</v>
      </c>
    </row>
    <row r="257" spans="1:1">
      <c r="A257" s="39">
        <f>IF('Additional Videos'!B257 = "", "", IF('Additional Videos-WUO_ERR'!A257 = "", "Validated", HYPERLINK("#" &amp; ADDRESS(257, 'Additional Videos-WUO_TRK'!A257),_xlfn.TEXTAFTER('Additional Videos-WUO_ERR'!A257, ":"))))</f>
        <v>0</v>
      </c>
    </row>
    <row r="258" spans="1:1">
      <c r="A258" s="39">
        <f>IF('Additional Videos'!B258 = "", "", IF('Additional Videos-WUO_ERR'!A258 = "", "Validated", HYPERLINK("#" &amp; ADDRESS(258, 'Additional Videos-WUO_TRK'!A258),_xlfn.TEXTAFTER('Additional Videos-WUO_ERR'!A258, ":"))))</f>
        <v>0</v>
      </c>
    </row>
    <row r="259" spans="1:1">
      <c r="A259" s="39">
        <f>IF('Additional Videos'!B259 = "", "", IF('Additional Videos-WUO_ERR'!A259 = "", "Validated", HYPERLINK("#" &amp; ADDRESS(259, 'Additional Videos-WUO_TRK'!A259),_xlfn.TEXTAFTER('Additional Videos-WUO_ERR'!A259, ":"))))</f>
        <v>0</v>
      </c>
    </row>
    <row r="260" spans="1:1">
      <c r="A260" s="39">
        <f>IF('Additional Videos'!B260 = "", "", IF('Additional Videos-WUO_ERR'!A260 = "", "Validated", HYPERLINK("#" &amp; ADDRESS(260, 'Additional Videos-WUO_TRK'!A260),_xlfn.TEXTAFTER('Additional Videos-WUO_ERR'!A260, ":"))))</f>
        <v>0</v>
      </c>
    </row>
    <row r="261" spans="1:1">
      <c r="A261" s="39">
        <f>IF('Additional Videos'!B261 = "", "", IF('Additional Videos-WUO_ERR'!A261 = "", "Validated", HYPERLINK("#" &amp; ADDRESS(261, 'Additional Videos-WUO_TRK'!A261),_xlfn.TEXTAFTER('Additional Videos-WUO_ERR'!A261, ":"))))</f>
        <v>0</v>
      </c>
    </row>
    <row r="262" spans="1:1">
      <c r="A262" s="39">
        <f>IF('Additional Videos'!B262 = "", "", IF('Additional Videos-WUO_ERR'!A262 = "", "Validated", HYPERLINK("#" &amp; ADDRESS(262, 'Additional Videos-WUO_TRK'!A262),_xlfn.TEXTAFTER('Additional Videos-WUO_ERR'!A262, ":"))))</f>
        <v>0</v>
      </c>
    </row>
    <row r="263" spans="1:1">
      <c r="A263" s="39">
        <f>IF('Additional Videos'!B263 = "", "", IF('Additional Videos-WUO_ERR'!A263 = "", "Validated", HYPERLINK("#" &amp; ADDRESS(263, 'Additional Videos-WUO_TRK'!A263),_xlfn.TEXTAFTER('Additional Videos-WUO_ERR'!A263, ":"))))</f>
        <v>0</v>
      </c>
    </row>
    <row r="264" spans="1:1">
      <c r="A264" s="39">
        <f>IF('Additional Videos'!B264 = "", "", IF('Additional Videos-WUO_ERR'!A264 = "", "Validated", HYPERLINK("#" &amp; ADDRESS(264, 'Additional Videos-WUO_TRK'!A264),_xlfn.TEXTAFTER('Additional Videos-WUO_ERR'!A264, ":"))))</f>
        <v>0</v>
      </c>
    </row>
    <row r="265" spans="1:1">
      <c r="A265" s="39">
        <f>IF('Additional Videos'!B265 = "", "", IF('Additional Videos-WUO_ERR'!A265 = "", "Validated", HYPERLINK("#" &amp; ADDRESS(265, 'Additional Videos-WUO_TRK'!A265),_xlfn.TEXTAFTER('Additional Videos-WUO_ERR'!A265, ":"))))</f>
        <v>0</v>
      </c>
    </row>
    <row r="266" spans="1:1">
      <c r="A266" s="39">
        <f>IF('Additional Videos'!B266 = "", "", IF('Additional Videos-WUO_ERR'!A266 = "", "Validated", HYPERLINK("#" &amp; ADDRESS(266, 'Additional Videos-WUO_TRK'!A266),_xlfn.TEXTAFTER('Additional Videos-WUO_ERR'!A266, ":"))))</f>
        <v>0</v>
      </c>
    </row>
    <row r="267" spans="1:1">
      <c r="A267" s="39">
        <f>IF('Additional Videos'!B267 = "", "", IF('Additional Videos-WUO_ERR'!A267 = "", "Validated", HYPERLINK("#" &amp; ADDRESS(267, 'Additional Videos-WUO_TRK'!A267),_xlfn.TEXTAFTER('Additional Videos-WUO_ERR'!A267, ":"))))</f>
        <v>0</v>
      </c>
    </row>
    <row r="268" spans="1:1">
      <c r="A268" s="39">
        <f>IF('Additional Videos'!B268 = "", "", IF('Additional Videos-WUO_ERR'!A268 = "", "Validated", HYPERLINK("#" &amp; ADDRESS(268, 'Additional Videos-WUO_TRK'!A268),_xlfn.TEXTAFTER('Additional Videos-WUO_ERR'!A268, ":"))))</f>
        <v>0</v>
      </c>
    </row>
    <row r="269" spans="1:1">
      <c r="A269" s="39">
        <f>IF('Additional Videos'!B269 = "", "", IF('Additional Videos-WUO_ERR'!A269 = "", "Validated", HYPERLINK("#" &amp; ADDRESS(269, 'Additional Videos-WUO_TRK'!A269),_xlfn.TEXTAFTER('Additional Videos-WUO_ERR'!A269, ":"))))</f>
        <v>0</v>
      </c>
    </row>
    <row r="270" spans="1:1">
      <c r="A270" s="39">
        <f>IF('Additional Videos'!B270 = "", "", IF('Additional Videos-WUO_ERR'!A270 = "", "Validated", HYPERLINK("#" &amp; ADDRESS(270, 'Additional Videos-WUO_TRK'!A270),_xlfn.TEXTAFTER('Additional Videos-WUO_ERR'!A270, ":"))))</f>
        <v>0</v>
      </c>
    </row>
    <row r="271" spans="1:1">
      <c r="A271" s="39">
        <f>IF('Additional Videos'!B271 = "", "", IF('Additional Videos-WUO_ERR'!A271 = "", "Validated", HYPERLINK("#" &amp; ADDRESS(271, 'Additional Videos-WUO_TRK'!A271),_xlfn.TEXTAFTER('Additional Videos-WUO_ERR'!A271, ":"))))</f>
        <v>0</v>
      </c>
    </row>
    <row r="272" spans="1:1">
      <c r="A272" s="39">
        <f>IF('Additional Videos'!B272 = "", "", IF('Additional Videos-WUO_ERR'!A272 = "", "Validated", HYPERLINK("#" &amp; ADDRESS(272, 'Additional Videos-WUO_TRK'!A272),_xlfn.TEXTAFTER('Additional Videos-WUO_ERR'!A272, ":"))))</f>
        <v>0</v>
      </c>
    </row>
    <row r="273" spans="1:1">
      <c r="A273" s="39">
        <f>IF('Additional Videos'!B273 = "", "", IF('Additional Videos-WUO_ERR'!A273 = "", "Validated", HYPERLINK("#" &amp; ADDRESS(273, 'Additional Videos-WUO_TRK'!A273),_xlfn.TEXTAFTER('Additional Videos-WUO_ERR'!A273, ":"))))</f>
        <v>0</v>
      </c>
    </row>
    <row r="274" spans="1:1">
      <c r="A274" s="39">
        <f>IF('Additional Videos'!B274 = "", "", IF('Additional Videos-WUO_ERR'!A274 = "", "Validated", HYPERLINK("#" &amp; ADDRESS(274, 'Additional Videos-WUO_TRK'!A274),_xlfn.TEXTAFTER('Additional Videos-WUO_ERR'!A274, ":"))))</f>
        <v>0</v>
      </c>
    </row>
    <row r="275" spans="1:1">
      <c r="A275" s="39">
        <f>IF('Additional Videos'!B275 = "", "", IF('Additional Videos-WUO_ERR'!A275 = "", "Validated", HYPERLINK("#" &amp; ADDRESS(275, 'Additional Videos-WUO_TRK'!A275),_xlfn.TEXTAFTER('Additional Videos-WUO_ERR'!A275, ":"))))</f>
        <v>0</v>
      </c>
    </row>
    <row r="276" spans="1:1">
      <c r="A276" s="39">
        <f>IF('Additional Videos'!B276 = "", "", IF('Additional Videos-WUO_ERR'!A276 = "", "Validated", HYPERLINK("#" &amp; ADDRESS(276, 'Additional Videos-WUO_TRK'!A276),_xlfn.TEXTAFTER('Additional Videos-WUO_ERR'!A276, ":"))))</f>
        <v>0</v>
      </c>
    </row>
    <row r="277" spans="1:1">
      <c r="A277" s="39">
        <f>IF('Additional Videos'!B277 = "", "", IF('Additional Videos-WUO_ERR'!A277 = "", "Validated", HYPERLINK("#" &amp; ADDRESS(277, 'Additional Videos-WUO_TRK'!A277),_xlfn.TEXTAFTER('Additional Videos-WUO_ERR'!A277, ":"))))</f>
        <v>0</v>
      </c>
    </row>
    <row r="278" spans="1:1">
      <c r="A278" s="39">
        <f>IF('Additional Videos'!B278 = "", "", IF('Additional Videos-WUO_ERR'!A278 = "", "Validated", HYPERLINK("#" &amp; ADDRESS(278, 'Additional Videos-WUO_TRK'!A278),_xlfn.TEXTAFTER('Additional Videos-WUO_ERR'!A278, ":"))))</f>
        <v>0</v>
      </c>
    </row>
    <row r="279" spans="1:1">
      <c r="A279" s="39">
        <f>IF('Additional Videos'!B279 = "", "", IF('Additional Videos-WUO_ERR'!A279 = "", "Validated", HYPERLINK("#" &amp; ADDRESS(279, 'Additional Videos-WUO_TRK'!A279),_xlfn.TEXTAFTER('Additional Videos-WUO_ERR'!A279, ":"))))</f>
        <v>0</v>
      </c>
    </row>
    <row r="280" spans="1:1">
      <c r="A280" s="39">
        <f>IF('Additional Videos'!B280 = "", "", IF('Additional Videos-WUO_ERR'!A280 = "", "Validated", HYPERLINK("#" &amp; ADDRESS(280, 'Additional Videos-WUO_TRK'!A280),_xlfn.TEXTAFTER('Additional Videos-WUO_ERR'!A280, ":"))))</f>
        <v>0</v>
      </c>
    </row>
    <row r="281" spans="1:1">
      <c r="A281" s="39">
        <f>IF('Additional Videos'!B281 = "", "", IF('Additional Videos-WUO_ERR'!A281 = "", "Validated", HYPERLINK("#" &amp; ADDRESS(281, 'Additional Videos-WUO_TRK'!A281),_xlfn.TEXTAFTER('Additional Videos-WUO_ERR'!A281, ":"))))</f>
        <v>0</v>
      </c>
    </row>
    <row r="282" spans="1:1">
      <c r="A282" s="39">
        <f>IF('Additional Videos'!B282 = "", "", IF('Additional Videos-WUO_ERR'!A282 = "", "Validated", HYPERLINK("#" &amp; ADDRESS(282, 'Additional Videos-WUO_TRK'!A282),_xlfn.TEXTAFTER('Additional Videos-WUO_ERR'!A282, ":"))))</f>
        <v>0</v>
      </c>
    </row>
    <row r="283" spans="1:1">
      <c r="A283" s="39">
        <f>IF('Additional Videos'!B283 = "", "", IF('Additional Videos-WUO_ERR'!A283 = "", "Validated", HYPERLINK("#" &amp; ADDRESS(283, 'Additional Videos-WUO_TRK'!A283),_xlfn.TEXTAFTER('Additional Videos-WUO_ERR'!A283, ":"))))</f>
        <v>0</v>
      </c>
    </row>
    <row r="284" spans="1:1">
      <c r="A284" s="39">
        <f>IF('Additional Videos'!B284 = "", "", IF('Additional Videos-WUO_ERR'!A284 = "", "Validated", HYPERLINK("#" &amp; ADDRESS(284, 'Additional Videos-WUO_TRK'!A284),_xlfn.TEXTAFTER('Additional Videos-WUO_ERR'!A284, ":"))))</f>
        <v>0</v>
      </c>
    </row>
    <row r="285" spans="1:1">
      <c r="A285" s="39">
        <f>IF('Additional Videos'!B285 = "", "", IF('Additional Videos-WUO_ERR'!A285 = "", "Validated", HYPERLINK("#" &amp; ADDRESS(285, 'Additional Videos-WUO_TRK'!A285),_xlfn.TEXTAFTER('Additional Videos-WUO_ERR'!A285, ":"))))</f>
        <v>0</v>
      </c>
    </row>
    <row r="286" spans="1:1">
      <c r="A286" s="39">
        <f>IF('Additional Videos'!B286 = "", "", IF('Additional Videos-WUO_ERR'!A286 = "", "Validated", HYPERLINK("#" &amp; ADDRESS(286, 'Additional Videos-WUO_TRK'!A286),_xlfn.TEXTAFTER('Additional Videos-WUO_ERR'!A286, ":"))))</f>
        <v>0</v>
      </c>
    </row>
    <row r="287" spans="1:1">
      <c r="A287" s="39">
        <f>IF('Additional Videos'!B287 = "", "", IF('Additional Videos-WUO_ERR'!A287 = "", "Validated", HYPERLINK("#" &amp; ADDRESS(287, 'Additional Videos-WUO_TRK'!A287),_xlfn.TEXTAFTER('Additional Videos-WUO_ERR'!A287, ":"))))</f>
        <v>0</v>
      </c>
    </row>
    <row r="288" spans="1:1">
      <c r="A288" s="39">
        <f>IF('Additional Videos'!B288 = "", "", IF('Additional Videos-WUO_ERR'!A288 = "", "Validated", HYPERLINK("#" &amp; ADDRESS(288, 'Additional Videos-WUO_TRK'!A288),_xlfn.TEXTAFTER('Additional Videos-WUO_ERR'!A288, ":"))))</f>
        <v>0</v>
      </c>
    </row>
    <row r="289" spans="1:1">
      <c r="A289" s="39">
        <f>IF('Additional Videos'!B289 = "", "", IF('Additional Videos-WUO_ERR'!A289 = "", "Validated", HYPERLINK("#" &amp; ADDRESS(289, 'Additional Videos-WUO_TRK'!A289),_xlfn.TEXTAFTER('Additional Videos-WUO_ERR'!A289, ":"))))</f>
        <v>0</v>
      </c>
    </row>
    <row r="290" spans="1:1">
      <c r="A290" s="39">
        <f>IF('Additional Videos'!B290 = "", "", IF('Additional Videos-WUO_ERR'!A290 = "", "Validated", HYPERLINK("#" &amp; ADDRESS(290, 'Additional Videos-WUO_TRK'!A290),_xlfn.TEXTAFTER('Additional Videos-WUO_ERR'!A290, ":"))))</f>
        <v>0</v>
      </c>
    </row>
    <row r="291" spans="1:1">
      <c r="A291" s="39">
        <f>IF('Additional Videos'!B291 = "", "", IF('Additional Videos-WUO_ERR'!A291 = "", "Validated", HYPERLINK("#" &amp; ADDRESS(291, 'Additional Videos-WUO_TRK'!A291),_xlfn.TEXTAFTER('Additional Videos-WUO_ERR'!A291, ":"))))</f>
        <v>0</v>
      </c>
    </row>
    <row r="292" spans="1:1">
      <c r="A292" s="39">
        <f>IF('Additional Videos'!B292 = "", "", IF('Additional Videos-WUO_ERR'!A292 = "", "Validated", HYPERLINK("#" &amp; ADDRESS(292, 'Additional Videos-WUO_TRK'!A292),_xlfn.TEXTAFTER('Additional Videos-WUO_ERR'!A292, ":"))))</f>
        <v>0</v>
      </c>
    </row>
    <row r="293" spans="1:1">
      <c r="A293" s="39">
        <f>IF('Additional Videos'!B293 = "", "", IF('Additional Videos-WUO_ERR'!A293 = "", "Validated", HYPERLINK("#" &amp; ADDRESS(293, 'Additional Videos-WUO_TRK'!A293),_xlfn.TEXTAFTER('Additional Videos-WUO_ERR'!A293, ":"))))</f>
        <v>0</v>
      </c>
    </row>
    <row r="294" spans="1:1">
      <c r="A294" s="39">
        <f>IF('Additional Videos'!B294 = "", "", IF('Additional Videos-WUO_ERR'!A294 = "", "Validated", HYPERLINK("#" &amp; ADDRESS(294, 'Additional Videos-WUO_TRK'!A294),_xlfn.TEXTAFTER('Additional Videos-WUO_ERR'!A294, ":"))))</f>
        <v>0</v>
      </c>
    </row>
    <row r="295" spans="1:1">
      <c r="A295" s="39">
        <f>IF('Additional Videos'!B295 = "", "", IF('Additional Videos-WUO_ERR'!A295 = "", "Validated", HYPERLINK("#" &amp; ADDRESS(295, 'Additional Videos-WUO_TRK'!A295),_xlfn.TEXTAFTER('Additional Videos-WUO_ERR'!A295, ":"))))</f>
        <v>0</v>
      </c>
    </row>
    <row r="296" spans="1:1">
      <c r="A296" s="39">
        <f>IF('Additional Videos'!B296 = "", "", IF('Additional Videos-WUO_ERR'!A296 = "", "Validated", HYPERLINK("#" &amp; ADDRESS(296, 'Additional Videos-WUO_TRK'!A296),_xlfn.TEXTAFTER('Additional Videos-WUO_ERR'!A296, ":"))))</f>
        <v>0</v>
      </c>
    </row>
    <row r="297" spans="1:1">
      <c r="A297" s="39">
        <f>IF('Additional Videos'!B297 = "", "", IF('Additional Videos-WUO_ERR'!A297 = "", "Validated", HYPERLINK("#" &amp; ADDRESS(297, 'Additional Videos-WUO_TRK'!A297),_xlfn.TEXTAFTER('Additional Videos-WUO_ERR'!A297, ":"))))</f>
        <v>0</v>
      </c>
    </row>
    <row r="298" spans="1:1">
      <c r="A298" s="39">
        <f>IF('Additional Videos'!B298 = "", "", IF('Additional Videos-WUO_ERR'!A298 = "", "Validated", HYPERLINK("#" &amp; ADDRESS(298, 'Additional Videos-WUO_TRK'!A298),_xlfn.TEXTAFTER('Additional Videos-WUO_ERR'!A298, ":"))))</f>
        <v>0</v>
      </c>
    </row>
    <row r="299" spans="1:1">
      <c r="A299" s="39">
        <f>IF('Additional Videos'!B299 = "", "", IF('Additional Videos-WUO_ERR'!A299 = "", "Validated", HYPERLINK("#" &amp; ADDRESS(299, 'Additional Videos-WUO_TRK'!A299),_xlfn.TEXTAFTER('Additional Videos-WUO_ERR'!A299, ":"))))</f>
        <v>0</v>
      </c>
    </row>
    <row r="300" spans="1:1">
      <c r="A300" s="39">
        <f>IF('Additional Videos'!B300 = "", "", IF('Additional Videos-WUO_ERR'!A300 = "", "Validated", HYPERLINK("#" &amp; ADDRESS(300, 'Additional Videos-WUO_TRK'!A300),_xlfn.TEXTAFTER('Additional Videos-WUO_ERR'!A300, ":"))))</f>
        <v>0</v>
      </c>
    </row>
    <row r="301" spans="1:1">
      <c r="A301" s="39">
        <f>IF('Additional Videos'!B301 = "", "", IF('Additional Videos-WUO_ERR'!A301 = "", "Validated", HYPERLINK("#" &amp; ADDRESS(301, 'Additional Videos-WUO_TRK'!A301),_xlfn.TEXTAFTER('Additional Videos-WUO_ERR'!A301, ":"))))</f>
        <v>0</v>
      </c>
    </row>
    <row r="302" spans="1:1">
      <c r="A302" s="39">
        <f>IF('Additional Videos'!B302 = "", "", IF('Additional Videos-WUO_ERR'!A302 = "", "Validated", HYPERLINK("#" &amp; ADDRESS(302, 'Additional Videos-WUO_TRK'!A302),_xlfn.TEXTAFTER('Additional Videos-WUO_ERR'!A302, ":"))))</f>
        <v>0</v>
      </c>
    </row>
    <row r="303" spans="1:1">
      <c r="A303" s="39">
        <f>IF('Additional Videos'!B303 = "", "", IF('Additional Videos-WUO_ERR'!A303 = "", "Validated", HYPERLINK("#" &amp; ADDRESS(303, 'Additional Videos-WUO_TRK'!A303),_xlfn.TEXTAFTER('Additional Videos-WUO_ERR'!A303, ":"))))</f>
        <v>0</v>
      </c>
    </row>
    <row r="304" spans="1:1">
      <c r="A304" s="39">
        <f>IF('Additional Videos'!B304 = "", "", IF('Additional Videos-WUO_ERR'!A304 = "", "Validated", HYPERLINK("#" &amp; ADDRESS(304, 'Additional Videos-WUO_TRK'!A304),_xlfn.TEXTAFTER('Additional Videos-WUO_ERR'!A304, ":"))))</f>
        <v>0</v>
      </c>
    </row>
    <row r="305" spans="1:1">
      <c r="A305" s="39">
        <f>IF('Additional Videos'!B305 = "", "", IF('Additional Videos-WUO_ERR'!A305 = "", "Validated", HYPERLINK("#" &amp; ADDRESS(305, 'Additional Videos-WUO_TRK'!A305),_xlfn.TEXTAFTER('Additional Videos-WUO_ERR'!A305, ":"))))</f>
        <v>0</v>
      </c>
    </row>
    <row r="306" spans="1:1">
      <c r="A306" s="39">
        <f>IF('Additional Videos'!B306 = "", "", IF('Additional Videos-WUO_ERR'!A306 = "", "Validated", HYPERLINK("#" &amp; ADDRESS(306, 'Additional Videos-WUO_TRK'!A306),_xlfn.TEXTAFTER('Additional Videos-WUO_ERR'!A306, ":"))))</f>
        <v>0</v>
      </c>
    </row>
    <row r="307" spans="1:1">
      <c r="A307" s="39">
        <f>IF('Additional Videos'!B307 = "", "", IF('Additional Videos-WUO_ERR'!A307 = "", "Validated", HYPERLINK("#" &amp; ADDRESS(307, 'Additional Videos-WUO_TRK'!A307),_xlfn.TEXTAFTER('Additional Videos-WUO_ERR'!A307, ":"))))</f>
        <v>0</v>
      </c>
    </row>
    <row r="308" spans="1:1">
      <c r="A308" s="39">
        <f>IF('Additional Videos'!B308 = "", "", IF('Additional Videos-WUO_ERR'!A308 = "", "Validated", HYPERLINK("#" &amp; ADDRESS(308, 'Additional Videos-WUO_TRK'!A308),_xlfn.TEXTAFTER('Additional Videos-WUO_ERR'!A308, ":"))))</f>
        <v>0</v>
      </c>
    </row>
    <row r="309" spans="1:1">
      <c r="A309" s="39">
        <f>IF('Additional Videos'!B309 = "", "", IF('Additional Videos-WUO_ERR'!A309 = "", "Validated", HYPERLINK("#" &amp; ADDRESS(309, 'Additional Videos-WUO_TRK'!A309),_xlfn.TEXTAFTER('Additional Videos-WUO_ERR'!A309, ":"))))</f>
        <v>0</v>
      </c>
    </row>
    <row r="310" spans="1:1">
      <c r="A310" s="39">
        <f>IF('Additional Videos'!B310 = "", "", IF('Additional Videos-WUO_ERR'!A310 = "", "Validated", HYPERLINK("#" &amp; ADDRESS(310, 'Additional Videos-WUO_TRK'!A310),_xlfn.TEXTAFTER('Additional Videos-WUO_ERR'!A310, ":"))))</f>
        <v>0</v>
      </c>
    </row>
    <row r="311" spans="1:1">
      <c r="A311" s="39">
        <f>IF('Additional Videos'!B311 = "", "", IF('Additional Videos-WUO_ERR'!A311 = "", "Validated", HYPERLINK("#" &amp; ADDRESS(311, 'Additional Videos-WUO_TRK'!A311),_xlfn.TEXTAFTER('Additional Videos-WUO_ERR'!A311, ":"))))</f>
        <v>0</v>
      </c>
    </row>
    <row r="312" spans="1:1">
      <c r="A312" s="39">
        <f>IF('Additional Videos'!B312 = "", "", IF('Additional Videos-WUO_ERR'!A312 = "", "Validated", HYPERLINK("#" &amp; ADDRESS(312, 'Additional Videos-WUO_TRK'!A312),_xlfn.TEXTAFTER('Additional Videos-WUO_ERR'!A312, ":"))))</f>
        <v>0</v>
      </c>
    </row>
    <row r="313" spans="1:1">
      <c r="A313" s="39">
        <f>IF('Additional Videos'!B313 = "", "", IF('Additional Videos-WUO_ERR'!A313 = "", "Validated", HYPERLINK("#" &amp; ADDRESS(313, 'Additional Videos-WUO_TRK'!A313),_xlfn.TEXTAFTER('Additional Videos-WUO_ERR'!A313, ":"))))</f>
        <v>0</v>
      </c>
    </row>
    <row r="314" spans="1:1">
      <c r="A314" s="39">
        <f>IF('Additional Videos'!B314 = "", "", IF('Additional Videos-WUO_ERR'!A314 = "", "Validated", HYPERLINK("#" &amp; ADDRESS(314, 'Additional Videos-WUO_TRK'!A314),_xlfn.TEXTAFTER('Additional Videos-WUO_ERR'!A314, ":"))))</f>
        <v>0</v>
      </c>
    </row>
    <row r="315" spans="1:1">
      <c r="A315" s="39">
        <f>IF('Additional Videos'!B315 = "", "", IF('Additional Videos-WUO_ERR'!A315 = "", "Validated", HYPERLINK("#" &amp; ADDRESS(315, 'Additional Videos-WUO_TRK'!A315),_xlfn.TEXTAFTER('Additional Videos-WUO_ERR'!A315, ":"))))</f>
        <v>0</v>
      </c>
    </row>
    <row r="316" spans="1:1">
      <c r="A316" s="39">
        <f>IF('Additional Videos'!B316 = "", "", IF('Additional Videos-WUO_ERR'!A316 = "", "Validated", HYPERLINK("#" &amp; ADDRESS(316, 'Additional Videos-WUO_TRK'!A316),_xlfn.TEXTAFTER('Additional Videos-WUO_ERR'!A316, ":"))))</f>
        <v>0</v>
      </c>
    </row>
    <row r="317" spans="1:1">
      <c r="A317" s="39">
        <f>IF('Additional Videos'!B317 = "", "", IF('Additional Videos-WUO_ERR'!A317 = "", "Validated", HYPERLINK("#" &amp; ADDRESS(317, 'Additional Videos-WUO_TRK'!A317),_xlfn.TEXTAFTER('Additional Videos-WUO_ERR'!A317, ":"))))</f>
        <v>0</v>
      </c>
    </row>
    <row r="318" spans="1:1">
      <c r="A318" s="39">
        <f>IF('Additional Videos'!B318 = "", "", IF('Additional Videos-WUO_ERR'!A318 = "", "Validated", HYPERLINK("#" &amp; ADDRESS(318, 'Additional Videos-WUO_TRK'!A318),_xlfn.TEXTAFTER('Additional Videos-WUO_ERR'!A318, ":"))))</f>
        <v>0</v>
      </c>
    </row>
    <row r="319" spans="1:1">
      <c r="A319" s="39">
        <f>IF('Additional Videos'!B319 = "", "", IF('Additional Videos-WUO_ERR'!A319 = "", "Validated", HYPERLINK("#" &amp; ADDRESS(319, 'Additional Videos-WUO_TRK'!A319),_xlfn.TEXTAFTER('Additional Videos-WUO_ERR'!A319, ":"))))</f>
        <v>0</v>
      </c>
    </row>
    <row r="320" spans="1:1">
      <c r="A320" s="39">
        <f>IF('Additional Videos'!B320 = "", "", IF('Additional Videos-WUO_ERR'!A320 = "", "Validated", HYPERLINK("#" &amp; ADDRESS(320, 'Additional Videos-WUO_TRK'!A320),_xlfn.TEXTAFTER('Additional Videos-WUO_ERR'!A320, ":"))))</f>
        <v>0</v>
      </c>
    </row>
    <row r="321" spans="1:1">
      <c r="A321" s="39">
        <f>IF('Additional Videos'!B321 = "", "", IF('Additional Videos-WUO_ERR'!A321 = "", "Validated", HYPERLINK("#" &amp; ADDRESS(321, 'Additional Videos-WUO_TRK'!A321),_xlfn.TEXTAFTER('Additional Videos-WUO_ERR'!A321, ":"))))</f>
        <v>0</v>
      </c>
    </row>
    <row r="322" spans="1:1">
      <c r="A322" s="39">
        <f>IF('Additional Videos'!B322 = "", "", IF('Additional Videos-WUO_ERR'!A322 = "", "Validated", HYPERLINK("#" &amp; ADDRESS(322, 'Additional Videos-WUO_TRK'!A322),_xlfn.TEXTAFTER('Additional Videos-WUO_ERR'!A322, ":"))))</f>
        <v>0</v>
      </c>
    </row>
    <row r="323" spans="1:1">
      <c r="A323" s="39">
        <f>IF('Additional Videos'!B323 = "", "", IF('Additional Videos-WUO_ERR'!A323 = "", "Validated", HYPERLINK("#" &amp; ADDRESS(323, 'Additional Videos-WUO_TRK'!A323),_xlfn.TEXTAFTER('Additional Videos-WUO_ERR'!A323, ":"))))</f>
        <v>0</v>
      </c>
    </row>
    <row r="324" spans="1:1">
      <c r="A324" s="39">
        <f>IF('Additional Videos'!B324 = "", "", IF('Additional Videos-WUO_ERR'!A324 = "", "Validated", HYPERLINK("#" &amp; ADDRESS(324, 'Additional Videos-WUO_TRK'!A324),_xlfn.TEXTAFTER('Additional Videos-WUO_ERR'!A324, ":"))))</f>
        <v>0</v>
      </c>
    </row>
    <row r="325" spans="1:1">
      <c r="A325" s="39">
        <f>IF('Additional Videos'!B325 = "", "", IF('Additional Videos-WUO_ERR'!A325 = "", "Validated", HYPERLINK("#" &amp; ADDRESS(325, 'Additional Videos-WUO_TRK'!A325),_xlfn.TEXTAFTER('Additional Videos-WUO_ERR'!A325, ":"))))</f>
        <v>0</v>
      </c>
    </row>
    <row r="326" spans="1:1">
      <c r="A326" s="39">
        <f>IF('Additional Videos'!B326 = "", "", IF('Additional Videos-WUO_ERR'!A326 = "", "Validated", HYPERLINK("#" &amp; ADDRESS(326, 'Additional Videos-WUO_TRK'!A326),_xlfn.TEXTAFTER('Additional Videos-WUO_ERR'!A326, ":"))))</f>
        <v>0</v>
      </c>
    </row>
    <row r="327" spans="1:1">
      <c r="A327" s="39">
        <f>IF('Additional Videos'!B327 = "", "", IF('Additional Videos-WUO_ERR'!A327 = "", "Validated", HYPERLINK("#" &amp; ADDRESS(327, 'Additional Videos-WUO_TRK'!A327),_xlfn.TEXTAFTER('Additional Videos-WUO_ERR'!A327, ":"))))</f>
        <v>0</v>
      </c>
    </row>
    <row r="328" spans="1:1">
      <c r="A328" s="39">
        <f>IF('Additional Videos'!B328 = "", "", IF('Additional Videos-WUO_ERR'!A328 = "", "Validated", HYPERLINK("#" &amp; ADDRESS(328, 'Additional Videos-WUO_TRK'!A328),_xlfn.TEXTAFTER('Additional Videos-WUO_ERR'!A328, ":"))))</f>
        <v>0</v>
      </c>
    </row>
    <row r="329" spans="1:1">
      <c r="A329" s="39">
        <f>IF('Additional Videos'!B329 = "", "", IF('Additional Videos-WUO_ERR'!A329 = "", "Validated", HYPERLINK("#" &amp; ADDRESS(329, 'Additional Videos-WUO_TRK'!A329),_xlfn.TEXTAFTER('Additional Videos-WUO_ERR'!A329, ":"))))</f>
        <v>0</v>
      </c>
    </row>
    <row r="330" spans="1:1">
      <c r="A330" s="39">
        <f>IF('Additional Videos'!B330 = "", "", IF('Additional Videos-WUO_ERR'!A330 = "", "Validated", HYPERLINK("#" &amp; ADDRESS(330, 'Additional Videos-WUO_TRK'!A330),_xlfn.TEXTAFTER('Additional Videos-WUO_ERR'!A330, ":"))))</f>
        <v>0</v>
      </c>
    </row>
    <row r="331" spans="1:1">
      <c r="A331" s="39">
        <f>IF('Additional Videos'!B331 = "", "", IF('Additional Videos-WUO_ERR'!A331 = "", "Validated", HYPERLINK("#" &amp; ADDRESS(331, 'Additional Videos-WUO_TRK'!A331),_xlfn.TEXTAFTER('Additional Videos-WUO_ERR'!A331, ":"))))</f>
        <v>0</v>
      </c>
    </row>
    <row r="332" spans="1:1">
      <c r="A332" s="39">
        <f>IF('Additional Videos'!B332 = "", "", IF('Additional Videos-WUO_ERR'!A332 = "", "Validated", HYPERLINK("#" &amp; ADDRESS(332, 'Additional Videos-WUO_TRK'!A332),_xlfn.TEXTAFTER('Additional Videos-WUO_ERR'!A332, ":"))))</f>
        <v>0</v>
      </c>
    </row>
    <row r="333" spans="1:1">
      <c r="A333" s="39">
        <f>IF('Additional Videos'!B333 = "", "", IF('Additional Videos-WUO_ERR'!A333 = "", "Validated", HYPERLINK("#" &amp; ADDRESS(333, 'Additional Videos-WUO_TRK'!A333),_xlfn.TEXTAFTER('Additional Videos-WUO_ERR'!A333, ":"))))</f>
        <v>0</v>
      </c>
    </row>
    <row r="334" spans="1:1">
      <c r="A334" s="39">
        <f>IF('Additional Videos'!B334 = "", "", IF('Additional Videos-WUO_ERR'!A334 = "", "Validated", HYPERLINK("#" &amp; ADDRESS(334, 'Additional Videos-WUO_TRK'!A334),_xlfn.TEXTAFTER('Additional Videos-WUO_ERR'!A334, ":"))))</f>
        <v>0</v>
      </c>
    </row>
    <row r="335" spans="1:1">
      <c r="A335" s="39">
        <f>IF('Additional Videos'!B335 = "", "", IF('Additional Videos-WUO_ERR'!A335 = "", "Validated", HYPERLINK("#" &amp; ADDRESS(335, 'Additional Videos-WUO_TRK'!A335),_xlfn.TEXTAFTER('Additional Videos-WUO_ERR'!A335, ":"))))</f>
        <v>0</v>
      </c>
    </row>
    <row r="336" spans="1:1">
      <c r="A336" s="39">
        <f>IF('Additional Videos'!B336 = "", "", IF('Additional Videos-WUO_ERR'!A336 = "", "Validated", HYPERLINK("#" &amp; ADDRESS(336, 'Additional Videos-WUO_TRK'!A336),_xlfn.TEXTAFTER('Additional Videos-WUO_ERR'!A336, ":"))))</f>
        <v>0</v>
      </c>
    </row>
    <row r="337" spans="1:1">
      <c r="A337" s="39">
        <f>IF('Additional Videos'!B337 = "", "", IF('Additional Videos-WUO_ERR'!A337 = "", "Validated", HYPERLINK("#" &amp; ADDRESS(337, 'Additional Videos-WUO_TRK'!A337),_xlfn.TEXTAFTER('Additional Videos-WUO_ERR'!A337, ":"))))</f>
        <v>0</v>
      </c>
    </row>
    <row r="338" spans="1:1">
      <c r="A338" s="39">
        <f>IF('Additional Videos'!B338 = "", "", IF('Additional Videos-WUO_ERR'!A338 = "", "Validated", HYPERLINK("#" &amp; ADDRESS(338, 'Additional Videos-WUO_TRK'!A338),_xlfn.TEXTAFTER('Additional Videos-WUO_ERR'!A338, ":"))))</f>
        <v>0</v>
      </c>
    </row>
    <row r="339" spans="1:1">
      <c r="A339" s="39">
        <f>IF('Additional Videos'!B339 = "", "", IF('Additional Videos-WUO_ERR'!A339 = "", "Validated", HYPERLINK("#" &amp; ADDRESS(339, 'Additional Videos-WUO_TRK'!A339),_xlfn.TEXTAFTER('Additional Videos-WUO_ERR'!A339, ":"))))</f>
        <v>0</v>
      </c>
    </row>
    <row r="340" spans="1:1">
      <c r="A340" s="39">
        <f>IF('Additional Videos'!B340 = "", "", IF('Additional Videos-WUO_ERR'!A340 = "", "Validated", HYPERLINK("#" &amp; ADDRESS(340, 'Additional Videos-WUO_TRK'!A340),_xlfn.TEXTAFTER('Additional Videos-WUO_ERR'!A340, ":"))))</f>
        <v>0</v>
      </c>
    </row>
    <row r="341" spans="1:1">
      <c r="A341" s="39">
        <f>IF('Additional Videos'!B341 = "", "", IF('Additional Videos-WUO_ERR'!A341 = "", "Validated", HYPERLINK("#" &amp; ADDRESS(341, 'Additional Videos-WUO_TRK'!A341),_xlfn.TEXTAFTER('Additional Videos-WUO_ERR'!A341, ":"))))</f>
        <v>0</v>
      </c>
    </row>
    <row r="342" spans="1:1">
      <c r="A342" s="39">
        <f>IF('Additional Videos'!B342 = "", "", IF('Additional Videos-WUO_ERR'!A342 = "", "Validated", HYPERLINK("#" &amp; ADDRESS(342, 'Additional Videos-WUO_TRK'!A342),_xlfn.TEXTAFTER('Additional Videos-WUO_ERR'!A342, ":"))))</f>
        <v>0</v>
      </c>
    </row>
    <row r="343" spans="1:1">
      <c r="A343" s="39">
        <f>IF('Additional Videos'!B343 = "", "", IF('Additional Videos-WUO_ERR'!A343 = "", "Validated", HYPERLINK("#" &amp; ADDRESS(343, 'Additional Videos-WUO_TRK'!A343),_xlfn.TEXTAFTER('Additional Videos-WUO_ERR'!A343, ":"))))</f>
        <v>0</v>
      </c>
    </row>
    <row r="344" spans="1:1">
      <c r="A344" s="39">
        <f>IF('Additional Videos'!B344 = "", "", IF('Additional Videos-WUO_ERR'!A344 = "", "Validated", HYPERLINK("#" &amp; ADDRESS(344, 'Additional Videos-WUO_TRK'!A344),_xlfn.TEXTAFTER('Additional Videos-WUO_ERR'!A344, ":"))))</f>
        <v>0</v>
      </c>
    </row>
    <row r="345" spans="1:1">
      <c r="A345" s="39">
        <f>IF('Additional Videos'!B345 = "", "", IF('Additional Videos-WUO_ERR'!A345 = "", "Validated", HYPERLINK("#" &amp; ADDRESS(345, 'Additional Videos-WUO_TRK'!A345),_xlfn.TEXTAFTER('Additional Videos-WUO_ERR'!A345, ":"))))</f>
        <v>0</v>
      </c>
    </row>
    <row r="346" spans="1:1">
      <c r="A346" s="39">
        <f>IF('Additional Videos'!B346 = "", "", IF('Additional Videos-WUO_ERR'!A346 = "", "Validated", HYPERLINK("#" &amp; ADDRESS(346, 'Additional Videos-WUO_TRK'!A346),_xlfn.TEXTAFTER('Additional Videos-WUO_ERR'!A346, ":"))))</f>
        <v>0</v>
      </c>
    </row>
    <row r="347" spans="1:1">
      <c r="A347" s="39">
        <f>IF('Additional Videos'!B347 = "", "", IF('Additional Videos-WUO_ERR'!A347 = "", "Validated", HYPERLINK("#" &amp; ADDRESS(347, 'Additional Videos-WUO_TRK'!A347),_xlfn.TEXTAFTER('Additional Videos-WUO_ERR'!A347, ":"))))</f>
        <v>0</v>
      </c>
    </row>
    <row r="348" spans="1:1">
      <c r="A348" s="39">
        <f>IF('Additional Videos'!B348 = "", "", IF('Additional Videos-WUO_ERR'!A348 = "", "Validated", HYPERLINK("#" &amp; ADDRESS(348, 'Additional Videos-WUO_TRK'!A348),_xlfn.TEXTAFTER('Additional Videos-WUO_ERR'!A348, ":"))))</f>
        <v>0</v>
      </c>
    </row>
    <row r="349" spans="1:1">
      <c r="A349" s="39">
        <f>IF('Additional Videos'!B349 = "", "", IF('Additional Videos-WUO_ERR'!A349 = "", "Validated", HYPERLINK("#" &amp; ADDRESS(349, 'Additional Videos-WUO_TRK'!A349),_xlfn.TEXTAFTER('Additional Videos-WUO_ERR'!A349, ":"))))</f>
        <v>0</v>
      </c>
    </row>
    <row r="350" spans="1:1">
      <c r="A350" s="39">
        <f>IF('Additional Videos'!B350 = "", "", IF('Additional Videos-WUO_ERR'!A350 = "", "Validated", HYPERLINK("#" &amp; ADDRESS(350, 'Additional Videos-WUO_TRK'!A350),_xlfn.TEXTAFTER('Additional Videos-WUO_ERR'!A350, ":"))))</f>
        <v>0</v>
      </c>
    </row>
    <row r="351" spans="1:1">
      <c r="A351" s="39">
        <f>IF('Additional Videos'!B351 = "", "", IF('Additional Videos-WUO_ERR'!A351 = "", "Validated", HYPERLINK("#" &amp; ADDRESS(351, 'Additional Videos-WUO_TRK'!A351),_xlfn.TEXTAFTER('Additional Videos-WUO_ERR'!A351, ":"))))</f>
        <v>0</v>
      </c>
    </row>
    <row r="352" spans="1:1">
      <c r="A352" s="39">
        <f>IF('Additional Videos'!B352 = "", "", IF('Additional Videos-WUO_ERR'!A352 = "", "Validated", HYPERLINK("#" &amp; ADDRESS(352, 'Additional Videos-WUO_TRK'!A352),_xlfn.TEXTAFTER('Additional Videos-WUO_ERR'!A352, ":"))))</f>
        <v>0</v>
      </c>
    </row>
    <row r="353" spans="1:1">
      <c r="A353" s="39">
        <f>IF('Additional Videos'!B353 = "", "", IF('Additional Videos-WUO_ERR'!A353 = "", "Validated", HYPERLINK("#" &amp; ADDRESS(353, 'Additional Videos-WUO_TRK'!A353),_xlfn.TEXTAFTER('Additional Videos-WUO_ERR'!A353, ":"))))</f>
        <v>0</v>
      </c>
    </row>
    <row r="354" spans="1:1">
      <c r="A354" s="39">
        <f>IF('Additional Videos'!B354 = "", "", IF('Additional Videos-WUO_ERR'!A354 = "", "Validated", HYPERLINK("#" &amp; ADDRESS(354, 'Additional Videos-WUO_TRK'!A354),_xlfn.TEXTAFTER('Additional Videos-WUO_ERR'!A354, ":"))))</f>
        <v>0</v>
      </c>
    </row>
    <row r="355" spans="1:1">
      <c r="A355" s="39">
        <f>IF('Additional Videos'!B355 = "", "", IF('Additional Videos-WUO_ERR'!A355 = "", "Validated", HYPERLINK("#" &amp; ADDRESS(355, 'Additional Videos-WUO_TRK'!A355),_xlfn.TEXTAFTER('Additional Videos-WUO_ERR'!A355, ":"))))</f>
        <v>0</v>
      </c>
    </row>
    <row r="356" spans="1:1">
      <c r="A356" s="39">
        <f>IF('Additional Videos'!B356 = "", "", IF('Additional Videos-WUO_ERR'!A356 = "", "Validated", HYPERLINK("#" &amp; ADDRESS(356, 'Additional Videos-WUO_TRK'!A356),_xlfn.TEXTAFTER('Additional Videos-WUO_ERR'!A356, ":"))))</f>
        <v>0</v>
      </c>
    </row>
    <row r="357" spans="1:1">
      <c r="A357" s="39">
        <f>IF('Additional Videos'!B357 = "", "", IF('Additional Videos-WUO_ERR'!A357 = "", "Validated", HYPERLINK("#" &amp; ADDRESS(357, 'Additional Videos-WUO_TRK'!A357),_xlfn.TEXTAFTER('Additional Videos-WUO_ERR'!A357, ":"))))</f>
        <v>0</v>
      </c>
    </row>
    <row r="358" spans="1:1">
      <c r="A358" s="39">
        <f>IF('Additional Videos'!B358 = "", "", IF('Additional Videos-WUO_ERR'!A358 = "", "Validated", HYPERLINK("#" &amp; ADDRESS(358, 'Additional Videos-WUO_TRK'!A358),_xlfn.TEXTAFTER('Additional Videos-WUO_ERR'!A358, ":"))))</f>
        <v>0</v>
      </c>
    </row>
    <row r="359" spans="1:1">
      <c r="A359" s="39">
        <f>IF('Additional Videos'!B359 = "", "", IF('Additional Videos-WUO_ERR'!A359 = "", "Validated", HYPERLINK("#" &amp; ADDRESS(359, 'Additional Videos-WUO_TRK'!A359),_xlfn.TEXTAFTER('Additional Videos-WUO_ERR'!A359, ":"))))</f>
        <v>0</v>
      </c>
    </row>
    <row r="360" spans="1:1">
      <c r="A360" s="39">
        <f>IF('Additional Videos'!B360 = "", "", IF('Additional Videos-WUO_ERR'!A360 = "", "Validated", HYPERLINK("#" &amp; ADDRESS(360, 'Additional Videos-WUO_TRK'!A360),_xlfn.TEXTAFTER('Additional Videos-WUO_ERR'!A360, ":"))))</f>
        <v>0</v>
      </c>
    </row>
    <row r="361" spans="1:1">
      <c r="A361" s="39">
        <f>IF('Additional Videos'!B361 = "", "", IF('Additional Videos-WUO_ERR'!A361 = "", "Validated", HYPERLINK("#" &amp; ADDRESS(361, 'Additional Videos-WUO_TRK'!A361),_xlfn.TEXTAFTER('Additional Videos-WUO_ERR'!A361, ":"))))</f>
        <v>0</v>
      </c>
    </row>
    <row r="362" spans="1:1">
      <c r="A362" s="39">
        <f>IF('Additional Videos'!B362 = "", "", IF('Additional Videos-WUO_ERR'!A362 = "", "Validated", HYPERLINK("#" &amp; ADDRESS(362, 'Additional Videos-WUO_TRK'!A362),_xlfn.TEXTAFTER('Additional Videos-WUO_ERR'!A362, ":"))))</f>
        <v>0</v>
      </c>
    </row>
    <row r="363" spans="1:1">
      <c r="A363" s="39">
        <f>IF('Additional Videos'!B363 = "", "", IF('Additional Videos-WUO_ERR'!A363 = "", "Validated", HYPERLINK("#" &amp; ADDRESS(363, 'Additional Videos-WUO_TRK'!A363),_xlfn.TEXTAFTER('Additional Videos-WUO_ERR'!A363, ":"))))</f>
        <v>0</v>
      </c>
    </row>
    <row r="364" spans="1:1">
      <c r="A364" s="39">
        <f>IF('Additional Videos'!B364 = "", "", IF('Additional Videos-WUO_ERR'!A364 = "", "Validated", HYPERLINK("#" &amp; ADDRESS(364, 'Additional Videos-WUO_TRK'!A364),_xlfn.TEXTAFTER('Additional Videos-WUO_ERR'!A364, ":"))))</f>
        <v>0</v>
      </c>
    </row>
    <row r="365" spans="1:1">
      <c r="A365" s="39">
        <f>IF('Additional Videos'!B365 = "", "", IF('Additional Videos-WUO_ERR'!A365 = "", "Validated", HYPERLINK("#" &amp; ADDRESS(365, 'Additional Videos-WUO_TRK'!A365),_xlfn.TEXTAFTER('Additional Videos-WUO_ERR'!A365, ":"))))</f>
        <v>0</v>
      </c>
    </row>
    <row r="366" spans="1:1">
      <c r="A366" s="39">
        <f>IF('Additional Videos'!B366 = "", "", IF('Additional Videos-WUO_ERR'!A366 = "", "Validated", HYPERLINK("#" &amp; ADDRESS(366, 'Additional Videos-WUO_TRK'!A366),_xlfn.TEXTAFTER('Additional Videos-WUO_ERR'!A366, ":"))))</f>
        <v>0</v>
      </c>
    </row>
    <row r="367" spans="1:1">
      <c r="A367" s="39">
        <f>IF('Additional Videos'!B367 = "", "", IF('Additional Videos-WUO_ERR'!A367 = "", "Validated", HYPERLINK("#" &amp; ADDRESS(367, 'Additional Videos-WUO_TRK'!A367),_xlfn.TEXTAFTER('Additional Videos-WUO_ERR'!A367, ":"))))</f>
        <v>0</v>
      </c>
    </row>
    <row r="368" spans="1:1">
      <c r="A368" s="39">
        <f>IF('Additional Videos'!B368 = "", "", IF('Additional Videos-WUO_ERR'!A368 = "", "Validated", HYPERLINK("#" &amp; ADDRESS(368, 'Additional Videos-WUO_TRK'!A368),_xlfn.TEXTAFTER('Additional Videos-WUO_ERR'!A368, ":"))))</f>
        <v>0</v>
      </c>
    </row>
    <row r="369" spans="1:1">
      <c r="A369" s="39">
        <f>IF('Additional Videos'!B369 = "", "", IF('Additional Videos-WUO_ERR'!A369 = "", "Validated", HYPERLINK("#" &amp; ADDRESS(369, 'Additional Videos-WUO_TRK'!A369),_xlfn.TEXTAFTER('Additional Videos-WUO_ERR'!A369, ":"))))</f>
        <v>0</v>
      </c>
    </row>
    <row r="370" spans="1:1">
      <c r="A370" s="39">
        <f>IF('Additional Videos'!B370 = "", "", IF('Additional Videos-WUO_ERR'!A370 = "", "Validated", HYPERLINK("#" &amp; ADDRESS(370, 'Additional Videos-WUO_TRK'!A370),_xlfn.TEXTAFTER('Additional Videos-WUO_ERR'!A370, ":"))))</f>
        <v>0</v>
      </c>
    </row>
    <row r="371" spans="1:1">
      <c r="A371" s="39">
        <f>IF('Additional Videos'!B371 = "", "", IF('Additional Videos-WUO_ERR'!A371 = "", "Validated", HYPERLINK("#" &amp; ADDRESS(371, 'Additional Videos-WUO_TRK'!A371),_xlfn.TEXTAFTER('Additional Videos-WUO_ERR'!A371, ":"))))</f>
        <v>0</v>
      </c>
    </row>
    <row r="372" spans="1:1">
      <c r="A372" s="39">
        <f>IF('Additional Videos'!B372 = "", "", IF('Additional Videos-WUO_ERR'!A372 = "", "Validated", HYPERLINK("#" &amp; ADDRESS(372, 'Additional Videos-WUO_TRK'!A372),_xlfn.TEXTAFTER('Additional Videos-WUO_ERR'!A372, ":"))))</f>
        <v>0</v>
      </c>
    </row>
    <row r="373" spans="1:1">
      <c r="A373" s="39">
        <f>IF('Additional Videos'!B373 = "", "", IF('Additional Videos-WUO_ERR'!A373 = "", "Validated", HYPERLINK("#" &amp; ADDRESS(373, 'Additional Videos-WUO_TRK'!A373),_xlfn.TEXTAFTER('Additional Videos-WUO_ERR'!A373, ":"))))</f>
        <v>0</v>
      </c>
    </row>
    <row r="374" spans="1:1">
      <c r="A374" s="39">
        <f>IF('Additional Videos'!B374 = "", "", IF('Additional Videos-WUO_ERR'!A374 = "", "Validated", HYPERLINK("#" &amp; ADDRESS(374, 'Additional Videos-WUO_TRK'!A374),_xlfn.TEXTAFTER('Additional Videos-WUO_ERR'!A374, ":"))))</f>
        <v>0</v>
      </c>
    </row>
    <row r="375" spans="1:1">
      <c r="A375" s="39">
        <f>IF('Additional Videos'!B375 = "", "", IF('Additional Videos-WUO_ERR'!A375 = "", "Validated", HYPERLINK("#" &amp; ADDRESS(375, 'Additional Videos-WUO_TRK'!A375),_xlfn.TEXTAFTER('Additional Videos-WUO_ERR'!A375, ":"))))</f>
        <v>0</v>
      </c>
    </row>
    <row r="376" spans="1:1">
      <c r="A376" s="39">
        <f>IF('Additional Videos'!B376 = "", "", IF('Additional Videos-WUO_ERR'!A376 = "", "Validated", HYPERLINK("#" &amp; ADDRESS(376, 'Additional Videos-WUO_TRK'!A376),_xlfn.TEXTAFTER('Additional Videos-WUO_ERR'!A376, ":"))))</f>
        <v>0</v>
      </c>
    </row>
    <row r="377" spans="1:1">
      <c r="A377" s="39">
        <f>IF('Additional Videos'!B377 = "", "", IF('Additional Videos-WUO_ERR'!A377 = "", "Validated", HYPERLINK("#" &amp; ADDRESS(377, 'Additional Videos-WUO_TRK'!A377),_xlfn.TEXTAFTER('Additional Videos-WUO_ERR'!A377, ":"))))</f>
        <v>0</v>
      </c>
    </row>
    <row r="378" spans="1:1">
      <c r="A378" s="39">
        <f>IF('Additional Videos'!B378 = "", "", IF('Additional Videos-WUO_ERR'!A378 = "", "Validated", HYPERLINK("#" &amp; ADDRESS(378, 'Additional Videos-WUO_TRK'!A378),_xlfn.TEXTAFTER('Additional Videos-WUO_ERR'!A378, ":"))))</f>
        <v>0</v>
      </c>
    </row>
    <row r="379" spans="1:1">
      <c r="A379" s="39">
        <f>IF('Additional Videos'!B379 = "", "", IF('Additional Videos-WUO_ERR'!A379 = "", "Validated", HYPERLINK("#" &amp; ADDRESS(379, 'Additional Videos-WUO_TRK'!A379),_xlfn.TEXTAFTER('Additional Videos-WUO_ERR'!A379, ":"))))</f>
        <v>0</v>
      </c>
    </row>
    <row r="380" spans="1:1">
      <c r="A380" s="39">
        <f>IF('Additional Videos'!B380 = "", "", IF('Additional Videos-WUO_ERR'!A380 = "", "Validated", HYPERLINK("#" &amp; ADDRESS(380, 'Additional Videos-WUO_TRK'!A380),_xlfn.TEXTAFTER('Additional Videos-WUO_ERR'!A380, ":"))))</f>
        <v>0</v>
      </c>
    </row>
    <row r="381" spans="1:1">
      <c r="A381" s="39">
        <f>IF('Additional Videos'!B381 = "", "", IF('Additional Videos-WUO_ERR'!A381 = "", "Validated", HYPERLINK("#" &amp; ADDRESS(381, 'Additional Videos-WUO_TRK'!A381),_xlfn.TEXTAFTER('Additional Videos-WUO_ERR'!A381, ":"))))</f>
        <v>0</v>
      </c>
    </row>
    <row r="382" spans="1:1">
      <c r="A382" s="39">
        <f>IF('Additional Videos'!B382 = "", "", IF('Additional Videos-WUO_ERR'!A382 = "", "Validated", HYPERLINK("#" &amp; ADDRESS(382, 'Additional Videos-WUO_TRK'!A382),_xlfn.TEXTAFTER('Additional Videos-WUO_ERR'!A382, ":"))))</f>
        <v>0</v>
      </c>
    </row>
    <row r="383" spans="1:1">
      <c r="A383" s="39">
        <f>IF('Additional Videos'!B383 = "", "", IF('Additional Videos-WUO_ERR'!A383 = "", "Validated", HYPERLINK("#" &amp; ADDRESS(383, 'Additional Videos-WUO_TRK'!A383),_xlfn.TEXTAFTER('Additional Videos-WUO_ERR'!A383, ":"))))</f>
        <v>0</v>
      </c>
    </row>
    <row r="384" spans="1:1">
      <c r="A384" s="39">
        <f>IF('Additional Videos'!B384 = "", "", IF('Additional Videos-WUO_ERR'!A384 = "", "Validated", HYPERLINK("#" &amp; ADDRESS(384, 'Additional Videos-WUO_TRK'!A384),_xlfn.TEXTAFTER('Additional Videos-WUO_ERR'!A384, ":"))))</f>
        <v>0</v>
      </c>
    </row>
    <row r="385" spans="1:1">
      <c r="A385" s="39">
        <f>IF('Additional Videos'!B385 = "", "", IF('Additional Videos-WUO_ERR'!A385 = "", "Validated", HYPERLINK("#" &amp; ADDRESS(385, 'Additional Videos-WUO_TRK'!A385),_xlfn.TEXTAFTER('Additional Videos-WUO_ERR'!A385, ":"))))</f>
        <v>0</v>
      </c>
    </row>
    <row r="386" spans="1:1">
      <c r="A386" s="39">
        <f>IF('Additional Videos'!B386 = "", "", IF('Additional Videos-WUO_ERR'!A386 = "", "Validated", HYPERLINK("#" &amp; ADDRESS(386, 'Additional Videos-WUO_TRK'!A386),_xlfn.TEXTAFTER('Additional Videos-WUO_ERR'!A386, ":"))))</f>
        <v>0</v>
      </c>
    </row>
    <row r="387" spans="1:1">
      <c r="A387" s="39">
        <f>IF('Additional Videos'!B387 = "", "", IF('Additional Videos-WUO_ERR'!A387 = "", "Validated", HYPERLINK("#" &amp; ADDRESS(387, 'Additional Videos-WUO_TRK'!A387),_xlfn.TEXTAFTER('Additional Videos-WUO_ERR'!A387, ":"))))</f>
        <v>0</v>
      </c>
    </row>
    <row r="388" spans="1:1">
      <c r="A388" s="39">
        <f>IF('Additional Videos'!B388 = "", "", IF('Additional Videos-WUO_ERR'!A388 = "", "Validated", HYPERLINK("#" &amp; ADDRESS(388, 'Additional Videos-WUO_TRK'!A388),_xlfn.TEXTAFTER('Additional Videos-WUO_ERR'!A388, ":"))))</f>
        <v>0</v>
      </c>
    </row>
    <row r="389" spans="1:1">
      <c r="A389" s="39">
        <f>IF('Additional Videos'!B389 = "", "", IF('Additional Videos-WUO_ERR'!A389 = "", "Validated", HYPERLINK("#" &amp; ADDRESS(389, 'Additional Videos-WUO_TRK'!A389),_xlfn.TEXTAFTER('Additional Videos-WUO_ERR'!A389, ":"))))</f>
        <v>0</v>
      </c>
    </row>
    <row r="390" spans="1:1">
      <c r="A390" s="39">
        <f>IF('Additional Videos'!B390 = "", "", IF('Additional Videos-WUO_ERR'!A390 = "", "Validated", HYPERLINK("#" &amp; ADDRESS(390, 'Additional Videos-WUO_TRK'!A390),_xlfn.TEXTAFTER('Additional Videos-WUO_ERR'!A390, ":"))))</f>
        <v>0</v>
      </c>
    </row>
    <row r="391" spans="1:1">
      <c r="A391" s="39">
        <f>IF('Additional Videos'!B391 = "", "", IF('Additional Videos-WUO_ERR'!A391 = "", "Validated", HYPERLINK("#" &amp; ADDRESS(391, 'Additional Videos-WUO_TRK'!A391),_xlfn.TEXTAFTER('Additional Videos-WUO_ERR'!A391, ":"))))</f>
        <v>0</v>
      </c>
    </row>
    <row r="392" spans="1:1">
      <c r="A392" s="39">
        <f>IF('Additional Videos'!B392 = "", "", IF('Additional Videos-WUO_ERR'!A392 = "", "Validated", HYPERLINK("#" &amp; ADDRESS(392, 'Additional Videos-WUO_TRK'!A392),_xlfn.TEXTAFTER('Additional Videos-WUO_ERR'!A392, ":"))))</f>
        <v>0</v>
      </c>
    </row>
    <row r="393" spans="1:1">
      <c r="A393" s="39">
        <f>IF('Additional Videos'!B393 = "", "", IF('Additional Videos-WUO_ERR'!A393 = "", "Validated", HYPERLINK("#" &amp; ADDRESS(393, 'Additional Videos-WUO_TRK'!A393),_xlfn.TEXTAFTER('Additional Videos-WUO_ERR'!A393, ":"))))</f>
        <v>0</v>
      </c>
    </row>
    <row r="394" spans="1:1">
      <c r="A394" s="39">
        <f>IF('Additional Videos'!B394 = "", "", IF('Additional Videos-WUO_ERR'!A394 = "", "Validated", HYPERLINK("#" &amp; ADDRESS(394, 'Additional Videos-WUO_TRK'!A394),_xlfn.TEXTAFTER('Additional Videos-WUO_ERR'!A394, ":"))))</f>
        <v>0</v>
      </c>
    </row>
    <row r="395" spans="1:1">
      <c r="A395" s="39">
        <f>IF('Additional Videos'!B395 = "", "", IF('Additional Videos-WUO_ERR'!A395 = "", "Validated", HYPERLINK("#" &amp; ADDRESS(395, 'Additional Videos-WUO_TRK'!A395),_xlfn.TEXTAFTER('Additional Videos-WUO_ERR'!A395, ":"))))</f>
        <v>0</v>
      </c>
    </row>
    <row r="396" spans="1:1">
      <c r="A396" s="39">
        <f>IF('Additional Videos'!B396 = "", "", IF('Additional Videos-WUO_ERR'!A396 = "", "Validated", HYPERLINK("#" &amp; ADDRESS(396, 'Additional Videos-WUO_TRK'!A396),_xlfn.TEXTAFTER('Additional Videos-WUO_ERR'!A396, ":"))))</f>
        <v>0</v>
      </c>
    </row>
    <row r="397" spans="1:1">
      <c r="A397" s="39">
        <f>IF('Additional Videos'!B397 = "", "", IF('Additional Videos-WUO_ERR'!A397 = "", "Validated", HYPERLINK("#" &amp; ADDRESS(397, 'Additional Videos-WUO_TRK'!A397),_xlfn.TEXTAFTER('Additional Videos-WUO_ERR'!A397, ":"))))</f>
        <v>0</v>
      </c>
    </row>
    <row r="398" spans="1:1">
      <c r="A398" s="39">
        <f>IF('Additional Videos'!B398 = "", "", IF('Additional Videos-WUO_ERR'!A398 = "", "Validated", HYPERLINK("#" &amp; ADDRESS(398, 'Additional Videos-WUO_TRK'!A398),_xlfn.TEXTAFTER('Additional Videos-WUO_ERR'!A398, ":"))))</f>
        <v>0</v>
      </c>
    </row>
    <row r="399" spans="1:1">
      <c r="A399" s="39">
        <f>IF('Additional Videos'!B399 = "", "", IF('Additional Videos-WUO_ERR'!A399 = "", "Validated", HYPERLINK("#" &amp; ADDRESS(399, 'Additional Videos-WUO_TRK'!A399),_xlfn.TEXTAFTER('Additional Videos-WUO_ERR'!A399, ":"))))</f>
        <v>0</v>
      </c>
    </row>
    <row r="400" spans="1:1">
      <c r="A400" s="39">
        <f>IF('Additional Videos'!B400 = "", "", IF('Additional Videos-WUO_ERR'!A400 = "", "Validated", HYPERLINK("#" &amp; ADDRESS(400, 'Additional Videos-WUO_TRK'!A400),_xlfn.TEXTAFTER('Additional Videos-WUO_ERR'!A400, ":"))))</f>
        <v>0</v>
      </c>
    </row>
    <row r="401" spans="1:1">
      <c r="A401" s="39">
        <f>IF('Additional Videos'!B401 = "", "", IF('Additional Videos-WUO_ERR'!A401 = "", "Validated", HYPERLINK("#" &amp; ADDRESS(401, 'Additional Videos-WUO_TRK'!A401),_xlfn.TEXTAFTER('Additional Videos-WUO_ERR'!A401, ":"))))</f>
        <v>0</v>
      </c>
    </row>
    <row r="402" spans="1:1">
      <c r="A402" s="39">
        <f>IF('Additional Videos'!B402 = "", "", IF('Additional Videos-WUO_ERR'!A402 = "", "Validated", HYPERLINK("#" &amp; ADDRESS(402, 'Additional Videos-WUO_TRK'!A402),_xlfn.TEXTAFTER('Additional Videos-WUO_ERR'!A402, ":"))))</f>
        <v>0</v>
      </c>
    </row>
    <row r="403" spans="1:1">
      <c r="A403" s="39">
        <f>IF('Additional Videos'!B403 = "", "", IF('Additional Videos-WUO_ERR'!A403 = "", "Validated", HYPERLINK("#" &amp; ADDRESS(403, 'Additional Videos-WUO_TRK'!A403),_xlfn.TEXTAFTER('Additional Videos-WUO_ERR'!A403, ":"))))</f>
        <v>0</v>
      </c>
    </row>
    <row r="404" spans="1:1">
      <c r="A404" s="39">
        <f>IF('Additional Videos'!B404 = "", "", IF('Additional Videos-WUO_ERR'!A404 = "", "Validated", HYPERLINK("#" &amp; ADDRESS(404, 'Additional Videos-WUO_TRK'!A404),_xlfn.TEXTAFTER('Additional Videos-WUO_ERR'!A404, ":"))))</f>
        <v>0</v>
      </c>
    </row>
    <row r="405" spans="1:1">
      <c r="A405" s="39">
        <f>IF('Additional Videos'!B405 = "", "", IF('Additional Videos-WUO_ERR'!A405 = "", "Validated", HYPERLINK("#" &amp; ADDRESS(405, 'Additional Videos-WUO_TRK'!A405),_xlfn.TEXTAFTER('Additional Videos-WUO_ERR'!A405, ":"))))</f>
        <v>0</v>
      </c>
    </row>
    <row r="406" spans="1:1">
      <c r="A406" s="39">
        <f>IF('Additional Videos'!B406 = "", "", IF('Additional Videos-WUO_ERR'!A406 = "", "Validated", HYPERLINK("#" &amp; ADDRESS(406, 'Additional Videos-WUO_TRK'!A406),_xlfn.TEXTAFTER('Additional Videos-WUO_ERR'!A406, ":"))))</f>
        <v>0</v>
      </c>
    </row>
    <row r="407" spans="1:1">
      <c r="A407" s="39">
        <f>IF('Additional Videos'!B407 = "", "", IF('Additional Videos-WUO_ERR'!A407 = "", "Validated", HYPERLINK("#" &amp; ADDRESS(407, 'Additional Videos-WUO_TRK'!A407),_xlfn.TEXTAFTER('Additional Videos-WUO_ERR'!A407, ":"))))</f>
        <v>0</v>
      </c>
    </row>
    <row r="408" spans="1:1">
      <c r="A408" s="39">
        <f>IF('Additional Videos'!B408 = "", "", IF('Additional Videos-WUO_ERR'!A408 = "", "Validated", HYPERLINK("#" &amp; ADDRESS(408, 'Additional Videos-WUO_TRK'!A408),_xlfn.TEXTAFTER('Additional Videos-WUO_ERR'!A408, ":"))))</f>
        <v>0</v>
      </c>
    </row>
    <row r="409" spans="1:1">
      <c r="A409" s="39">
        <f>IF('Additional Videos'!B409 = "", "", IF('Additional Videos-WUO_ERR'!A409 = "", "Validated", HYPERLINK("#" &amp; ADDRESS(409, 'Additional Videos-WUO_TRK'!A409),_xlfn.TEXTAFTER('Additional Videos-WUO_ERR'!A409, ":"))))</f>
        <v>0</v>
      </c>
    </row>
    <row r="410" spans="1:1">
      <c r="A410" s="39">
        <f>IF('Additional Videos'!B410 = "", "", IF('Additional Videos-WUO_ERR'!A410 = "", "Validated", HYPERLINK("#" &amp; ADDRESS(410, 'Additional Videos-WUO_TRK'!A410),_xlfn.TEXTAFTER('Additional Videos-WUO_ERR'!A410, ":"))))</f>
        <v>0</v>
      </c>
    </row>
    <row r="411" spans="1:1">
      <c r="A411" s="39">
        <f>IF('Additional Videos'!B411 = "", "", IF('Additional Videos-WUO_ERR'!A411 = "", "Validated", HYPERLINK("#" &amp; ADDRESS(411, 'Additional Videos-WUO_TRK'!A411),_xlfn.TEXTAFTER('Additional Videos-WUO_ERR'!A411, ":"))))</f>
        <v>0</v>
      </c>
    </row>
    <row r="412" spans="1:1">
      <c r="A412" s="39">
        <f>IF('Additional Videos'!B412 = "", "", IF('Additional Videos-WUO_ERR'!A412 = "", "Validated", HYPERLINK("#" &amp; ADDRESS(412, 'Additional Videos-WUO_TRK'!A412),_xlfn.TEXTAFTER('Additional Videos-WUO_ERR'!A412, ":"))))</f>
        <v>0</v>
      </c>
    </row>
    <row r="413" spans="1:1">
      <c r="A413" s="39">
        <f>IF('Additional Videos'!B413 = "", "", IF('Additional Videos-WUO_ERR'!A413 = "", "Validated", HYPERLINK("#" &amp; ADDRESS(413, 'Additional Videos-WUO_TRK'!A413),_xlfn.TEXTAFTER('Additional Videos-WUO_ERR'!A413, ":"))))</f>
        <v>0</v>
      </c>
    </row>
    <row r="414" spans="1:1">
      <c r="A414" s="39">
        <f>IF('Additional Videos'!B414 = "", "", IF('Additional Videos-WUO_ERR'!A414 = "", "Validated", HYPERLINK("#" &amp; ADDRESS(414, 'Additional Videos-WUO_TRK'!A414),_xlfn.TEXTAFTER('Additional Videos-WUO_ERR'!A414, ":"))))</f>
        <v>0</v>
      </c>
    </row>
    <row r="415" spans="1:1">
      <c r="A415" s="39">
        <f>IF('Additional Videos'!B415 = "", "", IF('Additional Videos-WUO_ERR'!A415 = "", "Validated", HYPERLINK("#" &amp; ADDRESS(415, 'Additional Videos-WUO_TRK'!A415),_xlfn.TEXTAFTER('Additional Videos-WUO_ERR'!A415, ":"))))</f>
        <v>0</v>
      </c>
    </row>
    <row r="416" spans="1:1">
      <c r="A416" s="39">
        <f>IF('Additional Videos'!B416 = "", "", IF('Additional Videos-WUO_ERR'!A416 = "", "Validated", HYPERLINK("#" &amp; ADDRESS(416, 'Additional Videos-WUO_TRK'!A416),_xlfn.TEXTAFTER('Additional Videos-WUO_ERR'!A416, ":"))))</f>
        <v>0</v>
      </c>
    </row>
    <row r="417" spans="1:1">
      <c r="A417" s="39">
        <f>IF('Additional Videos'!B417 = "", "", IF('Additional Videos-WUO_ERR'!A417 = "", "Validated", HYPERLINK("#" &amp; ADDRESS(417, 'Additional Videos-WUO_TRK'!A417),_xlfn.TEXTAFTER('Additional Videos-WUO_ERR'!A417, ":"))))</f>
        <v>0</v>
      </c>
    </row>
    <row r="418" spans="1:1">
      <c r="A418" s="39">
        <f>IF('Additional Videos'!B418 = "", "", IF('Additional Videos-WUO_ERR'!A418 = "", "Validated", HYPERLINK("#" &amp; ADDRESS(418, 'Additional Videos-WUO_TRK'!A418),_xlfn.TEXTAFTER('Additional Videos-WUO_ERR'!A418, ":"))))</f>
        <v>0</v>
      </c>
    </row>
    <row r="419" spans="1:1">
      <c r="A419" s="39">
        <f>IF('Additional Videos'!B419 = "", "", IF('Additional Videos-WUO_ERR'!A419 = "", "Validated", HYPERLINK("#" &amp; ADDRESS(419, 'Additional Videos-WUO_TRK'!A419),_xlfn.TEXTAFTER('Additional Videos-WUO_ERR'!A419, ":"))))</f>
        <v>0</v>
      </c>
    </row>
    <row r="420" spans="1:1">
      <c r="A420" s="39">
        <f>IF('Additional Videos'!B420 = "", "", IF('Additional Videos-WUO_ERR'!A420 = "", "Validated", HYPERLINK("#" &amp; ADDRESS(420, 'Additional Videos-WUO_TRK'!A420),_xlfn.TEXTAFTER('Additional Videos-WUO_ERR'!A420, ":"))))</f>
        <v>0</v>
      </c>
    </row>
    <row r="421" spans="1:1">
      <c r="A421" s="39">
        <f>IF('Additional Videos'!B421 = "", "", IF('Additional Videos-WUO_ERR'!A421 = "", "Validated", HYPERLINK("#" &amp; ADDRESS(421, 'Additional Videos-WUO_TRK'!A421),_xlfn.TEXTAFTER('Additional Videos-WUO_ERR'!A421, ":"))))</f>
        <v>0</v>
      </c>
    </row>
    <row r="422" spans="1:1">
      <c r="A422" s="39">
        <f>IF('Additional Videos'!B422 = "", "", IF('Additional Videos-WUO_ERR'!A422 = "", "Validated", HYPERLINK("#" &amp; ADDRESS(422, 'Additional Videos-WUO_TRK'!A422),_xlfn.TEXTAFTER('Additional Videos-WUO_ERR'!A422, ":"))))</f>
        <v>0</v>
      </c>
    </row>
    <row r="423" spans="1:1">
      <c r="A423" s="39">
        <f>IF('Additional Videos'!B423 = "", "", IF('Additional Videos-WUO_ERR'!A423 = "", "Validated", HYPERLINK("#" &amp; ADDRESS(423, 'Additional Videos-WUO_TRK'!A423),_xlfn.TEXTAFTER('Additional Videos-WUO_ERR'!A423, ":"))))</f>
        <v>0</v>
      </c>
    </row>
    <row r="424" spans="1:1">
      <c r="A424" s="39">
        <f>IF('Additional Videos'!B424 = "", "", IF('Additional Videos-WUO_ERR'!A424 = "", "Validated", HYPERLINK("#" &amp; ADDRESS(424, 'Additional Videos-WUO_TRK'!A424),_xlfn.TEXTAFTER('Additional Videos-WUO_ERR'!A424, ":"))))</f>
        <v>0</v>
      </c>
    </row>
    <row r="425" spans="1:1">
      <c r="A425" s="39">
        <f>IF('Additional Videos'!B425 = "", "", IF('Additional Videos-WUO_ERR'!A425 = "", "Validated", HYPERLINK("#" &amp; ADDRESS(425, 'Additional Videos-WUO_TRK'!A425),_xlfn.TEXTAFTER('Additional Videos-WUO_ERR'!A425, ":"))))</f>
        <v>0</v>
      </c>
    </row>
    <row r="426" spans="1:1">
      <c r="A426" s="39">
        <f>IF('Additional Videos'!B426 = "", "", IF('Additional Videos-WUO_ERR'!A426 = "", "Validated", HYPERLINK("#" &amp; ADDRESS(426, 'Additional Videos-WUO_TRK'!A426),_xlfn.TEXTAFTER('Additional Videos-WUO_ERR'!A426, ":"))))</f>
        <v>0</v>
      </c>
    </row>
    <row r="427" spans="1:1">
      <c r="A427" s="39">
        <f>IF('Additional Videos'!B427 = "", "", IF('Additional Videos-WUO_ERR'!A427 = "", "Validated", HYPERLINK("#" &amp; ADDRESS(427, 'Additional Videos-WUO_TRK'!A427),_xlfn.TEXTAFTER('Additional Videos-WUO_ERR'!A427, ":"))))</f>
        <v>0</v>
      </c>
    </row>
    <row r="428" spans="1:1">
      <c r="A428" s="39">
        <f>IF('Additional Videos'!B428 = "", "", IF('Additional Videos-WUO_ERR'!A428 = "", "Validated", HYPERLINK("#" &amp; ADDRESS(428, 'Additional Videos-WUO_TRK'!A428),_xlfn.TEXTAFTER('Additional Videos-WUO_ERR'!A428, ":"))))</f>
        <v>0</v>
      </c>
    </row>
    <row r="429" spans="1:1">
      <c r="A429" s="39">
        <f>IF('Additional Videos'!B429 = "", "", IF('Additional Videos-WUO_ERR'!A429 = "", "Validated", HYPERLINK("#" &amp; ADDRESS(429, 'Additional Videos-WUO_TRK'!A429),_xlfn.TEXTAFTER('Additional Videos-WUO_ERR'!A429, ":"))))</f>
        <v>0</v>
      </c>
    </row>
    <row r="430" spans="1:1">
      <c r="A430" s="39">
        <f>IF('Additional Videos'!B430 = "", "", IF('Additional Videos-WUO_ERR'!A430 = "", "Validated", HYPERLINK("#" &amp; ADDRESS(430, 'Additional Videos-WUO_TRK'!A430),_xlfn.TEXTAFTER('Additional Videos-WUO_ERR'!A430, ":"))))</f>
        <v>0</v>
      </c>
    </row>
    <row r="431" spans="1:1">
      <c r="A431" s="39">
        <f>IF('Additional Videos'!B431 = "", "", IF('Additional Videos-WUO_ERR'!A431 = "", "Validated", HYPERLINK("#" &amp; ADDRESS(431, 'Additional Videos-WUO_TRK'!A431),_xlfn.TEXTAFTER('Additional Videos-WUO_ERR'!A431, ":"))))</f>
        <v>0</v>
      </c>
    </row>
    <row r="432" spans="1:1">
      <c r="A432" s="39">
        <f>IF('Additional Videos'!B432 = "", "", IF('Additional Videos-WUO_ERR'!A432 = "", "Validated", HYPERLINK("#" &amp; ADDRESS(432, 'Additional Videos-WUO_TRK'!A432),_xlfn.TEXTAFTER('Additional Videos-WUO_ERR'!A432, ":"))))</f>
        <v>0</v>
      </c>
    </row>
    <row r="433" spans="1:1">
      <c r="A433" s="39">
        <f>IF('Additional Videos'!B433 = "", "", IF('Additional Videos-WUO_ERR'!A433 = "", "Validated", HYPERLINK("#" &amp; ADDRESS(433, 'Additional Videos-WUO_TRK'!A433),_xlfn.TEXTAFTER('Additional Videos-WUO_ERR'!A433, ":"))))</f>
        <v>0</v>
      </c>
    </row>
    <row r="434" spans="1:1">
      <c r="A434" s="39">
        <f>IF('Additional Videos'!B434 = "", "", IF('Additional Videos-WUO_ERR'!A434 = "", "Validated", HYPERLINK("#" &amp; ADDRESS(434, 'Additional Videos-WUO_TRK'!A434),_xlfn.TEXTAFTER('Additional Videos-WUO_ERR'!A434, ":"))))</f>
        <v>0</v>
      </c>
    </row>
    <row r="435" spans="1:1">
      <c r="A435" s="39">
        <f>IF('Additional Videos'!B435 = "", "", IF('Additional Videos-WUO_ERR'!A435 = "", "Validated", HYPERLINK("#" &amp; ADDRESS(435, 'Additional Videos-WUO_TRK'!A435),_xlfn.TEXTAFTER('Additional Videos-WUO_ERR'!A435, ":"))))</f>
        <v>0</v>
      </c>
    </row>
    <row r="436" spans="1:1">
      <c r="A436" s="39">
        <f>IF('Additional Videos'!B436 = "", "", IF('Additional Videos-WUO_ERR'!A436 = "", "Validated", HYPERLINK("#" &amp; ADDRESS(436, 'Additional Videos-WUO_TRK'!A436),_xlfn.TEXTAFTER('Additional Videos-WUO_ERR'!A436, ":"))))</f>
        <v>0</v>
      </c>
    </row>
    <row r="437" spans="1:1">
      <c r="A437" s="39">
        <f>IF('Additional Videos'!B437 = "", "", IF('Additional Videos-WUO_ERR'!A437 = "", "Validated", HYPERLINK("#" &amp; ADDRESS(437, 'Additional Videos-WUO_TRK'!A437),_xlfn.TEXTAFTER('Additional Videos-WUO_ERR'!A437, ":"))))</f>
        <v>0</v>
      </c>
    </row>
    <row r="438" spans="1:1">
      <c r="A438" s="39">
        <f>IF('Additional Videos'!B438 = "", "", IF('Additional Videos-WUO_ERR'!A438 = "", "Validated", HYPERLINK("#" &amp; ADDRESS(438, 'Additional Videos-WUO_TRK'!A438),_xlfn.TEXTAFTER('Additional Videos-WUO_ERR'!A438, ":"))))</f>
        <v>0</v>
      </c>
    </row>
    <row r="439" spans="1:1">
      <c r="A439" s="39">
        <f>IF('Additional Videos'!B439 = "", "", IF('Additional Videos-WUO_ERR'!A439 = "", "Validated", HYPERLINK("#" &amp; ADDRESS(439, 'Additional Videos-WUO_TRK'!A439),_xlfn.TEXTAFTER('Additional Videos-WUO_ERR'!A439, ":"))))</f>
        <v>0</v>
      </c>
    </row>
    <row r="440" spans="1:1">
      <c r="A440" s="39">
        <f>IF('Additional Videos'!B440 = "", "", IF('Additional Videos-WUO_ERR'!A440 = "", "Validated", HYPERLINK("#" &amp; ADDRESS(440, 'Additional Videos-WUO_TRK'!A440),_xlfn.TEXTAFTER('Additional Videos-WUO_ERR'!A440, ":"))))</f>
        <v>0</v>
      </c>
    </row>
    <row r="441" spans="1:1">
      <c r="A441" s="39">
        <f>IF('Additional Videos'!B441 = "", "", IF('Additional Videos-WUO_ERR'!A441 = "", "Validated", HYPERLINK("#" &amp; ADDRESS(441, 'Additional Videos-WUO_TRK'!A441),_xlfn.TEXTAFTER('Additional Videos-WUO_ERR'!A441, ":"))))</f>
        <v>0</v>
      </c>
    </row>
    <row r="442" spans="1:1">
      <c r="A442" s="39">
        <f>IF('Additional Videos'!B442 = "", "", IF('Additional Videos-WUO_ERR'!A442 = "", "Validated", HYPERLINK("#" &amp; ADDRESS(442, 'Additional Videos-WUO_TRK'!A442),_xlfn.TEXTAFTER('Additional Videos-WUO_ERR'!A442, ":"))))</f>
        <v>0</v>
      </c>
    </row>
    <row r="443" spans="1:1">
      <c r="A443" s="39">
        <f>IF('Additional Videos'!B443 = "", "", IF('Additional Videos-WUO_ERR'!A443 = "", "Validated", HYPERLINK("#" &amp; ADDRESS(443, 'Additional Videos-WUO_TRK'!A443),_xlfn.TEXTAFTER('Additional Videos-WUO_ERR'!A443, ":"))))</f>
        <v>0</v>
      </c>
    </row>
    <row r="444" spans="1:1">
      <c r="A444" s="39">
        <f>IF('Additional Videos'!B444 = "", "", IF('Additional Videos-WUO_ERR'!A444 = "", "Validated", HYPERLINK("#" &amp; ADDRESS(444, 'Additional Videos-WUO_TRK'!A444),_xlfn.TEXTAFTER('Additional Videos-WUO_ERR'!A444, ":"))))</f>
        <v>0</v>
      </c>
    </row>
    <row r="445" spans="1:1">
      <c r="A445" s="39">
        <f>IF('Additional Videos'!B445 = "", "", IF('Additional Videos-WUO_ERR'!A445 = "", "Validated", HYPERLINK("#" &amp; ADDRESS(445, 'Additional Videos-WUO_TRK'!A445),_xlfn.TEXTAFTER('Additional Videos-WUO_ERR'!A445, ":"))))</f>
        <v>0</v>
      </c>
    </row>
    <row r="446" spans="1:1">
      <c r="A446" s="39">
        <f>IF('Additional Videos'!B446 = "", "", IF('Additional Videos-WUO_ERR'!A446 = "", "Validated", HYPERLINK("#" &amp; ADDRESS(446, 'Additional Videos-WUO_TRK'!A446),_xlfn.TEXTAFTER('Additional Videos-WUO_ERR'!A446, ":"))))</f>
        <v>0</v>
      </c>
    </row>
    <row r="447" spans="1:1">
      <c r="A447" s="39">
        <f>IF('Additional Videos'!B447 = "", "", IF('Additional Videos-WUO_ERR'!A447 = "", "Validated", HYPERLINK("#" &amp; ADDRESS(447, 'Additional Videos-WUO_TRK'!A447),_xlfn.TEXTAFTER('Additional Videos-WUO_ERR'!A447, ":"))))</f>
        <v>0</v>
      </c>
    </row>
    <row r="448" spans="1:1">
      <c r="A448" s="39">
        <f>IF('Additional Videos'!B448 = "", "", IF('Additional Videos-WUO_ERR'!A448 = "", "Validated", HYPERLINK("#" &amp; ADDRESS(448, 'Additional Videos-WUO_TRK'!A448),_xlfn.TEXTAFTER('Additional Videos-WUO_ERR'!A448, ":"))))</f>
        <v>0</v>
      </c>
    </row>
    <row r="449" spans="1:1">
      <c r="A449" s="39">
        <f>IF('Additional Videos'!B449 = "", "", IF('Additional Videos-WUO_ERR'!A449 = "", "Validated", HYPERLINK("#" &amp; ADDRESS(449, 'Additional Videos-WUO_TRK'!A449),_xlfn.TEXTAFTER('Additional Videos-WUO_ERR'!A449, ":"))))</f>
        <v>0</v>
      </c>
    </row>
    <row r="450" spans="1:1">
      <c r="A450" s="39">
        <f>IF('Additional Videos'!B450 = "", "", IF('Additional Videos-WUO_ERR'!A450 = "", "Validated", HYPERLINK("#" &amp; ADDRESS(450, 'Additional Videos-WUO_TRK'!A450),_xlfn.TEXTAFTER('Additional Videos-WUO_ERR'!A450, ":"))))</f>
        <v>0</v>
      </c>
    </row>
    <row r="451" spans="1:1">
      <c r="A451" s="39">
        <f>IF('Additional Videos'!B451 = "", "", IF('Additional Videos-WUO_ERR'!A451 = "", "Validated", HYPERLINK("#" &amp; ADDRESS(451, 'Additional Videos-WUO_TRK'!A451),_xlfn.TEXTAFTER('Additional Videos-WUO_ERR'!A451, ":"))))</f>
        <v>0</v>
      </c>
    </row>
    <row r="452" spans="1:1">
      <c r="A452" s="39">
        <f>IF('Additional Videos'!B452 = "", "", IF('Additional Videos-WUO_ERR'!A452 = "", "Validated", HYPERLINK("#" &amp; ADDRESS(452, 'Additional Videos-WUO_TRK'!A452),_xlfn.TEXTAFTER('Additional Videos-WUO_ERR'!A452, ":"))))</f>
        <v>0</v>
      </c>
    </row>
    <row r="453" spans="1:1">
      <c r="A453" s="39">
        <f>IF('Additional Videos'!B453 = "", "", IF('Additional Videos-WUO_ERR'!A453 = "", "Validated", HYPERLINK("#" &amp; ADDRESS(453, 'Additional Videos-WUO_TRK'!A453),_xlfn.TEXTAFTER('Additional Videos-WUO_ERR'!A453, ":"))))</f>
        <v>0</v>
      </c>
    </row>
    <row r="454" spans="1:1">
      <c r="A454" s="39">
        <f>IF('Additional Videos'!B454 = "", "", IF('Additional Videos-WUO_ERR'!A454 = "", "Validated", HYPERLINK("#" &amp; ADDRESS(454, 'Additional Videos-WUO_TRK'!A454),_xlfn.TEXTAFTER('Additional Videos-WUO_ERR'!A454, ":"))))</f>
        <v>0</v>
      </c>
    </row>
    <row r="455" spans="1:1">
      <c r="A455" s="39">
        <f>IF('Additional Videos'!B455 = "", "", IF('Additional Videos-WUO_ERR'!A455 = "", "Validated", HYPERLINK("#" &amp; ADDRESS(455, 'Additional Videos-WUO_TRK'!A455),_xlfn.TEXTAFTER('Additional Videos-WUO_ERR'!A455, ":"))))</f>
        <v>0</v>
      </c>
    </row>
    <row r="456" spans="1:1">
      <c r="A456" s="39">
        <f>IF('Additional Videos'!B456 = "", "", IF('Additional Videos-WUO_ERR'!A456 = "", "Validated", HYPERLINK("#" &amp; ADDRESS(456, 'Additional Videos-WUO_TRK'!A456),_xlfn.TEXTAFTER('Additional Videos-WUO_ERR'!A456, ":"))))</f>
        <v>0</v>
      </c>
    </row>
    <row r="457" spans="1:1">
      <c r="A457" s="39">
        <f>IF('Additional Videos'!B457 = "", "", IF('Additional Videos-WUO_ERR'!A457 = "", "Validated", HYPERLINK("#" &amp; ADDRESS(457, 'Additional Videos-WUO_TRK'!A457),_xlfn.TEXTAFTER('Additional Videos-WUO_ERR'!A457, ":"))))</f>
        <v>0</v>
      </c>
    </row>
    <row r="458" spans="1:1">
      <c r="A458" s="39">
        <f>IF('Additional Videos'!B458 = "", "", IF('Additional Videos-WUO_ERR'!A458 = "", "Validated", HYPERLINK("#" &amp; ADDRESS(458, 'Additional Videos-WUO_TRK'!A458),_xlfn.TEXTAFTER('Additional Videos-WUO_ERR'!A458, ":"))))</f>
        <v>0</v>
      </c>
    </row>
    <row r="459" spans="1:1">
      <c r="A459" s="39">
        <f>IF('Additional Videos'!B459 = "", "", IF('Additional Videos-WUO_ERR'!A459 = "", "Validated", HYPERLINK("#" &amp; ADDRESS(459, 'Additional Videos-WUO_TRK'!A459),_xlfn.TEXTAFTER('Additional Videos-WUO_ERR'!A459, ":"))))</f>
        <v>0</v>
      </c>
    </row>
    <row r="460" spans="1:1">
      <c r="A460" s="39">
        <f>IF('Additional Videos'!B460 = "", "", IF('Additional Videos-WUO_ERR'!A460 = "", "Validated", HYPERLINK("#" &amp; ADDRESS(460, 'Additional Videos-WUO_TRK'!A460),_xlfn.TEXTAFTER('Additional Videos-WUO_ERR'!A460, ":"))))</f>
        <v>0</v>
      </c>
    </row>
    <row r="461" spans="1:1">
      <c r="A461" s="39">
        <f>IF('Additional Videos'!B461 = "", "", IF('Additional Videos-WUO_ERR'!A461 = "", "Validated", HYPERLINK("#" &amp; ADDRESS(461, 'Additional Videos-WUO_TRK'!A461),_xlfn.TEXTAFTER('Additional Videos-WUO_ERR'!A461, ":"))))</f>
        <v>0</v>
      </c>
    </row>
    <row r="462" spans="1:1">
      <c r="A462" s="39">
        <f>IF('Additional Videos'!B462 = "", "", IF('Additional Videos-WUO_ERR'!A462 = "", "Validated", HYPERLINK("#" &amp; ADDRESS(462, 'Additional Videos-WUO_TRK'!A462),_xlfn.TEXTAFTER('Additional Videos-WUO_ERR'!A462, ":"))))</f>
        <v>0</v>
      </c>
    </row>
    <row r="463" spans="1:1">
      <c r="A463" s="39">
        <f>IF('Additional Videos'!B463 = "", "", IF('Additional Videos-WUO_ERR'!A463 = "", "Validated", HYPERLINK("#" &amp; ADDRESS(463, 'Additional Videos-WUO_TRK'!A463),_xlfn.TEXTAFTER('Additional Videos-WUO_ERR'!A463, ":"))))</f>
        <v>0</v>
      </c>
    </row>
    <row r="464" spans="1:1">
      <c r="A464" s="39">
        <f>IF('Additional Videos'!B464 = "", "", IF('Additional Videos-WUO_ERR'!A464 = "", "Validated", HYPERLINK("#" &amp; ADDRESS(464, 'Additional Videos-WUO_TRK'!A464),_xlfn.TEXTAFTER('Additional Videos-WUO_ERR'!A464, ":"))))</f>
        <v>0</v>
      </c>
    </row>
    <row r="465" spans="1:1">
      <c r="A465" s="39">
        <f>IF('Additional Videos'!B465 = "", "", IF('Additional Videos-WUO_ERR'!A465 = "", "Validated", HYPERLINK("#" &amp; ADDRESS(465, 'Additional Videos-WUO_TRK'!A465),_xlfn.TEXTAFTER('Additional Videos-WUO_ERR'!A465, ":"))))</f>
        <v>0</v>
      </c>
    </row>
    <row r="466" spans="1:1">
      <c r="A466" s="39">
        <f>IF('Additional Videos'!B466 = "", "", IF('Additional Videos-WUO_ERR'!A466 = "", "Validated", HYPERLINK("#" &amp; ADDRESS(466, 'Additional Videos-WUO_TRK'!A466),_xlfn.TEXTAFTER('Additional Videos-WUO_ERR'!A466, ":"))))</f>
        <v>0</v>
      </c>
    </row>
    <row r="467" spans="1:1">
      <c r="A467" s="39">
        <f>IF('Additional Videos'!B467 = "", "", IF('Additional Videos-WUO_ERR'!A467 = "", "Validated", HYPERLINK("#" &amp; ADDRESS(467, 'Additional Videos-WUO_TRK'!A467),_xlfn.TEXTAFTER('Additional Videos-WUO_ERR'!A467, ":"))))</f>
        <v>0</v>
      </c>
    </row>
    <row r="468" spans="1:1">
      <c r="A468" s="39">
        <f>IF('Additional Videos'!B468 = "", "", IF('Additional Videos-WUO_ERR'!A468 = "", "Validated", HYPERLINK("#" &amp; ADDRESS(468, 'Additional Videos-WUO_TRK'!A468),_xlfn.TEXTAFTER('Additional Videos-WUO_ERR'!A468, ":"))))</f>
        <v>0</v>
      </c>
    </row>
    <row r="469" spans="1:1">
      <c r="A469" s="39">
        <f>IF('Additional Videos'!B469 = "", "", IF('Additional Videos-WUO_ERR'!A469 = "", "Validated", HYPERLINK("#" &amp; ADDRESS(469, 'Additional Videos-WUO_TRK'!A469),_xlfn.TEXTAFTER('Additional Videos-WUO_ERR'!A469, ":"))))</f>
        <v>0</v>
      </c>
    </row>
    <row r="470" spans="1:1">
      <c r="A470" s="39">
        <f>IF('Additional Videos'!B470 = "", "", IF('Additional Videos-WUO_ERR'!A470 = "", "Validated", HYPERLINK("#" &amp; ADDRESS(470, 'Additional Videos-WUO_TRK'!A470),_xlfn.TEXTAFTER('Additional Videos-WUO_ERR'!A470, ":"))))</f>
        <v>0</v>
      </c>
    </row>
    <row r="471" spans="1:1">
      <c r="A471" s="39">
        <f>IF('Additional Videos'!B471 = "", "", IF('Additional Videos-WUO_ERR'!A471 = "", "Validated", HYPERLINK("#" &amp; ADDRESS(471, 'Additional Videos-WUO_TRK'!A471),_xlfn.TEXTAFTER('Additional Videos-WUO_ERR'!A471, ":"))))</f>
        <v>0</v>
      </c>
    </row>
    <row r="472" spans="1:1">
      <c r="A472" s="39">
        <f>IF('Additional Videos'!B472 = "", "", IF('Additional Videos-WUO_ERR'!A472 = "", "Validated", HYPERLINK("#" &amp; ADDRESS(472, 'Additional Videos-WUO_TRK'!A472),_xlfn.TEXTAFTER('Additional Videos-WUO_ERR'!A472, ":"))))</f>
        <v>0</v>
      </c>
    </row>
    <row r="473" spans="1:1">
      <c r="A473" s="39">
        <f>IF('Additional Videos'!B473 = "", "", IF('Additional Videos-WUO_ERR'!A473 = "", "Validated", HYPERLINK("#" &amp; ADDRESS(473, 'Additional Videos-WUO_TRK'!A473),_xlfn.TEXTAFTER('Additional Videos-WUO_ERR'!A473, ":"))))</f>
        <v>0</v>
      </c>
    </row>
    <row r="474" spans="1:1">
      <c r="A474" s="39">
        <f>IF('Additional Videos'!B474 = "", "", IF('Additional Videos-WUO_ERR'!A474 = "", "Validated", HYPERLINK("#" &amp; ADDRESS(474, 'Additional Videos-WUO_TRK'!A474),_xlfn.TEXTAFTER('Additional Videos-WUO_ERR'!A474, ":"))))</f>
        <v>0</v>
      </c>
    </row>
    <row r="475" spans="1:1">
      <c r="A475" s="39">
        <f>IF('Additional Videos'!B475 = "", "", IF('Additional Videos-WUO_ERR'!A475 = "", "Validated", HYPERLINK("#" &amp; ADDRESS(475, 'Additional Videos-WUO_TRK'!A475),_xlfn.TEXTAFTER('Additional Videos-WUO_ERR'!A475, ":"))))</f>
        <v>0</v>
      </c>
    </row>
    <row r="476" spans="1:1">
      <c r="A476" s="39">
        <f>IF('Additional Videos'!B476 = "", "", IF('Additional Videos-WUO_ERR'!A476 = "", "Validated", HYPERLINK("#" &amp; ADDRESS(476, 'Additional Videos-WUO_TRK'!A476),_xlfn.TEXTAFTER('Additional Videos-WUO_ERR'!A476, ":"))))</f>
        <v>0</v>
      </c>
    </row>
    <row r="477" spans="1:1">
      <c r="A477" s="39">
        <f>IF('Additional Videos'!B477 = "", "", IF('Additional Videos-WUO_ERR'!A477 = "", "Validated", HYPERLINK("#" &amp; ADDRESS(477, 'Additional Videos-WUO_TRK'!A477),_xlfn.TEXTAFTER('Additional Videos-WUO_ERR'!A477, ":"))))</f>
        <v>0</v>
      </c>
    </row>
    <row r="478" spans="1:1">
      <c r="A478" s="39">
        <f>IF('Additional Videos'!B478 = "", "", IF('Additional Videos-WUO_ERR'!A478 = "", "Validated", HYPERLINK("#" &amp; ADDRESS(478, 'Additional Videos-WUO_TRK'!A478),_xlfn.TEXTAFTER('Additional Videos-WUO_ERR'!A478, ":"))))</f>
        <v>0</v>
      </c>
    </row>
    <row r="479" spans="1:1">
      <c r="A479" s="39">
        <f>IF('Additional Videos'!B479 = "", "", IF('Additional Videos-WUO_ERR'!A479 = "", "Validated", HYPERLINK("#" &amp; ADDRESS(479, 'Additional Videos-WUO_TRK'!A479),_xlfn.TEXTAFTER('Additional Videos-WUO_ERR'!A479, ":"))))</f>
        <v>0</v>
      </c>
    </row>
    <row r="480" spans="1:1">
      <c r="A480" s="39">
        <f>IF('Additional Videos'!B480 = "", "", IF('Additional Videos-WUO_ERR'!A480 = "", "Validated", HYPERLINK("#" &amp; ADDRESS(480, 'Additional Videos-WUO_TRK'!A480),_xlfn.TEXTAFTER('Additional Videos-WUO_ERR'!A480, ":"))))</f>
        <v>0</v>
      </c>
    </row>
    <row r="481" spans="1:1">
      <c r="A481" s="39">
        <f>IF('Additional Videos'!B481 = "", "", IF('Additional Videos-WUO_ERR'!A481 = "", "Validated", HYPERLINK("#" &amp; ADDRESS(481, 'Additional Videos-WUO_TRK'!A481),_xlfn.TEXTAFTER('Additional Videos-WUO_ERR'!A481, ":"))))</f>
        <v>0</v>
      </c>
    </row>
    <row r="482" spans="1:1">
      <c r="A482" s="39">
        <f>IF('Additional Videos'!B482 = "", "", IF('Additional Videos-WUO_ERR'!A482 = "", "Validated", HYPERLINK("#" &amp; ADDRESS(482, 'Additional Videos-WUO_TRK'!A482),_xlfn.TEXTAFTER('Additional Videos-WUO_ERR'!A482, ":"))))</f>
        <v>0</v>
      </c>
    </row>
    <row r="483" spans="1:1">
      <c r="A483" s="39">
        <f>IF('Additional Videos'!B483 = "", "", IF('Additional Videos-WUO_ERR'!A483 = "", "Validated", HYPERLINK("#" &amp; ADDRESS(483, 'Additional Videos-WUO_TRK'!A483),_xlfn.TEXTAFTER('Additional Videos-WUO_ERR'!A483, ":"))))</f>
        <v>0</v>
      </c>
    </row>
    <row r="484" spans="1:1">
      <c r="A484" s="39">
        <f>IF('Additional Videos'!B484 = "", "", IF('Additional Videos-WUO_ERR'!A484 = "", "Validated", HYPERLINK("#" &amp; ADDRESS(484, 'Additional Videos-WUO_TRK'!A484),_xlfn.TEXTAFTER('Additional Videos-WUO_ERR'!A484, ":"))))</f>
        <v>0</v>
      </c>
    </row>
    <row r="485" spans="1:1">
      <c r="A485" s="39">
        <f>IF('Additional Videos'!B485 = "", "", IF('Additional Videos-WUO_ERR'!A485 = "", "Validated", HYPERLINK("#" &amp; ADDRESS(485, 'Additional Videos-WUO_TRK'!A485),_xlfn.TEXTAFTER('Additional Videos-WUO_ERR'!A485, ":"))))</f>
        <v>0</v>
      </c>
    </row>
    <row r="486" spans="1:1">
      <c r="A486" s="39">
        <f>IF('Additional Videos'!B486 = "", "", IF('Additional Videos-WUO_ERR'!A486 = "", "Validated", HYPERLINK("#" &amp; ADDRESS(486, 'Additional Videos-WUO_TRK'!A486),_xlfn.TEXTAFTER('Additional Videos-WUO_ERR'!A486, ":"))))</f>
        <v>0</v>
      </c>
    </row>
    <row r="487" spans="1:1">
      <c r="A487" s="39">
        <f>IF('Additional Videos'!B487 = "", "", IF('Additional Videos-WUO_ERR'!A487 = "", "Validated", HYPERLINK("#" &amp; ADDRESS(487, 'Additional Videos-WUO_TRK'!A487),_xlfn.TEXTAFTER('Additional Videos-WUO_ERR'!A487, ":"))))</f>
        <v>0</v>
      </c>
    </row>
    <row r="488" spans="1:1">
      <c r="A488" s="39">
        <f>IF('Additional Videos'!B488 = "", "", IF('Additional Videos-WUO_ERR'!A488 = "", "Validated", HYPERLINK("#" &amp; ADDRESS(488, 'Additional Videos-WUO_TRK'!A488),_xlfn.TEXTAFTER('Additional Videos-WUO_ERR'!A488, ":"))))</f>
        <v>0</v>
      </c>
    </row>
    <row r="489" spans="1:1">
      <c r="A489" s="39">
        <f>IF('Additional Videos'!B489 = "", "", IF('Additional Videos-WUO_ERR'!A489 = "", "Validated", HYPERLINK("#" &amp; ADDRESS(489, 'Additional Videos-WUO_TRK'!A489),_xlfn.TEXTAFTER('Additional Videos-WUO_ERR'!A489, ":"))))</f>
        <v>0</v>
      </c>
    </row>
    <row r="490" spans="1:1">
      <c r="A490" s="39">
        <f>IF('Additional Videos'!B490 = "", "", IF('Additional Videos-WUO_ERR'!A490 = "", "Validated", HYPERLINK("#" &amp; ADDRESS(490, 'Additional Videos-WUO_TRK'!A490),_xlfn.TEXTAFTER('Additional Videos-WUO_ERR'!A490, ":"))))</f>
        <v>0</v>
      </c>
    </row>
    <row r="491" spans="1:1">
      <c r="A491" s="39">
        <f>IF('Additional Videos'!B491 = "", "", IF('Additional Videos-WUO_ERR'!A491 = "", "Validated", HYPERLINK("#" &amp; ADDRESS(491, 'Additional Videos-WUO_TRK'!A491),_xlfn.TEXTAFTER('Additional Videos-WUO_ERR'!A491, ":"))))</f>
        <v>0</v>
      </c>
    </row>
    <row r="492" spans="1:1">
      <c r="A492" s="39">
        <f>IF('Additional Videos'!B492 = "", "", IF('Additional Videos-WUO_ERR'!A492 = "", "Validated", HYPERLINK("#" &amp; ADDRESS(492, 'Additional Videos-WUO_TRK'!A492),_xlfn.TEXTAFTER('Additional Videos-WUO_ERR'!A492, ":"))))</f>
        <v>0</v>
      </c>
    </row>
    <row r="493" spans="1:1">
      <c r="A493" s="39">
        <f>IF('Additional Videos'!B493 = "", "", IF('Additional Videos-WUO_ERR'!A493 = "", "Validated", HYPERLINK("#" &amp; ADDRESS(493, 'Additional Videos-WUO_TRK'!A493),_xlfn.TEXTAFTER('Additional Videos-WUO_ERR'!A493, ":"))))</f>
        <v>0</v>
      </c>
    </row>
    <row r="494" spans="1:1">
      <c r="A494" s="39">
        <f>IF('Additional Videos'!B494 = "", "", IF('Additional Videos-WUO_ERR'!A494 = "", "Validated", HYPERLINK("#" &amp; ADDRESS(494, 'Additional Videos-WUO_TRK'!A494),_xlfn.TEXTAFTER('Additional Videos-WUO_ERR'!A494, ":"))))</f>
        <v>0</v>
      </c>
    </row>
    <row r="495" spans="1:1">
      <c r="A495" s="39">
        <f>IF('Additional Videos'!B495 = "", "", IF('Additional Videos-WUO_ERR'!A495 = "", "Validated", HYPERLINK("#" &amp; ADDRESS(495, 'Additional Videos-WUO_TRK'!A495),_xlfn.TEXTAFTER('Additional Videos-WUO_ERR'!A495, ":"))))</f>
        <v>0</v>
      </c>
    </row>
    <row r="496" spans="1:1">
      <c r="A496" s="39">
        <f>IF('Additional Videos'!B496 = "", "", IF('Additional Videos-WUO_ERR'!A496 = "", "Validated", HYPERLINK("#" &amp; ADDRESS(496, 'Additional Videos-WUO_TRK'!A496),_xlfn.TEXTAFTER('Additional Videos-WUO_ERR'!A496, ":"))))</f>
        <v>0</v>
      </c>
    </row>
    <row r="497" spans="1:1">
      <c r="A497" s="39">
        <f>IF('Additional Videos'!B497 = "", "", IF('Additional Videos-WUO_ERR'!A497 = "", "Validated", HYPERLINK("#" &amp; ADDRESS(497, 'Additional Videos-WUO_TRK'!A497),_xlfn.TEXTAFTER('Additional Videos-WUO_ERR'!A497, ":"))))</f>
        <v>0</v>
      </c>
    </row>
    <row r="498" spans="1:1">
      <c r="A498" s="39">
        <f>IF('Additional Videos'!B498 = "", "", IF('Additional Videos-WUO_ERR'!A498 = "", "Validated", HYPERLINK("#" &amp; ADDRESS(498, 'Additional Videos-WUO_TRK'!A498),_xlfn.TEXTAFTER('Additional Videos-WUO_ERR'!A498, ":"))))</f>
        <v>0</v>
      </c>
    </row>
    <row r="499" spans="1:1">
      <c r="A499" s="39">
        <f>IF('Additional Videos'!B499 = "", "", IF('Additional Videos-WUO_ERR'!A499 = "", "Validated", HYPERLINK("#" &amp; ADDRESS(499, 'Additional Videos-WUO_TRK'!A499),_xlfn.TEXTAFTER('Additional Videos-WUO_ERR'!A499, ":"))))</f>
        <v>0</v>
      </c>
    </row>
    <row r="500" spans="1:1">
      <c r="A500" s="39">
        <f>IF('Additional Videos'!B500 = "", "", IF('Additional Videos-WUO_ERR'!A500 = "", "Validated", HYPERLINK("#" &amp; ADDRESS(500, 'Additional Videos-WUO_TRK'!A500),_xlfn.TEXTAFTER('Additional Videos-WUO_ERR'!A500, ":"))))</f>
        <v>0</v>
      </c>
    </row>
    <row r="501" spans="1:1">
      <c r="A501" s="39">
        <f>IF('Additional Videos'!B501 = "", "", IF('Additional Videos-WUO_ERR'!A501 = "", "Validated", HYPERLINK("#" &amp; ADDRESS(501, 'Additional Videos-WUO_TRK'!A501),_xlfn.TEXTAFTER('Additional Videos-WUO_ERR'!A501, ":"))))</f>
        <v>0</v>
      </c>
    </row>
    <row r="502" spans="1:1">
      <c r="A502" s="39">
        <f>IF('Additional Videos'!B502 = "", "", IF('Additional Videos-WUO_ERR'!A502 = "", "Validated", HYPERLINK("#" &amp; ADDRESS(502, 'Additional Videos-WUO_TRK'!A502),_xlfn.TEXTAFTER('Additional Videos-WUO_ERR'!A502, ":"))))</f>
        <v>0</v>
      </c>
    </row>
    <row r="503" spans="1:1">
      <c r="A503" s="39">
        <f>IF('Additional Videos'!B503 = "", "", IF('Additional Videos-WUO_ERR'!A503 = "", "Validated", HYPERLINK("#" &amp; ADDRESS(503, 'Additional Videos-WUO_TRK'!A503),_xlfn.TEXTAFTER('Additional Videos-WUO_ERR'!A503, ":"))))</f>
        <v>0</v>
      </c>
    </row>
    <row r="504" spans="1:1">
      <c r="A504" s="39">
        <f>IF('Additional Videos'!B504 = "", "", IF('Additional Videos-WUO_ERR'!A504 = "", "Validated", HYPERLINK("#" &amp; ADDRESS(504, 'Additional Videos-WUO_TRK'!A504),_xlfn.TEXTAFTER('Additional Videos-WUO_ERR'!A504, ":"))))</f>
        <v>0</v>
      </c>
    </row>
    <row r="505" spans="1:1">
      <c r="A505" s="39">
        <f>IF('Additional Videos'!B505 = "", "", IF('Additional Videos-WUO_ERR'!A505 = "", "Validated", HYPERLINK("#" &amp; ADDRESS(505, 'Additional Videos-WUO_TRK'!A505),_xlfn.TEXTAFTER('Additional Videos-WUO_ERR'!A505, ":"))))</f>
        <v>0</v>
      </c>
    </row>
    <row r="506" spans="1:1">
      <c r="A506" s="39">
        <f>IF('Additional Videos'!B506 = "", "", IF('Additional Videos-WUO_ERR'!A506 = "", "Validated", HYPERLINK("#" &amp; ADDRESS(506, 'Additional Videos-WUO_TRK'!A506),_xlfn.TEXTAFTER('Additional Videos-WUO_ERR'!A506, ":"))))</f>
        <v>0</v>
      </c>
    </row>
    <row r="507" spans="1:1">
      <c r="A507" s="39">
        <f>IF('Additional Videos'!B507 = "", "", IF('Additional Videos-WUO_ERR'!A507 = "", "Validated", HYPERLINK("#" &amp; ADDRESS(507, 'Additional Videos-WUO_TRK'!A507),_xlfn.TEXTAFTER('Additional Videos-WUO_ERR'!A507, ":"))))</f>
        <v>0</v>
      </c>
    </row>
  </sheetData>
  <sheetProtection password="B4ED" sheet="1" objects="1" scenarios="1" formatColumns="0" formatRows="0"/>
  <protectedRanges>
    <protectedRange sqref="B7:D10000" name="Range1"/>
  </protectedRanges>
  <conditionalFormatting sqref="A7:A507">
    <cfRule type="expression" dxfId="4" priority="5">
      <formula>A7="Validated"</formula>
    </cfRule>
    <cfRule type="expression" dxfId="5" priority="6">
      <formula>OR(COUNTIF('Additional Videos-WUO_TRK'!B7:D7,"Error"),COUNTIF('Additional Videos-WUO_TRK'!B7:D7,"Required"))</formula>
    </cfRule>
    <cfRule type="expression" dxfId="6" priority="7">
      <formula>COUNTIF('Additional Videos-WUO_TRK'!B7:D7,"Warning")</formula>
    </cfRule>
  </conditionalFormatting>
  <conditionalFormatting sqref="B7:D507">
    <cfRule type="expression" dxfId="0" priority="1">
      <formula>'Additional Videos-WUO_TRK'!B7="Error"</formula>
    </cfRule>
    <cfRule type="expression" dxfId="1" priority="2">
      <formula>'Additional Videos-WUO_TRK'!B7="Required"</formula>
    </cfRule>
    <cfRule type="expression" dxfId="2" priority="3">
      <formula>'Additional Videos-WUO_TRK'!B7="Warning"</formula>
    </cfRule>
    <cfRule type="expression" dxfId="3" priority="4">
      <formula>'Additional Videos-WUO_TRK'!B7="Disabled"</formula>
    </cfRule>
  </conditionalFormatting>
  <dataValidations count="1">
    <dataValidation type="textLength" operator="lessThanOrEqual" errorStyle="warning" showInputMessage="1" showErrorMessage="1" errorTitle="Invalid Text" error="The value provided is not a valid Text." promptTitle="Video File Name or URL" prompt="Please enter Text" sqref="C7:C2500">
      <formula1>32767</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dimension ref="A1:C7"/>
  <sheetViews>
    <sheetView workbookViewId="0"/>
  </sheetViews>
  <sheetFormatPr defaultRowHeight="15"/>
  <cols>
    <col min="2" max="2" width="25.7109375" style="22" customWidth="1"/>
    <col min="3" max="3" width="27.7109375" style="22" customWidth="1"/>
  </cols>
  <sheetData>
    <row r="1" spans="1:3" hidden="1">
      <c r="B1" s="22" t="s">
        <v>2221</v>
      </c>
      <c r="C1" s="22" t="s">
        <v>2340</v>
      </c>
    </row>
    <row r="3" spans="1:3">
      <c r="B3" s="32" t="s">
        <v>58</v>
      </c>
      <c r="C3" s="32" t="s">
        <v>62</v>
      </c>
    </row>
    <row r="4" spans="1:3" ht="50" customHeight="1">
      <c r="B4" s="19" t="s">
        <v>2222</v>
      </c>
      <c r="C4" s="19" t="s">
        <v>2568</v>
      </c>
    </row>
    <row r="5" spans="1:3" ht="50" customHeight="1">
      <c r="B5" s="35" t="s">
        <v>2223</v>
      </c>
      <c r="C5" s="35" t="s">
        <v>2342</v>
      </c>
    </row>
    <row r="6" spans="1:3" ht="50" customHeight="1">
      <c r="B6" s="35" t="s">
        <v>67</v>
      </c>
      <c r="C6" s="35" t="s">
        <v>67</v>
      </c>
    </row>
    <row r="7" spans="1:3">
      <c r="A7" cm="1">
        <f t="array" ref="A7">_xlfn.BYROW(B7:D507, _xlfn.LAMBDA(_xlpm.r, _xlfn.LET(_xlpm.high_priority, IFERROR(INDEX(_xlpm.r, MATCH(TRUE, (_xlpm.r &lt;&gt; "") * ((LEFT(_xlpm.r, 2) = "1:") + (LEFT(_xlpm.r, 2) = "3:")) &gt; 0, 0)), ""), IF(_xlpm.high_priority &lt;&gt; "", _xlpm.high_priority, IFERROR(INDEX(_xlpm.r, MATCH(TRUE, (_xlpm.r &lt;&gt; "") * (LEFT(_xlpm.r, 2) = "4:") &gt; 0, 0)), "")))))</f>
        <v>0</v>
      </c>
      <c r="B7" s="22" cm="1">
        <f t="array" ref="B7">_xlfn.MAP('Additional Videos'!B7:B507, 'Additional Videos'!B7:B507,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"3:Supplier Part Number - Value is required", ""))))))))</f>
        <v>0</v>
      </c>
      <c r="C7" s="22" cm="1">
        <f t="array" ref="C7">_xlfn.MAP('Additional Videos'!B7:B507, 'Additional Videos'!C7:C507, _xlfn.LAMBDA(_xlpm.part, _xlpm.val, IF(_xlpm.part = "", "", IF(AND(_xlpm.val = "", C$3="Required"), "3:Video File Name or URL - Value is required", ""))))</f>
        <v>0</v>
      </c>
    </row>
  </sheetData>
  <sheetProtection password="AF1E" sheet="1" objects="1" scenarios="1"/>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C7"/>
  <sheetViews>
    <sheetView workbookViewId="0"/>
  </sheetViews>
  <sheetFormatPr defaultRowHeight="15"/>
  <cols>
    <col min="2" max="2" width="25.7109375" style="22" customWidth="1"/>
    <col min="3" max="3" width="27.7109375" style="22" customWidth="1"/>
  </cols>
  <sheetData>
    <row r="1" spans="1:3" hidden="1">
      <c r="B1" s="22" t="s">
        <v>2221</v>
      </c>
      <c r="C1" s="22" t="s">
        <v>2340</v>
      </c>
    </row>
    <row r="3" spans="1:3">
      <c r="B3" s="32" t="s">
        <v>58</v>
      </c>
      <c r="C3" s="32" t="s">
        <v>62</v>
      </c>
    </row>
    <row r="4" spans="1:3" ht="50" customHeight="1">
      <c r="B4" s="19" t="s">
        <v>2222</v>
      </c>
      <c r="C4" s="19" t="s">
        <v>2568</v>
      </c>
    </row>
    <row r="5" spans="1:3" ht="50" customHeight="1">
      <c r="B5" s="35" t="s">
        <v>2223</v>
      </c>
      <c r="C5" s="35" t="s">
        <v>2342</v>
      </c>
    </row>
    <row r="6" spans="1:3" ht="50" customHeight="1">
      <c r="B6" s="35" t="s">
        <v>67</v>
      </c>
      <c r="C6" s="35" t="s">
        <v>67</v>
      </c>
    </row>
    <row r="7" spans="1:3">
      <c r="A7" cm="1">
        <f t="array" ref="A7">_xlfn.BYROW(B7:D507, _xlfn.LAMBDA(_xlpm.r, _xlfn.LET(_xlpm.high_priority_idx, IFERROR(MATCH(TRUE, (_xlpm.r = "Error") + (_xlpm.r = "Required") &gt; 0, 0), 0), IF(_xlpm.high_priority_idx &gt; 0, _xlpm.high_priority_idx + 1, IFERROR(MATCH(1, (_xlpm.r = "Warning") * 1, 0) + 1, "")))))</f>
        <v>0</v>
      </c>
      <c r="B7" s="22" cm="1">
        <f t="array" ref="B7">_xlfn.MAP('Additional Videos'!B7:B507, 'Additional Videos'!B7:B507, 'Additional Videos-WUO_ERR'!B7:B507, _xlfn.LAMBDA(_xlpm.part, _xlpm.val, _xlpm.error, IF(_xlpm.part = "", "", IF(LEN(_xlpm.error), _xlfn.SWITCH(IFERROR(_xlfn.TEXTBEFORE(_xlpm.error,":"), ""), "1", "Error", "2", "Disabled", "3", "Required", "4", "Warning", "Valid"), "Valid"))))</f>
        <v>0</v>
      </c>
      <c r="C7" s="22" cm="1">
        <f t="array" ref="C7">_xlfn.MAP('Additional Videos'!B7:B507, 'Additional Videos'!C7:C507, 'Additional Videos-WUO_ERR'!C7:C507, _xlfn.LAMBDA(_xlpm.part, _xlpm.val, _xlpm.error, IF(_xlpm.part = "", "", IF(LEN(_xlpm.error), _xlfn.SWITCH(IFERROR(_xlfn.TEXTBEFORE(_xlpm.error,":"), ""), "1", "Error", "2", "Disabled", "3", "Required", "4", "Warning", "Valid"), "Valid"))))</f>
        <v>0</v>
      </c>
    </row>
  </sheetData>
  <sheetProtection password="DA1E" sheet="1" objects="1" scenarios="1"/>
  <pageMargins left="0.7" right="0.7" top="0.75" bottom="0.75" header="0.3" footer="0.3"/>
</worksheet>
</file>

<file path=xl/worksheets/sheet19.xml><?xml version="1.0" encoding="utf-8"?>
<worksheet xmlns="http://schemas.openxmlformats.org/spreadsheetml/2006/main" xmlns:r="http://schemas.openxmlformats.org/officeDocument/2006/relationships">
  <dimension ref="A1:Z507"/>
  <sheetViews>
    <sheetView workbookViewId="0"/>
  </sheetViews>
  <sheetFormatPr defaultRowHeight="15"/>
  <cols>
    <col min="1" max="1" width="35.7109375" customWidth="1"/>
    <col min="2" max="2" width="25.7109375" style="22" customWidth="1"/>
    <col min="3" max="3" width="30.7109375" style="22" customWidth="1"/>
    <col min="4" max="4" width="18.7109375" style="22" customWidth="1"/>
    <col min="5" max="5" width="24.7109375" style="22" customWidth="1"/>
    <col min="6" max="6" width="20.7109375" style="22" customWidth="1"/>
    <col min="26" max="26" width="0" hidden="1" customWidth="1"/>
  </cols>
  <sheetData>
    <row r="1" spans="1:26" hidden="1">
      <c r="B1" s="22" t="s">
        <v>2221</v>
      </c>
      <c r="C1" s="22" t="s">
        <v>2343</v>
      </c>
      <c r="D1" s="22" t="s">
        <v>2346</v>
      </c>
      <c r="E1" s="22" t="s">
        <v>2350</v>
      </c>
      <c r="F1" s="22" t="s">
        <v>2354</v>
      </c>
    </row>
    <row r="2" spans="1:26">
      <c r="B2" s="23" t="s">
        <v>2477</v>
      </c>
      <c r="C2" s="29" t="s">
        <v>2483</v>
      </c>
    </row>
    <row r="3" spans="1:26">
      <c r="B3" s="32" t="s">
        <v>58</v>
      </c>
      <c r="C3" s="32" t="s">
        <v>64</v>
      </c>
      <c r="D3" s="32" t="s">
        <v>64</v>
      </c>
      <c r="E3" s="32" t="s">
        <v>64</v>
      </c>
      <c r="F3" s="32" t="s">
        <v>64</v>
      </c>
    </row>
    <row r="4" spans="1:26" ht="50" customHeight="1">
      <c r="A4" s="19" t="s">
        <v>2218</v>
      </c>
      <c r="B4" s="19" t="s">
        <v>2222</v>
      </c>
      <c r="C4" s="19" t="s">
        <v>2569</v>
      </c>
      <c r="D4" s="19" t="s">
        <v>2570</v>
      </c>
      <c r="E4" s="19" t="s">
        <v>2571</v>
      </c>
      <c r="F4" s="19" t="s">
        <v>2572</v>
      </c>
    </row>
    <row r="5" spans="1:26" ht="50" customHeight="1">
      <c r="A5" s="35" t="s">
        <v>2219</v>
      </c>
      <c r="B5" s="35" t="s">
        <v>2223</v>
      </c>
      <c r="C5" s="35" t="s">
        <v>2345</v>
      </c>
      <c r="D5" s="35" t="s">
        <v>2348</v>
      </c>
      <c r="E5" s="35" t="s">
        <v>2352</v>
      </c>
      <c r="F5" s="35" t="s">
        <v>2356</v>
      </c>
    </row>
    <row r="6" spans="1:26" ht="50" customHeight="1">
      <c r="A6" s="35" t="s">
        <v>2220</v>
      </c>
      <c r="B6" s="35" t="s">
        <v>67</v>
      </c>
      <c r="C6" s="35" t="s">
        <v>67</v>
      </c>
      <c r="D6" s="36" t="s">
        <v>2349</v>
      </c>
      <c r="E6" s="36" t="s">
        <v>3108</v>
      </c>
      <c r="F6" s="36" t="s">
        <v>2232</v>
      </c>
    </row>
    <row r="7" spans="1:26">
      <c r="A7" s="39">
        <f>IF('Additional Documents'!B7 = "", "", IF('Additional Documents-WUO_ERR'!A7 = "", "Validated", HYPERLINK("#" &amp; ADDRESS(7, 'Additional Documents-WUO_TRK'!A7),_xlfn.TEXTAFTER('Additional Documents-WUO_ERR'!A7, ":"))))</f>
        <v>0</v>
      </c>
      <c r="Z7" cm="1">
        <f t="array" ref="Z7">IF(B7:B507="", "", IFERROR(_xlfn.XLOOKUP(B7:B507, _xlfn.VSTACK('3757 - Wall Stickers'!B7:B507, '6161 - Wallpaper'!B7:B507), _xlfn.VSTACK('3757 - Wall Stickers'!G7:G507, '6161 - Wallpaper'!G7:G507)), ""))</f>
        <v>0</v>
      </c>
    </row>
    <row r="8" spans="1:26">
      <c r="A8" s="39">
        <f>IF('Additional Documents'!B8 = "", "", IF('Additional Documents-WUO_ERR'!A8 = "", "Validated", HYPERLINK("#" &amp; ADDRESS(8, 'Additional Documents-WUO_TRK'!A8),_xlfn.TEXTAFTER('Additional Documents-WUO_ERR'!A8, ":"))))</f>
        <v>0</v>
      </c>
    </row>
    <row r="9" spans="1:26">
      <c r="A9" s="39">
        <f>IF('Additional Documents'!B9 = "", "", IF('Additional Documents-WUO_ERR'!A9 = "", "Validated", HYPERLINK("#" &amp; ADDRESS(9, 'Additional Documents-WUO_TRK'!A9),_xlfn.TEXTAFTER('Additional Documents-WUO_ERR'!A9, ":"))))</f>
        <v>0</v>
      </c>
    </row>
    <row r="10" spans="1:26">
      <c r="A10" s="39">
        <f>IF('Additional Documents'!B10 = "", "", IF('Additional Documents-WUO_ERR'!A10 = "", "Validated", HYPERLINK("#" &amp; ADDRESS(10, 'Additional Documents-WUO_TRK'!A10),_xlfn.TEXTAFTER('Additional Documents-WUO_ERR'!A10, ":"))))</f>
        <v>0</v>
      </c>
    </row>
    <row r="11" spans="1:26">
      <c r="A11" s="39">
        <f>IF('Additional Documents'!B11 = "", "", IF('Additional Documents-WUO_ERR'!A11 = "", "Validated", HYPERLINK("#" &amp; ADDRESS(11, 'Additional Documents-WUO_TRK'!A11),_xlfn.TEXTAFTER('Additional Documents-WUO_ERR'!A11, ":"))))</f>
        <v>0</v>
      </c>
    </row>
    <row r="12" spans="1:26">
      <c r="A12" s="39">
        <f>IF('Additional Documents'!B12 = "", "", IF('Additional Documents-WUO_ERR'!A12 = "", "Validated", HYPERLINK("#" &amp; ADDRESS(12, 'Additional Documents-WUO_TRK'!A12),_xlfn.TEXTAFTER('Additional Documents-WUO_ERR'!A12, ":"))))</f>
        <v>0</v>
      </c>
    </row>
    <row r="13" spans="1:26">
      <c r="A13" s="39">
        <f>IF('Additional Documents'!B13 = "", "", IF('Additional Documents-WUO_ERR'!A13 = "", "Validated", HYPERLINK("#" &amp; ADDRESS(13, 'Additional Documents-WUO_TRK'!A13),_xlfn.TEXTAFTER('Additional Documents-WUO_ERR'!A13, ":"))))</f>
        <v>0</v>
      </c>
    </row>
    <row r="14" spans="1:26">
      <c r="A14" s="39">
        <f>IF('Additional Documents'!B14 = "", "", IF('Additional Documents-WUO_ERR'!A14 = "", "Validated", HYPERLINK("#" &amp; ADDRESS(14, 'Additional Documents-WUO_TRK'!A14),_xlfn.TEXTAFTER('Additional Documents-WUO_ERR'!A14, ":"))))</f>
        <v>0</v>
      </c>
    </row>
    <row r="15" spans="1:26">
      <c r="A15" s="39">
        <f>IF('Additional Documents'!B15 = "", "", IF('Additional Documents-WUO_ERR'!A15 = "", "Validated", HYPERLINK("#" &amp; ADDRESS(15, 'Additional Documents-WUO_TRK'!A15),_xlfn.TEXTAFTER('Additional Documents-WUO_ERR'!A15, ":"))))</f>
        <v>0</v>
      </c>
    </row>
    <row r="16" spans="1:26">
      <c r="A16" s="39">
        <f>IF('Additional Documents'!B16 = "", "", IF('Additional Documents-WUO_ERR'!A16 = "", "Validated", HYPERLINK("#" &amp; ADDRESS(16, 'Additional Documents-WUO_TRK'!A16),_xlfn.TEXTAFTER('Additional Documents-WUO_ERR'!A16, ":"))))</f>
        <v>0</v>
      </c>
    </row>
    <row r="17" spans="1:1">
      <c r="A17" s="39">
        <f>IF('Additional Documents'!B17 = "", "", IF('Additional Documents-WUO_ERR'!A17 = "", "Validated", HYPERLINK("#" &amp; ADDRESS(17, 'Additional Documents-WUO_TRK'!A17),_xlfn.TEXTAFTER('Additional Documents-WUO_ERR'!A17, ":"))))</f>
        <v>0</v>
      </c>
    </row>
    <row r="18" spans="1:1">
      <c r="A18" s="39">
        <f>IF('Additional Documents'!B18 = "", "", IF('Additional Documents-WUO_ERR'!A18 = "", "Validated", HYPERLINK("#" &amp; ADDRESS(18, 'Additional Documents-WUO_TRK'!A18),_xlfn.TEXTAFTER('Additional Documents-WUO_ERR'!A18, ":"))))</f>
        <v>0</v>
      </c>
    </row>
    <row r="19" spans="1:1">
      <c r="A19" s="39">
        <f>IF('Additional Documents'!B19 = "", "", IF('Additional Documents-WUO_ERR'!A19 = "", "Validated", HYPERLINK("#" &amp; ADDRESS(19, 'Additional Documents-WUO_TRK'!A19),_xlfn.TEXTAFTER('Additional Documents-WUO_ERR'!A19, ":"))))</f>
        <v>0</v>
      </c>
    </row>
    <row r="20" spans="1:1">
      <c r="A20" s="39">
        <f>IF('Additional Documents'!B20 = "", "", IF('Additional Documents-WUO_ERR'!A20 = "", "Validated", HYPERLINK("#" &amp; ADDRESS(20, 'Additional Documents-WUO_TRK'!A20),_xlfn.TEXTAFTER('Additional Documents-WUO_ERR'!A20, ":"))))</f>
        <v>0</v>
      </c>
    </row>
    <row r="21" spans="1:1">
      <c r="A21" s="39">
        <f>IF('Additional Documents'!B21 = "", "", IF('Additional Documents-WUO_ERR'!A21 = "", "Validated", HYPERLINK("#" &amp; ADDRESS(21, 'Additional Documents-WUO_TRK'!A21),_xlfn.TEXTAFTER('Additional Documents-WUO_ERR'!A21, ":"))))</f>
        <v>0</v>
      </c>
    </row>
    <row r="22" spans="1:1">
      <c r="A22" s="39">
        <f>IF('Additional Documents'!B22 = "", "", IF('Additional Documents-WUO_ERR'!A22 = "", "Validated", HYPERLINK("#" &amp; ADDRESS(22, 'Additional Documents-WUO_TRK'!A22),_xlfn.TEXTAFTER('Additional Documents-WUO_ERR'!A22, ":"))))</f>
        <v>0</v>
      </c>
    </row>
    <row r="23" spans="1:1">
      <c r="A23" s="39">
        <f>IF('Additional Documents'!B23 = "", "", IF('Additional Documents-WUO_ERR'!A23 = "", "Validated", HYPERLINK("#" &amp; ADDRESS(23, 'Additional Documents-WUO_TRK'!A23),_xlfn.TEXTAFTER('Additional Documents-WUO_ERR'!A23, ":"))))</f>
        <v>0</v>
      </c>
    </row>
    <row r="24" spans="1:1">
      <c r="A24" s="39">
        <f>IF('Additional Documents'!B24 = "", "", IF('Additional Documents-WUO_ERR'!A24 = "", "Validated", HYPERLINK("#" &amp; ADDRESS(24, 'Additional Documents-WUO_TRK'!A24),_xlfn.TEXTAFTER('Additional Documents-WUO_ERR'!A24, ":"))))</f>
        <v>0</v>
      </c>
    </row>
    <row r="25" spans="1:1">
      <c r="A25" s="39">
        <f>IF('Additional Documents'!B25 = "", "", IF('Additional Documents-WUO_ERR'!A25 = "", "Validated", HYPERLINK("#" &amp; ADDRESS(25, 'Additional Documents-WUO_TRK'!A25),_xlfn.TEXTAFTER('Additional Documents-WUO_ERR'!A25, ":"))))</f>
        <v>0</v>
      </c>
    </row>
    <row r="26" spans="1:1">
      <c r="A26" s="39">
        <f>IF('Additional Documents'!B26 = "", "", IF('Additional Documents-WUO_ERR'!A26 = "", "Validated", HYPERLINK("#" &amp; ADDRESS(26, 'Additional Documents-WUO_TRK'!A26),_xlfn.TEXTAFTER('Additional Documents-WUO_ERR'!A26, ":"))))</f>
        <v>0</v>
      </c>
    </row>
    <row r="27" spans="1:1">
      <c r="A27" s="39">
        <f>IF('Additional Documents'!B27 = "", "", IF('Additional Documents-WUO_ERR'!A27 = "", "Validated", HYPERLINK("#" &amp; ADDRESS(27, 'Additional Documents-WUO_TRK'!A27),_xlfn.TEXTAFTER('Additional Documents-WUO_ERR'!A27, ":"))))</f>
        <v>0</v>
      </c>
    </row>
    <row r="28" spans="1:1">
      <c r="A28" s="39">
        <f>IF('Additional Documents'!B28 = "", "", IF('Additional Documents-WUO_ERR'!A28 = "", "Validated", HYPERLINK("#" &amp; ADDRESS(28, 'Additional Documents-WUO_TRK'!A28),_xlfn.TEXTAFTER('Additional Documents-WUO_ERR'!A28, ":"))))</f>
        <v>0</v>
      </c>
    </row>
    <row r="29" spans="1:1">
      <c r="A29" s="39">
        <f>IF('Additional Documents'!B29 = "", "", IF('Additional Documents-WUO_ERR'!A29 = "", "Validated", HYPERLINK("#" &amp; ADDRESS(29, 'Additional Documents-WUO_TRK'!A29),_xlfn.TEXTAFTER('Additional Documents-WUO_ERR'!A29, ":"))))</f>
        <v>0</v>
      </c>
    </row>
    <row r="30" spans="1:1">
      <c r="A30" s="39">
        <f>IF('Additional Documents'!B30 = "", "", IF('Additional Documents-WUO_ERR'!A30 = "", "Validated", HYPERLINK("#" &amp; ADDRESS(30, 'Additional Documents-WUO_TRK'!A30),_xlfn.TEXTAFTER('Additional Documents-WUO_ERR'!A30, ":"))))</f>
        <v>0</v>
      </c>
    </row>
    <row r="31" spans="1:1">
      <c r="A31" s="39">
        <f>IF('Additional Documents'!B31 = "", "", IF('Additional Documents-WUO_ERR'!A31 = "", "Validated", HYPERLINK("#" &amp; ADDRESS(31, 'Additional Documents-WUO_TRK'!A31),_xlfn.TEXTAFTER('Additional Documents-WUO_ERR'!A31, ":"))))</f>
        <v>0</v>
      </c>
    </row>
    <row r="32" spans="1:1">
      <c r="A32" s="39">
        <f>IF('Additional Documents'!B32 = "", "", IF('Additional Documents-WUO_ERR'!A32 = "", "Validated", HYPERLINK("#" &amp; ADDRESS(32, 'Additional Documents-WUO_TRK'!A32),_xlfn.TEXTAFTER('Additional Documents-WUO_ERR'!A32, ":"))))</f>
        <v>0</v>
      </c>
    </row>
    <row r="33" spans="1:1">
      <c r="A33" s="39">
        <f>IF('Additional Documents'!B33 = "", "", IF('Additional Documents-WUO_ERR'!A33 = "", "Validated", HYPERLINK("#" &amp; ADDRESS(33, 'Additional Documents-WUO_TRK'!A33),_xlfn.TEXTAFTER('Additional Documents-WUO_ERR'!A33, ":"))))</f>
        <v>0</v>
      </c>
    </row>
    <row r="34" spans="1:1">
      <c r="A34" s="39">
        <f>IF('Additional Documents'!B34 = "", "", IF('Additional Documents-WUO_ERR'!A34 = "", "Validated", HYPERLINK("#" &amp; ADDRESS(34, 'Additional Documents-WUO_TRK'!A34),_xlfn.TEXTAFTER('Additional Documents-WUO_ERR'!A34, ":"))))</f>
        <v>0</v>
      </c>
    </row>
    <row r="35" spans="1:1">
      <c r="A35" s="39">
        <f>IF('Additional Documents'!B35 = "", "", IF('Additional Documents-WUO_ERR'!A35 = "", "Validated", HYPERLINK("#" &amp; ADDRESS(35, 'Additional Documents-WUO_TRK'!A35),_xlfn.TEXTAFTER('Additional Documents-WUO_ERR'!A35, ":"))))</f>
        <v>0</v>
      </c>
    </row>
    <row r="36" spans="1:1">
      <c r="A36" s="39">
        <f>IF('Additional Documents'!B36 = "", "", IF('Additional Documents-WUO_ERR'!A36 = "", "Validated", HYPERLINK("#" &amp; ADDRESS(36, 'Additional Documents-WUO_TRK'!A36),_xlfn.TEXTAFTER('Additional Documents-WUO_ERR'!A36, ":"))))</f>
        <v>0</v>
      </c>
    </row>
    <row r="37" spans="1:1">
      <c r="A37" s="39">
        <f>IF('Additional Documents'!B37 = "", "", IF('Additional Documents-WUO_ERR'!A37 = "", "Validated", HYPERLINK("#" &amp; ADDRESS(37, 'Additional Documents-WUO_TRK'!A37),_xlfn.TEXTAFTER('Additional Documents-WUO_ERR'!A37, ":"))))</f>
        <v>0</v>
      </c>
    </row>
    <row r="38" spans="1:1">
      <c r="A38" s="39">
        <f>IF('Additional Documents'!B38 = "", "", IF('Additional Documents-WUO_ERR'!A38 = "", "Validated", HYPERLINK("#" &amp; ADDRESS(38, 'Additional Documents-WUO_TRK'!A38),_xlfn.TEXTAFTER('Additional Documents-WUO_ERR'!A38, ":"))))</f>
        <v>0</v>
      </c>
    </row>
    <row r="39" spans="1:1">
      <c r="A39" s="39">
        <f>IF('Additional Documents'!B39 = "", "", IF('Additional Documents-WUO_ERR'!A39 = "", "Validated", HYPERLINK("#" &amp; ADDRESS(39, 'Additional Documents-WUO_TRK'!A39),_xlfn.TEXTAFTER('Additional Documents-WUO_ERR'!A39, ":"))))</f>
        <v>0</v>
      </c>
    </row>
    <row r="40" spans="1:1">
      <c r="A40" s="39">
        <f>IF('Additional Documents'!B40 = "", "", IF('Additional Documents-WUO_ERR'!A40 = "", "Validated", HYPERLINK("#" &amp; ADDRESS(40, 'Additional Documents-WUO_TRK'!A40),_xlfn.TEXTAFTER('Additional Documents-WUO_ERR'!A40, ":"))))</f>
        <v>0</v>
      </c>
    </row>
    <row r="41" spans="1:1">
      <c r="A41" s="39">
        <f>IF('Additional Documents'!B41 = "", "", IF('Additional Documents-WUO_ERR'!A41 = "", "Validated", HYPERLINK("#" &amp; ADDRESS(41, 'Additional Documents-WUO_TRK'!A41),_xlfn.TEXTAFTER('Additional Documents-WUO_ERR'!A41, ":"))))</f>
        <v>0</v>
      </c>
    </row>
    <row r="42" spans="1:1">
      <c r="A42" s="39">
        <f>IF('Additional Documents'!B42 = "", "", IF('Additional Documents-WUO_ERR'!A42 = "", "Validated", HYPERLINK("#" &amp; ADDRESS(42, 'Additional Documents-WUO_TRK'!A42),_xlfn.TEXTAFTER('Additional Documents-WUO_ERR'!A42, ":"))))</f>
        <v>0</v>
      </c>
    </row>
    <row r="43" spans="1:1">
      <c r="A43" s="39">
        <f>IF('Additional Documents'!B43 = "", "", IF('Additional Documents-WUO_ERR'!A43 = "", "Validated", HYPERLINK("#" &amp; ADDRESS(43, 'Additional Documents-WUO_TRK'!A43),_xlfn.TEXTAFTER('Additional Documents-WUO_ERR'!A43, ":"))))</f>
        <v>0</v>
      </c>
    </row>
    <row r="44" spans="1:1">
      <c r="A44" s="39">
        <f>IF('Additional Documents'!B44 = "", "", IF('Additional Documents-WUO_ERR'!A44 = "", "Validated", HYPERLINK("#" &amp; ADDRESS(44, 'Additional Documents-WUO_TRK'!A44),_xlfn.TEXTAFTER('Additional Documents-WUO_ERR'!A44, ":"))))</f>
        <v>0</v>
      </c>
    </row>
    <row r="45" spans="1:1">
      <c r="A45" s="39">
        <f>IF('Additional Documents'!B45 = "", "", IF('Additional Documents-WUO_ERR'!A45 = "", "Validated", HYPERLINK("#" &amp; ADDRESS(45, 'Additional Documents-WUO_TRK'!A45),_xlfn.TEXTAFTER('Additional Documents-WUO_ERR'!A45, ":"))))</f>
        <v>0</v>
      </c>
    </row>
    <row r="46" spans="1:1">
      <c r="A46" s="39">
        <f>IF('Additional Documents'!B46 = "", "", IF('Additional Documents-WUO_ERR'!A46 = "", "Validated", HYPERLINK("#" &amp; ADDRESS(46, 'Additional Documents-WUO_TRK'!A46),_xlfn.TEXTAFTER('Additional Documents-WUO_ERR'!A46, ":"))))</f>
        <v>0</v>
      </c>
    </row>
    <row r="47" spans="1:1">
      <c r="A47" s="39">
        <f>IF('Additional Documents'!B47 = "", "", IF('Additional Documents-WUO_ERR'!A47 = "", "Validated", HYPERLINK("#" &amp; ADDRESS(47, 'Additional Documents-WUO_TRK'!A47),_xlfn.TEXTAFTER('Additional Documents-WUO_ERR'!A47, ":"))))</f>
        <v>0</v>
      </c>
    </row>
    <row r="48" spans="1:1">
      <c r="A48" s="39">
        <f>IF('Additional Documents'!B48 = "", "", IF('Additional Documents-WUO_ERR'!A48 = "", "Validated", HYPERLINK("#" &amp; ADDRESS(48, 'Additional Documents-WUO_TRK'!A48),_xlfn.TEXTAFTER('Additional Documents-WUO_ERR'!A48, ":"))))</f>
        <v>0</v>
      </c>
    </row>
    <row r="49" spans="1:1">
      <c r="A49" s="39">
        <f>IF('Additional Documents'!B49 = "", "", IF('Additional Documents-WUO_ERR'!A49 = "", "Validated", HYPERLINK("#" &amp; ADDRESS(49, 'Additional Documents-WUO_TRK'!A49),_xlfn.TEXTAFTER('Additional Documents-WUO_ERR'!A49, ":"))))</f>
        <v>0</v>
      </c>
    </row>
    <row r="50" spans="1:1">
      <c r="A50" s="39">
        <f>IF('Additional Documents'!B50 = "", "", IF('Additional Documents-WUO_ERR'!A50 = "", "Validated", HYPERLINK("#" &amp; ADDRESS(50, 'Additional Documents-WUO_TRK'!A50),_xlfn.TEXTAFTER('Additional Documents-WUO_ERR'!A50, ":"))))</f>
        <v>0</v>
      </c>
    </row>
    <row r="51" spans="1:1">
      <c r="A51" s="39">
        <f>IF('Additional Documents'!B51 = "", "", IF('Additional Documents-WUO_ERR'!A51 = "", "Validated", HYPERLINK("#" &amp; ADDRESS(51, 'Additional Documents-WUO_TRK'!A51),_xlfn.TEXTAFTER('Additional Documents-WUO_ERR'!A51, ":"))))</f>
        <v>0</v>
      </c>
    </row>
    <row r="52" spans="1:1">
      <c r="A52" s="39">
        <f>IF('Additional Documents'!B52 = "", "", IF('Additional Documents-WUO_ERR'!A52 = "", "Validated", HYPERLINK("#" &amp; ADDRESS(52, 'Additional Documents-WUO_TRK'!A52),_xlfn.TEXTAFTER('Additional Documents-WUO_ERR'!A52, ":"))))</f>
        <v>0</v>
      </c>
    </row>
    <row r="53" spans="1:1">
      <c r="A53" s="39">
        <f>IF('Additional Documents'!B53 = "", "", IF('Additional Documents-WUO_ERR'!A53 = "", "Validated", HYPERLINK("#" &amp; ADDRESS(53, 'Additional Documents-WUO_TRK'!A53),_xlfn.TEXTAFTER('Additional Documents-WUO_ERR'!A53, ":"))))</f>
        <v>0</v>
      </c>
    </row>
    <row r="54" spans="1:1">
      <c r="A54" s="39">
        <f>IF('Additional Documents'!B54 = "", "", IF('Additional Documents-WUO_ERR'!A54 = "", "Validated", HYPERLINK("#" &amp; ADDRESS(54, 'Additional Documents-WUO_TRK'!A54),_xlfn.TEXTAFTER('Additional Documents-WUO_ERR'!A54, ":"))))</f>
        <v>0</v>
      </c>
    </row>
    <row r="55" spans="1:1">
      <c r="A55" s="39">
        <f>IF('Additional Documents'!B55 = "", "", IF('Additional Documents-WUO_ERR'!A55 = "", "Validated", HYPERLINK("#" &amp; ADDRESS(55, 'Additional Documents-WUO_TRK'!A55),_xlfn.TEXTAFTER('Additional Documents-WUO_ERR'!A55, ":"))))</f>
        <v>0</v>
      </c>
    </row>
    <row r="56" spans="1:1">
      <c r="A56" s="39">
        <f>IF('Additional Documents'!B56 = "", "", IF('Additional Documents-WUO_ERR'!A56 = "", "Validated", HYPERLINK("#" &amp; ADDRESS(56, 'Additional Documents-WUO_TRK'!A56),_xlfn.TEXTAFTER('Additional Documents-WUO_ERR'!A56, ":"))))</f>
        <v>0</v>
      </c>
    </row>
    <row r="57" spans="1:1">
      <c r="A57" s="39">
        <f>IF('Additional Documents'!B57 = "", "", IF('Additional Documents-WUO_ERR'!A57 = "", "Validated", HYPERLINK("#" &amp; ADDRESS(57, 'Additional Documents-WUO_TRK'!A57),_xlfn.TEXTAFTER('Additional Documents-WUO_ERR'!A57, ":"))))</f>
        <v>0</v>
      </c>
    </row>
    <row r="58" spans="1:1">
      <c r="A58" s="39">
        <f>IF('Additional Documents'!B58 = "", "", IF('Additional Documents-WUO_ERR'!A58 = "", "Validated", HYPERLINK("#" &amp; ADDRESS(58, 'Additional Documents-WUO_TRK'!A58),_xlfn.TEXTAFTER('Additional Documents-WUO_ERR'!A58, ":"))))</f>
        <v>0</v>
      </c>
    </row>
    <row r="59" spans="1:1">
      <c r="A59" s="39">
        <f>IF('Additional Documents'!B59 = "", "", IF('Additional Documents-WUO_ERR'!A59 = "", "Validated", HYPERLINK("#" &amp; ADDRESS(59, 'Additional Documents-WUO_TRK'!A59),_xlfn.TEXTAFTER('Additional Documents-WUO_ERR'!A59, ":"))))</f>
        <v>0</v>
      </c>
    </row>
    <row r="60" spans="1:1">
      <c r="A60" s="39">
        <f>IF('Additional Documents'!B60 = "", "", IF('Additional Documents-WUO_ERR'!A60 = "", "Validated", HYPERLINK("#" &amp; ADDRESS(60, 'Additional Documents-WUO_TRK'!A60),_xlfn.TEXTAFTER('Additional Documents-WUO_ERR'!A60, ":"))))</f>
        <v>0</v>
      </c>
    </row>
    <row r="61" spans="1:1">
      <c r="A61" s="39">
        <f>IF('Additional Documents'!B61 = "", "", IF('Additional Documents-WUO_ERR'!A61 = "", "Validated", HYPERLINK("#" &amp; ADDRESS(61, 'Additional Documents-WUO_TRK'!A61),_xlfn.TEXTAFTER('Additional Documents-WUO_ERR'!A61, ":"))))</f>
        <v>0</v>
      </c>
    </row>
    <row r="62" spans="1:1">
      <c r="A62" s="39">
        <f>IF('Additional Documents'!B62 = "", "", IF('Additional Documents-WUO_ERR'!A62 = "", "Validated", HYPERLINK("#" &amp; ADDRESS(62, 'Additional Documents-WUO_TRK'!A62),_xlfn.TEXTAFTER('Additional Documents-WUO_ERR'!A62, ":"))))</f>
        <v>0</v>
      </c>
    </row>
    <row r="63" spans="1:1">
      <c r="A63" s="39">
        <f>IF('Additional Documents'!B63 = "", "", IF('Additional Documents-WUO_ERR'!A63 = "", "Validated", HYPERLINK("#" &amp; ADDRESS(63, 'Additional Documents-WUO_TRK'!A63),_xlfn.TEXTAFTER('Additional Documents-WUO_ERR'!A63, ":"))))</f>
        <v>0</v>
      </c>
    </row>
    <row r="64" spans="1:1">
      <c r="A64" s="39">
        <f>IF('Additional Documents'!B64 = "", "", IF('Additional Documents-WUO_ERR'!A64 = "", "Validated", HYPERLINK("#" &amp; ADDRESS(64, 'Additional Documents-WUO_TRK'!A64),_xlfn.TEXTAFTER('Additional Documents-WUO_ERR'!A64, ":"))))</f>
        <v>0</v>
      </c>
    </row>
    <row r="65" spans="1:1">
      <c r="A65" s="39">
        <f>IF('Additional Documents'!B65 = "", "", IF('Additional Documents-WUO_ERR'!A65 = "", "Validated", HYPERLINK("#" &amp; ADDRESS(65, 'Additional Documents-WUO_TRK'!A65),_xlfn.TEXTAFTER('Additional Documents-WUO_ERR'!A65, ":"))))</f>
        <v>0</v>
      </c>
    </row>
    <row r="66" spans="1:1">
      <c r="A66" s="39">
        <f>IF('Additional Documents'!B66 = "", "", IF('Additional Documents-WUO_ERR'!A66 = "", "Validated", HYPERLINK("#" &amp; ADDRESS(66, 'Additional Documents-WUO_TRK'!A66),_xlfn.TEXTAFTER('Additional Documents-WUO_ERR'!A66, ":"))))</f>
        <v>0</v>
      </c>
    </row>
    <row r="67" spans="1:1">
      <c r="A67" s="39">
        <f>IF('Additional Documents'!B67 = "", "", IF('Additional Documents-WUO_ERR'!A67 = "", "Validated", HYPERLINK("#" &amp; ADDRESS(67, 'Additional Documents-WUO_TRK'!A67),_xlfn.TEXTAFTER('Additional Documents-WUO_ERR'!A67, ":"))))</f>
        <v>0</v>
      </c>
    </row>
    <row r="68" spans="1:1">
      <c r="A68" s="39">
        <f>IF('Additional Documents'!B68 = "", "", IF('Additional Documents-WUO_ERR'!A68 = "", "Validated", HYPERLINK("#" &amp; ADDRESS(68, 'Additional Documents-WUO_TRK'!A68),_xlfn.TEXTAFTER('Additional Documents-WUO_ERR'!A68, ":"))))</f>
        <v>0</v>
      </c>
    </row>
    <row r="69" spans="1:1">
      <c r="A69" s="39">
        <f>IF('Additional Documents'!B69 = "", "", IF('Additional Documents-WUO_ERR'!A69 = "", "Validated", HYPERLINK("#" &amp; ADDRESS(69, 'Additional Documents-WUO_TRK'!A69),_xlfn.TEXTAFTER('Additional Documents-WUO_ERR'!A69, ":"))))</f>
        <v>0</v>
      </c>
    </row>
    <row r="70" spans="1:1">
      <c r="A70" s="39">
        <f>IF('Additional Documents'!B70 = "", "", IF('Additional Documents-WUO_ERR'!A70 = "", "Validated", HYPERLINK("#" &amp; ADDRESS(70, 'Additional Documents-WUO_TRK'!A70),_xlfn.TEXTAFTER('Additional Documents-WUO_ERR'!A70, ":"))))</f>
        <v>0</v>
      </c>
    </row>
    <row r="71" spans="1:1">
      <c r="A71" s="39">
        <f>IF('Additional Documents'!B71 = "", "", IF('Additional Documents-WUO_ERR'!A71 = "", "Validated", HYPERLINK("#" &amp; ADDRESS(71, 'Additional Documents-WUO_TRK'!A71),_xlfn.TEXTAFTER('Additional Documents-WUO_ERR'!A71, ":"))))</f>
        <v>0</v>
      </c>
    </row>
    <row r="72" spans="1:1">
      <c r="A72" s="39">
        <f>IF('Additional Documents'!B72 = "", "", IF('Additional Documents-WUO_ERR'!A72 = "", "Validated", HYPERLINK("#" &amp; ADDRESS(72, 'Additional Documents-WUO_TRK'!A72),_xlfn.TEXTAFTER('Additional Documents-WUO_ERR'!A72, ":"))))</f>
        <v>0</v>
      </c>
    </row>
    <row r="73" spans="1:1">
      <c r="A73" s="39">
        <f>IF('Additional Documents'!B73 = "", "", IF('Additional Documents-WUO_ERR'!A73 = "", "Validated", HYPERLINK("#" &amp; ADDRESS(73, 'Additional Documents-WUO_TRK'!A73),_xlfn.TEXTAFTER('Additional Documents-WUO_ERR'!A73, ":"))))</f>
        <v>0</v>
      </c>
    </row>
    <row r="74" spans="1:1">
      <c r="A74" s="39">
        <f>IF('Additional Documents'!B74 = "", "", IF('Additional Documents-WUO_ERR'!A74 = "", "Validated", HYPERLINK("#" &amp; ADDRESS(74, 'Additional Documents-WUO_TRK'!A74),_xlfn.TEXTAFTER('Additional Documents-WUO_ERR'!A74, ":"))))</f>
        <v>0</v>
      </c>
    </row>
    <row r="75" spans="1:1">
      <c r="A75" s="39">
        <f>IF('Additional Documents'!B75 = "", "", IF('Additional Documents-WUO_ERR'!A75 = "", "Validated", HYPERLINK("#" &amp; ADDRESS(75, 'Additional Documents-WUO_TRK'!A75),_xlfn.TEXTAFTER('Additional Documents-WUO_ERR'!A75, ":"))))</f>
        <v>0</v>
      </c>
    </row>
    <row r="76" spans="1:1">
      <c r="A76" s="39">
        <f>IF('Additional Documents'!B76 = "", "", IF('Additional Documents-WUO_ERR'!A76 = "", "Validated", HYPERLINK("#" &amp; ADDRESS(76, 'Additional Documents-WUO_TRK'!A76),_xlfn.TEXTAFTER('Additional Documents-WUO_ERR'!A76, ":"))))</f>
        <v>0</v>
      </c>
    </row>
    <row r="77" spans="1:1">
      <c r="A77" s="39">
        <f>IF('Additional Documents'!B77 = "", "", IF('Additional Documents-WUO_ERR'!A77 = "", "Validated", HYPERLINK("#" &amp; ADDRESS(77, 'Additional Documents-WUO_TRK'!A77),_xlfn.TEXTAFTER('Additional Documents-WUO_ERR'!A77, ":"))))</f>
        <v>0</v>
      </c>
    </row>
    <row r="78" spans="1:1">
      <c r="A78" s="39">
        <f>IF('Additional Documents'!B78 = "", "", IF('Additional Documents-WUO_ERR'!A78 = "", "Validated", HYPERLINK("#" &amp; ADDRESS(78, 'Additional Documents-WUO_TRK'!A78),_xlfn.TEXTAFTER('Additional Documents-WUO_ERR'!A78, ":"))))</f>
        <v>0</v>
      </c>
    </row>
    <row r="79" spans="1:1">
      <c r="A79" s="39">
        <f>IF('Additional Documents'!B79 = "", "", IF('Additional Documents-WUO_ERR'!A79 = "", "Validated", HYPERLINK("#" &amp; ADDRESS(79, 'Additional Documents-WUO_TRK'!A79),_xlfn.TEXTAFTER('Additional Documents-WUO_ERR'!A79, ":"))))</f>
        <v>0</v>
      </c>
    </row>
    <row r="80" spans="1:1">
      <c r="A80" s="39">
        <f>IF('Additional Documents'!B80 = "", "", IF('Additional Documents-WUO_ERR'!A80 = "", "Validated", HYPERLINK("#" &amp; ADDRESS(80, 'Additional Documents-WUO_TRK'!A80),_xlfn.TEXTAFTER('Additional Documents-WUO_ERR'!A80, ":"))))</f>
        <v>0</v>
      </c>
    </row>
    <row r="81" spans="1:1">
      <c r="A81" s="39">
        <f>IF('Additional Documents'!B81 = "", "", IF('Additional Documents-WUO_ERR'!A81 = "", "Validated", HYPERLINK("#" &amp; ADDRESS(81, 'Additional Documents-WUO_TRK'!A81),_xlfn.TEXTAFTER('Additional Documents-WUO_ERR'!A81, ":"))))</f>
        <v>0</v>
      </c>
    </row>
    <row r="82" spans="1:1">
      <c r="A82" s="39">
        <f>IF('Additional Documents'!B82 = "", "", IF('Additional Documents-WUO_ERR'!A82 = "", "Validated", HYPERLINK("#" &amp; ADDRESS(82, 'Additional Documents-WUO_TRK'!A82),_xlfn.TEXTAFTER('Additional Documents-WUO_ERR'!A82, ":"))))</f>
        <v>0</v>
      </c>
    </row>
    <row r="83" spans="1:1">
      <c r="A83" s="39">
        <f>IF('Additional Documents'!B83 = "", "", IF('Additional Documents-WUO_ERR'!A83 = "", "Validated", HYPERLINK("#" &amp; ADDRESS(83, 'Additional Documents-WUO_TRK'!A83),_xlfn.TEXTAFTER('Additional Documents-WUO_ERR'!A83, ":"))))</f>
        <v>0</v>
      </c>
    </row>
    <row r="84" spans="1:1">
      <c r="A84" s="39">
        <f>IF('Additional Documents'!B84 = "", "", IF('Additional Documents-WUO_ERR'!A84 = "", "Validated", HYPERLINK("#" &amp; ADDRESS(84, 'Additional Documents-WUO_TRK'!A84),_xlfn.TEXTAFTER('Additional Documents-WUO_ERR'!A84, ":"))))</f>
        <v>0</v>
      </c>
    </row>
    <row r="85" spans="1:1">
      <c r="A85" s="39">
        <f>IF('Additional Documents'!B85 = "", "", IF('Additional Documents-WUO_ERR'!A85 = "", "Validated", HYPERLINK("#" &amp; ADDRESS(85, 'Additional Documents-WUO_TRK'!A85),_xlfn.TEXTAFTER('Additional Documents-WUO_ERR'!A85, ":"))))</f>
        <v>0</v>
      </c>
    </row>
    <row r="86" spans="1:1">
      <c r="A86" s="39">
        <f>IF('Additional Documents'!B86 = "", "", IF('Additional Documents-WUO_ERR'!A86 = "", "Validated", HYPERLINK("#" &amp; ADDRESS(86, 'Additional Documents-WUO_TRK'!A86),_xlfn.TEXTAFTER('Additional Documents-WUO_ERR'!A86, ":"))))</f>
        <v>0</v>
      </c>
    </row>
    <row r="87" spans="1:1">
      <c r="A87" s="39">
        <f>IF('Additional Documents'!B87 = "", "", IF('Additional Documents-WUO_ERR'!A87 = "", "Validated", HYPERLINK("#" &amp; ADDRESS(87, 'Additional Documents-WUO_TRK'!A87),_xlfn.TEXTAFTER('Additional Documents-WUO_ERR'!A87, ":"))))</f>
        <v>0</v>
      </c>
    </row>
    <row r="88" spans="1:1">
      <c r="A88" s="39">
        <f>IF('Additional Documents'!B88 = "", "", IF('Additional Documents-WUO_ERR'!A88 = "", "Validated", HYPERLINK("#" &amp; ADDRESS(88, 'Additional Documents-WUO_TRK'!A88),_xlfn.TEXTAFTER('Additional Documents-WUO_ERR'!A88, ":"))))</f>
        <v>0</v>
      </c>
    </row>
    <row r="89" spans="1:1">
      <c r="A89" s="39">
        <f>IF('Additional Documents'!B89 = "", "", IF('Additional Documents-WUO_ERR'!A89 = "", "Validated", HYPERLINK("#" &amp; ADDRESS(89, 'Additional Documents-WUO_TRK'!A89),_xlfn.TEXTAFTER('Additional Documents-WUO_ERR'!A89, ":"))))</f>
        <v>0</v>
      </c>
    </row>
    <row r="90" spans="1:1">
      <c r="A90" s="39">
        <f>IF('Additional Documents'!B90 = "", "", IF('Additional Documents-WUO_ERR'!A90 = "", "Validated", HYPERLINK("#" &amp; ADDRESS(90, 'Additional Documents-WUO_TRK'!A90),_xlfn.TEXTAFTER('Additional Documents-WUO_ERR'!A90, ":"))))</f>
        <v>0</v>
      </c>
    </row>
    <row r="91" spans="1:1">
      <c r="A91" s="39">
        <f>IF('Additional Documents'!B91 = "", "", IF('Additional Documents-WUO_ERR'!A91 = "", "Validated", HYPERLINK("#" &amp; ADDRESS(91, 'Additional Documents-WUO_TRK'!A91),_xlfn.TEXTAFTER('Additional Documents-WUO_ERR'!A91, ":"))))</f>
        <v>0</v>
      </c>
    </row>
    <row r="92" spans="1:1">
      <c r="A92" s="39">
        <f>IF('Additional Documents'!B92 = "", "", IF('Additional Documents-WUO_ERR'!A92 = "", "Validated", HYPERLINK("#" &amp; ADDRESS(92, 'Additional Documents-WUO_TRK'!A92),_xlfn.TEXTAFTER('Additional Documents-WUO_ERR'!A92, ":"))))</f>
        <v>0</v>
      </c>
    </row>
    <row r="93" spans="1:1">
      <c r="A93" s="39">
        <f>IF('Additional Documents'!B93 = "", "", IF('Additional Documents-WUO_ERR'!A93 = "", "Validated", HYPERLINK("#" &amp; ADDRESS(93, 'Additional Documents-WUO_TRK'!A93),_xlfn.TEXTAFTER('Additional Documents-WUO_ERR'!A93, ":"))))</f>
        <v>0</v>
      </c>
    </row>
    <row r="94" spans="1:1">
      <c r="A94" s="39">
        <f>IF('Additional Documents'!B94 = "", "", IF('Additional Documents-WUO_ERR'!A94 = "", "Validated", HYPERLINK("#" &amp; ADDRESS(94, 'Additional Documents-WUO_TRK'!A94),_xlfn.TEXTAFTER('Additional Documents-WUO_ERR'!A94, ":"))))</f>
        <v>0</v>
      </c>
    </row>
    <row r="95" spans="1:1">
      <c r="A95" s="39">
        <f>IF('Additional Documents'!B95 = "", "", IF('Additional Documents-WUO_ERR'!A95 = "", "Validated", HYPERLINK("#" &amp; ADDRESS(95, 'Additional Documents-WUO_TRK'!A95),_xlfn.TEXTAFTER('Additional Documents-WUO_ERR'!A95, ":"))))</f>
        <v>0</v>
      </c>
    </row>
    <row r="96" spans="1:1">
      <c r="A96" s="39">
        <f>IF('Additional Documents'!B96 = "", "", IF('Additional Documents-WUO_ERR'!A96 = "", "Validated", HYPERLINK("#" &amp; ADDRESS(96, 'Additional Documents-WUO_TRK'!A96),_xlfn.TEXTAFTER('Additional Documents-WUO_ERR'!A96, ":"))))</f>
        <v>0</v>
      </c>
    </row>
    <row r="97" spans="1:1">
      <c r="A97" s="39">
        <f>IF('Additional Documents'!B97 = "", "", IF('Additional Documents-WUO_ERR'!A97 = "", "Validated", HYPERLINK("#" &amp; ADDRESS(97, 'Additional Documents-WUO_TRK'!A97),_xlfn.TEXTAFTER('Additional Documents-WUO_ERR'!A97, ":"))))</f>
        <v>0</v>
      </c>
    </row>
    <row r="98" spans="1:1">
      <c r="A98" s="39">
        <f>IF('Additional Documents'!B98 = "", "", IF('Additional Documents-WUO_ERR'!A98 = "", "Validated", HYPERLINK("#" &amp; ADDRESS(98, 'Additional Documents-WUO_TRK'!A98),_xlfn.TEXTAFTER('Additional Documents-WUO_ERR'!A98, ":"))))</f>
        <v>0</v>
      </c>
    </row>
    <row r="99" spans="1:1">
      <c r="A99" s="39">
        <f>IF('Additional Documents'!B99 = "", "", IF('Additional Documents-WUO_ERR'!A99 = "", "Validated", HYPERLINK("#" &amp; ADDRESS(99, 'Additional Documents-WUO_TRK'!A99),_xlfn.TEXTAFTER('Additional Documents-WUO_ERR'!A99, ":"))))</f>
        <v>0</v>
      </c>
    </row>
    <row r="100" spans="1:1">
      <c r="A100" s="39">
        <f>IF('Additional Documents'!B100 = "", "", IF('Additional Documents-WUO_ERR'!A100 = "", "Validated", HYPERLINK("#" &amp; ADDRESS(100, 'Additional Documents-WUO_TRK'!A100),_xlfn.TEXTAFTER('Additional Documents-WUO_ERR'!A100, ":"))))</f>
        <v>0</v>
      </c>
    </row>
    <row r="101" spans="1:1">
      <c r="A101" s="39">
        <f>IF('Additional Documents'!B101 = "", "", IF('Additional Documents-WUO_ERR'!A101 = "", "Validated", HYPERLINK("#" &amp; ADDRESS(101, 'Additional Documents-WUO_TRK'!A101),_xlfn.TEXTAFTER('Additional Documents-WUO_ERR'!A101, ":"))))</f>
        <v>0</v>
      </c>
    </row>
    <row r="102" spans="1:1">
      <c r="A102" s="39">
        <f>IF('Additional Documents'!B102 = "", "", IF('Additional Documents-WUO_ERR'!A102 = "", "Validated", HYPERLINK("#" &amp; ADDRESS(102, 'Additional Documents-WUO_TRK'!A102),_xlfn.TEXTAFTER('Additional Documents-WUO_ERR'!A102, ":"))))</f>
        <v>0</v>
      </c>
    </row>
    <row r="103" spans="1:1">
      <c r="A103" s="39">
        <f>IF('Additional Documents'!B103 = "", "", IF('Additional Documents-WUO_ERR'!A103 = "", "Validated", HYPERLINK("#" &amp; ADDRESS(103, 'Additional Documents-WUO_TRK'!A103),_xlfn.TEXTAFTER('Additional Documents-WUO_ERR'!A103, ":"))))</f>
        <v>0</v>
      </c>
    </row>
    <row r="104" spans="1:1">
      <c r="A104" s="39">
        <f>IF('Additional Documents'!B104 = "", "", IF('Additional Documents-WUO_ERR'!A104 = "", "Validated", HYPERLINK("#" &amp; ADDRESS(104, 'Additional Documents-WUO_TRK'!A104),_xlfn.TEXTAFTER('Additional Documents-WUO_ERR'!A104, ":"))))</f>
        <v>0</v>
      </c>
    </row>
    <row r="105" spans="1:1">
      <c r="A105" s="39">
        <f>IF('Additional Documents'!B105 = "", "", IF('Additional Documents-WUO_ERR'!A105 = "", "Validated", HYPERLINK("#" &amp; ADDRESS(105, 'Additional Documents-WUO_TRK'!A105),_xlfn.TEXTAFTER('Additional Documents-WUO_ERR'!A105, ":"))))</f>
        <v>0</v>
      </c>
    </row>
    <row r="106" spans="1:1">
      <c r="A106" s="39">
        <f>IF('Additional Documents'!B106 = "", "", IF('Additional Documents-WUO_ERR'!A106 = "", "Validated", HYPERLINK("#" &amp; ADDRESS(106, 'Additional Documents-WUO_TRK'!A106),_xlfn.TEXTAFTER('Additional Documents-WUO_ERR'!A106, ":"))))</f>
        <v>0</v>
      </c>
    </row>
    <row r="107" spans="1:1">
      <c r="A107" s="39">
        <f>IF('Additional Documents'!B107 = "", "", IF('Additional Documents-WUO_ERR'!A107 = "", "Validated", HYPERLINK("#" &amp; ADDRESS(107, 'Additional Documents-WUO_TRK'!A107),_xlfn.TEXTAFTER('Additional Documents-WUO_ERR'!A107, ":"))))</f>
        <v>0</v>
      </c>
    </row>
    <row r="108" spans="1:1">
      <c r="A108" s="39">
        <f>IF('Additional Documents'!B108 = "", "", IF('Additional Documents-WUO_ERR'!A108 = "", "Validated", HYPERLINK("#" &amp; ADDRESS(108, 'Additional Documents-WUO_TRK'!A108),_xlfn.TEXTAFTER('Additional Documents-WUO_ERR'!A108, ":"))))</f>
        <v>0</v>
      </c>
    </row>
    <row r="109" spans="1:1">
      <c r="A109" s="39">
        <f>IF('Additional Documents'!B109 = "", "", IF('Additional Documents-WUO_ERR'!A109 = "", "Validated", HYPERLINK("#" &amp; ADDRESS(109, 'Additional Documents-WUO_TRK'!A109),_xlfn.TEXTAFTER('Additional Documents-WUO_ERR'!A109, ":"))))</f>
        <v>0</v>
      </c>
    </row>
    <row r="110" spans="1:1">
      <c r="A110" s="39">
        <f>IF('Additional Documents'!B110 = "", "", IF('Additional Documents-WUO_ERR'!A110 = "", "Validated", HYPERLINK("#" &amp; ADDRESS(110, 'Additional Documents-WUO_TRK'!A110),_xlfn.TEXTAFTER('Additional Documents-WUO_ERR'!A110, ":"))))</f>
        <v>0</v>
      </c>
    </row>
    <row r="111" spans="1:1">
      <c r="A111" s="39">
        <f>IF('Additional Documents'!B111 = "", "", IF('Additional Documents-WUO_ERR'!A111 = "", "Validated", HYPERLINK("#" &amp; ADDRESS(111, 'Additional Documents-WUO_TRK'!A111),_xlfn.TEXTAFTER('Additional Documents-WUO_ERR'!A111, ":"))))</f>
        <v>0</v>
      </c>
    </row>
    <row r="112" spans="1:1">
      <c r="A112" s="39">
        <f>IF('Additional Documents'!B112 = "", "", IF('Additional Documents-WUO_ERR'!A112 = "", "Validated", HYPERLINK("#" &amp; ADDRESS(112, 'Additional Documents-WUO_TRK'!A112),_xlfn.TEXTAFTER('Additional Documents-WUO_ERR'!A112, ":"))))</f>
        <v>0</v>
      </c>
    </row>
    <row r="113" spans="1:1">
      <c r="A113" s="39">
        <f>IF('Additional Documents'!B113 = "", "", IF('Additional Documents-WUO_ERR'!A113 = "", "Validated", HYPERLINK("#" &amp; ADDRESS(113, 'Additional Documents-WUO_TRK'!A113),_xlfn.TEXTAFTER('Additional Documents-WUO_ERR'!A113, ":"))))</f>
        <v>0</v>
      </c>
    </row>
    <row r="114" spans="1:1">
      <c r="A114" s="39">
        <f>IF('Additional Documents'!B114 = "", "", IF('Additional Documents-WUO_ERR'!A114 = "", "Validated", HYPERLINK("#" &amp; ADDRESS(114, 'Additional Documents-WUO_TRK'!A114),_xlfn.TEXTAFTER('Additional Documents-WUO_ERR'!A114, ":"))))</f>
        <v>0</v>
      </c>
    </row>
    <row r="115" spans="1:1">
      <c r="A115" s="39">
        <f>IF('Additional Documents'!B115 = "", "", IF('Additional Documents-WUO_ERR'!A115 = "", "Validated", HYPERLINK("#" &amp; ADDRESS(115, 'Additional Documents-WUO_TRK'!A115),_xlfn.TEXTAFTER('Additional Documents-WUO_ERR'!A115, ":"))))</f>
        <v>0</v>
      </c>
    </row>
    <row r="116" spans="1:1">
      <c r="A116" s="39">
        <f>IF('Additional Documents'!B116 = "", "", IF('Additional Documents-WUO_ERR'!A116 = "", "Validated", HYPERLINK("#" &amp; ADDRESS(116, 'Additional Documents-WUO_TRK'!A116),_xlfn.TEXTAFTER('Additional Documents-WUO_ERR'!A116, ":"))))</f>
        <v>0</v>
      </c>
    </row>
    <row r="117" spans="1:1">
      <c r="A117" s="39">
        <f>IF('Additional Documents'!B117 = "", "", IF('Additional Documents-WUO_ERR'!A117 = "", "Validated", HYPERLINK("#" &amp; ADDRESS(117, 'Additional Documents-WUO_TRK'!A117),_xlfn.TEXTAFTER('Additional Documents-WUO_ERR'!A117, ":"))))</f>
        <v>0</v>
      </c>
    </row>
    <row r="118" spans="1:1">
      <c r="A118" s="39">
        <f>IF('Additional Documents'!B118 = "", "", IF('Additional Documents-WUO_ERR'!A118 = "", "Validated", HYPERLINK("#" &amp; ADDRESS(118, 'Additional Documents-WUO_TRK'!A118),_xlfn.TEXTAFTER('Additional Documents-WUO_ERR'!A118, ":"))))</f>
        <v>0</v>
      </c>
    </row>
    <row r="119" spans="1:1">
      <c r="A119" s="39">
        <f>IF('Additional Documents'!B119 = "", "", IF('Additional Documents-WUO_ERR'!A119 = "", "Validated", HYPERLINK("#" &amp; ADDRESS(119, 'Additional Documents-WUO_TRK'!A119),_xlfn.TEXTAFTER('Additional Documents-WUO_ERR'!A119, ":"))))</f>
        <v>0</v>
      </c>
    </row>
    <row r="120" spans="1:1">
      <c r="A120" s="39">
        <f>IF('Additional Documents'!B120 = "", "", IF('Additional Documents-WUO_ERR'!A120 = "", "Validated", HYPERLINK("#" &amp; ADDRESS(120, 'Additional Documents-WUO_TRK'!A120),_xlfn.TEXTAFTER('Additional Documents-WUO_ERR'!A120, ":"))))</f>
        <v>0</v>
      </c>
    </row>
    <row r="121" spans="1:1">
      <c r="A121" s="39">
        <f>IF('Additional Documents'!B121 = "", "", IF('Additional Documents-WUO_ERR'!A121 = "", "Validated", HYPERLINK("#" &amp; ADDRESS(121, 'Additional Documents-WUO_TRK'!A121),_xlfn.TEXTAFTER('Additional Documents-WUO_ERR'!A121, ":"))))</f>
        <v>0</v>
      </c>
    </row>
    <row r="122" spans="1:1">
      <c r="A122" s="39">
        <f>IF('Additional Documents'!B122 = "", "", IF('Additional Documents-WUO_ERR'!A122 = "", "Validated", HYPERLINK("#" &amp; ADDRESS(122, 'Additional Documents-WUO_TRK'!A122),_xlfn.TEXTAFTER('Additional Documents-WUO_ERR'!A122, ":"))))</f>
        <v>0</v>
      </c>
    </row>
    <row r="123" spans="1:1">
      <c r="A123" s="39">
        <f>IF('Additional Documents'!B123 = "", "", IF('Additional Documents-WUO_ERR'!A123 = "", "Validated", HYPERLINK("#" &amp; ADDRESS(123, 'Additional Documents-WUO_TRK'!A123),_xlfn.TEXTAFTER('Additional Documents-WUO_ERR'!A123, ":"))))</f>
        <v>0</v>
      </c>
    </row>
    <row r="124" spans="1:1">
      <c r="A124" s="39">
        <f>IF('Additional Documents'!B124 = "", "", IF('Additional Documents-WUO_ERR'!A124 = "", "Validated", HYPERLINK("#" &amp; ADDRESS(124, 'Additional Documents-WUO_TRK'!A124),_xlfn.TEXTAFTER('Additional Documents-WUO_ERR'!A124, ":"))))</f>
        <v>0</v>
      </c>
    </row>
    <row r="125" spans="1:1">
      <c r="A125" s="39">
        <f>IF('Additional Documents'!B125 = "", "", IF('Additional Documents-WUO_ERR'!A125 = "", "Validated", HYPERLINK("#" &amp; ADDRESS(125, 'Additional Documents-WUO_TRK'!A125),_xlfn.TEXTAFTER('Additional Documents-WUO_ERR'!A125, ":"))))</f>
        <v>0</v>
      </c>
    </row>
    <row r="126" spans="1:1">
      <c r="A126" s="39">
        <f>IF('Additional Documents'!B126 = "", "", IF('Additional Documents-WUO_ERR'!A126 = "", "Validated", HYPERLINK("#" &amp; ADDRESS(126, 'Additional Documents-WUO_TRK'!A126),_xlfn.TEXTAFTER('Additional Documents-WUO_ERR'!A126, ":"))))</f>
        <v>0</v>
      </c>
    </row>
    <row r="127" spans="1:1">
      <c r="A127" s="39">
        <f>IF('Additional Documents'!B127 = "", "", IF('Additional Documents-WUO_ERR'!A127 = "", "Validated", HYPERLINK("#" &amp; ADDRESS(127, 'Additional Documents-WUO_TRK'!A127),_xlfn.TEXTAFTER('Additional Documents-WUO_ERR'!A127, ":"))))</f>
        <v>0</v>
      </c>
    </row>
    <row r="128" spans="1:1">
      <c r="A128" s="39">
        <f>IF('Additional Documents'!B128 = "", "", IF('Additional Documents-WUO_ERR'!A128 = "", "Validated", HYPERLINK("#" &amp; ADDRESS(128, 'Additional Documents-WUO_TRK'!A128),_xlfn.TEXTAFTER('Additional Documents-WUO_ERR'!A128, ":"))))</f>
        <v>0</v>
      </c>
    </row>
    <row r="129" spans="1:1">
      <c r="A129" s="39">
        <f>IF('Additional Documents'!B129 = "", "", IF('Additional Documents-WUO_ERR'!A129 = "", "Validated", HYPERLINK("#" &amp; ADDRESS(129, 'Additional Documents-WUO_TRK'!A129),_xlfn.TEXTAFTER('Additional Documents-WUO_ERR'!A129, ":"))))</f>
        <v>0</v>
      </c>
    </row>
    <row r="130" spans="1:1">
      <c r="A130" s="39">
        <f>IF('Additional Documents'!B130 = "", "", IF('Additional Documents-WUO_ERR'!A130 = "", "Validated", HYPERLINK("#" &amp; ADDRESS(130, 'Additional Documents-WUO_TRK'!A130),_xlfn.TEXTAFTER('Additional Documents-WUO_ERR'!A130, ":"))))</f>
        <v>0</v>
      </c>
    </row>
    <row r="131" spans="1:1">
      <c r="A131" s="39">
        <f>IF('Additional Documents'!B131 = "", "", IF('Additional Documents-WUO_ERR'!A131 = "", "Validated", HYPERLINK("#" &amp; ADDRESS(131, 'Additional Documents-WUO_TRK'!A131),_xlfn.TEXTAFTER('Additional Documents-WUO_ERR'!A131, ":"))))</f>
        <v>0</v>
      </c>
    </row>
    <row r="132" spans="1:1">
      <c r="A132" s="39">
        <f>IF('Additional Documents'!B132 = "", "", IF('Additional Documents-WUO_ERR'!A132 = "", "Validated", HYPERLINK("#" &amp; ADDRESS(132, 'Additional Documents-WUO_TRK'!A132),_xlfn.TEXTAFTER('Additional Documents-WUO_ERR'!A132, ":"))))</f>
        <v>0</v>
      </c>
    </row>
    <row r="133" spans="1:1">
      <c r="A133" s="39">
        <f>IF('Additional Documents'!B133 = "", "", IF('Additional Documents-WUO_ERR'!A133 = "", "Validated", HYPERLINK("#" &amp; ADDRESS(133, 'Additional Documents-WUO_TRK'!A133),_xlfn.TEXTAFTER('Additional Documents-WUO_ERR'!A133, ":"))))</f>
        <v>0</v>
      </c>
    </row>
    <row r="134" spans="1:1">
      <c r="A134" s="39">
        <f>IF('Additional Documents'!B134 = "", "", IF('Additional Documents-WUO_ERR'!A134 = "", "Validated", HYPERLINK("#" &amp; ADDRESS(134, 'Additional Documents-WUO_TRK'!A134),_xlfn.TEXTAFTER('Additional Documents-WUO_ERR'!A134, ":"))))</f>
        <v>0</v>
      </c>
    </row>
    <row r="135" spans="1:1">
      <c r="A135" s="39">
        <f>IF('Additional Documents'!B135 = "", "", IF('Additional Documents-WUO_ERR'!A135 = "", "Validated", HYPERLINK("#" &amp; ADDRESS(135, 'Additional Documents-WUO_TRK'!A135),_xlfn.TEXTAFTER('Additional Documents-WUO_ERR'!A135, ":"))))</f>
        <v>0</v>
      </c>
    </row>
    <row r="136" spans="1:1">
      <c r="A136" s="39">
        <f>IF('Additional Documents'!B136 = "", "", IF('Additional Documents-WUO_ERR'!A136 = "", "Validated", HYPERLINK("#" &amp; ADDRESS(136, 'Additional Documents-WUO_TRK'!A136),_xlfn.TEXTAFTER('Additional Documents-WUO_ERR'!A136, ":"))))</f>
        <v>0</v>
      </c>
    </row>
    <row r="137" spans="1:1">
      <c r="A137" s="39">
        <f>IF('Additional Documents'!B137 = "", "", IF('Additional Documents-WUO_ERR'!A137 = "", "Validated", HYPERLINK("#" &amp; ADDRESS(137, 'Additional Documents-WUO_TRK'!A137),_xlfn.TEXTAFTER('Additional Documents-WUO_ERR'!A137, ":"))))</f>
        <v>0</v>
      </c>
    </row>
    <row r="138" spans="1:1">
      <c r="A138" s="39">
        <f>IF('Additional Documents'!B138 = "", "", IF('Additional Documents-WUO_ERR'!A138 = "", "Validated", HYPERLINK("#" &amp; ADDRESS(138, 'Additional Documents-WUO_TRK'!A138),_xlfn.TEXTAFTER('Additional Documents-WUO_ERR'!A138, ":"))))</f>
        <v>0</v>
      </c>
    </row>
    <row r="139" spans="1:1">
      <c r="A139" s="39">
        <f>IF('Additional Documents'!B139 = "", "", IF('Additional Documents-WUO_ERR'!A139 = "", "Validated", HYPERLINK("#" &amp; ADDRESS(139, 'Additional Documents-WUO_TRK'!A139),_xlfn.TEXTAFTER('Additional Documents-WUO_ERR'!A139, ":"))))</f>
        <v>0</v>
      </c>
    </row>
    <row r="140" spans="1:1">
      <c r="A140" s="39">
        <f>IF('Additional Documents'!B140 = "", "", IF('Additional Documents-WUO_ERR'!A140 = "", "Validated", HYPERLINK("#" &amp; ADDRESS(140, 'Additional Documents-WUO_TRK'!A140),_xlfn.TEXTAFTER('Additional Documents-WUO_ERR'!A140, ":"))))</f>
        <v>0</v>
      </c>
    </row>
    <row r="141" spans="1:1">
      <c r="A141" s="39">
        <f>IF('Additional Documents'!B141 = "", "", IF('Additional Documents-WUO_ERR'!A141 = "", "Validated", HYPERLINK("#" &amp; ADDRESS(141, 'Additional Documents-WUO_TRK'!A141),_xlfn.TEXTAFTER('Additional Documents-WUO_ERR'!A141, ":"))))</f>
        <v>0</v>
      </c>
    </row>
    <row r="142" spans="1:1">
      <c r="A142" s="39">
        <f>IF('Additional Documents'!B142 = "", "", IF('Additional Documents-WUO_ERR'!A142 = "", "Validated", HYPERLINK("#" &amp; ADDRESS(142, 'Additional Documents-WUO_TRK'!A142),_xlfn.TEXTAFTER('Additional Documents-WUO_ERR'!A142, ":"))))</f>
        <v>0</v>
      </c>
    </row>
    <row r="143" spans="1:1">
      <c r="A143" s="39">
        <f>IF('Additional Documents'!B143 = "", "", IF('Additional Documents-WUO_ERR'!A143 = "", "Validated", HYPERLINK("#" &amp; ADDRESS(143, 'Additional Documents-WUO_TRK'!A143),_xlfn.TEXTAFTER('Additional Documents-WUO_ERR'!A143, ":"))))</f>
        <v>0</v>
      </c>
    </row>
    <row r="144" spans="1:1">
      <c r="A144" s="39">
        <f>IF('Additional Documents'!B144 = "", "", IF('Additional Documents-WUO_ERR'!A144 = "", "Validated", HYPERLINK("#" &amp; ADDRESS(144, 'Additional Documents-WUO_TRK'!A144),_xlfn.TEXTAFTER('Additional Documents-WUO_ERR'!A144, ":"))))</f>
        <v>0</v>
      </c>
    </row>
    <row r="145" spans="1:1">
      <c r="A145" s="39">
        <f>IF('Additional Documents'!B145 = "", "", IF('Additional Documents-WUO_ERR'!A145 = "", "Validated", HYPERLINK("#" &amp; ADDRESS(145, 'Additional Documents-WUO_TRK'!A145),_xlfn.TEXTAFTER('Additional Documents-WUO_ERR'!A145, ":"))))</f>
        <v>0</v>
      </c>
    </row>
    <row r="146" spans="1:1">
      <c r="A146" s="39">
        <f>IF('Additional Documents'!B146 = "", "", IF('Additional Documents-WUO_ERR'!A146 = "", "Validated", HYPERLINK("#" &amp; ADDRESS(146, 'Additional Documents-WUO_TRK'!A146),_xlfn.TEXTAFTER('Additional Documents-WUO_ERR'!A146, ":"))))</f>
        <v>0</v>
      </c>
    </row>
    <row r="147" spans="1:1">
      <c r="A147" s="39">
        <f>IF('Additional Documents'!B147 = "", "", IF('Additional Documents-WUO_ERR'!A147 = "", "Validated", HYPERLINK("#" &amp; ADDRESS(147, 'Additional Documents-WUO_TRK'!A147),_xlfn.TEXTAFTER('Additional Documents-WUO_ERR'!A147, ":"))))</f>
        <v>0</v>
      </c>
    </row>
    <row r="148" spans="1:1">
      <c r="A148" s="39">
        <f>IF('Additional Documents'!B148 = "", "", IF('Additional Documents-WUO_ERR'!A148 = "", "Validated", HYPERLINK("#" &amp; ADDRESS(148, 'Additional Documents-WUO_TRK'!A148),_xlfn.TEXTAFTER('Additional Documents-WUO_ERR'!A148, ":"))))</f>
        <v>0</v>
      </c>
    </row>
    <row r="149" spans="1:1">
      <c r="A149" s="39">
        <f>IF('Additional Documents'!B149 = "", "", IF('Additional Documents-WUO_ERR'!A149 = "", "Validated", HYPERLINK("#" &amp; ADDRESS(149, 'Additional Documents-WUO_TRK'!A149),_xlfn.TEXTAFTER('Additional Documents-WUO_ERR'!A149, ":"))))</f>
        <v>0</v>
      </c>
    </row>
    <row r="150" spans="1:1">
      <c r="A150" s="39">
        <f>IF('Additional Documents'!B150 = "", "", IF('Additional Documents-WUO_ERR'!A150 = "", "Validated", HYPERLINK("#" &amp; ADDRESS(150, 'Additional Documents-WUO_TRK'!A150),_xlfn.TEXTAFTER('Additional Documents-WUO_ERR'!A150, ":"))))</f>
        <v>0</v>
      </c>
    </row>
    <row r="151" spans="1:1">
      <c r="A151" s="39">
        <f>IF('Additional Documents'!B151 = "", "", IF('Additional Documents-WUO_ERR'!A151 = "", "Validated", HYPERLINK("#" &amp; ADDRESS(151, 'Additional Documents-WUO_TRK'!A151),_xlfn.TEXTAFTER('Additional Documents-WUO_ERR'!A151, ":"))))</f>
        <v>0</v>
      </c>
    </row>
    <row r="152" spans="1:1">
      <c r="A152" s="39">
        <f>IF('Additional Documents'!B152 = "", "", IF('Additional Documents-WUO_ERR'!A152 = "", "Validated", HYPERLINK("#" &amp; ADDRESS(152, 'Additional Documents-WUO_TRK'!A152),_xlfn.TEXTAFTER('Additional Documents-WUO_ERR'!A152, ":"))))</f>
        <v>0</v>
      </c>
    </row>
    <row r="153" spans="1:1">
      <c r="A153" s="39">
        <f>IF('Additional Documents'!B153 = "", "", IF('Additional Documents-WUO_ERR'!A153 = "", "Validated", HYPERLINK("#" &amp; ADDRESS(153, 'Additional Documents-WUO_TRK'!A153),_xlfn.TEXTAFTER('Additional Documents-WUO_ERR'!A153, ":"))))</f>
        <v>0</v>
      </c>
    </row>
    <row r="154" spans="1:1">
      <c r="A154" s="39">
        <f>IF('Additional Documents'!B154 = "", "", IF('Additional Documents-WUO_ERR'!A154 = "", "Validated", HYPERLINK("#" &amp; ADDRESS(154, 'Additional Documents-WUO_TRK'!A154),_xlfn.TEXTAFTER('Additional Documents-WUO_ERR'!A154, ":"))))</f>
        <v>0</v>
      </c>
    </row>
    <row r="155" spans="1:1">
      <c r="A155" s="39">
        <f>IF('Additional Documents'!B155 = "", "", IF('Additional Documents-WUO_ERR'!A155 = "", "Validated", HYPERLINK("#" &amp; ADDRESS(155, 'Additional Documents-WUO_TRK'!A155),_xlfn.TEXTAFTER('Additional Documents-WUO_ERR'!A155, ":"))))</f>
        <v>0</v>
      </c>
    </row>
    <row r="156" spans="1:1">
      <c r="A156" s="39">
        <f>IF('Additional Documents'!B156 = "", "", IF('Additional Documents-WUO_ERR'!A156 = "", "Validated", HYPERLINK("#" &amp; ADDRESS(156, 'Additional Documents-WUO_TRK'!A156),_xlfn.TEXTAFTER('Additional Documents-WUO_ERR'!A156, ":"))))</f>
        <v>0</v>
      </c>
    </row>
    <row r="157" spans="1:1">
      <c r="A157" s="39">
        <f>IF('Additional Documents'!B157 = "", "", IF('Additional Documents-WUO_ERR'!A157 = "", "Validated", HYPERLINK("#" &amp; ADDRESS(157, 'Additional Documents-WUO_TRK'!A157),_xlfn.TEXTAFTER('Additional Documents-WUO_ERR'!A157, ":"))))</f>
        <v>0</v>
      </c>
    </row>
    <row r="158" spans="1:1">
      <c r="A158" s="39">
        <f>IF('Additional Documents'!B158 = "", "", IF('Additional Documents-WUO_ERR'!A158 = "", "Validated", HYPERLINK("#" &amp; ADDRESS(158, 'Additional Documents-WUO_TRK'!A158),_xlfn.TEXTAFTER('Additional Documents-WUO_ERR'!A158, ":"))))</f>
        <v>0</v>
      </c>
    </row>
    <row r="159" spans="1:1">
      <c r="A159" s="39">
        <f>IF('Additional Documents'!B159 = "", "", IF('Additional Documents-WUO_ERR'!A159 = "", "Validated", HYPERLINK("#" &amp; ADDRESS(159, 'Additional Documents-WUO_TRK'!A159),_xlfn.TEXTAFTER('Additional Documents-WUO_ERR'!A159, ":"))))</f>
        <v>0</v>
      </c>
    </row>
    <row r="160" spans="1:1">
      <c r="A160" s="39">
        <f>IF('Additional Documents'!B160 = "", "", IF('Additional Documents-WUO_ERR'!A160 = "", "Validated", HYPERLINK("#" &amp; ADDRESS(160, 'Additional Documents-WUO_TRK'!A160),_xlfn.TEXTAFTER('Additional Documents-WUO_ERR'!A160, ":"))))</f>
        <v>0</v>
      </c>
    </row>
    <row r="161" spans="1:1">
      <c r="A161" s="39">
        <f>IF('Additional Documents'!B161 = "", "", IF('Additional Documents-WUO_ERR'!A161 = "", "Validated", HYPERLINK("#" &amp; ADDRESS(161, 'Additional Documents-WUO_TRK'!A161),_xlfn.TEXTAFTER('Additional Documents-WUO_ERR'!A161, ":"))))</f>
        <v>0</v>
      </c>
    </row>
    <row r="162" spans="1:1">
      <c r="A162" s="39">
        <f>IF('Additional Documents'!B162 = "", "", IF('Additional Documents-WUO_ERR'!A162 = "", "Validated", HYPERLINK("#" &amp; ADDRESS(162, 'Additional Documents-WUO_TRK'!A162),_xlfn.TEXTAFTER('Additional Documents-WUO_ERR'!A162, ":"))))</f>
        <v>0</v>
      </c>
    </row>
    <row r="163" spans="1:1">
      <c r="A163" s="39">
        <f>IF('Additional Documents'!B163 = "", "", IF('Additional Documents-WUO_ERR'!A163 = "", "Validated", HYPERLINK("#" &amp; ADDRESS(163, 'Additional Documents-WUO_TRK'!A163),_xlfn.TEXTAFTER('Additional Documents-WUO_ERR'!A163, ":"))))</f>
        <v>0</v>
      </c>
    </row>
    <row r="164" spans="1:1">
      <c r="A164" s="39">
        <f>IF('Additional Documents'!B164 = "", "", IF('Additional Documents-WUO_ERR'!A164 = "", "Validated", HYPERLINK("#" &amp; ADDRESS(164, 'Additional Documents-WUO_TRK'!A164),_xlfn.TEXTAFTER('Additional Documents-WUO_ERR'!A164, ":"))))</f>
        <v>0</v>
      </c>
    </row>
    <row r="165" spans="1:1">
      <c r="A165" s="39">
        <f>IF('Additional Documents'!B165 = "", "", IF('Additional Documents-WUO_ERR'!A165 = "", "Validated", HYPERLINK("#" &amp; ADDRESS(165, 'Additional Documents-WUO_TRK'!A165),_xlfn.TEXTAFTER('Additional Documents-WUO_ERR'!A165, ":"))))</f>
        <v>0</v>
      </c>
    </row>
    <row r="166" spans="1:1">
      <c r="A166" s="39">
        <f>IF('Additional Documents'!B166 = "", "", IF('Additional Documents-WUO_ERR'!A166 = "", "Validated", HYPERLINK("#" &amp; ADDRESS(166, 'Additional Documents-WUO_TRK'!A166),_xlfn.TEXTAFTER('Additional Documents-WUO_ERR'!A166, ":"))))</f>
        <v>0</v>
      </c>
    </row>
    <row r="167" spans="1:1">
      <c r="A167" s="39">
        <f>IF('Additional Documents'!B167 = "", "", IF('Additional Documents-WUO_ERR'!A167 = "", "Validated", HYPERLINK("#" &amp; ADDRESS(167, 'Additional Documents-WUO_TRK'!A167),_xlfn.TEXTAFTER('Additional Documents-WUO_ERR'!A167, ":"))))</f>
        <v>0</v>
      </c>
    </row>
    <row r="168" spans="1:1">
      <c r="A168" s="39">
        <f>IF('Additional Documents'!B168 = "", "", IF('Additional Documents-WUO_ERR'!A168 = "", "Validated", HYPERLINK("#" &amp; ADDRESS(168, 'Additional Documents-WUO_TRK'!A168),_xlfn.TEXTAFTER('Additional Documents-WUO_ERR'!A168, ":"))))</f>
        <v>0</v>
      </c>
    </row>
    <row r="169" spans="1:1">
      <c r="A169" s="39">
        <f>IF('Additional Documents'!B169 = "", "", IF('Additional Documents-WUO_ERR'!A169 = "", "Validated", HYPERLINK("#" &amp; ADDRESS(169, 'Additional Documents-WUO_TRK'!A169),_xlfn.TEXTAFTER('Additional Documents-WUO_ERR'!A169, ":"))))</f>
        <v>0</v>
      </c>
    </row>
    <row r="170" spans="1:1">
      <c r="A170" s="39">
        <f>IF('Additional Documents'!B170 = "", "", IF('Additional Documents-WUO_ERR'!A170 = "", "Validated", HYPERLINK("#" &amp; ADDRESS(170, 'Additional Documents-WUO_TRK'!A170),_xlfn.TEXTAFTER('Additional Documents-WUO_ERR'!A170, ":"))))</f>
        <v>0</v>
      </c>
    </row>
    <row r="171" spans="1:1">
      <c r="A171" s="39">
        <f>IF('Additional Documents'!B171 = "", "", IF('Additional Documents-WUO_ERR'!A171 = "", "Validated", HYPERLINK("#" &amp; ADDRESS(171, 'Additional Documents-WUO_TRK'!A171),_xlfn.TEXTAFTER('Additional Documents-WUO_ERR'!A171, ":"))))</f>
        <v>0</v>
      </c>
    </row>
    <row r="172" spans="1:1">
      <c r="A172" s="39">
        <f>IF('Additional Documents'!B172 = "", "", IF('Additional Documents-WUO_ERR'!A172 = "", "Validated", HYPERLINK("#" &amp; ADDRESS(172, 'Additional Documents-WUO_TRK'!A172),_xlfn.TEXTAFTER('Additional Documents-WUO_ERR'!A172, ":"))))</f>
        <v>0</v>
      </c>
    </row>
    <row r="173" spans="1:1">
      <c r="A173" s="39">
        <f>IF('Additional Documents'!B173 = "", "", IF('Additional Documents-WUO_ERR'!A173 = "", "Validated", HYPERLINK("#" &amp; ADDRESS(173, 'Additional Documents-WUO_TRK'!A173),_xlfn.TEXTAFTER('Additional Documents-WUO_ERR'!A173, ":"))))</f>
        <v>0</v>
      </c>
    </row>
    <row r="174" spans="1:1">
      <c r="A174" s="39">
        <f>IF('Additional Documents'!B174 = "", "", IF('Additional Documents-WUO_ERR'!A174 = "", "Validated", HYPERLINK("#" &amp; ADDRESS(174, 'Additional Documents-WUO_TRK'!A174),_xlfn.TEXTAFTER('Additional Documents-WUO_ERR'!A174, ":"))))</f>
        <v>0</v>
      </c>
    </row>
    <row r="175" spans="1:1">
      <c r="A175" s="39">
        <f>IF('Additional Documents'!B175 = "", "", IF('Additional Documents-WUO_ERR'!A175 = "", "Validated", HYPERLINK("#" &amp; ADDRESS(175, 'Additional Documents-WUO_TRK'!A175),_xlfn.TEXTAFTER('Additional Documents-WUO_ERR'!A175, ":"))))</f>
        <v>0</v>
      </c>
    </row>
    <row r="176" spans="1:1">
      <c r="A176" s="39">
        <f>IF('Additional Documents'!B176 = "", "", IF('Additional Documents-WUO_ERR'!A176 = "", "Validated", HYPERLINK("#" &amp; ADDRESS(176, 'Additional Documents-WUO_TRK'!A176),_xlfn.TEXTAFTER('Additional Documents-WUO_ERR'!A176, ":"))))</f>
        <v>0</v>
      </c>
    </row>
    <row r="177" spans="1:1">
      <c r="A177" s="39">
        <f>IF('Additional Documents'!B177 = "", "", IF('Additional Documents-WUO_ERR'!A177 = "", "Validated", HYPERLINK("#" &amp; ADDRESS(177, 'Additional Documents-WUO_TRK'!A177),_xlfn.TEXTAFTER('Additional Documents-WUO_ERR'!A177, ":"))))</f>
        <v>0</v>
      </c>
    </row>
    <row r="178" spans="1:1">
      <c r="A178" s="39">
        <f>IF('Additional Documents'!B178 = "", "", IF('Additional Documents-WUO_ERR'!A178 = "", "Validated", HYPERLINK("#" &amp; ADDRESS(178, 'Additional Documents-WUO_TRK'!A178),_xlfn.TEXTAFTER('Additional Documents-WUO_ERR'!A178, ":"))))</f>
        <v>0</v>
      </c>
    </row>
    <row r="179" spans="1:1">
      <c r="A179" s="39">
        <f>IF('Additional Documents'!B179 = "", "", IF('Additional Documents-WUO_ERR'!A179 = "", "Validated", HYPERLINK("#" &amp; ADDRESS(179, 'Additional Documents-WUO_TRK'!A179),_xlfn.TEXTAFTER('Additional Documents-WUO_ERR'!A179, ":"))))</f>
        <v>0</v>
      </c>
    </row>
    <row r="180" spans="1:1">
      <c r="A180" s="39">
        <f>IF('Additional Documents'!B180 = "", "", IF('Additional Documents-WUO_ERR'!A180 = "", "Validated", HYPERLINK("#" &amp; ADDRESS(180, 'Additional Documents-WUO_TRK'!A180),_xlfn.TEXTAFTER('Additional Documents-WUO_ERR'!A180, ":"))))</f>
        <v>0</v>
      </c>
    </row>
    <row r="181" spans="1:1">
      <c r="A181" s="39">
        <f>IF('Additional Documents'!B181 = "", "", IF('Additional Documents-WUO_ERR'!A181 = "", "Validated", HYPERLINK("#" &amp; ADDRESS(181, 'Additional Documents-WUO_TRK'!A181),_xlfn.TEXTAFTER('Additional Documents-WUO_ERR'!A181, ":"))))</f>
        <v>0</v>
      </c>
    </row>
    <row r="182" spans="1:1">
      <c r="A182" s="39">
        <f>IF('Additional Documents'!B182 = "", "", IF('Additional Documents-WUO_ERR'!A182 = "", "Validated", HYPERLINK("#" &amp; ADDRESS(182, 'Additional Documents-WUO_TRK'!A182),_xlfn.TEXTAFTER('Additional Documents-WUO_ERR'!A182, ":"))))</f>
        <v>0</v>
      </c>
    </row>
    <row r="183" spans="1:1">
      <c r="A183" s="39">
        <f>IF('Additional Documents'!B183 = "", "", IF('Additional Documents-WUO_ERR'!A183 = "", "Validated", HYPERLINK("#" &amp; ADDRESS(183, 'Additional Documents-WUO_TRK'!A183),_xlfn.TEXTAFTER('Additional Documents-WUO_ERR'!A183, ":"))))</f>
        <v>0</v>
      </c>
    </row>
    <row r="184" spans="1:1">
      <c r="A184" s="39">
        <f>IF('Additional Documents'!B184 = "", "", IF('Additional Documents-WUO_ERR'!A184 = "", "Validated", HYPERLINK("#" &amp; ADDRESS(184, 'Additional Documents-WUO_TRK'!A184),_xlfn.TEXTAFTER('Additional Documents-WUO_ERR'!A184, ":"))))</f>
        <v>0</v>
      </c>
    </row>
    <row r="185" spans="1:1">
      <c r="A185" s="39">
        <f>IF('Additional Documents'!B185 = "", "", IF('Additional Documents-WUO_ERR'!A185 = "", "Validated", HYPERLINK("#" &amp; ADDRESS(185, 'Additional Documents-WUO_TRK'!A185),_xlfn.TEXTAFTER('Additional Documents-WUO_ERR'!A185, ":"))))</f>
        <v>0</v>
      </c>
    </row>
    <row r="186" spans="1:1">
      <c r="A186" s="39">
        <f>IF('Additional Documents'!B186 = "", "", IF('Additional Documents-WUO_ERR'!A186 = "", "Validated", HYPERLINK("#" &amp; ADDRESS(186, 'Additional Documents-WUO_TRK'!A186),_xlfn.TEXTAFTER('Additional Documents-WUO_ERR'!A186, ":"))))</f>
        <v>0</v>
      </c>
    </row>
    <row r="187" spans="1:1">
      <c r="A187" s="39">
        <f>IF('Additional Documents'!B187 = "", "", IF('Additional Documents-WUO_ERR'!A187 = "", "Validated", HYPERLINK("#" &amp; ADDRESS(187, 'Additional Documents-WUO_TRK'!A187),_xlfn.TEXTAFTER('Additional Documents-WUO_ERR'!A187, ":"))))</f>
        <v>0</v>
      </c>
    </row>
    <row r="188" spans="1:1">
      <c r="A188" s="39">
        <f>IF('Additional Documents'!B188 = "", "", IF('Additional Documents-WUO_ERR'!A188 = "", "Validated", HYPERLINK("#" &amp; ADDRESS(188, 'Additional Documents-WUO_TRK'!A188),_xlfn.TEXTAFTER('Additional Documents-WUO_ERR'!A188, ":"))))</f>
        <v>0</v>
      </c>
    </row>
    <row r="189" spans="1:1">
      <c r="A189" s="39">
        <f>IF('Additional Documents'!B189 = "", "", IF('Additional Documents-WUO_ERR'!A189 = "", "Validated", HYPERLINK("#" &amp; ADDRESS(189, 'Additional Documents-WUO_TRK'!A189),_xlfn.TEXTAFTER('Additional Documents-WUO_ERR'!A189, ":"))))</f>
        <v>0</v>
      </c>
    </row>
    <row r="190" spans="1:1">
      <c r="A190" s="39">
        <f>IF('Additional Documents'!B190 = "", "", IF('Additional Documents-WUO_ERR'!A190 = "", "Validated", HYPERLINK("#" &amp; ADDRESS(190, 'Additional Documents-WUO_TRK'!A190),_xlfn.TEXTAFTER('Additional Documents-WUO_ERR'!A190, ":"))))</f>
        <v>0</v>
      </c>
    </row>
    <row r="191" spans="1:1">
      <c r="A191" s="39">
        <f>IF('Additional Documents'!B191 = "", "", IF('Additional Documents-WUO_ERR'!A191 = "", "Validated", HYPERLINK("#" &amp; ADDRESS(191, 'Additional Documents-WUO_TRK'!A191),_xlfn.TEXTAFTER('Additional Documents-WUO_ERR'!A191, ":"))))</f>
        <v>0</v>
      </c>
    </row>
    <row r="192" spans="1:1">
      <c r="A192" s="39">
        <f>IF('Additional Documents'!B192 = "", "", IF('Additional Documents-WUO_ERR'!A192 = "", "Validated", HYPERLINK("#" &amp; ADDRESS(192, 'Additional Documents-WUO_TRK'!A192),_xlfn.TEXTAFTER('Additional Documents-WUO_ERR'!A192, ":"))))</f>
        <v>0</v>
      </c>
    </row>
    <row r="193" spans="1:1">
      <c r="A193" s="39">
        <f>IF('Additional Documents'!B193 = "", "", IF('Additional Documents-WUO_ERR'!A193 = "", "Validated", HYPERLINK("#" &amp; ADDRESS(193, 'Additional Documents-WUO_TRK'!A193),_xlfn.TEXTAFTER('Additional Documents-WUO_ERR'!A193, ":"))))</f>
        <v>0</v>
      </c>
    </row>
    <row r="194" spans="1:1">
      <c r="A194" s="39">
        <f>IF('Additional Documents'!B194 = "", "", IF('Additional Documents-WUO_ERR'!A194 = "", "Validated", HYPERLINK("#" &amp; ADDRESS(194, 'Additional Documents-WUO_TRK'!A194),_xlfn.TEXTAFTER('Additional Documents-WUO_ERR'!A194, ":"))))</f>
        <v>0</v>
      </c>
    </row>
    <row r="195" spans="1:1">
      <c r="A195" s="39">
        <f>IF('Additional Documents'!B195 = "", "", IF('Additional Documents-WUO_ERR'!A195 = "", "Validated", HYPERLINK("#" &amp; ADDRESS(195, 'Additional Documents-WUO_TRK'!A195),_xlfn.TEXTAFTER('Additional Documents-WUO_ERR'!A195, ":"))))</f>
        <v>0</v>
      </c>
    </row>
    <row r="196" spans="1:1">
      <c r="A196" s="39">
        <f>IF('Additional Documents'!B196 = "", "", IF('Additional Documents-WUO_ERR'!A196 = "", "Validated", HYPERLINK("#" &amp; ADDRESS(196, 'Additional Documents-WUO_TRK'!A196),_xlfn.TEXTAFTER('Additional Documents-WUO_ERR'!A196, ":"))))</f>
        <v>0</v>
      </c>
    </row>
    <row r="197" spans="1:1">
      <c r="A197" s="39">
        <f>IF('Additional Documents'!B197 = "", "", IF('Additional Documents-WUO_ERR'!A197 = "", "Validated", HYPERLINK("#" &amp; ADDRESS(197, 'Additional Documents-WUO_TRK'!A197),_xlfn.TEXTAFTER('Additional Documents-WUO_ERR'!A197, ":"))))</f>
        <v>0</v>
      </c>
    </row>
    <row r="198" spans="1:1">
      <c r="A198" s="39">
        <f>IF('Additional Documents'!B198 = "", "", IF('Additional Documents-WUO_ERR'!A198 = "", "Validated", HYPERLINK("#" &amp; ADDRESS(198, 'Additional Documents-WUO_TRK'!A198),_xlfn.TEXTAFTER('Additional Documents-WUO_ERR'!A198, ":"))))</f>
        <v>0</v>
      </c>
    </row>
    <row r="199" spans="1:1">
      <c r="A199" s="39">
        <f>IF('Additional Documents'!B199 = "", "", IF('Additional Documents-WUO_ERR'!A199 = "", "Validated", HYPERLINK("#" &amp; ADDRESS(199, 'Additional Documents-WUO_TRK'!A199),_xlfn.TEXTAFTER('Additional Documents-WUO_ERR'!A199, ":"))))</f>
        <v>0</v>
      </c>
    </row>
    <row r="200" spans="1:1">
      <c r="A200" s="39">
        <f>IF('Additional Documents'!B200 = "", "", IF('Additional Documents-WUO_ERR'!A200 = "", "Validated", HYPERLINK("#" &amp; ADDRESS(200, 'Additional Documents-WUO_TRK'!A200),_xlfn.TEXTAFTER('Additional Documents-WUO_ERR'!A200, ":"))))</f>
        <v>0</v>
      </c>
    </row>
    <row r="201" spans="1:1">
      <c r="A201" s="39">
        <f>IF('Additional Documents'!B201 = "", "", IF('Additional Documents-WUO_ERR'!A201 = "", "Validated", HYPERLINK("#" &amp; ADDRESS(201, 'Additional Documents-WUO_TRK'!A201),_xlfn.TEXTAFTER('Additional Documents-WUO_ERR'!A201, ":"))))</f>
        <v>0</v>
      </c>
    </row>
    <row r="202" spans="1:1">
      <c r="A202" s="39">
        <f>IF('Additional Documents'!B202 = "", "", IF('Additional Documents-WUO_ERR'!A202 = "", "Validated", HYPERLINK("#" &amp; ADDRESS(202, 'Additional Documents-WUO_TRK'!A202),_xlfn.TEXTAFTER('Additional Documents-WUO_ERR'!A202, ":"))))</f>
        <v>0</v>
      </c>
    </row>
    <row r="203" spans="1:1">
      <c r="A203" s="39">
        <f>IF('Additional Documents'!B203 = "", "", IF('Additional Documents-WUO_ERR'!A203 = "", "Validated", HYPERLINK("#" &amp; ADDRESS(203, 'Additional Documents-WUO_TRK'!A203),_xlfn.TEXTAFTER('Additional Documents-WUO_ERR'!A203, ":"))))</f>
        <v>0</v>
      </c>
    </row>
    <row r="204" spans="1:1">
      <c r="A204" s="39">
        <f>IF('Additional Documents'!B204 = "", "", IF('Additional Documents-WUO_ERR'!A204 = "", "Validated", HYPERLINK("#" &amp; ADDRESS(204, 'Additional Documents-WUO_TRK'!A204),_xlfn.TEXTAFTER('Additional Documents-WUO_ERR'!A204, ":"))))</f>
        <v>0</v>
      </c>
    </row>
    <row r="205" spans="1:1">
      <c r="A205" s="39">
        <f>IF('Additional Documents'!B205 = "", "", IF('Additional Documents-WUO_ERR'!A205 = "", "Validated", HYPERLINK("#" &amp; ADDRESS(205, 'Additional Documents-WUO_TRK'!A205),_xlfn.TEXTAFTER('Additional Documents-WUO_ERR'!A205, ":"))))</f>
        <v>0</v>
      </c>
    </row>
    <row r="206" spans="1:1">
      <c r="A206" s="39">
        <f>IF('Additional Documents'!B206 = "", "", IF('Additional Documents-WUO_ERR'!A206 = "", "Validated", HYPERLINK("#" &amp; ADDRESS(206, 'Additional Documents-WUO_TRK'!A206),_xlfn.TEXTAFTER('Additional Documents-WUO_ERR'!A206, ":"))))</f>
        <v>0</v>
      </c>
    </row>
    <row r="207" spans="1:1">
      <c r="A207" s="39">
        <f>IF('Additional Documents'!B207 = "", "", IF('Additional Documents-WUO_ERR'!A207 = "", "Validated", HYPERLINK("#" &amp; ADDRESS(207, 'Additional Documents-WUO_TRK'!A207),_xlfn.TEXTAFTER('Additional Documents-WUO_ERR'!A207, ":"))))</f>
        <v>0</v>
      </c>
    </row>
    <row r="208" spans="1:1">
      <c r="A208" s="39">
        <f>IF('Additional Documents'!B208 = "", "", IF('Additional Documents-WUO_ERR'!A208 = "", "Validated", HYPERLINK("#" &amp; ADDRESS(208, 'Additional Documents-WUO_TRK'!A208),_xlfn.TEXTAFTER('Additional Documents-WUO_ERR'!A208, ":"))))</f>
        <v>0</v>
      </c>
    </row>
    <row r="209" spans="1:1">
      <c r="A209" s="39">
        <f>IF('Additional Documents'!B209 = "", "", IF('Additional Documents-WUO_ERR'!A209 = "", "Validated", HYPERLINK("#" &amp; ADDRESS(209, 'Additional Documents-WUO_TRK'!A209),_xlfn.TEXTAFTER('Additional Documents-WUO_ERR'!A209, ":"))))</f>
        <v>0</v>
      </c>
    </row>
    <row r="210" spans="1:1">
      <c r="A210" s="39">
        <f>IF('Additional Documents'!B210 = "", "", IF('Additional Documents-WUO_ERR'!A210 = "", "Validated", HYPERLINK("#" &amp; ADDRESS(210, 'Additional Documents-WUO_TRK'!A210),_xlfn.TEXTAFTER('Additional Documents-WUO_ERR'!A210, ":"))))</f>
        <v>0</v>
      </c>
    </row>
    <row r="211" spans="1:1">
      <c r="A211" s="39">
        <f>IF('Additional Documents'!B211 = "", "", IF('Additional Documents-WUO_ERR'!A211 = "", "Validated", HYPERLINK("#" &amp; ADDRESS(211, 'Additional Documents-WUO_TRK'!A211),_xlfn.TEXTAFTER('Additional Documents-WUO_ERR'!A211, ":"))))</f>
        <v>0</v>
      </c>
    </row>
    <row r="212" spans="1:1">
      <c r="A212" s="39">
        <f>IF('Additional Documents'!B212 = "", "", IF('Additional Documents-WUO_ERR'!A212 = "", "Validated", HYPERLINK("#" &amp; ADDRESS(212, 'Additional Documents-WUO_TRK'!A212),_xlfn.TEXTAFTER('Additional Documents-WUO_ERR'!A212, ":"))))</f>
        <v>0</v>
      </c>
    </row>
    <row r="213" spans="1:1">
      <c r="A213" s="39">
        <f>IF('Additional Documents'!B213 = "", "", IF('Additional Documents-WUO_ERR'!A213 = "", "Validated", HYPERLINK("#" &amp; ADDRESS(213, 'Additional Documents-WUO_TRK'!A213),_xlfn.TEXTAFTER('Additional Documents-WUO_ERR'!A213, ":"))))</f>
        <v>0</v>
      </c>
    </row>
    <row r="214" spans="1:1">
      <c r="A214" s="39">
        <f>IF('Additional Documents'!B214 = "", "", IF('Additional Documents-WUO_ERR'!A214 = "", "Validated", HYPERLINK("#" &amp; ADDRESS(214, 'Additional Documents-WUO_TRK'!A214),_xlfn.TEXTAFTER('Additional Documents-WUO_ERR'!A214, ":"))))</f>
        <v>0</v>
      </c>
    </row>
    <row r="215" spans="1:1">
      <c r="A215" s="39">
        <f>IF('Additional Documents'!B215 = "", "", IF('Additional Documents-WUO_ERR'!A215 = "", "Validated", HYPERLINK("#" &amp; ADDRESS(215, 'Additional Documents-WUO_TRK'!A215),_xlfn.TEXTAFTER('Additional Documents-WUO_ERR'!A215, ":"))))</f>
        <v>0</v>
      </c>
    </row>
    <row r="216" spans="1:1">
      <c r="A216" s="39">
        <f>IF('Additional Documents'!B216 = "", "", IF('Additional Documents-WUO_ERR'!A216 = "", "Validated", HYPERLINK("#" &amp; ADDRESS(216, 'Additional Documents-WUO_TRK'!A216),_xlfn.TEXTAFTER('Additional Documents-WUO_ERR'!A216, ":"))))</f>
        <v>0</v>
      </c>
    </row>
    <row r="217" spans="1:1">
      <c r="A217" s="39">
        <f>IF('Additional Documents'!B217 = "", "", IF('Additional Documents-WUO_ERR'!A217 = "", "Validated", HYPERLINK("#" &amp; ADDRESS(217, 'Additional Documents-WUO_TRK'!A217),_xlfn.TEXTAFTER('Additional Documents-WUO_ERR'!A217, ":"))))</f>
        <v>0</v>
      </c>
    </row>
    <row r="218" spans="1:1">
      <c r="A218" s="39">
        <f>IF('Additional Documents'!B218 = "", "", IF('Additional Documents-WUO_ERR'!A218 = "", "Validated", HYPERLINK("#" &amp; ADDRESS(218, 'Additional Documents-WUO_TRK'!A218),_xlfn.TEXTAFTER('Additional Documents-WUO_ERR'!A218, ":"))))</f>
        <v>0</v>
      </c>
    </row>
    <row r="219" spans="1:1">
      <c r="A219" s="39">
        <f>IF('Additional Documents'!B219 = "", "", IF('Additional Documents-WUO_ERR'!A219 = "", "Validated", HYPERLINK("#" &amp; ADDRESS(219, 'Additional Documents-WUO_TRK'!A219),_xlfn.TEXTAFTER('Additional Documents-WUO_ERR'!A219, ":"))))</f>
        <v>0</v>
      </c>
    </row>
    <row r="220" spans="1:1">
      <c r="A220" s="39">
        <f>IF('Additional Documents'!B220 = "", "", IF('Additional Documents-WUO_ERR'!A220 = "", "Validated", HYPERLINK("#" &amp; ADDRESS(220, 'Additional Documents-WUO_TRK'!A220),_xlfn.TEXTAFTER('Additional Documents-WUO_ERR'!A220, ":"))))</f>
        <v>0</v>
      </c>
    </row>
    <row r="221" spans="1:1">
      <c r="A221" s="39">
        <f>IF('Additional Documents'!B221 = "", "", IF('Additional Documents-WUO_ERR'!A221 = "", "Validated", HYPERLINK("#" &amp; ADDRESS(221, 'Additional Documents-WUO_TRK'!A221),_xlfn.TEXTAFTER('Additional Documents-WUO_ERR'!A221, ":"))))</f>
        <v>0</v>
      </c>
    </row>
    <row r="222" spans="1:1">
      <c r="A222" s="39">
        <f>IF('Additional Documents'!B222 = "", "", IF('Additional Documents-WUO_ERR'!A222 = "", "Validated", HYPERLINK("#" &amp; ADDRESS(222, 'Additional Documents-WUO_TRK'!A222),_xlfn.TEXTAFTER('Additional Documents-WUO_ERR'!A222, ":"))))</f>
        <v>0</v>
      </c>
    </row>
    <row r="223" spans="1:1">
      <c r="A223" s="39">
        <f>IF('Additional Documents'!B223 = "", "", IF('Additional Documents-WUO_ERR'!A223 = "", "Validated", HYPERLINK("#" &amp; ADDRESS(223, 'Additional Documents-WUO_TRK'!A223),_xlfn.TEXTAFTER('Additional Documents-WUO_ERR'!A223, ":"))))</f>
        <v>0</v>
      </c>
    </row>
    <row r="224" spans="1:1">
      <c r="A224" s="39">
        <f>IF('Additional Documents'!B224 = "", "", IF('Additional Documents-WUO_ERR'!A224 = "", "Validated", HYPERLINK("#" &amp; ADDRESS(224, 'Additional Documents-WUO_TRK'!A224),_xlfn.TEXTAFTER('Additional Documents-WUO_ERR'!A224, ":"))))</f>
        <v>0</v>
      </c>
    </row>
    <row r="225" spans="1:1">
      <c r="A225" s="39">
        <f>IF('Additional Documents'!B225 = "", "", IF('Additional Documents-WUO_ERR'!A225 = "", "Validated", HYPERLINK("#" &amp; ADDRESS(225, 'Additional Documents-WUO_TRK'!A225),_xlfn.TEXTAFTER('Additional Documents-WUO_ERR'!A225, ":"))))</f>
        <v>0</v>
      </c>
    </row>
    <row r="226" spans="1:1">
      <c r="A226" s="39">
        <f>IF('Additional Documents'!B226 = "", "", IF('Additional Documents-WUO_ERR'!A226 = "", "Validated", HYPERLINK("#" &amp; ADDRESS(226, 'Additional Documents-WUO_TRK'!A226),_xlfn.TEXTAFTER('Additional Documents-WUO_ERR'!A226, ":"))))</f>
        <v>0</v>
      </c>
    </row>
    <row r="227" spans="1:1">
      <c r="A227" s="39">
        <f>IF('Additional Documents'!B227 = "", "", IF('Additional Documents-WUO_ERR'!A227 = "", "Validated", HYPERLINK("#" &amp; ADDRESS(227, 'Additional Documents-WUO_TRK'!A227),_xlfn.TEXTAFTER('Additional Documents-WUO_ERR'!A227, ":"))))</f>
        <v>0</v>
      </c>
    </row>
    <row r="228" spans="1:1">
      <c r="A228" s="39">
        <f>IF('Additional Documents'!B228 = "", "", IF('Additional Documents-WUO_ERR'!A228 = "", "Validated", HYPERLINK("#" &amp; ADDRESS(228, 'Additional Documents-WUO_TRK'!A228),_xlfn.TEXTAFTER('Additional Documents-WUO_ERR'!A228, ":"))))</f>
        <v>0</v>
      </c>
    </row>
    <row r="229" spans="1:1">
      <c r="A229" s="39">
        <f>IF('Additional Documents'!B229 = "", "", IF('Additional Documents-WUO_ERR'!A229 = "", "Validated", HYPERLINK("#" &amp; ADDRESS(229, 'Additional Documents-WUO_TRK'!A229),_xlfn.TEXTAFTER('Additional Documents-WUO_ERR'!A229, ":"))))</f>
        <v>0</v>
      </c>
    </row>
    <row r="230" spans="1:1">
      <c r="A230" s="39">
        <f>IF('Additional Documents'!B230 = "", "", IF('Additional Documents-WUO_ERR'!A230 = "", "Validated", HYPERLINK("#" &amp; ADDRESS(230, 'Additional Documents-WUO_TRK'!A230),_xlfn.TEXTAFTER('Additional Documents-WUO_ERR'!A230, ":"))))</f>
        <v>0</v>
      </c>
    </row>
    <row r="231" spans="1:1">
      <c r="A231" s="39">
        <f>IF('Additional Documents'!B231 = "", "", IF('Additional Documents-WUO_ERR'!A231 = "", "Validated", HYPERLINK("#" &amp; ADDRESS(231, 'Additional Documents-WUO_TRK'!A231),_xlfn.TEXTAFTER('Additional Documents-WUO_ERR'!A231, ":"))))</f>
        <v>0</v>
      </c>
    </row>
    <row r="232" spans="1:1">
      <c r="A232" s="39">
        <f>IF('Additional Documents'!B232 = "", "", IF('Additional Documents-WUO_ERR'!A232 = "", "Validated", HYPERLINK("#" &amp; ADDRESS(232, 'Additional Documents-WUO_TRK'!A232),_xlfn.TEXTAFTER('Additional Documents-WUO_ERR'!A232, ":"))))</f>
        <v>0</v>
      </c>
    </row>
    <row r="233" spans="1:1">
      <c r="A233" s="39">
        <f>IF('Additional Documents'!B233 = "", "", IF('Additional Documents-WUO_ERR'!A233 = "", "Validated", HYPERLINK("#" &amp; ADDRESS(233, 'Additional Documents-WUO_TRK'!A233),_xlfn.TEXTAFTER('Additional Documents-WUO_ERR'!A233, ":"))))</f>
        <v>0</v>
      </c>
    </row>
    <row r="234" spans="1:1">
      <c r="A234" s="39">
        <f>IF('Additional Documents'!B234 = "", "", IF('Additional Documents-WUO_ERR'!A234 = "", "Validated", HYPERLINK("#" &amp; ADDRESS(234, 'Additional Documents-WUO_TRK'!A234),_xlfn.TEXTAFTER('Additional Documents-WUO_ERR'!A234, ":"))))</f>
        <v>0</v>
      </c>
    </row>
    <row r="235" spans="1:1">
      <c r="A235" s="39">
        <f>IF('Additional Documents'!B235 = "", "", IF('Additional Documents-WUO_ERR'!A235 = "", "Validated", HYPERLINK("#" &amp; ADDRESS(235, 'Additional Documents-WUO_TRK'!A235),_xlfn.TEXTAFTER('Additional Documents-WUO_ERR'!A235, ":"))))</f>
        <v>0</v>
      </c>
    </row>
    <row r="236" spans="1:1">
      <c r="A236" s="39">
        <f>IF('Additional Documents'!B236 = "", "", IF('Additional Documents-WUO_ERR'!A236 = "", "Validated", HYPERLINK("#" &amp; ADDRESS(236, 'Additional Documents-WUO_TRK'!A236),_xlfn.TEXTAFTER('Additional Documents-WUO_ERR'!A236, ":"))))</f>
        <v>0</v>
      </c>
    </row>
    <row r="237" spans="1:1">
      <c r="A237" s="39">
        <f>IF('Additional Documents'!B237 = "", "", IF('Additional Documents-WUO_ERR'!A237 = "", "Validated", HYPERLINK("#" &amp; ADDRESS(237, 'Additional Documents-WUO_TRK'!A237),_xlfn.TEXTAFTER('Additional Documents-WUO_ERR'!A237, ":"))))</f>
        <v>0</v>
      </c>
    </row>
    <row r="238" spans="1:1">
      <c r="A238" s="39">
        <f>IF('Additional Documents'!B238 = "", "", IF('Additional Documents-WUO_ERR'!A238 = "", "Validated", HYPERLINK("#" &amp; ADDRESS(238, 'Additional Documents-WUO_TRK'!A238),_xlfn.TEXTAFTER('Additional Documents-WUO_ERR'!A238, ":"))))</f>
        <v>0</v>
      </c>
    </row>
    <row r="239" spans="1:1">
      <c r="A239" s="39">
        <f>IF('Additional Documents'!B239 = "", "", IF('Additional Documents-WUO_ERR'!A239 = "", "Validated", HYPERLINK("#" &amp; ADDRESS(239, 'Additional Documents-WUO_TRK'!A239),_xlfn.TEXTAFTER('Additional Documents-WUO_ERR'!A239, ":"))))</f>
        <v>0</v>
      </c>
    </row>
    <row r="240" spans="1:1">
      <c r="A240" s="39">
        <f>IF('Additional Documents'!B240 = "", "", IF('Additional Documents-WUO_ERR'!A240 = "", "Validated", HYPERLINK("#" &amp; ADDRESS(240, 'Additional Documents-WUO_TRK'!A240),_xlfn.TEXTAFTER('Additional Documents-WUO_ERR'!A240, ":"))))</f>
        <v>0</v>
      </c>
    </row>
    <row r="241" spans="1:1">
      <c r="A241" s="39">
        <f>IF('Additional Documents'!B241 = "", "", IF('Additional Documents-WUO_ERR'!A241 = "", "Validated", HYPERLINK("#" &amp; ADDRESS(241, 'Additional Documents-WUO_TRK'!A241),_xlfn.TEXTAFTER('Additional Documents-WUO_ERR'!A241, ":"))))</f>
        <v>0</v>
      </c>
    </row>
    <row r="242" spans="1:1">
      <c r="A242" s="39">
        <f>IF('Additional Documents'!B242 = "", "", IF('Additional Documents-WUO_ERR'!A242 = "", "Validated", HYPERLINK("#" &amp; ADDRESS(242, 'Additional Documents-WUO_TRK'!A242),_xlfn.TEXTAFTER('Additional Documents-WUO_ERR'!A242, ":"))))</f>
        <v>0</v>
      </c>
    </row>
    <row r="243" spans="1:1">
      <c r="A243" s="39">
        <f>IF('Additional Documents'!B243 = "", "", IF('Additional Documents-WUO_ERR'!A243 = "", "Validated", HYPERLINK("#" &amp; ADDRESS(243, 'Additional Documents-WUO_TRK'!A243),_xlfn.TEXTAFTER('Additional Documents-WUO_ERR'!A243, ":"))))</f>
        <v>0</v>
      </c>
    </row>
    <row r="244" spans="1:1">
      <c r="A244" s="39">
        <f>IF('Additional Documents'!B244 = "", "", IF('Additional Documents-WUO_ERR'!A244 = "", "Validated", HYPERLINK("#" &amp; ADDRESS(244, 'Additional Documents-WUO_TRK'!A244),_xlfn.TEXTAFTER('Additional Documents-WUO_ERR'!A244, ":"))))</f>
        <v>0</v>
      </c>
    </row>
    <row r="245" spans="1:1">
      <c r="A245" s="39">
        <f>IF('Additional Documents'!B245 = "", "", IF('Additional Documents-WUO_ERR'!A245 = "", "Validated", HYPERLINK("#" &amp; ADDRESS(245, 'Additional Documents-WUO_TRK'!A245),_xlfn.TEXTAFTER('Additional Documents-WUO_ERR'!A245, ":"))))</f>
        <v>0</v>
      </c>
    </row>
    <row r="246" spans="1:1">
      <c r="A246" s="39">
        <f>IF('Additional Documents'!B246 = "", "", IF('Additional Documents-WUO_ERR'!A246 = "", "Validated", HYPERLINK("#" &amp; ADDRESS(246, 'Additional Documents-WUO_TRK'!A246),_xlfn.TEXTAFTER('Additional Documents-WUO_ERR'!A246, ":"))))</f>
        <v>0</v>
      </c>
    </row>
    <row r="247" spans="1:1">
      <c r="A247" s="39">
        <f>IF('Additional Documents'!B247 = "", "", IF('Additional Documents-WUO_ERR'!A247 = "", "Validated", HYPERLINK("#" &amp; ADDRESS(247, 'Additional Documents-WUO_TRK'!A247),_xlfn.TEXTAFTER('Additional Documents-WUO_ERR'!A247, ":"))))</f>
        <v>0</v>
      </c>
    </row>
    <row r="248" spans="1:1">
      <c r="A248" s="39">
        <f>IF('Additional Documents'!B248 = "", "", IF('Additional Documents-WUO_ERR'!A248 = "", "Validated", HYPERLINK("#" &amp; ADDRESS(248, 'Additional Documents-WUO_TRK'!A248),_xlfn.TEXTAFTER('Additional Documents-WUO_ERR'!A248, ":"))))</f>
        <v>0</v>
      </c>
    </row>
    <row r="249" spans="1:1">
      <c r="A249" s="39">
        <f>IF('Additional Documents'!B249 = "", "", IF('Additional Documents-WUO_ERR'!A249 = "", "Validated", HYPERLINK("#" &amp; ADDRESS(249, 'Additional Documents-WUO_TRK'!A249),_xlfn.TEXTAFTER('Additional Documents-WUO_ERR'!A249, ":"))))</f>
        <v>0</v>
      </c>
    </row>
    <row r="250" spans="1:1">
      <c r="A250" s="39">
        <f>IF('Additional Documents'!B250 = "", "", IF('Additional Documents-WUO_ERR'!A250 = "", "Validated", HYPERLINK("#" &amp; ADDRESS(250, 'Additional Documents-WUO_TRK'!A250),_xlfn.TEXTAFTER('Additional Documents-WUO_ERR'!A250, ":"))))</f>
        <v>0</v>
      </c>
    </row>
    <row r="251" spans="1:1">
      <c r="A251" s="39">
        <f>IF('Additional Documents'!B251 = "", "", IF('Additional Documents-WUO_ERR'!A251 = "", "Validated", HYPERLINK("#" &amp; ADDRESS(251, 'Additional Documents-WUO_TRK'!A251),_xlfn.TEXTAFTER('Additional Documents-WUO_ERR'!A251, ":"))))</f>
        <v>0</v>
      </c>
    </row>
    <row r="252" spans="1:1">
      <c r="A252" s="39">
        <f>IF('Additional Documents'!B252 = "", "", IF('Additional Documents-WUO_ERR'!A252 = "", "Validated", HYPERLINK("#" &amp; ADDRESS(252, 'Additional Documents-WUO_TRK'!A252),_xlfn.TEXTAFTER('Additional Documents-WUO_ERR'!A252, ":"))))</f>
        <v>0</v>
      </c>
    </row>
    <row r="253" spans="1:1">
      <c r="A253" s="39">
        <f>IF('Additional Documents'!B253 = "", "", IF('Additional Documents-WUO_ERR'!A253 = "", "Validated", HYPERLINK("#" &amp; ADDRESS(253, 'Additional Documents-WUO_TRK'!A253),_xlfn.TEXTAFTER('Additional Documents-WUO_ERR'!A253, ":"))))</f>
        <v>0</v>
      </c>
    </row>
    <row r="254" spans="1:1">
      <c r="A254" s="39">
        <f>IF('Additional Documents'!B254 = "", "", IF('Additional Documents-WUO_ERR'!A254 = "", "Validated", HYPERLINK("#" &amp; ADDRESS(254, 'Additional Documents-WUO_TRK'!A254),_xlfn.TEXTAFTER('Additional Documents-WUO_ERR'!A254, ":"))))</f>
        <v>0</v>
      </c>
    </row>
    <row r="255" spans="1:1">
      <c r="A255" s="39">
        <f>IF('Additional Documents'!B255 = "", "", IF('Additional Documents-WUO_ERR'!A255 = "", "Validated", HYPERLINK("#" &amp; ADDRESS(255, 'Additional Documents-WUO_TRK'!A255),_xlfn.TEXTAFTER('Additional Documents-WUO_ERR'!A255, ":"))))</f>
        <v>0</v>
      </c>
    </row>
    <row r="256" spans="1:1">
      <c r="A256" s="39">
        <f>IF('Additional Documents'!B256 = "", "", IF('Additional Documents-WUO_ERR'!A256 = "", "Validated", HYPERLINK("#" &amp; ADDRESS(256, 'Additional Documents-WUO_TRK'!A256),_xlfn.TEXTAFTER('Additional Documents-WUO_ERR'!A256, ":"))))</f>
        <v>0</v>
      </c>
    </row>
    <row r="257" spans="1:1">
      <c r="A257" s="39">
        <f>IF('Additional Documents'!B257 = "", "", IF('Additional Documents-WUO_ERR'!A257 = "", "Validated", HYPERLINK("#" &amp; ADDRESS(257, 'Additional Documents-WUO_TRK'!A257),_xlfn.TEXTAFTER('Additional Documents-WUO_ERR'!A257, ":"))))</f>
        <v>0</v>
      </c>
    </row>
    <row r="258" spans="1:1">
      <c r="A258" s="39">
        <f>IF('Additional Documents'!B258 = "", "", IF('Additional Documents-WUO_ERR'!A258 = "", "Validated", HYPERLINK("#" &amp; ADDRESS(258, 'Additional Documents-WUO_TRK'!A258),_xlfn.TEXTAFTER('Additional Documents-WUO_ERR'!A258, ":"))))</f>
        <v>0</v>
      </c>
    </row>
    <row r="259" spans="1:1">
      <c r="A259" s="39">
        <f>IF('Additional Documents'!B259 = "", "", IF('Additional Documents-WUO_ERR'!A259 = "", "Validated", HYPERLINK("#" &amp; ADDRESS(259, 'Additional Documents-WUO_TRK'!A259),_xlfn.TEXTAFTER('Additional Documents-WUO_ERR'!A259, ":"))))</f>
        <v>0</v>
      </c>
    </row>
    <row r="260" spans="1:1">
      <c r="A260" s="39">
        <f>IF('Additional Documents'!B260 = "", "", IF('Additional Documents-WUO_ERR'!A260 = "", "Validated", HYPERLINK("#" &amp; ADDRESS(260, 'Additional Documents-WUO_TRK'!A260),_xlfn.TEXTAFTER('Additional Documents-WUO_ERR'!A260, ":"))))</f>
        <v>0</v>
      </c>
    </row>
    <row r="261" spans="1:1">
      <c r="A261" s="39">
        <f>IF('Additional Documents'!B261 = "", "", IF('Additional Documents-WUO_ERR'!A261 = "", "Validated", HYPERLINK("#" &amp; ADDRESS(261, 'Additional Documents-WUO_TRK'!A261),_xlfn.TEXTAFTER('Additional Documents-WUO_ERR'!A261, ":"))))</f>
        <v>0</v>
      </c>
    </row>
    <row r="262" spans="1:1">
      <c r="A262" s="39">
        <f>IF('Additional Documents'!B262 = "", "", IF('Additional Documents-WUO_ERR'!A262 = "", "Validated", HYPERLINK("#" &amp; ADDRESS(262, 'Additional Documents-WUO_TRK'!A262),_xlfn.TEXTAFTER('Additional Documents-WUO_ERR'!A262, ":"))))</f>
        <v>0</v>
      </c>
    </row>
    <row r="263" spans="1:1">
      <c r="A263" s="39">
        <f>IF('Additional Documents'!B263 = "", "", IF('Additional Documents-WUO_ERR'!A263 = "", "Validated", HYPERLINK("#" &amp; ADDRESS(263, 'Additional Documents-WUO_TRK'!A263),_xlfn.TEXTAFTER('Additional Documents-WUO_ERR'!A263, ":"))))</f>
        <v>0</v>
      </c>
    </row>
    <row r="264" spans="1:1">
      <c r="A264" s="39">
        <f>IF('Additional Documents'!B264 = "", "", IF('Additional Documents-WUO_ERR'!A264 = "", "Validated", HYPERLINK("#" &amp; ADDRESS(264, 'Additional Documents-WUO_TRK'!A264),_xlfn.TEXTAFTER('Additional Documents-WUO_ERR'!A264, ":"))))</f>
        <v>0</v>
      </c>
    </row>
    <row r="265" spans="1:1">
      <c r="A265" s="39">
        <f>IF('Additional Documents'!B265 = "", "", IF('Additional Documents-WUO_ERR'!A265 = "", "Validated", HYPERLINK("#" &amp; ADDRESS(265, 'Additional Documents-WUO_TRK'!A265),_xlfn.TEXTAFTER('Additional Documents-WUO_ERR'!A265, ":"))))</f>
        <v>0</v>
      </c>
    </row>
    <row r="266" spans="1:1">
      <c r="A266" s="39">
        <f>IF('Additional Documents'!B266 = "", "", IF('Additional Documents-WUO_ERR'!A266 = "", "Validated", HYPERLINK("#" &amp; ADDRESS(266, 'Additional Documents-WUO_TRK'!A266),_xlfn.TEXTAFTER('Additional Documents-WUO_ERR'!A266, ":"))))</f>
        <v>0</v>
      </c>
    </row>
    <row r="267" spans="1:1">
      <c r="A267" s="39">
        <f>IF('Additional Documents'!B267 = "", "", IF('Additional Documents-WUO_ERR'!A267 = "", "Validated", HYPERLINK("#" &amp; ADDRESS(267, 'Additional Documents-WUO_TRK'!A267),_xlfn.TEXTAFTER('Additional Documents-WUO_ERR'!A267, ":"))))</f>
        <v>0</v>
      </c>
    </row>
    <row r="268" spans="1:1">
      <c r="A268" s="39">
        <f>IF('Additional Documents'!B268 = "", "", IF('Additional Documents-WUO_ERR'!A268 = "", "Validated", HYPERLINK("#" &amp; ADDRESS(268, 'Additional Documents-WUO_TRK'!A268),_xlfn.TEXTAFTER('Additional Documents-WUO_ERR'!A268, ":"))))</f>
        <v>0</v>
      </c>
    </row>
    <row r="269" spans="1:1">
      <c r="A269" s="39">
        <f>IF('Additional Documents'!B269 = "", "", IF('Additional Documents-WUO_ERR'!A269 = "", "Validated", HYPERLINK("#" &amp; ADDRESS(269, 'Additional Documents-WUO_TRK'!A269),_xlfn.TEXTAFTER('Additional Documents-WUO_ERR'!A269, ":"))))</f>
        <v>0</v>
      </c>
    </row>
    <row r="270" spans="1:1">
      <c r="A270" s="39">
        <f>IF('Additional Documents'!B270 = "", "", IF('Additional Documents-WUO_ERR'!A270 = "", "Validated", HYPERLINK("#" &amp; ADDRESS(270, 'Additional Documents-WUO_TRK'!A270),_xlfn.TEXTAFTER('Additional Documents-WUO_ERR'!A270, ":"))))</f>
        <v>0</v>
      </c>
    </row>
    <row r="271" spans="1:1">
      <c r="A271" s="39">
        <f>IF('Additional Documents'!B271 = "", "", IF('Additional Documents-WUO_ERR'!A271 = "", "Validated", HYPERLINK("#" &amp; ADDRESS(271, 'Additional Documents-WUO_TRK'!A271),_xlfn.TEXTAFTER('Additional Documents-WUO_ERR'!A271, ":"))))</f>
        <v>0</v>
      </c>
    </row>
    <row r="272" spans="1:1">
      <c r="A272" s="39">
        <f>IF('Additional Documents'!B272 = "", "", IF('Additional Documents-WUO_ERR'!A272 = "", "Validated", HYPERLINK("#" &amp; ADDRESS(272, 'Additional Documents-WUO_TRK'!A272),_xlfn.TEXTAFTER('Additional Documents-WUO_ERR'!A272, ":"))))</f>
        <v>0</v>
      </c>
    </row>
    <row r="273" spans="1:1">
      <c r="A273" s="39">
        <f>IF('Additional Documents'!B273 = "", "", IF('Additional Documents-WUO_ERR'!A273 = "", "Validated", HYPERLINK("#" &amp; ADDRESS(273, 'Additional Documents-WUO_TRK'!A273),_xlfn.TEXTAFTER('Additional Documents-WUO_ERR'!A273, ":"))))</f>
        <v>0</v>
      </c>
    </row>
    <row r="274" spans="1:1">
      <c r="A274" s="39">
        <f>IF('Additional Documents'!B274 = "", "", IF('Additional Documents-WUO_ERR'!A274 = "", "Validated", HYPERLINK("#" &amp; ADDRESS(274, 'Additional Documents-WUO_TRK'!A274),_xlfn.TEXTAFTER('Additional Documents-WUO_ERR'!A274, ":"))))</f>
        <v>0</v>
      </c>
    </row>
    <row r="275" spans="1:1">
      <c r="A275" s="39">
        <f>IF('Additional Documents'!B275 = "", "", IF('Additional Documents-WUO_ERR'!A275 = "", "Validated", HYPERLINK("#" &amp; ADDRESS(275, 'Additional Documents-WUO_TRK'!A275),_xlfn.TEXTAFTER('Additional Documents-WUO_ERR'!A275, ":"))))</f>
        <v>0</v>
      </c>
    </row>
    <row r="276" spans="1:1">
      <c r="A276" s="39">
        <f>IF('Additional Documents'!B276 = "", "", IF('Additional Documents-WUO_ERR'!A276 = "", "Validated", HYPERLINK("#" &amp; ADDRESS(276, 'Additional Documents-WUO_TRK'!A276),_xlfn.TEXTAFTER('Additional Documents-WUO_ERR'!A276, ":"))))</f>
        <v>0</v>
      </c>
    </row>
    <row r="277" spans="1:1">
      <c r="A277" s="39">
        <f>IF('Additional Documents'!B277 = "", "", IF('Additional Documents-WUO_ERR'!A277 = "", "Validated", HYPERLINK("#" &amp; ADDRESS(277, 'Additional Documents-WUO_TRK'!A277),_xlfn.TEXTAFTER('Additional Documents-WUO_ERR'!A277, ":"))))</f>
        <v>0</v>
      </c>
    </row>
    <row r="278" spans="1:1">
      <c r="A278" s="39">
        <f>IF('Additional Documents'!B278 = "", "", IF('Additional Documents-WUO_ERR'!A278 = "", "Validated", HYPERLINK("#" &amp; ADDRESS(278, 'Additional Documents-WUO_TRK'!A278),_xlfn.TEXTAFTER('Additional Documents-WUO_ERR'!A278, ":"))))</f>
        <v>0</v>
      </c>
    </row>
    <row r="279" spans="1:1">
      <c r="A279" s="39">
        <f>IF('Additional Documents'!B279 = "", "", IF('Additional Documents-WUO_ERR'!A279 = "", "Validated", HYPERLINK("#" &amp; ADDRESS(279, 'Additional Documents-WUO_TRK'!A279),_xlfn.TEXTAFTER('Additional Documents-WUO_ERR'!A279, ":"))))</f>
        <v>0</v>
      </c>
    </row>
    <row r="280" spans="1:1">
      <c r="A280" s="39">
        <f>IF('Additional Documents'!B280 = "", "", IF('Additional Documents-WUO_ERR'!A280 = "", "Validated", HYPERLINK("#" &amp; ADDRESS(280, 'Additional Documents-WUO_TRK'!A280),_xlfn.TEXTAFTER('Additional Documents-WUO_ERR'!A280, ":"))))</f>
        <v>0</v>
      </c>
    </row>
    <row r="281" spans="1:1">
      <c r="A281" s="39">
        <f>IF('Additional Documents'!B281 = "", "", IF('Additional Documents-WUO_ERR'!A281 = "", "Validated", HYPERLINK("#" &amp; ADDRESS(281, 'Additional Documents-WUO_TRK'!A281),_xlfn.TEXTAFTER('Additional Documents-WUO_ERR'!A281, ":"))))</f>
        <v>0</v>
      </c>
    </row>
    <row r="282" spans="1:1">
      <c r="A282" s="39">
        <f>IF('Additional Documents'!B282 = "", "", IF('Additional Documents-WUO_ERR'!A282 = "", "Validated", HYPERLINK("#" &amp; ADDRESS(282, 'Additional Documents-WUO_TRK'!A282),_xlfn.TEXTAFTER('Additional Documents-WUO_ERR'!A282, ":"))))</f>
        <v>0</v>
      </c>
    </row>
    <row r="283" spans="1:1">
      <c r="A283" s="39">
        <f>IF('Additional Documents'!B283 = "", "", IF('Additional Documents-WUO_ERR'!A283 = "", "Validated", HYPERLINK("#" &amp; ADDRESS(283, 'Additional Documents-WUO_TRK'!A283),_xlfn.TEXTAFTER('Additional Documents-WUO_ERR'!A283, ":"))))</f>
        <v>0</v>
      </c>
    </row>
    <row r="284" spans="1:1">
      <c r="A284" s="39">
        <f>IF('Additional Documents'!B284 = "", "", IF('Additional Documents-WUO_ERR'!A284 = "", "Validated", HYPERLINK("#" &amp; ADDRESS(284, 'Additional Documents-WUO_TRK'!A284),_xlfn.TEXTAFTER('Additional Documents-WUO_ERR'!A284, ":"))))</f>
        <v>0</v>
      </c>
    </row>
    <row r="285" spans="1:1">
      <c r="A285" s="39">
        <f>IF('Additional Documents'!B285 = "", "", IF('Additional Documents-WUO_ERR'!A285 = "", "Validated", HYPERLINK("#" &amp; ADDRESS(285, 'Additional Documents-WUO_TRK'!A285),_xlfn.TEXTAFTER('Additional Documents-WUO_ERR'!A285, ":"))))</f>
        <v>0</v>
      </c>
    </row>
    <row r="286" spans="1:1">
      <c r="A286" s="39">
        <f>IF('Additional Documents'!B286 = "", "", IF('Additional Documents-WUO_ERR'!A286 = "", "Validated", HYPERLINK("#" &amp; ADDRESS(286, 'Additional Documents-WUO_TRK'!A286),_xlfn.TEXTAFTER('Additional Documents-WUO_ERR'!A286, ":"))))</f>
        <v>0</v>
      </c>
    </row>
    <row r="287" spans="1:1">
      <c r="A287" s="39">
        <f>IF('Additional Documents'!B287 = "", "", IF('Additional Documents-WUO_ERR'!A287 = "", "Validated", HYPERLINK("#" &amp; ADDRESS(287, 'Additional Documents-WUO_TRK'!A287),_xlfn.TEXTAFTER('Additional Documents-WUO_ERR'!A287, ":"))))</f>
        <v>0</v>
      </c>
    </row>
    <row r="288" spans="1:1">
      <c r="A288" s="39">
        <f>IF('Additional Documents'!B288 = "", "", IF('Additional Documents-WUO_ERR'!A288 = "", "Validated", HYPERLINK("#" &amp; ADDRESS(288, 'Additional Documents-WUO_TRK'!A288),_xlfn.TEXTAFTER('Additional Documents-WUO_ERR'!A288, ":"))))</f>
        <v>0</v>
      </c>
    </row>
    <row r="289" spans="1:1">
      <c r="A289" s="39">
        <f>IF('Additional Documents'!B289 = "", "", IF('Additional Documents-WUO_ERR'!A289 = "", "Validated", HYPERLINK("#" &amp; ADDRESS(289, 'Additional Documents-WUO_TRK'!A289),_xlfn.TEXTAFTER('Additional Documents-WUO_ERR'!A289, ":"))))</f>
        <v>0</v>
      </c>
    </row>
    <row r="290" spans="1:1">
      <c r="A290" s="39">
        <f>IF('Additional Documents'!B290 = "", "", IF('Additional Documents-WUO_ERR'!A290 = "", "Validated", HYPERLINK("#" &amp; ADDRESS(290, 'Additional Documents-WUO_TRK'!A290),_xlfn.TEXTAFTER('Additional Documents-WUO_ERR'!A290, ":"))))</f>
        <v>0</v>
      </c>
    </row>
    <row r="291" spans="1:1">
      <c r="A291" s="39">
        <f>IF('Additional Documents'!B291 = "", "", IF('Additional Documents-WUO_ERR'!A291 = "", "Validated", HYPERLINK("#" &amp; ADDRESS(291, 'Additional Documents-WUO_TRK'!A291),_xlfn.TEXTAFTER('Additional Documents-WUO_ERR'!A291, ":"))))</f>
        <v>0</v>
      </c>
    </row>
    <row r="292" spans="1:1">
      <c r="A292" s="39">
        <f>IF('Additional Documents'!B292 = "", "", IF('Additional Documents-WUO_ERR'!A292 = "", "Validated", HYPERLINK("#" &amp; ADDRESS(292, 'Additional Documents-WUO_TRK'!A292),_xlfn.TEXTAFTER('Additional Documents-WUO_ERR'!A292, ":"))))</f>
        <v>0</v>
      </c>
    </row>
    <row r="293" spans="1:1">
      <c r="A293" s="39">
        <f>IF('Additional Documents'!B293 = "", "", IF('Additional Documents-WUO_ERR'!A293 = "", "Validated", HYPERLINK("#" &amp; ADDRESS(293, 'Additional Documents-WUO_TRK'!A293),_xlfn.TEXTAFTER('Additional Documents-WUO_ERR'!A293, ":"))))</f>
        <v>0</v>
      </c>
    </row>
    <row r="294" spans="1:1">
      <c r="A294" s="39">
        <f>IF('Additional Documents'!B294 = "", "", IF('Additional Documents-WUO_ERR'!A294 = "", "Validated", HYPERLINK("#" &amp; ADDRESS(294, 'Additional Documents-WUO_TRK'!A294),_xlfn.TEXTAFTER('Additional Documents-WUO_ERR'!A294, ":"))))</f>
        <v>0</v>
      </c>
    </row>
    <row r="295" spans="1:1">
      <c r="A295" s="39">
        <f>IF('Additional Documents'!B295 = "", "", IF('Additional Documents-WUO_ERR'!A295 = "", "Validated", HYPERLINK("#" &amp; ADDRESS(295, 'Additional Documents-WUO_TRK'!A295),_xlfn.TEXTAFTER('Additional Documents-WUO_ERR'!A295, ":"))))</f>
        <v>0</v>
      </c>
    </row>
    <row r="296" spans="1:1">
      <c r="A296" s="39">
        <f>IF('Additional Documents'!B296 = "", "", IF('Additional Documents-WUO_ERR'!A296 = "", "Validated", HYPERLINK("#" &amp; ADDRESS(296, 'Additional Documents-WUO_TRK'!A296),_xlfn.TEXTAFTER('Additional Documents-WUO_ERR'!A296, ":"))))</f>
        <v>0</v>
      </c>
    </row>
    <row r="297" spans="1:1">
      <c r="A297" s="39">
        <f>IF('Additional Documents'!B297 = "", "", IF('Additional Documents-WUO_ERR'!A297 = "", "Validated", HYPERLINK("#" &amp; ADDRESS(297, 'Additional Documents-WUO_TRK'!A297),_xlfn.TEXTAFTER('Additional Documents-WUO_ERR'!A297, ":"))))</f>
        <v>0</v>
      </c>
    </row>
    <row r="298" spans="1:1">
      <c r="A298" s="39">
        <f>IF('Additional Documents'!B298 = "", "", IF('Additional Documents-WUO_ERR'!A298 = "", "Validated", HYPERLINK("#" &amp; ADDRESS(298, 'Additional Documents-WUO_TRK'!A298),_xlfn.TEXTAFTER('Additional Documents-WUO_ERR'!A298, ":"))))</f>
        <v>0</v>
      </c>
    </row>
    <row r="299" spans="1:1">
      <c r="A299" s="39">
        <f>IF('Additional Documents'!B299 = "", "", IF('Additional Documents-WUO_ERR'!A299 = "", "Validated", HYPERLINK("#" &amp; ADDRESS(299, 'Additional Documents-WUO_TRK'!A299),_xlfn.TEXTAFTER('Additional Documents-WUO_ERR'!A299, ":"))))</f>
        <v>0</v>
      </c>
    </row>
    <row r="300" spans="1:1">
      <c r="A300" s="39">
        <f>IF('Additional Documents'!B300 = "", "", IF('Additional Documents-WUO_ERR'!A300 = "", "Validated", HYPERLINK("#" &amp; ADDRESS(300, 'Additional Documents-WUO_TRK'!A300),_xlfn.TEXTAFTER('Additional Documents-WUO_ERR'!A300, ":"))))</f>
        <v>0</v>
      </c>
    </row>
    <row r="301" spans="1:1">
      <c r="A301" s="39">
        <f>IF('Additional Documents'!B301 = "", "", IF('Additional Documents-WUO_ERR'!A301 = "", "Validated", HYPERLINK("#" &amp; ADDRESS(301, 'Additional Documents-WUO_TRK'!A301),_xlfn.TEXTAFTER('Additional Documents-WUO_ERR'!A301, ":"))))</f>
        <v>0</v>
      </c>
    </row>
    <row r="302" spans="1:1">
      <c r="A302" s="39">
        <f>IF('Additional Documents'!B302 = "", "", IF('Additional Documents-WUO_ERR'!A302 = "", "Validated", HYPERLINK("#" &amp; ADDRESS(302, 'Additional Documents-WUO_TRK'!A302),_xlfn.TEXTAFTER('Additional Documents-WUO_ERR'!A302, ":"))))</f>
        <v>0</v>
      </c>
    </row>
    <row r="303" spans="1:1">
      <c r="A303" s="39">
        <f>IF('Additional Documents'!B303 = "", "", IF('Additional Documents-WUO_ERR'!A303 = "", "Validated", HYPERLINK("#" &amp; ADDRESS(303, 'Additional Documents-WUO_TRK'!A303),_xlfn.TEXTAFTER('Additional Documents-WUO_ERR'!A303, ":"))))</f>
        <v>0</v>
      </c>
    </row>
    <row r="304" spans="1:1">
      <c r="A304" s="39">
        <f>IF('Additional Documents'!B304 = "", "", IF('Additional Documents-WUO_ERR'!A304 = "", "Validated", HYPERLINK("#" &amp; ADDRESS(304, 'Additional Documents-WUO_TRK'!A304),_xlfn.TEXTAFTER('Additional Documents-WUO_ERR'!A304, ":"))))</f>
        <v>0</v>
      </c>
    </row>
    <row r="305" spans="1:1">
      <c r="A305" s="39">
        <f>IF('Additional Documents'!B305 = "", "", IF('Additional Documents-WUO_ERR'!A305 = "", "Validated", HYPERLINK("#" &amp; ADDRESS(305, 'Additional Documents-WUO_TRK'!A305),_xlfn.TEXTAFTER('Additional Documents-WUO_ERR'!A305, ":"))))</f>
        <v>0</v>
      </c>
    </row>
    <row r="306" spans="1:1">
      <c r="A306" s="39">
        <f>IF('Additional Documents'!B306 = "", "", IF('Additional Documents-WUO_ERR'!A306 = "", "Validated", HYPERLINK("#" &amp; ADDRESS(306, 'Additional Documents-WUO_TRK'!A306),_xlfn.TEXTAFTER('Additional Documents-WUO_ERR'!A306, ":"))))</f>
        <v>0</v>
      </c>
    </row>
    <row r="307" spans="1:1">
      <c r="A307" s="39">
        <f>IF('Additional Documents'!B307 = "", "", IF('Additional Documents-WUO_ERR'!A307 = "", "Validated", HYPERLINK("#" &amp; ADDRESS(307, 'Additional Documents-WUO_TRK'!A307),_xlfn.TEXTAFTER('Additional Documents-WUO_ERR'!A307, ":"))))</f>
        <v>0</v>
      </c>
    </row>
    <row r="308" spans="1:1">
      <c r="A308" s="39">
        <f>IF('Additional Documents'!B308 = "", "", IF('Additional Documents-WUO_ERR'!A308 = "", "Validated", HYPERLINK("#" &amp; ADDRESS(308, 'Additional Documents-WUO_TRK'!A308),_xlfn.TEXTAFTER('Additional Documents-WUO_ERR'!A308, ":"))))</f>
        <v>0</v>
      </c>
    </row>
    <row r="309" spans="1:1">
      <c r="A309" s="39">
        <f>IF('Additional Documents'!B309 = "", "", IF('Additional Documents-WUO_ERR'!A309 = "", "Validated", HYPERLINK("#" &amp; ADDRESS(309, 'Additional Documents-WUO_TRK'!A309),_xlfn.TEXTAFTER('Additional Documents-WUO_ERR'!A309, ":"))))</f>
        <v>0</v>
      </c>
    </row>
    <row r="310" spans="1:1">
      <c r="A310" s="39">
        <f>IF('Additional Documents'!B310 = "", "", IF('Additional Documents-WUO_ERR'!A310 = "", "Validated", HYPERLINK("#" &amp; ADDRESS(310, 'Additional Documents-WUO_TRK'!A310),_xlfn.TEXTAFTER('Additional Documents-WUO_ERR'!A310, ":"))))</f>
        <v>0</v>
      </c>
    </row>
    <row r="311" spans="1:1">
      <c r="A311" s="39">
        <f>IF('Additional Documents'!B311 = "", "", IF('Additional Documents-WUO_ERR'!A311 = "", "Validated", HYPERLINK("#" &amp; ADDRESS(311, 'Additional Documents-WUO_TRK'!A311),_xlfn.TEXTAFTER('Additional Documents-WUO_ERR'!A311, ":"))))</f>
        <v>0</v>
      </c>
    </row>
    <row r="312" spans="1:1">
      <c r="A312" s="39">
        <f>IF('Additional Documents'!B312 = "", "", IF('Additional Documents-WUO_ERR'!A312 = "", "Validated", HYPERLINK("#" &amp; ADDRESS(312, 'Additional Documents-WUO_TRK'!A312),_xlfn.TEXTAFTER('Additional Documents-WUO_ERR'!A312, ":"))))</f>
        <v>0</v>
      </c>
    </row>
    <row r="313" spans="1:1">
      <c r="A313" s="39">
        <f>IF('Additional Documents'!B313 = "", "", IF('Additional Documents-WUO_ERR'!A313 = "", "Validated", HYPERLINK("#" &amp; ADDRESS(313, 'Additional Documents-WUO_TRK'!A313),_xlfn.TEXTAFTER('Additional Documents-WUO_ERR'!A313, ":"))))</f>
        <v>0</v>
      </c>
    </row>
    <row r="314" spans="1:1">
      <c r="A314" s="39">
        <f>IF('Additional Documents'!B314 = "", "", IF('Additional Documents-WUO_ERR'!A314 = "", "Validated", HYPERLINK("#" &amp; ADDRESS(314, 'Additional Documents-WUO_TRK'!A314),_xlfn.TEXTAFTER('Additional Documents-WUO_ERR'!A314, ":"))))</f>
        <v>0</v>
      </c>
    </row>
    <row r="315" spans="1:1">
      <c r="A315" s="39">
        <f>IF('Additional Documents'!B315 = "", "", IF('Additional Documents-WUO_ERR'!A315 = "", "Validated", HYPERLINK("#" &amp; ADDRESS(315, 'Additional Documents-WUO_TRK'!A315),_xlfn.TEXTAFTER('Additional Documents-WUO_ERR'!A315, ":"))))</f>
        <v>0</v>
      </c>
    </row>
    <row r="316" spans="1:1">
      <c r="A316" s="39">
        <f>IF('Additional Documents'!B316 = "", "", IF('Additional Documents-WUO_ERR'!A316 = "", "Validated", HYPERLINK("#" &amp; ADDRESS(316, 'Additional Documents-WUO_TRK'!A316),_xlfn.TEXTAFTER('Additional Documents-WUO_ERR'!A316, ":"))))</f>
        <v>0</v>
      </c>
    </row>
    <row r="317" spans="1:1">
      <c r="A317" s="39">
        <f>IF('Additional Documents'!B317 = "", "", IF('Additional Documents-WUO_ERR'!A317 = "", "Validated", HYPERLINK("#" &amp; ADDRESS(317, 'Additional Documents-WUO_TRK'!A317),_xlfn.TEXTAFTER('Additional Documents-WUO_ERR'!A317, ":"))))</f>
        <v>0</v>
      </c>
    </row>
    <row r="318" spans="1:1">
      <c r="A318" s="39">
        <f>IF('Additional Documents'!B318 = "", "", IF('Additional Documents-WUO_ERR'!A318 = "", "Validated", HYPERLINK("#" &amp; ADDRESS(318, 'Additional Documents-WUO_TRK'!A318),_xlfn.TEXTAFTER('Additional Documents-WUO_ERR'!A318, ":"))))</f>
        <v>0</v>
      </c>
    </row>
    <row r="319" spans="1:1">
      <c r="A319" s="39">
        <f>IF('Additional Documents'!B319 = "", "", IF('Additional Documents-WUO_ERR'!A319 = "", "Validated", HYPERLINK("#" &amp; ADDRESS(319, 'Additional Documents-WUO_TRK'!A319),_xlfn.TEXTAFTER('Additional Documents-WUO_ERR'!A319, ":"))))</f>
        <v>0</v>
      </c>
    </row>
    <row r="320" spans="1:1">
      <c r="A320" s="39">
        <f>IF('Additional Documents'!B320 = "", "", IF('Additional Documents-WUO_ERR'!A320 = "", "Validated", HYPERLINK("#" &amp; ADDRESS(320, 'Additional Documents-WUO_TRK'!A320),_xlfn.TEXTAFTER('Additional Documents-WUO_ERR'!A320, ":"))))</f>
        <v>0</v>
      </c>
    </row>
    <row r="321" spans="1:1">
      <c r="A321" s="39">
        <f>IF('Additional Documents'!B321 = "", "", IF('Additional Documents-WUO_ERR'!A321 = "", "Validated", HYPERLINK("#" &amp; ADDRESS(321, 'Additional Documents-WUO_TRK'!A321),_xlfn.TEXTAFTER('Additional Documents-WUO_ERR'!A321, ":"))))</f>
        <v>0</v>
      </c>
    </row>
    <row r="322" spans="1:1">
      <c r="A322" s="39">
        <f>IF('Additional Documents'!B322 = "", "", IF('Additional Documents-WUO_ERR'!A322 = "", "Validated", HYPERLINK("#" &amp; ADDRESS(322, 'Additional Documents-WUO_TRK'!A322),_xlfn.TEXTAFTER('Additional Documents-WUO_ERR'!A322, ":"))))</f>
        <v>0</v>
      </c>
    </row>
    <row r="323" spans="1:1">
      <c r="A323" s="39">
        <f>IF('Additional Documents'!B323 = "", "", IF('Additional Documents-WUO_ERR'!A323 = "", "Validated", HYPERLINK("#" &amp; ADDRESS(323, 'Additional Documents-WUO_TRK'!A323),_xlfn.TEXTAFTER('Additional Documents-WUO_ERR'!A323, ":"))))</f>
        <v>0</v>
      </c>
    </row>
    <row r="324" spans="1:1">
      <c r="A324" s="39">
        <f>IF('Additional Documents'!B324 = "", "", IF('Additional Documents-WUO_ERR'!A324 = "", "Validated", HYPERLINK("#" &amp; ADDRESS(324, 'Additional Documents-WUO_TRK'!A324),_xlfn.TEXTAFTER('Additional Documents-WUO_ERR'!A324, ":"))))</f>
        <v>0</v>
      </c>
    </row>
    <row r="325" spans="1:1">
      <c r="A325" s="39">
        <f>IF('Additional Documents'!B325 = "", "", IF('Additional Documents-WUO_ERR'!A325 = "", "Validated", HYPERLINK("#" &amp; ADDRESS(325, 'Additional Documents-WUO_TRK'!A325),_xlfn.TEXTAFTER('Additional Documents-WUO_ERR'!A325, ":"))))</f>
        <v>0</v>
      </c>
    </row>
    <row r="326" spans="1:1">
      <c r="A326" s="39">
        <f>IF('Additional Documents'!B326 = "", "", IF('Additional Documents-WUO_ERR'!A326 = "", "Validated", HYPERLINK("#" &amp; ADDRESS(326, 'Additional Documents-WUO_TRK'!A326),_xlfn.TEXTAFTER('Additional Documents-WUO_ERR'!A326, ":"))))</f>
        <v>0</v>
      </c>
    </row>
    <row r="327" spans="1:1">
      <c r="A327" s="39">
        <f>IF('Additional Documents'!B327 = "", "", IF('Additional Documents-WUO_ERR'!A327 = "", "Validated", HYPERLINK("#" &amp; ADDRESS(327, 'Additional Documents-WUO_TRK'!A327),_xlfn.TEXTAFTER('Additional Documents-WUO_ERR'!A327, ":"))))</f>
        <v>0</v>
      </c>
    </row>
    <row r="328" spans="1:1">
      <c r="A328" s="39">
        <f>IF('Additional Documents'!B328 = "", "", IF('Additional Documents-WUO_ERR'!A328 = "", "Validated", HYPERLINK("#" &amp; ADDRESS(328, 'Additional Documents-WUO_TRK'!A328),_xlfn.TEXTAFTER('Additional Documents-WUO_ERR'!A328, ":"))))</f>
        <v>0</v>
      </c>
    </row>
    <row r="329" spans="1:1">
      <c r="A329" s="39">
        <f>IF('Additional Documents'!B329 = "", "", IF('Additional Documents-WUO_ERR'!A329 = "", "Validated", HYPERLINK("#" &amp; ADDRESS(329, 'Additional Documents-WUO_TRK'!A329),_xlfn.TEXTAFTER('Additional Documents-WUO_ERR'!A329, ":"))))</f>
        <v>0</v>
      </c>
    </row>
    <row r="330" spans="1:1">
      <c r="A330" s="39">
        <f>IF('Additional Documents'!B330 = "", "", IF('Additional Documents-WUO_ERR'!A330 = "", "Validated", HYPERLINK("#" &amp; ADDRESS(330, 'Additional Documents-WUO_TRK'!A330),_xlfn.TEXTAFTER('Additional Documents-WUO_ERR'!A330, ":"))))</f>
        <v>0</v>
      </c>
    </row>
    <row r="331" spans="1:1">
      <c r="A331" s="39">
        <f>IF('Additional Documents'!B331 = "", "", IF('Additional Documents-WUO_ERR'!A331 = "", "Validated", HYPERLINK("#" &amp; ADDRESS(331, 'Additional Documents-WUO_TRK'!A331),_xlfn.TEXTAFTER('Additional Documents-WUO_ERR'!A331, ":"))))</f>
        <v>0</v>
      </c>
    </row>
    <row r="332" spans="1:1">
      <c r="A332" s="39">
        <f>IF('Additional Documents'!B332 = "", "", IF('Additional Documents-WUO_ERR'!A332 = "", "Validated", HYPERLINK("#" &amp; ADDRESS(332, 'Additional Documents-WUO_TRK'!A332),_xlfn.TEXTAFTER('Additional Documents-WUO_ERR'!A332, ":"))))</f>
        <v>0</v>
      </c>
    </row>
    <row r="333" spans="1:1">
      <c r="A333" s="39">
        <f>IF('Additional Documents'!B333 = "", "", IF('Additional Documents-WUO_ERR'!A333 = "", "Validated", HYPERLINK("#" &amp; ADDRESS(333, 'Additional Documents-WUO_TRK'!A333),_xlfn.TEXTAFTER('Additional Documents-WUO_ERR'!A333, ":"))))</f>
        <v>0</v>
      </c>
    </row>
    <row r="334" spans="1:1">
      <c r="A334" s="39">
        <f>IF('Additional Documents'!B334 = "", "", IF('Additional Documents-WUO_ERR'!A334 = "", "Validated", HYPERLINK("#" &amp; ADDRESS(334, 'Additional Documents-WUO_TRK'!A334),_xlfn.TEXTAFTER('Additional Documents-WUO_ERR'!A334, ":"))))</f>
        <v>0</v>
      </c>
    </row>
    <row r="335" spans="1:1">
      <c r="A335" s="39">
        <f>IF('Additional Documents'!B335 = "", "", IF('Additional Documents-WUO_ERR'!A335 = "", "Validated", HYPERLINK("#" &amp; ADDRESS(335, 'Additional Documents-WUO_TRK'!A335),_xlfn.TEXTAFTER('Additional Documents-WUO_ERR'!A335, ":"))))</f>
        <v>0</v>
      </c>
    </row>
    <row r="336" spans="1:1">
      <c r="A336" s="39">
        <f>IF('Additional Documents'!B336 = "", "", IF('Additional Documents-WUO_ERR'!A336 = "", "Validated", HYPERLINK("#" &amp; ADDRESS(336, 'Additional Documents-WUO_TRK'!A336),_xlfn.TEXTAFTER('Additional Documents-WUO_ERR'!A336, ":"))))</f>
        <v>0</v>
      </c>
    </row>
    <row r="337" spans="1:1">
      <c r="A337" s="39">
        <f>IF('Additional Documents'!B337 = "", "", IF('Additional Documents-WUO_ERR'!A337 = "", "Validated", HYPERLINK("#" &amp; ADDRESS(337, 'Additional Documents-WUO_TRK'!A337),_xlfn.TEXTAFTER('Additional Documents-WUO_ERR'!A337, ":"))))</f>
        <v>0</v>
      </c>
    </row>
    <row r="338" spans="1:1">
      <c r="A338" s="39">
        <f>IF('Additional Documents'!B338 = "", "", IF('Additional Documents-WUO_ERR'!A338 = "", "Validated", HYPERLINK("#" &amp; ADDRESS(338, 'Additional Documents-WUO_TRK'!A338),_xlfn.TEXTAFTER('Additional Documents-WUO_ERR'!A338, ":"))))</f>
        <v>0</v>
      </c>
    </row>
    <row r="339" spans="1:1">
      <c r="A339" s="39">
        <f>IF('Additional Documents'!B339 = "", "", IF('Additional Documents-WUO_ERR'!A339 = "", "Validated", HYPERLINK("#" &amp; ADDRESS(339, 'Additional Documents-WUO_TRK'!A339),_xlfn.TEXTAFTER('Additional Documents-WUO_ERR'!A339, ":"))))</f>
        <v>0</v>
      </c>
    </row>
    <row r="340" spans="1:1">
      <c r="A340" s="39">
        <f>IF('Additional Documents'!B340 = "", "", IF('Additional Documents-WUO_ERR'!A340 = "", "Validated", HYPERLINK("#" &amp; ADDRESS(340, 'Additional Documents-WUO_TRK'!A340),_xlfn.TEXTAFTER('Additional Documents-WUO_ERR'!A340, ":"))))</f>
        <v>0</v>
      </c>
    </row>
    <row r="341" spans="1:1">
      <c r="A341" s="39">
        <f>IF('Additional Documents'!B341 = "", "", IF('Additional Documents-WUO_ERR'!A341 = "", "Validated", HYPERLINK("#" &amp; ADDRESS(341, 'Additional Documents-WUO_TRK'!A341),_xlfn.TEXTAFTER('Additional Documents-WUO_ERR'!A341, ":"))))</f>
        <v>0</v>
      </c>
    </row>
    <row r="342" spans="1:1">
      <c r="A342" s="39">
        <f>IF('Additional Documents'!B342 = "", "", IF('Additional Documents-WUO_ERR'!A342 = "", "Validated", HYPERLINK("#" &amp; ADDRESS(342, 'Additional Documents-WUO_TRK'!A342),_xlfn.TEXTAFTER('Additional Documents-WUO_ERR'!A342, ":"))))</f>
        <v>0</v>
      </c>
    </row>
    <row r="343" spans="1:1">
      <c r="A343" s="39">
        <f>IF('Additional Documents'!B343 = "", "", IF('Additional Documents-WUO_ERR'!A343 = "", "Validated", HYPERLINK("#" &amp; ADDRESS(343, 'Additional Documents-WUO_TRK'!A343),_xlfn.TEXTAFTER('Additional Documents-WUO_ERR'!A343, ":"))))</f>
        <v>0</v>
      </c>
    </row>
    <row r="344" spans="1:1">
      <c r="A344" s="39">
        <f>IF('Additional Documents'!B344 = "", "", IF('Additional Documents-WUO_ERR'!A344 = "", "Validated", HYPERLINK("#" &amp; ADDRESS(344, 'Additional Documents-WUO_TRK'!A344),_xlfn.TEXTAFTER('Additional Documents-WUO_ERR'!A344, ":"))))</f>
        <v>0</v>
      </c>
    </row>
    <row r="345" spans="1:1">
      <c r="A345" s="39">
        <f>IF('Additional Documents'!B345 = "", "", IF('Additional Documents-WUO_ERR'!A345 = "", "Validated", HYPERLINK("#" &amp; ADDRESS(345, 'Additional Documents-WUO_TRK'!A345),_xlfn.TEXTAFTER('Additional Documents-WUO_ERR'!A345, ":"))))</f>
        <v>0</v>
      </c>
    </row>
    <row r="346" spans="1:1">
      <c r="A346" s="39">
        <f>IF('Additional Documents'!B346 = "", "", IF('Additional Documents-WUO_ERR'!A346 = "", "Validated", HYPERLINK("#" &amp; ADDRESS(346, 'Additional Documents-WUO_TRK'!A346),_xlfn.TEXTAFTER('Additional Documents-WUO_ERR'!A346, ":"))))</f>
        <v>0</v>
      </c>
    </row>
    <row r="347" spans="1:1">
      <c r="A347" s="39">
        <f>IF('Additional Documents'!B347 = "", "", IF('Additional Documents-WUO_ERR'!A347 = "", "Validated", HYPERLINK("#" &amp; ADDRESS(347, 'Additional Documents-WUO_TRK'!A347),_xlfn.TEXTAFTER('Additional Documents-WUO_ERR'!A347, ":"))))</f>
        <v>0</v>
      </c>
    </row>
    <row r="348" spans="1:1">
      <c r="A348" s="39">
        <f>IF('Additional Documents'!B348 = "", "", IF('Additional Documents-WUO_ERR'!A348 = "", "Validated", HYPERLINK("#" &amp; ADDRESS(348, 'Additional Documents-WUO_TRK'!A348),_xlfn.TEXTAFTER('Additional Documents-WUO_ERR'!A348, ":"))))</f>
        <v>0</v>
      </c>
    </row>
    <row r="349" spans="1:1">
      <c r="A349" s="39">
        <f>IF('Additional Documents'!B349 = "", "", IF('Additional Documents-WUO_ERR'!A349 = "", "Validated", HYPERLINK("#" &amp; ADDRESS(349, 'Additional Documents-WUO_TRK'!A349),_xlfn.TEXTAFTER('Additional Documents-WUO_ERR'!A349, ":"))))</f>
        <v>0</v>
      </c>
    </row>
    <row r="350" spans="1:1">
      <c r="A350" s="39">
        <f>IF('Additional Documents'!B350 = "", "", IF('Additional Documents-WUO_ERR'!A350 = "", "Validated", HYPERLINK("#" &amp; ADDRESS(350, 'Additional Documents-WUO_TRK'!A350),_xlfn.TEXTAFTER('Additional Documents-WUO_ERR'!A350, ":"))))</f>
        <v>0</v>
      </c>
    </row>
    <row r="351" spans="1:1">
      <c r="A351" s="39">
        <f>IF('Additional Documents'!B351 = "", "", IF('Additional Documents-WUO_ERR'!A351 = "", "Validated", HYPERLINK("#" &amp; ADDRESS(351, 'Additional Documents-WUO_TRK'!A351),_xlfn.TEXTAFTER('Additional Documents-WUO_ERR'!A351, ":"))))</f>
        <v>0</v>
      </c>
    </row>
    <row r="352" spans="1:1">
      <c r="A352" s="39">
        <f>IF('Additional Documents'!B352 = "", "", IF('Additional Documents-WUO_ERR'!A352 = "", "Validated", HYPERLINK("#" &amp; ADDRESS(352, 'Additional Documents-WUO_TRK'!A352),_xlfn.TEXTAFTER('Additional Documents-WUO_ERR'!A352, ":"))))</f>
        <v>0</v>
      </c>
    </row>
    <row r="353" spans="1:1">
      <c r="A353" s="39">
        <f>IF('Additional Documents'!B353 = "", "", IF('Additional Documents-WUO_ERR'!A353 = "", "Validated", HYPERLINK("#" &amp; ADDRESS(353, 'Additional Documents-WUO_TRK'!A353),_xlfn.TEXTAFTER('Additional Documents-WUO_ERR'!A353, ":"))))</f>
        <v>0</v>
      </c>
    </row>
    <row r="354" spans="1:1">
      <c r="A354" s="39">
        <f>IF('Additional Documents'!B354 = "", "", IF('Additional Documents-WUO_ERR'!A354 = "", "Validated", HYPERLINK("#" &amp; ADDRESS(354, 'Additional Documents-WUO_TRK'!A354),_xlfn.TEXTAFTER('Additional Documents-WUO_ERR'!A354, ":"))))</f>
        <v>0</v>
      </c>
    </row>
    <row r="355" spans="1:1">
      <c r="A355" s="39">
        <f>IF('Additional Documents'!B355 = "", "", IF('Additional Documents-WUO_ERR'!A355 = "", "Validated", HYPERLINK("#" &amp; ADDRESS(355, 'Additional Documents-WUO_TRK'!A355),_xlfn.TEXTAFTER('Additional Documents-WUO_ERR'!A355, ":"))))</f>
        <v>0</v>
      </c>
    </row>
    <row r="356" spans="1:1">
      <c r="A356" s="39">
        <f>IF('Additional Documents'!B356 = "", "", IF('Additional Documents-WUO_ERR'!A356 = "", "Validated", HYPERLINK("#" &amp; ADDRESS(356, 'Additional Documents-WUO_TRK'!A356),_xlfn.TEXTAFTER('Additional Documents-WUO_ERR'!A356, ":"))))</f>
        <v>0</v>
      </c>
    </row>
    <row r="357" spans="1:1">
      <c r="A357" s="39">
        <f>IF('Additional Documents'!B357 = "", "", IF('Additional Documents-WUO_ERR'!A357 = "", "Validated", HYPERLINK("#" &amp; ADDRESS(357, 'Additional Documents-WUO_TRK'!A357),_xlfn.TEXTAFTER('Additional Documents-WUO_ERR'!A357, ":"))))</f>
        <v>0</v>
      </c>
    </row>
    <row r="358" spans="1:1">
      <c r="A358" s="39">
        <f>IF('Additional Documents'!B358 = "", "", IF('Additional Documents-WUO_ERR'!A358 = "", "Validated", HYPERLINK("#" &amp; ADDRESS(358, 'Additional Documents-WUO_TRK'!A358),_xlfn.TEXTAFTER('Additional Documents-WUO_ERR'!A358, ":"))))</f>
        <v>0</v>
      </c>
    </row>
    <row r="359" spans="1:1">
      <c r="A359" s="39">
        <f>IF('Additional Documents'!B359 = "", "", IF('Additional Documents-WUO_ERR'!A359 = "", "Validated", HYPERLINK("#" &amp; ADDRESS(359, 'Additional Documents-WUO_TRK'!A359),_xlfn.TEXTAFTER('Additional Documents-WUO_ERR'!A359, ":"))))</f>
        <v>0</v>
      </c>
    </row>
    <row r="360" spans="1:1">
      <c r="A360" s="39">
        <f>IF('Additional Documents'!B360 = "", "", IF('Additional Documents-WUO_ERR'!A360 = "", "Validated", HYPERLINK("#" &amp; ADDRESS(360, 'Additional Documents-WUO_TRK'!A360),_xlfn.TEXTAFTER('Additional Documents-WUO_ERR'!A360, ":"))))</f>
        <v>0</v>
      </c>
    </row>
    <row r="361" spans="1:1">
      <c r="A361" s="39">
        <f>IF('Additional Documents'!B361 = "", "", IF('Additional Documents-WUO_ERR'!A361 = "", "Validated", HYPERLINK("#" &amp; ADDRESS(361, 'Additional Documents-WUO_TRK'!A361),_xlfn.TEXTAFTER('Additional Documents-WUO_ERR'!A361, ":"))))</f>
        <v>0</v>
      </c>
    </row>
    <row r="362" spans="1:1">
      <c r="A362" s="39">
        <f>IF('Additional Documents'!B362 = "", "", IF('Additional Documents-WUO_ERR'!A362 = "", "Validated", HYPERLINK("#" &amp; ADDRESS(362, 'Additional Documents-WUO_TRK'!A362),_xlfn.TEXTAFTER('Additional Documents-WUO_ERR'!A362, ":"))))</f>
        <v>0</v>
      </c>
    </row>
    <row r="363" spans="1:1">
      <c r="A363" s="39">
        <f>IF('Additional Documents'!B363 = "", "", IF('Additional Documents-WUO_ERR'!A363 = "", "Validated", HYPERLINK("#" &amp; ADDRESS(363, 'Additional Documents-WUO_TRK'!A363),_xlfn.TEXTAFTER('Additional Documents-WUO_ERR'!A363, ":"))))</f>
        <v>0</v>
      </c>
    </row>
    <row r="364" spans="1:1">
      <c r="A364" s="39">
        <f>IF('Additional Documents'!B364 = "", "", IF('Additional Documents-WUO_ERR'!A364 = "", "Validated", HYPERLINK("#" &amp; ADDRESS(364, 'Additional Documents-WUO_TRK'!A364),_xlfn.TEXTAFTER('Additional Documents-WUO_ERR'!A364, ":"))))</f>
        <v>0</v>
      </c>
    </row>
    <row r="365" spans="1:1">
      <c r="A365" s="39">
        <f>IF('Additional Documents'!B365 = "", "", IF('Additional Documents-WUO_ERR'!A365 = "", "Validated", HYPERLINK("#" &amp; ADDRESS(365, 'Additional Documents-WUO_TRK'!A365),_xlfn.TEXTAFTER('Additional Documents-WUO_ERR'!A365, ":"))))</f>
        <v>0</v>
      </c>
    </row>
    <row r="366" spans="1:1">
      <c r="A366" s="39">
        <f>IF('Additional Documents'!B366 = "", "", IF('Additional Documents-WUO_ERR'!A366 = "", "Validated", HYPERLINK("#" &amp; ADDRESS(366, 'Additional Documents-WUO_TRK'!A366),_xlfn.TEXTAFTER('Additional Documents-WUO_ERR'!A366, ":"))))</f>
        <v>0</v>
      </c>
    </row>
    <row r="367" spans="1:1">
      <c r="A367" s="39">
        <f>IF('Additional Documents'!B367 = "", "", IF('Additional Documents-WUO_ERR'!A367 = "", "Validated", HYPERLINK("#" &amp; ADDRESS(367, 'Additional Documents-WUO_TRK'!A367),_xlfn.TEXTAFTER('Additional Documents-WUO_ERR'!A367, ":"))))</f>
        <v>0</v>
      </c>
    </row>
    <row r="368" spans="1:1">
      <c r="A368" s="39">
        <f>IF('Additional Documents'!B368 = "", "", IF('Additional Documents-WUO_ERR'!A368 = "", "Validated", HYPERLINK("#" &amp; ADDRESS(368, 'Additional Documents-WUO_TRK'!A368),_xlfn.TEXTAFTER('Additional Documents-WUO_ERR'!A368, ":"))))</f>
        <v>0</v>
      </c>
    </row>
    <row r="369" spans="1:1">
      <c r="A369" s="39">
        <f>IF('Additional Documents'!B369 = "", "", IF('Additional Documents-WUO_ERR'!A369 = "", "Validated", HYPERLINK("#" &amp; ADDRESS(369, 'Additional Documents-WUO_TRK'!A369),_xlfn.TEXTAFTER('Additional Documents-WUO_ERR'!A369, ":"))))</f>
        <v>0</v>
      </c>
    </row>
    <row r="370" spans="1:1">
      <c r="A370" s="39">
        <f>IF('Additional Documents'!B370 = "", "", IF('Additional Documents-WUO_ERR'!A370 = "", "Validated", HYPERLINK("#" &amp; ADDRESS(370, 'Additional Documents-WUO_TRK'!A370),_xlfn.TEXTAFTER('Additional Documents-WUO_ERR'!A370, ":"))))</f>
        <v>0</v>
      </c>
    </row>
    <row r="371" spans="1:1">
      <c r="A371" s="39">
        <f>IF('Additional Documents'!B371 = "", "", IF('Additional Documents-WUO_ERR'!A371 = "", "Validated", HYPERLINK("#" &amp; ADDRESS(371, 'Additional Documents-WUO_TRK'!A371),_xlfn.TEXTAFTER('Additional Documents-WUO_ERR'!A371, ":"))))</f>
        <v>0</v>
      </c>
    </row>
    <row r="372" spans="1:1">
      <c r="A372" s="39">
        <f>IF('Additional Documents'!B372 = "", "", IF('Additional Documents-WUO_ERR'!A372 = "", "Validated", HYPERLINK("#" &amp; ADDRESS(372, 'Additional Documents-WUO_TRK'!A372),_xlfn.TEXTAFTER('Additional Documents-WUO_ERR'!A372, ":"))))</f>
        <v>0</v>
      </c>
    </row>
    <row r="373" spans="1:1">
      <c r="A373" s="39">
        <f>IF('Additional Documents'!B373 = "", "", IF('Additional Documents-WUO_ERR'!A373 = "", "Validated", HYPERLINK("#" &amp; ADDRESS(373, 'Additional Documents-WUO_TRK'!A373),_xlfn.TEXTAFTER('Additional Documents-WUO_ERR'!A373, ":"))))</f>
        <v>0</v>
      </c>
    </row>
    <row r="374" spans="1:1">
      <c r="A374" s="39">
        <f>IF('Additional Documents'!B374 = "", "", IF('Additional Documents-WUO_ERR'!A374 = "", "Validated", HYPERLINK("#" &amp; ADDRESS(374, 'Additional Documents-WUO_TRK'!A374),_xlfn.TEXTAFTER('Additional Documents-WUO_ERR'!A374, ":"))))</f>
        <v>0</v>
      </c>
    </row>
    <row r="375" spans="1:1">
      <c r="A375" s="39">
        <f>IF('Additional Documents'!B375 = "", "", IF('Additional Documents-WUO_ERR'!A375 = "", "Validated", HYPERLINK("#" &amp; ADDRESS(375, 'Additional Documents-WUO_TRK'!A375),_xlfn.TEXTAFTER('Additional Documents-WUO_ERR'!A375, ":"))))</f>
        <v>0</v>
      </c>
    </row>
    <row r="376" spans="1:1">
      <c r="A376" s="39">
        <f>IF('Additional Documents'!B376 = "", "", IF('Additional Documents-WUO_ERR'!A376 = "", "Validated", HYPERLINK("#" &amp; ADDRESS(376, 'Additional Documents-WUO_TRK'!A376),_xlfn.TEXTAFTER('Additional Documents-WUO_ERR'!A376, ":"))))</f>
        <v>0</v>
      </c>
    </row>
    <row r="377" spans="1:1">
      <c r="A377" s="39">
        <f>IF('Additional Documents'!B377 = "", "", IF('Additional Documents-WUO_ERR'!A377 = "", "Validated", HYPERLINK("#" &amp; ADDRESS(377, 'Additional Documents-WUO_TRK'!A377),_xlfn.TEXTAFTER('Additional Documents-WUO_ERR'!A377, ":"))))</f>
        <v>0</v>
      </c>
    </row>
    <row r="378" spans="1:1">
      <c r="A378" s="39">
        <f>IF('Additional Documents'!B378 = "", "", IF('Additional Documents-WUO_ERR'!A378 = "", "Validated", HYPERLINK("#" &amp; ADDRESS(378, 'Additional Documents-WUO_TRK'!A378),_xlfn.TEXTAFTER('Additional Documents-WUO_ERR'!A378, ":"))))</f>
        <v>0</v>
      </c>
    </row>
    <row r="379" spans="1:1">
      <c r="A379" s="39">
        <f>IF('Additional Documents'!B379 = "", "", IF('Additional Documents-WUO_ERR'!A379 = "", "Validated", HYPERLINK("#" &amp; ADDRESS(379, 'Additional Documents-WUO_TRK'!A379),_xlfn.TEXTAFTER('Additional Documents-WUO_ERR'!A379, ":"))))</f>
        <v>0</v>
      </c>
    </row>
    <row r="380" spans="1:1">
      <c r="A380" s="39">
        <f>IF('Additional Documents'!B380 = "", "", IF('Additional Documents-WUO_ERR'!A380 = "", "Validated", HYPERLINK("#" &amp; ADDRESS(380, 'Additional Documents-WUO_TRK'!A380),_xlfn.TEXTAFTER('Additional Documents-WUO_ERR'!A380, ":"))))</f>
        <v>0</v>
      </c>
    </row>
    <row r="381" spans="1:1">
      <c r="A381" s="39">
        <f>IF('Additional Documents'!B381 = "", "", IF('Additional Documents-WUO_ERR'!A381 = "", "Validated", HYPERLINK("#" &amp; ADDRESS(381, 'Additional Documents-WUO_TRK'!A381),_xlfn.TEXTAFTER('Additional Documents-WUO_ERR'!A381, ":"))))</f>
        <v>0</v>
      </c>
    </row>
    <row r="382" spans="1:1">
      <c r="A382" s="39">
        <f>IF('Additional Documents'!B382 = "", "", IF('Additional Documents-WUO_ERR'!A382 = "", "Validated", HYPERLINK("#" &amp; ADDRESS(382, 'Additional Documents-WUO_TRK'!A382),_xlfn.TEXTAFTER('Additional Documents-WUO_ERR'!A382, ":"))))</f>
        <v>0</v>
      </c>
    </row>
    <row r="383" spans="1:1">
      <c r="A383" s="39">
        <f>IF('Additional Documents'!B383 = "", "", IF('Additional Documents-WUO_ERR'!A383 = "", "Validated", HYPERLINK("#" &amp; ADDRESS(383, 'Additional Documents-WUO_TRK'!A383),_xlfn.TEXTAFTER('Additional Documents-WUO_ERR'!A383, ":"))))</f>
        <v>0</v>
      </c>
    </row>
    <row r="384" spans="1:1">
      <c r="A384" s="39">
        <f>IF('Additional Documents'!B384 = "", "", IF('Additional Documents-WUO_ERR'!A384 = "", "Validated", HYPERLINK("#" &amp; ADDRESS(384, 'Additional Documents-WUO_TRK'!A384),_xlfn.TEXTAFTER('Additional Documents-WUO_ERR'!A384, ":"))))</f>
        <v>0</v>
      </c>
    </row>
    <row r="385" spans="1:1">
      <c r="A385" s="39">
        <f>IF('Additional Documents'!B385 = "", "", IF('Additional Documents-WUO_ERR'!A385 = "", "Validated", HYPERLINK("#" &amp; ADDRESS(385, 'Additional Documents-WUO_TRK'!A385),_xlfn.TEXTAFTER('Additional Documents-WUO_ERR'!A385, ":"))))</f>
        <v>0</v>
      </c>
    </row>
    <row r="386" spans="1:1">
      <c r="A386" s="39">
        <f>IF('Additional Documents'!B386 = "", "", IF('Additional Documents-WUO_ERR'!A386 = "", "Validated", HYPERLINK("#" &amp; ADDRESS(386, 'Additional Documents-WUO_TRK'!A386),_xlfn.TEXTAFTER('Additional Documents-WUO_ERR'!A386, ":"))))</f>
        <v>0</v>
      </c>
    </row>
    <row r="387" spans="1:1">
      <c r="A387" s="39">
        <f>IF('Additional Documents'!B387 = "", "", IF('Additional Documents-WUO_ERR'!A387 = "", "Validated", HYPERLINK("#" &amp; ADDRESS(387, 'Additional Documents-WUO_TRK'!A387),_xlfn.TEXTAFTER('Additional Documents-WUO_ERR'!A387, ":"))))</f>
        <v>0</v>
      </c>
    </row>
    <row r="388" spans="1:1">
      <c r="A388" s="39">
        <f>IF('Additional Documents'!B388 = "", "", IF('Additional Documents-WUO_ERR'!A388 = "", "Validated", HYPERLINK("#" &amp; ADDRESS(388, 'Additional Documents-WUO_TRK'!A388),_xlfn.TEXTAFTER('Additional Documents-WUO_ERR'!A388, ":"))))</f>
        <v>0</v>
      </c>
    </row>
    <row r="389" spans="1:1">
      <c r="A389" s="39">
        <f>IF('Additional Documents'!B389 = "", "", IF('Additional Documents-WUO_ERR'!A389 = "", "Validated", HYPERLINK("#" &amp; ADDRESS(389, 'Additional Documents-WUO_TRK'!A389),_xlfn.TEXTAFTER('Additional Documents-WUO_ERR'!A389, ":"))))</f>
        <v>0</v>
      </c>
    </row>
    <row r="390" spans="1:1">
      <c r="A390" s="39">
        <f>IF('Additional Documents'!B390 = "", "", IF('Additional Documents-WUO_ERR'!A390 = "", "Validated", HYPERLINK("#" &amp; ADDRESS(390, 'Additional Documents-WUO_TRK'!A390),_xlfn.TEXTAFTER('Additional Documents-WUO_ERR'!A390, ":"))))</f>
        <v>0</v>
      </c>
    </row>
    <row r="391" spans="1:1">
      <c r="A391" s="39">
        <f>IF('Additional Documents'!B391 = "", "", IF('Additional Documents-WUO_ERR'!A391 = "", "Validated", HYPERLINK("#" &amp; ADDRESS(391, 'Additional Documents-WUO_TRK'!A391),_xlfn.TEXTAFTER('Additional Documents-WUO_ERR'!A391, ":"))))</f>
        <v>0</v>
      </c>
    </row>
    <row r="392" spans="1:1">
      <c r="A392" s="39">
        <f>IF('Additional Documents'!B392 = "", "", IF('Additional Documents-WUO_ERR'!A392 = "", "Validated", HYPERLINK("#" &amp; ADDRESS(392, 'Additional Documents-WUO_TRK'!A392),_xlfn.TEXTAFTER('Additional Documents-WUO_ERR'!A392, ":"))))</f>
        <v>0</v>
      </c>
    </row>
    <row r="393" spans="1:1">
      <c r="A393" s="39">
        <f>IF('Additional Documents'!B393 = "", "", IF('Additional Documents-WUO_ERR'!A393 = "", "Validated", HYPERLINK("#" &amp; ADDRESS(393, 'Additional Documents-WUO_TRK'!A393),_xlfn.TEXTAFTER('Additional Documents-WUO_ERR'!A393, ":"))))</f>
        <v>0</v>
      </c>
    </row>
    <row r="394" spans="1:1">
      <c r="A394" s="39">
        <f>IF('Additional Documents'!B394 = "", "", IF('Additional Documents-WUO_ERR'!A394 = "", "Validated", HYPERLINK("#" &amp; ADDRESS(394, 'Additional Documents-WUO_TRK'!A394),_xlfn.TEXTAFTER('Additional Documents-WUO_ERR'!A394, ":"))))</f>
        <v>0</v>
      </c>
    </row>
    <row r="395" spans="1:1">
      <c r="A395" s="39">
        <f>IF('Additional Documents'!B395 = "", "", IF('Additional Documents-WUO_ERR'!A395 = "", "Validated", HYPERLINK("#" &amp; ADDRESS(395, 'Additional Documents-WUO_TRK'!A395),_xlfn.TEXTAFTER('Additional Documents-WUO_ERR'!A395, ":"))))</f>
        <v>0</v>
      </c>
    </row>
    <row r="396" spans="1:1">
      <c r="A396" s="39">
        <f>IF('Additional Documents'!B396 = "", "", IF('Additional Documents-WUO_ERR'!A396 = "", "Validated", HYPERLINK("#" &amp; ADDRESS(396, 'Additional Documents-WUO_TRK'!A396),_xlfn.TEXTAFTER('Additional Documents-WUO_ERR'!A396, ":"))))</f>
        <v>0</v>
      </c>
    </row>
    <row r="397" spans="1:1">
      <c r="A397" s="39">
        <f>IF('Additional Documents'!B397 = "", "", IF('Additional Documents-WUO_ERR'!A397 = "", "Validated", HYPERLINK("#" &amp; ADDRESS(397, 'Additional Documents-WUO_TRK'!A397),_xlfn.TEXTAFTER('Additional Documents-WUO_ERR'!A397, ":"))))</f>
        <v>0</v>
      </c>
    </row>
    <row r="398" spans="1:1">
      <c r="A398" s="39">
        <f>IF('Additional Documents'!B398 = "", "", IF('Additional Documents-WUO_ERR'!A398 = "", "Validated", HYPERLINK("#" &amp; ADDRESS(398, 'Additional Documents-WUO_TRK'!A398),_xlfn.TEXTAFTER('Additional Documents-WUO_ERR'!A398, ":"))))</f>
        <v>0</v>
      </c>
    </row>
    <row r="399" spans="1:1">
      <c r="A399" s="39">
        <f>IF('Additional Documents'!B399 = "", "", IF('Additional Documents-WUO_ERR'!A399 = "", "Validated", HYPERLINK("#" &amp; ADDRESS(399, 'Additional Documents-WUO_TRK'!A399),_xlfn.TEXTAFTER('Additional Documents-WUO_ERR'!A399, ":"))))</f>
        <v>0</v>
      </c>
    </row>
    <row r="400" spans="1:1">
      <c r="A400" s="39">
        <f>IF('Additional Documents'!B400 = "", "", IF('Additional Documents-WUO_ERR'!A400 = "", "Validated", HYPERLINK("#" &amp; ADDRESS(400, 'Additional Documents-WUO_TRK'!A400),_xlfn.TEXTAFTER('Additional Documents-WUO_ERR'!A400, ":"))))</f>
        <v>0</v>
      </c>
    </row>
    <row r="401" spans="1:1">
      <c r="A401" s="39">
        <f>IF('Additional Documents'!B401 = "", "", IF('Additional Documents-WUO_ERR'!A401 = "", "Validated", HYPERLINK("#" &amp; ADDRESS(401, 'Additional Documents-WUO_TRK'!A401),_xlfn.TEXTAFTER('Additional Documents-WUO_ERR'!A401, ":"))))</f>
        <v>0</v>
      </c>
    </row>
    <row r="402" spans="1:1">
      <c r="A402" s="39">
        <f>IF('Additional Documents'!B402 = "", "", IF('Additional Documents-WUO_ERR'!A402 = "", "Validated", HYPERLINK("#" &amp; ADDRESS(402, 'Additional Documents-WUO_TRK'!A402),_xlfn.TEXTAFTER('Additional Documents-WUO_ERR'!A402, ":"))))</f>
        <v>0</v>
      </c>
    </row>
    <row r="403" spans="1:1">
      <c r="A403" s="39">
        <f>IF('Additional Documents'!B403 = "", "", IF('Additional Documents-WUO_ERR'!A403 = "", "Validated", HYPERLINK("#" &amp; ADDRESS(403, 'Additional Documents-WUO_TRK'!A403),_xlfn.TEXTAFTER('Additional Documents-WUO_ERR'!A403, ":"))))</f>
        <v>0</v>
      </c>
    </row>
    <row r="404" spans="1:1">
      <c r="A404" s="39">
        <f>IF('Additional Documents'!B404 = "", "", IF('Additional Documents-WUO_ERR'!A404 = "", "Validated", HYPERLINK("#" &amp; ADDRESS(404, 'Additional Documents-WUO_TRK'!A404),_xlfn.TEXTAFTER('Additional Documents-WUO_ERR'!A404, ":"))))</f>
        <v>0</v>
      </c>
    </row>
    <row r="405" spans="1:1">
      <c r="A405" s="39">
        <f>IF('Additional Documents'!B405 = "", "", IF('Additional Documents-WUO_ERR'!A405 = "", "Validated", HYPERLINK("#" &amp; ADDRESS(405, 'Additional Documents-WUO_TRK'!A405),_xlfn.TEXTAFTER('Additional Documents-WUO_ERR'!A405, ":"))))</f>
        <v>0</v>
      </c>
    </row>
    <row r="406" spans="1:1">
      <c r="A406" s="39">
        <f>IF('Additional Documents'!B406 = "", "", IF('Additional Documents-WUO_ERR'!A406 = "", "Validated", HYPERLINK("#" &amp; ADDRESS(406, 'Additional Documents-WUO_TRK'!A406),_xlfn.TEXTAFTER('Additional Documents-WUO_ERR'!A406, ":"))))</f>
        <v>0</v>
      </c>
    </row>
    <row r="407" spans="1:1">
      <c r="A407" s="39">
        <f>IF('Additional Documents'!B407 = "", "", IF('Additional Documents-WUO_ERR'!A407 = "", "Validated", HYPERLINK("#" &amp; ADDRESS(407, 'Additional Documents-WUO_TRK'!A407),_xlfn.TEXTAFTER('Additional Documents-WUO_ERR'!A407, ":"))))</f>
        <v>0</v>
      </c>
    </row>
    <row r="408" spans="1:1">
      <c r="A408" s="39">
        <f>IF('Additional Documents'!B408 = "", "", IF('Additional Documents-WUO_ERR'!A408 = "", "Validated", HYPERLINK("#" &amp; ADDRESS(408, 'Additional Documents-WUO_TRK'!A408),_xlfn.TEXTAFTER('Additional Documents-WUO_ERR'!A408, ":"))))</f>
        <v>0</v>
      </c>
    </row>
    <row r="409" spans="1:1">
      <c r="A409" s="39">
        <f>IF('Additional Documents'!B409 = "", "", IF('Additional Documents-WUO_ERR'!A409 = "", "Validated", HYPERLINK("#" &amp; ADDRESS(409, 'Additional Documents-WUO_TRK'!A409),_xlfn.TEXTAFTER('Additional Documents-WUO_ERR'!A409, ":"))))</f>
        <v>0</v>
      </c>
    </row>
    <row r="410" spans="1:1">
      <c r="A410" s="39">
        <f>IF('Additional Documents'!B410 = "", "", IF('Additional Documents-WUO_ERR'!A410 = "", "Validated", HYPERLINK("#" &amp; ADDRESS(410, 'Additional Documents-WUO_TRK'!A410),_xlfn.TEXTAFTER('Additional Documents-WUO_ERR'!A410, ":"))))</f>
        <v>0</v>
      </c>
    </row>
    <row r="411" spans="1:1">
      <c r="A411" s="39">
        <f>IF('Additional Documents'!B411 = "", "", IF('Additional Documents-WUO_ERR'!A411 = "", "Validated", HYPERLINK("#" &amp; ADDRESS(411, 'Additional Documents-WUO_TRK'!A411),_xlfn.TEXTAFTER('Additional Documents-WUO_ERR'!A411, ":"))))</f>
        <v>0</v>
      </c>
    </row>
    <row r="412" spans="1:1">
      <c r="A412" s="39">
        <f>IF('Additional Documents'!B412 = "", "", IF('Additional Documents-WUO_ERR'!A412 = "", "Validated", HYPERLINK("#" &amp; ADDRESS(412, 'Additional Documents-WUO_TRK'!A412),_xlfn.TEXTAFTER('Additional Documents-WUO_ERR'!A412, ":"))))</f>
        <v>0</v>
      </c>
    </row>
    <row r="413" spans="1:1">
      <c r="A413" s="39">
        <f>IF('Additional Documents'!B413 = "", "", IF('Additional Documents-WUO_ERR'!A413 = "", "Validated", HYPERLINK("#" &amp; ADDRESS(413, 'Additional Documents-WUO_TRK'!A413),_xlfn.TEXTAFTER('Additional Documents-WUO_ERR'!A413, ":"))))</f>
        <v>0</v>
      </c>
    </row>
    <row r="414" spans="1:1">
      <c r="A414" s="39">
        <f>IF('Additional Documents'!B414 = "", "", IF('Additional Documents-WUO_ERR'!A414 = "", "Validated", HYPERLINK("#" &amp; ADDRESS(414, 'Additional Documents-WUO_TRK'!A414),_xlfn.TEXTAFTER('Additional Documents-WUO_ERR'!A414, ":"))))</f>
        <v>0</v>
      </c>
    </row>
    <row r="415" spans="1:1">
      <c r="A415" s="39">
        <f>IF('Additional Documents'!B415 = "", "", IF('Additional Documents-WUO_ERR'!A415 = "", "Validated", HYPERLINK("#" &amp; ADDRESS(415, 'Additional Documents-WUO_TRK'!A415),_xlfn.TEXTAFTER('Additional Documents-WUO_ERR'!A415, ":"))))</f>
        <v>0</v>
      </c>
    </row>
    <row r="416" spans="1:1">
      <c r="A416" s="39">
        <f>IF('Additional Documents'!B416 = "", "", IF('Additional Documents-WUO_ERR'!A416 = "", "Validated", HYPERLINK("#" &amp; ADDRESS(416, 'Additional Documents-WUO_TRK'!A416),_xlfn.TEXTAFTER('Additional Documents-WUO_ERR'!A416, ":"))))</f>
        <v>0</v>
      </c>
    </row>
    <row r="417" spans="1:1">
      <c r="A417" s="39">
        <f>IF('Additional Documents'!B417 = "", "", IF('Additional Documents-WUO_ERR'!A417 = "", "Validated", HYPERLINK("#" &amp; ADDRESS(417, 'Additional Documents-WUO_TRK'!A417),_xlfn.TEXTAFTER('Additional Documents-WUO_ERR'!A417, ":"))))</f>
        <v>0</v>
      </c>
    </row>
    <row r="418" spans="1:1">
      <c r="A418" s="39">
        <f>IF('Additional Documents'!B418 = "", "", IF('Additional Documents-WUO_ERR'!A418 = "", "Validated", HYPERLINK("#" &amp; ADDRESS(418, 'Additional Documents-WUO_TRK'!A418),_xlfn.TEXTAFTER('Additional Documents-WUO_ERR'!A418, ":"))))</f>
        <v>0</v>
      </c>
    </row>
    <row r="419" spans="1:1">
      <c r="A419" s="39">
        <f>IF('Additional Documents'!B419 = "", "", IF('Additional Documents-WUO_ERR'!A419 = "", "Validated", HYPERLINK("#" &amp; ADDRESS(419, 'Additional Documents-WUO_TRK'!A419),_xlfn.TEXTAFTER('Additional Documents-WUO_ERR'!A419, ":"))))</f>
        <v>0</v>
      </c>
    </row>
    <row r="420" spans="1:1">
      <c r="A420" s="39">
        <f>IF('Additional Documents'!B420 = "", "", IF('Additional Documents-WUO_ERR'!A420 = "", "Validated", HYPERLINK("#" &amp; ADDRESS(420, 'Additional Documents-WUO_TRK'!A420),_xlfn.TEXTAFTER('Additional Documents-WUO_ERR'!A420, ":"))))</f>
        <v>0</v>
      </c>
    </row>
    <row r="421" spans="1:1">
      <c r="A421" s="39">
        <f>IF('Additional Documents'!B421 = "", "", IF('Additional Documents-WUO_ERR'!A421 = "", "Validated", HYPERLINK("#" &amp; ADDRESS(421, 'Additional Documents-WUO_TRK'!A421),_xlfn.TEXTAFTER('Additional Documents-WUO_ERR'!A421, ":"))))</f>
        <v>0</v>
      </c>
    </row>
    <row r="422" spans="1:1">
      <c r="A422" s="39">
        <f>IF('Additional Documents'!B422 = "", "", IF('Additional Documents-WUO_ERR'!A422 = "", "Validated", HYPERLINK("#" &amp; ADDRESS(422, 'Additional Documents-WUO_TRK'!A422),_xlfn.TEXTAFTER('Additional Documents-WUO_ERR'!A422, ":"))))</f>
        <v>0</v>
      </c>
    </row>
    <row r="423" spans="1:1">
      <c r="A423" s="39">
        <f>IF('Additional Documents'!B423 = "", "", IF('Additional Documents-WUO_ERR'!A423 = "", "Validated", HYPERLINK("#" &amp; ADDRESS(423, 'Additional Documents-WUO_TRK'!A423),_xlfn.TEXTAFTER('Additional Documents-WUO_ERR'!A423, ":"))))</f>
        <v>0</v>
      </c>
    </row>
    <row r="424" spans="1:1">
      <c r="A424" s="39">
        <f>IF('Additional Documents'!B424 = "", "", IF('Additional Documents-WUO_ERR'!A424 = "", "Validated", HYPERLINK("#" &amp; ADDRESS(424, 'Additional Documents-WUO_TRK'!A424),_xlfn.TEXTAFTER('Additional Documents-WUO_ERR'!A424, ":"))))</f>
        <v>0</v>
      </c>
    </row>
    <row r="425" spans="1:1">
      <c r="A425" s="39">
        <f>IF('Additional Documents'!B425 = "", "", IF('Additional Documents-WUO_ERR'!A425 = "", "Validated", HYPERLINK("#" &amp; ADDRESS(425, 'Additional Documents-WUO_TRK'!A425),_xlfn.TEXTAFTER('Additional Documents-WUO_ERR'!A425, ":"))))</f>
        <v>0</v>
      </c>
    </row>
    <row r="426" spans="1:1">
      <c r="A426" s="39">
        <f>IF('Additional Documents'!B426 = "", "", IF('Additional Documents-WUO_ERR'!A426 = "", "Validated", HYPERLINK("#" &amp; ADDRESS(426, 'Additional Documents-WUO_TRK'!A426),_xlfn.TEXTAFTER('Additional Documents-WUO_ERR'!A426, ":"))))</f>
        <v>0</v>
      </c>
    </row>
    <row r="427" spans="1:1">
      <c r="A427" s="39">
        <f>IF('Additional Documents'!B427 = "", "", IF('Additional Documents-WUO_ERR'!A427 = "", "Validated", HYPERLINK("#" &amp; ADDRESS(427, 'Additional Documents-WUO_TRK'!A427),_xlfn.TEXTAFTER('Additional Documents-WUO_ERR'!A427, ":"))))</f>
        <v>0</v>
      </c>
    </row>
    <row r="428" spans="1:1">
      <c r="A428" s="39">
        <f>IF('Additional Documents'!B428 = "", "", IF('Additional Documents-WUO_ERR'!A428 = "", "Validated", HYPERLINK("#" &amp; ADDRESS(428, 'Additional Documents-WUO_TRK'!A428),_xlfn.TEXTAFTER('Additional Documents-WUO_ERR'!A428, ":"))))</f>
        <v>0</v>
      </c>
    </row>
    <row r="429" spans="1:1">
      <c r="A429" s="39">
        <f>IF('Additional Documents'!B429 = "", "", IF('Additional Documents-WUO_ERR'!A429 = "", "Validated", HYPERLINK("#" &amp; ADDRESS(429, 'Additional Documents-WUO_TRK'!A429),_xlfn.TEXTAFTER('Additional Documents-WUO_ERR'!A429, ":"))))</f>
        <v>0</v>
      </c>
    </row>
    <row r="430" spans="1:1">
      <c r="A430" s="39">
        <f>IF('Additional Documents'!B430 = "", "", IF('Additional Documents-WUO_ERR'!A430 = "", "Validated", HYPERLINK("#" &amp; ADDRESS(430, 'Additional Documents-WUO_TRK'!A430),_xlfn.TEXTAFTER('Additional Documents-WUO_ERR'!A430, ":"))))</f>
        <v>0</v>
      </c>
    </row>
    <row r="431" spans="1:1">
      <c r="A431" s="39">
        <f>IF('Additional Documents'!B431 = "", "", IF('Additional Documents-WUO_ERR'!A431 = "", "Validated", HYPERLINK("#" &amp; ADDRESS(431, 'Additional Documents-WUO_TRK'!A431),_xlfn.TEXTAFTER('Additional Documents-WUO_ERR'!A431, ":"))))</f>
        <v>0</v>
      </c>
    </row>
    <row r="432" spans="1:1">
      <c r="A432" s="39">
        <f>IF('Additional Documents'!B432 = "", "", IF('Additional Documents-WUO_ERR'!A432 = "", "Validated", HYPERLINK("#" &amp; ADDRESS(432, 'Additional Documents-WUO_TRK'!A432),_xlfn.TEXTAFTER('Additional Documents-WUO_ERR'!A432, ":"))))</f>
        <v>0</v>
      </c>
    </row>
    <row r="433" spans="1:1">
      <c r="A433" s="39">
        <f>IF('Additional Documents'!B433 = "", "", IF('Additional Documents-WUO_ERR'!A433 = "", "Validated", HYPERLINK("#" &amp; ADDRESS(433, 'Additional Documents-WUO_TRK'!A433),_xlfn.TEXTAFTER('Additional Documents-WUO_ERR'!A433, ":"))))</f>
        <v>0</v>
      </c>
    </row>
    <row r="434" spans="1:1">
      <c r="A434" s="39">
        <f>IF('Additional Documents'!B434 = "", "", IF('Additional Documents-WUO_ERR'!A434 = "", "Validated", HYPERLINK("#" &amp; ADDRESS(434, 'Additional Documents-WUO_TRK'!A434),_xlfn.TEXTAFTER('Additional Documents-WUO_ERR'!A434, ":"))))</f>
        <v>0</v>
      </c>
    </row>
    <row r="435" spans="1:1">
      <c r="A435" s="39">
        <f>IF('Additional Documents'!B435 = "", "", IF('Additional Documents-WUO_ERR'!A435 = "", "Validated", HYPERLINK("#" &amp; ADDRESS(435, 'Additional Documents-WUO_TRK'!A435),_xlfn.TEXTAFTER('Additional Documents-WUO_ERR'!A435, ":"))))</f>
        <v>0</v>
      </c>
    </row>
    <row r="436" spans="1:1">
      <c r="A436" s="39">
        <f>IF('Additional Documents'!B436 = "", "", IF('Additional Documents-WUO_ERR'!A436 = "", "Validated", HYPERLINK("#" &amp; ADDRESS(436, 'Additional Documents-WUO_TRK'!A436),_xlfn.TEXTAFTER('Additional Documents-WUO_ERR'!A436, ":"))))</f>
        <v>0</v>
      </c>
    </row>
    <row r="437" spans="1:1">
      <c r="A437" s="39">
        <f>IF('Additional Documents'!B437 = "", "", IF('Additional Documents-WUO_ERR'!A437 = "", "Validated", HYPERLINK("#" &amp; ADDRESS(437, 'Additional Documents-WUO_TRK'!A437),_xlfn.TEXTAFTER('Additional Documents-WUO_ERR'!A437, ":"))))</f>
        <v>0</v>
      </c>
    </row>
    <row r="438" spans="1:1">
      <c r="A438" s="39">
        <f>IF('Additional Documents'!B438 = "", "", IF('Additional Documents-WUO_ERR'!A438 = "", "Validated", HYPERLINK("#" &amp; ADDRESS(438, 'Additional Documents-WUO_TRK'!A438),_xlfn.TEXTAFTER('Additional Documents-WUO_ERR'!A438, ":"))))</f>
        <v>0</v>
      </c>
    </row>
    <row r="439" spans="1:1">
      <c r="A439" s="39">
        <f>IF('Additional Documents'!B439 = "", "", IF('Additional Documents-WUO_ERR'!A439 = "", "Validated", HYPERLINK("#" &amp; ADDRESS(439, 'Additional Documents-WUO_TRK'!A439),_xlfn.TEXTAFTER('Additional Documents-WUO_ERR'!A439, ":"))))</f>
        <v>0</v>
      </c>
    </row>
    <row r="440" spans="1:1">
      <c r="A440" s="39">
        <f>IF('Additional Documents'!B440 = "", "", IF('Additional Documents-WUO_ERR'!A440 = "", "Validated", HYPERLINK("#" &amp; ADDRESS(440, 'Additional Documents-WUO_TRK'!A440),_xlfn.TEXTAFTER('Additional Documents-WUO_ERR'!A440, ":"))))</f>
        <v>0</v>
      </c>
    </row>
    <row r="441" spans="1:1">
      <c r="A441" s="39">
        <f>IF('Additional Documents'!B441 = "", "", IF('Additional Documents-WUO_ERR'!A441 = "", "Validated", HYPERLINK("#" &amp; ADDRESS(441, 'Additional Documents-WUO_TRK'!A441),_xlfn.TEXTAFTER('Additional Documents-WUO_ERR'!A441, ":"))))</f>
        <v>0</v>
      </c>
    </row>
    <row r="442" spans="1:1">
      <c r="A442" s="39">
        <f>IF('Additional Documents'!B442 = "", "", IF('Additional Documents-WUO_ERR'!A442 = "", "Validated", HYPERLINK("#" &amp; ADDRESS(442, 'Additional Documents-WUO_TRK'!A442),_xlfn.TEXTAFTER('Additional Documents-WUO_ERR'!A442, ":"))))</f>
        <v>0</v>
      </c>
    </row>
    <row r="443" spans="1:1">
      <c r="A443" s="39">
        <f>IF('Additional Documents'!B443 = "", "", IF('Additional Documents-WUO_ERR'!A443 = "", "Validated", HYPERLINK("#" &amp; ADDRESS(443, 'Additional Documents-WUO_TRK'!A443),_xlfn.TEXTAFTER('Additional Documents-WUO_ERR'!A443, ":"))))</f>
        <v>0</v>
      </c>
    </row>
    <row r="444" spans="1:1">
      <c r="A444" s="39">
        <f>IF('Additional Documents'!B444 = "", "", IF('Additional Documents-WUO_ERR'!A444 = "", "Validated", HYPERLINK("#" &amp; ADDRESS(444, 'Additional Documents-WUO_TRK'!A444),_xlfn.TEXTAFTER('Additional Documents-WUO_ERR'!A444, ":"))))</f>
        <v>0</v>
      </c>
    </row>
    <row r="445" spans="1:1">
      <c r="A445" s="39">
        <f>IF('Additional Documents'!B445 = "", "", IF('Additional Documents-WUO_ERR'!A445 = "", "Validated", HYPERLINK("#" &amp; ADDRESS(445, 'Additional Documents-WUO_TRK'!A445),_xlfn.TEXTAFTER('Additional Documents-WUO_ERR'!A445, ":"))))</f>
        <v>0</v>
      </c>
    </row>
    <row r="446" spans="1:1">
      <c r="A446" s="39">
        <f>IF('Additional Documents'!B446 = "", "", IF('Additional Documents-WUO_ERR'!A446 = "", "Validated", HYPERLINK("#" &amp; ADDRESS(446, 'Additional Documents-WUO_TRK'!A446),_xlfn.TEXTAFTER('Additional Documents-WUO_ERR'!A446, ":"))))</f>
        <v>0</v>
      </c>
    </row>
    <row r="447" spans="1:1">
      <c r="A447" s="39">
        <f>IF('Additional Documents'!B447 = "", "", IF('Additional Documents-WUO_ERR'!A447 = "", "Validated", HYPERLINK("#" &amp; ADDRESS(447, 'Additional Documents-WUO_TRK'!A447),_xlfn.TEXTAFTER('Additional Documents-WUO_ERR'!A447, ":"))))</f>
        <v>0</v>
      </c>
    </row>
    <row r="448" spans="1:1">
      <c r="A448" s="39">
        <f>IF('Additional Documents'!B448 = "", "", IF('Additional Documents-WUO_ERR'!A448 = "", "Validated", HYPERLINK("#" &amp; ADDRESS(448, 'Additional Documents-WUO_TRK'!A448),_xlfn.TEXTAFTER('Additional Documents-WUO_ERR'!A448, ":"))))</f>
        <v>0</v>
      </c>
    </row>
    <row r="449" spans="1:1">
      <c r="A449" s="39">
        <f>IF('Additional Documents'!B449 = "", "", IF('Additional Documents-WUO_ERR'!A449 = "", "Validated", HYPERLINK("#" &amp; ADDRESS(449, 'Additional Documents-WUO_TRK'!A449),_xlfn.TEXTAFTER('Additional Documents-WUO_ERR'!A449, ":"))))</f>
        <v>0</v>
      </c>
    </row>
    <row r="450" spans="1:1">
      <c r="A450" s="39">
        <f>IF('Additional Documents'!B450 = "", "", IF('Additional Documents-WUO_ERR'!A450 = "", "Validated", HYPERLINK("#" &amp; ADDRESS(450, 'Additional Documents-WUO_TRK'!A450),_xlfn.TEXTAFTER('Additional Documents-WUO_ERR'!A450, ":"))))</f>
        <v>0</v>
      </c>
    </row>
    <row r="451" spans="1:1">
      <c r="A451" s="39">
        <f>IF('Additional Documents'!B451 = "", "", IF('Additional Documents-WUO_ERR'!A451 = "", "Validated", HYPERLINK("#" &amp; ADDRESS(451, 'Additional Documents-WUO_TRK'!A451),_xlfn.TEXTAFTER('Additional Documents-WUO_ERR'!A451, ":"))))</f>
        <v>0</v>
      </c>
    </row>
    <row r="452" spans="1:1">
      <c r="A452" s="39">
        <f>IF('Additional Documents'!B452 = "", "", IF('Additional Documents-WUO_ERR'!A452 = "", "Validated", HYPERLINK("#" &amp; ADDRESS(452, 'Additional Documents-WUO_TRK'!A452),_xlfn.TEXTAFTER('Additional Documents-WUO_ERR'!A452, ":"))))</f>
        <v>0</v>
      </c>
    </row>
    <row r="453" spans="1:1">
      <c r="A453" s="39">
        <f>IF('Additional Documents'!B453 = "", "", IF('Additional Documents-WUO_ERR'!A453 = "", "Validated", HYPERLINK("#" &amp; ADDRESS(453, 'Additional Documents-WUO_TRK'!A453),_xlfn.TEXTAFTER('Additional Documents-WUO_ERR'!A453, ":"))))</f>
        <v>0</v>
      </c>
    </row>
    <row r="454" spans="1:1">
      <c r="A454" s="39">
        <f>IF('Additional Documents'!B454 = "", "", IF('Additional Documents-WUO_ERR'!A454 = "", "Validated", HYPERLINK("#" &amp; ADDRESS(454, 'Additional Documents-WUO_TRK'!A454),_xlfn.TEXTAFTER('Additional Documents-WUO_ERR'!A454, ":"))))</f>
        <v>0</v>
      </c>
    </row>
    <row r="455" spans="1:1">
      <c r="A455" s="39">
        <f>IF('Additional Documents'!B455 = "", "", IF('Additional Documents-WUO_ERR'!A455 = "", "Validated", HYPERLINK("#" &amp; ADDRESS(455, 'Additional Documents-WUO_TRK'!A455),_xlfn.TEXTAFTER('Additional Documents-WUO_ERR'!A455, ":"))))</f>
        <v>0</v>
      </c>
    </row>
    <row r="456" spans="1:1">
      <c r="A456" s="39">
        <f>IF('Additional Documents'!B456 = "", "", IF('Additional Documents-WUO_ERR'!A456 = "", "Validated", HYPERLINK("#" &amp; ADDRESS(456, 'Additional Documents-WUO_TRK'!A456),_xlfn.TEXTAFTER('Additional Documents-WUO_ERR'!A456, ":"))))</f>
        <v>0</v>
      </c>
    </row>
    <row r="457" spans="1:1">
      <c r="A457" s="39">
        <f>IF('Additional Documents'!B457 = "", "", IF('Additional Documents-WUO_ERR'!A457 = "", "Validated", HYPERLINK("#" &amp; ADDRESS(457, 'Additional Documents-WUO_TRK'!A457),_xlfn.TEXTAFTER('Additional Documents-WUO_ERR'!A457, ":"))))</f>
        <v>0</v>
      </c>
    </row>
    <row r="458" spans="1:1">
      <c r="A458" s="39">
        <f>IF('Additional Documents'!B458 = "", "", IF('Additional Documents-WUO_ERR'!A458 = "", "Validated", HYPERLINK("#" &amp; ADDRESS(458, 'Additional Documents-WUO_TRK'!A458),_xlfn.TEXTAFTER('Additional Documents-WUO_ERR'!A458, ":"))))</f>
        <v>0</v>
      </c>
    </row>
    <row r="459" spans="1:1">
      <c r="A459" s="39">
        <f>IF('Additional Documents'!B459 = "", "", IF('Additional Documents-WUO_ERR'!A459 = "", "Validated", HYPERLINK("#" &amp; ADDRESS(459, 'Additional Documents-WUO_TRK'!A459),_xlfn.TEXTAFTER('Additional Documents-WUO_ERR'!A459, ":"))))</f>
        <v>0</v>
      </c>
    </row>
    <row r="460" spans="1:1">
      <c r="A460" s="39">
        <f>IF('Additional Documents'!B460 = "", "", IF('Additional Documents-WUO_ERR'!A460 = "", "Validated", HYPERLINK("#" &amp; ADDRESS(460, 'Additional Documents-WUO_TRK'!A460),_xlfn.TEXTAFTER('Additional Documents-WUO_ERR'!A460, ":"))))</f>
        <v>0</v>
      </c>
    </row>
    <row r="461" spans="1:1">
      <c r="A461" s="39">
        <f>IF('Additional Documents'!B461 = "", "", IF('Additional Documents-WUO_ERR'!A461 = "", "Validated", HYPERLINK("#" &amp; ADDRESS(461, 'Additional Documents-WUO_TRK'!A461),_xlfn.TEXTAFTER('Additional Documents-WUO_ERR'!A461, ":"))))</f>
        <v>0</v>
      </c>
    </row>
    <row r="462" spans="1:1">
      <c r="A462" s="39">
        <f>IF('Additional Documents'!B462 = "", "", IF('Additional Documents-WUO_ERR'!A462 = "", "Validated", HYPERLINK("#" &amp; ADDRESS(462, 'Additional Documents-WUO_TRK'!A462),_xlfn.TEXTAFTER('Additional Documents-WUO_ERR'!A462, ":"))))</f>
        <v>0</v>
      </c>
    </row>
    <row r="463" spans="1:1">
      <c r="A463" s="39">
        <f>IF('Additional Documents'!B463 = "", "", IF('Additional Documents-WUO_ERR'!A463 = "", "Validated", HYPERLINK("#" &amp; ADDRESS(463, 'Additional Documents-WUO_TRK'!A463),_xlfn.TEXTAFTER('Additional Documents-WUO_ERR'!A463, ":"))))</f>
        <v>0</v>
      </c>
    </row>
    <row r="464" spans="1:1">
      <c r="A464" s="39">
        <f>IF('Additional Documents'!B464 = "", "", IF('Additional Documents-WUO_ERR'!A464 = "", "Validated", HYPERLINK("#" &amp; ADDRESS(464, 'Additional Documents-WUO_TRK'!A464),_xlfn.TEXTAFTER('Additional Documents-WUO_ERR'!A464, ":"))))</f>
        <v>0</v>
      </c>
    </row>
    <row r="465" spans="1:1">
      <c r="A465" s="39">
        <f>IF('Additional Documents'!B465 = "", "", IF('Additional Documents-WUO_ERR'!A465 = "", "Validated", HYPERLINK("#" &amp; ADDRESS(465, 'Additional Documents-WUO_TRK'!A465),_xlfn.TEXTAFTER('Additional Documents-WUO_ERR'!A465, ":"))))</f>
        <v>0</v>
      </c>
    </row>
    <row r="466" spans="1:1">
      <c r="A466" s="39">
        <f>IF('Additional Documents'!B466 = "", "", IF('Additional Documents-WUO_ERR'!A466 = "", "Validated", HYPERLINK("#" &amp; ADDRESS(466, 'Additional Documents-WUO_TRK'!A466),_xlfn.TEXTAFTER('Additional Documents-WUO_ERR'!A466, ":"))))</f>
        <v>0</v>
      </c>
    </row>
    <row r="467" spans="1:1">
      <c r="A467" s="39">
        <f>IF('Additional Documents'!B467 = "", "", IF('Additional Documents-WUO_ERR'!A467 = "", "Validated", HYPERLINK("#" &amp; ADDRESS(467, 'Additional Documents-WUO_TRK'!A467),_xlfn.TEXTAFTER('Additional Documents-WUO_ERR'!A467, ":"))))</f>
        <v>0</v>
      </c>
    </row>
    <row r="468" spans="1:1">
      <c r="A468" s="39">
        <f>IF('Additional Documents'!B468 = "", "", IF('Additional Documents-WUO_ERR'!A468 = "", "Validated", HYPERLINK("#" &amp; ADDRESS(468, 'Additional Documents-WUO_TRK'!A468),_xlfn.TEXTAFTER('Additional Documents-WUO_ERR'!A468, ":"))))</f>
        <v>0</v>
      </c>
    </row>
    <row r="469" spans="1:1">
      <c r="A469" s="39">
        <f>IF('Additional Documents'!B469 = "", "", IF('Additional Documents-WUO_ERR'!A469 = "", "Validated", HYPERLINK("#" &amp; ADDRESS(469, 'Additional Documents-WUO_TRK'!A469),_xlfn.TEXTAFTER('Additional Documents-WUO_ERR'!A469, ":"))))</f>
        <v>0</v>
      </c>
    </row>
    <row r="470" spans="1:1">
      <c r="A470" s="39">
        <f>IF('Additional Documents'!B470 = "", "", IF('Additional Documents-WUO_ERR'!A470 = "", "Validated", HYPERLINK("#" &amp; ADDRESS(470, 'Additional Documents-WUO_TRK'!A470),_xlfn.TEXTAFTER('Additional Documents-WUO_ERR'!A470, ":"))))</f>
        <v>0</v>
      </c>
    </row>
    <row r="471" spans="1:1">
      <c r="A471" s="39">
        <f>IF('Additional Documents'!B471 = "", "", IF('Additional Documents-WUO_ERR'!A471 = "", "Validated", HYPERLINK("#" &amp; ADDRESS(471, 'Additional Documents-WUO_TRK'!A471),_xlfn.TEXTAFTER('Additional Documents-WUO_ERR'!A471, ":"))))</f>
        <v>0</v>
      </c>
    </row>
    <row r="472" spans="1:1">
      <c r="A472" s="39">
        <f>IF('Additional Documents'!B472 = "", "", IF('Additional Documents-WUO_ERR'!A472 = "", "Validated", HYPERLINK("#" &amp; ADDRESS(472, 'Additional Documents-WUO_TRK'!A472),_xlfn.TEXTAFTER('Additional Documents-WUO_ERR'!A472, ":"))))</f>
        <v>0</v>
      </c>
    </row>
    <row r="473" spans="1:1">
      <c r="A473" s="39">
        <f>IF('Additional Documents'!B473 = "", "", IF('Additional Documents-WUO_ERR'!A473 = "", "Validated", HYPERLINK("#" &amp; ADDRESS(473, 'Additional Documents-WUO_TRK'!A473),_xlfn.TEXTAFTER('Additional Documents-WUO_ERR'!A473, ":"))))</f>
        <v>0</v>
      </c>
    </row>
    <row r="474" spans="1:1">
      <c r="A474" s="39">
        <f>IF('Additional Documents'!B474 = "", "", IF('Additional Documents-WUO_ERR'!A474 = "", "Validated", HYPERLINK("#" &amp; ADDRESS(474, 'Additional Documents-WUO_TRK'!A474),_xlfn.TEXTAFTER('Additional Documents-WUO_ERR'!A474, ":"))))</f>
        <v>0</v>
      </c>
    </row>
    <row r="475" spans="1:1">
      <c r="A475" s="39">
        <f>IF('Additional Documents'!B475 = "", "", IF('Additional Documents-WUO_ERR'!A475 = "", "Validated", HYPERLINK("#" &amp; ADDRESS(475, 'Additional Documents-WUO_TRK'!A475),_xlfn.TEXTAFTER('Additional Documents-WUO_ERR'!A475, ":"))))</f>
        <v>0</v>
      </c>
    </row>
    <row r="476" spans="1:1">
      <c r="A476" s="39">
        <f>IF('Additional Documents'!B476 = "", "", IF('Additional Documents-WUO_ERR'!A476 = "", "Validated", HYPERLINK("#" &amp; ADDRESS(476, 'Additional Documents-WUO_TRK'!A476),_xlfn.TEXTAFTER('Additional Documents-WUO_ERR'!A476, ":"))))</f>
        <v>0</v>
      </c>
    </row>
    <row r="477" spans="1:1">
      <c r="A477" s="39">
        <f>IF('Additional Documents'!B477 = "", "", IF('Additional Documents-WUO_ERR'!A477 = "", "Validated", HYPERLINK("#" &amp; ADDRESS(477, 'Additional Documents-WUO_TRK'!A477),_xlfn.TEXTAFTER('Additional Documents-WUO_ERR'!A477, ":"))))</f>
        <v>0</v>
      </c>
    </row>
    <row r="478" spans="1:1">
      <c r="A478" s="39">
        <f>IF('Additional Documents'!B478 = "", "", IF('Additional Documents-WUO_ERR'!A478 = "", "Validated", HYPERLINK("#" &amp; ADDRESS(478, 'Additional Documents-WUO_TRK'!A478),_xlfn.TEXTAFTER('Additional Documents-WUO_ERR'!A478, ":"))))</f>
        <v>0</v>
      </c>
    </row>
    <row r="479" spans="1:1">
      <c r="A479" s="39">
        <f>IF('Additional Documents'!B479 = "", "", IF('Additional Documents-WUO_ERR'!A479 = "", "Validated", HYPERLINK("#" &amp; ADDRESS(479, 'Additional Documents-WUO_TRK'!A479),_xlfn.TEXTAFTER('Additional Documents-WUO_ERR'!A479, ":"))))</f>
        <v>0</v>
      </c>
    </row>
    <row r="480" spans="1:1">
      <c r="A480" s="39">
        <f>IF('Additional Documents'!B480 = "", "", IF('Additional Documents-WUO_ERR'!A480 = "", "Validated", HYPERLINK("#" &amp; ADDRESS(480, 'Additional Documents-WUO_TRK'!A480),_xlfn.TEXTAFTER('Additional Documents-WUO_ERR'!A480, ":"))))</f>
        <v>0</v>
      </c>
    </row>
    <row r="481" spans="1:1">
      <c r="A481" s="39">
        <f>IF('Additional Documents'!B481 = "", "", IF('Additional Documents-WUO_ERR'!A481 = "", "Validated", HYPERLINK("#" &amp; ADDRESS(481, 'Additional Documents-WUO_TRK'!A481),_xlfn.TEXTAFTER('Additional Documents-WUO_ERR'!A481, ":"))))</f>
        <v>0</v>
      </c>
    </row>
    <row r="482" spans="1:1">
      <c r="A482" s="39">
        <f>IF('Additional Documents'!B482 = "", "", IF('Additional Documents-WUO_ERR'!A482 = "", "Validated", HYPERLINK("#" &amp; ADDRESS(482, 'Additional Documents-WUO_TRK'!A482),_xlfn.TEXTAFTER('Additional Documents-WUO_ERR'!A482, ":"))))</f>
        <v>0</v>
      </c>
    </row>
    <row r="483" spans="1:1">
      <c r="A483" s="39">
        <f>IF('Additional Documents'!B483 = "", "", IF('Additional Documents-WUO_ERR'!A483 = "", "Validated", HYPERLINK("#" &amp; ADDRESS(483, 'Additional Documents-WUO_TRK'!A483),_xlfn.TEXTAFTER('Additional Documents-WUO_ERR'!A483, ":"))))</f>
        <v>0</v>
      </c>
    </row>
    <row r="484" spans="1:1">
      <c r="A484" s="39">
        <f>IF('Additional Documents'!B484 = "", "", IF('Additional Documents-WUO_ERR'!A484 = "", "Validated", HYPERLINK("#" &amp; ADDRESS(484, 'Additional Documents-WUO_TRK'!A484),_xlfn.TEXTAFTER('Additional Documents-WUO_ERR'!A484, ":"))))</f>
        <v>0</v>
      </c>
    </row>
    <row r="485" spans="1:1">
      <c r="A485" s="39">
        <f>IF('Additional Documents'!B485 = "", "", IF('Additional Documents-WUO_ERR'!A485 = "", "Validated", HYPERLINK("#" &amp; ADDRESS(485, 'Additional Documents-WUO_TRK'!A485),_xlfn.TEXTAFTER('Additional Documents-WUO_ERR'!A485, ":"))))</f>
        <v>0</v>
      </c>
    </row>
    <row r="486" spans="1:1">
      <c r="A486" s="39">
        <f>IF('Additional Documents'!B486 = "", "", IF('Additional Documents-WUO_ERR'!A486 = "", "Validated", HYPERLINK("#" &amp; ADDRESS(486, 'Additional Documents-WUO_TRK'!A486),_xlfn.TEXTAFTER('Additional Documents-WUO_ERR'!A486, ":"))))</f>
        <v>0</v>
      </c>
    </row>
    <row r="487" spans="1:1">
      <c r="A487" s="39">
        <f>IF('Additional Documents'!B487 = "", "", IF('Additional Documents-WUO_ERR'!A487 = "", "Validated", HYPERLINK("#" &amp; ADDRESS(487, 'Additional Documents-WUO_TRK'!A487),_xlfn.TEXTAFTER('Additional Documents-WUO_ERR'!A487, ":"))))</f>
        <v>0</v>
      </c>
    </row>
    <row r="488" spans="1:1">
      <c r="A488" s="39">
        <f>IF('Additional Documents'!B488 = "", "", IF('Additional Documents-WUO_ERR'!A488 = "", "Validated", HYPERLINK("#" &amp; ADDRESS(488, 'Additional Documents-WUO_TRK'!A488),_xlfn.TEXTAFTER('Additional Documents-WUO_ERR'!A488, ":"))))</f>
        <v>0</v>
      </c>
    </row>
    <row r="489" spans="1:1">
      <c r="A489" s="39">
        <f>IF('Additional Documents'!B489 = "", "", IF('Additional Documents-WUO_ERR'!A489 = "", "Validated", HYPERLINK("#" &amp; ADDRESS(489, 'Additional Documents-WUO_TRK'!A489),_xlfn.TEXTAFTER('Additional Documents-WUO_ERR'!A489, ":"))))</f>
        <v>0</v>
      </c>
    </row>
    <row r="490" spans="1:1">
      <c r="A490" s="39">
        <f>IF('Additional Documents'!B490 = "", "", IF('Additional Documents-WUO_ERR'!A490 = "", "Validated", HYPERLINK("#" &amp; ADDRESS(490, 'Additional Documents-WUO_TRK'!A490),_xlfn.TEXTAFTER('Additional Documents-WUO_ERR'!A490, ":"))))</f>
        <v>0</v>
      </c>
    </row>
    <row r="491" spans="1:1">
      <c r="A491" s="39">
        <f>IF('Additional Documents'!B491 = "", "", IF('Additional Documents-WUO_ERR'!A491 = "", "Validated", HYPERLINK("#" &amp; ADDRESS(491, 'Additional Documents-WUO_TRK'!A491),_xlfn.TEXTAFTER('Additional Documents-WUO_ERR'!A491, ":"))))</f>
        <v>0</v>
      </c>
    </row>
    <row r="492" spans="1:1">
      <c r="A492" s="39">
        <f>IF('Additional Documents'!B492 = "", "", IF('Additional Documents-WUO_ERR'!A492 = "", "Validated", HYPERLINK("#" &amp; ADDRESS(492, 'Additional Documents-WUO_TRK'!A492),_xlfn.TEXTAFTER('Additional Documents-WUO_ERR'!A492, ":"))))</f>
        <v>0</v>
      </c>
    </row>
    <row r="493" spans="1:1">
      <c r="A493" s="39">
        <f>IF('Additional Documents'!B493 = "", "", IF('Additional Documents-WUO_ERR'!A493 = "", "Validated", HYPERLINK("#" &amp; ADDRESS(493, 'Additional Documents-WUO_TRK'!A493),_xlfn.TEXTAFTER('Additional Documents-WUO_ERR'!A493, ":"))))</f>
        <v>0</v>
      </c>
    </row>
    <row r="494" spans="1:1">
      <c r="A494" s="39">
        <f>IF('Additional Documents'!B494 = "", "", IF('Additional Documents-WUO_ERR'!A494 = "", "Validated", HYPERLINK("#" &amp; ADDRESS(494, 'Additional Documents-WUO_TRK'!A494),_xlfn.TEXTAFTER('Additional Documents-WUO_ERR'!A494, ":"))))</f>
        <v>0</v>
      </c>
    </row>
    <row r="495" spans="1:1">
      <c r="A495" s="39">
        <f>IF('Additional Documents'!B495 = "", "", IF('Additional Documents-WUO_ERR'!A495 = "", "Validated", HYPERLINK("#" &amp; ADDRESS(495, 'Additional Documents-WUO_TRK'!A495),_xlfn.TEXTAFTER('Additional Documents-WUO_ERR'!A495, ":"))))</f>
        <v>0</v>
      </c>
    </row>
    <row r="496" spans="1:1">
      <c r="A496" s="39">
        <f>IF('Additional Documents'!B496 = "", "", IF('Additional Documents-WUO_ERR'!A496 = "", "Validated", HYPERLINK("#" &amp; ADDRESS(496, 'Additional Documents-WUO_TRK'!A496),_xlfn.TEXTAFTER('Additional Documents-WUO_ERR'!A496, ":"))))</f>
        <v>0</v>
      </c>
    </row>
    <row r="497" spans="1:1">
      <c r="A497" s="39">
        <f>IF('Additional Documents'!B497 = "", "", IF('Additional Documents-WUO_ERR'!A497 = "", "Validated", HYPERLINK("#" &amp; ADDRESS(497, 'Additional Documents-WUO_TRK'!A497),_xlfn.TEXTAFTER('Additional Documents-WUO_ERR'!A497, ":"))))</f>
        <v>0</v>
      </c>
    </row>
    <row r="498" spans="1:1">
      <c r="A498" s="39">
        <f>IF('Additional Documents'!B498 = "", "", IF('Additional Documents-WUO_ERR'!A498 = "", "Validated", HYPERLINK("#" &amp; ADDRESS(498, 'Additional Documents-WUO_TRK'!A498),_xlfn.TEXTAFTER('Additional Documents-WUO_ERR'!A498, ":"))))</f>
        <v>0</v>
      </c>
    </row>
    <row r="499" spans="1:1">
      <c r="A499" s="39">
        <f>IF('Additional Documents'!B499 = "", "", IF('Additional Documents-WUO_ERR'!A499 = "", "Validated", HYPERLINK("#" &amp; ADDRESS(499, 'Additional Documents-WUO_TRK'!A499),_xlfn.TEXTAFTER('Additional Documents-WUO_ERR'!A499, ":"))))</f>
        <v>0</v>
      </c>
    </row>
    <row r="500" spans="1:1">
      <c r="A500" s="39">
        <f>IF('Additional Documents'!B500 = "", "", IF('Additional Documents-WUO_ERR'!A500 = "", "Validated", HYPERLINK("#" &amp; ADDRESS(500, 'Additional Documents-WUO_TRK'!A500),_xlfn.TEXTAFTER('Additional Documents-WUO_ERR'!A500, ":"))))</f>
        <v>0</v>
      </c>
    </row>
    <row r="501" spans="1:1">
      <c r="A501" s="39">
        <f>IF('Additional Documents'!B501 = "", "", IF('Additional Documents-WUO_ERR'!A501 = "", "Validated", HYPERLINK("#" &amp; ADDRESS(501, 'Additional Documents-WUO_TRK'!A501),_xlfn.TEXTAFTER('Additional Documents-WUO_ERR'!A501, ":"))))</f>
        <v>0</v>
      </c>
    </row>
    <row r="502" spans="1:1">
      <c r="A502" s="39">
        <f>IF('Additional Documents'!B502 = "", "", IF('Additional Documents-WUO_ERR'!A502 = "", "Validated", HYPERLINK("#" &amp; ADDRESS(502, 'Additional Documents-WUO_TRK'!A502),_xlfn.TEXTAFTER('Additional Documents-WUO_ERR'!A502, ":"))))</f>
        <v>0</v>
      </c>
    </row>
    <row r="503" spans="1:1">
      <c r="A503" s="39">
        <f>IF('Additional Documents'!B503 = "", "", IF('Additional Documents-WUO_ERR'!A503 = "", "Validated", HYPERLINK("#" &amp; ADDRESS(503, 'Additional Documents-WUO_TRK'!A503),_xlfn.TEXTAFTER('Additional Documents-WUO_ERR'!A503, ":"))))</f>
        <v>0</v>
      </c>
    </row>
    <row r="504" spans="1:1">
      <c r="A504" s="39">
        <f>IF('Additional Documents'!B504 = "", "", IF('Additional Documents-WUO_ERR'!A504 = "", "Validated", HYPERLINK("#" &amp; ADDRESS(504, 'Additional Documents-WUO_TRK'!A504),_xlfn.TEXTAFTER('Additional Documents-WUO_ERR'!A504, ":"))))</f>
        <v>0</v>
      </c>
    </row>
    <row r="505" spans="1:1">
      <c r="A505" s="39">
        <f>IF('Additional Documents'!B505 = "", "", IF('Additional Documents-WUO_ERR'!A505 = "", "Validated", HYPERLINK("#" &amp; ADDRESS(505, 'Additional Documents-WUO_TRK'!A505),_xlfn.TEXTAFTER('Additional Documents-WUO_ERR'!A505, ":"))))</f>
        <v>0</v>
      </c>
    </row>
    <row r="506" spans="1:1">
      <c r="A506" s="39">
        <f>IF('Additional Documents'!B506 = "", "", IF('Additional Documents-WUO_ERR'!A506 = "", "Validated", HYPERLINK("#" &amp; ADDRESS(506, 'Additional Documents-WUO_TRK'!A506),_xlfn.TEXTAFTER('Additional Documents-WUO_ERR'!A506, ":"))))</f>
        <v>0</v>
      </c>
    </row>
    <row r="507" spans="1:1">
      <c r="A507" s="39">
        <f>IF('Additional Documents'!B507 = "", "", IF('Additional Documents-WUO_ERR'!A507 = "", "Validated", HYPERLINK("#" &amp; ADDRESS(507, 'Additional Documents-WUO_TRK'!A507),_xlfn.TEXTAFTER('Additional Documents-WUO_ERR'!A507, ":"))))</f>
        <v>0</v>
      </c>
    </row>
  </sheetData>
  <sheetProtection password="9EF4" sheet="1" objects="1" scenarios="1" formatColumns="0" formatRows="0"/>
  <protectedRanges>
    <protectedRange sqref="B7:G10000" name="Range1"/>
  </protectedRanges>
  <mergeCells count="1">
    <mergeCell ref="C2:F2"/>
  </mergeCells>
  <conditionalFormatting sqref="A7:A507">
    <cfRule type="expression" dxfId="4" priority="5">
      <formula>A7="Validated"</formula>
    </cfRule>
    <cfRule type="expression" dxfId="5" priority="6">
      <formula>OR(COUNTIF('Additional Documents-WUO_TRK'!B7:G7,"Error"),COUNTIF('Additional Documents-WUO_TRK'!B7:G7,"Required"))</formula>
    </cfRule>
    <cfRule type="expression" dxfId="6" priority="7">
      <formula>COUNTIF('Additional Documents-WUO_TRK'!B7:G7,"Warning")</formula>
    </cfRule>
  </conditionalFormatting>
  <conditionalFormatting sqref="B7:G507">
    <cfRule type="expression" dxfId="0" priority="1">
      <formula>'Additional Documents-WUO_TRK'!B7="Error"</formula>
    </cfRule>
    <cfRule type="expression" dxfId="1" priority="2">
      <formula>'Additional Documents-WUO_TRK'!B7="Required"</formula>
    </cfRule>
    <cfRule type="expression" dxfId="2" priority="3">
      <formula>'Additional Documents-WUO_TRK'!B7="Warning"</formula>
    </cfRule>
    <cfRule type="expression" dxfId="3" priority="4">
      <formula>'Additional Documents-WUO_TRK'!B7="Disabled"</formula>
    </cfRule>
  </conditionalFormatting>
  <dataValidations count="2">
    <dataValidation type="textLength" operator="lessThanOrEqual" errorStyle="warning" showInputMessage="1" showErrorMessage="1" errorTitle="Invalid Text" error="The value provided is not a valid Text." promptTitle="Document File Name or URL" prompt="Please enter Text" sqref="C7:C2500">
      <formula1>32767</formula1>
    </dataValidation>
    <dataValidation type="list" allowBlank="1" showInputMessage="1" showErrorMessage="1" errorTitle="Invalid Document Region" error="The value provided is not a valid Document Region." promptTitle="Document Region" prompt="Please select a valid Document Region" sqref="F7:F2500">
      <formula1>'WAYFAIR_USE_ONLY'!$P$7:$P11</formula1>
    </dataValidation>
  </dataValidations>
  <hyperlinks>
    <hyperlink ref="D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E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F6" location="'Valid Values'!K1" display="Select"/>
  </hyperlinks>
  <pageMargins left="0.7" right="0.7" top="0.75" bottom="0.75" header="0.3" footer="0.3"/>
</worksheet>
</file>

<file path=xl/worksheets/sheet20.xml><?xml version="1.0" encoding="utf-8"?>
<worksheet xmlns="http://schemas.openxmlformats.org/spreadsheetml/2006/main" xmlns:r="http://schemas.openxmlformats.org/officeDocument/2006/relationships">
  <dimension ref="A1:F7"/>
  <sheetViews>
    <sheetView workbookViewId="0"/>
  </sheetViews>
  <sheetFormatPr defaultRowHeight="15"/>
  <cols>
    <col min="2" max="2" width="25.7109375" style="22" customWidth="1"/>
    <col min="3" max="3" width="30.7109375" style="22" customWidth="1"/>
    <col min="4" max="4" width="18.7109375" style="22" customWidth="1"/>
    <col min="5" max="5" width="24.7109375" style="22" customWidth="1"/>
    <col min="6" max="6" width="20.7109375" style="22" customWidth="1"/>
  </cols>
  <sheetData>
    <row r="1" spans="1:6" hidden="1">
      <c r="B1" s="22" t="s">
        <v>2221</v>
      </c>
      <c r="C1" s="22" t="s">
        <v>2343</v>
      </c>
      <c r="D1" s="22" t="s">
        <v>2346</v>
      </c>
      <c r="E1" s="22" t="s">
        <v>2350</v>
      </c>
      <c r="F1" s="22" t="s">
        <v>2354</v>
      </c>
    </row>
    <row r="3" spans="1:6">
      <c r="B3" s="32" t="s">
        <v>58</v>
      </c>
      <c r="C3" s="32" t="s">
        <v>64</v>
      </c>
      <c r="D3" s="32" t="s">
        <v>64</v>
      </c>
      <c r="E3" s="32" t="s">
        <v>64</v>
      </c>
      <c r="F3" s="32" t="s">
        <v>64</v>
      </c>
    </row>
    <row r="4" spans="1:6" ht="50" customHeight="1">
      <c r="B4" s="19" t="s">
        <v>2222</v>
      </c>
      <c r="C4" s="19" t="s">
        <v>2569</v>
      </c>
      <c r="D4" s="19" t="s">
        <v>2570</v>
      </c>
      <c r="E4" s="19" t="s">
        <v>2571</v>
      </c>
      <c r="F4" s="19" t="s">
        <v>2572</v>
      </c>
    </row>
    <row r="5" spans="1:6" ht="50" customHeight="1">
      <c r="B5" s="35" t="s">
        <v>2223</v>
      </c>
      <c r="C5" s="35" t="s">
        <v>2345</v>
      </c>
      <c r="D5" s="35" t="s">
        <v>2348</v>
      </c>
      <c r="E5" s="35" t="s">
        <v>2352</v>
      </c>
      <c r="F5" s="35" t="s">
        <v>2356</v>
      </c>
    </row>
    <row r="6" spans="1:6" ht="50" customHeight="1">
      <c r="B6" s="35" t="s">
        <v>67</v>
      </c>
      <c r="C6" s="35" t="s">
        <v>67</v>
      </c>
      <c r="D6" s="36" t="s">
        <v>2349</v>
      </c>
      <c r="E6" s="36" t="s">
        <v>3108</v>
      </c>
      <c r="F6" s="36" t="s">
        <v>2232</v>
      </c>
    </row>
    <row r="7" spans="1:6">
      <c r="A7" cm="1">
        <f t="array" ref="A7">_xlfn.BYROW(B7:G507, _xlfn.LAMBDA(_xlpm.r, _xlfn.LET(_xlpm.high_priority, IFERROR(INDEX(_xlpm.r, MATCH(TRUE, (_xlpm.r &lt;&gt; "") * ((LEFT(_xlpm.r, 2) = "1:") + (LEFT(_xlpm.r, 2) = "3:")) &gt; 0, 0)), ""), IF(_xlpm.high_priority &lt;&gt; "", _xlpm.high_priority, IFERROR(INDEX(_xlpm.r, MATCH(TRUE, (_xlpm.r &lt;&gt; "") * (LEFT(_xlpm.r, 2) = "4:") &gt; 0, 0)), "")))))</f>
        <v>0</v>
      </c>
      <c r="B7" s="22" cm="1">
        <f t="array" ref="B7">_xlfn.MAP('Additional Documents'!B7:B507, 'Additional Documents'!B7:B507,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"3:Supplier Part Number - Value is required", ""))))))))</f>
        <v>0</v>
      </c>
      <c r="C7" s="22" cm="1">
        <f t="array" ref="C7">_xlfn.MAP('Additional Documents'!B7:B507, 'Additional Documents'!C7:C507, 'Additional Documents'!D7:D507, 'Additional Documents'!E7:E507, 'Additional Documents'!F7:F507, _xlfn.LAMBDA(_xlpm.part, _xlpm.val, _xlpm.dep1, _xlpm.dep2, _xlpm.dep3, IF(_xlpm.part = "", "", IF(AND(_xlpm.val = "", C$3="Required"), "3:Document File Name or URL - Value is required", ""))))</f>
        <v>0</v>
      </c>
      <c r="D7" s="22" cm="1">
        <f t="array" ref="D7">_xlfn.MAP('Additional Documents'!B7:B507, 'Additional Documents'!D7:D507,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D$3="Required"), "3:Document Type - Value is required", ""))))))</f>
        <v>0</v>
      </c>
      <c r="E7" s="22" cm="1">
        <f t="array" ref="E7">_xlfn.MAP('Additional Documents'!B7:B507, 'Additional Documents'!E7:E507,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E$3="Required"), "3:Legal Document Type - Value is required", ""))))))</f>
        <v>0</v>
      </c>
      <c r="F7" s="22" cm="1">
        <f t="array" ref="F7">_xlfn.MAP('Additional Documents'!B7:B507, 'Additional Documents'!F7:F507, _xlfn.LAMBDA(_xlpm.part, _xlpm.val, IF(_xlpm.part = "", "", IF(AND(_xlpm.val = "", F$3="Required"), "3:Document Region - Value is required", ""))))</f>
        <v>0</v>
      </c>
    </row>
  </sheetData>
  <sheetProtection password="C125" sheet="1" objects="1" scenarios="1"/>
  <hyperlinks>
    <hyperlink ref="D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E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F6" location="'Valid Values'!K1" display="Select"/>
  </hyperlinks>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F7"/>
  <sheetViews>
    <sheetView workbookViewId="0"/>
  </sheetViews>
  <sheetFormatPr defaultRowHeight="15"/>
  <cols>
    <col min="2" max="2" width="25.7109375" style="22" customWidth="1"/>
    <col min="3" max="3" width="30.7109375" style="22" customWidth="1"/>
    <col min="4" max="4" width="18.7109375" style="22" customWidth="1"/>
    <col min="5" max="5" width="24.7109375" style="22" customWidth="1"/>
    <col min="6" max="6" width="20.7109375" style="22" customWidth="1"/>
  </cols>
  <sheetData>
    <row r="1" spans="1:6" hidden="1">
      <c r="B1" s="22" t="s">
        <v>2221</v>
      </c>
      <c r="C1" s="22" t="s">
        <v>2343</v>
      </c>
      <c r="D1" s="22" t="s">
        <v>2346</v>
      </c>
      <c r="E1" s="22" t="s">
        <v>2350</v>
      </c>
      <c r="F1" s="22" t="s">
        <v>2354</v>
      </c>
    </row>
    <row r="3" spans="1:6">
      <c r="B3" s="32" t="s">
        <v>58</v>
      </c>
      <c r="C3" s="32" t="s">
        <v>64</v>
      </c>
      <c r="D3" s="32" t="s">
        <v>64</v>
      </c>
      <c r="E3" s="32" t="s">
        <v>64</v>
      </c>
      <c r="F3" s="32" t="s">
        <v>64</v>
      </c>
    </row>
    <row r="4" spans="1:6" ht="50" customHeight="1">
      <c r="B4" s="19" t="s">
        <v>2222</v>
      </c>
      <c r="C4" s="19" t="s">
        <v>2569</v>
      </c>
      <c r="D4" s="19" t="s">
        <v>2570</v>
      </c>
      <c r="E4" s="19" t="s">
        <v>2571</v>
      </c>
      <c r="F4" s="19" t="s">
        <v>2572</v>
      </c>
    </row>
    <row r="5" spans="1:6" ht="50" customHeight="1">
      <c r="B5" s="35" t="s">
        <v>2223</v>
      </c>
      <c r="C5" s="35" t="s">
        <v>2345</v>
      </c>
      <c r="D5" s="35" t="s">
        <v>2348</v>
      </c>
      <c r="E5" s="35" t="s">
        <v>2352</v>
      </c>
      <c r="F5" s="35" t="s">
        <v>2356</v>
      </c>
    </row>
    <row r="6" spans="1:6" ht="50" customHeight="1">
      <c r="B6" s="35" t="s">
        <v>67</v>
      </c>
      <c r="C6" s="35" t="s">
        <v>67</v>
      </c>
      <c r="D6" s="36" t="s">
        <v>2349</v>
      </c>
      <c r="E6" s="36" t="s">
        <v>3108</v>
      </c>
      <c r="F6" s="36" t="s">
        <v>2232</v>
      </c>
    </row>
    <row r="7" spans="1:6">
      <c r="A7" cm="1">
        <f t="array" ref="A7">_xlfn.BYROW(B7:G507, _xlfn.LAMBDA(_xlpm.r, _xlfn.LET(_xlpm.high_priority_idx, IFERROR(MATCH(TRUE, (_xlpm.r = "Error") + (_xlpm.r = "Required") &gt; 0, 0), 0), IF(_xlpm.high_priority_idx &gt; 0, _xlpm.high_priority_idx + 1, IFERROR(MATCH(1, (_xlpm.r = "Warning") * 1, 0) + 1, "")))))</f>
        <v>0</v>
      </c>
      <c r="B7" s="22" cm="1">
        <f t="array" ref="B7">_xlfn.MAP('Additional Documents'!B7:B507, 'Additional Documents'!B7:B507, 'Additional Documents-WUO_ERR'!B7:B507, _xlfn.LAMBDA(_xlpm.part, _xlpm.val, _xlpm.error, IF(_xlpm.part = "", "", IF(LEN(_xlpm.error), _xlfn.SWITCH(IFERROR(_xlfn.TEXTBEFORE(_xlpm.error,":"), ""), "1", "Error", "2", "Disabled", "3", "Required", "4", "Warning", "Valid"), "Valid"))))</f>
        <v>0</v>
      </c>
      <c r="C7" s="22" cm="1">
        <f t="array" ref="C7">_xlfn.MAP('Additional Documents'!B7:B507, 'Additional Documents'!C7:C507, 'Additional Documents-WUO_ERR'!C7:C507, _xlfn.LAMBDA(_xlpm.part, _xlpm.val, _xlpm.error, IF(_xlpm.part = "", "", IF(LEN(_xlpm.error), _xlfn.SWITCH(IFERROR(_xlfn.TEXTBEFORE(_xlpm.error,":"), ""), "1", "Error", "2", "Disabled", "3", "Required", "4", "Warning", "Valid"), "Valid"))))</f>
        <v>0</v>
      </c>
      <c r="D7" s="22" cm="1">
        <f t="array" ref="D7">_xlfn.MAP('Additional Documents'!B7:B507, 'Additional Documents'!D7:D507, 'Additional Documents-WUO_ERR'!D7:D507, _xlfn.LAMBDA(_xlpm.part, _xlpm.val, _xlpm.error, IF(_xlpm.part = "", "", IF(LEN(_xlpm.error), _xlfn.SWITCH(IFERROR(_xlfn.TEXTBEFORE(_xlpm.error,":"), ""), "1", "Error", "2", "Disabled", "3", "Required", "4", "Warning", "Valid"), "Valid"))))</f>
        <v>0</v>
      </c>
      <c r="E7" s="22" cm="1">
        <f t="array" ref="E7">_xlfn.MAP('Additional Documents'!B7:B507, 'Additional Documents'!E7:E507, 'Additional Documents-WUO_ERR'!E7:E507, _xlfn.LAMBDA(_xlpm.part, _xlpm.val, _xlpm.error, IF(_xlpm.part = "", "", IF(LEN(_xlpm.error), _xlfn.SWITCH(IFERROR(_xlfn.TEXTBEFORE(_xlpm.error,":"), ""), "1", "Error", "2", "Disabled", "3", "Required", "4", "Warning", "Valid"), "Valid"))))</f>
        <v>0</v>
      </c>
      <c r="F7" s="22" cm="1">
        <f t="array" ref="F7">_xlfn.MAP('Additional Documents'!B7:B507, 'Additional Documents'!F7:F507, 'Additional Documents-WUO_ERR'!F7:F507, _xlfn.LAMBDA(_xlpm.part, _xlpm.val, _xlpm.error, IF(_xlpm.part = "", "", IF(LEN(_xlpm.error), _xlfn.SWITCH(IFERROR(_xlfn.TEXTBEFORE(_xlpm.error,":"), ""), "1", "Error", "2", "Disabled", "3", "Required", "4", "Warning", "Valid"), "Valid"))))</f>
        <v>0</v>
      </c>
    </row>
  </sheetData>
  <sheetProtection password="E922" sheet="1" objects="1" scenarios="1"/>
  <hyperlinks>
    <hyperlink ref="D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E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F6" location="'Valid Values'!K1" display="Select"/>
  </hyperlinks>
  <pageMargins left="0.7" right="0.7" top="0.75" bottom="0.75" header="0.3" footer="0.3"/>
</worksheet>
</file>

<file path=xl/worksheets/sheet22.xml><?xml version="1.0" encoding="utf-8"?>
<worksheet xmlns="http://schemas.openxmlformats.org/spreadsheetml/2006/main" xmlns:r="http://schemas.openxmlformats.org/officeDocument/2006/relationships">
  <dimension ref="A1:Z507"/>
  <sheetViews>
    <sheetView workbookViewId="0"/>
  </sheetViews>
  <sheetFormatPr defaultRowHeight="15"/>
  <cols>
    <col min="1" max="1" width="35.7109375" customWidth="1"/>
    <col min="2" max="2" width="25.7109375" style="22" customWidth="1"/>
    <col min="3" max="4" width="13.7109375" style="22" customWidth="1"/>
    <col min="26" max="26" width="0" hidden="1" customWidth="1"/>
  </cols>
  <sheetData>
    <row r="1" spans="1:26" hidden="1">
      <c r="B1" s="22" t="s">
        <v>2221</v>
      </c>
      <c r="C1" s="22" t="s">
        <v>2467</v>
      </c>
      <c r="D1" s="22" t="s">
        <v>2470</v>
      </c>
    </row>
    <row r="2" spans="1:26">
      <c r="B2" s="23" t="s">
        <v>2477</v>
      </c>
      <c r="C2" s="31" t="s">
        <v>2485</v>
      </c>
    </row>
    <row r="3" spans="1:26">
      <c r="B3" s="32" t="s">
        <v>58</v>
      </c>
      <c r="C3" s="32" t="s">
        <v>64</v>
      </c>
      <c r="D3" s="32" t="s">
        <v>64</v>
      </c>
    </row>
    <row r="4" spans="1:26" ht="50" customHeight="1">
      <c r="A4" s="19" t="s">
        <v>2218</v>
      </c>
      <c r="B4" s="19" t="s">
        <v>2222</v>
      </c>
      <c r="C4" s="19" t="s">
        <v>2573</v>
      </c>
      <c r="D4" s="19" t="s">
        <v>2574</v>
      </c>
    </row>
    <row r="5" spans="1:26" ht="50" customHeight="1">
      <c r="A5" s="35" t="s">
        <v>2219</v>
      </c>
      <c r="B5" s="35" t="s">
        <v>2223</v>
      </c>
      <c r="C5" s="35" t="s">
        <v>2469</v>
      </c>
      <c r="D5" s="35" t="s">
        <v>2472</v>
      </c>
    </row>
    <row r="6" spans="1:26" ht="50" customHeight="1">
      <c r="A6" s="35" t="s">
        <v>2220</v>
      </c>
      <c r="B6" s="35" t="s">
        <v>67</v>
      </c>
      <c r="C6" s="36" t="s">
        <v>2232</v>
      </c>
      <c r="D6" s="36" t="s">
        <v>2473</v>
      </c>
    </row>
    <row r="7" spans="1:26">
      <c r="A7" s="39">
        <f>IF('Additional Chemicals'!B7 = "", "", IF('Additional Chemicals-WUO_ERR'!A7 = "", "Validated", HYPERLINK("#" &amp; ADDRESS(7, 'Additional Chemicals-WUO_TRK'!A7),_xlfn.TEXTAFTER('Additional Chemicals-WUO_ERR'!A7, ":"))))</f>
        <v>0</v>
      </c>
      <c r="Z7" cm="1">
        <f t="array" ref="Z7">IF(B7:B507="", "", IFERROR(_xlfn.XLOOKUP(B7:B507, _xlfn.VSTACK('3757 - Wall Stickers'!B7:B507, '6161 - Wallpaper'!B7:B507), _xlfn.VSTACK('3757 - Wall Stickers'!G7:G507, '6161 - Wallpaper'!G7:G507)), ""))</f>
        <v>0</v>
      </c>
    </row>
    <row r="8" spans="1:26">
      <c r="A8" s="39">
        <f>IF('Additional Chemicals'!B8 = "", "", IF('Additional Chemicals-WUO_ERR'!A8 = "", "Validated", HYPERLINK("#" &amp; ADDRESS(8, 'Additional Chemicals-WUO_TRK'!A8),_xlfn.TEXTAFTER('Additional Chemicals-WUO_ERR'!A8, ":"))))</f>
        <v>0</v>
      </c>
    </row>
    <row r="9" spans="1:26">
      <c r="A9" s="39">
        <f>IF('Additional Chemicals'!B9 = "", "", IF('Additional Chemicals-WUO_ERR'!A9 = "", "Validated", HYPERLINK("#" &amp; ADDRESS(9, 'Additional Chemicals-WUO_TRK'!A9),_xlfn.TEXTAFTER('Additional Chemicals-WUO_ERR'!A9, ":"))))</f>
        <v>0</v>
      </c>
    </row>
    <row r="10" spans="1:26">
      <c r="A10" s="39">
        <f>IF('Additional Chemicals'!B10 = "", "", IF('Additional Chemicals-WUO_ERR'!A10 = "", "Validated", HYPERLINK("#" &amp; ADDRESS(10, 'Additional Chemicals-WUO_TRK'!A10),_xlfn.TEXTAFTER('Additional Chemicals-WUO_ERR'!A10, ":"))))</f>
        <v>0</v>
      </c>
    </row>
    <row r="11" spans="1:26">
      <c r="A11" s="39">
        <f>IF('Additional Chemicals'!B11 = "", "", IF('Additional Chemicals-WUO_ERR'!A11 = "", "Validated", HYPERLINK("#" &amp; ADDRESS(11, 'Additional Chemicals-WUO_TRK'!A11),_xlfn.TEXTAFTER('Additional Chemicals-WUO_ERR'!A11, ":"))))</f>
        <v>0</v>
      </c>
    </row>
    <row r="12" spans="1:26">
      <c r="A12" s="39">
        <f>IF('Additional Chemicals'!B12 = "", "", IF('Additional Chemicals-WUO_ERR'!A12 = "", "Validated", HYPERLINK("#" &amp; ADDRESS(12, 'Additional Chemicals-WUO_TRK'!A12),_xlfn.TEXTAFTER('Additional Chemicals-WUO_ERR'!A12, ":"))))</f>
        <v>0</v>
      </c>
    </row>
    <row r="13" spans="1:26">
      <c r="A13" s="39">
        <f>IF('Additional Chemicals'!B13 = "", "", IF('Additional Chemicals-WUO_ERR'!A13 = "", "Validated", HYPERLINK("#" &amp; ADDRESS(13, 'Additional Chemicals-WUO_TRK'!A13),_xlfn.TEXTAFTER('Additional Chemicals-WUO_ERR'!A13, ":"))))</f>
        <v>0</v>
      </c>
    </row>
    <row r="14" spans="1:26">
      <c r="A14" s="39">
        <f>IF('Additional Chemicals'!B14 = "", "", IF('Additional Chemicals-WUO_ERR'!A14 = "", "Validated", HYPERLINK("#" &amp; ADDRESS(14, 'Additional Chemicals-WUO_TRK'!A14),_xlfn.TEXTAFTER('Additional Chemicals-WUO_ERR'!A14, ":"))))</f>
        <v>0</v>
      </c>
    </row>
    <row r="15" spans="1:26">
      <c r="A15" s="39">
        <f>IF('Additional Chemicals'!B15 = "", "", IF('Additional Chemicals-WUO_ERR'!A15 = "", "Validated", HYPERLINK("#" &amp; ADDRESS(15, 'Additional Chemicals-WUO_TRK'!A15),_xlfn.TEXTAFTER('Additional Chemicals-WUO_ERR'!A15, ":"))))</f>
        <v>0</v>
      </c>
    </row>
    <row r="16" spans="1:26">
      <c r="A16" s="39">
        <f>IF('Additional Chemicals'!B16 = "", "", IF('Additional Chemicals-WUO_ERR'!A16 = "", "Validated", HYPERLINK("#" &amp; ADDRESS(16, 'Additional Chemicals-WUO_TRK'!A16),_xlfn.TEXTAFTER('Additional Chemicals-WUO_ERR'!A16, ":"))))</f>
        <v>0</v>
      </c>
    </row>
    <row r="17" spans="1:1">
      <c r="A17" s="39">
        <f>IF('Additional Chemicals'!B17 = "", "", IF('Additional Chemicals-WUO_ERR'!A17 = "", "Validated", HYPERLINK("#" &amp; ADDRESS(17, 'Additional Chemicals-WUO_TRK'!A17),_xlfn.TEXTAFTER('Additional Chemicals-WUO_ERR'!A17, ":"))))</f>
        <v>0</v>
      </c>
    </row>
    <row r="18" spans="1:1">
      <c r="A18" s="39">
        <f>IF('Additional Chemicals'!B18 = "", "", IF('Additional Chemicals-WUO_ERR'!A18 = "", "Validated", HYPERLINK("#" &amp; ADDRESS(18, 'Additional Chemicals-WUO_TRK'!A18),_xlfn.TEXTAFTER('Additional Chemicals-WUO_ERR'!A18, ":"))))</f>
        <v>0</v>
      </c>
    </row>
    <row r="19" spans="1:1">
      <c r="A19" s="39">
        <f>IF('Additional Chemicals'!B19 = "", "", IF('Additional Chemicals-WUO_ERR'!A19 = "", "Validated", HYPERLINK("#" &amp; ADDRESS(19, 'Additional Chemicals-WUO_TRK'!A19),_xlfn.TEXTAFTER('Additional Chemicals-WUO_ERR'!A19, ":"))))</f>
        <v>0</v>
      </c>
    </row>
    <row r="20" spans="1:1">
      <c r="A20" s="39">
        <f>IF('Additional Chemicals'!B20 = "", "", IF('Additional Chemicals-WUO_ERR'!A20 = "", "Validated", HYPERLINK("#" &amp; ADDRESS(20, 'Additional Chemicals-WUO_TRK'!A20),_xlfn.TEXTAFTER('Additional Chemicals-WUO_ERR'!A20, ":"))))</f>
        <v>0</v>
      </c>
    </row>
    <row r="21" spans="1:1">
      <c r="A21" s="39">
        <f>IF('Additional Chemicals'!B21 = "", "", IF('Additional Chemicals-WUO_ERR'!A21 = "", "Validated", HYPERLINK("#" &amp; ADDRESS(21, 'Additional Chemicals-WUO_TRK'!A21),_xlfn.TEXTAFTER('Additional Chemicals-WUO_ERR'!A21, ":"))))</f>
        <v>0</v>
      </c>
    </row>
    <row r="22" spans="1:1">
      <c r="A22" s="39">
        <f>IF('Additional Chemicals'!B22 = "", "", IF('Additional Chemicals-WUO_ERR'!A22 = "", "Validated", HYPERLINK("#" &amp; ADDRESS(22, 'Additional Chemicals-WUO_TRK'!A22),_xlfn.TEXTAFTER('Additional Chemicals-WUO_ERR'!A22, ":"))))</f>
        <v>0</v>
      </c>
    </row>
    <row r="23" spans="1:1">
      <c r="A23" s="39">
        <f>IF('Additional Chemicals'!B23 = "", "", IF('Additional Chemicals-WUO_ERR'!A23 = "", "Validated", HYPERLINK("#" &amp; ADDRESS(23, 'Additional Chemicals-WUO_TRK'!A23),_xlfn.TEXTAFTER('Additional Chemicals-WUO_ERR'!A23, ":"))))</f>
        <v>0</v>
      </c>
    </row>
    <row r="24" spans="1:1">
      <c r="A24" s="39">
        <f>IF('Additional Chemicals'!B24 = "", "", IF('Additional Chemicals-WUO_ERR'!A24 = "", "Validated", HYPERLINK("#" &amp; ADDRESS(24, 'Additional Chemicals-WUO_TRK'!A24),_xlfn.TEXTAFTER('Additional Chemicals-WUO_ERR'!A24, ":"))))</f>
        <v>0</v>
      </c>
    </row>
    <row r="25" spans="1:1">
      <c r="A25" s="39">
        <f>IF('Additional Chemicals'!B25 = "", "", IF('Additional Chemicals-WUO_ERR'!A25 = "", "Validated", HYPERLINK("#" &amp; ADDRESS(25, 'Additional Chemicals-WUO_TRK'!A25),_xlfn.TEXTAFTER('Additional Chemicals-WUO_ERR'!A25, ":"))))</f>
        <v>0</v>
      </c>
    </row>
    <row r="26" spans="1:1">
      <c r="A26" s="39">
        <f>IF('Additional Chemicals'!B26 = "", "", IF('Additional Chemicals-WUO_ERR'!A26 = "", "Validated", HYPERLINK("#" &amp; ADDRESS(26, 'Additional Chemicals-WUO_TRK'!A26),_xlfn.TEXTAFTER('Additional Chemicals-WUO_ERR'!A26, ":"))))</f>
        <v>0</v>
      </c>
    </row>
    <row r="27" spans="1:1">
      <c r="A27" s="39">
        <f>IF('Additional Chemicals'!B27 = "", "", IF('Additional Chemicals-WUO_ERR'!A27 = "", "Validated", HYPERLINK("#" &amp; ADDRESS(27, 'Additional Chemicals-WUO_TRK'!A27),_xlfn.TEXTAFTER('Additional Chemicals-WUO_ERR'!A27, ":"))))</f>
        <v>0</v>
      </c>
    </row>
    <row r="28" spans="1:1">
      <c r="A28" s="39">
        <f>IF('Additional Chemicals'!B28 = "", "", IF('Additional Chemicals-WUO_ERR'!A28 = "", "Validated", HYPERLINK("#" &amp; ADDRESS(28, 'Additional Chemicals-WUO_TRK'!A28),_xlfn.TEXTAFTER('Additional Chemicals-WUO_ERR'!A28, ":"))))</f>
        <v>0</v>
      </c>
    </row>
    <row r="29" spans="1:1">
      <c r="A29" s="39">
        <f>IF('Additional Chemicals'!B29 = "", "", IF('Additional Chemicals-WUO_ERR'!A29 = "", "Validated", HYPERLINK("#" &amp; ADDRESS(29, 'Additional Chemicals-WUO_TRK'!A29),_xlfn.TEXTAFTER('Additional Chemicals-WUO_ERR'!A29, ":"))))</f>
        <v>0</v>
      </c>
    </row>
    <row r="30" spans="1:1">
      <c r="A30" s="39">
        <f>IF('Additional Chemicals'!B30 = "", "", IF('Additional Chemicals-WUO_ERR'!A30 = "", "Validated", HYPERLINK("#" &amp; ADDRESS(30, 'Additional Chemicals-WUO_TRK'!A30),_xlfn.TEXTAFTER('Additional Chemicals-WUO_ERR'!A30, ":"))))</f>
        <v>0</v>
      </c>
    </row>
    <row r="31" spans="1:1">
      <c r="A31" s="39">
        <f>IF('Additional Chemicals'!B31 = "", "", IF('Additional Chemicals-WUO_ERR'!A31 = "", "Validated", HYPERLINK("#" &amp; ADDRESS(31, 'Additional Chemicals-WUO_TRK'!A31),_xlfn.TEXTAFTER('Additional Chemicals-WUO_ERR'!A31, ":"))))</f>
        <v>0</v>
      </c>
    </row>
    <row r="32" spans="1:1">
      <c r="A32" s="39">
        <f>IF('Additional Chemicals'!B32 = "", "", IF('Additional Chemicals-WUO_ERR'!A32 = "", "Validated", HYPERLINK("#" &amp; ADDRESS(32, 'Additional Chemicals-WUO_TRK'!A32),_xlfn.TEXTAFTER('Additional Chemicals-WUO_ERR'!A32, ":"))))</f>
        <v>0</v>
      </c>
    </row>
    <row r="33" spans="1:1">
      <c r="A33" s="39">
        <f>IF('Additional Chemicals'!B33 = "", "", IF('Additional Chemicals-WUO_ERR'!A33 = "", "Validated", HYPERLINK("#" &amp; ADDRESS(33, 'Additional Chemicals-WUO_TRK'!A33),_xlfn.TEXTAFTER('Additional Chemicals-WUO_ERR'!A33, ":"))))</f>
        <v>0</v>
      </c>
    </row>
    <row r="34" spans="1:1">
      <c r="A34" s="39">
        <f>IF('Additional Chemicals'!B34 = "", "", IF('Additional Chemicals-WUO_ERR'!A34 = "", "Validated", HYPERLINK("#" &amp; ADDRESS(34, 'Additional Chemicals-WUO_TRK'!A34),_xlfn.TEXTAFTER('Additional Chemicals-WUO_ERR'!A34, ":"))))</f>
        <v>0</v>
      </c>
    </row>
    <row r="35" spans="1:1">
      <c r="A35" s="39">
        <f>IF('Additional Chemicals'!B35 = "", "", IF('Additional Chemicals-WUO_ERR'!A35 = "", "Validated", HYPERLINK("#" &amp; ADDRESS(35, 'Additional Chemicals-WUO_TRK'!A35),_xlfn.TEXTAFTER('Additional Chemicals-WUO_ERR'!A35, ":"))))</f>
        <v>0</v>
      </c>
    </row>
    <row r="36" spans="1:1">
      <c r="A36" s="39">
        <f>IF('Additional Chemicals'!B36 = "", "", IF('Additional Chemicals-WUO_ERR'!A36 = "", "Validated", HYPERLINK("#" &amp; ADDRESS(36, 'Additional Chemicals-WUO_TRK'!A36),_xlfn.TEXTAFTER('Additional Chemicals-WUO_ERR'!A36, ":"))))</f>
        <v>0</v>
      </c>
    </row>
    <row r="37" spans="1:1">
      <c r="A37" s="39">
        <f>IF('Additional Chemicals'!B37 = "", "", IF('Additional Chemicals-WUO_ERR'!A37 = "", "Validated", HYPERLINK("#" &amp; ADDRESS(37, 'Additional Chemicals-WUO_TRK'!A37),_xlfn.TEXTAFTER('Additional Chemicals-WUO_ERR'!A37, ":"))))</f>
        <v>0</v>
      </c>
    </row>
    <row r="38" spans="1:1">
      <c r="A38" s="39">
        <f>IF('Additional Chemicals'!B38 = "", "", IF('Additional Chemicals-WUO_ERR'!A38 = "", "Validated", HYPERLINK("#" &amp; ADDRESS(38, 'Additional Chemicals-WUO_TRK'!A38),_xlfn.TEXTAFTER('Additional Chemicals-WUO_ERR'!A38, ":"))))</f>
        <v>0</v>
      </c>
    </row>
    <row r="39" spans="1:1">
      <c r="A39" s="39">
        <f>IF('Additional Chemicals'!B39 = "", "", IF('Additional Chemicals-WUO_ERR'!A39 = "", "Validated", HYPERLINK("#" &amp; ADDRESS(39, 'Additional Chemicals-WUO_TRK'!A39),_xlfn.TEXTAFTER('Additional Chemicals-WUO_ERR'!A39, ":"))))</f>
        <v>0</v>
      </c>
    </row>
    <row r="40" spans="1:1">
      <c r="A40" s="39">
        <f>IF('Additional Chemicals'!B40 = "", "", IF('Additional Chemicals-WUO_ERR'!A40 = "", "Validated", HYPERLINK("#" &amp; ADDRESS(40, 'Additional Chemicals-WUO_TRK'!A40),_xlfn.TEXTAFTER('Additional Chemicals-WUO_ERR'!A40, ":"))))</f>
        <v>0</v>
      </c>
    </row>
    <row r="41" spans="1:1">
      <c r="A41" s="39">
        <f>IF('Additional Chemicals'!B41 = "", "", IF('Additional Chemicals-WUO_ERR'!A41 = "", "Validated", HYPERLINK("#" &amp; ADDRESS(41, 'Additional Chemicals-WUO_TRK'!A41),_xlfn.TEXTAFTER('Additional Chemicals-WUO_ERR'!A41, ":"))))</f>
        <v>0</v>
      </c>
    </row>
    <row r="42" spans="1:1">
      <c r="A42" s="39">
        <f>IF('Additional Chemicals'!B42 = "", "", IF('Additional Chemicals-WUO_ERR'!A42 = "", "Validated", HYPERLINK("#" &amp; ADDRESS(42, 'Additional Chemicals-WUO_TRK'!A42),_xlfn.TEXTAFTER('Additional Chemicals-WUO_ERR'!A42, ":"))))</f>
        <v>0</v>
      </c>
    </row>
    <row r="43" spans="1:1">
      <c r="A43" s="39">
        <f>IF('Additional Chemicals'!B43 = "", "", IF('Additional Chemicals-WUO_ERR'!A43 = "", "Validated", HYPERLINK("#" &amp; ADDRESS(43, 'Additional Chemicals-WUO_TRK'!A43),_xlfn.TEXTAFTER('Additional Chemicals-WUO_ERR'!A43, ":"))))</f>
        <v>0</v>
      </c>
    </row>
    <row r="44" spans="1:1">
      <c r="A44" s="39">
        <f>IF('Additional Chemicals'!B44 = "", "", IF('Additional Chemicals-WUO_ERR'!A44 = "", "Validated", HYPERLINK("#" &amp; ADDRESS(44, 'Additional Chemicals-WUO_TRK'!A44),_xlfn.TEXTAFTER('Additional Chemicals-WUO_ERR'!A44, ":"))))</f>
        <v>0</v>
      </c>
    </row>
    <row r="45" spans="1:1">
      <c r="A45" s="39">
        <f>IF('Additional Chemicals'!B45 = "", "", IF('Additional Chemicals-WUO_ERR'!A45 = "", "Validated", HYPERLINK("#" &amp; ADDRESS(45, 'Additional Chemicals-WUO_TRK'!A45),_xlfn.TEXTAFTER('Additional Chemicals-WUO_ERR'!A45, ":"))))</f>
        <v>0</v>
      </c>
    </row>
    <row r="46" spans="1:1">
      <c r="A46" s="39">
        <f>IF('Additional Chemicals'!B46 = "", "", IF('Additional Chemicals-WUO_ERR'!A46 = "", "Validated", HYPERLINK("#" &amp; ADDRESS(46, 'Additional Chemicals-WUO_TRK'!A46),_xlfn.TEXTAFTER('Additional Chemicals-WUO_ERR'!A46, ":"))))</f>
        <v>0</v>
      </c>
    </row>
    <row r="47" spans="1:1">
      <c r="A47" s="39">
        <f>IF('Additional Chemicals'!B47 = "", "", IF('Additional Chemicals-WUO_ERR'!A47 = "", "Validated", HYPERLINK("#" &amp; ADDRESS(47, 'Additional Chemicals-WUO_TRK'!A47),_xlfn.TEXTAFTER('Additional Chemicals-WUO_ERR'!A47, ":"))))</f>
        <v>0</v>
      </c>
    </row>
    <row r="48" spans="1:1">
      <c r="A48" s="39">
        <f>IF('Additional Chemicals'!B48 = "", "", IF('Additional Chemicals-WUO_ERR'!A48 = "", "Validated", HYPERLINK("#" &amp; ADDRESS(48, 'Additional Chemicals-WUO_TRK'!A48),_xlfn.TEXTAFTER('Additional Chemicals-WUO_ERR'!A48, ":"))))</f>
        <v>0</v>
      </c>
    </row>
    <row r="49" spans="1:1">
      <c r="A49" s="39">
        <f>IF('Additional Chemicals'!B49 = "", "", IF('Additional Chemicals-WUO_ERR'!A49 = "", "Validated", HYPERLINK("#" &amp; ADDRESS(49, 'Additional Chemicals-WUO_TRK'!A49),_xlfn.TEXTAFTER('Additional Chemicals-WUO_ERR'!A49, ":"))))</f>
        <v>0</v>
      </c>
    </row>
    <row r="50" spans="1:1">
      <c r="A50" s="39">
        <f>IF('Additional Chemicals'!B50 = "", "", IF('Additional Chemicals-WUO_ERR'!A50 = "", "Validated", HYPERLINK("#" &amp; ADDRESS(50, 'Additional Chemicals-WUO_TRK'!A50),_xlfn.TEXTAFTER('Additional Chemicals-WUO_ERR'!A50, ":"))))</f>
        <v>0</v>
      </c>
    </row>
    <row r="51" spans="1:1">
      <c r="A51" s="39">
        <f>IF('Additional Chemicals'!B51 = "", "", IF('Additional Chemicals-WUO_ERR'!A51 = "", "Validated", HYPERLINK("#" &amp; ADDRESS(51, 'Additional Chemicals-WUO_TRK'!A51),_xlfn.TEXTAFTER('Additional Chemicals-WUO_ERR'!A51, ":"))))</f>
        <v>0</v>
      </c>
    </row>
    <row r="52" spans="1:1">
      <c r="A52" s="39">
        <f>IF('Additional Chemicals'!B52 = "", "", IF('Additional Chemicals-WUO_ERR'!A52 = "", "Validated", HYPERLINK("#" &amp; ADDRESS(52, 'Additional Chemicals-WUO_TRK'!A52),_xlfn.TEXTAFTER('Additional Chemicals-WUO_ERR'!A52, ":"))))</f>
        <v>0</v>
      </c>
    </row>
    <row r="53" spans="1:1">
      <c r="A53" s="39">
        <f>IF('Additional Chemicals'!B53 = "", "", IF('Additional Chemicals-WUO_ERR'!A53 = "", "Validated", HYPERLINK("#" &amp; ADDRESS(53, 'Additional Chemicals-WUO_TRK'!A53),_xlfn.TEXTAFTER('Additional Chemicals-WUO_ERR'!A53, ":"))))</f>
        <v>0</v>
      </c>
    </row>
    <row r="54" spans="1:1">
      <c r="A54" s="39">
        <f>IF('Additional Chemicals'!B54 = "", "", IF('Additional Chemicals-WUO_ERR'!A54 = "", "Validated", HYPERLINK("#" &amp; ADDRESS(54, 'Additional Chemicals-WUO_TRK'!A54),_xlfn.TEXTAFTER('Additional Chemicals-WUO_ERR'!A54, ":"))))</f>
        <v>0</v>
      </c>
    </row>
    <row r="55" spans="1:1">
      <c r="A55" s="39">
        <f>IF('Additional Chemicals'!B55 = "", "", IF('Additional Chemicals-WUO_ERR'!A55 = "", "Validated", HYPERLINK("#" &amp; ADDRESS(55, 'Additional Chemicals-WUO_TRK'!A55),_xlfn.TEXTAFTER('Additional Chemicals-WUO_ERR'!A55, ":"))))</f>
        <v>0</v>
      </c>
    </row>
    <row r="56" spans="1:1">
      <c r="A56" s="39">
        <f>IF('Additional Chemicals'!B56 = "", "", IF('Additional Chemicals-WUO_ERR'!A56 = "", "Validated", HYPERLINK("#" &amp; ADDRESS(56, 'Additional Chemicals-WUO_TRK'!A56),_xlfn.TEXTAFTER('Additional Chemicals-WUO_ERR'!A56, ":"))))</f>
        <v>0</v>
      </c>
    </row>
    <row r="57" spans="1:1">
      <c r="A57" s="39">
        <f>IF('Additional Chemicals'!B57 = "", "", IF('Additional Chemicals-WUO_ERR'!A57 = "", "Validated", HYPERLINK("#" &amp; ADDRESS(57, 'Additional Chemicals-WUO_TRK'!A57),_xlfn.TEXTAFTER('Additional Chemicals-WUO_ERR'!A57, ":"))))</f>
        <v>0</v>
      </c>
    </row>
    <row r="58" spans="1:1">
      <c r="A58" s="39">
        <f>IF('Additional Chemicals'!B58 = "", "", IF('Additional Chemicals-WUO_ERR'!A58 = "", "Validated", HYPERLINK("#" &amp; ADDRESS(58, 'Additional Chemicals-WUO_TRK'!A58),_xlfn.TEXTAFTER('Additional Chemicals-WUO_ERR'!A58, ":"))))</f>
        <v>0</v>
      </c>
    </row>
    <row r="59" spans="1:1">
      <c r="A59" s="39">
        <f>IF('Additional Chemicals'!B59 = "", "", IF('Additional Chemicals-WUO_ERR'!A59 = "", "Validated", HYPERLINK("#" &amp; ADDRESS(59, 'Additional Chemicals-WUO_TRK'!A59),_xlfn.TEXTAFTER('Additional Chemicals-WUO_ERR'!A59, ":"))))</f>
        <v>0</v>
      </c>
    </row>
    <row r="60" spans="1:1">
      <c r="A60" s="39">
        <f>IF('Additional Chemicals'!B60 = "", "", IF('Additional Chemicals-WUO_ERR'!A60 = "", "Validated", HYPERLINK("#" &amp; ADDRESS(60, 'Additional Chemicals-WUO_TRK'!A60),_xlfn.TEXTAFTER('Additional Chemicals-WUO_ERR'!A60, ":"))))</f>
        <v>0</v>
      </c>
    </row>
    <row r="61" spans="1:1">
      <c r="A61" s="39">
        <f>IF('Additional Chemicals'!B61 = "", "", IF('Additional Chemicals-WUO_ERR'!A61 = "", "Validated", HYPERLINK("#" &amp; ADDRESS(61, 'Additional Chemicals-WUO_TRK'!A61),_xlfn.TEXTAFTER('Additional Chemicals-WUO_ERR'!A61, ":"))))</f>
        <v>0</v>
      </c>
    </row>
    <row r="62" spans="1:1">
      <c r="A62" s="39">
        <f>IF('Additional Chemicals'!B62 = "", "", IF('Additional Chemicals-WUO_ERR'!A62 = "", "Validated", HYPERLINK("#" &amp; ADDRESS(62, 'Additional Chemicals-WUO_TRK'!A62),_xlfn.TEXTAFTER('Additional Chemicals-WUO_ERR'!A62, ":"))))</f>
        <v>0</v>
      </c>
    </row>
    <row r="63" spans="1:1">
      <c r="A63" s="39">
        <f>IF('Additional Chemicals'!B63 = "", "", IF('Additional Chemicals-WUO_ERR'!A63 = "", "Validated", HYPERLINK("#" &amp; ADDRESS(63, 'Additional Chemicals-WUO_TRK'!A63),_xlfn.TEXTAFTER('Additional Chemicals-WUO_ERR'!A63, ":"))))</f>
        <v>0</v>
      </c>
    </row>
    <row r="64" spans="1:1">
      <c r="A64" s="39">
        <f>IF('Additional Chemicals'!B64 = "", "", IF('Additional Chemicals-WUO_ERR'!A64 = "", "Validated", HYPERLINK("#" &amp; ADDRESS(64, 'Additional Chemicals-WUO_TRK'!A64),_xlfn.TEXTAFTER('Additional Chemicals-WUO_ERR'!A64, ":"))))</f>
        <v>0</v>
      </c>
    </row>
    <row r="65" spans="1:1">
      <c r="A65" s="39">
        <f>IF('Additional Chemicals'!B65 = "", "", IF('Additional Chemicals-WUO_ERR'!A65 = "", "Validated", HYPERLINK("#" &amp; ADDRESS(65, 'Additional Chemicals-WUO_TRK'!A65),_xlfn.TEXTAFTER('Additional Chemicals-WUO_ERR'!A65, ":"))))</f>
        <v>0</v>
      </c>
    </row>
    <row r="66" spans="1:1">
      <c r="A66" s="39">
        <f>IF('Additional Chemicals'!B66 = "", "", IF('Additional Chemicals-WUO_ERR'!A66 = "", "Validated", HYPERLINK("#" &amp; ADDRESS(66, 'Additional Chemicals-WUO_TRK'!A66),_xlfn.TEXTAFTER('Additional Chemicals-WUO_ERR'!A66, ":"))))</f>
        <v>0</v>
      </c>
    </row>
    <row r="67" spans="1:1">
      <c r="A67" s="39">
        <f>IF('Additional Chemicals'!B67 = "", "", IF('Additional Chemicals-WUO_ERR'!A67 = "", "Validated", HYPERLINK("#" &amp; ADDRESS(67, 'Additional Chemicals-WUO_TRK'!A67),_xlfn.TEXTAFTER('Additional Chemicals-WUO_ERR'!A67, ":"))))</f>
        <v>0</v>
      </c>
    </row>
    <row r="68" spans="1:1">
      <c r="A68" s="39">
        <f>IF('Additional Chemicals'!B68 = "", "", IF('Additional Chemicals-WUO_ERR'!A68 = "", "Validated", HYPERLINK("#" &amp; ADDRESS(68, 'Additional Chemicals-WUO_TRK'!A68),_xlfn.TEXTAFTER('Additional Chemicals-WUO_ERR'!A68, ":"))))</f>
        <v>0</v>
      </c>
    </row>
    <row r="69" spans="1:1">
      <c r="A69" s="39">
        <f>IF('Additional Chemicals'!B69 = "", "", IF('Additional Chemicals-WUO_ERR'!A69 = "", "Validated", HYPERLINK("#" &amp; ADDRESS(69, 'Additional Chemicals-WUO_TRK'!A69),_xlfn.TEXTAFTER('Additional Chemicals-WUO_ERR'!A69, ":"))))</f>
        <v>0</v>
      </c>
    </row>
    <row r="70" spans="1:1">
      <c r="A70" s="39">
        <f>IF('Additional Chemicals'!B70 = "", "", IF('Additional Chemicals-WUO_ERR'!A70 = "", "Validated", HYPERLINK("#" &amp; ADDRESS(70, 'Additional Chemicals-WUO_TRK'!A70),_xlfn.TEXTAFTER('Additional Chemicals-WUO_ERR'!A70, ":"))))</f>
        <v>0</v>
      </c>
    </row>
    <row r="71" spans="1:1">
      <c r="A71" s="39">
        <f>IF('Additional Chemicals'!B71 = "", "", IF('Additional Chemicals-WUO_ERR'!A71 = "", "Validated", HYPERLINK("#" &amp; ADDRESS(71, 'Additional Chemicals-WUO_TRK'!A71),_xlfn.TEXTAFTER('Additional Chemicals-WUO_ERR'!A71, ":"))))</f>
        <v>0</v>
      </c>
    </row>
    <row r="72" spans="1:1">
      <c r="A72" s="39">
        <f>IF('Additional Chemicals'!B72 = "", "", IF('Additional Chemicals-WUO_ERR'!A72 = "", "Validated", HYPERLINK("#" &amp; ADDRESS(72, 'Additional Chemicals-WUO_TRK'!A72),_xlfn.TEXTAFTER('Additional Chemicals-WUO_ERR'!A72, ":"))))</f>
        <v>0</v>
      </c>
    </row>
    <row r="73" spans="1:1">
      <c r="A73" s="39">
        <f>IF('Additional Chemicals'!B73 = "", "", IF('Additional Chemicals-WUO_ERR'!A73 = "", "Validated", HYPERLINK("#" &amp; ADDRESS(73, 'Additional Chemicals-WUO_TRK'!A73),_xlfn.TEXTAFTER('Additional Chemicals-WUO_ERR'!A73, ":"))))</f>
        <v>0</v>
      </c>
    </row>
    <row r="74" spans="1:1">
      <c r="A74" s="39">
        <f>IF('Additional Chemicals'!B74 = "", "", IF('Additional Chemicals-WUO_ERR'!A74 = "", "Validated", HYPERLINK("#" &amp; ADDRESS(74, 'Additional Chemicals-WUO_TRK'!A74),_xlfn.TEXTAFTER('Additional Chemicals-WUO_ERR'!A74, ":"))))</f>
        <v>0</v>
      </c>
    </row>
    <row r="75" spans="1:1">
      <c r="A75" s="39">
        <f>IF('Additional Chemicals'!B75 = "", "", IF('Additional Chemicals-WUO_ERR'!A75 = "", "Validated", HYPERLINK("#" &amp; ADDRESS(75, 'Additional Chemicals-WUO_TRK'!A75),_xlfn.TEXTAFTER('Additional Chemicals-WUO_ERR'!A75, ":"))))</f>
        <v>0</v>
      </c>
    </row>
    <row r="76" spans="1:1">
      <c r="A76" s="39">
        <f>IF('Additional Chemicals'!B76 = "", "", IF('Additional Chemicals-WUO_ERR'!A76 = "", "Validated", HYPERLINK("#" &amp; ADDRESS(76, 'Additional Chemicals-WUO_TRK'!A76),_xlfn.TEXTAFTER('Additional Chemicals-WUO_ERR'!A76, ":"))))</f>
        <v>0</v>
      </c>
    </row>
    <row r="77" spans="1:1">
      <c r="A77" s="39">
        <f>IF('Additional Chemicals'!B77 = "", "", IF('Additional Chemicals-WUO_ERR'!A77 = "", "Validated", HYPERLINK("#" &amp; ADDRESS(77, 'Additional Chemicals-WUO_TRK'!A77),_xlfn.TEXTAFTER('Additional Chemicals-WUO_ERR'!A77, ":"))))</f>
        <v>0</v>
      </c>
    </row>
    <row r="78" spans="1:1">
      <c r="A78" s="39">
        <f>IF('Additional Chemicals'!B78 = "", "", IF('Additional Chemicals-WUO_ERR'!A78 = "", "Validated", HYPERLINK("#" &amp; ADDRESS(78, 'Additional Chemicals-WUO_TRK'!A78),_xlfn.TEXTAFTER('Additional Chemicals-WUO_ERR'!A78, ":"))))</f>
        <v>0</v>
      </c>
    </row>
    <row r="79" spans="1:1">
      <c r="A79" s="39">
        <f>IF('Additional Chemicals'!B79 = "", "", IF('Additional Chemicals-WUO_ERR'!A79 = "", "Validated", HYPERLINK("#" &amp; ADDRESS(79, 'Additional Chemicals-WUO_TRK'!A79),_xlfn.TEXTAFTER('Additional Chemicals-WUO_ERR'!A79, ":"))))</f>
        <v>0</v>
      </c>
    </row>
    <row r="80" spans="1:1">
      <c r="A80" s="39">
        <f>IF('Additional Chemicals'!B80 = "", "", IF('Additional Chemicals-WUO_ERR'!A80 = "", "Validated", HYPERLINK("#" &amp; ADDRESS(80, 'Additional Chemicals-WUO_TRK'!A80),_xlfn.TEXTAFTER('Additional Chemicals-WUO_ERR'!A80, ":"))))</f>
        <v>0</v>
      </c>
    </row>
    <row r="81" spans="1:1">
      <c r="A81" s="39">
        <f>IF('Additional Chemicals'!B81 = "", "", IF('Additional Chemicals-WUO_ERR'!A81 = "", "Validated", HYPERLINK("#" &amp; ADDRESS(81, 'Additional Chemicals-WUO_TRK'!A81),_xlfn.TEXTAFTER('Additional Chemicals-WUO_ERR'!A81, ":"))))</f>
        <v>0</v>
      </c>
    </row>
    <row r="82" spans="1:1">
      <c r="A82" s="39">
        <f>IF('Additional Chemicals'!B82 = "", "", IF('Additional Chemicals-WUO_ERR'!A82 = "", "Validated", HYPERLINK("#" &amp; ADDRESS(82, 'Additional Chemicals-WUO_TRK'!A82),_xlfn.TEXTAFTER('Additional Chemicals-WUO_ERR'!A82, ":"))))</f>
        <v>0</v>
      </c>
    </row>
    <row r="83" spans="1:1">
      <c r="A83" s="39">
        <f>IF('Additional Chemicals'!B83 = "", "", IF('Additional Chemicals-WUO_ERR'!A83 = "", "Validated", HYPERLINK("#" &amp; ADDRESS(83, 'Additional Chemicals-WUO_TRK'!A83),_xlfn.TEXTAFTER('Additional Chemicals-WUO_ERR'!A83, ":"))))</f>
        <v>0</v>
      </c>
    </row>
    <row r="84" spans="1:1">
      <c r="A84" s="39">
        <f>IF('Additional Chemicals'!B84 = "", "", IF('Additional Chemicals-WUO_ERR'!A84 = "", "Validated", HYPERLINK("#" &amp; ADDRESS(84, 'Additional Chemicals-WUO_TRK'!A84),_xlfn.TEXTAFTER('Additional Chemicals-WUO_ERR'!A84, ":"))))</f>
        <v>0</v>
      </c>
    </row>
    <row r="85" spans="1:1">
      <c r="A85" s="39">
        <f>IF('Additional Chemicals'!B85 = "", "", IF('Additional Chemicals-WUO_ERR'!A85 = "", "Validated", HYPERLINK("#" &amp; ADDRESS(85, 'Additional Chemicals-WUO_TRK'!A85),_xlfn.TEXTAFTER('Additional Chemicals-WUO_ERR'!A85, ":"))))</f>
        <v>0</v>
      </c>
    </row>
    <row r="86" spans="1:1">
      <c r="A86" s="39">
        <f>IF('Additional Chemicals'!B86 = "", "", IF('Additional Chemicals-WUO_ERR'!A86 = "", "Validated", HYPERLINK("#" &amp; ADDRESS(86, 'Additional Chemicals-WUO_TRK'!A86),_xlfn.TEXTAFTER('Additional Chemicals-WUO_ERR'!A86, ":"))))</f>
        <v>0</v>
      </c>
    </row>
    <row r="87" spans="1:1">
      <c r="A87" s="39">
        <f>IF('Additional Chemicals'!B87 = "", "", IF('Additional Chemicals-WUO_ERR'!A87 = "", "Validated", HYPERLINK("#" &amp; ADDRESS(87, 'Additional Chemicals-WUO_TRK'!A87),_xlfn.TEXTAFTER('Additional Chemicals-WUO_ERR'!A87, ":"))))</f>
        <v>0</v>
      </c>
    </row>
    <row r="88" spans="1:1">
      <c r="A88" s="39">
        <f>IF('Additional Chemicals'!B88 = "", "", IF('Additional Chemicals-WUO_ERR'!A88 = "", "Validated", HYPERLINK("#" &amp; ADDRESS(88, 'Additional Chemicals-WUO_TRK'!A88),_xlfn.TEXTAFTER('Additional Chemicals-WUO_ERR'!A88, ":"))))</f>
        <v>0</v>
      </c>
    </row>
    <row r="89" spans="1:1">
      <c r="A89" s="39">
        <f>IF('Additional Chemicals'!B89 = "", "", IF('Additional Chemicals-WUO_ERR'!A89 = "", "Validated", HYPERLINK("#" &amp; ADDRESS(89, 'Additional Chemicals-WUO_TRK'!A89),_xlfn.TEXTAFTER('Additional Chemicals-WUO_ERR'!A89, ":"))))</f>
        <v>0</v>
      </c>
    </row>
    <row r="90" spans="1:1">
      <c r="A90" s="39">
        <f>IF('Additional Chemicals'!B90 = "", "", IF('Additional Chemicals-WUO_ERR'!A90 = "", "Validated", HYPERLINK("#" &amp; ADDRESS(90, 'Additional Chemicals-WUO_TRK'!A90),_xlfn.TEXTAFTER('Additional Chemicals-WUO_ERR'!A90, ":"))))</f>
        <v>0</v>
      </c>
    </row>
    <row r="91" spans="1:1">
      <c r="A91" s="39">
        <f>IF('Additional Chemicals'!B91 = "", "", IF('Additional Chemicals-WUO_ERR'!A91 = "", "Validated", HYPERLINK("#" &amp; ADDRESS(91, 'Additional Chemicals-WUO_TRK'!A91),_xlfn.TEXTAFTER('Additional Chemicals-WUO_ERR'!A91, ":"))))</f>
        <v>0</v>
      </c>
    </row>
    <row r="92" spans="1:1">
      <c r="A92" s="39">
        <f>IF('Additional Chemicals'!B92 = "", "", IF('Additional Chemicals-WUO_ERR'!A92 = "", "Validated", HYPERLINK("#" &amp; ADDRESS(92, 'Additional Chemicals-WUO_TRK'!A92),_xlfn.TEXTAFTER('Additional Chemicals-WUO_ERR'!A92, ":"))))</f>
        <v>0</v>
      </c>
    </row>
    <row r="93" spans="1:1">
      <c r="A93" s="39">
        <f>IF('Additional Chemicals'!B93 = "", "", IF('Additional Chemicals-WUO_ERR'!A93 = "", "Validated", HYPERLINK("#" &amp; ADDRESS(93, 'Additional Chemicals-WUO_TRK'!A93),_xlfn.TEXTAFTER('Additional Chemicals-WUO_ERR'!A93, ":"))))</f>
        <v>0</v>
      </c>
    </row>
    <row r="94" spans="1:1">
      <c r="A94" s="39">
        <f>IF('Additional Chemicals'!B94 = "", "", IF('Additional Chemicals-WUO_ERR'!A94 = "", "Validated", HYPERLINK("#" &amp; ADDRESS(94, 'Additional Chemicals-WUO_TRK'!A94),_xlfn.TEXTAFTER('Additional Chemicals-WUO_ERR'!A94, ":"))))</f>
        <v>0</v>
      </c>
    </row>
    <row r="95" spans="1:1">
      <c r="A95" s="39">
        <f>IF('Additional Chemicals'!B95 = "", "", IF('Additional Chemicals-WUO_ERR'!A95 = "", "Validated", HYPERLINK("#" &amp; ADDRESS(95, 'Additional Chemicals-WUO_TRK'!A95),_xlfn.TEXTAFTER('Additional Chemicals-WUO_ERR'!A95, ":"))))</f>
        <v>0</v>
      </c>
    </row>
    <row r="96" spans="1:1">
      <c r="A96" s="39">
        <f>IF('Additional Chemicals'!B96 = "", "", IF('Additional Chemicals-WUO_ERR'!A96 = "", "Validated", HYPERLINK("#" &amp; ADDRESS(96, 'Additional Chemicals-WUO_TRK'!A96),_xlfn.TEXTAFTER('Additional Chemicals-WUO_ERR'!A96, ":"))))</f>
        <v>0</v>
      </c>
    </row>
    <row r="97" spans="1:1">
      <c r="A97" s="39">
        <f>IF('Additional Chemicals'!B97 = "", "", IF('Additional Chemicals-WUO_ERR'!A97 = "", "Validated", HYPERLINK("#" &amp; ADDRESS(97, 'Additional Chemicals-WUO_TRK'!A97),_xlfn.TEXTAFTER('Additional Chemicals-WUO_ERR'!A97, ":"))))</f>
        <v>0</v>
      </c>
    </row>
    <row r="98" spans="1:1">
      <c r="A98" s="39">
        <f>IF('Additional Chemicals'!B98 = "", "", IF('Additional Chemicals-WUO_ERR'!A98 = "", "Validated", HYPERLINK("#" &amp; ADDRESS(98, 'Additional Chemicals-WUO_TRK'!A98),_xlfn.TEXTAFTER('Additional Chemicals-WUO_ERR'!A98, ":"))))</f>
        <v>0</v>
      </c>
    </row>
    <row r="99" spans="1:1">
      <c r="A99" s="39">
        <f>IF('Additional Chemicals'!B99 = "", "", IF('Additional Chemicals-WUO_ERR'!A99 = "", "Validated", HYPERLINK("#" &amp; ADDRESS(99, 'Additional Chemicals-WUO_TRK'!A99),_xlfn.TEXTAFTER('Additional Chemicals-WUO_ERR'!A99, ":"))))</f>
        <v>0</v>
      </c>
    </row>
    <row r="100" spans="1:1">
      <c r="A100" s="39">
        <f>IF('Additional Chemicals'!B100 = "", "", IF('Additional Chemicals-WUO_ERR'!A100 = "", "Validated", HYPERLINK("#" &amp; ADDRESS(100, 'Additional Chemicals-WUO_TRK'!A100),_xlfn.TEXTAFTER('Additional Chemicals-WUO_ERR'!A100, ":"))))</f>
        <v>0</v>
      </c>
    </row>
    <row r="101" spans="1:1">
      <c r="A101" s="39">
        <f>IF('Additional Chemicals'!B101 = "", "", IF('Additional Chemicals-WUO_ERR'!A101 = "", "Validated", HYPERLINK("#" &amp; ADDRESS(101, 'Additional Chemicals-WUO_TRK'!A101),_xlfn.TEXTAFTER('Additional Chemicals-WUO_ERR'!A101, ":"))))</f>
        <v>0</v>
      </c>
    </row>
    <row r="102" spans="1:1">
      <c r="A102" s="39">
        <f>IF('Additional Chemicals'!B102 = "", "", IF('Additional Chemicals-WUO_ERR'!A102 = "", "Validated", HYPERLINK("#" &amp; ADDRESS(102, 'Additional Chemicals-WUO_TRK'!A102),_xlfn.TEXTAFTER('Additional Chemicals-WUO_ERR'!A102, ":"))))</f>
        <v>0</v>
      </c>
    </row>
    <row r="103" spans="1:1">
      <c r="A103" s="39">
        <f>IF('Additional Chemicals'!B103 = "", "", IF('Additional Chemicals-WUO_ERR'!A103 = "", "Validated", HYPERLINK("#" &amp; ADDRESS(103, 'Additional Chemicals-WUO_TRK'!A103),_xlfn.TEXTAFTER('Additional Chemicals-WUO_ERR'!A103, ":"))))</f>
        <v>0</v>
      </c>
    </row>
    <row r="104" spans="1:1">
      <c r="A104" s="39">
        <f>IF('Additional Chemicals'!B104 = "", "", IF('Additional Chemicals-WUO_ERR'!A104 = "", "Validated", HYPERLINK("#" &amp; ADDRESS(104, 'Additional Chemicals-WUO_TRK'!A104),_xlfn.TEXTAFTER('Additional Chemicals-WUO_ERR'!A104, ":"))))</f>
        <v>0</v>
      </c>
    </row>
    <row r="105" spans="1:1">
      <c r="A105" s="39">
        <f>IF('Additional Chemicals'!B105 = "", "", IF('Additional Chemicals-WUO_ERR'!A105 = "", "Validated", HYPERLINK("#" &amp; ADDRESS(105, 'Additional Chemicals-WUO_TRK'!A105),_xlfn.TEXTAFTER('Additional Chemicals-WUO_ERR'!A105, ":"))))</f>
        <v>0</v>
      </c>
    </row>
    <row r="106" spans="1:1">
      <c r="A106" s="39">
        <f>IF('Additional Chemicals'!B106 = "", "", IF('Additional Chemicals-WUO_ERR'!A106 = "", "Validated", HYPERLINK("#" &amp; ADDRESS(106, 'Additional Chemicals-WUO_TRK'!A106),_xlfn.TEXTAFTER('Additional Chemicals-WUO_ERR'!A106, ":"))))</f>
        <v>0</v>
      </c>
    </row>
    <row r="107" spans="1:1">
      <c r="A107" s="39">
        <f>IF('Additional Chemicals'!B107 = "", "", IF('Additional Chemicals-WUO_ERR'!A107 = "", "Validated", HYPERLINK("#" &amp; ADDRESS(107, 'Additional Chemicals-WUO_TRK'!A107),_xlfn.TEXTAFTER('Additional Chemicals-WUO_ERR'!A107, ":"))))</f>
        <v>0</v>
      </c>
    </row>
    <row r="108" spans="1:1">
      <c r="A108" s="39">
        <f>IF('Additional Chemicals'!B108 = "", "", IF('Additional Chemicals-WUO_ERR'!A108 = "", "Validated", HYPERLINK("#" &amp; ADDRESS(108, 'Additional Chemicals-WUO_TRK'!A108),_xlfn.TEXTAFTER('Additional Chemicals-WUO_ERR'!A108, ":"))))</f>
        <v>0</v>
      </c>
    </row>
    <row r="109" spans="1:1">
      <c r="A109" s="39">
        <f>IF('Additional Chemicals'!B109 = "", "", IF('Additional Chemicals-WUO_ERR'!A109 = "", "Validated", HYPERLINK("#" &amp; ADDRESS(109, 'Additional Chemicals-WUO_TRK'!A109),_xlfn.TEXTAFTER('Additional Chemicals-WUO_ERR'!A109, ":"))))</f>
        <v>0</v>
      </c>
    </row>
    <row r="110" spans="1:1">
      <c r="A110" s="39">
        <f>IF('Additional Chemicals'!B110 = "", "", IF('Additional Chemicals-WUO_ERR'!A110 = "", "Validated", HYPERLINK("#" &amp; ADDRESS(110, 'Additional Chemicals-WUO_TRK'!A110),_xlfn.TEXTAFTER('Additional Chemicals-WUO_ERR'!A110, ":"))))</f>
        <v>0</v>
      </c>
    </row>
    <row r="111" spans="1:1">
      <c r="A111" s="39">
        <f>IF('Additional Chemicals'!B111 = "", "", IF('Additional Chemicals-WUO_ERR'!A111 = "", "Validated", HYPERLINK("#" &amp; ADDRESS(111, 'Additional Chemicals-WUO_TRK'!A111),_xlfn.TEXTAFTER('Additional Chemicals-WUO_ERR'!A111, ":"))))</f>
        <v>0</v>
      </c>
    </row>
    <row r="112" spans="1:1">
      <c r="A112" s="39">
        <f>IF('Additional Chemicals'!B112 = "", "", IF('Additional Chemicals-WUO_ERR'!A112 = "", "Validated", HYPERLINK("#" &amp; ADDRESS(112, 'Additional Chemicals-WUO_TRK'!A112),_xlfn.TEXTAFTER('Additional Chemicals-WUO_ERR'!A112, ":"))))</f>
        <v>0</v>
      </c>
    </row>
    <row r="113" spans="1:1">
      <c r="A113" s="39">
        <f>IF('Additional Chemicals'!B113 = "", "", IF('Additional Chemicals-WUO_ERR'!A113 = "", "Validated", HYPERLINK("#" &amp; ADDRESS(113, 'Additional Chemicals-WUO_TRK'!A113),_xlfn.TEXTAFTER('Additional Chemicals-WUO_ERR'!A113, ":"))))</f>
        <v>0</v>
      </c>
    </row>
    <row r="114" spans="1:1">
      <c r="A114" s="39">
        <f>IF('Additional Chemicals'!B114 = "", "", IF('Additional Chemicals-WUO_ERR'!A114 = "", "Validated", HYPERLINK("#" &amp; ADDRESS(114, 'Additional Chemicals-WUO_TRK'!A114),_xlfn.TEXTAFTER('Additional Chemicals-WUO_ERR'!A114, ":"))))</f>
        <v>0</v>
      </c>
    </row>
    <row r="115" spans="1:1">
      <c r="A115" s="39">
        <f>IF('Additional Chemicals'!B115 = "", "", IF('Additional Chemicals-WUO_ERR'!A115 = "", "Validated", HYPERLINK("#" &amp; ADDRESS(115, 'Additional Chemicals-WUO_TRK'!A115),_xlfn.TEXTAFTER('Additional Chemicals-WUO_ERR'!A115, ":"))))</f>
        <v>0</v>
      </c>
    </row>
    <row r="116" spans="1:1">
      <c r="A116" s="39">
        <f>IF('Additional Chemicals'!B116 = "", "", IF('Additional Chemicals-WUO_ERR'!A116 = "", "Validated", HYPERLINK("#" &amp; ADDRESS(116, 'Additional Chemicals-WUO_TRK'!A116),_xlfn.TEXTAFTER('Additional Chemicals-WUO_ERR'!A116, ":"))))</f>
        <v>0</v>
      </c>
    </row>
    <row r="117" spans="1:1">
      <c r="A117" s="39">
        <f>IF('Additional Chemicals'!B117 = "", "", IF('Additional Chemicals-WUO_ERR'!A117 = "", "Validated", HYPERLINK("#" &amp; ADDRESS(117, 'Additional Chemicals-WUO_TRK'!A117),_xlfn.TEXTAFTER('Additional Chemicals-WUO_ERR'!A117, ":"))))</f>
        <v>0</v>
      </c>
    </row>
    <row r="118" spans="1:1">
      <c r="A118" s="39">
        <f>IF('Additional Chemicals'!B118 = "", "", IF('Additional Chemicals-WUO_ERR'!A118 = "", "Validated", HYPERLINK("#" &amp; ADDRESS(118, 'Additional Chemicals-WUO_TRK'!A118),_xlfn.TEXTAFTER('Additional Chemicals-WUO_ERR'!A118, ":"))))</f>
        <v>0</v>
      </c>
    </row>
    <row r="119" spans="1:1">
      <c r="A119" s="39">
        <f>IF('Additional Chemicals'!B119 = "", "", IF('Additional Chemicals-WUO_ERR'!A119 = "", "Validated", HYPERLINK("#" &amp; ADDRESS(119, 'Additional Chemicals-WUO_TRK'!A119),_xlfn.TEXTAFTER('Additional Chemicals-WUO_ERR'!A119, ":"))))</f>
        <v>0</v>
      </c>
    </row>
    <row r="120" spans="1:1">
      <c r="A120" s="39">
        <f>IF('Additional Chemicals'!B120 = "", "", IF('Additional Chemicals-WUO_ERR'!A120 = "", "Validated", HYPERLINK("#" &amp; ADDRESS(120, 'Additional Chemicals-WUO_TRK'!A120),_xlfn.TEXTAFTER('Additional Chemicals-WUO_ERR'!A120, ":"))))</f>
        <v>0</v>
      </c>
    </row>
    <row r="121" spans="1:1">
      <c r="A121" s="39">
        <f>IF('Additional Chemicals'!B121 = "", "", IF('Additional Chemicals-WUO_ERR'!A121 = "", "Validated", HYPERLINK("#" &amp; ADDRESS(121, 'Additional Chemicals-WUO_TRK'!A121),_xlfn.TEXTAFTER('Additional Chemicals-WUO_ERR'!A121, ":"))))</f>
        <v>0</v>
      </c>
    </row>
    <row r="122" spans="1:1">
      <c r="A122" s="39">
        <f>IF('Additional Chemicals'!B122 = "", "", IF('Additional Chemicals-WUO_ERR'!A122 = "", "Validated", HYPERLINK("#" &amp; ADDRESS(122, 'Additional Chemicals-WUO_TRK'!A122),_xlfn.TEXTAFTER('Additional Chemicals-WUO_ERR'!A122, ":"))))</f>
        <v>0</v>
      </c>
    </row>
    <row r="123" spans="1:1">
      <c r="A123" s="39">
        <f>IF('Additional Chemicals'!B123 = "", "", IF('Additional Chemicals-WUO_ERR'!A123 = "", "Validated", HYPERLINK("#" &amp; ADDRESS(123, 'Additional Chemicals-WUO_TRK'!A123),_xlfn.TEXTAFTER('Additional Chemicals-WUO_ERR'!A123, ":"))))</f>
        <v>0</v>
      </c>
    </row>
    <row r="124" spans="1:1">
      <c r="A124" s="39">
        <f>IF('Additional Chemicals'!B124 = "", "", IF('Additional Chemicals-WUO_ERR'!A124 = "", "Validated", HYPERLINK("#" &amp; ADDRESS(124, 'Additional Chemicals-WUO_TRK'!A124),_xlfn.TEXTAFTER('Additional Chemicals-WUO_ERR'!A124, ":"))))</f>
        <v>0</v>
      </c>
    </row>
    <row r="125" spans="1:1">
      <c r="A125" s="39">
        <f>IF('Additional Chemicals'!B125 = "", "", IF('Additional Chemicals-WUO_ERR'!A125 = "", "Validated", HYPERLINK("#" &amp; ADDRESS(125, 'Additional Chemicals-WUO_TRK'!A125),_xlfn.TEXTAFTER('Additional Chemicals-WUO_ERR'!A125, ":"))))</f>
        <v>0</v>
      </c>
    </row>
    <row r="126" spans="1:1">
      <c r="A126" s="39">
        <f>IF('Additional Chemicals'!B126 = "", "", IF('Additional Chemicals-WUO_ERR'!A126 = "", "Validated", HYPERLINK("#" &amp; ADDRESS(126, 'Additional Chemicals-WUO_TRK'!A126),_xlfn.TEXTAFTER('Additional Chemicals-WUO_ERR'!A126, ":"))))</f>
        <v>0</v>
      </c>
    </row>
    <row r="127" spans="1:1">
      <c r="A127" s="39">
        <f>IF('Additional Chemicals'!B127 = "", "", IF('Additional Chemicals-WUO_ERR'!A127 = "", "Validated", HYPERLINK("#" &amp; ADDRESS(127, 'Additional Chemicals-WUO_TRK'!A127),_xlfn.TEXTAFTER('Additional Chemicals-WUO_ERR'!A127, ":"))))</f>
        <v>0</v>
      </c>
    </row>
    <row r="128" spans="1:1">
      <c r="A128" s="39">
        <f>IF('Additional Chemicals'!B128 = "", "", IF('Additional Chemicals-WUO_ERR'!A128 = "", "Validated", HYPERLINK("#" &amp; ADDRESS(128, 'Additional Chemicals-WUO_TRK'!A128),_xlfn.TEXTAFTER('Additional Chemicals-WUO_ERR'!A128, ":"))))</f>
        <v>0</v>
      </c>
    </row>
    <row r="129" spans="1:1">
      <c r="A129" s="39">
        <f>IF('Additional Chemicals'!B129 = "", "", IF('Additional Chemicals-WUO_ERR'!A129 = "", "Validated", HYPERLINK("#" &amp; ADDRESS(129, 'Additional Chemicals-WUO_TRK'!A129),_xlfn.TEXTAFTER('Additional Chemicals-WUO_ERR'!A129, ":"))))</f>
        <v>0</v>
      </c>
    </row>
    <row r="130" spans="1:1">
      <c r="A130" s="39">
        <f>IF('Additional Chemicals'!B130 = "", "", IF('Additional Chemicals-WUO_ERR'!A130 = "", "Validated", HYPERLINK("#" &amp; ADDRESS(130, 'Additional Chemicals-WUO_TRK'!A130),_xlfn.TEXTAFTER('Additional Chemicals-WUO_ERR'!A130, ":"))))</f>
        <v>0</v>
      </c>
    </row>
    <row r="131" spans="1:1">
      <c r="A131" s="39">
        <f>IF('Additional Chemicals'!B131 = "", "", IF('Additional Chemicals-WUO_ERR'!A131 = "", "Validated", HYPERLINK("#" &amp; ADDRESS(131, 'Additional Chemicals-WUO_TRK'!A131),_xlfn.TEXTAFTER('Additional Chemicals-WUO_ERR'!A131, ":"))))</f>
        <v>0</v>
      </c>
    </row>
    <row r="132" spans="1:1">
      <c r="A132" s="39">
        <f>IF('Additional Chemicals'!B132 = "", "", IF('Additional Chemicals-WUO_ERR'!A132 = "", "Validated", HYPERLINK("#" &amp; ADDRESS(132, 'Additional Chemicals-WUO_TRK'!A132),_xlfn.TEXTAFTER('Additional Chemicals-WUO_ERR'!A132, ":"))))</f>
        <v>0</v>
      </c>
    </row>
    <row r="133" spans="1:1">
      <c r="A133" s="39">
        <f>IF('Additional Chemicals'!B133 = "", "", IF('Additional Chemicals-WUO_ERR'!A133 = "", "Validated", HYPERLINK("#" &amp; ADDRESS(133, 'Additional Chemicals-WUO_TRK'!A133),_xlfn.TEXTAFTER('Additional Chemicals-WUO_ERR'!A133, ":"))))</f>
        <v>0</v>
      </c>
    </row>
    <row r="134" spans="1:1">
      <c r="A134" s="39">
        <f>IF('Additional Chemicals'!B134 = "", "", IF('Additional Chemicals-WUO_ERR'!A134 = "", "Validated", HYPERLINK("#" &amp; ADDRESS(134, 'Additional Chemicals-WUO_TRK'!A134),_xlfn.TEXTAFTER('Additional Chemicals-WUO_ERR'!A134, ":"))))</f>
        <v>0</v>
      </c>
    </row>
    <row r="135" spans="1:1">
      <c r="A135" s="39">
        <f>IF('Additional Chemicals'!B135 = "", "", IF('Additional Chemicals-WUO_ERR'!A135 = "", "Validated", HYPERLINK("#" &amp; ADDRESS(135, 'Additional Chemicals-WUO_TRK'!A135),_xlfn.TEXTAFTER('Additional Chemicals-WUO_ERR'!A135, ":"))))</f>
        <v>0</v>
      </c>
    </row>
    <row r="136" spans="1:1">
      <c r="A136" s="39">
        <f>IF('Additional Chemicals'!B136 = "", "", IF('Additional Chemicals-WUO_ERR'!A136 = "", "Validated", HYPERLINK("#" &amp; ADDRESS(136, 'Additional Chemicals-WUO_TRK'!A136),_xlfn.TEXTAFTER('Additional Chemicals-WUO_ERR'!A136, ":"))))</f>
        <v>0</v>
      </c>
    </row>
    <row r="137" spans="1:1">
      <c r="A137" s="39">
        <f>IF('Additional Chemicals'!B137 = "", "", IF('Additional Chemicals-WUO_ERR'!A137 = "", "Validated", HYPERLINK("#" &amp; ADDRESS(137, 'Additional Chemicals-WUO_TRK'!A137),_xlfn.TEXTAFTER('Additional Chemicals-WUO_ERR'!A137, ":"))))</f>
        <v>0</v>
      </c>
    </row>
    <row r="138" spans="1:1">
      <c r="A138" s="39">
        <f>IF('Additional Chemicals'!B138 = "", "", IF('Additional Chemicals-WUO_ERR'!A138 = "", "Validated", HYPERLINK("#" &amp; ADDRESS(138, 'Additional Chemicals-WUO_TRK'!A138),_xlfn.TEXTAFTER('Additional Chemicals-WUO_ERR'!A138, ":"))))</f>
        <v>0</v>
      </c>
    </row>
    <row r="139" spans="1:1">
      <c r="A139" s="39">
        <f>IF('Additional Chemicals'!B139 = "", "", IF('Additional Chemicals-WUO_ERR'!A139 = "", "Validated", HYPERLINK("#" &amp; ADDRESS(139, 'Additional Chemicals-WUO_TRK'!A139),_xlfn.TEXTAFTER('Additional Chemicals-WUO_ERR'!A139, ":"))))</f>
        <v>0</v>
      </c>
    </row>
    <row r="140" spans="1:1">
      <c r="A140" s="39">
        <f>IF('Additional Chemicals'!B140 = "", "", IF('Additional Chemicals-WUO_ERR'!A140 = "", "Validated", HYPERLINK("#" &amp; ADDRESS(140, 'Additional Chemicals-WUO_TRK'!A140),_xlfn.TEXTAFTER('Additional Chemicals-WUO_ERR'!A140, ":"))))</f>
        <v>0</v>
      </c>
    </row>
    <row r="141" spans="1:1">
      <c r="A141" s="39">
        <f>IF('Additional Chemicals'!B141 = "", "", IF('Additional Chemicals-WUO_ERR'!A141 = "", "Validated", HYPERLINK("#" &amp; ADDRESS(141, 'Additional Chemicals-WUO_TRK'!A141),_xlfn.TEXTAFTER('Additional Chemicals-WUO_ERR'!A141, ":"))))</f>
        <v>0</v>
      </c>
    </row>
    <row r="142" spans="1:1">
      <c r="A142" s="39">
        <f>IF('Additional Chemicals'!B142 = "", "", IF('Additional Chemicals-WUO_ERR'!A142 = "", "Validated", HYPERLINK("#" &amp; ADDRESS(142, 'Additional Chemicals-WUO_TRK'!A142),_xlfn.TEXTAFTER('Additional Chemicals-WUO_ERR'!A142, ":"))))</f>
        <v>0</v>
      </c>
    </row>
    <row r="143" spans="1:1">
      <c r="A143" s="39">
        <f>IF('Additional Chemicals'!B143 = "", "", IF('Additional Chemicals-WUO_ERR'!A143 = "", "Validated", HYPERLINK("#" &amp; ADDRESS(143, 'Additional Chemicals-WUO_TRK'!A143),_xlfn.TEXTAFTER('Additional Chemicals-WUO_ERR'!A143, ":"))))</f>
        <v>0</v>
      </c>
    </row>
    <row r="144" spans="1:1">
      <c r="A144" s="39">
        <f>IF('Additional Chemicals'!B144 = "", "", IF('Additional Chemicals-WUO_ERR'!A144 = "", "Validated", HYPERLINK("#" &amp; ADDRESS(144, 'Additional Chemicals-WUO_TRK'!A144),_xlfn.TEXTAFTER('Additional Chemicals-WUO_ERR'!A144, ":"))))</f>
        <v>0</v>
      </c>
    </row>
    <row r="145" spans="1:1">
      <c r="A145" s="39">
        <f>IF('Additional Chemicals'!B145 = "", "", IF('Additional Chemicals-WUO_ERR'!A145 = "", "Validated", HYPERLINK("#" &amp; ADDRESS(145, 'Additional Chemicals-WUO_TRK'!A145),_xlfn.TEXTAFTER('Additional Chemicals-WUO_ERR'!A145, ":"))))</f>
        <v>0</v>
      </c>
    </row>
    <row r="146" spans="1:1">
      <c r="A146" s="39">
        <f>IF('Additional Chemicals'!B146 = "", "", IF('Additional Chemicals-WUO_ERR'!A146 = "", "Validated", HYPERLINK("#" &amp; ADDRESS(146, 'Additional Chemicals-WUO_TRK'!A146),_xlfn.TEXTAFTER('Additional Chemicals-WUO_ERR'!A146, ":"))))</f>
        <v>0</v>
      </c>
    </row>
    <row r="147" spans="1:1">
      <c r="A147" s="39">
        <f>IF('Additional Chemicals'!B147 = "", "", IF('Additional Chemicals-WUO_ERR'!A147 = "", "Validated", HYPERLINK("#" &amp; ADDRESS(147, 'Additional Chemicals-WUO_TRK'!A147),_xlfn.TEXTAFTER('Additional Chemicals-WUO_ERR'!A147, ":"))))</f>
        <v>0</v>
      </c>
    </row>
    <row r="148" spans="1:1">
      <c r="A148" s="39">
        <f>IF('Additional Chemicals'!B148 = "", "", IF('Additional Chemicals-WUO_ERR'!A148 = "", "Validated", HYPERLINK("#" &amp; ADDRESS(148, 'Additional Chemicals-WUO_TRK'!A148),_xlfn.TEXTAFTER('Additional Chemicals-WUO_ERR'!A148, ":"))))</f>
        <v>0</v>
      </c>
    </row>
    <row r="149" spans="1:1">
      <c r="A149" s="39">
        <f>IF('Additional Chemicals'!B149 = "", "", IF('Additional Chemicals-WUO_ERR'!A149 = "", "Validated", HYPERLINK("#" &amp; ADDRESS(149, 'Additional Chemicals-WUO_TRK'!A149),_xlfn.TEXTAFTER('Additional Chemicals-WUO_ERR'!A149, ":"))))</f>
        <v>0</v>
      </c>
    </row>
    <row r="150" spans="1:1">
      <c r="A150" s="39">
        <f>IF('Additional Chemicals'!B150 = "", "", IF('Additional Chemicals-WUO_ERR'!A150 = "", "Validated", HYPERLINK("#" &amp; ADDRESS(150, 'Additional Chemicals-WUO_TRK'!A150),_xlfn.TEXTAFTER('Additional Chemicals-WUO_ERR'!A150, ":"))))</f>
        <v>0</v>
      </c>
    </row>
    <row r="151" spans="1:1">
      <c r="A151" s="39">
        <f>IF('Additional Chemicals'!B151 = "", "", IF('Additional Chemicals-WUO_ERR'!A151 = "", "Validated", HYPERLINK("#" &amp; ADDRESS(151, 'Additional Chemicals-WUO_TRK'!A151),_xlfn.TEXTAFTER('Additional Chemicals-WUO_ERR'!A151, ":"))))</f>
        <v>0</v>
      </c>
    </row>
    <row r="152" spans="1:1">
      <c r="A152" s="39">
        <f>IF('Additional Chemicals'!B152 = "", "", IF('Additional Chemicals-WUO_ERR'!A152 = "", "Validated", HYPERLINK("#" &amp; ADDRESS(152, 'Additional Chemicals-WUO_TRK'!A152),_xlfn.TEXTAFTER('Additional Chemicals-WUO_ERR'!A152, ":"))))</f>
        <v>0</v>
      </c>
    </row>
    <row r="153" spans="1:1">
      <c r="A153" s="39">
        <f>IF('Additional Chemicals'!B153 = "", "", IF('Additional Chemicals-WUO_ERR'!A153 = "", "Validated", HYPERLINK("#" &amp; ADDRESS(153, 'Additional Chemicals-WUO_TRK'!A153),_xlfn.TEXTAFTER('Additional Chemicals-WUO_ERR'!A153, ":"))))</f>
        <v>0</v>
      </c>
    </row>
    <row r="154" spans="1:1">
      <c r="A154" s="39">
        <f>IF('Additional Chemicals'!B154 = "", "", IF('Additional Chemicals-WUO_ERR'!A154 = "", "Validated", HYPERLINK("#" &amp; ADDRESS(154, 'Additional Chemicals-WUO_TRK'!A154),_xlfn.TEXTAFTER('Additional Chemicals-WUO_ERR'!A154, ":"))))</f>
        <v>0</v>
      </c>
    </row>
    <row r="155" spans="1:1">
      <c r="A155" s="39">
        <f>IF('Additional Chemicals'!B155 = "", "", IF('Additional Chemicals-WUO_ERR'!A155 = "", "Validated", HYPERLINK("#" &amp; ADDRESS(155, 'Additional Chemicals-WUO_TRK'!A155),_xlfn.TEXTAFTER('Additional Chemicals-WUO_ERR'!A155, ":"))))</f>
        <v>0</v>
      </c>
    </row>
    <row r="156" spans="1:1">
      <c r="A156" s="39">
        <f>IF('Additional Chemicals'!B156 = "", "", IF('Additional Chemicals-WUO_ERR'!A156 = "", "Validated", HYPERLINK("#" &amp; ADDRESS(156, 'Additional Chemicals-WUO_TRK'!A156),_xlfn.TEXTAFTER('Additional Chemicals-WUO_ERR'!A156, ":"))))</f>
        <v>0</v>
      </c>
    </row>
    <row r="157" spans="1:1">
      <c r="A157" s="39">
        <f>IF('Additional Chemicals'!B157 = "", "", IF('Additional Chemicals-WUO_ERR'!A157 = "", "Validated", HYPERLINK("#" &amp; ADDRESS(157, 'Additional Chemicals-WUO_TRK'!A157),_xlfn.TEXTAFTER('Additional Chemicals-WUO_ERR'!A157, ":"))))</f>
        <v>0</v>
      </c>
    </row>
    <row r="158" spans="1:1">
      <c r="A158" s="39">
        <f>IF('Additional Chemicals'!B158 = "", "", IF('Additional Chemicals-WUO_ERR'!A158 = "", "Validated", HYPERLINK("#" &amp; ADDRESS(158, 'Additional Chemicals-WUO_TRK'!A158),_xlfn.TEXTAFTER('Additional Chemicals-WUO_ERR'!A158, ":"))))</f>
        <v>0</v>
      </c>
    </row>
    <row r="159" spans="1:1">
      <c r="A159" s="39">
        <f>IF('Additional Chemicals'!B159 = "", "", IF('Additional Chemicals-WUO_ERR'!A159 = "", "Validated", HYPERLINK("#" &amp; ADDRESS(159, 'Additional Chemicals-WUO_TRK'!A159),_xlfn.TEXTAFTER('Additional Chemicals-WUO_ERR'!A159, ":"))))</f>
        <v>0</v>
      </c>
    </row>
    <row r="160" spans="1:1">
      <c r="A160" s="39">
        <f>IF('Additional Chemicals'!B160 = "", "", IF('Additional Chemicals-WUO_ERR'!A160 = "", "Validated", HYPERLINK("#" &amp; ADDRESS(160, 'Additional Chemicals-WUO_TRK'!A160),_xlfn.TEXTAFTER('Additional Chemicals-WUO_ERR'!A160, ":"))))</f>
        <v>0</v>
      </c>
    </row>
    <row r="161" spans="1:1">
      <c r="A161" s="39">
        <f>IF('Additional Chemicals'!B161 = "", "", IF('Additional Chemicals-WUO_ERR'!A161 = "", "Validated", HYPERLINK("#" &amp; ADDRESS(161, 'Additional Chemicals-WUO_TRK'!A161),_xlfn.TEXTAFTER('Additional Chemicals-WUO_ERR'!A161, ":"))))</f>
        <v>0</v>
      </c>
    </row>
    <row r="162" spans="1:1">
      <c r="A162" s="39">
        <f>IF('Additional Chemicals'!B162 = "", "", IF('Additional Chemicals-WUO_ERR'!A162 = "", "Validated", HYPERLINK("#" &amp; ADDRESS(162, 'Additional Chemicals-WUO_TRK'!A162),_xlfn.TEXTAFTER('Additional Chemicals-WUO_ERR'!A162, ":"))))</f>
        <v>0</v>
      </c>
    </row>
    <row r="163" spans="1:1">
      <c r="A163" s="39">
        <f>IF('Additional Chemicals'!B163 = "", "", IF('Additional Chemicals-WUO_ERR'!A163 = "", "Validated", HYPERLINK("#" &amp; ADDRESS(163, 'Additional Chemicals-WUO_TRK'!A163),_xlfn.TEXTAFTER('Additional Chemicals-WUO_ERR'!A163, ":"))))</f>
        <v>0</v>
      </c>
    </row>
    <row r="164" spans="1:1">
      <c r="A164" s="39">
        <f>IF('Additional Chemicals'!B164 = "", "", IF('Additional Chemicals-WUO_ERR'!A164 = "", "Validated", HYPERLINK("#" &amp; ADDRESS(164, 'Additional Chemicals-WUO_TRK'!A164),_xlfn.TEXTAFTER('Additional Chemicals-WUO_ERR'!A164, ":"))))</f>
        <v>0</v>
      </c>
    </row>
    <row r="165" spans="1:1">
      <c r="A165" s="39">
        <f>IF('Additional Chemicals'!B165 = "", "", IF('Additional Chemicals-WUO_ERR'!A165 = "", "Validated", HYPERLINK("#" &amp; ADDRESS(165, 'Additional Chemicals-WUO_TRK'!A165),_xlfn.TEXTAFTER('Additional Chemicals-WUO_ERR'!A165, ":"))))</f>
        <v>0</v>
      </c>
    </row>
    <row r="166" spans="1:1">
      <c r="A166" s="39">
        <f>IF('Additional Chemicals'!B166 = "", "", IF('Additional Chemicals-WUO_ERR'!A166 = "", "Validated", HYPERLINK("#" &amp; ADDRESS(166, 'Additional Chemicals-WUO_TRK'!A166),_xlfn.TEXTAFTER('Additional Chemicals-WUO_ERR'!A166, ":"))))</f>
        <v>0</v>
      </c>
    </row>
    <row r="167" spans="1:1">
      <c r="A167" s="39">
        <f>IF('Additional Chemicals'!B167 = "", "", IF('Additional Chemicals-WUO_ERR'!A167 = "", "Validated", HYPERLINK("#" &amp; ADDRESS(167, 'Additional Chemicals-WUO_TRK'!A167),_xlfn.TEXTAFTER('Additional Chemicals-WUO_ERR'!A167, ":"))))</f>
        <v>0</v>
      </c>
    </row>
    <row r="168" spans="1:1">
      <c r="A168" s="39">
        <f>IF('Additional Chemicals'!B168 = "", "", IF('Additional Chemicals-WUO_ERR'!A168 = "", "Validated", HYPERLINK("#" &amp; ADDRESS(168, 'Additional Chemicals-WUO_TRK'!A168),_xlfn.TEXTAFTER('Additional Chemicals-WUO_ERR'!A168, ":"))))</f>
        <v>0</v>
      </c>
    </row>
    <row r="169" spans="1:1">
      <c r="A169" s="39">
        <f>IF('Additional Chemicals'!B169 = "", "", IF('Additional Chemicals-WUO_ERR'!A169 = "", "Validated", HYPERLINK("#" &amp; ADDRESS(169, 'Additional Chemicals-WUO_TRK'!A169),_xlfn.TEXTAFTER('Additional Chemicals-WUO_ERR'!A169, ":"))))</f>
        <v>0</v>
      </c>
    </row>
    <row r="170" spans="1:1">
      <c r="A170" s="39">
        <f>IF('Additional Chemicals'!B170 = "", "", IF('Additional Chemicals-WUO_ERR'!A170 = "", "Validated", HYPERLINK("#" &amp; ADDRESS(170, 'Additional Chemicals-WUO_TRK'!A170),_xlfn.TEXTAFTER('Additional Chemicals-WUO_ERR'!A170, ":"))))</f>
        <v>0</v>
      </c>
    </row>
    <row r="171" spans="1:1">
      <c r="A171" s="39">
        <f>IF('Additional Chemicals'!B171 = "", "", IF('Additional Chemicals-WUO_ERR'!A171 = "", "Validated", HYPERLINK("#" &amp; ADDRESS(171, 'Additional Chemicals-WUO_TRK'!A171),_xlfn.TEXTAFTER('Additional Chemicals-WUO_ERR'!A171, ":"))))</f>
        <v>0</v>
      </c>
    </row>
    <row r="172" spans="1:1">
      <c r="A172" s="39">
        <f>IF('Additional Chemicals'!B172 = "", "", IF('Additional Chemicals-WUO_ERR'!A172 = "", "Validated", HYPERLINK("#" &amp; ADDRESS(172, 'Additional Chemicals-WUO_TRK'!A172),_xlfn.TEXTAFTER('Additional Chemicals-WUO_ERR'!A172, ":"))))</f>
        <v>0</v>
      </c>
    </row>
    <row r="173" spans="1:1">
      <c r="A173" s="39">
        <f>IF('Additional Chemicals'!B173 = "", "", IF('Additional Chemicals-WUO_ERR'!A173 = "", "Validated", HYPERLINK("#" &amp; ADDRESS(173, 'Additional Chemicals-WUO_TRK'!A173),_xlfn.TEXTAFTER('Additional Chemicals-WUO_ERR'!A173, ":"))))</f>
        <v>0</v>
      </c>
    </row>
    <row r="174" spans="1:1">
      <c r="A174" s="39">
        <f>IF('Additional Chemicals'!B174 = "", "", IF('Additional Chemicals-WUO_ERR'!A174 = "", "Validated", HYPERLINK("#" &amp; ADDRESS(174, 'Additional Chemicals-WUO_TRK'!A174),_xlfn.TEXTAFTER('Additional Chemicals-WUO_ERR'!A174, ":"))))</f>
        <v>0</v>
      </c>
    </row>
    <row r="175" spans="1:1">
      <c r="A175" s="39">
        <f>IF('Additional Chemicals'!B175 = "", "", IF('Additional Chemicals-WUO_ERR'!A175 = "", "Validated", HYPERLINK("#" &amp; ADDRESS(175, 'Additional Chemicals-WUO_TRK'!A175),_xlfn.TEXTAFTER('Additional Chemicals-WUO_ERR'!A175, ":"))))</f>
        <v>0</v>
      </c>
    </row>
    <row r="176" spans="1:1">
      <c r="A176" s="39">
        <f>IF('Additional Chemicals'!B176 = "", "", IF('Additional Chemicals-WUO_ERR'!A176 = "", "Validated", HYPERLINK("#" &amp; ADDRESS(176, 'Additional Chemicals-WUO_TRK'!A176),_xlfn.TEXTAFTER('Additional Chemicals-WUO_ERR'!A176, ":"))))</f>
        <v>0</v>
      </c>
    </row>
    <row r="177" spans="1:1">
      <c r="A177" s="39">
        <f>IF('Additional Chemicals'!B177 = "", "", IF('Additional Chemicals-WUO_ERR'!A177 = "", "Validated", HYPERLINK("#" &amp; ADDRESS(177, 'Additional Chemicals-WUO_TRK'!A177),_xlfn.TEXTAFTER('Additional Chemicals-WUO_ERR'!A177, ":"))))</f>
        <v>0</v>
      </c>
    </row>
    <row r="178" spans="1:1">
      <c r="A178" s="39">
        <f>IF('Additional Chemicals'!B178 = "", "", IF('Additional Chemicals-WUO_ERR'!A178 = "", "Validated", HYPERLINK("#" &amp; ADDRESS(178, 'Additional Chemicals-WUO_TRK'!A178),_xlfn.TEXTAFTER('Additional Chemicals-WUO_ERR'!A178, ":"))))</f>
        <v>0</v>
      </c>
    </row>
    <row r="179" spans="1:1">
      <c r="A179" s="39">
        <f>IF('Additional Chemicals'!B179 = "", "", IF('Additional Chemicals-WUO_ERR'!A179 = "", "Validated", HYPERLINK("#" &amp; ADDRESS(179, 'Additional Chemicals-WUO_TRK'!A179),_xlfn.TEXTAFTER('Additional Chemicals-WUO_ERR'!A179, ":"))))</f>
        <v>0</v>
      </c>
    </row>
    <row r="180" spans="1:1">
      <c r="A180" s="39">
        <f>IF('Additional Chemicals'!B180 = "", "", IF('Additional Chemicals-WUO_ERR'!A180 = "", "Validated", HYPERLINK("#" &amp; ADDRESS(180, 'Additional Chemicals-WUO_TRK'!A180),_xlfn.TEXTAFTER('Additional Chemicals-WUO_ERR'!A180, ":"))))</f>
        <v>0</v>
      </c>
    </row>
    <row r="181" spans="1:1">
      <c r="A181" s="39">
        <f>IF('Additional Chemicals'!B181 = "", "", IF('Additional Chemicals-WUO_ERR'!A181 = "", "Validated", HYPERLINK("#" &amp; ADDRESS(181, 'Additional Chemicals-WUO_TRK'!A181),_xlfn.TEXTAFTER('Additional Chemicals-WUO_ERR'!A181, ":"))))</f>
        <v>0</v>
      </c>
    </row>
    <row r="182" spans="1:1">
      <c r="A182" s="39">
        <f>IF('Additional Chemicals'!B182 = "", "", IF('Additional Chemicals-WUO_ERR'!A182 = "", "Validated", HYPERLINK("#" &amp; ADDRESS(182, 'Additional Chemicals-WUO_TRK'!A182),_xlfn.TEXTAFTER('Additional Chemicals-WUO_ERR'!A182, ":"))))</f>
        <v>0</v>
      </c>
    </row>
    <row r="183" spans="1:1">
      <c r="A183" s="39">
        <f>IF('Additional Chemicals'!B183 = "", "", IF('Additional Chemicals-WUO_ERR'!A183 = "", "Validated", HYPERLINK("#" &amp; ADDRESS(183, 'Additional Chemicals-WUO_TRK'!A183),_xlfn.TEXTAFTER('Additional Chemicals-WUO_ERR'!A183, ":"))))</f>
        <v>0</v>
      </c>
    </row>
    <row r="184" spans="1:1">
      <c r="A184" s="39">
        <f>IF('Additional Chemicals'!B184 = "", "", IF('Additional Chemicals-WUO_ERR'!A184 = "", "Validated", HYPERLINK("#" &amp; ADDRESS(184, 'Additional Chemicals-WUO_TRK'!A184),_xlfn.TEXTAFTER('Additional Chemicals-WUO_ERR'!A184, ":"))))</f>
        <v>0</v>
      </c>
    </row>
    <row r="185" spans="1:1">
      <c r="A185" s="39">
        <f>IF('Additional Chemicals'!B185 = "", "", IF('Additional Chemicals-WUO_ERR'!A185 = "", "Validated", HYPERLINK("#" &amp; ADDRESS(185, 'Additional Chemicals-WUO_TRK'!A185),_xlfn.TEXTAFTER('Additional Chemicals-WUO_ERR'!A185, ":"))))</f>
        <v>0</v>
      </c>
    </row>
    <row r="186" spans="1:1">
      <c r="A186" s="39">
        <f>IF('Additional Chemicals'!B186 = "", "", IF('Additional Chemicals-WUO_ERR'!A186 = "", "Validated", HYPERLINK("#" &amp; ADDRESS(186, 'Additional Chemicals-WUO_TRK'!A186),_xlfn.TEXTAFTER('Additional Chemicals-WUO_ERR'!A186, ":"))))</f>
        <v>0</v>
      </c>
    </row>
    <row r="187" spans="1:1">
      <c r="A187" s="39">
        <f>IF('Additional Chemicals'!B187 = "", "", IF('Additional Chemicals-WUO_ERR'!A187 = "", "Validated", HYPERLINK("#" &amp; ADDRESS(187, 'Additional Chemicals-WUO_TRK'!A187),_xlfn.TEXTAFTER('Additional Chemicals-WUO_ERR'!A187, ":"))))</f>
        <v>0</v>
      </c>
    </row>
    <row r="188" spans="1:1">
      <c r="A188" s="39">
        <f>IF('Additional Chemicals'!B188 = "", "", IF('Additional Chemicals-WUO_ERR'!A188 = "", "Validated", HYPERLINK("#" &amp; ADDRESS(188, 'Additional Chemicals-WUO_TRK'!A188),_xlfn.TEXTAFTER('Additional Chemicals-WUO_ERR'!A188, ":"))))</f>
        <v>0</v>
      </c>
    </row>
    <row r="189" spans="1:1">
      <c r="A189" s="39">
        <f>IF('Additional Chemicals'!B189 = "", "", IF('Additional Chemicals-WUO_ERR'!A189 = "", "Validated", HYPERLINK("#" &amp; ADDRESS(189, 'Additional Chemicals-WUO_TRK'!A189),_xlfn.TEXTAFTER('Additional Chemicals-WUO_ERR'!A189, ":"))))</f>
        <v>0</v>
      </c>
    </row>
    <row r="190" spans="1:1">
      <c r="A190" s="39">
        <f>IF('Additional Chemicals'!B190 = "", "", IF('Additional Chemicals-WUO_ERR'!A190 = "", "Validated", HYPERLINK("#" &amp; ADDRESS(190, 'Additional Chemicals-WUO_TRK'!A190),_xlfn.TEXTAFTER('Additional Chemicals-WUO_ERR'!A190, ":"))))</f>
        <v>0</v>
      </c>
    </row>
    <row r="191" spans="1:1">
      <c r="A191" s="39">
        <f>IF('Additional Chemicals'!B191 = "", "", IF('Additional Chemicals-WUO_ERR'!A191 = "", "Validated", HYPERLINK("#" &amp; ADDRESS(191, 'Additional Chemicals-WUO_TRK'!A191),_xlfn.TEXTAFTER('Additional Chemicals-WUO_ERR'!A191, ":"))))</f>
        <v>0</v>
      </c>
    </row>
    <row r="192" spans="1:1">
      <c r="A192" s="39">
        <f>IF('Additional Chemicals'!B192 = "", "", IF('Additional Chemicals-WUO_ERR'!A192 = "", "Validated", HYPERLINK("#" &amp; ADDRESS(192, 'Additional Chemicals-WUO_TRK'!A192),_xlfn.TEXTAFTER('Additional Chemicals-WUO_ERR'!A192, ":"))))</f>
        <v>0</v>
      </c>
    </row>
    <row r="193" spans="1:1">
      <c r="A193" s="39">
        <f>IF('Additional Chemicals'!B193 = "", "", IF('Additional Chemicals-WUO_ERR'!A193 = "", "Validated", HYPERLINK("#" &amp; ADDRESS(193, 'Additional Chemicals-WUO_TRK'!A193),_xlfn.TEXTAFTER('Additional Chemicals-WUO_ERR'!A193, ":"))))</f>
        <v>0</v>
      </c>
    </row>
    <row r="194" spans="1:1">
      <c r="A194" s="39">
        <f>IF('Additional Chemicals'!B194 = "", "", IF('Additional Chemicals-WUO_ERR'!A194 = "", "Validated", HYPERLINK("#" &amp; ADDRESS(194, 'Additional Chemicals-WUO_TRK'!A194),_xlfn.TEXTAFTER('Additional Chemicals-WUO_ERR'!A194, ":"))))</f>
        <v>0</v>
      </c>
    </row>
    <row r="195" spans="1:1">
      <c r="A195" s="39">
        <f>IF('Additional Chemicals'!B195 = "", "", IF('Additional Chemicals-WUO_ERR'!A195 = "", "Validated", HYPERLINK("#" &amp; ADDRESS(195, 'Additional Chemicals-WUO_TRK'!A195),_xlfn.TEXTAFTER('Additional Chemicals-WUO_ERR'!A195, ":"))))</f>
        <v>0</v>
      </c>
    </row>
    <row r="196" spans="1:1">
      <c r="A196" s="39">
        <f>IF('Additional Chemicals'!B196 = "", "", IF('Additional Chemicals-WUO_ERR'!A196 = "", "Validated", HYPERLINK("#" &amp; ADDRESS(196, 'Additional Chemicals-WUO_TRK'!A196),_xlfn.TEXTAFTER('Additional Chemicals-WUO_ERR'!A196, ":"))))</f>
        <v>0</v>
      </c>
    </row>
    <row r="197" spans="1:1">
      <c r="A197" s="39">
        <f>IF('Additional Chemicals'!B197 = "", "", IF('Additional Chemicals-WUO_ERR'!A197 = "", "Validated", HYPERLINK("#" &amp; ADDRESS(197, 'Additional Chemicals-WUO_TRK'!A197),_xlfn.TEXTAFTER('Additional Chemicals-WUO_ERR'!A197, ":"))))</f>
        <v>0</v>
      </c>
    </row>
    <row r="198" spans="1:1">
      <c r="A198" s="39">
        <f>IF('Additional Chemicals'!B198 = "", "", IF('Additional Chemicals-WUO_ERR'!A198 = "", "Validated", HYPERLINK("#" &amp; ADDRESS(198, 'Additional Chemicals-WUO_TRK'!A198),_xlfn.TEXTAFTER('Additional Chemicals-WUO_ERR'!A198, ":"))))</f>
        <v>0</v>
      </c>
    </row>
    <row r="199" spans="1:1">
      <c r="A199" s="39">
        <f>IF('Additional Chemicals'!B199 = "", "", IF('Additional Chemicals-WUO_ERR'!A199 = "", "Validated", HYPERLINK("#" &amp; ADDRESS(199, 'Additional Chemicals-WUO_TRK'!A199),_xlfn.TEXTAFTER('Additional Chemicals-WUO_ERR'!A199, ":"))))</f>
        <v>0</v>
      </c>
    </row>
    <row r="200" spans="1:1">
      <c r="A200" s="39">
        <f>IF('Additional Chemicals'!B200 = "", "", IF('Additional Chemicals-WUO_ERR'!A200 = "", "Validated", HYPERLINK("#" &amp; ADDRESS(200, 'Additional Chemicals-WUO_TRK'!A200),_xlfn.TEXTAFTER('Additional Chemicals-WUO_ERR'!A200, ":"))))</f>
        <v>0</v>
      </c>
    </row>
    <row r="201" spans="1:1">
      <c r="A201" s="39">
        <f>IF('Additional Chemicals'!B201 = "", "", IF('Additional Chemicals-WUO_ERR'!A201 = "", "Validated", HYPERLINK("#" &amp; ADDRESS(201, 'Additional Chemicals-WUO_TRK'!A201),_xlfn.TEXTAFTER('Additional Chemicals-WUO_ERR'!A201, ":"))))</f>
        <v>0</v>
      </c>
    </row>
    <row r="202" spans="1:1">
      <c r="A202" s="39">
        <f>IF('Additional Chemicals'!B202 = "", "", IF('Additional Chemicals-WUO_ERR'!A202 = "", "Validated", HYPERLINK("#" &amp; ADDRESS(202, 'Additional Chemicals-WUO_TRK'!A202),_xlfn.TEXTAFTER('Additional Chemicals-WUO_ERR'!A202, ":"))))</f>
        <v>0</v>
      </c>
    </row>
    <row r="203" spans="1:1">
      <c r="A203" s="39">
        <f>IF('Additional Chemicals'!B203 = "", "", IF('Additional Chemicals-WUO_ERR'!A203 = "", "Validated", HYPERLINK("#" &amp; ADDRESS(203, 'Additional Chemicals-WUO_TRK'!A203),_xlfn.TEXTAFTER('Additional Chemicals-WUO_ERR'!A203, ":"))))</f>
        <v>0</v>
      </c>
    </row>
    <row r="204" spans="1:1">
      <c r="A204" s="39">
        <f>IF('Additional Chemicals'!B204 = "", "", IF('Additional Chemicals-WUO_ERR'!A204 = "", "Validated", HYPERLINK("#" &amp; ADDRESS(204, 'Additional Chemicals-WUO_TRK'!A204),_xlfn.TEXTAFTER('Additional Chemicals-WUO_ERR'!A204, ":"))))</f>
        <v>0</v>
      </c>
    </row>
    <row r="205" spans="1:1">
      <c r="A205" s="39">
        <f>IF('Additional Chemicals'!B205 = "", "", IF('Additional Chemicals-WUO_ERR'!A205 = "", "Validated", HYPERLINK("#" &amp; ADDRESS(205, 'Additional Chemicals-WUO_TRK'!A205),_xlfn.TEXTAFTER('Additional Chemicals-WUO_ERR'!A205, ":"))))</f>
        <v>0</v>
      </c>
    </row>
    <row r="206" spans="1:1">
      <c r="A206" s="39">
        <f>IF('Additional Chemicals'!B206 = "", "", IF('Additional Chemicals-WUO_ERR'!A206 = "", "Validated", HYPERLINK("#" &amp; ADDRESS(206, 'Additional Chemicals-WUO_TRK'!A206),_xlfn.TEXTAFTER('Additional Chemicals-WUO_ERR'!A206, ":"))))</f>
        <v>0</v>
      </c>
    </row>
    <row r="207" spans="1:1">
      <c r="A207" s="39">
        <f>IF('Additional Chemicals'!B207 = "", "", IF('Additional Chemicals-WUO_ERR'!A207 = "", "Validated", HYPERLINK("#" &amp; ADDRESS(207, 'Additional Chemicals-WUO_TRK'!A207),_xlfn.TEXTAFTER('Additional Chemicals-WUO_ERR'!A207, ":"))))</f>
        <v>0</v>
      </c>
    </row>
    <row r="208" spans="1:1">
      <c r="A208" s="39">
        <f>IF('Additional Chemicals'!B208 = "", "", IF('Additional Chemicals-WUO_ERR'!A208 = "", "Validated", HYPERLINK("#" &amp; ADDRESS(208, 'Additional Chemicals-WUO_TRK'!A208),_xlfn.TEXTAFTER('Additional Chemicals-WUO_ERR'!A208, ":"))))</f>
        <v>0</v>
      </c>
    </row>
    <row r="209" spans="1:1">
      <c r="A209" s="39">
        <f>IF('Additional Chemicals'!B209 = "", "", IF('Additional Chemicals-WUO_ERR'!A209 = "", "Validated", HYPERLINK("#" &amp; ADDRESS(209, 'Additional Chemicals-WUO_TRK'!A209),_xlfn.TEXTAFTER('Additional Chemicals-WUO_ERR'!A209, ":"))))</f>
        <v>0</v>
      </c>
    </row>
    <row r="210" spans="1:1">
      <c r="A210" s="39">
        <f>IF('Additional Chemicals'!B210 = "", "", IF('Additional Chemicals-WUO_ERR'!A210 = "", "Validated", HYPERLINK("#" &amp; ADDRESS(210, 'Additional Chemicals-WUO_TRK'!A210),_xlfn.TEXTAFTER('Additional Chemicals-WUO_ERR'!A210, ":"))))</f>
        <v>0</v>
      </c>
    </row>
    <row r="211" spans="1:1">
      <c r="A211" s="39">
        <f>IF('Additional Chemicals'!B211 = "", "", IF('Additional Chemicals-WUO_ERR'!A211 = "", "Validated", HYPERLINK("#" &amp; ADDRESS(211, 'Additional Chemicals-WUO_TRK'!A211),_xlfn.TEXTAFTER('Additional Chemicals-WUO_ERR'!A211, ":"))))</f>
        <v>0</v>
      </c>
    </row>
    <row r="212" spans="1:1">
      <c r="A212" s="39">
        <f>IF('Additional Chemicals'!B212 = "", "", IF('Additional Chemicals-WUO_ERR'!A212 = "", "Validated", HYPERLINK("#" &amp; ADDRESS(212, 'Additional Chemicals-WUO_TRK'!A212),_xlfn.TEXTAFTER('Additional Chemicals-WUO_ERR'!A212, ":"))))</f>
        <v>0</v>
      </c>
    </row>
    <row r="213" spans="1:1">
      <c r="A213" s="39">
        <f>IF('Additional Chemicals'!B213 = "", "", IF('Additional Chemicals-WUO_ERR'!A213 = "", "Validated", HYPERLINK("#" &amp; ADDRESS(213, 'Additional Chemicals-WUO_TRK'!A213),_xlfn.TEXTAFTER('Additional Chemicals-WUO_ERR'!A213, ":"))))</f>
        <v>0</v>
      </c>
    </row>
    <row r="214" spans="1:1">
      <c r="A214" s="39">
        <f>IF('Additional Chemicals'!B214 = "", "", IF('Additional Chemicals-WUO_ERR'!A214 = "", "Validated", HYPERLINK("#" &amp; ADDRESS(214, 'Additional Chemicals-WUO_TRK'!A214),_xlfn.TEXTAFTER('Additional Chemicals-WUO_ERR'!A214, ":"))))</f>
        <v>0</v>
      </c>
    </row>
    <row r="215" spans="1:1">
      <c r="A215" s="39">
        <f>IF('Additional Chemicals'!B215 = "", "", IF('Additional Chemicals-WUO_ERR'!A215 = "", "Validated", HYPERLINK("#" &amp; ADDRESS(215, 'Additional Chemicals-WUO_TRK'!A215),_xlfn.TEXTAFTER('Additional Chemicals-WUO_ERR'!A215, ":"))))</f>
        <v>0</v>
      </c>
    </row>
    <row r="216" spans="1:1">
      <c r="A216" s="39">
        <f>IF('Additional Chemicals'!B216 = "", "", IF('Additional Chemicals-WUO_ERR'!A216 = "", "Validated", HYPERLINK("#" &amp; ADDRESS(216, 'Additional Chemicals-WUO_TRK'!A216),_xlfn.TEXTAFTER('Additional Chemicals-WUO_ERR'!A216, ":"))))</f>
        <v>0</v>
      </c>
    </row>
    <row r="217" spans="1:1">
      <c r="A217" s="39">
        <f>IF('Additional Chemicals'!B217 = "", "", IF('Additional Chemicals-WUO_ERR'!A217 = "", "Validated", HYPERLINK("#" &amp; ADDRESS(217, 'Additional Chemicals-WUO_TRK'!A217),_xlfn.TEXTAFTER('Additional Chemicals-WUO_ERR'!A217, ":"))))</f>
        <v>0</v>
      </c>
    </row>
    <row r="218" spans="1:1">
      <c r="A218" s="39">
        <f>IF('Additional Chemicals'!B218 = "", "", IF('Additional Chemicals-WUO_ERR'!A218 = "", "Validated", HYPERLINK("#" &amp; ADDRESS(218, 'Additional Chemicals-WUO_TRK'!A218),_xlfn.TEXTAFTER('Additional Chemicals-WUO_ERR'!A218, ":"))))</f>
        <v>0</v>
      </c>
    </row>
    <row r="219" spans="1:1">
      <c r="A219" s="39">
        <f>IF('Additional Chemicals'!B219 = "", "", IF('Additional Chemicals-WUO_ERR'!A219 = "", "Validated", HYPERLINK("#" &amp; ADDRESS(219, 'Additional Chemicals-WUO_TRK'!A219),_xlfn.TEXTAFTER('Additional Chemicals-WUO_ERR'!A219, ":"))))</f>
        <v>0</v>
      </c>
    </row>
    <row r="220" spans="1:1">
      <c r="A220" s="39">
        <f>IF('Additional Chemicals'!B220 = "", "", IF('Additional Chemicals-WUO_ERR'!A220 = "", "Validated", HYPERLINK("#" &amp; ADDRESS(220, 'Additional Chemicals-WUO_TRK'!A220),_xlfn.TEXTAFTER('Additional Chemicals-WUO_ERR'!A220, ":"))))</f>
        <v>0</v>
      </c>
    </row>
    <row r="221" spans="1:1">
      <c r="A221" s="39">
        <f>IF('Additional Chemicals'!B221 = "", "", IF('Additional Chemicals-WUO_ERR'!A221 = "", "Validated", HYPERLINK("#" &amp; ADDRESS(221, 'Additional Chemicals-WUO_TRK'!A221),_xlfn.TEXTAFTER('Additional Chemicals-WUO_ERR'!A221, ":"))))</f>
        <v>0</v>
      </c>
    </row>
    <row r="222" spans="1:1">
      <c r="A222" s="39">
        <f>IF('Additional Chemicals'!B222 = "", "", IF('Additional Chemicals-WUO_ERR'!A222 = "", "Validated", HYPERLINK("#" &amp; ADDRESS(222, 'Additional Chemicals-WUO_TRK'!A222),_xlfn.TEXTAFTER('Additional Chemicals-WUO_ERR'!A222, ":"))))</f>
        <v>0</v>
      </c>
    </row>
    <row r="223" spans="1:1">
      <c r="A223" s="39">
        <f>IF('Additional Chemicals'!B223 = "", "", IF('Additional Chemicals-WUO_ERR'!A223 = "", "Validated", HYPERLINK("#" &amp; ADDRESS(223, 'Additional Chemicals-WUO_TRK'!A223),_xlfn.TEXTAFTER('Additional Chemicals-WUO_ERR'!A223, ":"))))</f>
        <v>0</v>
      </c>
    </row>
    <row r="224" spans="1:1">
      <c r="A224" s="39">
        <f>IF('Additional Chemicals'!B224 = "", "", IF('Additional Chemicals-WUO_ERR'!A224 = "", "Validated", HYPERLINK("#" &amp; ADDRESS(224, 'Additional Chemicals-WUO_TRK'!A224),_xlfn.TEXTAFTER('Additional Chemicals-WUO_ERR'!A224, ":"))))</f>
        <v>0</v>
      </c>
    </row>
    <row r="225" spans="1:1">
      <c r="A225" s="39">
        <f>IF('Additional Chemicals'!B225 = "", "", IF('Additional Chemicals-WUO_ERR'!A225 = "", "Validated", HYPERLINK("#" &amp; ADDRESS(225, 'Additional Chemicals-WUO_TRK'!A225),_xlfn.TEXTAFTER('Additional Chemicals-WUO_ERR'!A225, ":"))))</f>
        <v>0</v>
      </c>
    </row>
    <row r="226" spans="1:1">
      <c r="A226" s="39">
        <f>IF('Additional Chemicals'!B226 = "", "", IF('Additional Chemicals-WUO_ERR'!A226 = "", "Validated", HYPERLINK("#" &amp; ADDRESS(226, 'Additional Chemicals-WUO_TRK'!A226),_xlfn.TEXTAFTER('Additional Chemicals-WUO_ERR'!A226, ":"))))</f>
        <v>0</v>
      </c>
    </row>
    <row r="227" spans="1:1">
      <c r="A227" s="39">
        <f>IF('Additional Chemicals'!B227 = "", "", IF('Additional Chemicals-WUO_ERR'!A227 = "", "Validated", HYPERLINK("#" &amp; ADDRESS(227, 'Additional Chemicals-WUO_TRK'!A227),_xlfn.TEXTAFTER('Additional Chemicals-WUO_ERR'!A227, ":"))))</f>
        <v>0</v>
      </c>
    </row>
    <row r="228" spans="1:1">
      <c r="A228" s="39">
        <f>IF('Additional Chemicals'!B228 = "", "", IF('Additional Chemicals-WUO_ERR'!A228 = "", "Validated", HYPERLINK("#" &amp; ADDRESS(228, 'Additional Chemicals-WUO_TRK'!A228),_xlfn.TEXTAFTER('Additional Chemicals-WUO_ERR'!A228, ":"))))</f>
        <v>0</v>
      </c>
    </row>
    <row r="229" spans="1:1">
      <c r="A229" s="39">
        <f>IF('Additional Chemicals'!B229 = "", "", IF('Additional Chemicals-WUO_ERR'!A229 = "", "Validated", HYPERLINK("#" &amp; ADDRESS(229, 'Additional Chemicals-WUO_TRK'!A229),_xlfn.TEXTAFTER('Additional Chemicals-WUO_ERR'!A229, ":"))))</f>
        <v>0</v>
      </c>
    </row>
    <row r="230" spans="1:1">
      <c r="A230" s="39">
        <f>IF('Additional Chemicals'!B230 = "", "", IF('Additional Chemicals-WUO_ERR'!A230 = "", "Validated", HYPERLINK("#" &amp; ADDRESS(230, 'Additional Chemicals-WUO_TRK'!A230),_xlfn.TEXTAFTER('Additional Chemicals-WUO_ERR'!A230, ":"))))</f>
        <v>0</v>
      </c>
    </row>
    <row r="231" spans="1:1">
      <c r="A231" s="39">
        <f>IF('Additional Chemicals'!B231 = "", "", IF('Additional Chemicals-WUO_ERR'!A231 = "", "Validated", HYPERLINK("#" &amp; ADDRESS(231, 'Additional Chemicals-WUO_TRK'!A231),_xlfn.TEXTAFTER('Additional Chemicals-WUO_ERR'!A231, ":"))))</f>
        <v>0</v>
      </c>
    </row>
    <row r="232" spans="1:1">
      <c r="A232" s="39">
        <f>IF('Additional Chemicals'!B232 = "", "", IF('Additional Chemicals-WUO_ERR'!A232 = "", "Validated", HYPERLINK("#" &amp; ADDRESS(232, 'Additional Chemicals-WUO_TRK'!A232),_xlfn.TEXTAFTER('Additional Chemicals-WUO_ERR'!A232, ":"))))</f>
        <v>0</v>
      </c>
    </row>
    <row r="233" spans="1:1">
      <c r="A233" s="39">
        <f>IF('Additional Chemicals'!B233 = "", "", IF('Additional Chemicals-WUO_ERR'!A233 = "", "Validated", HYPERLINK("#" &amp; ADDRESS(233, 'Additional Chemicals-WUO_TRK'!A233),_xlfn.TEXTAFTER('Additional Chemicals-WUO_ERR'!A233, ":"))))</f>
        <v>0</v>
      </c>
    </row>
    <row r="234" spans="1:1">
      <c r="A234" s="39">
        <f>IF('Additional Chemicals'!B234 = "", "", IF('Additional Chemicals-WUO_ERR'!A234 = "", "Validated", HYPERLINK("#" &amp; ADDRESS(234, 'Additional Chemicals-WUO_TRK'!A234),_xlfn.TEXTAFTER('Additional Chemicals-WUO_ERR'!A234, ":"))))</f>
        <v>0</v>
      </c>
    </row>
    <row r="235" spans="1:1">
      <c r="A235" s="39">
        <f>IF('Additional Chemicals'!B235 = "", "", IF('Additional Chemicals-WUO_ERR'!A235 = "", "Validated", HYPERLINK("#" &amp; ADDRESS(235, 'Additional Chemicals-WUO_TRK'!A235),_xlfn.TEXTAFTER('Additional Chemicals-WUO_ERR'!A235, ":"))))</f>
        <v>0</v>
      </c>
    </row>
    <row r="236" spans="1:1">
      <c r="A236" s="39">
        <f>IF('Additional Chemicals'!B236 = "", "", IF('Additional Chemicals-WUO_ERR'!A236 = "", "Validated", HYPERLINK("#" &amp; ADDRESS(236, 'Additional Chemicals-WUO_TRK'!A236),_xlfn.TEXTAFTER('Additional Chemicals-WUO_ERR'!A236, ":"))))</f>
        <v>0</v>
      </c>
    </row>
    <row r="237" spans="1:1">
      <c r="A237" s="39">
        <f>IF('Additional Chemicals'!B237 = "", "", IF('Additional Chemicals-WUO_ERR'!A237 = "", "Validated", HYPERLINK("#" &amp; ADDRESS(237, 'Additional Chemicals-WUO_TRK'!A237),_xlfn.TEXTAFTER('Additional Chemicals-WUO_ERR'!A237, ":"))))</f>
        <v>0</v>
      </c>
    </row>
    <row r="238" spans="1:1">
      <c r="A238" s="39">
        <f>IF('Additional Chemicals'!B238 = "", "", IF('Additional Chemicals-WUO_ERR'!A238 = "", "Validated", HYPERLINK("#" &amp; ADDRESS(238, 'Additional Chemicals-WUO_TRK'!A238),_xlfn.TEXTAFTER('Additional Chemicals-WUO_ERR'!A238, ":"))))</f>
        <v>0</v>
      </c>
    </row>
    <row r="239" spans="1:1">
      <c r="A239" s="39">
        <f>IF('Additional Chemicals'!B239 = "", "", IF('Additional Chemicals-WUO_ERR'!A239 = "", "Validated", HYPERLINK("#" &amp; ADDRESS(239, 'Additional Chemicals-WUO_TRK'!A239),_xlfn.TEXTAFTER('Additional Chemicals-WUO_ERR'!A239, ":"))))</f>
        <v>0</v>
      </c>
    </row>
    <row r="240" spans="1:1">
      <c r="A240" s="39">
        <f>IF('Additional Chemicals'!B240 = "", "", IF('Additional Chemicals-WUO_ERR'!A240 = "", "Validated", HYPERLINK("#" &amp; ADDRESS(240, 'Additional Chemicals-WUO_TRK'!A240),_xlfn.TEXTAFTER('Additional Chemicals-WUO_ERR'!A240, ":"))))</f>
        <v>0</v>
      </c>
    </row>
    <row r="241" spans="1:1">
      <c r="A241" s="39">
        <f>IF('Additional Chemicals'!B241 = "", "", IF('Additional Chemicals-WUO_ERR'!A241 = "", "Validated", HYPERLINK("#" &amp; ADDRESS(241, 'Additional Chemicals-WUO_TRK'!A241),_xlfn.TEXTAFTER('Additional Chemicals-WUO_ERR'!A241, ":"))))</f>
        <v>0</v>
      </c>
    </row>
    <row r="242" spans="1:1">
      <c r="A242" s="39">
        <f>IF('Additional Chemicals'!B242 = "", "", IF('Additional Chemicals-WUO_ERR'!A242 = "", "Validated", HYPERLINK("#" &amp; ADDRESS(242, 'Additional Chemicals-WUO_TRK'!A242),_xlfn.TEXTAFTER('Additional Chemicals-WUO_ERR'!A242, ":"))))</f>
        <v>0</v>
      </c>
    </row>
    <row r="243" spans="1:1">
      <c r="A243" s="39">
        <f>IF('Additional Chemicals'!B243 = "", "", IF('Additional Chemicals-WUO_ERR'!A243 = "", "Validated", HYPERLINK("#" &amp; ADDRESS(243, 'Additional Chemicals-WUO_TRK'!A243),_xlfn.TEXTAFTER('Additional Chemicals-WUO_ERR'!A243, ":"))))</f>
        <v>0</v>
      </c>
    </row>
    <row r="244" spans="1:1">
      <c r="A244" s="39">
        <f>IF('Additional Chemicals'!B244 = "", "", IF('Additional Chemicals-WUO_ERR'!A244 = "", "Validated", HYPERLINK("#" &amp; ADDRESS(244, 'Additional Chemicals-WUO_TRK'!A244),_xlfn.TEXTAFTER('Additional Chemicals-WUO_ERR'!A244, ":"))))</f>
        <v>0</v>
      </c>
    </row>
    <row r="245" spans="1:1">
      <c r="A245" s="39">
        <f>IF('Additional Chemicals'!B245 = "", "", IF('Additional Chemicals-WUO_ERR'!A245 = "", "Validated", HYPERLINK("#" &amp; ADDRESS(245, 'Additional Chemicals-WUO_TRK'!A245),_xlfn.TEXTAFTER('Additional Chemicals-WUO_ERR'!A245, ":"))))</f>
        <v>0</v>
      </c>
    </row>
    <row r="246" spans="1:1">
      <c r="A246" s="39">
        <f>IF('Additional Chemicals'!B246 = "", "", IF('Additional Chemicals-WUO_ERR'!A246 = "", "Validated", HYPERLINK("#" &amp; ADDRESS(246, 'Additional Chemicals-WUO_TRK'!A246),_xlfn.TEXTAFTER('Additional Chemicals-WUO_ERR'!A246, ":"))))</f>
        <v>0</v>
      </c>
    </row>
    <row r="247" spans="1:1">
      <c r="A247" s="39">
        <f>IF('Additional Chemicals'!B247 = "", "", IF('Additional Chemicals-WUO_ERR'!A247 = "", "Validated", HYPERLINK("#" &amp; ADDRESS(247, 'Additional Chemicals-WUO_TRK'!A247),_xlfn.TEXTAFTER('Additional Chemicals-WUO_ERR'!A247, ":"))))</f>
        <v>0</v>
      </c>
    </row>
    <row r="248" spans="1:1">
      <c r="A248" s="39">
        <f>IF('Additional Chemicals'!B248 = "", "", IF('Additional Chemicals-WUO_ERR'!A248 = "", "Validated", HYPERLINK("#" &amp; ADDRESS(248, 'Additional Chemicals-WUO_TRK'!A248),_xlfn.TEXTAFTER('Additional Chemicals-WUO_ERR'!A248, ":"))))</f>
        <v>0</v>
      </c>
    </row>
    <row r="249" spans="1:1">
      <c r="A249" s="39">
        <f>IF('Additional Chemicals'!B249 = "", "", IF('Additional Chemicals-WUO_ERR'!A249 = "", "Validated", HYPERLINK("#" &amp; ADDRESS(249, 'Additional Chemicals-WUO_TRK'!A249),_xlfn.TEXTAFTER('Additional Chemicals-WUO_ERR'!A249, ":"))))</f>
        <v>0</v>
      </c>
    </row>
    <row r="250" spans="1:1">
      <c r="A250" s="39">
        <f>IF('Additional Chemicals'!B250 = "", "", IF('Additional Chemicals-WUO_ERR'!A250 = "", "Validated", HYPERLINK("#" &amp; ADDRESS(250, 'Additional Chemicals-WUO_TRK'!A250),_xlfn.TEXTAFTER('Additional Chemicals-WUO_ERR'!A250, ":"))))</f>
        <v>0</v>
      </c>
    </row>
    <row r="251" spans="1:1">
      <c r="A251" s="39">
        <f>IF('Additional Chemicals'!B251 = "", "", IF('Additional Chemicals-WUO_ERR'!A251 = "", "Validated", HYPERLINK("#" &amp; ADDRESS(251, 'Additional Chemicals-WUO_TRK'!A251),_xlfn.TEXTAFTER('Additional Chemicals-WUO_ERR'!A251, ":"))))</f>
        <v>0</v>
      </c>
    </row>
    <row r="252" spans="1:1">
      <c r="A252" s="39">
        <f>IF('Additional Chemicals'!B252 = "", "", IF('Additional Chemicals-WUO_ERR'!A252 = "", "Validated", HYPERLINK("#" &amp; ADDRESS(252, 'Additional Chemicals-WUO_TRK'!A252),_xlfn.TEXTAFTER('Additional Chemicals-WUO_ERR'!A252, ":"))))</f>
        <v>0</v>
      </c>
    </row>
    <row r="253" spans="1:1">
      <c r="A253" s="39">
        <f>IF('Additional Chemicals'!B253 = "", "", IF('Additional Chemicals-WUO_ERR'!A253 = "", "Validated", HYPERLINK("#" &amp; ADDRESS(253, 'Additional Chemicals-WUO_TRK'!A253),_xlfn.TEXTAFTER('Additional Chemicals-WUO_ERR'!A253, ":"))))</f>
        <v>0</v>
      </c>
    </row>
    <row r="254" spans="1:1">
      <c r="A254" s="39">
        <f>IF('Additional Chemicals'!B254 = "", "", IF('Additional Chemicals-WUO_ERR'!A254 = "", "Validated", HYPERLINK("#" &amp; ADDRESS(254, 'Additional Chemicals-WUO_TRK'!A254),_xlfn.TEXTAFTER('Additional Chemicals-WUO_ERR'!A254, ":"))))</f>
        <v>0</v>
      </c>
    </row>
    <row r="255" spans="1:1">
      <c r="A255" s="39">
        <f>IF('Additional Chemicals'!B255 = "", "", IF('Additional Chemicals-WUO_ERR'!A255 = "", "Validated", HYPERLINK("#" &amp; ADDRESS(255, 'Additional Chemicals-WUO_TRK'!A255),_xlfn.TEXTAFTER('Additional Chemicals-WUO_ERR'!A255, ":"))))</f>
        <v>0</v>
      </c>
    </row>
    <row r="256" spans="1:1">
      <c r="A256" s="39">
        <f>IF('Additional Chemicals'!B256 = "", "", IF('Additional Chemicals-WUO_ERR'!A256 = "", "Validated", HYPERLINK("#" &amp; ADDRESS(256, 'Additional Chemicals-WUO_TRK'!A256),_xlfn.TEXTAFTER('Additional Chemicals-WUO_ERR'!A256, ":"))))</f>
        <v>0</v>
      </c>
    </row>
    <row r="257" spans="1:1">
      <c r="A257" s="39">
        <f>IF('Additional Chemicals'!B257 = "", "", IF('Additional Chemicals-WUO_ERR'!A257 = "", "Validated", HYPERLINK("#" &amp; ADDRESS(257, 'Additional Chemicals-WUO_TRK'!A257),_xlfn.TEXTAFTER('Additional Chemicals-WUO_ERR'!A257, ":"))))</f>
        <v>0</v>
      </c>
    </row>
    <row r="258" spans="1:1">
      <c r="A258" s="39">
        <f>IF('Additional Chemicals'!B258 = "", "", IF('Additional Chemicals-WUO_ERR'!A258 = "", "Validated", HYPERLINK("#" &amp; ADDRESS(258, 'Additional Chemicals-WUO_TRK'!A258),_xlfn.TEXTAFTER('Additional Chemicals-WUO_ERR'!A258, ":"))))</f>
        <v>0</v>
      </c>
    </row>
    <row r="259" spans="1:1">
      <c r="A259" s="39">
        <f>IF('Additional Chemicals'!B259 = "", "", IF('Additional Chemicals-WUO_ERR'!A259 = "", "Validated", HYPERLINK("#" &amp; ADDRESS(259, 'Additional Chemicals-WUO_TRK'!A259),_xlfn.TEXTAFTER('Additional Chemicals-WUO_ERR'!A259, ":"))))</f>
        <v>0</v>
      </c>
    </row>
    <row r="260" spans="1:1">
      <c r="A260" s="39">
        <f>IF('Additional Chemicals'!B260 = "", "", IF('Additional Chemicals-WUO_ERR'!A260 = "", "Validated", HYPERLINK("#" &amp; ADDRESS(260, 'Additional Chemicals-WUO_TRK'!A260),_xlfn.TEXTAFTER('Additional Chemicals-WUO_ERR'!A260, ":"))))</f>
        <v>0</v>
      </c>
    </row>
    <row r="261" spans="1:1">
      <c r="A261" s="39">
        <f>IF('Additional Chemicals'!B261 = "", "", IF('Additional Chemicals-WUO_ERR'!A261 = "", "Validated", HYPERLINK("#" &amp; ADDRESS(261, 'Additional Chemicals-WUO_TRK'!A261),_xlfn.TEXTAFTER('Additional Chemicals-WUO_ERR'!A261, ":"))))</f>
        <v>0</v>
      </c>
    </row>
    <row r="262" spans="1:1">
      <c r="A262" s="39">
        <f>IF('Additional Chemicals'!B262 = "", "", IF('Additional Chemicals-WUO_ERR'!A262 = "", "Validated", HYPERLINK("#" &amp; ADDRESS(262, 'Additional Chemicals-WUO_TRK'!A262),_xlfn.TEXTAFTER('Additional Chemicals-WUO_ERR'!A262, ":"))))</f>
        <v>0</v>
      </c>
    </row>
    <row r="263" spans="1:1">
      <c r="A263" s="39">
        <f>IF('Additional Chemicals'!B263 = "", "", IF('Additional Chemicals-WUO_ERR'!A263 = "", "Validated", HYPERLINK("#" &amp; ADDRESS(263, 'Additional Chemicals-WUO_TRK'!A263),_xlfn.TEXTAFTER('Additional Chemicals-WUO_ERR'!A263, ":"))))</f>
        <v>0</v>
      </c>
    </row>
    <row r="264" spans="1:1">
      <c r="A264" s="39">
        <f>IF('Additional Chemicals'!B264 = "", "", IF('Additional Chemicals-WUO_ERR'!A264 = "", "Validated", HYPERLINK("#" &amp; ADDRESS(264, 'Additional Chemicals-WUO_TRK'!A264),_xlfn.TEXTAFTER('Additional Chemicals-WUO_ERR'!A264, ":"))))</f>
        <v>0</v>
      </c>
    </row>
    <row r="265" spans="1:1">
      <c r="A265" s="39">
        <f>IF('Additional Chemicals'!B265 = "", "", IF('Additional Chemicals-WUO_ERR'!A265 = "", "Validated", HYPERLINK("#" &amp; ADDRESS(265, 'Additional Chemicals-WUO_TRK'!A265),_xlfn.TEXTAFTER('Additional Chemicals-WUO_ERR'!A265, ":"))))</f>
        <v>0</v>
      </c>
    </row>
    <row r="266" spans="1:1">
      <c r="A266" s="39">
        <f>IF('Additional Chemicals'!B266 = "", "", IF('Additional Chemicals-WUO_ERR'!A266 = "", "Validated", HYPERLINK("#" &amp; ADDRESS(266, 'Additional Chemicals-WUO_TRK'!A266),_xlfn.TEXTAFTER('Additional Chemicals-WUO_ERR'!A266, ":"))))</f>
        <v>0</v>
      </c>
    </row>
    <row r="267" spans="1:1">
      <c r="A267" s="39">
        <f>IF('Additional Chemicals'!B267 = "", "", IF('Additional Chemicals-WUO_ERR'!A267 = "", "Validated", HYPERLINK("#" &amp; ADDRESS(267, 'Additional Chemicals-WUO_TRK'!A267),_xlfn.TEXTAFTER('Additional Chemicals-WUO_ERR'!A267, ":"))))</f>
        <v>0</v>
      </c>
    </row>
    <row r="268" spans="1:1">
      <c r="A268" s="39">
        <f>IF('Additional Chemicals'!B268 = "", "", IF('Additional Chemicals-WUO_ERR'!A268 = "", "Validated", HYPERLINK("#" &amp; ADDRESS(268, 'Additional Chemicals-WUO_TRK'!A268),_xlfn.TEXTAFTER('Additional Chemicals-WUO_ERR'!A268, ":"))))</f>
        <v>0</v>
      </c>
    </row>
    <row r="269" spans="1:1">
      <c r="A269" s="39">
        <f>IF('Additional Chemicals'!B269 = "", "", IF('Additional Chemicals-WUO_ERR'!A269 = "", "Validated", HYPERLINK("#" &amp; ADDRESS(269, 'Additional Chemicals-WUO_TRK'!A269),_xlfn.TEXTAFTER('Additional Chemicals-WUO_ERR'!A269, ":"))))</f>
        <v>0</v>
      </c>
    </row>
    <row r="270" spans="1:1">
      <c r="A270" s="39">
        <f>IF('Additional Chemicals'!B270 = "", "", IF('Additional Chemicals-WUO_ERR'!A270 = "", "Validated", HYPERLINK("#" &amp; ADDRESS(270, 'Additional Chemicals-WUO_TRK'!A270),_xlfn.TEXTAFTER('Additional Chemicals-WUO_ERR'!A270, ":"))))</f>
        <v>0</v>
      </c>
    </row>
    <row r="271" spans="1:1">
      <c r="A271" s="39">
        <f>IF('Additional Chemicals'!B271 = "", "", IF('Additional Chemicals-WUO_ERR'!A271 = "", "Validated", HYPERLINK("#" &amp; ADDRESS(271, 'Additional Chemicals-WUO_TRK'!A271),_xlfn.TEXTAFTER('Additional Chemicals-WUO_ERR'!A271, ":"))))</f>
        <v>0</v>
      </c>
    </row>
    <row r="272" spans="1:1">
      <c r="A272" s="39">
        <f>IF('Additional Chemicals'!B272 = "", "", IF('Additional Chemicals-WUO_ERR'!A272 = "", "Validated", HYPERLINK("#" &amp; ADDRESS(272, 'Additional Chemicals-WUO_TRK'!A272),_xlfn.TEXTAFTER('Additional Chemicals-WUO_ERR'!A272, ":"))))</f>
        <v>0</v>
      </c>
    </row>
    <row r="273" spans="1:1">
      <c r="A273" s="39">
        <f>IF('Additional Chemicals'!B273 = "", "", IF('Additional Chemicals-WUO_ERR'!A273 = "", "Validated", HYPERLINK("#" &amp; ADDRESS(273, 'Additional Chemicals-WUO_TRK'!A273),_xlfn.TEXTAFTER('Additional Chemicals-WUO_ERR'!A273, ":"))))</f>
        <v>0</v>
      </c>
    </row>
    <row r="274" spans="1:1">
      <c r="A274" s="39">
        <f>IF('Additional Chemicals'!B274 = "", "", IF('Additional Chemicals-WUO_ERR'!A274 = "", "Validated", HYPERLINK("#" &amp; ADDRESS(274, 'Additional Chemicals-WUO_TRK'!A274),_xlfn.TEXTAFTER('Additional Chemicals-WUO_ERR'!A274, ":"))))</f>
        <v>0</v>
      </c>
    </row>
    <row r="275" spans="1:1">
      <c r="A275" s="39">
        <f>IF('Additional Chemicals'!B275 = "", "", IF('Additional Chemicals-WUO_ERR'!A275 = "", "Validated", HYPERLINK("#" &amp; ADDRESS(275, 'Additional Chemicals-WUO_TRK'!A275),_xlfn.TEXTAFTER('Additional Chemicals-WUO_ERR'!A275, ":"))))</f>
        <v>0</v>
      </c>
    </row>
    <row r="276" spans="1:1">
      <c r="A276" s="39">
        <f>IF('Additional Chemicals'!B276 = "", "", IF('Additional Chemicals-WUO_ERR'!A276 = "", "Validated", HYPERLINK("#" &amp; ADDRESS(276, 'Additional Chemicals-WUO_TRK'!A276),_xlfn.TEXTAFTER('Additional Chemicals-WUO_ERR'!A276, ":"))))</f>
        <v>0</v>
      </c>
    </row>
    <row r="277" spans="1:1">
      <c r="A277" s="39">
        <f>IF('Additional Chemicals'!B277 = "", "", IF('Additional Chemicals-WUO_ERR'!A277 = "", "Validated", HYPERLINK("#" &amp; ADDRESS(277, 'Additional Chemicals-WUO_TRK'!A277),_xlfn.TEXTAFTER('Additional Chemicals-WUO_ERR'!A277, ":"))))</f>
        <v>0</v>
      </c>
    </row>
    <row r="278" spans="1:1">
      <c r="A278" s="39">
        <f>IF('Additional Chemicals'!B278 = "", "", IF('Additional Chemicals-WUO_ERR'!A278 = "", "Validated", HYPERLINK("#" &amp; ADDRESS(278, 'Additional Chemicals-WUO_TRK'!A278),_xlfn.TEXTAFTER('Additional Chemicals-WUO_ERR'!A278, ":"))))</f>
        <v>0</v>
      </c>
    </row>
    <row r="279" spans="1:1">
      <c r="A279" s="39">
        <f>IF('Additional Chemicals'!B279 = "", "", IF('Additional Chemicals-WUO_ERR'!A279 = "", "Validated", HYPERLINK("#" &amp; ADDRESS(279, 'Additional Chemicals-WUO_TRK'!A279),_xlfn.TEXTAFTER('Additional Chemicals-WUO_ERR'!A279, ":"))))</f>
        <v>0</v>
      </c>
    </row>
    <row r="280" spans="1:1">
      <c r="A280" s="39">
        <f>IF('Additional Chemicals'!B280 = "", "", IF('Additional Chemicals-WUO_ERR'!A280 = "", "Validated", HYPERLINK("#" &amp; ADDRESS(280, 'Additional Chemicals-WUO_TRK'!A280),_xlfn.TEXTAFTER('Additional Chemicals-WUO_ERR'!A280, ":"))))</f>
        <v>0</v>
      </c>
    </row>
    <row r="281" spans="1:1">
      <c r="A281" s="39">
        <f>IF('Additional Chemicals'!B281 = "", "", IF('Additional Chemicals-WUO_ERR'!A281 = "", "Validated", HYPERLINK("#" &amp; ADDRESS(281, 'Additional Chemicals-WUO_TRK'!A281),_xlfn.TEXTAFTER('Additional Chemicals-WUO_ERR'!A281, ":"))))</f>
        <v>0</v>
      </c>
    </row>
    <row r="282" spans="1:1">
      <c r="A282" s="39">
        <f>IF('Additional Chemicals'!B282 = "", "", IF('Additional Chemicals-WUO_ERR'!A282 = "", "Validated", HYPERLINK("#" &amp; ADDRESS(282, 'Additional Chemicals-WUO_TRK'!A282),_xlfn.TEXTAFTER('Additional Chemicals-WUO_ERR'!A282, ":"))))</f>
        <v>0</v>
      </c>
    </row>
    <row r="283" spans="1:1">
      <c r="A283" s="39">
        <f>IF('Additional Chemicals'!B283 = "", "", IF('Additional Chemicals-WUO_ERR'!A283 = "", "Validated", HYPERLINK("#" &amp; ADDRESS(283, 'Additional Chemicals-WUO_TRK'!A283),_xlfn.TEXTAFTER('Additional Chemicals-WUO_ERR'!A283, ":"))))</f>
        <v>0</v>
      </c>
    </row>
    <row r="284" spans="1:1">
      <c r="A284" s="39">
        <f>IF('Additional Chemicals'!B284 = "", "", IF('Additional Chemicals-WUO_ERR'!A284 = "", "Validated", HYPERLINK("#" &amp; ADDRESS(284, 'Additional Chemicals-WUO_TRK'!A284),_xlfn.TEXTAFTER('Additional Chemicals-WUO_ERR'!A284, ":"))))</f>
        <v>0</v>
      </c>
    </row>
    <row r="285" spans="1:1">
      <c r="A285" s="39">
        <f>IF('Additional Chemicals'!B285 = "", "", IF('Additional Chemicals-WUO_ERR'!A285 = "", "Validated", HYPERLINK("#" &amp; ADDRESS(285, 'Additional Chemicals-WUO_TRK'!A285),_xlfn.TEXTAFTER('Additional Chemicals-WUO_ERR'!A285, ":"))))</f>
        <v>0</v>
      </c>
    </row>
    <row r="286" spans="1:1">
      <c r="A286" s="39">
        <f>IF('Additional Chemicals'!B286 = "", "", IF('Additional Chemicals-WUO_ERR'!A286 = "", "Validated", HYPERLINK("#" &amp; ADDRESS(286, 'Additional Chemicals-WUO_TRK'!A286),_xlfn.TEXTAFTER('Additional Chemicals-WUO_ERR'!A286, ":"))))</f>
        <v>0</v>
      </c>
    </row>
    <row r="287" spans="1:1">
      <c r="A287" s="39">
        <f>IF('Additional Chemicals'!B287 = "", "", IF('Additional Chemicals-WUO_ERR'!A287 = "", "Validated", HYPERLINK("#" &amp; ADDRESS(287, 'Additional Chemicals-WUO_TRK'!A287),_xlfn.TEXTAFTER('Additional Chemicals-WUO_ERR'!A287, ":"))))</f>
        <v>0</v>
      </c>
    </row>
    <row r="288" spans="1:1">
      <c r="A288" s="39">
        <f>IF('Additional Chemicals'!B288 = "", "", IF('Additional Chemicals-WUO_ERR'!A288 = "", "Validated", HYPERLINK("#" &amp; ADDRESS(288, 'Additional Chemicals-WUO_TRK'!A288),_xlfn.TEXTAFTER('Additional Chemicals-WUO_ERR'!A288, ":"))))</f>
        <v>0</v>
      </c>
    </row>
    <row r="289" spans="1:1">
      <c r="A289" s="39">
        <f>IF('Additional Chemicals'!B289 = "", "", IF('Additional Chemicals-WUO_ERR'!A289 = "", "Validated", HYPERLINK("#" &amp; ADDRESS(289, 'Additional Chemicals-WUO_TRK'!A289),_xlfn.TEXTAFTER('Additional Chemicals-WUO_ERR'!A289, ":"))))</f>
        <v>0</v>
      </c>
    </row>
    <row r="290" spans="1:1">
      <c r="A290" s="39">
        <f>IF('Additional Chemicals'!B290 = "", "", IF('Additional Chemicals-WUO_ERR'!A290 = "", "Validated", HYPERLINK("#" &amp; ADDRESS(290, 'Additional Chemicals-WUO_TRK'!A290),_xlfn.TEXTAFTER('Additional Chemicals-WUO_ERR'!A290, ":"))))</f>
        <v>0</v>
      </c>
    </row>
    <row r="291" spans="1:1">
      <c r="A291" s="39">
        <f>IF('Additional Chemicals'!B291 = "", "", IF('Additional Chemicals-WUO_ERR'!A291 = "", "Validated", HYPERLINK("#" &amp; ADDRESS(291, 'Additional Chemicals-WUO_TRK'!A291),_xlfn.TEXTAFTER('Additional Chemicals-WUO_ERR'!A291, ":"))))</f>
        <v>0</v>
      </c>
    </row>
    <row r="292" spans="1:1">
      <c r="A292" s="39">
        <f>IF('Additional Chemicals'!B292 = "", "", IF('Additional Chemicals-WUO_ERR'!A292 = "", "Validated", HYPERLINK("#" &amp; ADDRESS(292, 'Additional Chemicals-WUO_TRK'!A292),_xlfn.TEXTAFTER('Additional Chemicals-WUO_ERR'!A292, ":"))))</f>
        <v>0</v>
      </c>
    </row>
    <row r="293" spans="1:1">
      <c r="A293" s="39">
        <f>IF('Additional Chemicals'!B293 = "", "", IF('Additional Chemicals-WUO_ERR'!A293 = "", "Validated", HYPERLINK("#" &amp; ADDRESS(293, 'Additional Chemicals-WUO_TRK'!A293),_xlfn.TEXTAFTER('Additional Chemicals-WUO_ERR'!A293, ":"))))</f>
        <v>0</v>
      </c>
    </row>
    <row r="294" spans="1:1">
      <c r="A294" s="39">
        <f>IF('Additional Chemicals'!B294 = "", "", IF('Additional Chemicals-WUO_ERR'!A294 = "", "Validated", HYPERLINK("#" &amp; ADDRESS(294, 'Additional Chemicals-WUO_TRK'!A294),_xlfn.TEXTAFTER('Additional Chemicals-WUO_ERR'!A294, ":"))))</f>
        <v>0</v>
      </c>
    </row>
    <row r="295" spans="1:1">
      <c r="A295" s="39">
        <f>IF('Additional Chemicals'!B295 = "", "", IF('Additional Chemicals-WUO_ERR'!A295 = "", "Validated", HYPERLINK("#" &amp; ADDRESS(295, 'Additional Chemicals-WUO_TRK'!A295),_xlfn.TEXTAFTER('Additional Chemicals-WUO_ERR'!A295, ":"))))</f>
        <v>0</v>
      </c>
    </row>
    <row r="296" spans="1:1">
      <c r="A296" s="39">
        <f>IF('Additional Chemicals'!B296 = "", "", IF('Additional Chemicals-WUO_ERR'!A296 = "", "Validated", HYPERLINK("#" &amp; ADDRESS(296, 'Additional Chemicals-WUO_TRK'!A296),_xlfn.TEXTAFTER('Additional Chemicals-WUO_ERR'!A296, ":"))))</f>
        <v>0</v>
      </c>
    </row>
    <row r="297" spans="1:1">
      <c r="A297" s="39">
        <f>IF('Additional Chemicals'!B297 = "", "", IF('Additional Chemicals-WUO_ERR'!A297 = "", "Validated", HYPERLINK("#" &amp; ADDRESS(297, 'Additional Chemicals-WUO_TRK'!A297),_xlfn.TEXTAFTER('Additional Chemicals-WUO_ERR'!A297, ":"))))</f>
        <v>0</v>
      </c>
    </row>
    <row r="298" spans="1:1">
      <c r="A298" s="39">
        <f>IF('Additional Chemicals'!B298 = "", "", IF('Additional Chemicals-WUO_ERR'!A298 = "", "Validated", HYPERLINK("#" &amp; ADDRESS(298, 'Additional Chemicals-WUO_TRK'!A298),_xlfn.TEXTAFTER('Additional Chemicals-WUO_ERR'!A298, ":"))))</f>
        <v>0</v>
      </c>
    </row>
    <row r="299" spans="1:1">
      <c r="A299" s="39">
        <f>IF('Additional Chemicals'!B299 = "", "", IF('Additional Chemicals-WUO_ERR'!A299 = "", "Validated", HYPERLINK("#" &amp; ADDRESS(299, 'Additional Chemicals-WUO_TRK'!A299),_xlfn.TEXTAFTER('Additional Chemicals-WUO_ERR'!A299, ":"))))</f>
        <v>0</v>
      </c>
    </row>
    <row r="300" spans="1:1">
      <c r="A300" s="39">
        <f>IF('Additional Chemicals'!B300 = "", "", IF('Additional Chemicals-WUO_ERR'!A300 = "", "Validated", HYPERLINK("#" &amp; ADDRESS(300, 'Additional Chemicals-WUO_TRK'!A300),_xlfn.TEXTAFTER('Additional Chemicals-WUO_ERR'!A300, ":"))))</f>
        <v>0</v>
      </c>
    </row>
    <row r="301" spans="1:1">
      <c r="A301" s="39">
        <f>IF('Additional Chemicals'!B301 = "", "", IF('Additional Chemicals-WUO_ERR'!A301 = "", "Validated", HYPERLINK("#" &amp; ADDRESS(301, 'Additional Chemicals-WUO_TRK'!A301),_xlfn.TEXTAFTER('Additional Chemicals-WUO_ERR'!A301, ":"))))</f>
        <v>0</v>
      </c>
    </row>
    <row r="302" spans="1:1">
      <c r="A302" s="39">
        <f>IF('Additional Chemicals'!B302 = "", "", IF('Additional Chemicals-WUO_ERR'!A302 = "", "Validated", HYPERLINK("#" &amp; ADDRESS(302, 'Additional Chemicals-WUO_TRK'!A302),_xlfn.TEXTAFTER('Additional Chemicals-WUO_ERR'!A302, ":"))))</f>
        <v>0</v>
      </c>
    </row>
    <row r="303" spans="1:1">
      <c r="A303" s="39">
        <f>IF('Additional Chemicals'!B303 = "", "", IF('Additional Chemicals-WUO_ERR'!A303 = "", "Validated", HYPERLINK("#" &amp; ADDRESS(303, 'Additional Chemicals-WUO_TRK'!A303),_xlfn.TEXTAFTER('Additional Chemicals-WUO_ERR'!A303, ":"))))</f>
        <v>0</v>
      </c>
    </row>
    <row r="304" spans="1:1">
      <c r="A304" s="39">
        <f>IF('Additional Chemicals'!B304 = "", "", IF('Additional Chemicals-WUO_ERR'!A304 = "", "Validated", HYPERLINK("#" &amp; ADDRESS(304, 'Additional Chemicals-WUO_TRK'!A304),_xlfn.TEXTAFTER('Additional Chemicals-WUO_ERR'!A304, ":"))))</f>
        <v>0</v>
      </c>
    </row>
    <row r="305" spans="1:1">
      <c r="A305" s="39">
        <f>IF('Additional Chemicals'!B305 = "", "", IF('Additional Chemicals-WUO_ERR'!A305 = "", "Validated", HYPERLINK("#" &amp; ADDRESS(305, 'Additional Chemicals-WUO_TRK'!A305),_xlfn.TEXTAFTER('Additional Chemicals-WUO_ERR'!A305, ":"))))</f>
        <v>0</v>
      </c>
    </row>
    <row r="306" spans="1:1">
      <c r="A306" s="39">
        <f>IF('Additional Chemicals'!B306 = "", "", IF('Additional Chemicals-WUO_ERR'!A306 = "", "Validated", HYPERLINK("#" &amp; ADDRESS(306, 'Additional Chemicals-WUO_TRK'!A306),_xlfn.TEXTAFTER('Additional Chemicals-WUO_ERR'!A306, ":"))))</f>
        <v>0</v>
      </c>
    </row>
    <row r="307" spans="1:1">
      <c r="A307" s="39">
        <f>IF('Additional Chemicals'!B307 = "", "", IF('Additional Chemicals-WUO_ERR'!A307 = "", "Validated", HYPERLINK("#" &amp; ADDRESS(307, 'Additional Chemicals-WUO_TRK'!A307),_xlfn.TEXTAFTER('Additional Chemicals-WUO_ERR'!A307, ":"))))</f>
        <v>0</v>
      </c>
    </row>
    <row r="308" spans="1:1">
      <c r="A308" s="39">
        <f>IF('Additional Chemicals'!B308 = "", "", IF('Additional Chemicals-WUO_ERR'!A308 = "", "Validated", HYPERLINK("#" &amp; ADDRESS(308, 'Additional Chemicals-WUO_TRK'!A308),_xlfn.TEXTAFTER('Additional Chemicals-WUO_ERR'!A308, ":"))))</f>
        <v>0</v>
      </c>
    </row>
    <row r="309" spans="1:1">
      <c r="A309" s="39">
        <f>IF('Additional Chemicals'!B309 = "", "", IF('Additional Chemicals-WUO_ERR'!A309 = "", "Validated", HYPERLINK("#" &amp; ADDRESS(309, 'Additional Chemicals-WUO_TRK'!A309),_xlfn.TEXTAFTER('Additional Chemicals-WUO_ERR'!A309, ":"))))</f>
        <v>0</v>
      </c>
    </row>
    <row r="310" spans="1:1">
      <c r="A310" s="39">
        <f>IF('Additional Chemicals'!B310 = "", "", IF('Additional Chemicals-WUO_ERR'!A310 = "", "Validated", HYPERLINK("#" &amp; ADDRESS(310, 'Additional Chemicals-WUO_TRK'!A310),_xlfn.TEXTAFTER('Additional Chemicals-WUO_ERR'!A310, ":"))))</f>
        <v>0</v>
      </c>
    </row>
    <row r="311" spans="1:1">
      <c r="A311" s="39">
        <f>IF('Additional Chemicals'!B311 = "", "", IF('Additional Chemicals-WUO_ERR'!A311 = "", "Validated", HYPERLINK("#" &amp; ADDRESS(311, 'Additional Chemicals-WUO_TRK'!A311),_xlfn.TEXTAFTER('Additional Chemicals-WUO_ERR'!A311, ":"))))</f>
        <v>0</v>
      </c>
    </row>
    <row r="312" spans="1:1">
      <c r="A312" s="39">
        <f>IF('Additional Chemicals'!B312 = "", "", IF('Additional Chemicals-WUO_ERR'!A312 = "", "Validated", HYPERLINK("#" &amp; ADDRESS(312, 'Additional Chemicals-WUO_TRK'!A312),_xlfn.TEXTAFTER('Additional Chemicals-WUO_ERR'!A312, ":"))))</f>
        <v>0</v>
      </c>
    </row>
    <row r="313" spans="1:1">
      <c r="A313" s="39">
        <f>IF('Additional Chemicals'!B313 = "", "", IF('Additional Chemicals-WUO_ERR'!A313 = "", "Validated", HYPERLINK("#" &amp; ADDRESS(313, 'Additional Chemicals-WUO_TRK'!A313),_xlfn.TEXTAFTER('Additional Chemicals-WUO_ERR'!A313, ":"))))</f>
        <v>0</v>
      </c>
    </row>
    <row r="314" spans="1:1">
      <c r="A314" s="39">
        <f>IF('Additional Chemicals'!B314 = "", "", IF('Additional Chemicals-WUO_ERR'!A314 = "", "Validated", HYPERLINK("#" &amp; ADDRESS(314, 'Additional Chemicals-WUO_TRK'!A314),_xlfn.TEXTAFTER('Additional Chemicals-WUO_ERR'!A314, ":"))))</f>
        <v>0</v>
      </c>
    </row>
    <row r="315" spans="1:1">
      <c r="A315" s="39">
        <f>IF('Additional Chemicals'!B315 = "", "", IF('Additional Chemicals-WUO_ERR'!A315 = "", "Validated", HYPERLINK("#" &amp; ADDRESS(315, 'Additional Chemicals-WUO_TRK'!A315),_xlfn.TEXTAFTER('Additional Chemicals-WUO_ERR'!A315, ":"))))</f>
        <v>0</v>
      </c>
    </row>
    <row r="316" spans="1:1">
      <c r="A316" s="39">
        <f>IF('Additional Chemicals'!B316 = "", "", IF('Additional Chemicals-WUO_ERR'!A316 = "", "Validated", HYPERLINK("#" &amp; ADDRESS(316, 'Additional Chemicals-WUO_TRK'!A316),_xlfn.TEXTAFTER('Additional Chemicals-WUO_ERR'!A316, ":"))))</f>
        <v>0</v>
      </c>
    </row>
    <row r="317" spans="1:1">
      <c r="A317" s="39">
        <f>IF('Additional Chemicals'!B317 = "", "", IF('Additional Chemicals-WUO_ERR'!A317 = "", "Validated", HYPERLINK("#" &amp; ADDRESS(317, 'Additional Chemicals-WUO_TRK'!A317),_xlfn.TEXTAFTER('Additional Chemicals-WUO_ERR'!A317, ":"))))</f>
        <v>0</v>
      </c>
    </row>
    <row r="318" spans="1:1">
      <c r="A318" s="39">
        <f>IF('Additional Chemicals'!B318 = "", "", IF('Additional Chemicals-WUO_ERR'!A318 = "", "Validated", HYPERLINK("#" &amp; ADDRESS(318, 'Additional Chemicals-WUO_TRK'!A318),_xlfn.TEXTAFTER('Additional Chemicals-WUO_ERR'!A318, ":"))))</f>
        <v>0</v>
      </c>
    </row>
    <row r="319" spans="1:1">
      <c r="A319" s="39">
        <f>IF('Additional Chemicals'!B319 = "", "", IF('Additional Chemicals-WUO_ERR'!A319 = "", "Validated", HYPERLINK("#" &amp; ADDRESS(319, 'Additional Chemicals-WUO_TRK'!A319),_xlfn.TEXTAFTER('Additional Chemicals-WUO_ERR'!A319, ":"))))</f>
        <v>0</v>
      </c>
    </row>
    <row r="320" spans="1:1">
      <c r="A320" s="39">
        <f>IF('Additional Chemicals'!B320 = "", "", IF('Additional Chemicals-WUO_ERR'!A320 = "", "Validated", HYPERLINK("#" &amp; ADDRESS(320, 'Additional Chemicals-WUO_TRK'!A320),_xlfn.TEXTAFTER('Additional Chemicals-WUO_ERR'!A320, ":"))))</f>
        <v>0</v>
      </c>
    </row>
    <row r="321" spans="1:1">
      <c r="A321" s="39">
        <f>IF('Additional Chemicals'!B321 = "", "", IF('Additional Chemicals-WUO_ERR'!A321 = "", "Validated", HYPERLINK("#" &amp; ADDRESS(321, 'Additional Chemicals-WUO_TRK'!A321),_xlfn.TEXTAFTER('Additional Chemicals-WUO_ERR'!A321, ":"))))</f>
        <v>0</v>
      </c>
    </row>
    <row r="322" spans="1:1">
      <c r="A322" s="39">
        <f>IF('Additional Chemicals'!B322 = "", "", IF('Additional Chemicals-WUO_ERR'!A322 = "", "Validated", HYPERLINK("#" &amp; ADDRESS(322, 'Additional Chemicals-WUO_TRK'!A322),_xlfn.TEXTAFTER('Additional Chemicals-WUO_ERR'!A322, ":"))))</f>
        <v>0</v>
      </c>
    </row>
    <row r="323" spans="1:1">
      <c r="A323" s="39">
        <f>IF('Additional Chemicals'!B323 = "", "", IF('Additional Chemicals-WUO_ERR'!A323 = "", "Validated", HYPERLINK("#" &amp; ADDRESS(323, 'Additional Chemicals-WUO_TRK'!A323),_xlfn.TEXTAFTER('Additional Chemicals-WUO_ERR'!A323, ":"))))</f>
        <v>0</v>
      </c>
    </row>
    <row r="324" spans="1:1">
      <c r="A324" s="39">
        <f>IF('Additional Chemicals'!B324 = "", "", IF('Additional Chemicals-WUO_ERR'!A324 = "", "Validated", HYPERLINK("#" &amp; ADDRESS(324, 'Additional Chemicals-WUO_TRK'!A324),_xlfn.TEXTAFTER('Additional Chemicals-WUO_ERR'!A324, ":"))))</f>
        <v>0</v>
      </c>
    </row>
    <row r="325" spans="1:1">
      <c r="A325" s="39">
        <f>IF('Additional Chemicals'!B325 = "", "", IF('Additional Chemicals-WUO_ERR'!A325 = "", "Validated", HYPERLINK("#" &amp; ADDRESS(325, 'Additional Chemicals-WUO_TRK'!A325),_xlfn.TEXTAFTER('Additional Chemicals-WUO_ERR'!A325, ":"))))</f>
        <v>0</v>
      </c>
    </row>
    <row r="326" spans="1:1">
      <c r="A326" s="39">
        <f>IF('Additional Chemicals'!B326 = "", "", IF('Additional Chemicals-WUO_ERR'!A326 = "", "Validated", HYPERLINK("#" &amp; ADDRESS(326, 'Additional Chemicals-WUO_TRK'!A326),_xlfn.TEXTAFTER('Additional Chemicals-WUO_ERR'!A326, ":"))))</f>
        <v>0</v>
      </c>
    </row>
    <row r="327" spans="1:1">
      <c r="A327" s="39">
        <f>IF('Additional Chemicals'!B327 = "", "", IF('Additional Chemicals-WUO_ERR'!A327 = "", "Validated", HYPERLINK("#" &amp; ADDRESS(327, 'Additional Chemicals-WUO_TRK'!A327),_xlfn.TEXTAFTER('Additional Chemicals-WUO_ERR'!A327, ":"))))</f>
        <v>0</v>
      </c>
    </row>
    <row r="328" spans="1:1">
      <c r="A328" s="39">
        <f>IF('Additional Chemicals'!B328 = "", "", IF('Additional Chemicals-WUO_ERR'!A328 = "", "Validated", HYPERLINK("#" &amp; ADDRESS(328, 'Additional Chemicals-WUO_TRK'!A328),_xlfn.TEXTAFTER('Additional Chemicals-WUO_ERR'!A328, ":"))))</f>
        <v>0</v>
      </c>
    </row>
    <row r="329" spans="1:1">
      <c r="A329" s="39">
        <f>IF('Additional Chemicals'!B329 = "", "", IF('Additional Chemicals-WUO_ERR'!A329 = "", "Validated", HYPERLINK("#" &amp; ADDRESS(329, 'Additional Chemicals-WUO_TRK'!A329),_xlfn.TEXTAFTER('Additional Chemicals-WUO_ERR'!A329, ":"))))</f>
        <v>0</v>
      </c>
    </row>
    <row r="330" spans="1:1">
      <c r="A330" s="39">
        <f>IF('Additional Chemicals'!B330 = "", "", IF('Additional Chemicals-WUO_ERR'!A330 = "", "Validated", HYPERLINK("#" &amp; ADDRESS(330, 'Additional Chemicals-WUO_TRK'!A330),_xlfn.TEXTAFTER('Additional Chemicals-WUO_ERR'!A330, ":"))))</f>
        <v>0</v>
      </c>
    </row>
    <row r="331" spans="1:1">
      <c r="A331" s="39">
        <f>IF('Additional Chemicals'!B331 = "", "", IF('Additional Chemicals-WUO_ERR'!A331 = "", "Validated", HYPERLINK("#" &amp; ADDRESS(331, 'Additional Chemicals-WUO_TRK'!A331),_xlfn.TEXTAFTER('Additional Chemicals-WUO_ERR'!A331, ":"))))</f>
        <v>0</v>
      </c>
    </row>
    <row r="332" spans="1:1">
      <c r="A332" s="39">
        <f>IF('Additional Chemicals'!B332 = "", "", IF('Additional Chemicals-WUO_ERR'!A332 = "", "Validated", HYPERLINK("#" &amp; ADDRESS(332, 'Additional Chemicals-WUO_TRK'!A332),_xlfn.TEXTAFTER('Additional Chemicals-WUO_ERR'!A332, ":"))))</f>
        <v>0</v>
      </c>
    </row>
    <row r="333" spans="1:1">
      <c r="A333" s="39">
        <f>IF('Additional Chemicals'!B333 = "", "", IF('Additional Chemicals-WUO_ERR'!A333 = "", "Validated", HYPERLINK("#" &amp; ADDRESS(333, 'Additional Chemicals-WUO_TRK'!A333),_xlfn.TEXTAFTER('Additional Chemicals-WUO_ERR'!A333, ":"))))</f>
        <v>0</v>
      </c>
    </row>
    <row r="334" spans="1:1">
      <c r="A334" s="39">
        <f>IF('Additional Chemicals'!B334 = "", "", IF('Additional Chemicals-WUO_ERR'!A334 = "", "Validated", HYPERLINK("#" &amp; ADDRESS(334, 'Additional Chemicals-WUO_TRK'!A334),_xlfn.TEXTAFTER('Additional Chemicals-WUO_ERR'!A334, ":"))))</f>
        <v>0</v>
      </c>
    </row>
    <row r="335" spans="1:1">
      <c r="A335" s="39">
        <f>IF('Additional Chemicals'!B335 = "", "", IF('Additional Chemicals-WUO_ERR'!A335 = "", "Validated", HYPERLINK("#" &amp; ADDRESS(335, 'Additional Chemicals-WUO_TRK'!A335),_xlfn.TEXTAFTER('Additional Chemicals-WUO_ERR'!A335, ":"))))</f>
        <v>0</v>
      </c>
    </row>
    <row r="336" spans="1:1">
      <c r="A336" s="39">
        <f>IF('Additional Chemicals'!B336 = "", "", IF('Additional Chemicals-WUO_ERR'!A336 = "", "Validated", HYPERLINK("#" &amp; ADDRESS(336, 'Additional Chemicals-WUO_TRK'!A336),_xlfn.TEXTAFTER('Additional Chemicals-WUO_ERR'!A336, ":"))))</f>
        <v>0</v>
      </c>
    </row>
    <row r="337" spans="1:1">
      <c r="A337" s="39">
        <f>IF('Additional Chemicals'!B337 = "", "", IF('Additional Chemicals-WUO_ERR'!A337 = "", "Validated", HYPERLINK("#" &amp; ADDRESS(337, 'Additional Chemicals-WUO_TRK'!A337),_xlfn.TEXTAFTER('Additional Chemicals-WUO_ERR'!A337, ":"))))</f>
        <v>0</v>
      </c>
    </row>
    <row r="338" spans="1:1">
      <c r="A338" s="39">
        <f>IF('Additional Chemicals'!B338 = "", "", IF('Additional Chemicals-WUO_ERR'!A338 = "", "Validated", HYPERLINK("#" &amp; ADDRESS(338, 'Additional Chemicals-WUO_TRK'!A338),_xlfn.TEXTAFTER('Additional Chemicals-WUO_ERR'!A338, ":"))))</f>
        <v>0</v>
      </c>
    </row>
    <row r="339" spans="1:1">
      <c r="A339" s="39">
        <f>IF('Additional Chemicals'!B339 = "", "", IF('Additional Chemicals-WUO_ERR'!A339 = "", "Validated", HYPERLINK("#" &amp; ADDRESS(339, 'Additional Chemicals-WUO_TRK'!A339),_xlfn.TEXTAFTER('Additional Chemicals-WUO_ERR'!A339, ":"))))</f>
        <v>0</v>
      </c>
    </row>
    <row r="340" spans="1:1">
      <c r="A340" s="39">
        <f>IF('Additional Chemicals'!B340 = "", "", IF('Additional Chemicals-WUO_ERR'!A340 = "", "Validated", HYPERLINK("#" &amp; ADDRESS(340, 'Additional Chemicals-WUO_TRK'!A340),_xlfn.TEXTAFTER('Additional Chemicals-WUO_ERR'!A340, ":"))))</f>
        <v>0</v>
      </c>
    </row>
    <row r="341" spans="1:1">
      <c r="A341" s="39">
        <f>IF('Additional Chemicals'!B341 = "", "", IF('Additional Chemicals-WUO_ERR'!A341 = "", "Validated", HYPERLINK("#" &amp; ADDRESS(341, 'Additional Chemicals-WUO_TRK'!A341),_xlfn.TEXTAFTER('Additional Chemicals-WUO_ERR'!A341, ":"))))</f>
        <v>0</v>
      </c>
    </row>
    <row r="342" spans="1:1">
      <c r="A342" s="39">
        <f>IF('Additional Chemicals'!B342 = "", "", IF('Additional Chemicals-WUO_ERR'!A342 = "", "Validated", HYPERLINK("#" &amp; ADDRESS(342, 'Additional Chemicals-WUO_TRK'!A342),_xlfn.TEXTAFTER('Additional Chemicals-WUO_ERR'!A342, ":"))))</f>
        <v>0</v>
      </c>
    </row>
    <row r="343" spans="1:1">
      <c r="A343" s="39">
        <f>IF('Additional Chemicals'!B343 = "", "", IF('Additional Chemicals-WUO_ERR'!A343 = "", "Validated", HYPERLINK("#" &amp; ADDRESS(343, 'Additional Chemicals-WUO_TRK'!A343),_xlfn.TEXTAFTER('Additional Chemicals-WUO_ERR'!A343, ":"))))</f>
        <v>0</v>
      </c>
    </row>
    <row r="344" spans="1:1">
      <c r="A344" s="39">
        <f>IF('Additional Chemicals'!B344 = "", "", IF('Additional Chemicals-WUO_ERR'!A344 = "", "Validated", HYPERLINK("#" &amp; ADDRESS(344, 'Additional Chemicals-WUO_TRK'!A344),_xlfn.TEXTAFTER('Additional Chemicals-WUO_ERR'!A344, ":"))))</f>
        <v>0</v>
      </c>
    </row>
    <row r="345" spans="1:1">
      <c r="A345" s="39">
        <f>IF('Additional Chemicals'!B345 = "", "", IF('Additional Chemicals-WUO_ERR'!A345 = "", "Validated", HYPERLINK("#" &amp; ADDRESS(345, 'Additional Chemicals-WUO_TRK'!A345),_xlfn.TEXTAFTER('Additional Chemicals-WUO_ERR'!A345, ":"))))</f>
        <v>0</v>
      </c>
    </row>
    <row r="346" spans="1:1">
      <c r="A346" s="39">
        <f>IF('Additional Chemicals'!B346 = "", "", IF('Additional Chemicals-WUO_ERR'!A346 = "", "Validated", HYPERLINK("#" &amp; ADDRESS(346, 'Additional Chemicals-WUO_TRK'!A346),_xlfn.TEXTAFTER('Additional Chemicals-WUO_ERR'!A346, ":"))))</f>
        <v>0</v>
      </c>
    </row>
    <row r="347" spans="1:1">
      <c r="A347" s="39">
        <f>IF('Additional Chemicals'!B347 = "", "", IF('Additional Chemicals-WUO_ERR'!A347 = "", "Validated", HYPERLINK("#" &amp; ADDRESS(347, 'Additional Chemicals-WUO_TRK'!A347),_xlfn.TEXTAFTER('Additional Chemicals-WUO_ERR'!A347, ":"))))</f>
        <v>0</v>
      </c>
    </row>
    <row r="348" spans="1:1">
      <c r="A348" s="39">
        <f>IF('Additional Chemicals'!B348 = "", "", IF('Additional Chemicals-WUO_ERR'!A348 = "", "Validated", HYPERLINK("#" &amp; ADDRESS(348, 'Additional Chemicals-WUO_TRK'!A348),_xlfn.TEXTAFTER('Additional Chemicals-WUO_ERR'!A348, ":"))))</f>
        <v>0</v>
      </c>
    </row>
    <row r="349" spans="1:1">
      <c r="A349" s="39">
        <f>IF('Additional Chemicals'!B349 = "", "", IF('Additional Chemicals-WUO_ERR'!A349 = "", "Validated", HYPERLINK("#" &amp; ADDRESS(349, 'Additional Chemicals-WUO_TRK'!A349),_xlfn.TEXTAFTER('Additional Chemicals-WUO_ERR'!A349, ":"))))</f>
        <v>0</v>
      </c>
    </row>
    <row r="350" spans="1:1">
      <c r="A350" s="39">
        <f>IF('Additional Chemicals'!B350 = "", "", IF('Additional Chemicals-WUO_ERR'!A350 = "", "Validated", HYPERLINK("#" &amp; ADDRESS(350, 'Additional Chemicals-WUO_TRK'!A350),_xlfn.TEXTAFTER('Additional Chemicals-WUO_ERR'!A350, ":"))))</f>
        <v>0</v>
      </c>
    </row>
    <row r="351" spans="1:1">
      <c r="A351" s="39">
        <f>IF('Additional Chemicals'!B351 = "", "", IF('Additional Chemicals-WUO_ERR'!A351 = "", "Validated", HYPERLINK("#" &amp; ADDRESS(351, 'Additional Chemicals-WUO_TRK'!A351),_xlfn.TEXTAFTER('Additional Chemicals-WUO_ERR'!A351, ":"))))</f>
        <v>0</v>
      </c>
    </row>
    <row r="352" spans="1:1">
      <c r="A352" s="39">
        <f>IF('Additional Chemicals'!B352 = "", "", IF('Additional Chemicals-WUO_ERR'!A352 = "", "Validated", HYPERLINK("#" &amp; ADDRESS(352, 'Additional Chemicals-WUO_TRK'!A352),_xlfn.TEXTAFTER('Additional Chemicals-WUO_ERR'!A352, ":"))))</f>
        <v>0</v>
      </c>
    </row>
    <row r="353" spans="1:1">
      <c r="A353" s="39">
        <f>IF('Additional Chemicals'!B353 = "", "", IF('Additional Chemicals-WUO_ERR'!A353 = "", "Validated", HYPERLINK("#" &amp; ADDRESS(353, 'Additional Chemicals-WUO_TRK'!A353),_xlfn.TEXTAFTER('Additional Chemicals-WUO_ERR'!A353, ":"))))</f>
        <v>0</v>
      </c>
    </row>
    <row r="354" spans="1:1">
      <c r="A354" s="39">
        <f>IF('Additional Chemicals'!B354 = "", "", IF('Additional Chemicals-WUO_ERR'!A354 = "", "Validated", HYPERLINK("#" &amp; ADDRESS(354, 'Additional Chemicals-WUO_TRK'!A354),_xlfn.TEXTAFTER('Additional Chemicals-WUO_ERR'!A354, ":"))))</f>
        <v>0</v>
      </c>
    </row>
    <row r="355" spans="1:1">
      <c r="A355" s="39">
        <f>IF('Additional Chemicals'!B355 = "", "", IF('Additional Chemicals-WUO_ERR'!A355 = "", "Validated", HYPERLINK("#" &amp; ADDRESS(355, 'Additional Chemicals-WUO_TRK'!A355),_xlfn.TEXTAFTER('Additional Chemicals-WUO_ERR'!A355, ":"))))</f>
        <v>0</v>
      </c>
    </row>
    <row r="356" spans="1:1">
      <c r="A356" s="39">
        <f>IF('Additional Chemicals'!B356 = "", "", IF('Additional Chemicals-WUO_ERR'!A356 = "", "Validated", HYPERLINK("#" &amp; ADDRESS(356, 'Additional Chemicals-WUO_TRK'!A356),_xlfn.TEXTAFTER('Additional Chemicals-WUO_ERR'!A356, ":"))))</f>
        <v>0</v>
      </c>
    </row>
    <row r="357" spans="1:1">
      <c r="A357" s="39">
        <f>IF('Additional Chemicals'!B357 = "", "", IF('Additional Chemicals-WUO_ERR'!A357 = "", "Validated", HYPERLINK("#" &amp; ADDRESS(357, 'Additional Chemicals-WUO_TRK'!A357),_xlfn.TEXTAFTER('Additional Chemicals-WUO_ERR'!A357, ":"))))</f>
        <v>0</v>
      </c>
    </row>
    <row r="358" spans="1:1">
      <c r="A358" s="39">
        <f>IF('Additional Chemicals'!B358 = "", "", IF('Additional Chemicals-WUO_ERR'!A358 = "", "Validated", HYPERLINK("#" &amp; ADDRESS(358, 'Additional Chemicals-WUO_TRK'!A358),_xlfn.TEXTAFTER('Additional Chemicals-WUO_ERR'!A358, ":"))))</f>
        <v>0</v>
      </c>
    </row>
    <row r="359" spans="1:1">
      <c r="A359" s="39">
        <f>IF('Additional Chemicals'!B359 = "", "", IF('Additional Chemicals-WUO_ERR'!A359 = "", "Validated", HYPERLINK("#" &amp; ADDRESS(359, 'Additional Chemicals-WUO_TRK'!A359),_xlfn.TEXTAFTER('Additional Chemicals-WUO_ERR'!A359, ":"))))</f>
        <v>0</v>
      </c>
    </row>
    <row r="360" spans="1:1">
      <c r="A360" s="39">
        <f>IF('Additional Chemicals'!B360 = "", "", IF('Additional Chemicals-WUO_ERR'!A360 = "", "Validated", HYPERLINK("#" &amp; ADDRESS(360, 'Additional Chemicals-WUO_TRK'!A360),_xlfn.TEXTAFTER('Additional Chemicals-WUO_ERR'!A360, ":"))))</f>
        <v>0</v>
      </c>
    </row>
    <row r="361" spans="1:1">
      <c r="A361" s="39">
        <f>IF('Additional Chemicals'!B361 = "", "", IF('Additional Chemicals-WUO_ERR'!A361 = "", "Validated", HYPERLINK("#" &amp; ADDRESS(361, 'Additional Chemicals-WUO_TRK'!A361),_xlfn.TEXTAFTER('Additional Chemicals-WUO_ERR'!A361, ":"))))</f>
        <v>0</v>
      </c>
    </row>
    <row r="362" spans="1:1">
      <c r="A362" s="39">
        <f>IF('Additional Chemicals'!B362 = "", "", IF('Additional Chemicals-WUO_ERR'!A362 = "", "Validated", HYPERLINK("#" &amp; ADDRESS(362, 'Additional Chemicals-WUO_TRK'!A362),_xlfn.TEXTAFTER('Additional Chemicals-WUO_ERR'!A362, ":"))))</f>
        <v>0</v>
      </c>
    </row>
    <row r="363" spans="1:1">
      <c r="A363" s="39">
        <f>IF('Additional Chemicals'!B363 = "", "", IF('Additional Chemicals-WUO_ERR'!A363 = "", "Validated", HYPERLINK("#" &amp; ADDRESS(363, 'Additional Chemicals-WUO_TRK'!A363),_xlfn.TEXTAFTER('Additional Chemicals-WUO_ERR'!A363, ":"))))</f>
        <v>0</v>
      </c>
    </row>
    <row r="364" spans="1:1">
      <c r="A364" s="39">
        <f>IF('Additional Chemicals'!B364 = "", "", IF('Additional Chemicals-WUO_ERR'!A364 = "", "Validated", HYPERLINK("#" &amp; ADDRESS(364, 'Additional Chemicals-WUO_TRK'!A364),_xlfn.TEXTAFTER('Additional Chemicals-WUO_ERR'!A364, ":"))))</f>
        <v>0</v>
      </c>
    </row>
    <row r="365" spans="1:1">
      <c r="A365" s="39">
        <f>IF('Additional Chemicals'!B365 = "", "", IF('Additional Chemicals-WUO_ERR'!A365 = "", "Validated", HYPERLINK("#" &amp; ADDRESS(365, 'Additional Chemicals-WUO_TRK'!A365),_xlfn.TEXTAFTER('Additional Chemicals-WUO_ERR'!A365, ":"))))</f>
        <v>0</v>
      </c>
    </row>
    <row r="366" spans="1:1">
      <c r="A366" s="39">
        <f>IF('Additional Chemicals'!B366 = "", "", IF('Additional Chemicals-WUO_ERR'!A366 = "", "Validated", HYPERLINK("#" &amp; ADDRESS(366, 'Additional Chemicals-WUO_TRK'!A366),_xlfn.TEXTAFTER('Additional Chemicals-WUO_ERR'!A366, ":"))))</f>
        <v>0</v>
      </c>
    </row>
    <row r="367" spans="1:1">
      <c r="A367" s="39">
        <f>IF('Additional Chemicals'!B367 = "", "", IF('Additional Chemicals-WUO_ERR'!A367 = "", "Validated", HYPERLINK("#" &amp; ADDRESS(367, 'Additional Chemicals-WUO_TRK'!A367),_xlfn.TEXTAFTER('Additional Chemicals-WUO_ERR'!A367, ":"))))</f>
        <v>0</v>
      </c>
    </row>
    <row r="368" spans="1:1">
      <c r="A368" s="39">
        <f>IF('Additional Chemicals'!B368 = "", "", IF('Additional Chemicals-WUO_ERR'!A368 = "", "Validated", HYPERLINK("#" &amp; ADDRESS(368, 'Additional Chemicals-WUO_TRK'!A368),_xlfn.TEXTAFTER('Additional Chemicals-WUO_ERR'!A368, ":"))))</f>
        <v>0</v>
      </c>
    </row>
    <row r="369" spans="1:1">
      <c r="A369" s="39">
        <f>IF('Additional Chemicals'!B369 = "", "", IF('Additional Chemicals-WUO_ERR'!A369 = "", "Validated", HYPERLINK("#" &amp; ADDRESS(369, 'Additional Chemicals-WUO_TRK'!A369),_xlfn.TEXTAFTER('Additional Chemicals-WUO_ERR'!A369, ":"))))</f>
        <v>0</v>
      </c>
    </row>
    <row r="370" spans="1:1">
      <c r="A370" s="39">
        <f>IF('Additional Chemicals'!B370 = "", "", IF('Additional Chemicals-WUO_ERR'!A370 = "", "Validated", HYPERLINK("#" &amp; ADDRESS(370, 'Additional Chemicals-WUO_TRK'!A370),_xlfn.TEXTAFTER('Additional Chemicals-WUO_ERR'!A370, ":"))))</f>
        <v>0</v>
      </c>
    </row>
    <row r="371" spans="1:1">
      <c r="A371" s="39">
        <f>IF('Additional Chemicals'!B371 = "", "", IF('Additional Chemicals-WUO_ERR'!A371 = "", "Validated", HYPERLINK("#" &amp; ADDRESS(371, 'Additional Chemicals-WUO_TRK'!A371),_xlfn.TEXTAFTER('Additional Chemicals-WUO_ERR'!A371, ":"))))</f>
        <v>0</v>
      </c>
    </row>
    <row r="372" spans="1:1">
      <c r="A372" s="39">
        <f>IF('Additional Chemicals'!B372 = "", "", IF('Additional Chemicals-WUO_ERR'!A372 = "", "Validated", HYPERLINK("#" &amp; ADDRESS(372, 'Additional Chemicals-WUO_TRK'!A372),_xlfn.TEXTAFTER('Additional Chemicals-WUO_ERR'!A372, ":"))))</f>
        <v>0</v>
      </c>
    </row>
    <row r="373" spans="1:1">
      <c r="A373" s="39">
        <f>IF('Additional Chemicals'!B373 = "", "", IF('Additional Chemicals-WUO_ERR'!A373 = "", "Validated", HYPERLINK("#" &amp; ADDRESS(373, 'Additional Chemicals-WUO_TRK'!A373),_xlfn.TEXTAFTER('Additional Chemicals-WUO_ERR'!A373, ":"))))</f>
        <v>0</v>
      </c>
    </row>
    <row r="374" spans="1:1">
      <c r="A374" s="39">
        <f>IF('Additional Chemicals'!B374 = "", "", IF('Additional Chemicals-WUO_ERR'!A374 = "", "Validated", HYPERLINK("#" &amp; ADDRESS(374, 'Additional Chemicals-WUO_TRK'!A374),_xlfn.TEXTAFTER('Additional Chemicals-WUO_ERR'!A374, ":"))))</f>
        <v>0</v>
      </c>
    </row>
    <row r="375" spans="1:1">
      <c r="A375" s="39">
        <f>IF('Additional Chemicals'!B375 = "", "", IF('Additional Chemicals-WUO_ERR'!A375 = "", "Validated", HYPERLINK("#" &amp; ADDRESS(375, 'Additional Chemicals-WUO_TRK'!A375),_xlfn.TEXTAFTER('Additional Chemicals-WUO_ERR'!A375, ":"))))</f>
        <v>0</v>
      </c>
    </row>
    <row r="376" spans="1:1">
      <c r="A376" s="39">
        <f>IF('Additional Chemicals'!B376 = "", "", IF('Additional Chemicals-WUO_ERR'!A376 = "", "Validated", HYPERLINK("#" &amp; ADDRESS(376, 'Additional Chemicals-WUO_TRK'!A376),_xlfn.TEXTAFTER('Additional Chemicals-WUO_ERR'!A376, ":"))))</f>
        <v>0</v>
      </c>
    </row>
    <row r="377" spans="1:1">
      <c r="A377" s="39">
        <f>IF('Additional Chemicals'!B377 = "", "", IF('Additional Chemicals-WUO_ERR'!A377 = "", "Validated", HYPERLINK("#" &amp; ADDRESS(377, 'Additional Chemicals-WUO_TRK'!A377),_xlfn.TEXTAFTER('Additional Chemicals-WUO_ERR'!A377, ":"))))</f>
        <v>0</v>
      </c>
    </row>
    <row r="378" spans="1:1">
      <c r="A378" s="39">
        <f>IF('Additional Chemicals'!B378 = "", "", IF('Additional Chemicals-WUO_ERR'!A378 = "", "Validated", HYPERLINK("#" &amp; ADDRESS(378, 'Additional Chemicals-WUO_TRK'!A378),_xlfn.TEXTAFTER('Additional Chemicals-WUO_ERR'!A378, ":"))))</f>
        <v>0</v>
      </c>
    </row>
    <row r="379" spans="1:1">
      <c r="A379" s="39">
        <f>IF('Additional Chemicals'!B379 = "", "", IF('Additional Chemicals-WUO_ERR'!A379 = "", "Validated", HYPERLINK("#" &amp; ADDRESS(379, 'Additional Chemicals-WUO_TRK'!A379),_xlfn.TEXTAFTER('Additional Chemicals-WUO_ERR'!A379, ":"))))</f>
        <v>0</v>
      </c>
    </row>
    <row r="380" spans="1:1">
      <c r="A380" s="39">
        <f>IF('Additional Chemicals'!B380 = "", "", IF('Additional Chemicals-WUO_ERR'!A380 = "", "Validated", HYPERLINK("#" &amp; ADDRESS(380, 'Additional Chemicals-WUO_TRK'!A380),_xlfn.TEXTAFTER('Additional Chemicals-WUO_ERR'!A380, ":"))))</f>
        <v>0</v>
      </c>
    </row>
    <row r="381" spans="1:1">
      <c r="A381" s="39">
        <f>IF('Additional Chemicals'!B381 = "", "", IF('Additional Chemicals-WUO_ERR'!A381 = "", "Validated", HYPERLINK("#" &amp; ADDRESS(381, 'Additional Chemicals-WUO_TRK'!A381),_xlfn.TEXTAFTER('Additional Chemicals-WUO_ERR'!A381, ":"))))</f>
        <v>0</v>
      </c>
    </row>
    <row r="382" spans="1:1">
      <c r="A382" s="39">
        <f>IF('Additional Chemicals'!B382 = "", "", IF('Additional Chemicals-WUO_ERR'!A382 = "", "Validated", HYPERLINK("#" &amp; ADDRESS(382, 'Additional Chemicals-WUO_TRK'!A382),_xlfn.TEXTAFTER('Additional Chemicals-WUO_ERR'!A382, ":"))))</f>
        <v>0</v>
      </c>
    </row>
    <row r="383" spans="1:1">
      <c r="A383" s="39">
        <f>IF('Additional Chemicals'!B383 = "", "", IF('Additional Chemicals-WUO_ERR'!A383 = "", "Validated", HYPERLINK("#" &amp; ADDRESS(383, 'Additional Chemicals-WUO_TRK'!A383),_xlfn.TEXTAFTER('Additional Chemicals-WUO_ERR'!A383, ":"))))</f>
        <v>0</v>
      </c>
    </row>
    <row r="384" spans="1:1">
      <c r="A384" s="39">
        <f>IF('Additional Chemicals'!B384 = "", "", IF('Additional Chemicals-WUO_ERR'!A384 = "", "Validated", HYPERLINK("#" &amp; ADDRESS(384, 'Additional Chemicals-WUO_TRK'!A384),_xlfn.TEXTAFTER('Additional Chemicals-WUO_ERR'!A384, ":"))))</f>
        <v>0</v>
      </c>
    </row>
    <row r="385" spans="1:1">
      <c r="A385" s="39">
        <f>IF('Additional Chemicals'!B385 = "", "", IF('Additional Chemicals-WUO_ERR'!A385 = "", "Validated", HYPERLINK("#" &amp; ADDRESS(385, 'Additional Chemicals-WUO_TRK'!A385),_xlfn.TEXTAFTER('Additional Chemicals-WUO_ERR'!A385, ":"))))</f>
        <v>0</v>
      </c>
    </row>
    <row r="386" spans="1:1">
      <c r="A386" s="39">
        <f>IF('Additional Chemicals'!B386 = "", "", IF('Additional Chemicals-WUO_ERR'!A386 = "", "Validated", HYPERLINK("#" &amp; ADDRESS(386, 'Additional Chemicals-WUO_TRK'!A386),_xlfn.TEXTAFTER('Additional Chemicals-WUO_ERR'!A386, ":"))))</f>
        <v>0</v>
      </c>
    </row>
    <row r="387" spans="1:1">
      <c r="A387" s="39">
        <f>IF('Additional Chemicals'!B387 = "", "", IF('Additional Chemicals-WUO_ERR'!A387 = "", "Validated", HYPERLINK("#" &amp; ADDRESS(387, 'Additional Chemicals-WUO_TRK'!A387),_xlfn.TEXTAFTER('Additional Chemicals-WUO_ERR'!A387, ":"))))</f>
        <v>0</v>
      </c>
    </row>
    <row r="388" spans="1:1">
      <c r="A388" s="39">
        <f>IF('Additional Chemicals'!B388 = "", "", IF('Additional Chemicals-WUO_ERR'!A388 = "", "Validated", HYPERLINK("#" &amp; ADDRESS(388, 'Additional Chemicals-WUO_TRK'!A388),_xlfn.TEXTAFTER('Additional Chemicals-WUO_ERR'!A388, ":"))))</f>
        <v>0</v>
      </c>
    </row>
    <row r="389" spans="1:1">
      <c r="A389" s="39">
        <f>IF('Additional Chemicals'!B389 = "", "", IF('Additional Chemicals-WUO_ERR'!A389 = "", "Validated", HYPERLINK("#" &amp; ADDRESS(389, 'Additional Chemicals-WUO_TRK'!A389),_xlfn.TEXTAFTER('Additional Chemicals-WUO_ERR'!A389, ":"))))</f>
        <v>0</v>
      </c>
    </row>
    <row r="390" spans="1:1">
      <c r="A390" s="39">
        <f>IF('Additional Chemicals'!B390 = "", "", IF('Additional Chemicals-WUO_ERR'!A390 = "", "Validated", HYPERLINK("#" &amp; ADDRESS(390, 'Additional Chemicals-WUO_TRK'!A390),_xlfn.TEXTAFTER('Additional Chemicals-WUO_ERR'!A390, ":"))))</f>
        <v>0</v>
      </c>
    </row>
    <row r="391" spans="1:1">
      <c r="A391" s="39">
        <f>IF('Additional Chemicals'!B391 = "", "", IF('Additional Chemicals-WUO_ERR'!A391 = "", "Validated", HYPERLINK("#" &amp; ADDRESS(391, 'Additional Chemicals-WUO_TRK'!A391),_xlfn.TEXTAFTER('Additional Chemicals-WUO_ERR'!A391, ":"))))</f>
        <v>0</v>
      </c>
    </row>
    <row r="392" spans="1:1">
      <c r="A392" s="39">
        <f>IF('Additional Chemicals'!B392 = "", "", IF('Additional Chemicals-WUO_ERR'!A392 = "", "Validated", HYPERLINK("#" &amp; ADDRESS(392, 'Additional Chemicals-WUO_TRK'!A392),_xlfn.TEXTAFTER('Additional Chemicals-WUO_ERR'!A392, ":"))))</f>
        <v>0</v>
      </c>
    </row>
    <row r="393" spans="1:1">
      <c r="A393" s="39">
        <f>IF('Additional Chemicals'!B393 = "", "", IF('Additional Chemicals-WUO_ERR'!A393 = "", "Validated", HYPERLINK("#" &amp; ADDRESS(393, 'Additional Chemicals-WUO_TRK'!A393),_xlfn.TEXTAFTER('Additional Chemicals-WUO_ERR'!A393, ":"))))</f>
        <v>0</v>
      </c>
    </row>
    <row r="394" spans="1:1">
      <c r="A394" s="39">
        <f>IF('Additional Chemicals'!B394 = "", "", IF('Additional Chemicals-WUO_ERR'!A394 = "", "Validated", HYPERLINK("#" &amp; ADDRESS(394, 'Additional Chemicals-WUO_TRK'!A394),_xlfn.TEXTAFTER('Additional Chemicals-WUO_ERR'!A394, ":"))))</f>
        <v>0</v>
      </c>
    </row>
    <row r="395" spans="1:1">
      <c r="A395" s="39">
        <f>IF('Additional Chemicals'!B395 = "", "", IF('Additional Chemicals-WUO_ERR'!A395 = "", "Validated", HYPERLINK("#" &amp; ADDRESS(395, 'Additional Chemicals-WUO_TRK'!A395),_xlfn.TEXTAFTER('Additional Chemicals-WUO_ERR'!A395, ":"))))</f>
        <v>0</v>
      </c>
    </row>
    <row r="396" spans="1:1">
      <c r="A396" s="39">
        <f>IF('Additional Chemicals'!B396 = "", "", IF('Additional Chemicals-WUO_ERR'!A396 = "", "Validated", HYPERLINK("#" &amp; ADDRESS(396, 'Additional Chemicals-WUO_TRK'!A396),_xlfn.TEXTAFTER('Additional Chemicals-WUO_ERR'!A396, ":"))))</f>
        <v>0</v>
      </c>
    </row>
    <row r="397" spans="1:1">
      <c r="A397" s="39">
        <f>IF('Additional Chemicals'!B397 = "", "", IF('Additional Chemicals-WUO_ERR'!A397 = "", "Validated", HYPERLINK("#" &amp; ADDRESS(397, 'Additional Chemicals-WUO_TRK'!A397),_xlfn.TEXTAFTER('Additional Chemicals-WUO_ERR'!A397, ":"))))</f>
        <v>0</v>
      </c>
    </row>
    <row r="398" spans="1:1">
      <c r="A398" s="39">
        <f>IF('Additional Chemicals'!B398 = "", "", IF('Additional Chemicals-WUO_ERR'!A398 = "", "Validated", HYPERLINK("#" &amp; ADDRESS(398, 'Additional Chemicals-WUO_TRK'!A398),_xlfn.TEXTAFTER('Additional Chemicals-WUO_ERR'!A398, ":"))))</f>
        <v>0</v>
      </c>
    </row>
    <row r="399" spans="1:1">
      <c r="A399" s="39">
        <f>IF('Additional Chemicals'!B399 = "", "", IF('Additional Chemicals-WUO_ERR'!A399 = "", "Validated", HYPERLINK("#" &amp; ADDRESS(399, 'Additional Chemicals-WUO_TRK'!A399),_xlfn.TEXTAFTER('Additional Chemicals-WUO_ERR'!A399, ":"))))</f>
        <v>0</v>
      </c>
    </row>
    <row r="400" spans="1:1">
      <c r="A400" s="39">
        <f>IF('Additional Chemicals'!B400 = "", "", IF('Additional Chemicals-WUO_ERR'!A400 = "", "Validated", HYPERLINK("#" &amp; ADDRESS(400, 'Additional Chemicals-WUO_TRK'!A400),_xlfn.TEXTAFTER('Additional Chemicals-WUO_ERR'!A400, ":"))))</f>
        <v>0</v>
      </c>
    </row>
    <row r="401" spans="1:1">
      <c r="A401" s="39">
        <f>IF('Additional Chemicals'!B401 = "", "", IF('Additional Chemicals-WUO_ERR'!A401 = "", "Validated", HYPERLINK("#" &amp; ADDRESS(401, 'Additional Chemicals-WUO_TRK'!A401),_xlfn.TEXTAFTER('Additional Chemicals-WUO_ERR'!A401, ":"))))</f>
        <v>0</v>
      </c>
    </row>
    <row r="402" spans="1:1">
      <c r="A402" s="39">
        <f>IF('Additional Chemicals'!B402 = "", "", IF('Additional Chemicals-WUO_ERR'!A402 = "", "Validated", HYPERLINK("#" &amp; ADDRESS(402, 'Additional Chemicals-WUO_TRK'!A402),_xlfn.TEXTAFTER('Additional Chemicals-WUO_ERR'!A402, ":"))))</f>
        <v>0</v>
      </c>
    </row>
    <row r="403" spans="1:1">
      <c r="A403" s="39">
        <f>IF('Additional Chemicals'!B403 = "", "", IF('Additional Chemicals-WUO_ERR'!A403 = "", "Validated", HYPERLINK("#" &amp; ADDRESS(403, 'Additional Chemicals-WUO_TRK'!A403),_xlfn.TEXTAFTER('Additional Chemicals-WUO_ERR'!A403, ":"))))</f>
        <v>0</v>
      </c>
    </row>
    <row r="404" spans="1:1">
      <c r="A404" s="39">
        <f>IF('Additional Chemicals'!B404 = "", "", IF('Additional Chemicals-WUO_ERR'!A404 = "", "Validated", HYPERLINK("#" &amp; ADDRESS(404, 'Additional Chemicals-WUO_TRK'!A404),_xlfn.TEXTAFTER('Additional Chemicals-WUO_ERR'!A404, ":"))))</f>
        <v>0</v>
      </c>
    </row>
    <row r="405" spans="1:1">
      <c r="A405" s="39">
        <f>IF('Additional Chemicals'!B405 = "", "", IF('Additional Chemicals-WUO_ERR'!A405 = "", "Validated", HYPERLINK("#" &amp; ADDRESS(405, 'Additional Chemicals-WUO_TRK'!A405),_xlfn.TEXTAFTER('Additional Chemicals-WUO_ERR'!A405, ":"))))</f>
        <v>0</v>
      </c>
    </row>
    <row r="406" spans="1:1">
      <c r="A406" s="39">
        <f>IF('Additional Chemicals'!B406 = "", "", IF('Additional Chemicals-WUO_ERR'!A406 = "", "Validated", HYPERLINK("#" &amp; ADDRESS(406, 'Additional Chemicals-WUO_TRK'!A406),_xlfn.TEXTAFTER('Additional Chemicals-WUO_ERR'!A406, ":"))))</f>
        <v>0</v>
      </c>
    </row>
    <row r="407" spans="1:1">
      <c r="A407" s="39">
        <f>IF('Additional Chemicals'!B407 = "", "", IF('Additional Chemicals-WUO_ERR'!A407 = "", "Validated", HYPERLINK("#" &amp; ADDRESS(407, 'Additional Chemicals-WUO_TRK'!A407),_xlfn.TEXTAFTER('Additional Chemicals-WUO_ERR'!A407, ":"))))</f>
        <v>0</v>
      </c>
    </row>
    <row r="408" spans="1:1">
      <c r="A408" s="39">
        <f>IF('Additional Chemicals'!B408 = "", "", IF('Additional Chemicals-WUO_ERR'!A408 = "", "Validated", HYPERLINK("#" &amp; ADDRESS(408, 'Additional Chemicals-WUO_TRK'!A408),_xlfn.TEXTAFTER('Additional Chemicals-WUO_ERR'!A408, ":"))))</f>
        <v>0</v>
      </c>
    </row>
    <row r="409" spans="1:1">
      <c r="A409" s="39">
        <f>IF('Additional Chemicals'!B409 = "", "", IF('Additional Chemicals-WUO_ERR'!A409 = "", "Validated", HYPERLINK("#" &amp; ADDRESS(409, 'Additional Chemicals-WUO_TRK'!A409),_xlfn.TEXTAFTER('Additional Chemicals-WUO_ERR'!A409, ":"))))</f>
        <v>0</v>
      </c>
    </row>
    <row r="410" spans="1:1">
      <c r="A410" s="39">
        <f>IF('Additional Chemicals'!B410 = "", "", IF('Additional Chemicals-WUO_ERR'!A410 = "", "Validated", HYPERLINK("#" &amp; ADDRESS(410, 'Additional Chemicals-WUO_TRK'!A410),_xlfn.TEXTAFTER('Additional Chemicals-WUO_ERR'!A410, ":"))))</f>
        <v>0</v>
      </c>
    </row>
    <row r="411" spans="1:1">
      <c r="A411" s="39">
        <f>IF('Additional Chemicals'!B411 = "", "", IF('Additional Chemicals-WUO_ERR'!A411 = "", "Validated", HYPERLINK("#" &amp; ADDRESS(411, 'Additional Chemicals-WUO_TRK'!A411),_xlfn.TEXTAFTER('Additional Chemicals-WUO_ERR'!A411, ":"))))</f>
        <v>0</v>
      </c>
    </row>
    <row r="412" spans="1:1">
      <c r="A412" s="39">
        <f>IF('Additional Chemicals'!B412 = "", "", IF('Additional Chemicals-WUO_ERR'!A412 = "", "Validated", HYPERLINK("#" &amp; ADDRESS(412, 'Additional Chemicals-WUO_TRK'!A412),_xlfn.TEXTAFTER('Additional Chemicals-WUO_ERR'!A412, ":"))))</f>
        <v>0</v>
      </c>
    </row>
    <row r="413" spans="1:1">
      <c r="A413" s="39">
        <f>IF('Additional Chemicals'!B413 = "", "", IF('Additional Chemicals-WUO_ERR'!A413 = "", "Validated", HYPERLINK("#" &amp; ADDRESS(413, 'Additional Chemicals-WUO_TRK'!A413),_xlfn.TEXTAFTER('Additional Chemicals-WUO_ERR'!A413, ":"))))</f>
        <v>0</v>
      </c>
    </row>
    <row r="414" spans="1:1">
      <c r="A414" s="39">
        <f>IF('Additional Chemicals'!B414 = "", "", IF('Additional Chemicals-WUO_ERR'!A414 = "", "Validated", HYPERLINK("#" &amp; ADDRESS(414, 'Additional Chemicals-WUO_TRK'!A414),_xlfn.TEXTAFTER('Additional Chemicals-WUO_ERR'!A414, ":"))))</f>
        <v>0</v>
      </c>
    </row>
    <row r="415" spans="1:1">
      <c r="A415" s="39">
        <f>IF('Additional Chemicals'!B415 = "", "", IF('Additional Chemicals-WUO_ERR'!A415 = "", "Validated", HYPERLINK("#" &amp; ADDRESS(415, 'Additional Chemicals-WUO_TRK'!A415),_xlfn.TEXTAFTER('Additional Chemicals-WUO_ERR'!A415, ":"))))</f>
        <v>0</v>
      </c>
    </row>
    <row r="416" spans="1:1">
      <c r="A416" s="39">
        <f>IF('Additional Chemicals'!B416 = "", "", IF('Additional Chemicals-WUO_ERR'!A416 = "", "Validated", HYPERLINK("#" &amp; ADDRESS(416, 'Additional Chemicals-WUO_TRK'!A416),_xlfn.TEXTAFTER('Additional Chemicals-WUO_ERR'!A416, ":"))))</f>
        <v>0</v>
      </c>
    </row>
    <row r="417" spans="1:1">
      <c r="A417" s="39">
        <f>IF('Additional Chemicals'!B417 = "", "", IF('Additional Chemicals-WUO_ERR'!A417 = "", "Validated", HYPERLINK("#" &amp; ADDRESS(417, 'Additional Chemicals-WUO_TRK'!A417),_xlfn.TEXTAFTER('Additional Chemicals-WUO_ERR'!A417, ":"))))</f>
        <v>0</v>
      </c>
    </row>
    <row r="418" spans="1:1">
      <c r="A418" s="39">
        <f>IF('Additional Chemicals'!B418 = "", "", IF('Additional Chemicals-WUO_ERR'!A418 = "", "Validated", HYPERLINK("#" &amp; ADDRESS(418, 'Additional Chemicals-WUO_TRK'!A418),_xlfn.TEXTAFTER('Additional Chemicals-WUO_ERR'!A418, ":"))))</f>
        <v>0</v>
      </c>
    </row>
    <row r="419" spans="1:1">
      <c r="A419" s="39">
        <f>IF('Additional Chemicals'!B419 = "", "", IF('Additional Chemicals-WUO_ERR'!A419 = "", "Validated", HYPERLINK("#" &amp; ADDRESS(419, 'Additional Chemicals-WUO_TRK'!A419),_xlfn.TEXTAFTER('Additional Chemicals-WUO_ERR'!A419, ":"))))</f>
        <v>0</v>
      </c>
    </row>
    <row r="420" spans="1:1">
      <c r="A420" s="39">
        <f>IF('Additional Chemicals'!B420 = "", "", IF('Additional Chemicals-WUO_ERR'!A420 = "", "Validated", HYPERLINK("#" &amp; ADDRESS(420, 'Additional Chemicals-WUO_TRK'!A420),_xlfn.TEXTAFTER('Additional Chemicals-WUO_ERR'!A420, ":"))))</f>
        <v>0</v>
      </c>
    </row>
    <row r="421" spans="1:1">
      <c r="A421" s="39">
        <f>IF('Additional Chemicals'!B421 = "", "", IF('Additional Chemicals-WUO_ERR'!A421 = "", "Validated", HYPERLINK("#" &amp; ADDRESS(421, 'Additional Chemicals-WUO_TRK'!A421),_xlfn.TEXTAFTER('Additional Chemicals-WUO_ERR'!A421, ":"))))</f>
        <v>0</v>
      </c>
    </row>
    <row r="422" spans="1:1">
      <c r="A422" s="39">
        <f>IF('Additional Chemicals'!B422 = "", "", IF('Additional Chemicals-WUO_ERR'!A422 = "", "Validated", HYPERLINK("#" &amp; ADDRESS(422, 'Additional Chemicals-WUO_TRK'!A422),_xlfn.TEXTAFTER('Additional Chemicals-WUO_ERR'!A422, ":"))))</f>
        <v>0</v>
      </c>
    </row>
    <row r="423" spans="1:1">
      <c r="A423" s="39">
        <f>IF('Additional Chemicals'!B423 = "", "", IF('Additional Chemicals-WUO_ERR'!A423 = "", "Validated", HYPERLINK("#" &amp; ADDRESS(423, 'Additional Chemicals-WUO_TRK'!A423),_xlfn.TEXTAFTER('Additional Chemicals-WUO_ERR'!A423, ":"))))</f>
        <v>0</v>
      </c>
    </row>
    <row r="424" spans="1:1">
      <c r="A424" s="39">
        <f>IF('Additional Chemicals'!B424 = "", "", IF('Additional Chemicals-WUO_ERR'!A424 = "", "Validated", HYPERLINK("#" &amp; ADDRESS(424, 'Additional Chemicals-WUO_TRK'!A424),_xlfn.TEXTAFTER('Additional Chemicals-WUO_ERR'!A424, ":"))))</f>
        <v>0</v>
      </c>
    </row>
    <row r="425" spans="1:1">
      <c r="A425" s="39">
        <f>IF('Additional Chemicals'!B425 = "", "", IF('Additional Chemicals-WUO_ERR'!A425 = "", "Validated", HYPERLINK("#" &amp; ADDRESS(425, 'Additional Chemicals-WUO_TRK'!A425),_xlfn.TEXTAFTER('Additional Chemicals-WUO_ERR'!A425, ":"))))</f>
        <v>0</v>
      </c>
    </row>
    <row r="426" spans="1:1">
      <c r="A426" s="39">
        <f>IF('Additional Chemicals'!B426 = "", "", IF('Additional Chemicals-WUO_ERR'!A426 = "", "Validated", HYPERLINK("#" &amp; ADDRESS(426, 'Additional Chemicals-WUO_TRK'!A426),_xlfn.TEXTAFTER('Additional Chemicals-WUO_ERR'!A426, ":"))))</f>
        <v>0</v>
      </c>
    </row>
    <row r="427" spans="1:1">
      <c r="A427" s="39">
        <f>IF('Additional Chemicals'!B427 = "", "", IF('Additional Chemicals-WUO_ERR'!A427 = "", "Validated", HYPERLINK("#" &amp; ADDRESS(427, 'Additional Chemicals-WUO_TRK'!A427),_xlfn.TEXTAFTER('Additional Chemicals-WUO_ERR'!A427, ":"))))</f>
        <v>0</v>
      </c>
    </row>
    <row r="428" spans="1:1">
      <c r="A428" s="39">
        <f>IF('Additional Chemicals'!B428 = "", "", IF('Additional Chemicals-WUO_ERR'!A428 = "", "Validated", HYPERLINK("#" &amp; ADDRESS(428, 'Additional Chemicals-WUO_TRK'!A428),_xlfn.TEXTAFTER('Additional Chemicals-WUO_ERR'!A428, ":"))))</f>
        <v>0</v>
      </c>
    </row>
    <row r="429" spans="1:1">
      <c r="A429" s="39">
        <f>IF('Additional Chemicals'!B429 = "", "", IF('Additional Chemicals-WUO_ERR'!A429 = "", "Validated", HYPERLINK("#" &amp; ADDRESS(429, 'Additional Chemicals-WUO_TRK'!A429),_xlfn.TEXTAFTER('Additional Chemicals-WUO_ERR'!A429, ":"))))</f>
        <v>0</v>
      </c>
    </row>
    <row r="430" spans="1:1">
      <c r="A430" s="39">
        <f>IF('Additional Chemicals'!B430 = "", "", IF('Additional Chemicals-WUO_ERR'!A430 = "", "Validated", HYPERLINK("#" &amp; ADDRESS(430, 'Additional Chemicals-WUO_TRK'!A430),_xlfn.TEXTAFTER('Additional Chemicals-WUO_ERR'!A430, ":"))))</f>
        <v>0</v>
      </c>
    </row>
    <row r="431" spans="1:1">
      <c r="A431" s="39">
        <f>IF('Additional Chemicals'!B431 = "", "", IF('Additional Chemicals-WUO_ERR'!A431 = "", "Validated", HYPERLINK("#" &amp; ADDRESS(431, 'Additional Chemicals-WUO_TRK'!A431),_xlfn.TEXTAFTER('Additional Chemicals-WUO_ERR'!A431, ":"))))</f>
        <v>0</v>
      </c>
    </row>
    <row r="432" spans="1:1">
      <c r="A432" s="39">
        <f>IF('Additional Chemicals'!B432 = "", "", IF('Additional Chemicals-WUO_ERR'!A432 = "", "Validated", HYPERLINK("#" &amp; ADDRESS(432, 'Additional Chemicals-WUO_TRK'!A432),_xlfn.TEXTAFTER('Additional Chemicals-WUO_ERR'!A432, ":"))))</f>
        <v>0</v>
      </c>
    </row>
    <row r="433" spans="1:1">
      <c r="A433" s="39">
        <f>IF('Additional Chemicals'!B433 = "", "", IF('Additional Chemicals-WUO_ERR'!A433 = "", "Validated", HYPERLINK("#" &amp; ADDRESS(433, 'Additional Chemicals-WUO_TRK'!A433),_xlfn.TEXTAFTER('Additional Chemicals-WUO_ERR'!A433, ":"))))</f>
        <v>0</v>
      </c>
    </row>
    <row r="434" spans="1:1">
      <c r="A434" s="39">
        <f>IF('Additional Chemicals'!B434 = "", "", IF('Additional Chemicals-WUO_ERR'!A434 = "", "Validated", HYPERLINK("#" &amp; ADDRESS(434, 'Additional Chemicals-WUO_TRK'!A434),_xlfn.TEXTAFTER('Additional Chemicals-WUO_ERR'!A434, ":"))))</f>
        <v>0</v>
      </c>
    </row>
    <row r="435" spans="1:1">
      <c r="A435" s="39">
        <f>IF('Additional Chemicals'!B435 = "", "", IF('Additional Chemicals-WUO_ERR'!A435 = "", "Validated", HYPERLINK("#" &amp; ADDRESS(435, 'Additional Chemicals-WUO_TRK'!A435),_xlfn.TEXTAFTER('Additional Chemicals-WUO_ERR'!A435, ":"))))</f>
        <v>0</v>
      </c>
    </row>
    <row r="436" spans="1:1">
      <c r="A436" s="39">
        <f>IF('Additional Chemicals'!B436 = "", "", IF('Additional Chemicals-WUO_ERR'!A436 = "", "Validated", HYPERLINK("#" &amp; ADDRESS(436, 'Additional Chemicals-WUO_TRK'!A436),_xlfn.TEXTAFTER('Additional Chemicals-WUO_ERR'!A436, ":"))))</f>
        <v>0</v>
      </c>
    </row>
    <row r="437" spans="1:1">
      <c r="A437" s="39">
        <f>IF('Additional Chemicals'!B437 = "", "", IF('Additional Chemicals-WUO_ERR'!A437 = "", "Validated", HYPERLINK("#" &amp; ADDRESS(437, 'Additional Chemicals-WUO_TRK'!A437),_xlfn.TEXTAFTER('Additional Chemicals-WUO_ERR'!A437, ":"))))</f>
        <v>0</v>
      </c>
    </row>
    <row r="438" spans="1:1">
      <c r="A438" s="39">
        <f>IF('Additional Chemicals'!B438 = "", "", IF('Additional Chemicals-WUO_ERR'!A438 = "", "Validated", HYPERLINK("#" &amp; ADDRESS(438, 'Additional Chemicals-WUO_TRK'!A438),_xlfn.TEXTAFTER('Additional Chemicals-WUO_ERR'!A438, ":"))))</f>
        <v>0</v>
      </c>
    </row>
    <row r="439" spans="1:1">
      <c r="A439" s="39">
        <f>IF('Additional Chemicals'!B439 = "", "", IF('Additional Chemicals-WUO_ERR'!A439 = "", "Validated", HYPERLINK("#" &amp; ADDRESS(439, 'Additional Chemicals-WUO_TRK'!A439),_xlfn.TEXTAFTER('Additional Chemicals-WUO_ERR'!A439, ":"))))</f>
        <v>0</v>
      </c>
    </row>
    <row r="440" spans="1:1">
      <c r="A440" s="39">
        <f>IF('Additional Chemicals'!B440 = "", "", IF('Additional Chemicals-WUO_ERR'!A440 = "", "Validated", HYPERLINK("#" &amp; ADDRESS(440, 'Additional Chemicals-WUO_TRK'!A440),_xlfn.TEXTAFTER('Additional Chemicals-WUO_ERR'!A440, ":"))))</f>
        <v>0</v>
      </c>
    </row>
    <row r="441" spans="1:1">
      <c r="A441" s="39">
        <f>IF('Additional Chemicals'!B441 = "", "", IF('Additional Chemicals-WUO_ERR'!A441 = "", "Validated", HYPERLINK("#" &amp; ADDRESS(441, 'Additional Chemicals-WUO_TRK'!A441),_xlfn.TEXTAFTER('Additional Chemicals-WUO_ERR'!A441, ":"))))</f>
        <v>0</v>
      </c>
    </row>
    <row r="442" spans="1:1">
      <c r="A442" s="39">
        <f>IF('Additional Chemicals'!B442 = "", "", IF('Additional Chemicals-WUO_ERR'!A442 = "", "Validated", HYPERLINK("#" &amp; ADDRESS(442, 'Additional Chemicals-WUO_TRK'!A442),_xlfn.TEXTAFTER('Additional Chemicals-WUO_ERR'!A442, ":"))))</f>
        <v>0</v>
      </c>
    </row>
    <row r="443" spans="1:1">
      <c r="A443" s="39">
        <f>IF('Additional Chemicals'!B443 = "", "", IF('Additional Chemicals-WUO_ERR'!A443 = "", "Validated", HYPERLINK("#" &amp; ADDRESS(443, 'Additional Chemicals-WUO_TRK'!A443),_xlfn.TEXTAFTER('Additional Chemicals-WUO_ERR'!A443, ":"))))</f>
        <v>0</v>
      </c>
    </row>
    <row r="444" spans="1:1">
      <c r="A444" s="39">
        <f>IF('Additional Chemicals'!B444 = "", "", IF('Additional Chemicals-WUO_ERR'!A444 = "", "Validated", HYPERLINK("#" &amp; ADDRESS(444, 'Additional Chemicals-WUO_TRK'!A444),_xlfn.TEXTAFTER('Additional Chemicals-WUO_ERR'!A444, ":"))))</f>
        <v>0</v>
      </c>
    </row>
    <row r="445" spans="1:1">
      <c r="A445" s="39">
        <f>IF('Additional Chemicals'!B445 = "", "", IF('Additional Chemicals-WUO_ERR'!A445 = "", "Validated", HYPERLINK("#" &amp; ADDRESS(445, 'Additional Chemicals-WUO_TRK'!A445),_xlfn.TEXTAFTER('Additional Chemicals-WUO_ERR'!A445, ":"))))</f>
        <v>0</v>
      </c>
    </row>
    <row r="446" spans="1:1">
      <c r="A446" s="39">
        <f>IF('Additional Chemicals'!B446 = "", "", IF('Additional Chemicals-WUO_ERR'!A446 = "", "Validated", HYPERLINK("#" &amp; ADDRESS(446, 'Additional Chemicals-WUO_TRK'!A446),_xlfn.TEXTAFTER('Additional Chemicals-WUO_ERR'!A446, ":"))))</f>
        <v>0</v>
      </c>
    </row>
    <row r="447" spans="1:1">
      <c r="A447" s="39">
        <f>IF('Additional Chemicals'!B447 = "", "", IF('Additional Chemicals-WUO_ERR'!A447 = "", "Validated", HYPERLINK("#" &amp; ADDRESS(447, 'Additional Chemicals-WUO_TRK'!A447),_xlfn.TEXTAFTER('Additional Chemicals-WUO_ERR'!A447, ":"))))</f>
        <v>0</v>
      </c>
    </row>
    <row r="448" spans="1:1">
      <c r="A448" s="39">
        <f>IF('Additional Chemicals'!B448 = "", "", IF('Additional Chemicals-WUO_ERR'!A448 = "", "Validated", HYPERLINK("#" &amp; ADDRESS(448, 'Additional Chemicals-WUO_TRK'!A448),_xlfn.TEXTAFTER('Additional Chemicals-WUO_ERR'!A448, ":"))))</f>
        <v>0</v>
      </c>
    </row>
    <row r="449" spans="1:1">
      <c r="A449" s="39">
        <f>IF('Additional Chemicals'!B449 = "", "", IF('Additional Chemicals-WUO_ERR'!A449 = "", "Validated", HYPERLINK("#" &amp; ADDRESS(449, 'Additional Chemicals-WUO_TRK'!A449),_xlfn.TEXTAFTER('Additional Chemicals-WUO_ERR'!A449, ":"))))</f>
        <v>0</v>
      </c>
    </row>
    <row r="450" spans="1:1">
      <c r="A450" s="39">
        <f>IF('Additional Chemicals'!B450 = "", "", IF('Additional Chemicals-WUO_ERR'!A450 = "", "Validated", HYPERLINK("#" &amp; ADDRESS(450, 'Additional Chemicals-WUO_TRK'!A450),_xlfn.TEXTAFTER('Additional Chemicals-WUO_ERR'!A450, ":"))))</f>
        <v>0</v>
      </c>
    </row>
    <row r="451" spans="1:1">
      <c r="A451" s="39">
        <f>IF('Additional Chemicals'!B451 = "", "", IF('Additional Chemicals-WUO_ERR'!A451 = "", "Validated", HYPERLINK("#" &amp; ADDRESS(451, 'Additional Chemicals-WUO_TRK'!A451),_xlfn.TEXTAFTER('Additional Chemicals-WUO_ERR'!A451, ":"))))</f>
        <v>0</v>
      </c>
    </row>
    <row r="452" spans="1:1">
      <c r="A452" s="39">
        <f>IF('Additional Chemicals'!B452 = "", "", IF('Additional Chemicals-WUO_ERR'!A452 = "", "Validated", HYPERLINK("#" &amp; ADDRESS(452, 'Additional Chemicals-WUO_TRK'!A452),_xlfn.TEXTAFTER('Additional Chemicals-WUO_ERR'!A452, ":"))))</f>
        <v>0</v>
      </c>
    </row>
    <row r="453" spans="1:1">
      <c r="A453" s="39">
        <f>IF('Additional Chemicals'!B453 = "", "", IF('Additional Chemicals-WUO_ERR'!A453 = "", "Validated", HYPERLINK("#" &amp; ADDRESS(453, 'Additional Chemicals-WUO_TRK'!A453),_xlfn.TEXTAFTER('Additional Chemicals-WUO_ERR'!A453, ":"))))</f>
        <v>0</v>
      </c>
    </row>
    <row r="454" spans="1:1">
      <c r="A454" s="39">
        <f>IF('Additional Chemicals'!B454 = "", "", IF('Additional Chemicals-WUO_ERR'!A454 = "", "Validated", HYPERLINK("#" &amp; ADDRESS(454, 'Additional Chemicals-WUO_TRK'!A454),_xlfn.TEXTAFTER('Additional Chemicals-WUO_ERR'!A454, ":"))))</f>
        <v>0</v>
      </c>
    </row>
    <row r="455" spans="1:1">
      <c r="A455" s="39">
        <f>IF('Additional Chemicals'!B455 = "", "", IF('Additional Chemicals-WUO_ERR'!A455 = "", "Validated", HYPERLINK("#" &amp; ADDRESS(455, 'Additional Chemicals-WUO_TRK'!A455),_xlfn.TEXTAFTER('Additional Chemicals-WUO_ERR'!A455, ":"))))</f>
        <v>0</v>
      </c>
    </row>
    <row r="456" spans="1:1">
      <c r="A456" s="39">
        <f>IF('Additional Chemicals'!B456 = "", "", IF('Additional Chemicals-WUO_ERR'!A456 = "", "Validated", HYPERLINK("#" &amp; ADDRESS(456, 'Additional Chemicals-WUO_TRK'!A456),_xlfn.TEXTAFTER('Additional Chemicals-WUO_ERR'!A456, ":"))))</f>
        <v>0</v>
      </c>
    </row>
    <row r="457" spans="1:1">
      <c r="A457" s="39">
        <f>IF('Additional Chemicals'!B457 = "", "", IF('Additional Chemicals-WUO_ERR'!A457 = "", "Validated", HYPERLINK("#" &amp; ADDRESS(457, 'Additional Chemicals-WUO_TRK'!A457),_xlfn.TEXTAFTER('Additional Chemicals-WUO_ERR'!A457, ":"))))</f>
        <v>0</v>
      </c>
    </row>
    <row r="458" spans="1:1">
      <c r="A458" s="39">
        <f>IF('Additional Chemicals'!B458 = "", "", IF('Additional Chemicals-WUO_ERR'!A458 = "", "Validated", HYPERLINK("#" &amp; ADDRESS(458, 'Additional Chemicals-WUO_TRK'!A458),_xlfn.TEXTAFTER('Additional Chemicals-WUO_ERR'!A458, ":"))))</f>
        <v>0</v>
      </c>
    </row>
    <row r="459" spans="1:1">
      <c r="A459" s="39">
        <f>IF('Additional Chemicals'!B459 = "", "", IF('Additional Chemicals-WUO_ERR'!A459 = "", "Validated", HYPERLINK("#" &amp; ADDRESS(459, 'Additional Chemicals-WUO_TRK'!A459),_xlfn.TEXTAFTER('Additional Chemicals-WUO_ERR'!A459, ":"))))</f>
        <v>0</v>
      </c>
    </row>
    <row r="460" spans="1:1">
      <c r="A460" s="39">
        <f>IF('Additional Chemicals'!B460 = "", "", IF('Additional Chemicals-WUO_ERR'!A460 = "", "Validated", HYPERLINK("#" &amp; ADDRESS(460, 'Additional Chemicals-WUO_TRK'!A460),_xlfn.TEXTAFTER('Additional Chemicals-WUO_ERR'!A460, ":"))))</f>
        <v>0</v>
      </c>
    </row>
    <row r="461" spans="1:1">
      <c r="A461" s="39">
        <f>IF('Additional Chemicals'!B461 = "", "", IF('Additional Chemicals-WUO_ERR'!A461 = "", "Validated", HYPERLINK("#" &amp; ADDRESS(461, 'Additional Chemicals-WUO_TRK'!A461),_xlfn.TEXTAFTER('Additional Chemicals-WUO_ERR'!A461, ":"))))</f>
        <v>0</v>
      </c>
    </row>
    <row r="462" spans="1:1">
      <c r="A462" s="39">
        <f>IF('Additional Chemicals'!B462 = "", "", IF('Additional Chemicals-WUO_ERR'!A462 = "", "Validated", HYPERLINK("#" &amp; ADDRESS(462, 'Additional Chemicals-WUO_TRK'!A462),_xlfn.TEXTAFTER('Additional Chemicals-WUO_ERR'!A462, ":"))))</f>
        <v>0</v>
      </c>
    </row>
    <row r="463" spans="1:1">
      <c r="A463" s="39">
        <f>IF('Additional Chemicals'!B463 = "", "", IF('Additional Chemicals-WUO_ERR'!A463 = "", "Validated", HYPERLINK("#" &amp; ADDRESS(463, 'Additional Chemicals-WUO_TRK'!A463),_xlfn.TEXTAFTER('Additional Chemicals-WUO_ERR'!A463, ":"))))</f>
        <v>0</v>
      </c>
    </row>
    <row r="464" spans="1:1">
      <c r="A464" s="39">
        <f>IF('Additional Chemicals'!B464 = "", "", IF('Additional Chemicals-WUO_ERR'!A464 = "", "Validated", HYPERLINK("#" &amp; ADDRESS(464, 'Additional Chemicals-WUO_TRK'!A464),_xlfn.TEXTAFTER('Additional Chemicals-WUO_ERR'!A464, ":"))))</f>
        <v>0</v>
      </c>
    </row>
    <row r="465" spans="1:1">
      <c r="A465" s="39">
        <f>IF('Additional Chemicals'!B465 = "", "", IF('Additional Chemicals-WUO_ERR'!A465 = "", "Validated", HYPERLINK("#" &amp; ADDRESS(465, 'Additional Chemicals-WUO_TRK'!A465),_xlfn.TEXTAFTER('Additional Chemicals-WUO_ERR'!A465, ":"))))</f>
        <v>0</v>
      </c>
    </row>
    <row r="466" spans="1:1">
      <c r="A466" s="39">
        <f>IF('Additional Chemicals'!B466 = "", "", IF('Additional Chemicals-WUO_ERR'!A466 = "", "Validated", HYPERLINK("#" &amp; ADDRESS(466, 'Additional Chemicals-WUO_TRK'!A466),_xlfn.TEXTAFTER('Additional Chemicals-WUO_ERR'!A466, ":"))))</f>
        <v>0</v>
      </c>
    </row>
    <row r="467" spans="1:1">
      <c r="A467" s="39">
        <f>IF('Additional Chemicals'!B467 = "", "", IF('Additional Chemicals-WUO_ERR'!A467 = "", "Validated", HYPERLINK("#" &amp; ADDRESS(467, 'Additional Chemicals-WUO_TRK'!A467),_xlfn.TEXTAFTER('Additional Chemicals-WUO_ERR'!A467, ":"))))</f>
        <v>0</v>
      </c>
    </row>
    <row r="468" spans="1:1">
      <c r="A468" s="39">
        <f>IF('Additional Chemicals'!B468 = "", "", IF('Additional Chemicals-WUO_ERR'!A468 = "", "Validated", HYPERLINK("#" &amp; ADDRESS(468, 'Additional Chemicals-WUO_TRK'!A468),_xlfn.TEXTAFTER('Additional Chemicals-WUO_ERR'!A468, ":"))))</f>
        <v>0</v>
      </c>
    </row>
    <row r="469" spans="1:1">
      <c r="A469" s="39">
        <f>IF('Additional Chemicals'!B469 = "", "", IF('Additional Chemicals-WUO_ERR'!A469 = "", "Validated", HYPERLINK("#" &amp; ADDRESS(469, 'Additional Chemicals-WUO_TRK'!A469),_xlfn.TEXTAFTER('Additional Chemicals-WUO_ERR'!A469, ":"))))</f>
        <v>0</v>
      </c>
    </row>
    <row r="470" spans="1:1">
      <c r="A470" s="39">
        <f>IF('Additional Chemicals'!B470 = "", "", IF('Additional Chemicals-WUO_ERR'!A470 = "", "Validated", HYPERLINK("#" &amp; ADDRESS(470, 'Additional Chemicals-WUO_TRK'!A470),_xlfn.TEXTAFTER('Additional Chemicals-WUO_ERR'!A470, ":"))))</f>
        <v>0</v>
      </c>
    </row>
    <row r="471" spans="1:1">
      <c r="A471" s="39">
        <f>IF('Additional Chemicals'!B471 = "", "", IF('Additional Chemicals-WUO_ERR'!A471 = "", "Validated", HYPERLINK("#" &amp; ADDRESS(471, 'Additional Chemicals-WUO_TRK'!A471),_xlfn.TEXTAFTER('Additional Chemicals-WUO_ERR'!A471, ":"))))</f>
        <v>0</v>
      </c>
    </row>
    <row r="472" spans="1:1">
      <c r="A472" s="39">
        <f>IF('Additional Chemicals'!B472 = "", "", IF('Additional Chemicals-WUO_ERR'!A472 = "", "Validated", HYPERLINK("#" &amp; ADDRESS(472, 'Additional Chemicals-WUO_TRK'!A472),_xlfn.TEXTAFTER('Additional Chemicals-WUO_ERR'!A472, ":"))))</f>
        <v>0</v>
      </c>
    </row>
    <row r="473" spans="1:1">
      <c r="A473" s="39">
        <f>IF('Additional Chemicals'!B473 = "", "", IF('Additional Chemicals-WUO_ERR'!A473 = "", "Validated", HYPERLINK("#" &amp; ADDRESS(473, 'Additional Chemicals-WUO_TRK'!A473),_xlfn.TEXTAFTER('Additional Chemicals-WUO_ERR'!A473, ":"))))</f>
        <v>0</v>
      </c>
    </row>
    <row r="474" spans="1:1">
      <c r="A474" s="39">
        <f>IF('Additional Chemicals'!B474 = "", "", IF('Additional Chemicals-WUO_ERR'!A474 = "", "Validated", HYPERLINK("#" &amp; ADDRESS(474, 'Additional Chemicals-WUO_TRK'!A474),_xlfn.TEXTAFTER('Additional Chemicals-WUO_ERR'!A474, ":"))))</f>
        <v>0</v>
      </c>
    </row>
    <row r="475" spans="1:1">
      <c r="A475" s="39">
        <f>IF('Additional Chemicals'!B475 = "", "", IF('Additional Chemicals-WUO_ERR'!A475 = "", "Validated", HYPERLINK("#" &amp; ADDRESS(475, 'Additional Chemicals-WUO_TRK'!A475),_xlfn.TEXTAFTER('Additional Chemicals-WUO_ERR'!A475, ":"))))</f>
        <v>0</v>
      </c>
    </row>
    <row r="476" spans="1:1">
      <c r="A476" s="39">
        <f>IF('Additional Chemicals'!B476 = "", "", IF('Additional Chemicals-WUO_ERR'!A476 = "", "Validated", HYPERLINK("#" &amp; ADDRESS(476, 'Additional Chemicals-WUO_TRK'!A476),_xlfn.TEXTAFTER('Additional Chemicals-WUO_ERR'!A476, ":"))))</f>
        <v>0</v>
      </c>
    </row>
    <row r="477" spans="1:1">
      <c r="A477" s="39">
        <f>IF('Additional Chemicals'!B477 = "", "", IF('Additional Chemicals-WUO_ERR'!A477 = "", "Validated", HYPERLINK("#" &amp; ADDRESS(477, 'Additional Chemicals-WUO_TRK'!A477),_xlfn.TEXTAFTER('Additional Chemicals-WUO_ERR'!A477, ":"))))</f>
        <v>0</v>
      </c>
    </row>
    <row r="478" spans="1:1">
      <c r="A478" s="39">
        <f>IF('Additional Chemicals'!B478 = "", "", IF('Additional Chemicals-WUO_ERR'!A478 = "", "Validated", HYPERLINK("#" &amp; ADDRESS(478, 'Additional Chemicals-WUO_TRK'!A478),_xlfn.TEXTAFTER('Additional Chemicals-WUO_ERR'!A478, ":"))))</f>
        <v>0</v>
      </c>
    </row>
    <row r="479" spans="1:1">
      <c r="A479" s="39">
        <f>IF('Additional Chemicals'!B479 = "", "", IF('Additional Chemicals-WUO_ERR'!A479 = "", "Validated", HYPERLINK("#" &amp; ADDRESS(479, 'Additional Chemicals-WUO_TRK'!A479),_xlfn.TEXTAFTER('Additional Chemicals-WUO_ERR'!A479, ":"))))</f>
        <v>0</v>
      </c>
    </row>
    <row r="480" spans="1:1">
      <c r="A480" s="39">
        <f>IF('Additional Chemicals'!B480 = "", "", IF('Additional Chemicals-WUO_ERR'!A480 = "", "Validated", HYPERLINK("#" &amp; ADDRESS(480, 'Additional Chemicals-WUO_TRK'!A480),_xlfn.TEXTAFTER('Additional Chemicals-WUO_ERR'!A480, ":"))))</f>
        <v>0</v>
      </c>
    </row>
    <row r="481" spans="1:1">
      <c r="A481" s="39">
        <f>IF('Additional Chemicals'!B481 = "", "", IF('Additional Chemicals-WUO_ERR'!A481 = "", "Validated", HYPERLINK("#" &amp; ADDRESS(481, 'Additional Chemicals-WUO_TRK'!A481),_xlfn.TEXTAFTER('Additional Chemicals-WUO_ERR'!A481, ":"))))</f>
        <v>0</v>
      </c>
    </row>
    <row r="482" spans="1:1">
      <c r="A482" s="39">
        <f>IF('Additional Chemicals'!B482 = "", "", IF('Additional Chemicals-WUO_ERR'!A482 = "", "Validated", HYPERLINK("#" &amp; ADDRESS(482, 'Additional Chemicals-WUO_TRK'!A482),_xlfn.TEXTAFTER('Additional Chemicals-WUO_ERR'!A482, ":"))))</f>
        <v>0</v>
      </c>
    </row>
    <row r="483" spans="1:1">
      <c r="A483" s="39">
        <f>IF('Additional Chemicals'!B483 = "", "", IF('Additional Chemicals-WUO_ERR'!A483 = "", "Validated", HYPERLINK("#" &amp; ADDRESS(483, 'Additional Chemicals-WUO_TRK'!A483),_xlfn.TEXTAFTER('Additional Chemicals-WUO_ERR'!A483, ":"))))</f>
        <v>0</v>
      </c>
    </row>
    <row r="484" spans="1:1">
      <c r="A484" s="39">
        <f>IF('Additional Chemicals'!B484 = "", "", IF('Additional Chemicals-WUO_ERR'!A484 = "", "Validated", HYPERLINK("#" &amp; ADDRESS(484, 'Additional Chemicals-WUO_TRK'!A484),_xlfn.TEXTAFTER('Additional Chemicals-WUO_ERR'!A484, ":"))))</f>
        <v>0</v>
      </c>
    </row>
    <row r="485" spans="1:1">
      <c r="A485" s="39">
        <f>IF('Additional Chemicals'!B485 = "", "", IF('Additional Chemicals-WUO_ERR'!A485 = "", "Validated", HYPERLINK("#" &amp; ADDRESS(485, 'Additional Chemicals-WUO_TRK'!A485),_xlfn.TEXTAFTER('Additional Chemicals-WUO_ERR'!A485, ":"))))</f>
        <v>0</v>
      </c>
    </row>
    <row r="486" spans="1:1">
      <c r="A486" s="39">
        <f>IF('Additional Chemicals'!B486 = "", "", IF('Additional Chemicals-WUO_ERR'!A486 = "", "Validated", HYPERLINK("#" &amp; ADDRESS(486, 'Additional Chemicals-WUO_TRK'!A486),_xlfn.TEXTAFTER('Additional Chemicals-WUO_ERR'!A486, ":"))))</f>
        <v>0</v>
      </c>
    </row>
    <row r="487" spans="1:1">
      <c r="A487" s="39">
        <f>IF('Additional Chemicals'!B487 = "", "", IF('Additional Chemicals-WUO_ERR'!A487 = "", "Validated", HYPERLINK("#" &amp; ADDRESS(487, 'Additional Chemicals-WUO_TRK'!A487),_xlfn.TEXTAFTER('Additional Chemicals-WUO_ERR'!A487, ":"))))</f>
        <v>0</v>
      </c>
    </row>
    <row r="488" spans="1:1">
      <c r="A488" s="39">
        <f>IF('Additional Chemicals'!B488 = "", "", IF('Additional Chemicals-WUO_ERR'!A488 = "", "Validated", HYPERLINK("#" &amp; ADDRESS(488, 'Additional Chemicals-WUO_TRK'!A488),_xlfn.TEXTAFTER('Additional Chemicals-WUO_ERR'!A488, ":"))))</f>
        <v>0</v>
      </c>
    </row>
    <row r="489" spans="1:1">
      <c r="A489" s="39">
        <f>IF('Additional Chemicals'!B489 = "", "", IF('Additional Chemicals-WUO_ERR'!A489 = "", "Validated", HYPERLINK("#" &amp; ADDRESS(489, 'Additional Chemicals-WUO_TRK'!A489),_xlfn.TEXTAFTER('Additional Chemicals-WUO_ERR'!A489, ":"))))</f>
        <v>0</v>
      </c>
    </row>
    <row r="490" spans="1:1">
      <c r="A490" s="39">
        <f>IF('Additional Chemicals'!B490 = "", "", IF('Additional Chemicals-WUO_ERR'!A490 = "", "Validated", HYPERLINK("#" &amp; ADDRESS(490, 'Additional Chemicals-WUO_TRK'!A490),_xlfn.TEXTAFTER('Additional Chemicals-WUO_ERR'!A490, ":"))))</f>
        <v>0</v>
      </c>
    </row>
    <row r="491" spans="1:1">
      <c r="A491" s="39">
        <f>IF('Additional Chemicals'!B491 = "", "", IF('Additional Chemicals-WUO_ERR'!A491 = "", "Validated", HYPERLINK("#" &amp; ADDRESS(491, 'Additional Chemicals-WUO_TRK'!A491),_xlfn.TEXTAFTER('Additional Chemicals-WUO_ERR'!A491, ":"))))</f>
        <v>0</v>
      </c>
    </row>
    <row r="492" spans="1:1">
      <c r="A492" s="39">
        <f>IF('Additional Chemicals'!B492 = "", "", IF('Additional Chemicals-WUO_ERR'!A492 = "", "Validated", HYPERLINK("#" &amp; ADDRESS(492, 'Additional Chemicals-WUO_TRK'!A492),_xlfn.TEXTAFTER('Additional Chemicals-WUO_ERR'!A492, ":"))))</f>
        <v>0</v>
      </c>
    </row>
    <row r="493" spans="1:1">
      <c r="A493" s="39">
        <f>IF('Additional Chemicals'!B493 = "", "", IF('Additional Chemicals-WUO_ERR'!A493 = "", "Validated", HYPERLINK("#" &amp; ADDRESS(493, 'Additional Chemicals-WUO_TRK'!A493),_xlfn.TEXTAFTER('Additional Chemicals-WUO_ERR'!A493, ":"))))</f>
        <v>0</v>
      </c>
    </row>
    <row r="494" spans="1:1">
      <c r="A494" s="39">
        <f>IF('Additional Chemicals'!B494 = "", "", IF('Additional Chemicals-WUO_ERR'!A494 = "", "Validated", HYPERLINK("#" &amp; ADDRESS(494, 'Additional Chemicals-WUO_TRK'!A494),_xlfn.TEXTAFTER('Additional Chemicals-WUO_ERR'!A494, ":"))))</f>
        <v>0</v>
      </c>
    </row>
    <row r="495" spans="1:1">
      <c r="A495" s="39">
        <f>IF('Additional Chemicals'!B495 = "", "", IF('Additional Chemicals-WUO_ERR'!A495 = "", "Validated", HYPERLINK("#" &amp; ADDRESS(495, 'Additional Chemicals-WUO_TRK'!A495),_xlfn.TEXTAFTER('Additional Chemicals-WUO_ERR'!A495, ":"))))</f>
        <v>0</v>
      </c>
    </row>
    <row r="496" spans="1:1">
      <c r="A496" s="39">
        <f>IF('Additional Chemicals'!B496 = "", "", IF('Additional Chemicals-WUO_ERR'!A496 = "", "Validated", HYPERLINK("#" &amp; ADDRESS(496, 'Additional Chemicals-WUO_TRK'!A496),_xlfn.TEXTAFTER('Additional Chemicals-WUO_ERR'!A496, ":"))))</f>
        <v>0</v>
      </c>
    </row>
    <row r="497" spans="1:1">
      <c r="A497" s="39">
        <f>IF('Additional Chemicals'!B497 = "", "", IF('Additional Chemicals-WUO_ERR'!A497 = "", "Validated", HYPERLINK("#" &amp; ADDRESS(497, 'Additional Chemicals-WUO_TRK'!A497),_xlfn.TEXTAFTER('Additional Chemicals-WUO_ERR'!A497, ":"))))</f>
        <v>0</v>
      </c>
    </row>
    <row r="498" spans="1:1">
      <c r="A498" s="39">
        <f>IF('Additional Chemicals'!B498 = "", "", IF('Additional Chemicals-WUO_ERR'!A498 = "", "Validated", HYPERLINK("#" &amp; ADDRESS(498, 'Additional Chemicals-WUO_TRK'!A498),_xlfn.TEXTAFTER('Additional Chemicals-WUO_ERR'!A498, ":"))))</f>
        <v>0</v>
      </c>
    </row>
    <row r="499" spans="1:1">
      <c r="A499" s="39">
        <f>IF('Additional Chemicals'!B499 = "", "", IF('Additional Chemicals-WUO_ERR'!A499 = "", "Validated", HYPERLINK("#" &amp; ADDRESS(499, 'Additional Chemicals-WUO_TRK'!A499),_xlfn.TEXTAFTER('Additional Chemicals-WUO_ERR'!A499, ":"))))</f>
        <v>0</v>
      </c>
    </row>
    <row r="500" spans="1:1">
      <c r="A500" s="39">
        <f>IF('Additional Chemicals'!B500 = "", "", IF('Additional Chemicals-WUO_ERR'!A500 = "", "Validated", HYPERLINK("#" &amp; ADDRESS(500, 'Additional Chemicals-WUO_TRK'!A500),_xlfn.TEXTAFTER('Additional Chemicals-WUO_ERR'!A500, ":"))))</f>
        <v>0</v>
      </c>
    </row>
    <row r="501" spans="1:1">
      <c r="A501" s="39">
        <f>IF('Additional Chemicals'!B501 = "", "", IF('Additional Chemicals-WUO_ERR'!A501 = "", "Validated", HYPERLINK("#" &amp; ADDRESS(501, 'Additional Chemicals-WUO_TRK'!A501),_xlfn.TEXTAFTER('Additional Chemicals-WUO_ERR'!A501, ":"))))</f>
        <v>0</v>
      </c>
    </row>
    <row r="502" spans="1:1">
      <c r="A502" s="39">
        <f>IF('Additional Chemicals'!B502 = "", "", IF('Additional Chemicals-WUO_ERR'!A502 = "", "Validated", HYPERLINK("#" &amp; ADDRESS(502, 'Additional Chemicals-WUO_TRK'!A502),_xlfn.TEXTAFTER('Additional Chemicals-WUO_ERR'!A502, ":"))))</f>
        <v>0</v>
      </c>
    </row>
    <row r="503" spans="1:1">
      <c r="A503" s="39">
        <f>IF('Additional Chemicals'!B503 = "", "", IF('Additional Chemicals-WUO_ERR'!A503 = "", "Validated", HYPERLINK("#" &amp; ADDRESS(503, 'Additional Chemicals-WUO_TRK'!A503),_xlfn.TEXTAFTER('Additional Chemicals-WUO_ERR'!A503, ":"))))</f>
        <v>0</v>
      </c>
    </row>
    <row r="504" spans="1:1">
      <c r="A504" s="39">
        <f>IF('Additional Chemicals'!B504 = "", "", IF('Additional Chemicals-WUO_ERR'!A504 = "", "Validated", HYPERLINK("#" &amp; ADDRESS(504, 'Additional Chemicals-WUO_TRK'!A504),_xlfn.TEXTAFTER('Additional Chemicals-WUO_ERR'!A504, ":"))))</f>
        <v>0</v>
      </c>
    </row>
    <row r="505" spans="1:1">
      <c r="A505" s="39">
        <f>IF('Additional Chemicals'!B505 = "", "", IF('Additional Chemicals-WUO_ERR'!A505 = "", "Validated", HYPERLINK("#" &amp; ADDRESS(505, 'Additional Chemicals-WUO_TRK'!A505),_xlfn.TEXTAFTER('Additional Chemicals-WUO_ERR'!A505, ":"))))</f>
        <v>0</v>
      </c>
    </row>
    <row r="506" spans="1:1">
      <c r="A506" s="39">
        <f>IF('Additional Chemicals'!B506 = "", "", IF('Additional Chemicals-WUO_ERR'!A506 = "", "Validated", HYPERLINK("#" &amp; ADDRESS(506, 'Additional Chemicals-WUO_TRK'!A506),_xlfn.TEXTAFTER('Additional Chemicals-WUO_ERR'!A506, ":"))))</f>
        <v>0</v>
      </c>
    </row>
    <row r="507" spans="1:1">
      <c r="A507" s="39">
        <f>IF('Additional Chemicals'!B507 = "", "", IF('Additional Chemicals-WUO_ERR'!A507 = "", "Validated", HYPERLINK("#" &amp; ADDRESS(507, 'Additional Chemicals-WUO_TRK'!A507),_xlfn.TEXTAFTER('Additional Chemicals-WUO_ERR'!A507, ":"))))</f>
        <v>0</v>
      </c>
    </row>
  </sheetData>
  <sheetProtection password="8F06" sheet="1" objects="1" scenarios="1" formatColumns="0" formatRows="0"/>
  <protectedRanges>
    <protectedRange sqref="B7:E10000" name="Range1"/>
  </protectedRanges>
  <mergeCells count="1">
    <mergeCell ref="C2:D2"/>
  </mergeCells>
  <conditionalFormatting sqref="A7:A507">
    <cfRule type="expression" dxfId="4" priority="5">
      <formula>A7="Validated"</formula>
    </cfRule>
    <cfRule type="expression" dxfId="5" priority="6">
      <formula>OR(COUNTIF('Additional Chemicals-WUO_TRK'!B7:E7,"Error"),COUNTIF('Additional Chemicals-WUO_TRK'!B7:E7,"Required"))</formula>
    </cfRule>
    <cfRule type="expression" dxfId="6" priority="7">
      <formula>COUNTIF('Additional Chemicals-WUO_TRK'!B7:E7,"Warning")</formula>
    </cfRule>
  </conditionalFormatting>
  <conditionalFormatting sqref="B7:E507">
    <cfRule type="expression" dxfId="0" priority="1">
      <formula>'Additional Chemicals-WUO_TRK'!B7="Error"</formula>
    </cfRule>
    <cfRule type="expression" dxfId="1" priority="2">
      <formula>'Additional Chemicals-WUO_TRK'!B7="Required"</formula>
    </cfRule>
    <cfRule type="expression" dxfId="2" priority="3">
      <formula>'Additional Chemicals-WUO_TRK'!B7="Warning"</formula>
    </cfRule>
    <cfRule type="expression" dxfId="3" priority="4">
      <formula>'Additional Chemicals-WUO_TRK'!B7="Disabled"</formula>
    </cfRule>
  </conditionalFormatting>
  <dataValidations count="1">
    <dataValidation type="list" allowBlank="1" showInputMessage="1" showErrorMessage="1" errorTitle="Invalid Chemical" error="The value provided is not a valid Chemical." promptTitle="Chemical" prompt="Please select a valid Chemical" sqref="C7:C2500">
      <formula1>'WAYFAIR_USE_ONLY'!$R$7:$R908</formula1>
    </dataValidation>
  </dataValidations>
  <hyperlinks>
    <hyperlink ref="C6" location="'Valid Values'!AG1" display="Select"/>
    <hyperlink ref="D6" location="'Valid Values'!AH1" display="Please choose one or more from the following, using a semicolon (;) to separate each value: Cancer; Developmental"/>
  </hyperlinks>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D7"/>
  <sheetViews>
    <sheetView workbookViewId="0"/>
  </sheetViews>
  <sheetFormatPr defaultRowHeight="15"/>
  <cols>
    <col min="2" max="2" width="25.7109375" style="22" customWidth="1"/>
    <col min="3" max="4" width="13.7109375" style="22" customWidth="1"/>
  </cols>
  <sheetData>
    <row r="1" spans="1:4" hidden="1">
      <c r="B1" s="22" t="s">
        <v>2221</v>
      </c>
      <c r="C1" s="22" t="s">
        <v>2467</v>
      </c>
      <c r="D1" s="22" t="s">
        <v>2470</v>
      </c>
    </row>
    <row r="3" spans="1:4">
      <c r="B3" s="32" t="s">
        <v>58</v>
      </c>
      <c r="C3" s="32" t="s">
        <v>64</v>
      </c>
      <c r="D3" s="32" t="s">
        <v>64</v>
      </c>
    </row>
    <row r="4" spans="1:4" ht="50" customHeight="1">
      <c r="B4" s="19" t="s">
        <v>2222</v>
      </c>
      <c r="C4" s="19" t="s">
        <v>2573</v>
      </c>
      <c r="D4" s="19" t="s">
        <v>2574</v>
      </c>
    </row>
    <row r="5" spans="1:4" ht="50" customHeight="1">
      <c r="B5" s="35" t="s">
        <v>2223</v>
      </c>
      <c r="C5" s="35" t="s">
        <v>2469</v>
      </c>
      <c r="D5" s="35" t="s">
        <v>2472</v>
      </c>
    </row>
    <row r="6" spans="1:4" ht="50" customHeight="1">
      <c r="B6" s="35" t="s">
        <v>67</v>
      </c>
      <c r="C6" s="36" t="s">
        <v>2232</v>
      </c>
      <c r="D6" s="36" t="s">
        <v>2473</v>
      </c>
    </row>
    <row r="7" spans="1:4">
      <c r="A7" cm="1">
        <f t="array" ref="A7">_xlfn.BYROW(B7:E507, _xlfn.LAMBDA(_xlpm.r, _xlfn.LET(_xlpm.high_priority, IFERROR(INDEX(_xlpm.r, MATCH(TRUE, (_xlpm.r &lt;&gt; "") * ((LEFT(_xlpm.r, 2) = "1:") + (LEFT(_xlpm.r, 2) = "3:")) &gt; 0, 0)), ""), IF(_xlpm.high_priority &lt;&gt; "", _xlpm.high_priority, IFERROR(INDEX(_xlpm.r, MATCH(TRUE, (_xlpm.r &lt;&gt; "") * (LEFT(_xlpm.r, 2) = "4:") &gt; 0, 0)), "")))))</f>
        <v>0</v>
      </c>
      <c r="B7" s="22" cm="1">
        <f t="array" ref="B7">_xlfn.MAP('Additional Chemicals'!B7:B507, 'Additional Chemicals'!B7:B507,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"3:Supplier Part Number - Value is required", ""))))))))</f>
        <v>0</v>
      </c>
      <c r="C7" s="22" cm="1">
        <f t="array" ref="C7">_xlfn.MAP('Additional Chemicals'!B7:B507, 'Additional Chemicals'!C7:C507, 'Additional Chemicals'!D7:D507, _xlfn.LAMBDA(_xlpm.part, _xlpm.val, _xlpm.dep1, IF(_xlpm.part = "", "", _xlfn.LET(_xlpm.check1, IF(AND(_xlpm.val = "", C$3="Required"), "3:Chemical - Value is required", ""), IF(LEN(_xlpm.check1) &gt; 0, _xlpm.check1, IF(_xlpm.dep1 &lt;&gt; "", IF(_xlpm.val = "", "3:Please provide a chemical", ""), ""))))))</f>
        <v>0</v>
      </c>
      <c r="D7" s="22" cm="1">
        <f t="array" ref="D7">_xlfn.MAP('Additional Chemicals'!B7:B507, 'Additional Chemicals'!D7:D507, 'Additional Chemicals'!C7:C507, _xlfn.LAMBDA(_xlpm.part, _xlpm.val, _xlpm.dep1, IF(_xlpm.part = "", "", _xlfn.LET(_xlpm.check1, IF(NOT(ISBLANK(_xlpm.val)),_xlfn.LET(_xlpm.items, _xlfn.TEXTSPLIT(_xlpm.val, ";"),_xlpm.trimmed, _xlfn.MAP(_xlpm.items, _xlfn.LAMBDA(_xlpm.x, TRIM(_xlpm.x))),_xlpm.invalid, _xlfn._xlws.FILTER(_xlpm.trimmed, ISNA(MATCH(_xlpm.trimmed, allowedpropSixtyFive__toxicity, 0)), ""),IF(AND(_xlpm.invalid&lt;&gt;"", COUNTA(_xlpm.invalid)&gt;0),"1:Please select valid values from the provided list. Answers are case-sensitive and must be separated by a semicolon.","")), ""), IF(LEN(_xlpm.check1) &gt; 0, _xlpm.check1, _xlfn.LET(_xlpm.check2, IF(AND(_xlpm.val = "", D$3="Required"), "3:Toxicity - Value is required", ""), IF(LEN(_xlpm.check2) &gt; 0, _xlpm.check2, IF(_xlpm.dep1 &lt;&gt; "", IF(_xlpm.val = "", "3:Please select a toxicity from the provided dropdown", ""), ""))))))))</f>
        <v>0</v>
      </c>
    </row>
  </sheetData>
  <sheetProtection password="D0D7" sheet="1" objects="1" scenarios="1"/>
  <hyperlinks>
    <hyperlink ref="C6" location="'Valid Values'!AG1" display="Select"/>
    <hyperlink ref="D6" location="'Valid Values'!AH1" display="Please choose one or more from the following, using a semicolon (;) to separate each value: Cancer; Developmental"/>
  </hyperlinks>
  <pageMargins left="0.7" right="0.7" top="0.75" bottom="0.75" header="0.3" footer="0.3"/>
</worksheet>
</file>

<file path=xl/worksheets/sheet24.xml><?xml version="1.0" encoding="utf-8"?>
<worksheet xmlns="http://schemas.openxmlformats.org/spreadsheetml/2006/main" xmlns:r="http://schemas.openxmlformats.org/officeDocument/2006/relationships">
  <dimension ref="A1:D7"/>
  <sheetViews>
    <sheetView workbookViewId="0"/>
  </sheetViews>
  <sheetFormatPr defaultRowHeight="15"/>
  <cols>
    <col min="2" max="2" width="25.7109375" style="22" customWidth="1"/>
    <col min="3" max="4" width="13.7109375" style="22" customWidth="1"/>
  </cols>
  <sheetData>
    <row r="1" spans="1:4" hidden="1">
      <c r="B1" s="22" t="s">
        <v>2221</v>
      </c>
      <c r="C1" s="22" t="s">
        <v>2467</v>
      </c>
      <c r="D1" s="22" t="s">
        <v>2470</v>
      </c>
    </row>
    <row r="3" spans="1:4">
      <c r="B3" s="32" t="s">
        <v>58</v>
      </c>
      <c r="C3" s="32" t="s">
        <v>64</v>
      </c>
      <c r="D3" s="32" t="s">
        <v>64</v>
      </c>
    </row>
    <row r="4" spans="1:4" ht="50" customHeight="1">
      <c r="B4" s="19" t="s">
        <v>2222</v>
      </c>
      <c r="C4" s="19" t="s">
        <v>2573</v>
      </c>
      <c r="D4" s="19" t="s">
        <v>2574</v>
      </c>
    </row>
    <row r="5" spans="1:4" ht="50" customHeight="1">
      <c r="B5" s="35" t="s">
        <v>2223</v>
      </c>
      <c r="C5" s="35" t="s">
        <v>2469</v>
      </c>
      <c r="D5" s="35" t="s">
        <v>2472</v>
      </c>
    </row>
    <row r="6" spans="1:4" ht="50" customHeight="1">
      <c r="B6" s="35" t="s">
        <v>67</v>
      </c>
      <c r="C6" s="36" t="s">
        <v>2232</v>
      </c>
      <c r="D6" s="36" t="s">
        <v>2473</v>
      </c>
    </row>
    <row r="7" spans="1:4">
      <c r="A7" cm="1">
        <f t="array" ref="A7">_xlfn.BYROW(B7:E507, _xlfn.LAMBDA(_xlpm.r, _xlfn.LET(_xlpm.high_priority_idx, IFERROR(MATCH(TRUE, (_xlpm.r = "Error") + (_xlpm.r = "Required") &gt; 0, 0), 0), IF(_xlpm.high_priority_idx &gt; 0, _xlpm.high_priority_idx + 1, IFERROR(MATCH(1, (_xlpm.r = "Warning") * 1, 0) + 1, "")))))</f>
        <v>0</v>
      </c>
      <c r="B7" s="22" cm="1">
        <f t="array" ref="B7">_xlfn.MAP('Additional Chemicals'!B7:B507, 'Additional Chemicals'!B7:B507, 'Additional Chemicals-WUO_ERR'!B7:B507, _xlfn.LAMBDA(_xlpm.part, _xlpm.val, _xlpm.error, IF(_xlpm.part = "", "", IF(LEN(_xlpm.error), _xlfn.SWITCH(IFERROR(_xlfn.TEXTBEFORE(_xlpm.error,":"), ""), "1", "Error", "2", "Disabled", "3", "Required", "4", "Warning", "Valid"), "Valid"))))</f>
        <v>0</v>
      </c>
      <c r="C7" s="22" cm="1">
        <f t="array" ref="C7">_xlfn.MAP('Additional Chemicals'!B7:B507, 'Additional Chemicals'!C7:C507, 'Additional Chemicals-WUO_ERR'!C7:C507, _xlfn.LAMBDA(_xlpm.part, _xlpm.val, _xlpm.error, IF(_xlpm.part = "", "", IF(LEN(_xlpm.error), _xlfn.SWITCH(IFERROR(_xlfn.TEXTBEFORE(_xlpm.error,":"), ""), "1", "Error", "2", "Disabled", "3", "Required", "4", "Warning", "Valid"), "Valid"))))</f>
        <v>0</v>
      </c>
      <c r="D7" s="22" cm="1">
        <f t="array" ref="D7">_xlfn.MAP('Additional Chemicals'!B7:B507, 'Additional Chemicals'!D7:D507, 'Additional Chemicals-WUO_ERR'!D7:D507, _xlfn.LAMBDA(_xlpm.part, _xlpm.val, _xlpm.error, IF(_xlpm.part = "", "", IF(LEN(_xlpm.error), _xlfn.SWITCH(IFERROR(_xlfn.TEXTBEFORE(_xlpm.error,":"), ""), "1", "Error", "2", "Disabled", "3", "Required", "4", "Warning", "Valid"), "Valid"))))</f>
        <v>0</v>
      </c>
    </row>
  </sheetData>
  <sheetProtection password="F8D0" sheet="1" objects="1" scenarios="1"/>
  <hyperlinks>
    <hyperlink ref="C6" location="'Valid Values'!AG1" display="Select"/>
    <hyperlink ref="D6" location="'Valid Values'!AH1" display="Please choose one or more from the following, using a semicolon (;) to separate each value: Cancer; Developmental"/>
  </hyperlinks>
  <pageMargins left="0.7" right="0.7" top="0.75" bottom="0.75" header="0.3" footer="0.3"/>
</worksheet>
</file>

<file path=xl/worksheets/sheet25.xml><?xml version="1.0" encoding="utf-8"?>
<worksheet xmlns="http://schemas.openxmlformats.org/spreadsheetml/2006/main" xmlns:r="http://schemas.openxmlformats.org/officeDocument/2006/relationships">
  <dimension ref="A1:BF902"/>
  <sheetViews>
    <sheetView workbookViewId="0"/>
  </sheetViews>
  <sheetFormatPr defaultRowHeight="15"/>
  <cols>
    <col min="1" max="1" width="10.7109375" customWidth="1"/>
    <col min="2" max="2" width="17.7109375" customWidth="1"/>
    <col min="3" max="4" width="52.7109375" customWidth="1"/>
    <col min="5" max="5" width="14.7109375" customWidth="1"/>
    <col min="6" max="6" width="18.7109375" customWidth="1"/>
    <col min="7" max="7" width="14.7109375" customWidth="1"/>
    <col min="8" max="8" width="26.7109375" customWidth="1"/>
    <col min="9" max="9" width="18.7109375" customWidth="1"/>
    <col min="10" max="10" width="24.7109375" customWidth="1"/>
    <col min="11" max="11" width="20.7109375" customWidth="1"/>
    <col min="12" max="12" width="17.7109375" customWidth="1"/>
    <col min="13" max="13" width="12.7109375" customWidth="1"/>
    <col min="14" max="14" width="17.7109375" customWidth="1"/>
    <col min="15" max="15" width="13.7109375" customWidth="1"/>
    <col min="16" max="16" width="24.7109375" customWidth="1"/>
    <col min="17" max="17" width="13.7109375" customWidth="1"/>
    <col min="18" max="18" width="23.7109375" customWidth="1"/>
    <col min="19" max="19" width="43.7109375" customWidth="1"/>
    <col min="20" max="20" width="30.7109375" customWidth="1"/>
    <col min="21" max="21" width="15.7109375" customWidth="1"/>
    <col min="22" max="22" width="27.7109375" customWidth="1"/>
    <col min="23" max="23" width="10.7109375" customWidth="1"/>
    <col min="24" max="24" width="20.7109375" customWidth="1"/>
    <col min="25" max="25" width="29.7109375" customWidth="1"/>
    <col min="26" max="26" width="21.7109375" customWidth="1"/>
    <col min="27" max="27" width="14.7109375" customWidth="1"/>
    <col min="28" max="28" width="31.7109375" customWidth="1"/>
    <col min="29" max="29" width="108.7109375" customWidth="1"/>
    <col min="30" max="30" width="64.7109375" customWidth="1"/>
    <col min="31" max="31" width="27.7109375" customWidth="1"/>
    <col min="32" max="32" width="19.7109375" customWidth="1"/>
    <col min="33" max="34" width="13.7109375" customWidth="1"/>
    <col min="35" max="35" width="28.7109375" customWidth="1"/>
    <col min="36" max="36" width="17.7109375" customWidth="1"/>
    <col min="37" max="37" width="12.7109375" customWidth="1"/>
    <col min="38" max="38" width="22.7109375" customWidth="1"/>
    <col min="39" max="39" width="21.7109375" customWidth="1"/>
    <col min="40" max="40" width="15.7109375" customWidth="1"/>
    <col min="41" max="41" width="17.7109375" customWidth="1"/>
    <col min="42" max="42" width="43.7109375" customWidth="1"/>
    <col min="43" max="43" width="39.7109375" customWidth="1"/>
    <col min="44" max="44" width="15.7109375" customWidth="1"/>
    <col min="45" max="45" width="13.7109375" customWidth="1"/>
    <col min="46" max="46" width="17.7109375" customWidth="1"/>
    <col min="47" max="47" width="10.7109375" customWidth="1"/>
    <col min="48" max="48" width="17.7109375" customWidth="1"/>
    <col min="49" max="49" width="21.7109375" customWidth="1"/>
    <col min="50" max="50" width="29.7109375" customWidth="1"/>
    <col min="51" max="51" width="21.7109375" customWidth="1"/>
    <col min="52" max="52" width="13.7109375" customWidth="1"/>
    <col min="53" max="53" width="14.7109375" customWidth="1"/>
    <col min="54" max="54" width="11.7109375" customWidth="1"/>
    <col min="55" max="55" width="31.7109375" customWidth="1"/>
    <col min="56" max="56" width="108.7109375" customWidth="1"/>
    <col min="57" max="57" width="64.7109375" customWidth="1"/>
    <col min="58" max="58" width="27.7109375" customWidth="1"/>
  </cols>
  <sheetData>
    <row r="1" spans="1:58" ht="50" customHeight="1">
      <c r="A1" s="40" t="s">
        <v>2230</v>
      </c>
      <c r="B1" s="40" t="s">
        <v>2249</v>
      </c>
      <c r="C1" s="40" t="s">
        <v>2575</v>
      </c>
      <c r="D1" s="40" t="s">
        <v>2576</v>
      </c>
      <c r="E1" s="40" t="s">
        <v>2301</v>
      </c>
      <c r="F1" s="40" t="s">
        <v>2304</v>
      </c>
      <c r="G1" s="40" t="s">
        <v>2307</v>
      </c>
      <c r="H1" s="40" t="s">
        <v>2310</v>
      </c>
      <c r="I1" s="40" t="s">
        <v>2570</v>
      </c>
      <c r="J1" s="40" t="s">
        <v>2571</v>
      </c>
      <c r="K1" s="40" t="s">
        <v>2572</v>
      </c>
      <c r="L1" s="40" t="s">
        <v>2366</v>
      </c>
      <c r="M1" s="40" t="s">
        <v>2369</v>
      </c>
      <c r="N1" s="40" t="s">
        <v>2373</v>
      </c>
      <c r="O1" s="40" t="s">
        <v>2376</v>
      </c>
      <c r="P1" s="40" t="s">
        <v>2380</v>
      </c>
      <c r="Q1" s="40" t="s">
        <v>2387</v>
      </c>
      <c r="R1" s="40" t="s">
        <v>2391</v>
      </c>
      <c r="S1" s="40" t="s">
        <v>2394</v>
      </c>
      <c r="T1" s="40" t="s">
        <v>2401</v>
      </c>
      <c r="U1" s="40" t="s">
        <v>2404</v>
      </c>
      <c r="V1" s="40" t="s">
        <v>2408</v>
      </c>
      <c r="W1" s="40" t="s">
        <v>2200</v>
      </c>
      <c r="X1" s="40" t="s">
        <v>2418</v>
      </c>
      <c r="Y1" s="40" t="s">
        <v>2422</v>
      </c>
      <c r="Z1" s="40" t="s">
        <v>2426</v>
      </c>
      <c r="AA1" s="40" t="s">
        <v>2430</v>
      </c>
      <c r="AB1" s="40" t="s">
        <v>2443</v>
      </c>
      <c r="AC1" s="40" t="s">
        <v>2446</v>
      </c>
      <c r="AD1" s="40" t="s">
        <v>2449</v>
      </c>
      <c r="AE1" s="40" t="s">
        <v>2455</v>
      </c>
      <c r="AF1" s="40" t="s">
        <v>2459</v>
      </c>
      <c r="AG1" s="40" t="s">
        <v>2573</v>
      </c>
      <c r="AH1" s="40" t="s">
        <v>2574</v>
      </c>
      <c r="AI1" s="40" t="s">
        <v>2475</v>
      </c>
      <c r="AJ1" s="40" t="s">
        <v>2366</v>
      </c>
      <c r="AK1" s="40" t="s">
        <v>2488</v>
      </c>
      <c r="AL1" s="40" t="s">
        <v>2492</v>
      </c>
      <c r="AM1" s="40" t="s">
        <v>2495</v>
      </c>
      <c r="AN1" s="40" t="s">
        <v>2498</v>
      </c>
      <c r="AO1" s="40" t="s">
        <v>2502</v>
      </c>
      <c r="AP1" s="40" t="s">
        <v>2394</v>
      </c>
      <c r="AQ1" s="40" t="s">
        <v>2507</v>
      </c>
      <c r="AR1" s="40" t="s">
        <v>2404</v>
      </c>
      <c r="AS1" s="40" t="s">
        <v>2514</v>
      </c>
      <c r="AT1" s="40" t="s">
        <v>2518</v>
      </c>
      <c r="AU1" s="40" t="s">
        <v>2200</v>
      </c>
      <c r="AV1" s="40" t="s">
        <v>2526</v>
      </c>
      <c r="AW1" s="40" t="s">
        <v>2530</v>
      </c>
      <c r="AX1" s="40" t="s">
        <v>2422</v>
      </c>
      <c r="AY1" s="40" t="s">
        <v>2426</v>
      </c>
      <c r="AZ1" s="40" t="s">
        <v>2376</v>
      </c>
      <c r="BA1" s="40" t="s">
        <v>2430</v>
      </c>
      <c r="BB1" s="40" t="s">
        <v>2543</v>
      </c>
      <c r="BC1" s="40" t="s">
        <v>2443</v>
      </c>
      <c r="BD1" s="40" t="s">
        <v>2446</v>
      </c>
      <c r="BE1" s="40" t="s">
        <v>2449</v>
      </c>
      <c r="BF1" s="40" t="s">
        <v>2455</v>
      </c>
    </row>
    <row r="2" spans="1:58">
      <c r="A2" t="s">
        <v>1007</v>
      </c>
      <c r="B2" t="s">
        <v>2197</v>
      </c>
      <c r="C2" t="s">
        <v>2200</v>
      </c>
      <c r="D2" t="s">
        <v>2200</v>
      </c>
      <c r="E2" t="s">
        <v>2160</v>
      </c>
      <c r="F2" t="s">
        <v>2162</v>
      </c>
      <c r="G2" t="s">
        <v>2180</v>
      </c>
      <c r="H2" t="s">
        <v>2180</v>
      </c>
      <c r="I2" t="s">
        <v>2577</v>
      </c>
      <c r="J2" t="s">
        <v>2592</v>
      </c>
      <c r="K2" t="s">
        <v>1008</v>
      </c>
      <c r="L2" t="s">
        <v>924</v>
      </c>
      <c r="M2" t="s">
        <v>3109</v>
      </c>
      <c r="N2" t="s">
        <v>938</v>
      </c>
      <c r="O2" t="s">
        <v>3140</v>
      </c>
      <c r="P2" t="s">
        <v>3359</v>
      </c>
      <c r="Q2" t="s">
        <v>3378</v>
      </c>
      <c r="R2" t="s">
        <v>951</v>
      </c>
      <c r="S2" t="s">
        <v>3405</v>
      </c>
      <c r="T2" t="s">
        <v>976</v>
      </c>
      <c r="U2" t="s">
        <v>3409</v>
      </c>
      <c r="V2" t="s">
        <v>3428</v>
      </c>
      <c r="W2" t="s">
        <v>50</v>
      </c>
      <c r="X2" t="s">
        <v>3468</v>
      </c>
      <c r="Y2" t="s">
        <v>3470</v>
      </c>
      <c r="Z2" t="s">
        <v>3646</v>
      </c>
      <c r="AA2" t="s">
        <v>3653</v>
      </c>
      <c r="AB2" t="s">
        <v>981</v>
      </c>
      <c r="AC2" t="s">
        <v>948</v>
      </c>
      <c r="AD2" t="s">
        <v>949</v>
      </c>
      <c r="AE2" t="s">
        <v>3667</v>
      </c>
      <c r="AF2" t="s">
        <v>1005</v>
      </c>
      <c r="AG2" t="s">
        <v>1012</v>
      </c>
      <c r="AH2" t="s">
        <v>3670</v>
      </c>
      <c r="AI2" t="s">
        <v>1913</v>
      </c>
      <c r="AJ2" t="s">
        <v>2202</v>
      </c>
      <c r="AK2" t="s">
        <v>3672</v>
      </c>
      <c r="AL2" t="s">
        <v>2210</v>
      </c>
      <c r="AM2" t="s">
        <v>2214</v>
      </c>
      <c r="AN2" t="s">
        <v>3706</v>
      </c>
      <c r="AO2" t="s">
        <v>3709</v>
      </c>
      <c r="AP2" t="s">
        <v>3405</v>
      </c>
      <c r="AQ2" t="s">
        <v>3712</v>
      </c>
      <c r="AR2" t="s">
        <v>3409</v>
      </c>
      <c r="AS2" t="s">
        <v>3717</v>
      </c>
      <c r="AT2" t="s">
        <v>4027</v>
      </c>
      <c r="AU2" t="s">
        <v>50</v>
      </c>
      <c r="AV2" t="s">
        <v>4061</v>
      </c>
      <c r="AW2" t="s">
        <v>4125</v>
      </c>
      <c r="AX2" t="s">
        <v>3470</v>
      </c>
      <c r="AY2" t="s">
        <v>3646</v>
      </c>
      <c r="AZ2" t="s">
        <v>3150</v>
      </c>
      <c r="BA2" t="s">
        <v>3653</v>
      </c>
      <c r="BB2" t="s">
        <v>946</v>
      </c>
      <c r="BC2" t="s">
        <v>981</v>
      </c>
      <c r="BD2" t="s">
        <v>948</v>
      </c>
      <c r="BE2" t="s">
        <v>949</v>
      </c>
      <c r="BF2" t="s">
        <v>3667</v>
      </c>
    </row>
    <row r="3" spans="1:58">
      <c r="B3" t="s">
        <v>2198</v>
      </c>
      <c r="C3" t="s">
        <v>2201</v>
      </c>
      <c r="D3" t="s">
        <v>2201</v>
      </c>
      <c r="E3" t="s">
        <v>2161</v>
      </c>
      <c r="F3" t="s">
        <v>2163</v>
      </c>
      <c r="G3" t="s">
        <v>2181</v>
      </c>
      <c r="H3" t="s">
        <v>2181</v>
      </c>
      <c r="I3" t="s">
        <v>2578</v>
      </c>
      <c r="J3" t="s">
        <v>2593</v>
      </c>
      <c r="K3" t="s">
        <v>1009</v>
      </c>
      <c r="L3" t="s">
        <v>925</v>
      </c>
      <c r="M3" t="s">
        <v>3110</v>
      </c>
      <c r="N3" t="s">
        <v>939</v>
      </c>
      <c r="O3" t="s">
        <v>3141</v>
      </c>
      <c r="P3" t="s">
        <v>3360</v>
      </c>
      <c r="Q3" t="s">
        <v>3379</v>
      </c>
      <c r="R3" t="s">
        <v>952</v>
      </c>
      <c r="S3" t="s">
        <v>3406</v>
      </c>
      <c r="T3" t="s">
        <v>977</v>
      </c>
      <c r="U3" t="s">
        <v>3410</v>
      </c>
      <c r="V3" t="s">
        <v>3429</v>
      </c>
      <c r="W3" t="s">
        <v>3453</v>
      </c>
      <c r="X3" t="s">
        <v>3469</v>
      </c>
      <c r="Y3" t="s">
        <v>3471</v>
      </c>
      <c r="Z3" t="s">
        <v>3647</v>
      </c>
      <c r="AA3" t="s">
        <v>3654</v>
      </c>
      <c r="AB3" t="s">
        <v>982</v>
      </c>
      <c r="AC3" t="s">
        <v>949</v>
      </c>
      <c r="AD3" t="s">
        <v>948</v>
      </c>
      <c r="AE3" t="s">
        <v>3668</v>
      </c>
      <c r="AF3" t="s">
        <v>1006</v>
      </c>
      <c r="AG3" t="s">
        <v>1013</v>
      </c>
      <c r="AH3" t="s">
        <v>3671</v>
      </c>
      <c r="AI3" t="s">
        <v>1914</v>
      </c>
      <c r="AJ3" t="s">
        <v>2203</v>
      </c>
      <c r="AK3" t="s">
        <v>3673</v>
      </c>
      <c r="AL3" t="s">
        <v>2211</v>
      </c>
      <c r="AM3" t="s">
        <v>2215</v>
      </c>
      <c r="AN3" t="s">
        <v>3707</v>
      </c>
      <c r="AO3" t="s">
        <v>3710</v>
      </c>
      <c r="AP3" t="s">
        <v>3406</v>
      </c>
      <c r="AQ3" t="s">
        <v>3713</v>
      </c>
      <c r="AR3" t="s">
        <v>3410</v>
      </c>
      <c r="AS3" t="s">
        <v>3718</v>
      </c>
      <c r="AT3" t="s">
        <v>4028</v>
      </c>
      <c r="AU3" t="s">
        <v>3453</v>
      </c>
      <c r="AV3" t="s">
        <v>4062</v>
      </c>
      <c r="AW3" t="s">
        <v>4126</v>
      </c>
      <c r="AX3" t="s">
        <v>3471</v>
      </c>
      <c r="AY3" t="s">
        <v>3647</v>
      </c>
      <c r="AZ3" t="s">
        <v>3178</v>
      </c>
      <c r="BA3" t="s">
        <v>3654</v>
      </c>
      <c r="BB3" t="s">
        <v>4691</v>
      </c>
      <c r="BC3" t="s">
        <v>982</v>
      </c>
      <c r="BD3" t="s">
        <v>949</v>
      </c>
      <c r="BE3" t="s">
        <v>948</v>
      </c>
      <c r="BF3" t="s">
        <v>3668</v>
      </c>
    </row>
    <row r="4" spans="1:58">
      <c r="B4" t="s">
        <v>2199</v>
      </c>
      <c r="D4" t="s">
        <v>2217</v>
      </c>
      <c r="F4" t="s">
        <v>2164</v>
      </c>
      <c r="G4" t="s">
        <v>2182</v>
      </c>
      <c r="H4" t="s">
        <v>2182</v>
      </c>
      <c r="I4" t="s">
        <v>2579</v>
      </c>
      <c r="J4" t="s">
        <v>2594</v>
      </c>
      <c r="K4" t="s">
        <v>1010</v>
      </c>
      <c r="L4" t="s">
        <v>926</v>
      </c>
      <c r="M4" t="s">
        <v>3111</v>
      </c>
      <c r="N4" t="s">
        <v>940</v>
      </c>
      <c r="O4" t="s">
        <v>3142</v>
      </c>
      <c r="P4" t="s">
        <v>3361</v>
      </c>
      <c r="Q4" t="s">
        <v>3380</v>
      </c>
      <c r="R4" t="s">
        <v>953</v>
      </c>
      <c r="S4" t="s">
        <v>3407</v>
      </c>
      <c r="T4" t="s">
        <v>978</v>
      </c>
      <c r="U4" t="s">
        <v>3411</v>
      </c>
      <c r="V4" t="s">
        <v>3430</v>
      </c>
      <c r="W4" t="s">
        <v>3454</v>
      </c>
      <c r="X4" t="s">
        <v>947</v>
      </c>
      <c r="Y4" t="s">
        <v>3472</v>
      </c>
      <c r="Z4" t="s">
        <v>3648</v>
      </c>
      <c r="AA4" t="s">
        <v>3655</v>
      </c>
      <c r="AB4" t="s">
        <v>983</v>
      </c>
      <c r="AE4" t="s">
        <v>3669</v>
      </c>
      <c r="AF4" t="s">
        <v>950</v>
      </c>
      <c r="AG4" t="s">
        <v>1014</v>
      </c>
      <c r="AI4" t="s">
        <v>1915</v>
      </c>
      <c r="AJ4" t="s">
        <v>2204</v>
      </c>
      <c r="AK4" t="s">
        <v>3674</v>
      </c>
      <c r="AL4" t="s">
        <v>2212</v>
      </c>
      <c r="AM4" t="s">
        <v>2216</v>
      </c>
      <c r="AN4" t="s">
        <v>3708</v>
      </c>
      <c r="AO4" t="s">
        <v>3711</v>
      </c>
      <c r="AP4" t="s">
        <v>3407</v>
      </c>
      <c r="AR4" t="s">
        <v>3411</v>
      </c>
      <c r="AS4" t="s">
        <v>3719</v>
      </c>
      <c r="AT4" t="s">
        <v>4029</v>
      </c>
      <c r="AU4" t="s">
        <v>3454</v>
      </c>
      <c r="AV4" t="s">
        <v>4063</v>
      </c>
      <c r="AW4" t="s">
        <v>4127</v>
      </c>
      <c r="AX4" t="s">
        <v>3472</v>
      </c>
      <c r="AY4" t="s">
        <v>4687</v>
      </c>
      <c r="AZ4" t="s">
        <v>540</v>
      </c>
      <c r="BA4" t="s">
        <v>3655</v>
      </c>
      <c r="BB4" t="s">
        <v>4692</v>
      </c>
      <c r="BC4" t="s">
        <v>983</v>
      </c>
      <c r="BF4" t="s">
        <v>3669</v>
      </c>
    </row>
    <row r="5" spans="1:58">
      <c r="F5" t="s">
        <v>2165</v>
      </c>
      <c r="G5" t="s">
        <v>2183</v>
      </c>
      <c r="H5" t="s">
        <v>2183</v>
      </c>
      <c r="I5" t="s">
        <v>2580</v>
      </c>
      <c r="J5" t="s">
        <v>2595</v>
      </c>
      <c r="K5" t="s">
        <v>1011</v>
      </c>
      <c r="L5" t="s">
        <v>927</v>
      </c>
      <c r="M5" t="s">
        <v>3112</v>
      </c>
      <c r="N5" t="s">
        <v>941</v>
      </c>
      <c r="O5" t="s">
        <v>3143</v>
      </c>
      <c r="P5" t="s">
        <v>3362</v>
      </c>
      <c r="Q5" t="s">
        <v>3381</v>
      </c>
      <c r="R5" t="s">
        <v>954</v>
      </c>
      <c r="S5" t="s">
        <v>3408</v>
      </c>
      <c r="T5" t="s">
        <v>979</v>
      </c>
      <c r="U5" t="s">
        <v>3412</v>
      </c>
      <c r="V5" t="s">
        <v>3431</v>
      </c>
      <c r="W5" t="s">
        <v>48</v>
      </c>
      <c r="X5" t="s">
        <v>950</v>
      </c>
      <c r="Y5" t="s">
        <v>3473</v>
      </c>
      <c r="Z5" t="s">
        <v>3442</v>
      </c>
      <c r="AA5" t="s">
        <v>3656</v>
      </c>
      <c r="AB5" t="s">
        <v>984</v>
      </c>
      <c r="AE5" t="s">
        <v>950</v>
      </c>
      <c r="AG5" t="s">
        <v>1015</v>
      </c>
      <c r="AI5" t="s">
        <v>1916</v>
      </c>
      <c r="AJ5" t="s">
        <v>2205</v>
      </c>
      <c r="AK5" t="s">
        <v>3675</v>
      </c>
      <c r="AL5" t="s">
        <v>2213</v>
      </c>
      <c r="AM5" t="s">
        <v>947</v>
      </c>
      <c r="AN5" t="s">
        <v>947</v>
      </c>
      <c r="AO5" t="s">
        <v>947</v>
      </c>
      <c r="AP5" t="s">
        <v>3408</v>
      </c>
      <c r="AR5" t="s">
        <v>3714</v>
      </c>
      <c r="AS5" t="s">
        <v>3720</v>
      </c>
      <c r="AT5" t="s">
        <v>4030</v>
      </c>
      <c r="AU5" t="s">
        <v>48</v>
      </c>
      <c r="AV5" t="s">
        <v>3195</v>
      </c>
      <c r="AW5" t="s">
        <v>4128</v>
      </c>
      <c r="AX5" t="s">
        <v>3473</v>
      </c>
      <c r="AZ5" t="s">
        <v>3253</v>
      </c>
      <c r="BA5" t="s">
        <v>3656</v>
      </c>
      <c r="BB5" t="s">
        <v>4693</v>
      </c>
      <c r="BC5" t="s">
        <v>984</v>
      </c>
      <c r="BF5" t="s">
        <v>950</v>
      </c>
    </row>
    <row r="6" spans="1:58">
      <c r="F6" t="s">
        <v>2166</v>
      </c>
      <c r="G6" t="s">
        <v>2184</v>
      </c>
      <c r="H6" t="s">
        <v>2184</v>
      </c>
      <c r="I6" t="s">
        <v>2581</v>
      </c>
      <c r="J6" t="s">
        <v>2596</v>
      </c>
      <c r="L6" t="s">
        <v>928</v>
      </c>
      <c r="M6" t="s">
        <v>3113</v>
      </c>
      <c r="N6" t="s">
        <v>942</v>
      </c>
      <c r="O6" t="s">
        <v>3144</v>
      </c>
      <c r="P6" t="s">
        <v>3363</v>
      </c>
      <c r="Q6" t="s">
        <v>3382</v>
      </c>
      <c r="R6" t="s">
        <v>955</v>
      </c>
      <c r="S6" t="s">
        <v>950</v>
      </c>
      <c r="T6" t="s">
        <v>980</v>
      </c>
      <c r="U6" t="s">
        <v>3413</v>
      </c>
      <c r="V6" t="s">
        <v>3432</v>
      </c>
      <c r="W6" t="s">
        <v>3455</v>
      </c>
      <c r="Y6" t="s">
        <v>3474</v>
      </c>
      <c r="Z6" t="s">
        <v>3649</v>
      </c>
      <c r="AA6" t="s">
        <v>3657</v>
      </c>
      <c r="AB6" t="s">
        <v>985</v>
      </c>
      <c r="AG6" t="s">
        <v>1016</v>
      </c>
      <c r="AI6" t="s">
        <v>1917</v>
      </c>
      <c r="AJ6" t="s">
        <v>2206</v>
      </c>
      <c r="AK6" t="s">
        <v>3676</v>
      </c>
      <c r="AL6" t="s">
        <v>947</v>
      </c>
      <c r="AM6" t="s">
        <v>950</v>
      </c>
      <c r="AN6" t="s">
        <v>950</v>
      </c>
      <c r="AO6" t="s">
        <v>950</v>
      </c>
      <c r="AP6" t="s">
        <v>950</v>
      </c>
      <c r="AR6" t="s">
        <v>3412</v>
      </c>
      <c r="AS6" t="s">
        <v>3721</v>
      </c>
      <c r="AT6" t="s">
        <v>4031</v>
      </c>
      <c r="AU6" t="s">
        <v>3455</v>
      </c>
      <c r="AV6" t="s">
        <v>4064</v>
      </c>
      <c r="AW6" t="s">
        <v>4129</v>
      </c>
      <c r="AX6" t="s">
        <v>3474</v>
      </c>
      <c r="AZ6" t="s">
        <v>3267</v>
      </c>
      <c r="BA6" t="s">
        <v>3657</v>
      </c>
      <c r="BB6" t="s">
        <v>4694</v>
      </c>
      <c r="BC6" t="s">
        <v>985</v>
      </c>
    </row>
    <row r="7" spans="1:58">
      <c r="F7" t="s">
        <v>2167</v>
      </c>
      <c r="G7" t="s">
        <v>2185</v>
      </c>
      <c r="H7" t="s">
        <v>2185</v>
      </c>
      <c r="I7" t="s">
        <v>2582</v>
      </c>
      <c r="J7" t="s">
        <v>2597</v>
      </c>
      <c r="L7" t="s">
        <v>929</v>
      </c>
      <c r="M7" t="s">
        <v>3114</v>
      </c>
      <c r="N7" t="s">
        <v>943</v>
      </c>
      <c r="O7" t="s">
        <v>3145</v>
      </c>
      <c r="P7" t="s">
        <v>3237</v>
      </c>
      <c r="Q7" t="s">
        <v>3383</v>
      </c>
      <c r="R7" t="s">
        <v>956</v>
      </c>
      <c r="T7" t="s">
        <v>947</v>
      </c>
      <c r="U7" t="s">
        <v>3414</v>
      </c>
      <c r="V7" t="s">
        <v>3433</v>
      </c>
      <c r="W7" t="s">
        <v>52</v>
      </c>
      <c r="Y7" t="s">
        <v>3475</v>
      </c>
      <c r="Z7" t="s">
        <v>3650</v>
      </c>
      <c r="AA7" t="s">
        <v>3658</v>
      </c>
      <c r="AB7" t="s">
        <v>986</v>
      </c>
      <c r="AG7" t="s">
        <v>1017</v>
      </c>
      <c r="AI7" t="s">
        <v>1918</v>
      </c>
      <c r="AJ7" t="s">
        <v>2207</v>
      </c>
      <c r="AK7" t="s">
        <v>3677</v>
      </c>
      <c r="AL7" t="s">
        <v>950</v>
      </c>
      <c r="AR7" t="s">
        <v>3413</v>
      </c>
      <c r="AS7" t="s">
        <v>3722</v>
      </c>
      <c r="AT7" t="s">
        <v>4032</v>
      </c>
      <c r="AU7" t="s">
        <v>52</v>
      </c>
      <c r="AV7" t="s">
        <v>4065</v>
      </c>
      <c r="AW7" t="s">
        <v>4130</v>
      </c>
      <c r="AX7" t="s">
        <v>3475</v>
      </c>
      <c r="AZ7" t="s">
        <v>3298</v>
      </c>
      <c r="BA7" t="s">
        <v>3658</v>
      </c>
      <c r="BB7" t="s">
        <v>4695</v>
      </c>
      <c r="BC7" t="s">
        <v>986</v>
      </c>
    </row>
    <row r="8" spans="1:58">
      <c r="F8" t="s">
        <v>2168</v>
      </c>
      <c r="G8" t="s">
        <v>2186</v>
      </c>
      <c r="I8" t="s">
        <v>2583</v>
      </c>
      <c r="J8" t="s">
        <v>2598</v>
      </c>
      <c r="L8" t="s">
        <v>930</v>
      </c>
      <c r="M8" t="s">
        <v>3115</v>
      </c>
      <c r="N8" t="s">
        <v>944</v>
      </c>
      <c r="O8" t="s">
        <v>3146</v>
      </c>
      <c r="P8" t="s">
        <v>3364</v>
      </c>
      <c r="Q8" t="s">
        <v>3384</v>
      </c>
      <c r="R8" t="s">
        <v>957</v>
      </c>
      <c r="T8" t="s">
        <v>950</v>
      </c>
      <c r="U8" t="s">
        <v>3415</v>
      </c>
      <c r="V8" t="s">
        <v>3434</v>
      </c>
      <c r="W8" t="s">
        <v>3456</v>
      </c>
      <c r="Y8" t="s">
        <v>3476</v>
      </c>
      <c r="Z8" t="s">
        <v>3651</v>
      </c>
      <c r="AA8" t="s">
        <v>3659</v>
      </c>
      <c r="AB8" t="s">
        <v>987</v>
      </c>
      <c r="AG8" t="s">
        <v>1018</v>
      </c>
      <c r="AI8" t="s">
        <v>1919</v>
      </c>
      <c r="AJ8" t="s">
        <v>2208</v>
      </c>
      <c r="AK8" t="s">
        <v>3122</v>
      </c>
      <c r="AR8" t="s">
        <v>3414</v>
      </c>
      <c r="AS8" t="s">
        <v>3723</v>
      </c>
      <c r="AT8" t="s">
        <v>4033</v>
      </c>
      <c r="AU8" t="s">
        <v>3456</v>
      </c>
      <c r="AV8" t="s">
        <v>4066</v>
      </c>
      <c r="AW8" t="s">
        <v>4131</v>
      </c>
      <c r="AX8" t="s">
        <v>3476</v>
      </c>
      <c r="AZ8" t="s">
        <v>3326</v>
      </c>
      <c r="BA8" t="s">
        <v>3659</v>
      </c>
      <c r="BB8" t="s">
        <v>4696</v>
      </c>
      <c r="BC8" t="s">
        <v>987</v>
      </c>
    </row>
    <row r="9" spans="1:58">
      <c r="F9" t="s">
        <v>2169</v>
      </c>
      <c r="G9" t="s">
        <v>2187</v>
      </c>
      <c r="I9" t="s">
        <v>2584</v>
      </c>
      <c r="J9" t="s">
        <v>2599</v>
      </c>
      <c r="L9" t="s">
        <v>931</v>
      </c>
      <c r="M9" t="s">
        <v>3116</v>
      </c>
      <c r="N9" t="s">
        <v>945</v>
      </c>
      <c r="O9" t="s">
        <v>3147</v>
      </c>
      <c r="P9" t="s">
        <v>3365</v>
      </c>
      <c r="Q9" t="s">
        <v>3385</v>
      </c>
      <c r="R9" t="s">
        <v>958</v>
      </c>
      <c r="U9" t="s">
        <v>3416</v>
      </c>
      <c r="V9" t="s">
        <v>3435</v>
      </c>
      <c r="W9" t="s">
        <v>3457</v>
      </c>
      <c r="Y9" t="s">
        <v>3477</v>
      </c>
      <c r="Z9" t="s">
        <v>3652</v>
      </c>
      <c r="AA9" t="s">
        <v>3660</v>
      </c>
      <c r="AB9" t="s">
        <v>988</v>
      </c>
      <c r="AG9" t="s">
        <v>1019</v>
      </c>
      <c r="AI9" t="s">
        <v>1920</v>
      </c>
      <c r="AJ9" t="s">
        <v>2209</v>
      </c>
      <c r="AK9" t="s">
        <v>3678</v>
      </c>
      <c r="AR9" t="s">
        <v>3715</v>
      </c>
      <c r="AS9" t="s">
        <v>3724</v>
      </c>
      <c r="AT9" t="s">
        <v>4034</v>
      </c>
      <c r="AU9" t="s">
        <v>3457</v>
      </c>
      <c r="AV9" t="s">
        <v>3205</v>
      </c>
      <c r="AW9" t="s">
        <v>4132</v>
      </c>
      <c r="AX9" t="s">
        <v>3477</v>
      </c>
      <c r="AZ9" t="s">
        <v>3340</v>
      </c>
      <c r="BA9" t="s">
        <v>3660</v>
      </c>
      <c r="BB9" t="s">
        <v>940</v>
      </c>
      <c r="BC9" t="s">
        <v>988</v>
      </c>
    </row>
    <row r="10" spans="1:58">
      <c r="F10" t="s">
        <v>2170</v>
      </c>
      <c r="G10" t="s">
        <v>2188</v>
      </c>
      <c r="I10" t="s">
        <v>2585</v>
      </c>
      <c r="J10" t="s">
        <v>2600</v>
      </c>
      <c r="L10" t="s">
        <v>932</v>
      </c>
      <c r="M10" t="s">
        <v>3117</v>
      </c>
      <c r="N10" t="s">
        <v>946</v>
      </c>
      <c r="O10" t="s">
        <v>3148</v>
      </c>
      <c r="P10" t="s">
        <v>3366</v>
      </c>
      <c r="Q10" t="s">
        <v>3386</v>
      </c>
      <c r="R10" t="s">
        <v>959</v>
      </c>
      <c r="U10" t="s">
        <v>3417</v>
      </c>
      <c r="V10" t="s">
        <v>3436</v>
      </c>
      <c r="W10" t="s">
        <v>3458</v>
      </c>
      <c r="Y10" t="s">
        <v>3478</v>
      </c>
      <c r="AA10" t="s">
        <v>3661</v>
      </c>
      <c r="AB10" t="s">
        <v>989</v>
      </c>
      <c r="AG10" t="s">
        <v>1020</v>
      </c>
      <c r="AI10" t="s">
        <v>1921</v>
      </c>
      <c r="AK10" t="s">
        <v>3679</v>
      </c>
      <c r="AR10" t="s">
        <v>3716</v>
      </c>
      <c r="AS10" t="s">
        <v>3725</v>
      </c>
      <c r="AT10" t="s">
        <v>4035</v>
      </c>
      <c r="AU10" t="s">
        <v>3458</v>
      </c>
      <c r="AV10" t="s">
        <v>4067</v>
      </c>
      <c r="AW10" t="s">
        <v>4133</v>
      </c>
      <c r="AX10" t="s">
        <v>3478</v>
      </c>
      <c r="AZ10" t="s">
        <v>3342</v>
      </c>
      <c r="BA10" t="s">
        <v>3661</v>
      </c>
      <c r="BB10" t="s">
        <v>4697</v>
      </c>
      <c r="BC10" t="s">
        <v>989</v>
      </c>
    </row>
    <row r="11" spans="1:58">
      <c r="F11" t="s">
        <v>2171</v>
      </c>
      <c r="G11" t="s">
        <v>2189</v>
      </c>
      <c r="I11" t="s">
        <v>2586</v>
      </c>
      <c r="J11" t="s">
        <v>2601</v>
      </c>
      <c r="L11" t="s">
        <v>933</v>
      </c>
      <c r="M11" t="s">
        <v>3118</v>
      </c>
      <c r="N11" t="s">
        <v>947</v>
      </c>
      <c r="O11" t="s">
        <v>3149</v>
      </c>
      <c r="P11" t="s">
        <v>3367</v>
      </c>
      <c r="Q11" t="s">
        <v>3387</v>
      </c>
      <c r="R11" t="s">
        <v>960</v>
      </c>
      <c r="U11" t="s">
        <v>3418</v>
      </c>
      <c r="V11" t="s">
        <v>3437</v>
      </c>
      <c r="W11" t="s">
        <v>3459</v>
      </c>
      <c r="Y11" t="s">
        <v>3479</v>
      </c>
      <c r="AA11" t="s">
        <v>3662</v>
      </c>
      <c r="AB11" t="s">
        <v>990</v>
      </c>
      <c r="AG11" t="s">
        <v>1021</v>
      </c>
      <c r="AI11" t="s">
        <v>1922</v>
      </c>
      <c r="AK11" t="s">
        <v>3680</v>
      </c>
      <c r="AR11" t="s">
        <v>3426</v>
      </c>
      <c r="AS11" t="s">
        <v>3726</v>
      </c>
      <c r="AT11" t="s">
        <v>4036</v>
      </c>
      <c r="AU11" t="s">
        <v>3459</v>
      </c>
      <c r="AV11" t="s">
        <v>4068</v>
      </c>
      <c r="AW11" t="s">
        <v>4134</v>
      </c>
      <c r="AX11" t="s">
        <v>3479</v>
      </c>
      <c r="AZ11" t="s">
        <v>4688</v>
      </c>
      <c r="BA11" t="s">
        <v>3662</v>
      </c>
      <c r="BB11" t="s">
        <v>4698</v>
      </c>
      <c r="BC11" t="s">
        <v>990</v>
      </c>
    </row>
    <row r="12" spans="1:58">
      <c r="F12" t="s">
        <v>2172</v>
      </c>
      <c r="G12" t="s">
        <v>2190</v>
      </c>
      <c r="I12" t="s">
        <v>2587</v>
      </c>
      <c r="J12" t="s">
        <v>2602</v>
      </c>
      <c r="L12" t="s">
        <v>934</v>
      </c>
      <c r="M12" t="s">
        <v>3119</v>
      </c>
      <c r="O12" t="s">
        <v>3150</v>
      </c>
      <c r="P12" t="s">
        <v>3368</v>
      </c>
      <c r="Q12" t="s">
        <v>3388</v>
      </c>
      <c r="R12" t="s">
        <v>961</v>
      </c>
      <c r="U12" t="s">
        <v>3419</v>
      </c>
      <c r="V12" t="s">
        <v>3438</v>
      </c>
      <c r="W12" t="s">
        <v>3460</v>
      </c>
      <c r="Y12" t="s">
        <v>3480</v>
      </c>
      <c r="AA12" t="s">
        <v>3663</v>
      </c>
      <c r="AB12" t="s">
        <v>991</v>
      </c>
      <c r="AG12" t="s">
        <v>1022</v>
      </c>
      <c r="AI12" t="s">
        <v>1923</v>
      </c>
      <c r="AK12" t="s">
        <v>3681</v>
      </c>
      <c r="AR12" t="s">
        <v>3427</v>
      </c>
      <c r="AS12" t="s">
        <v>3727</v>
      </c>
      <c r="AT12" t="s">
        <v>4037</v>
      </c>
      <c r="AU12" t="s">
        <v>3460</v>
      </c>
      <c r="AV12" t="s">
        <v>4069</v>
      </c>
      <c r="AW12" t="s">
        <v>4135</v>
      </c>
      <c r="AX12" t="s">
        <v>3480</v>
      </c>
      <c r="AZ12" t="s">
        <v>4689</v>
      </c>
      <c r="BA12" t="s">
        <v>3663</v>
      </c>
      <c r="BB12" t="s">
        <v>4699</v>
      </c>
      <c r="BC12" t="s">
        <v>991</v>
      </c>
    </row>
    <row r="13" spans="1:58">
      <c r="F13" t="s">
        <v>2173</v>
      </c>
      <c r="G13" t="s">
        <v>2191</v>
      </c>
      <c r="I13" t="s">
        <v>2588</v>
      </c>
      <c r="J13" t="s">
        <v>2603</v>
      </c>
      <c r="L13" t="s">
        <v>935</v>
      </c>
      <c r="M13" t="s">
        <v>3120</v>
      </c>
      <c r="O13" t="s">
        <v>3151</v>
      </c>
      <c r="P13" t="s">
        <v>3327</v>
      </c>
      <c r="Q13" t="s">
        <v>3389</v>
      </c>
      <c r="R13" t="s">
        <v>962</v>
      </c>
      <c r="U13" t="s">
        <v>3420</v>
      </c>
      <c r="V13" t="s">
        <v>3439</v>
      </c>
      <c r="W13" t="s">
        <v>3461</v>
      </c>
      <c r="Y13" t="s">
        <v>3481</v>
      </c>
      <c r="AA13" t="s">
        <v>3664</v>
      </c>
      <c r="AB13" t="s">
        <v>992</v>
      </c>
      <c r="AG13" t="s">
        <v>1023</v>
      </c>
      <c r="AI13" t="s">
        <v>1924</v>
      </c>
      <c r="AK13" t="s">
        <v>3682</v>
      </c>
      <c r="AS13" t="s">
        <v>3728</v>
      </c>
      <c r="AT13" t="s">
        <v>4038</v>
      </c>
      <c r="AU13" t="s">
        <v>3461</v>
      </c>
      <c r="AV13" t="s">
        <v>4070</v>
      </c>
      <c r="AW13" t="s">
        <v>4136</v>
      </c>
      <c r="AX13" t="s">
        <v>3481</v>
      </c>
      <c r="AZ13" t="s">
        <v>3355</v>
      </c>
      <c r="BA13" t="s">
        <v>3664</v>
      </c>
      <c r="BC13" t="s">
        <v>992</v>
      </c>
    </row>
    <row r="14" spans="1:58">
      <c r="F14" t="s">
        <v>2174</v>
      </c>
      <c r="G14" t="s">
        <v>2192</v>
      </c>
      <c r="I14" t="s">
        <v>2589</v>
      </c>
      <c r="J14" t="s">
        <v>2604</v>
      </c>
      <c r="L14" t="s">
        <v>936</v>
      </c>
      <c r="M14" t="s">
        <v>3121</v>
      </c>
      <c r="O14" t="s">
        <v>3152</v>
      </c>
      <c r="P14" t="s">
        <v>630</v>
      </c>
      <c r="Q14" t="s">
        <v>3390</v>
      </c>
      <c r="R14" t="s">
        <v>963</v>
      </c>
      <c r="U14" t="s">
        <v>3421</v>
      </c>
      <c r="V14" t="s">
        <v>3440</v>
      </c>
      <c r="W14" t="s">
        <v>3462</v>
      </c>
      <c r="Y14" t="s">
        <v>3482</v>
      </c>
      <c r="AA14" t="s">
        <v>3665</v>
      </c>
      <c r="AB14" t="s">
        <v>993</v>
      </c>
      <c r="AG14" t="s">
        <v>1024</v>
      </c>
      <c r="AI14" t="s">
        <v>1925</v>
      </c>
      <c r="AK14" t="s">
        <v>3683</v>
      </c>
      <c r="AS14" t="s">
        <v>3729</v>
      </c>
      <c r="AT14" t="s">
        <v>4039</v>
      </c>
      <c r="AU14" t="s">
        <v>3462</v>
      </c>
      <c r="AV14" t="s">
        <v>4071</v>
      </c>
      <c r="AW14" t="s">
        <v>4137</v>
      </c>
      <c r="AX14" t="s">
        <v>3482</v>
      </c>
      <c r="AZ14" t="s">
        <v>4690</v>
      </c>
      <c r="BA14" t="s">
        <v>3665</v>
      </c>
      <c r="BC14" t="s">
        <v>993</v>
      </c>
    </row>
    <row r="15" spans="1:58">
      <c r="F15" t="s">
        <v>2175</v>
      </c>
      <c r="G15" t="s">
        <v>2193</v>
      </c>
      <c r="I15" t="s">
        <v>2590</v>
      </c>
      <c r="J15" t="s">
        <v>2605</v>
      </c>
      <c r="L15" t="s">
        <v>937</v>
      </c>
      <c r="M15" t="s">
        <v>3122</v>
      </c>
      <c r="O15" t="s">
        <v>3153</v>
      </c>
      <c r="P15" t="s">
        <v>3369</v>
      </c>
      <c r="Q15" t="s">
        <v>3391</v>
      </c>
      <c r="R15" t="s">
        <v>964</v>
      </c>
      <c r="U15" t="s">
        <v>3422</v>
      </c>
      <c r="V15" t="s">
        <v>3441</v>
      </c>
      <c r="W15" t="s">
        <v>3463</v>
      </c>
      <c r="Y15" t="s">
        <v>3483</v>
      </c>
      <c r="AA15" t="s">
        <v>3666</v>
      </c>
      <c r="AB15" t="s">
        <v>994</v>
      </c>
      <c r="AG15" t="s">
        <v>1025</v>
      </c>
      <c r="AI15" t="s">
        <v>1926</v>
      </c>
      <c r="AK15" t="s">
        <v>3684</v>
      </c>
      <c r="AS15" t="s">
        <v>3730</v>
      </c>
      <c r="AT15" t="s">
        <v>4040</v>
      </c>
      <c r="AU15" t="s">
        <v>3463</v>
      </c>
      <c r="AV15" t="s">
        <v>4072</v>
      </c>
      <c r="AW15" t="s">
        <v>4138</v>
      </c>
      <c r="AX15" t="s">
        <v>3483</v>
      </c>
      <c r="AZ15" t="s">
        <v>3356</v>
      </c>
      <c r="BA15" t="s">
        <v>3666</v>
      </c>
      <c r="BC15" t="s">
        <v>994</v>
      </c>
    </row>
    <row r="16" spans="1:58">
      <c r="F16" t="s">
        <v>2176</v>
      </c>
      <c r="G16" t="s">
        <v>2194</v>
      </c>
      <c r="I16" t="s">
        <v>2591</v>
      </c>
      <c r="J16" t="s">
        <v>2606</v>
      </c>
      <c r="M16" t="s">
        <v>3123</v>
      </c>
      <c r="O16" t="s">
        <v>3154</v>
      </c>
      <c r="P16" t="s">
        <v>3370</v>
      </c>
      <c r="Q16" t="s">
        <v>3392</v>
      </c>
      <c r="R16" t="s">
        <v>523</v>
      </c>
      <c r="U16" t="s">
        <v>3423</v>
      </c>
      <c r="V16" t="s">
        <v>3442</v>
      </c>
      <c r="W16" t="s">
        <v>3464</v>
      </c>
      <c r="Y16" t="s">
        <v>3484</v>
      </c>
      <c r="AA16" t="s">
        <v>947</v>
      </c>
      <c r="AB16" t="s">
        <v>995</v>
      </c>
      <c r="AG16" t="s">
        <v>1026</v>
      </c>
      <c r="AI16" t="s">
        <v>1927</v>
      </c>
      <c r="AK16" t="s">
        <v>3685</v>
      </c>
      <c r="AS16" t="s">
        <v>3731</v>
      </c>
      <c r="AT16" t="s">
        <v>4041</v>
      </c>
      <c r="AU16" t="s">
        <v>3464</v>
      </c>
      <c r="AV16" t="s">
        <v>4073</v>
      </c>
      <c r="AW16" t="s">
        <v>4139</v>
      </c>
      <c r="AX16" t="s">
        <v>3484</v>
      </c>
      <c r="AZ16" t="s">
        <v>3357</v>
      </c>
      <c r="BA16" t="s">
        <v>947</v>
      </c>
      <c r="BC16" t="s">
        <v>995</v>
      </c>
    </row>
    <row r="17" spans="6:55">
      <c r="F17" t="s">
        <v>2177</v>
      </c>
      <c r="G17" t="s">
        <v>2195</v>
      </c>
      <c r="J17" t="s">
        <v>2607</v>
      </c>
      <c r="M17" t="s">
        <v>3124</v>
      </c>
      <c r="O17" t="s">
        <v>3155</v>
      </c>
      <c r="P17" t="s">
        <v>3144</v>
      </c>
      <c r="Q17" t="s">
        <v>3393</v>
      </c>
      <c r="R17" t="s">
        <v>965</v>
      </c>
      <c r="U17" t="s">
        <v>3424</v>
      </c>
      <c r="V17" t="s">
        <v>3443</v>
      </c>
      <c r="W17" t="s">
        <v>3285</v>
      </c>
      <c r="Y17" t="s">
        <v>3485</v>
      </c>
      <c r="AB17" t="s">
        <v>996</v>
      </c>
      <c r="AG17" t="s">
        <v>1027</v>
      </c>
      <c r="AI17" t="s">
        <v>1928</v>
      </c>
      <c r="AK17" t="s">
        <v>3686</v>
      </c>
      <c r="AS17" t="s">
        <v>3732</v>
      </c>
      <c r="AT17" t="s">
        <v>4042</v>
      </c>
      <c r="AU17" t="s">
        <v>3285</v>
      </c>
      <c r="AV17" t="s">
        <v>4074</v>
      </c>
      <c r="AW17" t="s">
        <v>4140</v>
      </c>
      <c r="AX17" t="s">
        <v>3485</v>
      </c>
      <c r="BC17" t="s">
        <v>996</v>
      </c>
    </row>
    <row r="18" spans="6:55">
      <c r="F18" t="s">
        <v>2178</v>
      </c>
      <c r="G18" t="s">
        <v>2196</v>
      </c>
      <c r="J18" t="s">
        <v>2608</v>
      </c>
      <c r="M18" t="s">
        <v>3125</v>
      </c>
      <c r="O18" t="s">
        <v>3156</v>
      </c>
      <c r="P18" t="s">
        <v>3371</v>
      </c>
      <c r="Q18" t="s">
        <v>3394</v>
      </c>
      <c r="R18" t="s">
        <v>966</v>
      </c>
      <c r="U18" t="s">
        <v>3425</v>
      </c>
      <c r="V18" t="s">
        <v>3444</v>
      </c>
      <c r="W18" t="s">
        <v>46</v>
      </c>
      <c r="Y18" t="s">
        <v>3486</v>
      </c>
      <c r="AB18" t="s">
        <v>997</v>
      </c>
      <c r="AG18" t="s">
        <v>1028</v>
      </c>
      <c r="AI18" t="s">
        <v>1929</v>
      </c>
      <c r="AK18" t="s">
        <v>3687</v>
      </c>
      <c r="AS18" t="s">
        <v>3733</v>
      </c>
      <c r="AT18" t="s">
        <v>4043</v>
      </c>
      <c r="AU18" t="s">
        <v>46</v>
      </c>
      <c r="AV18" t="s">
        <v>3258</v>
      </c>
      <c r="AW18" t="s">
        <v>4141</v>
      </c>
      <c r="AX18" t="s">
        <v>3486</v>
      </c>
      <c r="BC18" t="s">
        <v>997</v>
      </c>
    </row>
    <row r="19" spans="6:55">
      <c r="F19" t="s">
        <v>2179</v>
      </c>
      <c r="J19" t="s">
        <v>2609</v>
      </c>
      <c r="M19" t="s">
        <v>3126</v>
      </c>
      <c r="O19" t="s">
        <v>2024</v>
      </c>
      <c r="P19" t="s">
        <v>3206</v>
      </c>
      <c r="Q19" t="s">
        <v>3395</v>
      </c>
      <c r="R19" t="s">
        <v>967</v>
      </c>
      <c r="U19" t="s">
        <v>3426</v>
      </c>
      <c r="V19" t="s">
        <v>3445</v>
      </c>
      <c r="W19" t="s">
        <v>3465</v>
      </c>
      <c r="Y19" t="s">
        <v>3487</v>
      </c>
      <c r="AB19" t="s">
        <v>998</v>
      </c>
      <c r="AG19" t="s">
        <v>1029</v>
      </c>
      <c r="AI19" t="s">
        <v>1930</v>
      </c>
      <c r="AK19" t="s">
        <v>3688</v>
      </c>
      <c r="AS19" t="s">
        <v>3734</v>
      </c>
      <c r="AT19" t="s">
        <v>4044</v>
      </c>
      <c r="AU19" t="s">
        <v>3465</v>
      </c>
      <c r="AV19" t="s">
        <v>4075</v>
      </c>
      <c r="AW19" t="s">
        <v>4142</v>
      </c>
      <c r="AX19" t="s">
        <v>3487</v>
      </c>
      <c r="BC19" t="s">
        <v>998</v>
      </c>
    </row>
    <row r="20" spans="6:55">
      <c r="J20" t="s">
        <v>2610</v>
      </c>
      <c r="M20" t="s">
        <v>3127</v>
      </c>
      <c r="O20" t="s">
        <v>3157</v>
      </c>
      <c r="P20" t="s">
        <v>3353</v>
      </c>
      <c r="Q20" t="s">
        <v>3396</v>
      </c>
      <c r="R20" t="s">
        <v>968</v>
      </c>
      <c r="U20" t="s">
        <v>3427</v>
      </c>
      <c r="V20" t="s">
        <v>3446</v>
      </c>
      <c r="W20" t="s">
        <v>3466</v>
      </c>
      <c r="Y20" t="s">
        <v>3488</v>
      </c>
      <c r="AB20" t="s">
        <v>999</v>
      </c>
      <c r="AG20" t="s">
        <v>1030</v>
      </c>
      <c r="AI20" t="s">
        <v>1931</v>
      </c>
      <c r="AK20" t="s">
        <v>3689</v>
      </c>
      <c r="AS20" t="s">
        <v>3735</v>
      </c>
      <c r="AT20" t="s">
        <v>4045</v>
      </c>
      <c r="AU20" t="s">
        <v>3466</v>
      </c>
      <c r="AV20" t="s">
        <v>4076</v>
      </c>
      <c r="AW20" t="s">
        <v>4143</v>
      </c>
      <c r="AX20" t="s">
        <v>3488</v>
      </c>
      <c r="BC20" t="s">
        <v>999</v>
      </c>
    </row>
    <row r="21" spans="6:55">
      <c r="J21" t="s">
        <v>2611</v>
      </c>
      <c r="M21" t="s">
        <v>3128</v>
      </c>
      <c r="O21" t="s">
        <v>3158</v>
      </c>
      <c r="P21" t="s">
        <v>3372</v>
      </c>
      <c r="Q21" t="s">
        <v>3397</v>
      </c>
      <c r="R21" t="s">
        <v>969</v>
      </c>
      <c r="V21" t="s">
        <v>3447</v>
      </c>
      <c r="W21" t="s">
        <v>3467</v>
      </c>
      <c r="Y21" t="s">
        <v>3489</v>
      </c>
      <c r="AB21" t="s">
        <v>1000</v>
      </c>
      <c r="AG21" t="s">
        <v>1031</v>
      </c>
      <c r="AI21" t="s">
        <v>1932</v>
      </c>
      <c r="AK21" t="s">
        <v>3690</v>
      </c>
      <c r="AS21" t="s">
        <v>3736</v>
      </c>
      <c r="AT21" t="s">
        <v>4046</v>
      </c>
      <c r="AU21" t="s">
        <v>3467</v>
      </c>
      <c r="AV21" t="s">
        <v>4077</v>
      </c>
      <c r="AW21" t="s">
        <v>4144</v>
      </c>
      <c r="AX21" t="s">
        <v>3489</v>
      </c>
      <c r="BC21" t="s">
        <v>1000</v>
      </c>
    </row>
    <row r="22" spans="6:55">
      <c r="J22" t="s">
        <v>2612</v>
      </c>
      <c r="M22" t="s">
        <v>3129</v>
      </c>
      <c r="O22" t="s">
        <v>3159</v>
      </c>
      <c r="P22" t="s">
        <v>3373</v>
      </c>
      <c r="Q22" t="s">
        <v>3398</v>
      </c>
      <c r="R22" t="s">
        <v>970</v>
      </c>
      <c r="V22" t="s">
        <v>3448</v>
      </c>
      <c r="Y22" t="s">
        <v>3490</v>
      </c>
      <c r="AB22" t="s">
        <v>1001</v>
      </c>
      <c r="AG22" t="s">
        <v>1032</v>
      </c>
      <c r="AI22" t="s">
        <v>1933</v>
      </c>
      <c r="AK22" t="s">
        <v>3691</v>
      </c>
      <c r="AS22" t="s">
        <v>3737</v>
      </c>
      <c r="AT22" t="s">
        <v>4047</v>
      </c>
      <c r="AV22" t="s">
        <v>4078</v>
      </c>
      <c r="AW22" t="s">
        <v>4145</v>
      </c>
      <c r="AX22" t="s">
        <v>3490</v>
      </c>
      <c r="BC22" t="s">
        <v>1001</v>
      </c>
    </row>
    <row r="23" spans="6:55">
      <c r="J23" t="s">
        <v>2613</v>
      </c>
      <c r="M23" t="s">
        <v>3130</v>
      </c>
      <c r="O23" t="s">
        <v>3160</v>
      </c>
      <c r="P23" t="s">
        <v>3374</v>
      </c>
      <c r="Q23" t="s">
        <v>3399</v>
      </c>
      <c r="R23" t="s">
        <v>971</v>
      </c>
      <c r="V23" t="s">
        <v>3449</v>
      </c>
      <c r="Y23" t="s">
        <v>3491</v>
      </c>
      <c r="AB23" t="s">
        <v>1002</v>
      </c>
      <c r="AG23" t="s">
        <v>1033</v>
      </c>
      <c r="AI23" t="s">
        <v>1934</v>
      </c>
      <c r="AK23" t="s">
        <v>3692</v>
      </c>
      <c r="AS23" t="s">
        <v>3738</v>
      </c>
      <c r="AT23" t="s">
        <v>4048</v>
      </c>
      <c r="AV23" t="s">
        <v>4079</v>
      </c>
      <c r="AW23" t="s">
        <v>4146</v>
      </c>
      <c r="AX23" t="s">
        <v>3491</v>
      </c>
      <c r="BC23" t="s">
        <v>1002</v>
      </c>
    </row>
    <row r="24" spans="6:55">
      <c r="J24" t="s">
        <v>2614</v>
      </c>
      <c r="M24" t="s">
        <v>3131</v>
      </c>
      <c r="O24" t="s">
        <v>3161</v>
      </c>
      <c r="P24" t="s">
        <v>3375</v>
      </c>
      <c r="Q24" t="s">
        <v>3400</v>
      </c>
      <c r="R24" t="s">
        <v>972</v>
      </c>
      <c r="V24" t="s">
        <v>3450</v>
      </c>
      <c r="Y24" t="s">
        <v>3492</v>
      </c>
      <c r="AB24" t="s">
        <v>1003</v>
      </c>
      <c r="AG24" t="s">
        <v>1034</v>
      </c>
      <c r="AI24" t="s">
        <v>1935</v>
      </c>
      <c r="AK24" t="s">
        <v>3693</v>
      </c>
      <c r="AS24" t="s">
        <v>3739</v>
      </c>
      <c r="AT24" t="s">
        <v>4049</v>
      </c>
      <c r="AV24" t="s">
        <v>4080</v>
      </c>
      <c r="AW24" t="s">
        <v>4147</v>
      </c>
      <c r="AX24" t="s">
        <v>3492</v>
      </c>
      <c r="BC24" t="s">
        <v>1003</v>
      </c>
    </row>
    <row r="25" spans="6:55">
      <c r="J25" t="s">
        <v>2615</v>
      </c>
      <c r="M25" t="s">
        <v>3132</v>
      </c>
      <c r="O25" t="s">
        <v>3162</v>
      </c>
      <c r="P25" t="s">
        <v>3376</v>
      </c>
      <c r="Q25" t="s">
        <v>3401</v>
      </c>
      <c r="R25" t="s">
        <v>973</v>
      </c>
      <c r="V25" t="s">
        <v>3451</v>
      </c>
      <c r="Y25" t="s">
        <v>3493</v>
      </c>
      <c r="AB25" t="s">
        <v>1004</v>
      </c>
      <c r="AG25" t="s">
        <v>1035</v>
      </c>
      <c r="AI25" t="s">
        <v>1936</v>
      </c>
      <c r="AK25" t="s">
        <v>3694</v>
      </c>
      <c r="AS25" t="s">
        <v>3740</v>
      </c>
      <c r="AT25" t="s">
        <v>4050</v>
      </c>
      <c r="AV25" t="s">
        <v>3311</v>
      </c>
      <c r="AW25" t="s">
        <v>4148</v>
      </c>
      <c r="AX25" t="s">
        <v>3493</v>
      </c>
      <c r="BC25" t="s">
        <v>1004</v>
      </c>
    </row>
    <row r="26" spans="6:55">
      <c r="J26" t="s">
        <v>2616</v>
      </c>
      <c r="M26" t="s">
        <v>3133</v>
      </c>
      <c r="O26" t="s">
        <v>3163</v>
      </c>
      <c r="P26" t="s">
        <v>3377</v>
      </c>
      <c r="Q26" t="s">
        <v>3402</v>
      </c>
      <c r="R26" t="s">
        <v>974</v>
      </c>
      <c r="V26" t="s">
        <v>3452</v>
      </c>
      <c r="Y26" t="s">
        <v>3494</v>
      </c>
      <c r="AB26" t="s">
        <v>950</v>
      </c>
      <c r="AG26" t="s">
        <v>1036</v>
      </c>
      <c r="AI26" t="s">
        <v>1937</v>
      </c>
      <c r="AK26" t="s">
        <v>3695</v>
      </c>
      <c r="AS26" t="s">
        <v>3741</v>
      </c>
      <c r="AT26" t="s">
        <v>4051</v>
      </c>
      <c r="AV26" t="s">
        <v>4081</v>
      </c>
      <c r="AW26" t="s">
        <v>4149</v>
      </c>
      <c r="AX26" t="s">
        <v>3494</v>
      </c>
      <c r="BC26" t="s">
        <v>950</v>
      </c>
    </row>
    <row r="27" spans="6:55">
      <c r="J27" t="s">
        <v>2617</v>
      </c>
      <c r="M27" t="s">
        <v>3134</v>
      </c>
      <c r="O27" t="s">
        <v>3164</v>
      </c>
      <c r="P27" t="s">
        <v>947</v>
      </c>
      <c r="Q27" t="s">
        <v>3403</v>
      </c>
      <c r="R27" t="s">
        <v>975</v>
      </c>
      <c r="V27" t="s">
        <v>947</v>
      </c>
      <c r="Y27" t="s">
        <v>3495</v>
      </c>
      <c r="AG27" t="s">
        <v>1037</v>
      </c>
      <c r="AI27" t="s">
        <v>1938</v>
      </c>
      <c r="AK27" t="s">
        <v>3228</v>
      </c>
      <c r="AS27" t="s">
        <v>3742</v>
      </c>
      <c r="AT27" t="s">
        <v>4052</v>
      </c>
      <c r="AV27" t="s">
        <v>4082</v>
      </c>
      <c r="AW27" t="s">
        <v>4150</v>
      </c>
      <c r="AX27" t="s">
        <v>3495</v>
      </c>
    </row>
    <row r="28" spans="6:55">
      <c r="J28" t="s">
        <v>2618</v>
      </c>
      <c r="M28" t="s">
        <v>3135</v>
      </c>
      <c r="O28" t="s">
        <v>3165</v>
      </c>
      <c r="Q28" t="s">
        <v>3404</v>
      </c>
      <c r="V28" t="s">
        <v>950</v>
      </c>
      <c r="Y28" t="s">
        <v>3496</v>
      </c>
      <c r="AG28" t="s">
        <v>1038</v>
      </c>
      <c r="AI28" t="s">
        <v>1939</v>
      </c>
      <c r="AK28" t="s">
        <v>3696</v>
      </c>
      <c r="AS28" t="s">
        <v>3743</v>
      </c>
      <c r="AT28" t="s">
        <v>4053</v>
      </c>
      <c r="AV28" t="s">
        <v>4083</v>
      </c>
      <c r="AW28" t="s">
        <v>4151</v>
      </c>
      <c r="AX28" t="s">
        <v>3496</v>
      </c>
    </row>
    <row r="29" spans="6:55">
      <c r="J29" t="s">
        <v>2619</v>
      </c>
      <c r="M29" t="s">
        <v>3136</v>
      </c>
      <c r="O29" t="s">
        <v>3166</v>
      </c>
      <c r="Q29" t="s">
        <v>947</v>
      </c>
      <c r="Y29" t="s">
        <v>3497</v>
      </c>
      <c r="AG29" t="s">
        <v>1039</v>
      </c>
      <c r="AI29" t="s">
        <v>1940</v>
      </c>
      <c r="AK29" t="s">
        <v>3697</v>
      </c>
      <c r="AS29" t="s">
        <v>3744</v>
      </c>
      <c r="AT29" t="s">
        <v>4054</v>
      </c>
      <c r="AV29" t="s">
        <v>4084</v>
      </c>
      <c r="AW29" t="s">
        <v>4152</v>
      </c>
      <c r="AX29" t="s">
        <v>3497</v>
      </c>
    </row>
    <row r="30" spans="6:55">
      <c r="J30" t="s">
        <v>2620</v>
      </c>
      <c r="M30" t="s">
        <v>3137</v>
      </c>
      <c r="O30" t="s">
        <v>3167</v>
      </c>
      <c r="Q30" t="s">
        <v>950</v>
      </c>
      <c r="Y30" t="s">
        <v>3498</v>
      </c>
      <c r="AG30" t="s">
        <v>1040</v>
      </c>
      <c r="AI30" t="s">
        <v>1941</v>
      </c>
      <c r="AK30" t="s">
        <v>3698</v>
      </c>
      <c r="AS30" t="s">
        <v>3745</v>
      </c>
      <c r="AT30" t="s">
        <v>4055</v>
      </c>
      <c r="AV30" t="s">
        <v>4085</v>
      </c>
      <c r="AW30" t="s">
        <v>4153</v>
      </c>
      <c r="AX30" t="s">
        <v>3498</v>
      </c>
    </row>
    <row r="31" spans="6:55">
      <c r="J31" t="s">
        <v>2621</v>
      </c>
      <c r="M31" t="s">
        <v>3138</v>
      </c>
      <c r="O31" t="s">
        <v>3168</v>
      </c>
      <c r="Y31" t="s">
        <v>3499</v>
      </c>
      <c r="AG31" t="s">
        <v>1041</v>
      </c>
      <c r="AI31" t="s">
        <v>1942</v>
      </c>
      <c r="AK31" t="s">
        <v>3699</v>
      </c>
      <c r="AS31" t="s">
        <v>3746</v>
      </c>
      <c r="AT31" t="s">
        <v>4056</v>
      </c>
      <c r="AV31" t="s">
        <v>4086</v>
      </c>
      <c r="AW31" t="s">
        <v>4154</v>
      </c>
      <c r="AX31" t="s">
        <v>3499</v>
      </c>
    </row>
    <row r="32" spans="6:55">
      <c r="J32" t="s">
        <v>2622</v>
      </c>
      <c r="M32" t="s">
        <v>3139</v>
      </c>
      <c r="O32" t="s">
        <v>3169</v>
      </c>
      <c r="Y32" t="s">
        <v>3500</v>
      </c>
      <c r="AG32" t="s">
        <v>1042</v>
      </c>
      <c r="AI32" t="s">
        <v>1943</v>
      </c>
      <c r="AK32" t="s">
        <v>3467</v>
      </c>
      <c r="AS32" t="s">
        <v>3747</v>
      </c>
      <c r="AT32" t="s">
        <v>4057</v>
      </c>
      <c r="AV32" t="s">
        <v>4087</v>
      </c>
      <c r="AW32" t="s">
        <v>4155</v>
      </c>
      <c r="AX32" t="s">
        <v>3500</v>
      </c>
    </row>
    <row r="33" spans="10:50">
      <c r="J33" t="s">
        <v>2623</v>
      </c>
      <c r="M33" t="s">
        <v>947</v>
      </c>
      <c r="O33" t="s">
        <v>3170</v>
      </c>
      <c r="Y33" t="s">
        <v>3501</v>
      </c>
      <c r="AG33" t="s">
        <v>1043</v>
      </c>
      <c r="AI33" t="s">
        <v>1944</v>
      </c>
      <c r="AK33" t="s">
        <v>3318</v>
      </c>
      <c r="AS33" t="s">
        <v>3748</v>
      </c>
      <c r="AT33" t="s">
        <v>4058</v>
      </c>
      <c r="AV33" t="s">
        <v>4088</v>
      </c>
      <c r="AW33" t="s">
        <v>4156</v>
      </c>
      <c r="AX33" t="s">
        <v>3501</v>
      </c>
    </row>
    <row r="34" spans="10:50">
      <c r="J34" t="s">
        <v>2624</v>
      </c>
      <c r="O34" t="s">
        <v>3171</v>
      </c>
      <c r="Y34" t="s">
        <v>3502</v>
      </c>
      <c r="AG34" t="s">
        <v>1044</v>
      </c>
      <c r="AI34" t="s">
        <v>1945</v>
      </c>
      <c r="AK34" t="s">
        <v>3700</v>
      </c>
      <c r="AS34" t="s">
        <v>3749</v>
      </c>
      <c r="AT34" t="s">
        <v>4059</v>
      </c>
      <c r="AV34" t="s">
        <v>4089</v>
      </c>
      <c r="AW34" t="s">
        <v>4157</v>
      </c>
      <c r="AX34" t="s">
        <v>3502</v>
      </c>
    </row>
    <row r="35" spans="10:50">
      <c r="J35" t="s">
        <v>2625</v>
      </c>
      <c r="O35" t="s">
        <v>3172</v>
      </c>
      <c r="Y35" t="s">
        <v>3503</v>
      </c>
      <c r="AG35" t="s">
        <v>1045</v>
      </c>
      <c r="AI35" t="s">
        <v>1946</v>
      </c>
      <c r="AK35" t="s">
        <v>3701</v>
      </c>
      <c r="AS35" t="s">
        <v>3750</v>
      </c>
      <c r="AT35" t="s">
        <v>4060</v>
      </c>
      <c r="AV35" t="s">
        <v>4090</v>
      </c>
      <c r="AW35" t="s">
        <v>4158</v>
      </c>
      <c r="AX35" t="s">
        <v>3503</v>
      </c>
    </row>
    <row r="36" spans="10:50">
      <c r="J36" t="s">
        <v>2626</v>
      </c>
      <c r="O36" t="s">
        <v>3173</v>
      </c>
      <c r="Y36" t="s">
        <v>3504</v>
      </c>
      <c r="AG36" t="s">
        <v>1046</v>
      </c>
      <c r="AI36" t="s">
        <v>1947</v>
      </c>
      <c r="AK36" t="s">
        <v>3702</v>
      </c>
      <c r="AS36" t="s">
        <v>3751</v>
      </c>
      <c r="AT36" t="s">
        <v>950</v>
      </c>
      <c r="AV36" t="s">
        <v>4091</v>
      </c>
      <c r="AW36" t="s">
        <v>4159</v>
      </c>
      <c r="AX36" t="s">
        <v>3504</v>
      </c>
    </row>
    <row r="37" spans="10:50">
      <c r="J37" t="s">
        <v>2627</v>
      </c>
      <c r="O37" t="s">
        <v>3174</v>
      </c>
      <c r="Y37" t="s">
        <v>3505</v>
      </c>
      <c r="AG37" t="s">
        <v>1047</v>
      </c>
      <c r="AI37" t="s">
        <v>1948</v>
      </c>
      <c r="AK37" t="s">
        <v>3703</v>
      </c>
      <c r="AS37" t="s">
        <v>3752</v>
      </c>
      <c r="AV37" t="s">
        <v>4092</v>
      </c>
      <c r="AW37" t="s">
        <v>4160</v>
      </c>
      <c r="AX37" t="s">
        <v>3505</v>
      </c>
    </row>
    <row r="38" spans="10:50">
      <c r="J38" t="s">
        <v>2628</v>
      </c>
      <c r="O38" t="s">
        <v>3175</v>
      </c>
      <c r="Y38" t="s">
        <v>3506</v>
      </c>
      <c r="AG38" t="s">
        <v>1048</v>
      </c>
      <c r="AI38" t="s">
        <v>1949</v>
      </c>
      <c r="AK38" t="s">
        <v>3704</v>
      </c>
      <c r="AS38" t="s">
        <v>3753</v>
      </c>
      <c r="AV38" t="s">
        <v>4093</v>
      </c>
      <c r="AW38" t="s">
        <v>4161</v>
      </c>
      <c r="AX38" t="s">
        <v>3506</v>
      </c>
    </row>
    <row r="39" spans="10:50">
      <c r="J39" t="s">
        <v>2629</v>
      </c>
      <c r="O39" t="s">
        <v>3176</v>
      </c>
      <c r="Y39" t="s">
        <v>3507</v>
      </c>
      <c r="AG39" t="s">
        <v>1049</v>
      </c>
      <c r="AI39" t="s">
        <v>1950</v>
      </c>
      <c r="AK39" t="s">
        <v>3705</v>
      </c>
      <c r="AS39" t="s">
        <v>3754</v>
      </c>
      <c r="AV39" t="s">
        <v>4094</v>
      </c>
      <c r="AW39" t="s">
        <v>4162</v>
      </c>
      <c r="AX39" t="s">
        <v>3507</v>
      </c>
    </row>
    <row r="40" spans="10:50">
      <c r="J40" t="s">
        <v>2630</v>
      </c>
      <c r="O40" t="s">
        <v>3177</v>
      </c>
      <c r="Y40" t="s">
        <v>3508</v>
      </c>
      <c r="AG40" t="s">
        <v>1050</v>
      </c>
      <c r="AI40" t="s">
        <v>1951</v>
      </c>
      <c r="AK40" t="s">
        <v>950</v>
      </c>
      <c r="AS40" t="s">
        <v>3755</v>
      </c>
      <c r="AV40" t="s">
        <v>4095</v>
      </c>
      <c r="AW40" t="s">
        <v>4163</v>
      </c>
      <c r="AX40" t="s">
        <v>3508</v>
      </c>
    </row>
    <row r="41" spans="10:50">
      <c r="J41" t="s">
        <v>2631</v>
      </c>
      <c r="O41" t="s">
        <v>3178</v>
      </c>
      <c r="Y41" t="s">
        <v>3509</v>
      </c>
      <c r="AG41" t="s">
        <v>1051</v>
      </c>
      <c r="AI41" t="s">
        <v>1952</v>
      </c>
      <c r="AS41" t="s">
        <v>3756</v>
      </c>
      <c r="AV41" t="s">
        <v>4096</v>
      </c>
      <c r="AW41" t="s">
        <v>4164</v>
      </c>
      <c r="AX41" t="s">
        <v>3509</v>
      </c>
    </row>
    <row r="42" spans="10:50">
      <c r="J42" t="s">
        <v>2632</v>
      </c>
      <c r="O42" t="s">
        <v>3179</v>
      </c>
      <c r="Y42" t="s">
        <v>3510</v>
      </c>
      <c r="AG42" t="s">
        <v>1052</v>
      </c>
      <c r="AI42" t="s">
        <v>1953</v>
      </c>
      <c r="AS42" t="s">
        <v>3757</v>
      </c>
      <c r="AV42" t="s">
        <v>4097</v>
      </c>
      <c r="AW42" t="s">
        <v>4165</v>
      </c>
      <c r="AX42" t="s">
        <v>3510</v>
      </c>
    </row>
    <row r="43" spans="10:50">
      <c r="J43" t="s">
        <v>2633</v>
      </c>
      <c r="O43" t="s">
        <v>3180</v>
      </c>
      <c r="Y43" t="s">
        <v>3511</v>
      </c>
      <c r="AG43" t="s">
        <v>1053</v>
      </c>
      <c r="AI43" t="s">
        <v>1954</v>
      </c>
      <c r="AS43" t="s">
        <v>3758</v>
      </c>
      <c r="AV43" t="s">
        <v>4098</v>
      </c>
      <c r="AW43" t="s">
        <v>4166</v>
      </c>
      <c r="AX43" t="s">
        <v>3511</v>
      </c>
    </row>
    <row r="44" spans="10:50">
      <c r="J44" t="s">
        <v>2634</v>
      </c>
      <c r="O44" t="s">
        <v>3181</v>
      </c>
      <c r="Y44" t="s">
        <v>3512</v>
      </c>
      <c r="AG44" t="s">
        <v>1054</v>
      </c>
      <c r="AI44" t="s">
        <v>1955</v>
      </c>
      <c r="AS44" t="s">
        <v>3759</v>
      </c>
      <c r="AV44" t="s">
        <v>4099</v>
      </c>
      <c r="AW44" t="s">
        <v>4167</v>
      </c>
      <c r="AX44" t="s">
        <v>3512</v>
      </c>
    </row>
    <row r="45" spans="10:50">
      <c r="J45" t="s">
        <v>2635</v>
      </c>
      <c r="O45" t="s">
        <v>3182</v>
      </c>
      <c r="Y45" t="s">
        <v>3513</v>
      </c>
      <c r="AG45" t="s">
        <v>1055</v>
      </c>
      <c r="AI45" t="s">
        <v>1956</v>
      </c>
      <c r="AS45" t="s">
        <v>3760</v>
      </c>
      <c r="AV45" t="s">
        <v>4100</v>
      </c>
      <c r="AW45" t="s">
        <v>4168</v>
      </c>
      <c r="AX45" t="s">
        <v>3513</v>
      </c>
    </row>
    <row r="46" spans="10:50">
      <c r="J46" t="s">
        <v>2636</v>
      </c>
      <c r="O46" t="s">
        <v>3183</v>
      </c>
      <c r="Y46" t="s">
        <v>432</v>
      </c>
      <c r="AG46" t="s">
        <v>1056</v>
      </c>
      <c r="AI46" t="s">
        <v>1957</v>
      </c>
      <c r="AS46" t="s">
        <v>3761</v>
      </c>
      <c r="AV46" t="s">
        <v>4101</v>
      </c>
      <c r="AW46" t="s">
        <v>4169</v>
      </c>
      <c r="AX46" t="s">
        <v>432</v>
      </c>
    </row>
    <row r="47" spans="10:50">
      <c r="J47" t="s">
        <v>2637</v>
      </c>
      <c r="O47" t="s">
        <v>3184</v>
      </c>
      <c r="Y47" t="s">
        <v>3514</v>
      </c>
      <c r="AG47" t="s">
        <v>1057</v>
      </c>
      <c r="AI47" t="s">
        <v>1958</v>
      </c>
      <c r="AS47" t="s">
        <v>3762</v>
      </c>
      <c r="AV47" t="s">
        <v>4102</v>
      </c>
      <c r="AW47" t="s">
        <v>4170</v>
      </c>
      <c r="AX47" t="s">
        <v>3514</v>
      </c>
    </row>
    <row r="48" spans="10:50">
      <c r="J48" t="s">
        <v>2638</v>
      </c>
      <c r="O48" t="s">
        <v>3185</v>
      </c>
      <c r="Y48" t="s">
        <v>3515</v>
      </c>
      <c r="AG48" t="s">
        <v>1058</v>
      </c>
      <c r="AI48" t="s">
        <v>1959</v>
      </c>
      <c r="AS48" t="s">
        <v>3763</v>
      </c>
      <c r="AV48" t="s">
        <v>4103</v>
      </c>
      <c r="AW48" t="s">
        <v>4171</v>
      </c>
      <c r="AX48" t="s">
        <v>3515</v>
      </c>
    </row>
    <row r="49" spans="10:50">
      <c r="J49" t="s">
        <v>2639</v>
      </c>
      <c r="O49" t="s">
        <v>3186</v>
      </c>
      <c r="Y49" t="s">
        <v>3516</v>
      </c>
      <c r="AG49" t="s">
        <v>1059</v>
      </c>
      <c r="AI49" t="s">
        <v>1960</v>
      </c>
      <c r="AS49" t="s">
        <v>3764</v>
      </c>
      <c r="AV49" t="s">
        <v>4104</v>
      </c>
      <c r="AW49" t="s">
        <v>4172</v>
      </c>
      <c r="AX49" t="s">
        <v>3516</v>
      </c>
    </row>
    <row r="50" spans="10:50">
      <c r="J50" t="s">
        <v>2640</v>
      </c>
      <c r="O50" t="s">
        <v>3187</v>
      </c>
      <c r="Y50" t="s">
        <v>3517</v>
      </c>
      <c r="AG50" t="s">
        <v>1060</v>
      </c>
      <c r="AI50" t="s">
        <v>1961</v>
      </c>
      <c r="AS50" t="s">
        <v>3765</v>
      </c>
      <c r="AV50" t="s">
        <v>4105</v>
      </c>
      <c r="AW50" t="s">
        <v>4173</v>
      </c>
      <c r="AX50" t="s">
        <v>3517</v>
      </c>
    </row>
    <row r="51" spans="10:50">
      <c r="J51" t="s">
        <v>2641</v>
      </c>
      <c r="O51" t="s">
        <v>3188</v>
      </c>
      <c r="Y51" t="s">
        <v>3518</v>
      </c>
      <c r="AG51" t="s">
        <v>1061</v>
      </c>
      <c r="AI51" t="s">
        <v>1962</v>
      </c>
      <c r="AS51" t="s">
        <v>3766</v>
      </c>
      <c r="AV51" t="s">
        <v>4106</v>
      </c>
      <c r="AW51" t="s">
        <v>4174</v>
      </c>
      <c r="AX51" t="s">
        <v>3518</v>
      </c>
    </row>
    <row r="52" spans="10:50">
      <c r="J52" t="s">
        <v>2642</v>
      </c>
      <c r="O52" t="s">
        <v>3189</v>
      </c>
      <c r="Y52" t="s">
        <v>3519</v>
      </c>
      <c r="AG52" t="s">
        <v>1062</v>
      </c>
      <c r="AI52" t="s">
        <v>1963</v>
      </c>
      <c r="AS52" t="s">
        <v>3767</v>
      </c>
      <c r="AV52" t="s">
        <v>4107</v>
      </c>
      <c r="AW52" t="s">
        <v>4175</v>
      </c>
      <c r="AX52" t="s">
        <v>3519</v>
      </c>
    </row>
    <row r="53" spans="10:50">
      <c r="J53" t="s">
        <v>2643</v>
      </c>
      <c r="O53" t="s">
        <v>3190</v>
      </c>
      <c r="Y53" t="s">
        <v>3520</v>
      </c>
      <c r="AG53" t="s">
        <v>1063</v>
      </c>
      <c r="AI53" t="s">
        <v>1964</v>
      </c>
      <c r="AS53" t="s">
        <v>3768</v>
      </c>
      <c r="AV53" t="s">
        <v>4108</v>
      </c>
      <c r="AW53" t="s">
        <v>4176</v>
      </c>
      <c r="AX53" t="s">
        <v>3520</v>
      </c>
    </row>
    <row r="54" spans="10:50">
      <c r="J54" t="s">
        <v>2644</v>
      </c>
      <c r="O54" t="s">
        <v>3191</v>
      </c>
      <c r="Y54" t="s">
        <v>3521</v>
      </c>
      <c r="AG54" t="s">
        <v>1064</v>
      </c>
      <c r="AI54" t="s">
        <v>1965</v>
      </c>
      <c r="AS54" t="s">
        <v>3769</v>
      </c>
      <c r="AV54" t="s">
        <v>4109</v>
      </c>
      <c r="AW54" t="s">
        <v>4177</v>
      </c>
      <c r="AX54" t="s">
        <v>3521</v>
      </c>
    </row>
    <row r="55" spans="10:50">
      <c r="J55" t="s">
        <v>2645</v>
      </c>
      <c r="O55" t="s">
        <v>3192</v>
      </c>
      <c r="Y55" t="s">
        <v>3522</v>
      </c>
      <c r="AG55" t="s">
        <v>1065</v>
      </c>
      <c r="AI55" t="s">
        <v>1966</v>
      </c>
      <c r="AS55" t="s">
        <v>3770</v>
      </c>
      <c r="AV55" t="s">
        <v>4110</v>
      </c>
      <c r="AW55" t="s">
        <v>4178</v>
      </c>
      <c r="AX55" t="s">
        <v>3522</v>
      </c>
    </row>
    <row r="56" spans="10:50">
      <c r="J56" t="s">
        <v>2646</v>
      </c>
      <c r="O56" t="s">
        <v>3193</v>
      </c>
      <c r="Y56" t="s">
        <v>3523</v>
      </c>
      <c r="AG56" t="s">
        <v>1066</v>
      </c>
      <c r="AI56" t="s">
        <v>1967</v>
      </c>
      <c r="AS56" t="s">
        <v>3771</v>
      </c>
      <c r="AV56" t="s">
        <v>4111</v>
      </c>
      <c r="AW56" t="s">
        <v>4179</v>
      </c>
      <c r="AX56" t="s">
        <v>3523</v>
      </c>
    </row>
    <row r="57" spans="10:50">
      <c r="J57" t="s">
        <v>2647</v>
      </c>
      <c r="O57" t="s">
        <v>3194</v>
      </c>
      <c r="Y57" t="s">
        <v>3524</v>
      </c>
      <c r="AG57" t="s">
        <v>1067</v>
      </c>
      <c r="AI57" t="s">
        <v>1968</v>
      </c>
      <c r="AS57" t="s">
        <v>3772</v>
      </c>
      <c r="AV57" t="s">
        <v>4112</v>
      </c>
      <c r="AW57" t="s">
        <v>4180</v>
      </c>
      <c r="AX57" t="s">
        <v>3524</v>
      </c>
    </row>
    <row r="58" spans="10:50">
      <c r="J58" t="s">
        <v>2648</v>
      </c>
      <c r="O58" t="s">
        <v>3195</v>
      </c>
      <c r="Y58" t="s">
        <v>3525</v>
      </c>
      <c r="AG58" t="s">
        <v>1068</v>
      </c>
      <c r="AI58" t="s">
        <v>1969</v>
      </c>
      <c r="AS58" t="s">
        <v>3773</v>
      </c>
      <c r="AV58" t="s">
        <v>4113</v>
      </c>
      <c r="AW58" t="s">
        <v>4181</v>
      </c>
      <c r="AX58" t="s">
        <v>3525</v>
      </c>
    </row>
    <row r="59" spans="10:50">
      <c r="J59" t="s">
        <v>2649</v>
      </c>
      <c r="O59" t="s">
        <v>3196</v>
      </c>
      <c r="Y59" t="s">
        <v>3526</v>
      </c>
      <c r="AG59" t="s">
        <v>1069</v>
      </c>
      <c r="AI59" t="s">
        <v>1970</v>
      </c>
      <c r="AS59" t="s">
        <v>3774</v>
      </c>
      <c r="AV59" t="s">
        <v>4114</v>
      </c>
      <c r="AW59" t="s">
        <v>4182</v>
      </c>
      <c r="AX59" t="s">
        <v>3526</v>
      </c>
    </row>
    <row r="60" spans="10:50">
      <c r="J60" t="s">
        <v>2650</v>
      </c>
      <c r="O60" t="s">
        <v>3197</v>
      </c>
      <c r="Y60" t="s">
        <v>3527</v>
      </c>
      <c r="AG60" t="s">
        <v>1070</v>
      </c>
      <c r="AI60" t="s">
        <v>1971</v>
      </c>
      <c r="AS60" t="s">
        <v>3775</v>
      </c>
      <c r="AV60" t="s">
        <v>4115</v>
      </c>
      <c r="AW60" t="s">
        <v>4183</v>
      </c>
      <c r="AX60" t="s">
        <v>3527</v>
      </c>
    </row>
    <row r="61" spans="10:50">
      <c r="J61" t="s">
        <v>2651</v>
      </c>
      <c r="O61" t="s">
        <v>3198</v>
      </c>
      <c r="Y61" t="s">
        <v>3528</v>
      </c>
      <c r="AG61" t="s">
        <v>1071</v>
      </c>
      <c r="AI61" t="s">
        <v>1972</v>
      </c>
      <c r="AS61" t="s">
        <v>3776</v>
      </c>
      <c r="AV61" t="s">
        <v>4116</v>
      </c>
      <c r="AW61" t="s">
        <v>4184</v>
      </c>
      <c r="AX61" t="s">
        <v>3528</v>
      </c>
    </row>
    <row r="62" spans="10:50">
      <c r="J62" t="s">
        <v>2652</v>
      </c>
      <c r="O62" t="s">
        <v>3199</v>
      </c>
      <c r="Y62" t="s">
        <v>3529</v>
      </c>
      <c r="AG62" t="s">
        <v>1072</v>
      </c>
      <c r="AI62" t="s">
        <v>1973</v>
      </c>
      <c r="AS62" t="s">
        <v>3777</v>
      </c>
      <c r="AV62" t="s">
        <v>4117</v>
      </c>
      <c r="AW62" t="s">
        <v>4185</v>
      </c>
      <c r="AX62" t="s">
        <v>3529</v>
      </c>
    </row>
    <row r="63" spans="10:50">
      <c r="J63" t="s">
        <v>2653</v>
      </c>
      <c r="O63" t="s">
        <v>3200</v>
      </c>
      <c r="Y63" t="s">
        <v>3530</v>
      </c>
      <c r="AG63" t="s">
        <v>1073</v>
      </c>
      <c r="AI63" t="s">
        <v>1974</v>
      </c>
      <c r="AS63" t="s">
        <v>3778</v>
      </c>
      <c r="AV63" t="s">
        <v>4118</v>
      </c>
      <c r="AW63" t="s">
        <v>4186</v>
      </c>
      <c r="AX63" t="s">
        <v>3530</v>
      </c>
    </row>
    <row r="64" spans="10:50">
      <c r="J64" t="s">
        <v>2654</v>
      </c>
      <c r="O64" t="s">
        <v>3201</v>
      </c>
      <c r="Y64" t="s">
        <v>3531</v>
      </c>
      <c r="AG64" t="s">
        <v>1074</v>
      </c>
      <c r="AI64" t="s">
        <v>1975</v>
      </c>
      <c r="AS64" t="s">
        <v>3779</v>
      </c>
      <c r="AV64" t="s">
        <v>4119</v>
      </c>
      <c r="AW64" t="s">
        <v>4187</v>
      </c>
      <c r="AX64" t="s">
        <v>3531</v>
      </c>
    </row>
    <row r="65" spans="10:50">
      <c r="J65" t="s">
        <v>2655</v>
      </c>
      <c r="O65" t="s">
        <v>3202</v>
      </c>
      <c r="Y65" t="s">
        <v>3532</v>
      </c>
      <c r="AG65" t="s">
        <v>1075</v>
      </c>
      <c r="AI65" t="s">
        <v>1976</v>
      </c>
      <c r="AS65" t="s">
        <v>3780</v>
      </c>
      <c r="AV65" t="s">
        <v>4120</v>
      </c>
      <c r="AW65" t="s">
        <v>4188</v>
      </c>
      <c r="AX65" t="s">
        <v>3532</v>
      </c>
    </row>
    <row r="66" spans="10:50">
      <c r="J66" t="s">
        <v>2656</v>
      </c>
      <c r="O66" t="s">
        <v>3203</v>
      </c>
      <c r="Y66" t="s">
        <v>3533</v>
      </c>
      <c r="AG66" t="s">
        <v>1076</v>
      </c>
      <c r="AI66" t="s">
        <v>1977</v>
      </c>
      <c r="AS66" t="s">
        <v>3781</v>
      </c>
      <c r="AV66" t="s">
        <v>4121</v>
      </c>
      <c r="AW66" t="s">
        <v>4189</v>
      </c>
      <c r="AX66" t="s">
        <v>3533</v>
      </c>
    </row>
    <row r="67" spans="10:50">
      <c r="J67" t="s">
        <v>2657</v>
      </c>
      <c r="O67" t="s">
        <v>3204</v>
      </c>
      <c r="Y67" t="s">
        <v>3534</v>
      </c>
      <c r="AG67" t="s">
        <v>1077</v>
      </c>
      <c r="AI67" t="s">
        <v>1978</v>
      </c>
      <c r="AS67" t="s">
        <v>3782</v>
      </c>
      <c r="AV67" t="s">
        <v>4122</v>
      </c>
      <c r="AW67" t="s">
        <v>4190</v>
      </c>
      <c r="AX67" t="s">
        <v>3534</v>
      </c>
    </row>
    <row r="68" spans="10:50">
      <c r="J68" t="s">
        <v>2658</v>
      </c>
      <c r="O68" t="s">
        <v>3205</v>
      </c>
      <c r="Y68" t="s">
        <v>3535</v>
      </c>
      <c r="AG68" t="s">
        <v>1078</v>
      </c>
      <c r="AI68" t="s">
        <v>1979</v>
      </c>
      <c r="AS68" t="s">
        <v>3783</v>
      </c>
      <c r="AV68" t="s">
        <v>4123</v>
      </c>
      <c r="AW68" t="s">
        <v>4191</v>
      </c>
      <c r="AX68" t="s">
        <v>3535</v>
      </c>
    </row>
    <row r="69" spans="10:50">
      <c r="J69" t="s">
        <v>2659</v>
      </c>
      <c r="O69" t="s">
        <v>3206</v>
      </c>
      <c r="Y69" t="s">
        <v>3536</v>
      </c>
      <c r="AG69" t="s">
        <v>1079</v>
      </c>
      <c r="AI69" t="s">
        <v>1980</v>
      </c>
      <c r="AS69" t="s">
        <v>3784</v>
      </c>
      <c r="AV69" t="s">
        <v>4124</v>
      </c>
      <c r="AW69" t="s">
        <v>4192</v>
      </c>
      <c r="AX69" t="s">
        <v>3536</v>
      </c>
    </row>
    <row r="70" spans="10:50">
      <c r="J70" t="s">
        <v>2660</v>
      </c>
      <c r="O70" t="s">
        <v>3207</v>
      </c>
      <c r="Y70" t="s">
        <v>3537</v>
      </c>
      <c r="AG70" t="s">
        <v>1080</v>
      </c>
      <c r="AI70" t="s">
        <v>1981</v>
      </c>
      <c r="AS70" t="s">
        <v>3785</v>
      </c>
      <c r="AV70" t="s">
        <v>950</v>
      </c>
      <c r="AW70" t="s">
        <v>4193</v>
      </c>
      <c r="AX70" t="s">
        <v>3537</v>
      </c>
    </row>
    <row r="71" spans="10:50">
      <c r="J71" t="s">
        <v>2661</v>
      </c>
      <c r="O71" t="s">
        <v>3208</v>
      </c>
      <c r="Y71" t="s">
        <v>3538</v>
      </c>
      <c r="AG71" t="s">
        <v>1081</v>
      </c>
      <c r="AI71" t="s">
        <v>1982</v>
      </c>
      <c r="AS71" t="s">
        <v>3786</v>
      </c>
      <c r="AW71" t="s">
        <v>4194</v>
      </c>
      <c r="AX71" t="s">
        <v>3538</v>
      </c>
    </row>
    <row r="72" spans="10:50">
      <c r="J72" t="s">
        <v>2662</v>
      </c>
      <c r="O72" t="s">
        <v>3209</v>
      </c>
      <c r="Y72" t="s">
        <v>3539</v>
      </c>
      <c r="AG72" t="s">
        <v>1082</v>
      </c>
      <c r="AI72" t="s">
        <v>1983</v>
      </c>
      <c r="AS72" t="s">
        <v>3787</v>
      </c>
      <c r="AW72" t="s">
        <v>4195</v>
      </c>
      <c r="AX72" t="s">
        <v>3539</v>
      </c>
    </row>
    <row r="73" spans="10:50">
      <c r="J73" t="s">
        <v>2663</v>
      </c>
      <c r="O73" t="s">
        <v>3210</v>
      </c>
      <c r="Y73" t="s">
        <v>3540</v>
      </c>
      <c r="AG73" t="s">
        <v>1083</v>
      </c>
      <c r="AI73" t="s">
        <v>1984</v>
      </c>
      <c r="AS73" t="s">
        <v>3788</v>
      </c>
      <c r="AW73" t="s">
        <v>4196</v>
      </c>
      <c r="AX73" t="s">
        <v>3540</v>
      </c>
    </row>
    <row r="74" spans="10:50">
      <c r="J74" t="s">
        <v>2664</v>
      </c>
      <c r="O74" t="s">
        <v>3211</v>
      </c>
      <c r="Y74" t="s">
        <v>3541</v>
      </c>
      <c r="AG74" t="s">
        <v>1084</v>
      </c>
      <c r="AI74" t="s">
        <v>1985</v>
      </c>
      <c r="AS74" t="s">
        <v>3789</v>
      </c>
      <c r="AW74" t="s">
        <v>4197</v>
      </c>
      <c r="AX74" t="s">
        <v>3541</v>
      </c>
    </row>
    <row r="75" spans="10:50">
      <c r="J75" t="s">
        <v>2665</v>
      </c>
      <c r="O75" t="s">
        <v>3212</v>
      </c>
      <c r="Y75" t="s">
        <v>3542</v>
      </c>
      <c r="AG75" t="s">
        <v>1085</v>
      </c>
      <c r="AI75" t="s">
        <v>1986</v>
      </c>
      <c r="AS75" t="s">
        <v>3790</v>
      </c>
      <c r="AW75" t="s">
        <v>4198</v>
      </c>
      <c r="AX75" t="s">
        <v>3542</v>
      </c>
    </row>
    <row r="76" spans="10:50">
      <c r="J76" t="s">
        <v>2666</v>
      </c>
      <c r="O76" t="s">
        <v>3213</v>
      </c>
      <c r="Y76" t="s">
        <v>3543</v>
      </c>
      <c r="AG76" t="s">
        <v>1086</v>
      </c>
      <c r="AI76" t="s">
        <v>1987</v>
      </c>
      <c r="AS76" t="s">
        <v>3791</v>
      </c>
      <c r="AW76" t="s">
        <v>4199</v>
      </c>
      <c r="AX76" t="s">
        <v>3543</v>
      </c>
    </row>
    <row r="77" spans="10:50">
      <c r="J77" t="s">
        <v>2667</v>
      </c>
      <c r="O77" t="s">
        <v>3214</v>
      </c>
      <c r="Y77" t="s">
        <v>3544</v>
      </c>
      <c r="AG77" t="s">
        <v>1087</v>
      </c>
      <c r="AI77" t="s">
        <v>1988</v>
      </c>
      <c r="AS77" t="s">
        <v>3792</v>
      </c>
      <c r="AW77" t="s">
        <v>4200</v>
      </c>
      <c r="AX77" t="s">
        <v>3544</v>
      </c>
    </row>
    <row r="78" spans="10:50">
      <c r="J78" t="s">
        <v>2668</v>
      </c>
      <c r="O78" t="s">
        <v>3215</v>
      </c>
      <c r="Y78" t="s">
        <v>3545</v>
      </c>
      <c r="AG78" t="s">
        <v>1088</v>
      </c>
      <c r="AI78" t="s">
        <v>1989</v>
      </c>
      <c r="AS78" t="s">
        <v>3793</v>
      </c>
      <c r="AW78" t="s">
        <v>4201</v>
      </c>
      <c r="AX78" t="s">
        <v>3545</v>
      </c>
    </row>
    <row r="79" spans="10:50">
      <c r="J79" t="s">
        <v>2669</v>
      </c>
      <c r="O79" t="s">
        <v>3216</v>
      </c>
      <c r="Y79" t="s">
        <v>3546</v>
      </c>
      <c r="AG79" t="s">
        <v>1089</v>
      </c>
      <c r="AI79" t="s">
        <v>1990</v>
      </c>
      <c r="AS79" t="s">
        <v>3794</v>
      </c>
      <c r="AW79" t="s">
        <v>4202</v>
      </c>
      <c r="AX79" t="s">
        <v>3546</v>
      </c>
    </row>
    <row r="80" spans="10:50">
      <c r="J80" t="s">
        <v>2670</v>
      </c>
      <c r="O80" t="s">
        <v>540</v>
      </c>
      <c r="Y80" t="s">
        <v>3547</v>
      </c>
      <c r="AG80" t="s">
        <v>1090</v>
      </c>
      <c r="AI80" t="s">
        <v>1991</v>
      </c>
      <c r="AS80" t="s">
        <v>3795</v>
      </c>
      <c r="AW80" t="s">
        <v>4203</v>
      </c>
      <c r="AX80" t="s">
        <v>3547</v>
      </c>
    </row>
    <row r="81" spans="10:50">
      <c r="J81" t="s">
        <v>2671</v>
      </c>
      <c r="O81" t="s">
        <v>3217</v>
      </c>
      <c r="Y81" t="s">
        <v>3548</v>
      </c>
      <c r="AG81" t="s">
        <v>1091</v>
      </c>
      <c r="AI81" t="s">
        <v>1992</v>
      </c>
      <c r="AS81" t="s">
        <v>3796</v>
      </c>
      <c r="AW81" t="s">
        <v>4204</v>
      </c>
      <c r="AX81" t="s">
        <v>3548</v>
      </c>
    </row>
    <row r="82" spans="10:50">
      <c r="J82" t="s">
        <v>2672</v>
      </c>
      <c r="O82" t="s">
        <v>3218</v>
      </c>
      <c r="Y82" t="s">
        <v>3549</v>
      </c>
      <c r="AG82" t="s">
        <v>1092</v>
      </c>
      <c r="AI82" t="s">
        <v>1993</v>
      </c>
      <c r="AS82" t="s">
        <v>3797</v>
      </c>
      <c r="AW82" t="s">
        <v>4205</v>
      </c>
      <c r="AX82" t="s">
        <v>3549</v>
      </c>
    </row>
    <row r="83" spans="10:50">
      <c r="J83" t="s">
        <v>2673</v>
      </c>
      <c r="O83" t="s">
        <v>3219</v>
      </c>
      <c r="Y83" t="s">
        <v>3550</v>
      </c>
      <c r="AG83" t="s">
        <v>1093</v>
      </c>
      <c r="AI83" t="s">
        <v>1994</v>
      </c>
      <c r="AS83" t="s">
        <v>3798</v>
      </c>
      <c r="AW83" t="s">
        <v>4206</v>
      </c>
      <c r="AX83" t="s">
        <v>3550</v>
      </c>
    </row>
    <row r="84" spans="10:50">
      <c r="J84" t="s">
        <v>2674</v>
      </c>
      <c r="O84" t="s">
        <v>3220</v>
      </c>
      <c r="Y84" t="s">
        <v>3551</v>
      </c>
      <c r="AG84" t="s">
        <v>1094</v>
      </c>
      <c r="AI84" t="s">
        <v>1995</v>
      </c>
      <c r="AS84" t="s">
        <v>3799</v>
      </c>
      <c r="AW84" t="s">
        <v>4207</v>
      </c>
      <c r="AX84" t="s">
        <v>3551</v>
      </c>
    </row>
    <row r="85" spans="10:50">
      <c r="J85" t="s">
        <v>2675</v>
      </c>
      <c r="O85" t="s">
        <v>3221</v>
      </c>
      <c r="Y85" t="s">
        <v>3552</v>
      </c>
      <c r="AG85" t="s">
        <v>1095</v>
      </c>
      <c r="AI85" t="s">
        <v>1996</v>
      </c>
      <c r="AS85" t="s">
        <v>3800</v>
      </c>
      <c r="AW85" t="s">
        <v>4208</v>
      </c>
      <c r="AX85" t="s">
        <v>3552</v>
      </c>
    </row>
    <row r="86" spans="10:50">
      <c r="J86" t="s">
        <v>2676</v>
      </c>
      <c r="O86" t="s">
        <v>3222</v>
      </c>
      <c r="Y86" t="s">
        <v>3553</v>
      </c>
      <c r="AG86" t="s">
        <v>1096</v>
      </c>
      <c r="AI86" t="s">
        <v>1997</v>
      </c>
      <c r="AS86" t="s">
        <v>3801</v>
      </c>
      <c r="AW86" t="s">
        <v>4209</v>
      </c>
      <c r="AX86" t="s">
        <v>3553</v>
      </c>
    </row>
    <row r="87" spans="10:50">
      <c r="J87" t="s">
        <v>2677</v>
      </c>
      <c r="O87" t="s">
        <v>3223</v>
      </c>
      <c r="Y87" t="s">
        <v>3554</v>
      </c>
      <c r="AG87" t="s">
        <v>1097</v>
      </c>
      <c r="AI87" t="s">
        <v>1998</v>
      </c>
      <c r="AS87" t="s">
        <v>3802</v>
      </c>
      <c r="AW87" t="s">
        <v>4210</v>
      </c>
      <c r="AX87" t="s">
        <v>3554</v>
      </c>
    </row>
    <row r="88" spans="10:50">
      <c r="J88" t="s">
        <v>2678</v>
      </c>
      <c r="O88" t="s">
        <v>3224</v>
      </c>
      <c r="Y88" t="s">
        <v>3555</v>
      </c>
      <c r="AG88" t="s">
        <v>1098</v>
      </c>
      <c r="AI88" t="s">
        <v>1999</v>
      </c>
      <c r="AS88" t="s">
        <v>3803</v>
      </c>
      <c r="AW88" t="s">
        <v>4211</v>
      </c>
      <c r="AX88" t="s">
        <v>3555</v>
      </c>
    </row>
    <row r="89" spans="10:50">
      <c r="J89" t="s">
        <v>2679</v>
      </c>
      <c r="O89" t="s">
        <v>3225</v>
      </c>
      <c r="Y89" t="s">
        <v>3556</v>
      </c>
      <c r="AG89" t="s">
        <v>1099</v>
      </c>
      <c r="AI89" t="s">
        <v>2000</v>
      </c>
      <c r="AS89" t="s">
        <v>3804</v>
      </c>
      <c r="AW89" t="s">
        <v>4212</v>
      </c>
      <c r="AX89" t="s">
        <v>3556</v>
      </c>
    </row>
    <row r="90" spans="10:50">
      <c r="J90" t="s">
        <v>2680</v>
      </c>
      <c r="O90" t="s">
        <v>3226</v>
      </c>
      <c r="Y90" t="s">
        <v>3557</v>
      </c>
      <c r="AG90" t="s">
        <v>1100</v>
      </c>
      <c r="AI90" t="s">
        <v>2001</v>
      </c>
      <c r="AS90" t="s">
        <v>3805</v>
      </c>
      <c r="AW90" t="s">
        <v>4213</v>
      </c>
      <c r="AX90" t="s">
        <v>3557</v>
      </c>
    </row>
    <row r="91" spans="10:50">
      <c r="J91" t="s">
        <v>2681</v>
      </c>
      <c r="O91" t="s">
        <v>3227</v>
      </c>
      <c r="Y91" t="s">
        <v>3558</v>
      </c>
      <c r="AG91" t="s">
        <v>1101</v>
      </c>
      <c r="AI91" t="s">
        <v>2002</v>
      </c>
      <c r="AS91" t="s">
        <v>3806</v>
      </c>
      <c r="AW91" t="s">
        <v>4214</v>
      </c>
      <c r="AX91" t="s">
        <v>3558</v>
      </c>
    </row>
    <row r="92" spans="10:50">
      <c r="J92" t="s">
        <v>2682</v>
      </c>
      <c r="O92" t="s">
        <v>3228</v>
      </c>
      <c r="Y92" t="s">
        <v>3559</v>
      </c>
      <c r="AG92" t="s">
        <v>1102</v>
      </c>
      <c r="AI92" t="s">
        <v>2003</v>
      </c>
      <c r="AS92" t="s">
        <v>3807</v>
      </c>
      <c r="AW92" t="s">
        <v>4215</v>
      </c>
      <c r="AX92" t="s">
        <v>3559</v>
      </c>
    </row>
    <row r="93" spans="10:50">
      <c r="J93" t="s">
        <v>2683</v>
      </c>
      <c r="O93" t="s">
        <v>3229</v>
      </c>
      <c r="Y93" t="s">
        <v>3560</v>
      </c>
      <c r="AG93" t="s">
        <v>1103</v>
      </c>
      <c r="AI93" t="s">
        <v>2004</v>
      </c>
      <c r="AS93" t="s">
        <v>3808</v>
      </c>
      <c r="AW93" t="s">
        <v>4216</v>
      </c>
      <c r="AX93" t="s">
        <v>3560</v>
      </c>
    </row>
    <row r="94" spans="10:50">
      <c r="J94" t="s">
        <v>2684</v>
      </c>
      <c r="O94" t="s">
        <v>3230</v>
      </c>
      <c r="Y94" t="s">
        <v>3561</v>
      </c>
      <c r="AG94" t="s">
        <v>1104</v>
      </c>
      <c r="AI94" t="s">
        <v>2005</v>
      </c>
      <c r="AS94" t="s">
        <v>3809</v>
      </c>
      <c r="AW94" t="s">
        <v>4217</v>
      </c>
      <c r="AX94" t="s">
        <v>3561</v>
      </c>
    </row>
    <row r="95" spans="10:50">
      <c r="J95" t="s">
        <v>2685</v>
      </c>
      <c r="O95" t="s">
        <v>3231</v>
      </c>
      <c r="Y95" t="s">
        <v>3562</v>
      </c>
      <c r="AG95" t="s">
        <v>1105</v>
      </c>
      <c r="AI95" t="s">
        <v>2006</v>
      </c>
      <c r="AS95" t="s">
        <v>3810</v>
      </c>
      <c r="AW95" t="s">
        <v>4218</v>
      </c>
      <c r="AX95" t="s">
        <v>3562</v>
      </c>
    </row>
    <row r="96" spans="10:50">
      <c r="J96" t="s">
        <v>2686</v>
      </c>
      <c r="O96" t="s">
        <v>3232</v>
      </c>
      <c r="Y96" t="s">
        <v>3563</v>
      </c>
      <c r="AG96" t="s">
        <v>1106</v>
      </c>
      <c r="AI96" t="s">
        <v>2007</v>
      </c>
      <c r="AS96" t="s">
        <v>3811</v>
      </c>
      <c r="AW96" t="s">
        <v>4219</v>
      </c>
      <c r="AX96" t="s">
        <v>3563</v>
      </c>
    </row>
    <row r="97" spans="10:50">
      <c r="J97" t="s">
        <v>2687</v>
      </c>
      <c r="O97" t="s">
        <v>3233</v>
      </c>
      <c r="Y97" t="s">
        <v>3564</v>
      </c>
      <c r="AG97" t="s">
        <v>1107</v>
      </c>
      <c r="AI97" t="s">
        <v>2008</v>
      </c>
      <c r="AS97" t="s">
        <v>3812</v>
      </c>
      <c r="AW97" t="s">
        <v>4220</v>
      </c>
      <c r="AX97" t="s">
        <v>3564</v>
      </c>
    </row>
    <row r="98" spans="10:50">
      <c r="J98" t="s">
        <v>2688</v>
      </c>
      <c r="O98" t="s">
        <v>3234</v>
      </c>
      <c r="Y98" t="s">
        <v>3565</v>
      </c>
      <c r="AG98" t="s">
        <v>1108</v>
      </c>
      <c r="AI98" t="s">
        <v>2009</v>
      </c>
      <c r="AS98" t="s">
        <v>3813</v>
      </c>
      <c r="AW98" t="s">
        <v>4221</v>
      </c>
      <c r="AX98" t="s">
        <v>3565</v>
      </c>
    </row>
    <row r="99" spans="10:50">
      <c r="J99" t="s">
        <v>2689</v>
      </c>
      <c r="O99" t="s">
        <v>3235</v>
      </c>
      <c r="Y99" t="s">
        <v>3566</v>
      </c>
      <c r="AG99" t="s">
        <v>1109</v>
      </c>
      <c r="AI99" t="s">
        <v>2010</v>
      </c>
      <c r="AS99" t="s">
        <v>3814</v>
      </c>
      <c r="AW99" t="s">
        <v>4222</v>
      </c>
      <c r="AX99" t="s">
        <v>3566</v>
      </c>
    </row>
    <row r="100" spans="10:50">
      <c r="J100" t="s">
        <v>2690</v>
      </c>
      <c r="O100" t="s">
        <v>3236</v>
      </c>
      <c r="Y100" t="s">
        <v>3567</v>
      </c>
      <c r="AG100" t="s">
        <v>1110</v>
      </c>
      <c r="AI100" t="s">
        <v>2011</v>
      </c>
      <c r="AS100" t="s">
        <v>3815</v>
      </c>
      <c r="AW100" t="s">
        <v>4223</v>
      </c>
      <c r="AX100" t="s">
        <v>3567</v>
      </c>
    </row>
    <row r="101" spans="10:50">
      <c r="J101" t="s">
        <v>2691</v>
      </c>
      <c r="O101" t="s">
        <v>3237</v>
      </c>
      <c r="Y101" t="s">
        <v>3568</v>
      </c>
      <c r="AG101" t="s">
        <v>1111</v>
      </c>
      <c r="AI101" t="s">
        <v>2012</v>
      </c>
      <c r="AS101" t="s">
        <v>3816</v>
      </c>
      <c r="AW101" t="s">
        <v>4224</v>
      </c>
      <c r="AX101" t="s">
        <v>3568</v>
      </c>
    </row>
    <row r="102" spans="10:50">
      <c r="J102" t="s">
        <v>2692</v>
      </c>
      <c r="O102" t="s">
        <v>3238</v>
      </c>
      <c r="Y102" t="s">
        <v>3569</v>
      </c>
      <c r="AG102" t="s">
        <v>1112</v>
      </c>
      <c r="AI102" t="s">
        <v>2013</v>
      </c>
      <c r="AS102" t="s">
        <v>3817</v>
      </c>
      <c r="AW102" t="s">
        <v>4225</v>
      </c>
      <c r="AX102" t="s">
        <v>3569</v>
      </c>
    </row>
    <row r="103" spans="10:50">
      <c r="J103" t="s">
        <v>2693</v>
      </c>
      <c r="O103" t="s">
        <v>3239</v>
      </c>
      <c r="Y103" t="s">
        <v>3570</v>
      </c>
      <c r="AG103" t="s">
        <v>1113</v>
      </c>
      <c r="AI103" t="s">
        <v>2014</v>
      </c>
      <c r="AS103" t="s">
        <v>3818</v>
      </c>
      <c r="AW103" t="s">
        <v>4226</v>
      </c>
      <c r="AX103" t="s">
        <v>3570</v>
      </c>
    </row>
    <row r="104" spans="10:50">
      <c r="J104" t="s">
        <v>2694</v>
      </c>
      <c r="O104" t="s">
        <v>3240</v>
      </c>
      <c r="Y104" t="s">
        <v>3571</v>
      </c>
      <c r="AG104" t="s">
        <v>1114</v>
      </c>
      <c r="AI104" t="s">
        <v>2015</v>
      </c>
      <c r="AS104" t="s">
        <v>3819</v>
      </c>
      <c r="AW104" t="s">
        <v>4227</v>
      </c>
      <c r="AX104" t="s">
        <v>3571</v>
      </c>
    </row>
    <row r="105" spans="10:50">
      <c r="J105" t="s">
        <v>2695</v>
      </c>
      <c r="O105" t="s">
        <v>3241</v>
      </c>
      <c r="Y105" t="s">
        <v>3572</v>
      </c>
      <c r="AG105" t="s">
        <v>1115</v>
      </c>
      <c r="AI105" t="s">
        <v>2016</v>
      </c>
      <c r="AS105" t="s">
        <v>3820</v>
      </c>
      <c r="AW105" t="s">
        <v>4228</v>
      </c>
      <c r="AX105" t="s">
        <v>3572</v>
      </c>
    </row>
    <row r="106" spans="10:50">
      <c r="J106" t="s">
        <v>2696</v>
      </c>
      <c r="O106" t="s">
        <v>3242</v>
      </c>
      <c r="Y106" t="s">
        <v>3573</v>
      </c>
      <c r="AG106" t="s">
        <v>1116</v>
      </c>
      <c r="AI106" t="s">
        <v>2017</v>
      </c>
      <c r="AS106" t="s">
        <v>3821</v>
      </c>
      <c r="AW106" t="s">
        <v>4229</v>
      </c>
      <c r="AX106" t="s">
        <v>3573</v>
      </c>
    </row>
    <row r="107" spans="10:50">
      <c r="J107" t="s">
        <v>2697</v>
      </c>
      <c r="O107" t="s">
        <v>3243</v>
      </c>
      <c r="Y107" t="s">
        <v>3574</v>
      </c>
      <c r="AG107" t="s">
        <v>1117</v>
      </c>
      <c r="AI107" t="s">
        <v>2018</v>
      </c>
      <c r="AS107" t="s">
        <v>3822</v>
      </c>
      <c r="AW107" t="s">
        <v>4230</v>
      </c>
      <c r="AX107" t="s">
        <v>3574</v>
      </c>
    </row>
    <row r="108" spans="10:50">
      <c r="J108" t="s">
        <v>2698</v>
      </c>
      <c r="O108" t="s">
        <v>3244</v>
      </c>
      <c r="Y108" t="s">
        <v>3575</v>
      </c>
      <c r="AG108" t="s">
        <v>1118</v>
      </c>
      <c r="AI108" t="s">
        <v>2019</v>
      </c>
      <c r="AS108" t="s">
        <v>3823</v>
      </c>
      <c r="AW108" t="s">
        <v>4231</v>
      </c>
      <c r="AX108" t="s">
        <v>3575</v>
      </c>
    </row>
    <row r="109" spans="10:50">
      <c r="J109" t="s">
        <v>2699</v>
      </c>
      <c r="O109" t="s">
        <v>3245</v>
      </c>
      <c r="Y109" t="s">
        <v>3576</v>
      </c>
      <c r="AG109" t="s">
        <v>1119</v>
      </c>
      <c r="AI109" t="s">
        <v>2020</v>
      </c>
      <c r="AS109" t="s">
        <v>3824</v>
      </c>
      <c r="AW109" t="s">
        <v>4232</v>
      </c>
      <c r="AX109" t="s">
        <v>3576</v>
      </c>
    </row>
    <row r="110" spans="10:50">
      <c r="J110" t="s">
        <v>2700</v>
      </c>
      <c r="O110" t="s">
        <v>3246</v>
      </c>
      <c r="Y110" t="s">
        <v>3577</v>
      </c>
      <c r="AG110" t="s">
        <v>1120</v>
      </c>
      <c r="AI110" t="s">
        <v>2021</v>
      </c>
      <c r="AS110" t="s">
        <v>3825</v>
      </c>
      <c r="AW110" t="s">
        <v>4233</v>
      </c>
      <c r="AX110" t="s">
        <v>3577</v>
      </c>
    </row>
    <row r="111" spans="10:50">
      <c r="J111" t="s">
        <v>2701</v>
      </c>
      <c r="O111" t="s">
        <v>3247</v>
      </c>
      <c r="Y111" t="s">
        <v>3578</v>
      </c>
      <c r="AG111" t="s">
        <v>1121</v>
      </c>
      <c r="AI111" t="s">
        <v>2022</v>
      </c>
      <c r="AS111" t="s">
        <v>3826</v>
      </c>
      <c r="AW111" t="s">
        <v>4234</v>
      </c>
      <c r="AX111" t="s">
        <v>3578</v>
      </c>
    </row>
    <row r="112" spans="10:50">
      <c r="J112" t="s">
        <v>2702</v>
      </c>
      <c r="O112" t="s">
        <v>3248</v>
      </c>
      <c r="Y112" t="s">
        <v>3579</v>
      </c>
      <c r="AG112" t="s">
        <v>1122</v>
      </c>
      <c r="AI112" t="s">
        <v>2023</v>
      </c>
      <c r="AS112" t="s">
        <v>3827</v>
      </c>
      <c r="AW112" t="s">
        <v>4235</v>
      </c>
      <c r="AX112" t="s">
        <v>3579</v>
      </c>
    </row>
    <row r="113" spans="10:50">
      <c r="J113" t="s">
        <v>2703</v>
      </c>
      <c r="O113" t="s">
        <v>3249</v>
      </c>
      <c r="Y113" t="s">
        <v>3580</v>
      </c>
      <c r="AG113" t="s">
        <v>1123</v>
      </c>
      <c r="AI113" t="s">
        <v>2024</v>
      </c>
      <c r="AS113" t="s">
        <v>3828</v>
      </c>
      <c r="AW113" t="s">
        <v>4236</v>
      </c>
      <c r="AX113" t="s">
        <v>3580</v>
      </c>
    </row>
    <row r="114" spans="10:50">
      <c r="J114" t="s">
        <v>2704</v>
      </c>
      <c r="O114" t="s">
        <v>3250</v>
      </c>
      <c r="Y114" t="s">
        <v>3581</v>
      </c>
      <c r="AG114" t="s">
        <v>1124</v>
      </c>
      <c r="AI114" t="s">
        <v>2025</v>
      </c>
      <c r="AS114" t="s">
        <v>3829</v>
      </c>
      <c r="AW114" t="s">
        <v>4237</v>
      </c>
      <c r="AX114" t="s">
        <v>3581</v>
      </c>
    </row>
    <row r="115" spans="10:50">
      <c r="J115" t="s">
        <v>2705</v>
      </c>
      <c r="O115" t="s">
        <v>3251</v>
      </c>
      <c r="Y115" t="s">
        <v>3582</v>
      </c>
      <c r="AG115" t="s">
        <v>1125</v>
      </c>
      <c r="AI115" t="s">
        <v>2026</v>
      </c>
      <c r="AS115" t="s">
        <v>3830</v>
      </c>
      <c r="AW115" t="s">
        <v>4238</v>
      </c>
      <c r="AX115" t="s">
        <v>3582</v>
      </c>
    </row>
    <row r="116" spans="10:50">
      <c r="J116" t="s">
        <v>2706</v>
      </c>
      <c r="O116" t="s">
        <v>3252</v>
      </c>
      <c r="Y116" t="s">
        <v>3583</v>
      </c>
      <c r="AG116" t="s">
        <v>1126</v>
      </c>
      <c r="AI116" t="s">
        <v>2027</v>
      </c>
      <c r="AS116" t="s">
        <v>3831</v>
      </c>
      <c r="AW116" t="s">
        <v>4239</v>
      </c>
      <c r="AX116" t="s">
        <v>3583</v>
      </c>
    </row>
    <row r="117" spans="10:50">
      <c r="J117" t="s">
        <v>2707</v>
      </c>
      <c r="O117" t="s">
        <v>3253</v>
      </c>
      <c r="Y117" t="s">
        <v>3584</v>
      </c>
      <c r="AG117" t="s">
        <v>1127</v>
      </c>
      <c r="AI117" t="s">
        <v>2028</v>
      </c>
      <c r="AS117" t="s">
        <v>3832</v>
      </c>
      <c r="AW117" t="s">
        <v>4240</v>
      </c>
      <c r="AX117" t="s">
        <v>3584</v>
      </c>
    </row>
    <row r="118" spans="10:50">
      <c r="J118" t="s">
        <v>2708</v>
      </c>
      <c r="O118" t="s">
        <v>3254</v>
      </c>
      <c r="Y118" t="s">
        <v>3585</v>
      </c>
      <c r="AG118" t="s">
        <v>1128</v>
      </c>
      <c r="AI118" t="s">
        <v>2029</v>
      </c>
      <c r="AS118" t="s">
        <v>3833</v>
      </c>
      <c r="AW118" t="s">
        <v>4241</v>
      </c>
      <c r="AX118" t="s">
        <v>3585</v>
      </c>
    </row>
    <row r="119" spans="10:50">
      <c r="J119" t="s">
        <v>2709</v>
      </c>
      <c r="O119" t="s">
        <v>3255</v>
      </c>
      <c r="Y119" t="s">
        <v>3586</v>
      </c>
      <c r="AG119" t="s">
        <v>1129</v>
      </c>
      <c r="AI119" t="s">
        <v>2030</v>
      </c>
      <c r="AS119" t="s">
        <v>3834</v>
      </c>
      <c r="AW119" t="s">
        <v>4242</v>
      </c>
      <c r="AX119" t="s">
        <v>3586</v>
      </c>
    </row>
    <row r="120" spans="10:50">
      <c r="J120" t="s">
        <v>2710</v>
      </c>
      <c r="O120" t="s">
        <v>3256</v>
      </c>
      <c r="Y120" t="s">
        <v>3587</v>
      </c>
      <c r="AG120" t="s">
        <v>1130</v>
      </c>
      <c r="AI120" t="s">
        <v>2031</v>
      </c>
      <c r="AS120" t="s">
        <v>3835</v>
      </c>
      <c r="AW120" t="s">
        <v>4243</v>
      </c>
      <c r="AX120" t="s">
        <v>3587</v>
      </c>
    </row>
    <row r="121" spans="10:50">
      <c r="J121" t="s">
        <v>2711</v>
      </c>
      <c r="O121" t="s">
        <v>3257</v>
      </c>
      <c r="Y121" t="s">
        <v>3588</v>
      </c>
      <c r="AG121" t="s">
        <v>1131</v>
      </c>
      <c r="AI121" t="s">
        <v>2032</v>
      </c>
      <c r="AS121" t="s">
        <v>3836</v>
      </c>
      <c r="AW121" t="s">
        <v>4244</v>
      </c>
      <c r="AX121" t="s">
        <v>3588</v>
      </c>
    </row>
    <row r="122" spans="10:50">
      <c r="J122" t="s">
        <v>2712</v>
      </c>
      <c r="O122" t="s">
        <v>3258</v>
      </c>
      <c r="Y122" t="s">
        <v>3589</v>
      </c>
      <c r="AG122" t="s">
        <v>1132</v>
      </c>
      <c r="AI122" t="s">
        <v>2033</v>
      </c>
      <c r="AS122" t="s">
        <v>3837</v>
      </c>
      <c r="AW122" t="s">
        <v>4245</v>
      </c>
      <c r="AX122" t="s">
        <v>3589</v>
      </c>
    </row>
    <row r="123" spans="10:50">
      <c r="J123" t="s">
        <v>2713</v>
      </c>
      <c r="O123" t="s">
        <v>3259</v>
      </c>
      <c r="Y123" t="s">
        <v>3590</v>
      </c>
      <c r="AG123" t="s">
        <v>1133</v>
      </c>
      <c r="AI123" t="s">
        <v>2034</v>
      </c>
      <c r="AS123" t="s">
        <v>3838</v>
      </c>
      <c r="AW123" t="s">
        <v>4246</v>
      </c>
      <c r="AX123" t="s">
        <v>3590</v>
      </c>
    </row>
    <row r="124" spans="10:50">
      <c r="J124" t="s">
        <v>2714</v>
      </c>
      <c r="O124" t="s">
        <v>3260</v>
      </c>
      <c r="Y124" t="s">
        <v>3591</v>
      </c>
      <c r="AG124" t="s">
        <v>1134</v>
      </c>
      <c r="AI124" t="s">
        <v>2035</v>
      </c>
      <c r="AS124" t="s">
        <v>3839</v>
      </c>
      <c r="AW124" t="s">
        <v>4247</v>
      </c>
      <c r="AX124" t="s">
        <v>3591</v>
      </c>
    </row>
    <row r="125" spans="10:50">
      <c r="J125" t="s">
        <v>2715</v>
      </c>
      <c r="O125" t="s">
        <v>3261</v>
      </c>
      <c r="Y125" t="s">
        <v>3592</v>
      </c>
      <c r="AG125" t="s">
        <v>1135</v>
      </c>
      <c r="AI125" t="s">
        <v>2036</v>
      </c>
      <c r="AS125" t="s">
        <v>3840</v>
      </c>
      <c r="AW125" t="s">
        <v>4248</v>
      </c>
      <c r="AX125" t="s">
        <v>3592</v>
      </c>
    </row>
    <row r="126" spans="10:50">
      <c r="J126" t="s">
        <v>2716</v>
      </c>
      <c r="O126" t="s">
        <v>3262</v>
      </c>
      <c r="Y126" t="s">
        <v>3593</v>
      </c>
      <c r="AG126" t="s">
        <v>1136</v>
      </c>
      <c r="AI126" t="s">
        <v>2037</v>
      </c>
      <c r="AS126" t="s">
        <v>3841</v>
      </c>
      <c r="AW126" t="s">
        <v>4249</v>
      </c>
      <c r="AX126" t="s">
        <v>3593</v>
      </c>
    </row>
    <row r="127" spans="10:50">
      <c r="J127" t="s">
        <v>2717</v>
      </c>
      <c r="O127" t="s">
        <v>3263</v>
      </c>
      <c r="Y127" t="s">
        <v>3594</v>
      </c>
      <c r="AG127" t="s">
        <v>1137</v>
      </c>
      <c r="AI127" t="s">
        <v>2038</v>
      </c>
      <c r="AS127" t="s">
        <v>3842</v>
      </c>
      <c r="AW127" t="s">
        <v>4250</v>
      </c>
      <c r="AX127" t="s">
        <v>3594</v>
      </c>
    </row>
    <row r="128" spans="10:50">
      <c r="J128" t="s">
        <v>2718</v>
      </c>
      <c r="O128" t="s">
        <v>3264</v>
      </c>
      <c r="Y128" t="s">
        <v>3595</v>
      </c>
      <c r="AG128" t="s">
        <v>1138</v>
      </c>
      <c r="AI128" t="s">
        <v>2039</v>
      </c>
      <c r="AS128" t="s">
        <v>3843</v>
      </c>
      <c r="AW128" t="s">
        <v>4251</v>
      </c>
      <c r="AX128" t="s">
        <v>3595</v>
      </c>
    </row>
    <row r="129" spans="10:50">
      <c r="J129" t="s">
        <v>2719</v>
      </c>
      <c r="O129" t="s">
        <v>3265</v>
      </c>
      <c r="Y129" t="s">
        <v>3596</v>
      </c>
      <c r="AG129" t="s">
        <v>1139</v>
      </c>
      <c r="AI129" t="s">
        <v>2040</v>
      </c>
      <c r="AS129" t="s">
        <v>3844</v>
      </c>
      <c r="AW129" t="s">
        <v>4252</v>
      </c>
      <c r="AX129" t="s">
        <v>3596</v>
      </c>
    </row>
    <row r="130" spans="10:50">
      <c r="J130" t="s">
        <v>2720</v>
      </c>
      <c r="O130" t="s">
        <v>3266</v>
      </c>
      <c r="Y130" t="s">
        <v>3597</v>
      </c>
      <c r="AG130" t="s">
        <v>1140</v>
      </c>
      <c r="AI130" t="s">
        <v>2041</v>
      </c>
      <c r="AS130" t="s">
        <v>3845</v>
      </c>
      <c r="AW130" t="s">
        <v>4253</v>
      </c>
      <c r="AX130" t="s">
        <v>3597</v>
      </c>
    </row>
    <row r="131" spans="10:50">
      <c r="J131" t="s">
        <v>2721</v>
      </c>
      <c r="O131" t="s">
        <v>3267</v>
      </c>
      <c r="Y131" t="s">
        <v>3598</v>
      </c>
      <c r="AG131" t="s">
        <v>1141</v>
      </c>
      <c r="AI131" t="s">
        <v>2042</v>
      </c>
      <c r="AS131" t="s">
        <v>3846</v>
      </c>
      <c r="AW131" t="s">
        <v>4254</v>
      </c>
      <c r="AX131" t="s">
        <v>3598</v>
      </c>
    </row>
    <row r="132" spans="10:50">
      <c r="J132" t="s">
        <v>2722</v>
      </c>
      <c r="O132" t="s">
        <v>3268</v>
      </c>
      <c r="Y132" t="s">
        <v>3599</v>
      </c>
      <c r="AG132" t="s">
        <v>1142</v>
      </c>
      <c r="AI132" t="s">
        <v>2043</v>
      </c>
      <c r="AS132" t="s">
        <v>3847</v>
      </c>
      <c r="AW132" t="s">
        <v>4255</v>
      </c>
      <c r="AX132" t="s">
        <v>3599</v>
      </c>
    </row>
    <row r="133" spans="10:50">
      <c r="J133" t="s">
        <v>2723</v>
      </c>
      <c r="O133" t="s">
        <v>3269</v>
      </c>
      <c r="Y133" t="s">
        <v>3600</v>
      </c>
      <c r="AG133" t="s">
        <v>1143</v>
      </c>
      <c r="AI133" t="s">
        <v>2044</v>
      </c>
      <c r="AS133" t="s">
        <v>3848</v>
      </c>
      <c r="AW133" t="s">
        <v>4256</v>
      </c>
      <c r="AX133" t="s">
        <v>3600</v>
      </c>
    </row>
    <row r="134" spans="10:50">
      <c r="J134" t="s">
        <v>2724</v>
      </c>
      <c r="O134" t="s">
        <v>3270</v>
      </c>
      <c r="Y134" t="s">
        <v>3601</v>
      </c>
      <c r="AG134" t="s">
        <v>1144</v>
      </c>
      <c r="AI134" t="s">
        <v>2045</v>
      </c>
      <c r="AS134" t="s">
        <v>3849</v>
      </c>
      <c r="AW134" t="s">
        <v>4257</v>
      </c>
      <c r="AX134" t="s">
        <v>3601</v>
      </c>
    </row>
    <row r="135" spans="10:50">
      <c r="J135" t="s">
        <v>2725</v>
      </c>
      <c r="O135" t="s">
        <v>3271</v>
      </c>
      <c r="Y135" t="s">
        <v>3602</v>
      </c>
      <c r="AG135" t="s">
        <v>1145</v>
      </c>
      <c r="AI135" t="s">
        <v>2046</v>
      </c>
      <c r="AS135" t="s">
        <v>3850</v>
      </c>
      <c r="AW135" t="s">
        <v>4258</v>
      </c>
      <c r="AX135" t="s">
        <v>3602</v>
      </c>
    </row>
    <row r="136" spans="10:50">
      <c r="J136" t="s">
        <v>2726</v>
      </c>
      <c r="O136" t="s">
        <v>3272</v>
      </c>
      <c r="Y136" t="s">
        <v>3603</v>
      </c>
      <c r="AG136" t="s">
        <v>1146</v>
      </c>
      <c r="AI136" t="s">
        <v>2047</v>
      </c>
      <c r="AS136" t="s">
        <v>3851</v>
      </c>
      <c r="AW136" t="s">
        <v>4259</v>
      </c>
      <c r="AX136" t="s">
        <v>3603</v>
      </c>
    </row>
    <row r="137" spans="10:50">
      <c r="J137" t="s">
        <v>2727</v>
      </c>
      <c r="O137" t="s">
        <v>3273</v>
      </c>
      <c r="Y137" t="s">
        <v>3604</v>
      </c>
      <c r="AG137" t="s">
        <v>1147</v>
      </c>
      <c r="AI137" t="s">
        <v>2048</v>
      </c>
      <c r="AS137" t="s">
        <v>3852</v>
      </c>
      <c r="AW137" t="s">
        <v>4260</v>
      </c>
      <c r="AX137" t="s">
        <v>3604</v>
      </c>
    </row>
    <row r="138" spans="10:50">
      <c r="J138" t="s">
        <v>2728</v>
      </c>
      <c r="O138" t="s">
        <v>3274</v>
      </c>
      <c r="Y138" t="s">
        <v>3605</v>
      </c>
      <c r="AG138" t="s">
        <v>1148</v>
      </c>
      <c r="AI138" t="s">
        <v>2049</v>
      </c>
      <c r="AS138" t="s">
        <v>3853</v>
      </c>
      <c r="AW138" t="s">
        <v>4261</v>
      </c>
      <c r="AX138" t="s">
        <v>3605</v>
      </c>
    </row>
    <row r="139" spans="10:50">
      <c r="J139" t="s">
        <v>2729</v>
      </c>
      <c r="O139" t="s">
        <v>3275</v>
      </c>
      <c r="Y139" t="s">
        <v>3606</v>
      </c>
      <c r="AG139" t="s">
        <v>1149</v>
      </c>
      <c r="AI139" t="s">
        <v>2050</v>
      </c>
      <c r="AS139" t="s">
        <v>3854</v>
      </c>
      <c r="AW139" t="s">
        <v>4262</v>
      </c>
      <c r="AX139" t="s">
        <v>3606</v>
      </c>
    </row>
    <row r="140" spans="10:50">
      <c r="J140" t="s">
        <v>2730</v>
      </c>
      <c r="O140" t="s">
        <v>3276</v>
      </c>
      <c r="Y140" t="s">
        <v>3607</v>
      </c>
      <c r="AG140" t="s">
        <v>1150</v>
      </c>
      <c r="AI140" t="s">
        <v>2051</v>
      </c>
      <c r="AS140" t="s">
        <v>3855</v>
      </c>
      <c r="AW140" t="s">
        <v>4263</v>
      </c>
      <c r="AX140" t="s">
        <v>3607</v>
      </c>
    </row>
    <row r="141" spans="10:50">
      <c r="J141" t="s">
        <v>2731</v>
      </c>
      <c r="O141" t="s">
        <v>3277</v>
      </c>
      <c r="Y141" t="s">
        <v>3608</v>
      </c>
      <c r="AG141" t="s">
        <v>1151</v>
      </c>
      <c r="AI141" t="s">
        <v>2052</v>
      </c>
      <c r="AS141" t="s">
        <v>3856</v>
      </c>
      <c r="AW141" t="s">
        <v>4264</v>
      </c>
      <c r="AX141" t="s">
        <v>3608</v>
      </c>
    </row>
    <row r="142" spans="10:50">
      <c r="J142" t="s">
        <v>2732</v>
      </c>
      <c r="O142" t="s">
        <v>3278</v>
      </c>
      <c r="Y142" t="s">
        <v>3609</v>
      </c>
      <c r="AG142" t="s">
        <v>1152</v>
      </c>
      <c r="AI142" t="s">
        <v>2053</v>
      </c>
      <c r="AS142" t="s">
        <v>3857</v>
      </c>
      <c r="AW142" t="s">
        <v>4265</v>
      </c>
      <c r="AX142" t="s">
        <v>3609</v>
      </c>
    </row>
    <row r="143" spans="10:50">
      <c r="J143" t="s">
        <v>2733</v>
      </c>
      <c r="O143" t="s">
        <v>3279</v>
      </c>
      <c r="Y143" t="s">
        <v>3610</v>
      </c>
      <c r="AG143" t="s">
        <v>1153</v>
      </c>
      <c r="AI143" t="s">
        <v>2054</v>
      </c>
      <c r="AS143" t="s">
        <v>3858</v>
      </c>
      <c r="AW143" t="s">
        <v>4266</v>
      </c>
      <c r="AX143" t="s">
        <v>3610</v>
      </c>
    </row>
    <row r="144" spans="10:50">
      <c r="J144" t="s">
        <v>2734</v>
      </c>
      <c r="O144" t="s">
        <v>3280</v>
      </c>
      <c r="Y144" t="s">
        <v>3611</v>
      </c>
      <c r="AG144" t="s">
        <v>1154</v>
      </c>
      <c r="AI144" t="s">
        <v>2055</v>
      </c>
      <c r="AS144" t="s">
        <v>3859</v>
      </c>
      <c r="AW144" t="s">
        <v>4267</v>
      </c>
      <c r="AX144" t="s">
        <v>3611</v>
      </c>
    </row>
    <row r="145" spans="10:50">
      <c r="J145" t="s">
        <v>2735</v>
      </c>
      <c r="O145" t="s">
        <v>3281</v>
      </c>
      <c r="Y145" t="s">
        <v>3612</v>
      </c>
      <c r="AG145" t="s">
        <v>1155</v>
      </c>
      <c r="AI145" t="s">
        <v>2056</v>
      </c>
      <c r="AS145" t="s">
        <v>3860</v>
      </c>
      <c r="AW145" t="s">
        <v>4268</v>
      </c>
      <c r="AX145" t="s">
        <v>3612</v>
      </c>
    </row>
    <row r="146" spans="10:50">
      <c r="J146" t="s">
        <v>2736</v>
      </c>
      <c r="O146" t="s">
        <v>3282</v>
      </c>
      <c r="Y146" t="s">
        <v>3613</v>
      </c>
      <c r="AG146" t="s">
        <v>1156</v>
      </c>
      <c r="AI146" t="s">
        <v>2057</v>
      </c>
      <c r="AS146" t="s">
        <v>3861</v>
      </c>
      <c r="AW146" t="s">
        <v>4269</v>
      </c>
      <c r="AX146" t="s">
        <v>3613</v>
      </c>
    </row>
    <row r="147" spans="10:50">
      <c r="J147" t="s">
        <v>2737</v>
      </c>
      <c r="O147" t="s">
        <v>3283</v>
      </c>
      <c r="Y147" t="s">
        <v>3614</v>
      </c>
      <c r="AG147" t="s">
        <v>1157</v>
      </c>
      <c r="AI147" t="s">
        <v>2058</v>
      </c>
      <c r="AS147" t="s">
        <v>3862</v>
      </c>
      <c r="AW147" t="s">
        <v>4270</v>
      </c>
      <c r="AX147" t="s">
        <v>3614</v>
      </c>
    </row>
    <row r="148" spans="10:50">
      <c r="J148" t="s">
        <v>2738</v>
      </c>
      <c r="O148" t="s">
        <v>3284</v>
      </c>
      <c r="Y148" t="s">
        <v>3615</v>
      </c>
      <c r="AG148" t="s">
        <v>1158</v>
      </c>
      <c r="AI148" t="s">
        <v>2059</v>
      </c>
      <c r="AS148" t="s">
        <v>3863</v>
      </c>
      <c r="AW148" t="s">
        <v>4271</v>
      </c>
      <c r="AX148" t="s">
        <v>3615</v>
      </c>
    </row>
    <row r="149" spans="10:50">
      <c r="J149" t="s">
        <v>2739</v>
      </c>
      <c r="O149" t="s">
        <v>3285</v>
      </c>
      <c r="Y149" t="s">
        <v>3616</v>
      </c>
      <c r="AG149" t="s">
        <v>1159</v>
      </c>
      <c r="AI149" t="s">
        <v>2060</v>
      </c>
      <c r="AS149" t="s">
        <v>3864</v>
      </c>
      <c r="AW149" t="s">
        <v>4272</v>
      </c>
      <c r="AX149" t="s">
        <v>3616</v>
      </c>
    </row>
    <row r="150" spans="10:50">
      <c r="J150" t="s">
        <v>2740</v>
      </c>
      <c r="O150" t="s">
        <v>3286</v>
      </c>
      <c r="Y150" t="s">
        <v>3617</v>
      </c>
      <c r="AG150" t="s">
        <v>1160</v>
      </c>
      <c r="AI150" t="s">
        <v>2061</v>
      </c>
      <c r="AS150" t="s">
        <v>3865</v>
      </c>
      <c r="AW150" t="s">
        <v>4273</v>
      </c>
      <c r="AX150" t="s">
        <v>3617</v>
      </c>
    </row>
    <row r="151" spans="10:50">
      <c r="J151" t="s">
        <v>2741</v>
      </c>
      <c r="O151" t="s">
        <v>3287</v>
      </c>
      <c r="Y151" t="s">
        <v>3618</v>
      </c>
      <c r="AG151" t="s">
        <v>1161</v>
      </c>
      <c r="AI151" t="s">
        <v>2062</v>
      </c>
      <c r="AS151" t="s">
        <v>3866</v>
      </c>
      <c r="AW151" t="s">
        <v>4274</v>
      </c>
      <c r="AX151" t="s">
        <v>3618</v>
      </c>
    </row>
    <row r="152" spans="10:50">
      <c r="J152" t="s">
        <v>2742</v>
      </c>
      <c r="O152" t="s">
        <v>3288</v>
      </c>
      <c r="Y152" t="s">
        <v>3619</v>
      </c>
      <c r="AG152" t="s">
        <v>1162</v>
      </c>
      <c r="AI152" t="s">
        <v>2063</v>
      </c>
      <c r="AS152" t="s">
        <v>3867</v>
      </c>
      <c r="AW152" t="s">
        <v>4275</v>
      </c>
      <c r="AX152" t="s">
        <v>3619</v>
      </c>
    </row>
    <row r="153" spans="10:50">
      <c r="J153" t="s">
        <v>2743</v>
      </c>
      <c r="O153" t="s">
        <v>3289</v>
      </c>
      <c r="Y153" t="s">
        <v>3620</v>
      </c>
      <c r="AG153" t="s">
        <v>1163</v>
      </c>
      <c r="AI153" t="s">
        <v>2064</v>
      </c>
      <c r="AS153" t="s">
        <v>3868</v>
      </c>
      <c r="AW153" t="s">
        <v>4276</v>
      </c>
      <c r="AX153" t="s">
        <v>3620</v>
      </c>
    </row>
    <row r="154" spans="10:50">
      <c r="J154" t="s">
        <v>2744</v>
      </c>
      <c r="O154" t="s">
        <v>3290</v>
      </c>
      <c r="Y154" t="s">
        <v>3621</v>
      </c>
      <c r="AG154" t="s">
        <v>1164</v>
      </c>
      <c r="AI154" t="s">
        <v>2065</v>
      </c>
      <c r="AS154" t="s">
        <v>3869</v>
      </c>
      <c r="AW154" t="s">
        <v>4277</v>
      </c>
      <c r="AX154" t="s">
        <v>3621</v>
      </c>
    </row>
    <row r="155" spans="10:50">
      <c r="J155" t="s">
        <v>2745</v>
      </c>
      <c r="O155" t="s">
        <v>3291</v>
      </c>
      <c r="Y155" t="s">
        <v>3622</v>
      </c>
      <c r="AG155" t="s">
        <v>1165</v>
      </c>
      <c r="AI155" t="s">
        <v>2066</v>
      </c>
      <c r="AS155" t="s">
        <v>3870</v>
      </c>
      <c r="AW155" t="s">
        <v>4278</v>
      </c>
      <c r="AX155" t="s">
        <v>3622</v>
      </c>
    </row>
    <row r="156" spans="10:50">
      <c r="J156" t="s">
        <v>2746</v>
      </c>
      <c r="O156" t="s">
        <v>3292</v>
      </c>
      <c r="Y156" t="s">
        <v>3623</v>
      </c>
      <c r="AG156" t="s">
        <v>1166</v>
      </c>
      <c r="AI156" t="s">
        <v>2067</v>
      </c>
      <c r="AS156" t="s">
        <v>3871</v>
      </c>
      <c r="AW156" t="s">
        <v>4279</v>
      </c>
      <c r="AX156" t="s">
        <v>3623</v>
      </c>
    </row>
    <row r="157" spans="10:50">
      <c r="J157" t="s">
        <v>2747</v>
      </c>
      <c r="O157" t="s">
        <v>946</v>
      </c>
      <c r="Y157" t="s">
        <v>3624</v>
      </c>
      <c r="AG157" t="s">
        <v>1167</v>
      </c>
      <c r="AI157" t="s">
        <v>2068</v>
      </c>
      <c r="AS157" t="s">
        <v>3872</v>
      </c>
      <c r="AW157" t="s">
        <v>4280</v>
      </c>
      <c r="AX157" t="s">
        <v>3624</v>
      </c>
    </row>
    <row r="158" spans="10:50">
      <c r="J158" t="s">
        <v>2748</v>
      </c>
      <c r="O158" t="s">
        <v>3293</v>
      </c>
      <c r="Y158" t="s">
        <v>3625</v>
      </c>
      <c r="AG158" t="s">
        <v>1168</v>
      </c>
      <c r="AI158" t="s">
        <v>2069</v>
      </c>
      <c r="AS158" t="s">
        <v>3873</v>
      </c>
      <c r="AW158" t="s">
        <v>4281</v>
      </c>
      <c r="AX158" t="s">
        <v>3625</v>
      </c>
    </row>
    <row r="159" spans="10:50">
      <c r="J159" t="s">
        <v>2749</v>
      </c>
      <c r="O159" t="s">
        <v>3294</v>
      </c>
      <c r="Y159" t="s">
        <v>3626</v>
      </c>
      <c r="AG159" t="s">
        <v>1169</v>
      </c>
      <c r="AI159" t="s">
        <v>2070</v>
      </c>
      <c r="AS159" t="s">
        <v>3874</v>
      </c>
      <c r="AW159" t="s">
        <v>4282</v>
      </c>
      <c r="AX159" t="s">
        <v>3626</v>
      </c>
    </row>
    <row r="160" spans="10:50">
      <c r="J160" t="s">
        <v>2750</v>
      </c>
      <c r="O160" t="s">
        <v>3295</v>
      </c>
      <c r="Y160" t="s">
        <v>3627</v>
      </c>
      <c r="AG160" t="s">
        <v>1170</v>
      </c>
      <c r="AI160" t="s">
        <v>2071</v>
      </c>
      <c r="AS160" t="s">
        <v>3875</v>
      </c>
      <c r="AW160" t="s">
        <v>4283</v>
      </c>
      <c r="AX160" t="s">
        <v>3627</v>
      </c>
    </row>
    <row r="161" spans="10:50">
      <c r="J161" t="s">
        <v>2751</v>
      </c>
      <c r="O161" t="s">
        <v>3296</v>
      </c>
      <c r="Y161" t="s">
        <v>3628</v>
      </c>
      <c r="AG161" t="s">
        <v>1171</v>
      </c>
      <c r="AI161" t="s">
        <v>2072</v>
      </c>
      <c r="AS161" t="s">
        <v>3876</v>
      </c>
      <c r="AW161" t="s">
        <v>4284</v>
      </c>
      <c r="AX161" t="s">
        <v>3628</v>
      </c>
    </row>
    <row r="162" spans="10:50">
      <c r="J162" t="s">
        <v>2752</v>
      </c>
      <c r="O162" t="s">
        <v>3297</v>
      </c>
      <c r="Y162" t="s">
        <v>3629</v>
      </c>
      <c r="AG162" t="s">
        <v>1172</v>
      </c>
      <c r="AI162" t="s">
        <v>2073</v>
      </c>
      <c r="AS162" t="s">
        <v>3877</v>
      </c>
      <c r="AW162" t="s">
        <v>4285</v>
      </c>
      <c r="AX162" t="s">
        <v>3629</v>
      </c>
    </row>
    <row r="163" spans="10:50">
      <c r="J163" t="s">
        <v>2753</v>
      </c>
      <c r="O163" t="s">
        <v>3298</v>
      </c>
      <c r="Y163" t="s">
        <v>3630</v>
      </c>
      <c r="AG163" t="s">
        <v>1173</v>
      </c>
      <c r="AI163" t="s">
        <v>2074</v>
      </c>
      <c r="AS163" t="s">
        <v>3878</v>
      </c>
      <c r="AW163" t="s">
        <v>4286</v>
      </c>
      <c r="AX163" t="s">
        <v>3630</v>
      </c>
    </row>
    <row r="164" spans="10:50">
      <c r="J164" t="s">
        <v>2754</v>
      </c>
      <c r="O164" t="s">
        <v>3299</v>
      </c>
      <c r="Y164" t="s">
        <v>3631</v>
      </c>
      <c r="AG164" t="s">
        <v>1174</v>
      </c>
      <c r="AI164" t="s">
        <v>2075</v>
      </c>
      <c r="AS164" t="s">
        <v>3879</v>
      </c>
      <c r="AW164" t="s">
        <v>4287</v>
      </c>
      <c r="AX164" t="s">
        <v>3631</v>
      </c>
    </row>
    <row r="165" spans="10:50">
      <c r="J165" t="s">
        <v>2755</v>
      </c>
      <c r="O165" t="s">
        <v>3300</v>
      </c>
      <c r="Y165" t="s">
        <v>3632</v>
      </c>
      <c r="AG165" t="s">
        <v>1175</v>
      </c>
      <c r="AI165" t="s">
        <v>2076</v>
      </c>
      <c r="AS165" t="s">
        <v>3880</v>
      </c>
      <c r="AW165" t="s">
        <v>4288</v>
      </c>
      <c r="AX165" t="s">
        <v>3632</v>
      </c>
    </row>
    <row r="166" spans="10:50">
      <c r="J166" t="s">
        <v>2756</v>
      </c>
      <c r="O166" t="s">
        <v>3301</v>
      </c>
      <c r="Y166" t="s">
        <v>3633</v>
      </c>
      <c r="AG166" t="s">
        <v>1176</v>
      </c>
      <c r="AI166" t="s">
        <v>2077</v>
      </c>
      <c r="AS166" t="s">
        <v>3881</v>
      </c>
      <c r="AW166" t="s">
        <v>4289</v>
      </c>
      <c r="AX166" t="s">
        <v>3633</v>
      </c>
    </row>
    <row r="167" spans="10:50">
      <c r="J167" t="s">
        <v>2757</v>
      </c>
      <c r="O167" t="s">
        <v>3302</v>
      </c>
      <c r="Y167" t="s">
        <v>3634</v>
      </c>
      <c r="AG167" t="s">
        <v>1177</v>
      </c>
      <c r="AI167" t="s">
        <v>2078</v>
      </c>
      <c r="AS167" t="s">
        <v>3882</v>
      </c>
      <c r="AW167" t="s">
        <v>4290</v>
      </c>
      <c r="AX167" t="s">
        <v>3634</v>
      </c>
    </row>
    <row r="168" spans="10:50">
      <c r="J168" t="s">
        <v>2758</v>
      </c>
      <c r="O168" t="s">
        <v>3303</v>
      </c>
      <c r="Y168" t="s">
        <v>3635</v>
      </c>
      <c r="AG168" t="s">
        <v>1178</v>
      </c>
      <c r="AI168" t="s">
        <v>2079</v>
      </c>
      <c r="AS168" t="s">
        <v>3883</v>
      </c>
      <c r="AW168" t="s">
        <v>4291</v>
      </c>
      <c r="AX168" t="s">
        <v>3635</v>
      </c>
    </row>
    <row r="169" spans="10:50">
      <c r="J169" t="s">
        <v>2759</v>
      </c>
      <c r="O169" t="s">
        <v>3304</v>
      </c>
      <c r="Y169" t="s">
        <v>3636</v>
      </c>
      <c r="AG169" t="s">
        <v>1179</v>
      </c>
      <c r="AI169" t="s">
        <v>2080</v>
      </c>
      <c r="AS169" t="s">
        <v>3884</v>
      </c>
      <c r="AW169" t="s">
        <v>4292</v>
      </c>
      <c r="AX169" t="s">
        <v>3636</v>
      </c>
    </row>
    <row r="170" spans="10:50">
      <c r="J170" t="s">
        <v>2760</v>
      </c>
      <c r="O170" t="s">
        <v>3305</v>
      </c>
      <c r="Y170" t="s">
        <v>3637</v>
      </c>
      <c r="AG170" t="s">
        <v>1180</v>
      </c>
      <c r="AI170" t="s">
        <v>2081</v>
      </c>
      <c r="AS170" t="s">
        <v>3885</v>
      </c>
      <c r="AW170" t="s">
        <v>4293</v>
      </c>
      <c r="AX170" t="s">
        <v>3637</v>
      </c>
    </row>
    <row r="171" spans="10:50">
      <c r="J171" t="s">
        <v>2761</v>
      </c>
      <c r="O171" t="s">
        <v>3306</v>
      </c>
      <c r="Y171" t="s">
        <v>3638</v>
      </c>
      <c r="AG171" t="s">
        <v>1181</v>
      </c>
      <c r="AI171" t="s">
        <v>2082</v>
      </c>
      <c r="AS171" t="s">
        <v>3886</v>
      </c>
      <c r="AW171" t="s">
        <v>4294</v>
      </c>
      <c r="AX171" t="s">
        <v>3638</v>
      </c>
    </row>
    <row r="172" spans="10:50">
      <c r="J172" t="s">
        <v>2762</v>
      </c>
      <c r="O172" t="s">
        <v>3307</v>
      </c>
      <c r="Y172" t="s">
        <v>3639</v>
      </c>
      <c r="AG172" t="s">
        <v>1182</v>
      </c>
      <c r="AI172" t="s">
        <v>2083</v>
      </c>
      <c r="AS172" t="s">
        <v>3887</v>
      </c>
      <c r="AW172" t="s">
        <v>4295</v>
      </c>
      <c r="AX172" t="s">
        <v>3639</v>
      </c>
    </row>
    <row r="173" spans="10:50">
      <c r="J173" t="s">
        <v>2763</v>
      </c>
      <c r="O173" t="s">
        <v>3308</v>
      </c>
      <c r="Y173" t="s">
        <v>3640</v>
      </c>
      <c r="AG173" t="s">
        <v>1183</v>
      </c>
      <c r="AI173" t="s">
        <v>2084</v>
      </c>
      <c r="AS173" t="s">
        <v>3888</v>
      </c>
      <c r="AW173" t="s">
        <v>4296</v>
      </c>
      <c r="AX173" t="s">
        <v>3640</v>
      </c>
    </row>
    <row r="174" spans="10:50">
      <c r="J174" t="s">
        <v>2764</v>
      </c>
      <c r="O174" t="s">
        <v>3309</v>
      </c>
      <c r="Y174" t="s">
        <v>3641</v>
      </c>
      <c r="AG174" t="s">
        <v>1184</v>
      </c>
      <c r="AI174" t="s">
        <v>2085</v>
      </c>
      <c r="AS174" t="s">
        <v>3889</v>
      </c>
      <c r="AW174" t="s">
        <v>4297</v>
      </c>
      <c r="AX174" t="s">
        <v>3641</v>
      </c>
    </row>
    <row r="175" spans="10:50">
      <c r="J175" t="s">
        <v>2765</v>
      </c>
      <c r="O175" t="s">
        <v>3310</v>
      </c>
      <c r="Y175" t="s">
        <v>3642</v>
      </c>
      <c r="AG175" t="s">
        <v>1185</v>
      </c>
      <c r="AI175" t="s">
        <v>2086</v>
      </c>
      <c r="AS175" t="s">
        <v>3890</v>
      </c>
      <c r="AW175" t="s">
        <v>4298</v>
      </c>
      <c r="AX175" t="s">
        <v>3642</v>
      </c>
    </row>
    <row r="176" spans="10:50">
      <c r="J176" t="s">
        <v>2766</v>
      </c>
      <c r="O176" t="s">
        <v>3311</v>
      </c>
      <c r="Y176" t="s">
        <v>3643</v>
      </c>
      <c r="AG176" t="s">
        <v>1186</v>
      </c>
      <c r="AI176" t="s">
        <v>2087</v>
      </c>
      <c r="AS176" t="s">
        <v>3891</v>
      </c>
      <c r="AW176" t="s">
        <v>4299</v>
      </c>
      <c r="AX176" t="s">
        <v>3643</v>
      </c>
    </row>
    <row r="177" spans="10:50">
      <c r="J177" t="s">
        <v>2767</v>
      </c>
      <c r="O177" t="s">
        <v>3312</v>
      </c>
      <c r="Y177" t="s">
        <v>3644</v>
      </c>
      <c r="AG177" t="s">
        <v>1187</v>
      </c>
      <c r="AI177" t="s">
        <v>2088</v>
      </c>
      <c r="AS177" t="s">
        <v>3892</v>
      </c>
      <c r="AW177" t="s">
        <v>4300</v>
      </c>
      <c r="AX177" t="s">
        <v>3644</v>
      </c>
    </row>
    <row r="178" spans="10:50">
      <c r="J178" t="s">
        <v>2768</v>
      </c>
      <c r="O178" t="s">
        <v>3313</v>
      </c>
      <c r="Y178" t="s">
        <v>947</v>
      </c>
      <c r="AG178" t="s">
        <v>1188</v>
      </c>
      <c r="AI178" t="s">
        <v>2089</v>
      </c>
      <c r="AS178" t="s">
        <v>3893</v>
      </c>
      <c r="AW178" t="s">
        <v>4301</v>
      </c>
      <c r="AX178" t="s">
        <v>947</v>
      </c>
    </row>
    <row r="179" spans="10:50">
      <c r="J179" t="s">
        <v>2769</v>
      </c>
      <c r="O179" t="s">
        <v>3314</v>
      </c>
      <c r="Y179" t="s">
        <v>950</v>
      </c>
      <c r="AG179" t="s">
        <v>1189</v>
      </c>
      <c r="AI179" t="s">
        <v>2090</v>
      </c>
      <c r="AS179" t="s">
        <v>3894</v>
      </c>
      <c r="AW179" t="s">
        <v>4302</v>
      </c>
      <c r="AX179" t="s">
        <v>950</v>
      </c>
    </row>
    <row r="180" spans="10:50">
      <c r="J180" t="s">
        <v>2770</v>
      </c>
      <c r="O180" t="s">
        <v>3315</v>
      </c>
      <c r="AG180" t="s">
        <v>1190</v>
      </c>
      <c r="AI180" t="s">
        <v>2091</v>
      </c>
      <c r="AS180" t="s">
        <v>3895</v>
      </c>
      <c r="AW180" t="s">
        <v>4303</v>
      </c>
    </row>
    <row r="181" spans="10:50">
      <c r="J181" t="s">
        <v>2771</v>
      </c>
      <c r="O181" t="s">
        <v>3316</v>
      </c>
      <c r="AG181" t="s">
        <v>1191</v>
      </c>
      <c r="AI181" t="s">
        <v>2092</v>
      </c>
      <c r="AS181" t="s">
        <v>3896</v>
      </c>
      <c r="AW181" t="s">
        <v>4304</v>
      </c>
    </row>
    <row r="182" spans="10:50">
      <c r="J182" t="s">
        <v>2772</v>
      </c>
      <c r="O182" t="s">
        <v>3317</v>
      </c>
      <c r="AG182" t="s">
        <v>1192</v>
      </c>
      <c r="AI182" t="s">
        <v>2093</v>
      </c>
      <c r="AS182" t="s">
        <v>3897</v>
      </c>
      <c r="AW182" t="s">
        <v>4305</v>
      </c>
    </row>
    <row r="183" spans="10:50">
      <c r="J183" t="s">
        <v>2773</v>
      </c>
      <c r="O183" t="s">
        <v>3318</v>
      </c>
      <c r="AG183" t="s">
        <v>1193</v>
      </c>
      <c r="AI183" t="s">
        <v>2094</v>
      </c>
      <c r="AS183" t="s">
        <v>3898</v>
      </c>
      <c r="AW183" t="s">
        <v>4306</v>
      </c>
    </row>
    <row r="184" spans="10:50">
      <c r="J184" t="s">
        <v>2774</v>
      </c>
      <c r="O184" t="s">
        <v>3319</v>
      </c>
      <c r="AG184" t="s">
        <v>1194</v>
      </c>
      <c r="AI184" t="s">
        <v>2095</v>
      </c>
      <c r="AS184" t="s">
        <v>3899</v>
      </c>
      <c r="AW184" t="s">
        <v>4307</v>
      </c>
    </row>
    <row r="185" spans="10:50">
      <c r="J185" t="s">
        <v>2775</v>
      </c>
      <c r="O185" t="s">
        <v>3320</v>
      </c>
      <c r="AG185" t="s">
        <v>1195</v>
      </c>
      <c r="AI185" t="s">
        <v>2096</v>
      </c>
      <c r="AS185" t="s">
        <v>3900</v>
      </c>
      <c r="AW185" t="s">
        <v>4308</v>
      </c>
    </row>
    <row r="186" spans="10:50">
      <c r="J186" t="s">
        <v>2776</v>
      </c>
      <c r="O186" t="s">
        <v>3321</v>
      </c>
      <c r="AG186" t="s">
        <v>1196</v>
      </c>
      <c r="AI186" t="s">
        <v>2097</v>
      </c>
      <c r="AS186" t="s">
        <v>3901</v>
      </c>
      <c r="AW186" t="s">
        <v>4309</v>
      </c>
    </row>
    <row r="187" spans="10:50">
      <c r="J187" t="s">
        <v>2777</v>
      </c>
      <c r="O187" t="s">
        <v>3322</v>
      </c>
      <c r="AG187" t="s">
        <v>1197</v>
      </c>
      <c r="AI187" t="s">
        <v>2098</v>
      </c>
      <c r="AS187" t="s">
        <v>3902</v>
      </c>
      <c r="AW187" t="s">
        <v>4310</v>
      </c>
    </row>
    <row r="188" spans="10:50">
      <c r="J188" t="s">
        <v>2778</v>
      </c>
      <c r="O188" t="s">
        <v>3323</v>
      </c>
      <c r="AG188" t="s">
        <v>1198</v>
      </c>
      <c r="AI188" t="s">
        <v>2099</v>
      </c>
      <c r="AS188" t="s">
        <v>3903</v>
      </c>
      <c r="AW188" t="s">
        <v>4311</v>
      </c>
    </row>
    <row r="189" spans="10:50">
      <c r="J189" t="s">
        <v>2779</v>
      </c>
      <c r="O189" t="s">
        <v>3324</v>
      </c>
      <c r="AG189" t="s">
        <v>1199</v>
      </c>
      <c r="AI189" t="s">
        <v>2100</v>
      </c>
      <c r="AS189" t="s">
        <v>3904</v>
      </c>
      <c r="AW189" t="s">
        <v>4312</v>
      </c>
    </row>
    <row r="190" spans="10:50">
      <c r="J190" t="s">
        <v>2780</v>
      </c>
      <c r="O190" t="s">
        <v>3325</v>
      </c>
      <c r="AG190" t="s">
        <v>1200</v>
      </c>
      <c r="AI190" t="s">
        <v>2101</v>
      </c>
      <c r="AS190" t="s">
        <v>3905</v>
      </c>
      <c r="AW190" t="s">
        <v>4313</v>
      </c>
    </row>
    <row r="191" spans="10:50">
      <c r="J191" t="s">
        <v>2781</v>
      </c>
      <c r="O191" t="s">
        <v>3326</v>
      </c>
      <c r="AG191" t="s">
        <v>1201</v>
      </c>
      <c r="AI191" t="s">
        <v>2102</v>
      </c>
      <c r="AS191" t="s">
        <v>3906</v>
      </c>
      <c r="AW191" t="s">
        <v>4314</v>
      </c>
    </row>
    <row r="192" spans="10:50">
      <c r="J192" t="s">
        <v>2782</v>
      </c>
      <c r="O192" t="s">
        <v>3327</v>
      </c>
      <c r="AG192" t="s">
        <v>1202</v>
      </c>
      <c r="AI192" t="s">
        <v>2103</v>
      </c>
      <c r="AS192" t="s">
        <v>3907</v>
      </c>
      <c r="AW192" t="s">
        <v>4315</v>
      </c>
    </row>
    <row r="193" spans="10:49">
      <c r="J193" t="s">
        <v>2783</v>
      </c>
      <c r="O193" t="s">
        <v>3328</v>
      </c>
      <c r="AG193" t="s">
        <v>1203</v>
      </c>
      <c r="AI193" t="s">
        <v>2104</v>
      </c>
      <c r="AS193" t="s">
        <v>3908</v>
      </c>
      <c r="AW193" t="s">
        <v>4316</v>
      </c>
    </row>
    <row r="194" spans="10:49">
      <c r="J194" t="s">
        <v>2784</v>
      </c>
      <c r="O194" t="s">
        <v>3329</v>
      </c>
      <c r="AG194" t="s">
        <v>1204</v>
      </c>
      <c r="AI194" t="s">
        <v>2105</v>
      </c>
      <c r="AS194" t="s">
        <v>3909</v>
      </c>
      <c r="AW194" t="s">
        <v>4317</v>
      </c>
    </row>
    <row r="195" spans="10:49">
      <c r="J195" t="s">
        <v>2785</v>
      </c>
      <c r="O195" t="s">
        <v>3330</v>
      </c>
      <c r="AG195" t="s">
        <v>1205</v>
      </c>
      <c r="AI195" t="s">
        <v>2106</v>
      </c>
      <c r="AS195" t="s">
        <v>3910</v>
      </c>
      <c r="AW195" t="s">
        <v>4318</v>
      </c>
    </row>
    <row r="196" spans="10:49">
      <c r="J196" t="s">
        <v>2786</v>
      </c>
      <c r="O196" t="s">
        <v>3331</v>
      </c>
      <c r="AG196" t="s">
        <v>1206</v>
      </c>
      <c r="AI196" t="s">
        <v>2107</v>
      </c>
      <c r="AS196" t="s">
        <v>3911</v>
      </c>
      <c r="AW196" t="s">
        <v>4319</v>
      </c>
    </row>
    <row r="197" spans="10:49">
      <c r="J197" t="s">
        <v>2787</v>
      </c>
      <c r="O197" t="s">
        <v>3332</v>
      </c>
      <c r="AG197" t="s">
        <v>1207</v>
      </c>
      <c r="AI197" t="s">
        <v>2108</v>
      </c>
      <c r="AS197" t="s">
        <v>3912</v>
      </c>
      <c r="AW197" t="s">
        <v>4320</v>
      </c>
    </row>
    <row r="198" spans="10:49">
      <c r="J198" t="s">
        <v>2788</v>
      </c>
      <c r="O198" t="s">
        <v>3333</v>
      </c>
      <c r="AG198" t="s">
        <v>1208</v>
      </c>
      <c r="AI198" t="s">
        <v>2109</v>
      </c>
      <c r="AS198" t="s">
        <v>3913</v>
      </c>
      <c r="AW198" t="s">
        <v>4321</v>
      </c>
    </row>
    <row r="199" spans="10:49">
      <c r="J199" t="s">
        <v>2789</v>
      </c>
      <c r="O199" t="s">
        <v>3334</v>
      </c>
      <c r="AG199" t="s">
        <v>1209</v>
      </c>
      <c r="AI199" t="s">
        <v>2110</v>
      </c>
      <c r="AS199" t="s">
        <v>3914</v>
      </c>
      <c r="AW199" t="s">
        <v>4322</v>
      </c>
    </row>
    <row r="200" spans="10:49">
      <c r="J200" t="s">
        <v>2790</v>
      </c>
      <c r="O200" t="s">
        <v>3335</v>
      </c>
      <c r="AG200" t="s">
        <v>1210</v>
      </c>
      <c r="AI200" t="s">
        <v>2111</v>
      </c>
      <c r="AS200" t="s">
        <v>3915</v>
      </c>
      <c r="AW200" t="s">
        <v>4323</v>
      </c>
    </row>
    <row r="201" spans="10:49">
      <c r="J201" t="s">
        <v>2791</v>
      </c>
      <c r="O201" t="s">
        <v>3336</v>
      </c>
      <c r="AG201" t="s">
        <v>1211</v>
      </c>
      <c r="AI201" t="s">
        <v>2112</v>
      </c>
      <c r="AS201" t="s">
        <v>3916</v>
      </c>
      <c r="AW201" t="s">
        <v>4324</v>
      </c>
    </row>
    <row r="202" spans="10:49">
      <c r="J202" t="s">
        <v>2792</v>
      </c>
      <c r="O202" t="s">
        <v>3337</v>
      </c>
      <c r="AG202" t="s">
        <v>1212</v>
      </c>
      <c r="AI202" t="s">
        <v>2113</v>
      </c>
      <c r="AS202" t="s">
        <v>3917</v>
      </c>
      <c r="AW202" t="s">
        <v>4325</v>
      </c>
    </row>
    <row r="203" spans="10:49">
      <c r="J203" t="s">
        <v>2793</v>
      </c>
      <c r="O203" t="s">
        <v>3338</v>
      </c>
      <c r="AG203" t="s">
        <v>1213</v>
      </c>
      <c r="AI203" t="s">
        <v>2114</v>
      </c>
      <c r="AS203" t="s">
        <v>3918</v>
      </c>
      <c r="AW203" t="s">
        <v>4326</v>
      </c>
    </row>
    <row r="204" spans="10:49">
      <c r="J204" t="s">
        <v>2794</v>
      </c>
      <c r="O204" t="s">
        <v>3339</v>
      </c>
      <c r="AG204" t="s">
        <v>1214</v>
      </c>
      <c r="AI204" t="s">
        <v>2115</v>
      </c>
      <c r="AS204" t="s">
        <v>3919</v>
      </c>
      <c r="AW204" t="s">
        <v>4327</v>
      </c>
    </row>
    <row r="205" spans="10:49">
      <c r="J205" t="s">
        <v>2795</v>
      </c>
      <c r="O205" t="s">
        <v>3340</v>
      </c>
      <c r="AG205" t="s">
        <v>1215</v>
      </c>
      <c r="AI205" t="s">
        <v>2116</v>
      </c>
      <c r="AS205" t="s">
        <v>3920</v>
      </c>
      <c r="AW205" t="s">
        <v>4328</v>
      </c>
    </row>
    <row r="206" spans="10:49">
      <c r="J206" t="s">
        <v>2796</v>
      </c>
      <c r="O206" t="s">
        <v>3341</v>
      </c>
      <c r="AG206" t="s">
        <v>1216</v>
      </c>
      <c r="AI206" t="s">
        <v>2117</v>
      </c>
      <c r="AS206" t="s">
        <v>3921</v>
      </c>
      <c r="AW206" t="s">
        <v>4329</v>
      </c>
    </row>
    <row r="207" spans="10:49">
      <c r="J207" t="s">
        <v>2797</v>
      </c>
      <c r="O207" t="s">
        <v>3342</v>
      </c>
      <c r="AG207" t="s">
        <v>1217</v>
      </c>
      <c r="AI207" t="s">
        <v>2118</v>
      </c>
      <c r="AS207" t="s">
        <v>3922</v>
      </c>
      <c r="AW207" t="s">
        <v>4330</v>
      </c>
    </row>
    <row r="208" spans="10:49">
      <c r="J208" t="s">
        <v>2798</v>
      </c>
      <c r="O208" t="s">
        <v>3343</v>
      </c>
      <c r="AG208" t="s">
        <v>1218</v>
      </c>
      <c r="AI208" t="s">
        <v>2119</v>
      </c>
      <c r="AS208" t="s">
        <v>3923</v>
      </c>
      <c r="AW208" t="s">
        <v>4331</v>
      </c>
    </row>
    <row r="209" spans="10:49">
      <c r="J209" t="s">
        <v>2799</v>
      </c>
      <c r="O209" t="s">
        <v>3344</v>
      </c>
      <c r="AG209" t="s">
        <v>1219</v>
      </c>
      <c r="AI209" t="s">
        <v>2120</v>
      </c>
      <c r="AS209" t="s">
        <v>3924</v>
      </c>
      <c r="AW209" t="s">
        <v>4332</v>
      </c>
    </row>
    <row r="210" spans="10:49">
      <c r="J210" t="s">
        <v>2800</v>
      </c>
      <c r="O210" t="s">
        <v>3345</v>
      </c>
      <c r="AG210" t="s">
        <v>1220</v>
      </c>
      <c r="AI210" t="s">
        <v>2121</v>
      </c>
      <c r="AS210" t="s">
        <v>3925</v>
      </c>
      <c r="AW210" t="s">
        <v>4333</v>
      </c>
    </row>
    <row r="211" spans="10:49">
      <c r="J211" t="s">
        <v>2801</v>
      </c>
      <c r="O211" t="s">
        <v>3346</v>
      </c>
      <c r="AG211" t="s">
        <v>1221</v>
      </c>
      <c r="AI211" t="s">
        <v>2122</v>
      </c>
      <c r="AS211" t="s">
        <v>3926</v>
      </c>
      <c r="AW211" t="s">
        <v>4334</v>
      </c>
    </row>
    <row r="212" spans="10:49">
      <c r="J212" t="s">
        <v>2802</v>
      </c>
      <c r="O212" t="s">
        <v>3347</v>
      </c>
      <c r="AG212" t="s">
        <v>1222</v>
      </c>
      <c r="AI212" t="s">
        <v>2123</v>
      </c>
      <c r="AS212" t="s">
        <v>3927</v>
      </c>
      <c r="AW212" t="s">
        <v>4335</v>
      </c>
    </row>
    <row r="213" spans="10:49">
      <c r="J213" t="s">
        <v>2803</v>
      </c>
      <c r="O213" t="s">
        <v>3348</v>
      </c>
      <c r="AG213" t="s">
        <v>1223</v>
      </c>
      <c r="AI213" t="s">
        <v>2124</v>
      </c>
      <c r="AS213" t="s">
        <v>3928</v>
      </c>
      <c r="AW213" t="s">
        <v>4336</v>
      </c>
    </row>
    <row r="214" spans="10:49">
      <c r="J214" t="s">
        <v>2804</v>
      </c>
      <c r="O214" t="s">
        <v>3349</v>
      </c>
      <c r="AG214" t="s">
        <v>1224</v>
      </c>
      <c r="AI214" t="s">
        <v>2125</v>
      </c>
      <c r="AS214" t="s">
        <v>3929</v>
      </c>
      <c r="AW214" t="s">
        <v>4337</v>
      </c>
    </row>
    <row r="215" spans="10:49">
      <c r="J215" t="s">
        <v>2805</v>
      </c>
      <c r="O215" t="s">
        <v>3350</v>
      </c>
      <c r="AG215" t="s">
        <v>1225</v>
      </c>
      <c r="AI215" t="s">
        <v>2126</v>
      </c>
      <c r="AS215" t="s">
        <v>3930</v>
      </c>
      <c r="AW215" t="s">
        <v>4338</v>
      </c>
    </row>
    <row r="216" spans="10:49">
      <c r="J216" t="s">
        <v>2806</v>
      </c>
      <c r="O216" t="s">
        <v>3351</v>
      </c>
      <c r="AG216" t="s">
        <v>1226</v>
      </c>
      <c r="AI216" t="s">
        <v>2127</v>
      </c>
      <c r="AS216" t="s">
        <v>3931</v>
      </c>
      <c r="AW216" t="s">
        <v>4339</v>
      </c>
    </row>
    <row r="217" spans="10:49">
      <c r="J217" t="s">
        <v>2807</v>
      </c>
      <c r="O217" t="s">
        <v>3352</v>
      </c>
      <c r="AG217" t="s">
        <v>1227</v>
      </c>
      <c r="AI217" t="s">
        <v>2128</v>
      </c>
      <c r="AS217" t="s">
        <v>3932</v>
      </c>
      <c r="AW217" t="s">
        <v>4340</v>
      </c>
    </row>
    <row r="218" spans="10:49">
      <c r="J218" t="s">
        <v>2808</v>
      </c>
      <c r="O218" t="s">
        <v>3353</v>
      </c>
      <c r="AG218" t="s">
        <v>1228</v>
      </c>
      <c r="AI218" t="s">
        <v>2129</v>
      </c>
      <c r="AS218" t="s">
        <v>3933</v>
      </c>
      <c r="AW218" t="s">
        <v>4341</v>
      </c>
    </row>
    <row r="219" spans="10:49">
      <c r="J219" t="s">
        <v>2809</v>
      </c>
      <c r="O219" t="s">
        <v>3354</v>
      </c>
      <c r="AG219" t="s">
        <v>1229</v>
      </c>
      <c r="AI219" t="s">
        <v>2130</v>
      </c>
      <c r="AS219" t="s">
        <v>3934</v>
      </c>
      <c r="AW219" t="s">
        <v>4342</v>
      </c>
    </row>
    <row r="220" spans="10:49">
      <c r="J220" t="s">
        <v>2810</v>
      </c>
      <c r="O220" t="s">
        <v>3355</v>
      </c>
      <c r="AG220" t="s">
        <v>1230</v>
      </c>
      <c r="AI220" t="s">
        <v>2131</v>
      </c>
      <c r="AS220" t="s">
        <v>3935</v>
      </c>
      <c r="AW220" t="s">
        <v>4343</v>
      </c>
    </row>
    <row r="221" spans="10:49">
      <c r="J221" t="s">
        <v>2811</v>
      </c>
      <c r="O221" t="s">
        <v>3356</v>
      </c>
      <c r="AG221" t="s">
        <v>1231</v>
      </c>
      <c r="AI221" t="s">
        <v>2132</v>
      </c>
      <c r="AS221" t="s">
        <v>3936</v>
      </c>
      <c r="AW221" t="s">
        <v>4344</v>
      </c>
    </row>
    <row r="222" spans="10:49">
      <c r="J222" t="s">
        <v>2812</v>
      </c>
      <c r="O222" t="s">
        <v>3357</v>
      </c>
      <c r="AG222" t="s">
        <v>1232</v>
      </c>
      <c r="AI222" t="s">
        <v>2133</v>
      </c>
      <c r="AS222" t="s">
        <v>3937</v>
      </c>
      <c r="AW222" t="s">
        <v>4345</v>
      </c>
    </row>
    <row r="223" spans="10:49">
      <c r="J223" t="s">
        <v>2813</v>
      </c>
      <c r="AG223" t="s">
        <v>1233</v>
      </c>
      <c r="AI223" t="s">
        <v>2134</v>
      </c>
      <c r="AS223" t="s">
        <v>3938</v>
      </c>
      <c r="AW223" t="s">
        <v>4346</v>
      </c>
    </row>
    <row r="224" spans="10:49">
      <c r="J224" t="s">
        <v>2814</v>
      </c>
      <c r="AG224" t="s">
        <v>1234</v>
      </c>
      <c r="AI224" t="s">
        <v>2135</v>
      </c>
      <c r="AS224" t="s">
        <v>3939</v>
      </c>
      <c r="AW224" t="s">
        <v>4347</v>
      </c>
    </row>
    <row r="225" spans="10:49">
      <c r="J225" t="s">
        <v>2815</v>
      </c>
      <c r="AG225" t="s">
        <v>1235</v>
      </c>
      <c r="AI225" t="s">
        <v>2136</v>
      </c>
      <c r="AS225" t="s">
        <v>3940</v>
      </c>
      <c r="AW225" t="s">
        <v>4348</v>
      </c>
    </row>
    <row r="226" spans="10:49">
      <c r="J226" t="s">
        <v>2816</v>
      </c>
      <c r="AG226" t="s">
        <v>1236</v>
      </c>
      <c r="AI226" t="s">
        <v>2137</v>
      </c>
      <c r="AS226" t="s">
        <v>3941</v>
      </c>
      <c r="AW226" t="s">
        <v>4349</v>
      </c>
    </row>
    <row r="227" spans="10:49">
      <c r="J227" t="s">
        <v>2817</v>
      </c>
      <c r="AG227" t="s">
        <v>1237</v>
      </c>
      <c r="AI227" t="s">
        <v>2138</v>
      </c>
      <c r="AS227" t="s">
        <v>3942</v>
      </c>
      <c r="AW227" t="s">
        <v>4350</v>
      </c>
    </row>
    <row r="228" spans="10:49">
      <c r="J228" t="s">
        <v>2818</v>
      </c>
      <c r="AG228" t="s">
        <v>1238</v>
      </c>
      <c r="AI228" t="s">
        <v>2139</v>
      </c>
      <c r="AS228" t="s">
        <v>3943</v>
      </c>
      <c r="AW228" t="s">
        <v>4351</v>
      </c>
    </row>
    <row r="229" spans="10:49">
      <c r="J229" t="s">
        <v>2819</v>
      </c>
      <c r="AG229" t="s">
        <v>1239</v>
      </c>
      <c r="AI229" t="s">
        <v>2140</v>
      </c>
      <c r="AS229" t="s">
        <v>3944</v>
      </c>
      <c r="AW229" t="s">
        <v>4352</v>
      </c>
    </row>
    <row r="230" spans="10:49">
      <c r="J230" t="s">
        <v>2820</v>
      </c>
      <c r="AG230" t="s">
        <v>1240</v>
      </c>
      <c r="AI230" t="s">
        <v>2141</v>
      </c>
      <c r="AS230" t="s">
        <v>3945</v>
      </c>
      <c r="AW230" t="s">
        <v>4353</v>
      </c>
    </row>
    <row r="231" spans="10:49">
      <c r="J231" t="s">
        <v>2821</v>
      </c>
      <c r="AG231" t="s">
        <v>1241</v>
      </c>
      <c r="AI231" t="s">
        <v>2142</v>
      </c>
      <c r="AS231" t="s">
        <v>3946</v>
      </c>
      <c r="AW231" t="s">
        <v>4354</v>
      </c>
    </row>
    <row r="232" spans="10:49">
      <c r="J232" t="s">
        <v>2822</v>
      </c>
      <c r="AG232" t="s">
        <v>1242</v>
      </c>
      <c r="AI232" t="s">
        <v>2143</v>
      </c>
      <c r="AS232" t="s">
        <v>3947</v>
      </c>
      <c r="AW232" t="s">
        <v>4355</v>
      </c>
    </row>
    <row r="233" spans="10:49">
      <c r="J233" t="s">
        <v>2823</v>
      </c>
      <c r="AG233" t="s">
        <v>1243</v>
      </c>
      <c r="AI233" t="s">
        <v>2144</v>
      </c>
      <c r="AS233" t="s">
        <v>3948</v>
      </c>
      <c r="AW233" t="s">
        <v>4356</v>
      </c>
    </row>
    <row r="234" spans="10:49">
      <c r="J234" t="s">
        <v>2824</v>
      </c>
      <c r="AG234" t="s">
        <v>1244</v>
      </c>
      <c r="AI234" t="s">
        <v>2145</v>
      </c>
      <c r="AS234" t="s">
        <v>3949</v>
      </c>
      <c r="AW234" t="s">
        <v>4357</v>
      </c>
    </row>
    <row r="235" spans="10:49">
      <c r="J235" t="s">
        <v>2825</v>
      </c>
      <c r="AG235" t="s">
        <v>1245</v>
      </c>
      <c r="AI235" t="s">
        <v>2146</v>
      </c>
      <c r="AS235" t="s">
        <v>3950</v>
      </c>
      <c r="AW235" t="s">
        <v>4358</v>
      </c>
    </row>
    <row r="236" spans="10:49">
      <c r="J236" t="s">
        <v>2826</v>
      </c>
      <c r="AG236" t="s">
        <v>1246</v>
      </c>
      <c r="AI236" t="s">
        <v>2147</v>
      </c>
      <c r="AS236" t="s">
        <v>3951</v>
      </c>
      <c r="AW236" t="s">
        <v>4359</v>
      </c>
    </row>
    <row r="237" spans="10:49">
      <c r="J237" t="s">
        <v>2827</v>
      </c>
      <c r="AG237" t="s">
        <v>1247</v>
      </c>
      <c r="AI237" t="s">
        <v>2148</v>
      </c>
      <c r="AS237" t="s">
        <v>3952</v>
      </c>
      <c r="AW237" t="s">
        <v>4360</v>
      </c>
    </row>
    <row r="238" spans="10:49">
      <c r="J238" t="s">
        <v>2828</v>
      </c>
      <c r="AG238" t="s">
        <v>1248</v>
      </c>
      <c r="AI238" t="s">
        <v>2149</v>
      </c>
      <c r="AS238" t="s">
        <v>3953</v>
      </c>
      <c r="AW238" t="s">
        <v>4361</v>
      </c>
    </row>
    <row r="239" spans="10:49">
      <c r="J239" t="s">
        <v>2829</v>
      </c>
      <c r="AG239" t="s">
        <v>1249</v>
      </c>
      <c r="AI239" t="s">
        <v>2150</v>
      </c>
      <c r="AS239" t="s">
        <v>3954</v>
      </c>
      <c r="AW239" t="s">
        <v>4362</v>
      </c>
    </row>
    <row r="240" spans="10:49">
      <c r="J240" t="s">
        <v>2830</v>
      </c>
      <c r="AG240" t="s">
        <v>1250</v>
      </c>
      <c r="AI240" t="s">
        <v>2151</v>
      </c>
      <c r="AS240" t="s">
        <v>3955</v>
      </c>
      <c r="AW240" t="s">
        <v>4363</v>
      </c>
    </row>
    <row r="241" spans="10:49">
      <c r="J241" t="s">
        <v>2831</v>
      </c>
      <c r="AG241" t="s">
        <v>1251</v>
      </c>
      <c r="AI241" t="s">
        <v>2152</v>
      </c>
      <c r="AS241" t="s">
        <v>3956</v>
      </c>
      <c r="AW241" t="s">
        <v>4364</v>
      </c>
    </row>
    <row r="242" spans="10:49">
      <c r="J242" t="s">
        <v>2832</v>
      </c>
      <c r="AG242" t="s">
        <v>1252</v>
      </c>
      <c r="AI242" t="s">
        <v>2153</v>
      </c>
      <c r="AS242" t="s">
        <v>3957</v>
      </c>
      <c r="AW242" t="s">
        <v>4365</v>
      </c>
    </row>
    <row r="243" spans="10:49">
      <c r="J243" t="s">
        <v>2833</v>
      </c>
      <c r="AG243" t="s">
        <v>1253</v>
      </c>
      <c r="AI243" t="s">
        <v>2154</v>
      </c>
      <c r="AS243" t="s">
        <v>3958</v>
      </c>
      <c r="AW243" t="s">
        <v>4366</v>
      </c>
    </row>
    <row r="244" spans="10:49">
      <c r="J244" t="s">
        <v>2834</v>
      </c>
      <c r="AG244" t="s">
        <v>1254</v>
      </c>
      <c r="AI244" t="s">
        <v>2155</v>
      </c>
      <c r="AS244" t="s">
        <v>3959</v>
      </c>
      <c r="AW244" t="s">
        <v>4367</v>
      </c>
    </row>
    <row r="245" spans="10:49">
      <c r="J245" t="s">
        <v>2835</v>
      </c>
      <c r="AG245" t="s">
        <v>1255</v>
      </c>
      <c r="AI245" t="s">
        <v>2156</v>
      </c>
      <c r="AS245" t="s">
        <v>3960</v>
      </c>
      <c r="AW245" t="s">
        <v>4368</v>
      </c>
    </row>
    <row r="246" spans="10:49">
      <c r="J246" t="s">
        <v>2836</v>
      </c>
      <c r="AG246" t="s">
        <v>1256</v>
      </c>
      <c r="AI246" t="s">
        <v>2157</v>
      </c>
      <c r="AS246" t="s">
        <v>3961</v>
      </c>
      <c r="AW246" t="s">
        <v>4369</v>
      </c>
    </row>
    <row r="247" spans="10:49">
      <c r="J247" t="s">
        <v>2837</v>
      </c>
      <c r="AG247" t="s">
        <v>1257</v>
      </c>
      <c r="AI247" t="s">
        <v>2158</v>
      </c>
      <c r="AS247" t="s">
        <v>3962</v>
      </c>
      <c r="AW247" t="s">
        <v>4370</v>
      </c>
    </row>
    <row r="248" spans="10:49">
      <c r="J248" t="s">
        <v>2838</v>
      </c>
      <c r="AG248" t="s">
        <v>1258</v>
      </c>
      <c r="AI248" t="s">
        <v>2159</v>
      </c>
      <c r="AS248" t="s">
        <v>3963</v>
      </c>
      <c r="AW248" t="s">
        <v>4371</v>
      </c>
    </row>
    <row r="249" spans="10:49">
      <c r="J249" t="s">
        <v>2839</v>
      </c>
      <c r="AG249" t="s">
        <v>1259</v>
      </c>
      <c r="AS249" t="s">
        <v>3964</v>
      </c>
      <c r="AW249" t="s">
        <v>4372</v>
      </c>
    </row>
    <row r="250" spans="10:49">
      <c r="J250" t="s">
        <v>2840</v>
      </c>
      <c r="AG250" t="s">
        <v>1260</v>
      </c>
      <c r="AS250" t="s">
        <v>3965</v>
      </c>
      <c r="AW250" t="s">
        <v>4373</v>
      </c>
    </row>
    <row r="251" spans="10:49">
      <c r="J251" t="s">
        <v>2841</v>
      </c>
      <c r="AG251" t="s">
        <v>1261</v>
      </c>
      <c r="AS251" t="s">
        <v>3966</v>
      </c>
      <c r="AW251" t="s">
        <v>4374</v>
      </c>
    </row>
    <row r="252" spans="10:49">
      <c r="J252" t="s">
        <v>2842</v>
      </c>
      <c r="AG252" t="s">
        <v>1262</v>
      </c>
      <c r="AS252" t="s">
        <v>3967</v>
      </c>
      <c r="AW252" t="s">
        <v>4375</v>
      </c>
    </row>
    <row r="253" spans="10:49">
      <c r="J253" t="s">
        <v>2843</v>
      </c>
      <c r="AG253" t="s">
        <v>1263</v>
      </c>
      <c r="AS253" t="s">
        <v>3968</v>
      </c>
      <c r="AW253" t="s">
        <v>4376</v>
      </c>
    </row>
    <row r="254" spans="10:49">
      <c r="J254" t="s">
        <v>2844</v>
      </c>
      <c r="AG254" t="s">
        <v>1264</v>
      </c>
      <c r="AS254" t="s">
        <v>3969</v>
      </c>
      <c r="AW254" t="s">
        <v>4377</v>
      </c>
    </row>
    <row r="255" spans="10:49">
      <c r="J255" t="s">
        <v>2845</v>
      </c>
      <c r="AG255" t="s">
        <v>1265</v>
      </c>
      <c r="AS255" t="s">
        <v>3970</v>
      </c>
      <c r="AW255" t="s">
        <v>4378</v>
      </c>
    </row>
    <row r="256" spans="10:49">
      <c r="J256" t="s">
        <v>2846</v>
      </c>
      <c r="AG256" t="s">
        <v>1266</v>
      </c>
      <c r="AS256" t="s">
        <v>3971</v>
      </c>
      <c r="AW256" t="s">
        <v>4379</v>
      </c>
    </row>
    <row r="257" spans="10:49">
      <c r="J257" t="s">
        <v>2847</v>
      </c>
      <c r="AG257" t="s">
        <v>1267</v>
      </c>
      <c r="AS257" t="s">
        <v>3972</v>
      </c>
      <c r="AW257" t="s">
        <v>4380</v>
      </c>
    </row>
    <row r="258" spans="10:49">
      <c r="J258" t="s">
        <v>2848</v>
      </c>
      <c r="AG258" t="s">
        <v>1268</v>
      </c>
      <c r="AS258" t="s">
        <v>3973</v>
      </c>
      <c r="AW258" t="s">
        <v>4381</v>
      </c>
    </row>
    <row r="259" spans="10:49">
      <c r="J259" t="s">
        <v>2849</v>
      </c>
      <c r="AG259" t="s">
        <v>1269</v>
      </c>
      <c r="AS259" t="s">
        <v>3974</v>
      </c>
      <c r="AW259" t="s">
        <v>4382</v>
      </c>
    </row>
    <row r="260" spans="10:49">
      <c r="J260" t="s">
        <v>2850</v>
      </c>
      <c r="AG260" t="s">
        <v>1270</v>
      </c>
      <c r="AS260" t="s">
        <v>3975</v>
      </c>
      <c r="AW260" t="s">
        <v>4383</v>
      </c>
    </row>
    <row r="261" spans="10:49">
      <c r="J261" t="s">
        <v>2851</v>
      </c>
      <c r="AG261" t="s">
        <v>1271</v>
      </c>
      <c r="AS261" t="s">
        <v>3976</v>
      </c>
      <c r="AW261" t="s">
        <v>4384</v>
      </c>
    </row>
    <row r="262" spans="10:49">
      <c r="J262" t="s">
        <v>2852</v>
      </c>
      <c r="AG262" t="s">
        <v>1272</v>
      </c>
      <c r="AS262" t="s">
        <v>3977</v>
      </c>
      <c r="AW262" t="s">
        <v>4385</v>
      </c>
    </row>
    <row r="263" spans="10:49">
      <c r="J263" t="s">
        <v>2853</v>
      </c>
      <c r="AG263" t="s">
        <v>1273</v>
      </c>
      <c r="AS263" t="s">
        <v>3978</v>
      </c>
      <c r="AW263" t="s">
        <v>4386</v>
      </c>
    </row>
    <row r="264" spans="10:49">
      <c r="J264" t="s">
        <v>2854</v>
      </c>
      <c r="AG264" t="s">
        <v>1274</v>
      </c>
      <c r="AS264" t="s">
        <v>3979</v>
      </c>
      <c r="AW264" t="s">
        <v>4387</v>
      </c>
    </row>
    <row r="265" spans="10:49">
      <c r="J265" t="s">
        <v>2855</v>
      </c>
      <c r="AG265" t="s">
        <v>1275</v>
      </c>
      <c r="AS265" t="s">
        <v>3980</v>
      </c>
      <c r="AW265" t="s">
        <v>4388</v>
      </c>
    </row>
    <row r="266" spans="10:49">
      <c r="J266" t="s">
        <v>2856</v>
      </c>
      <c r="AG266" t="s">
        <v>1276</v>
      </c>
      <c r="AS266" t="s">
        <v>3981</v>
      </c>
      <c r="AW266" t="s">
        <v>4389</v>
      </c>
    </row>
    <row r="267" spans="10:49">
      <c r="J267" t="s">
        <v>2857</v>
      </c>
      <c r="AG267" t="s">
        <v>1277</v>
      </c>
      <c r="AS267" t="s">
        <v>3982</v>
      </c>
      <c r="AW267" t="s">
        <v>4390</v>
      </c>
    </row>
    <row r="268" spans="10:49">
      <c r="J268" t="s">
        <v>2858</v>
      </c>
      <c r="AG268" t="s">
        <v>1278</v>
      </c>
      <c r="AS268" t="s">
        <v>3983</v>
      </c>
      <c r="AW268" t="s">
        <v>4391</v>
      </c>
    </row>
    <row r="269" spans="10:49">
      <c r="J269" t="s">
        <v>2859</v>
      </c>
      <c r="AG269" t="s">
        <v>1279</v>
      </c>
      <c r="AS269" t="s">
        <v>3984</v>
      </c>
      <c r="AW269" t="s">
        <v>4392</v>
      </c>
    </row>
    <row r="270" spans="10:49">
      <c r="J270" t="s">
        <v>2860</v>
      </c>
      <c r="AG270" t="s">
        <v>1280</v>
      </c>
      <c r="AS270" t="s">
        <v>3985</v>
      </c>
      <c r="AW270" t="s">
        <v>4393</v>
      </c>
    </row>
    <row r="271" spans="10:49">
      <c r="J271" t="s">
        <v>2861</v>
      </c>
      <c r="AG271" t="s">
        <v>1281</v>
      </c>
      <c r="AS271" t="s">
        <v>3986</v>
      </c>
      <c r="AW271" t="s">
        <v>4394</v>
      </c>
    </row>
    <row r="272" spans="10:49">
      <c r="J272" t="s">
        <v>2862</v>
      </c>
      <c r="AG272" t="s">
        <v>1282</v>
      </c>
      <c r="AS272" t="s">
        <v>3987</v>
      </c>
      <c r="AW272" t="s">
        <v>4395</v>
      </c>
    </row>
    <row r="273" spans="10:49">
      <c r="J273" t="s">
        <v>2863</v>
      </c>
      <c r="AG273" t="s">
        <v>1283</v>
      </c>
      <c r="AS273" t="s">
        <v>3988</v>
      </c>
      <c r="AW273" t="s">
        <v>4396</v>
      </c>
    </row>
    <row r="274" spans="10:49">
      <c r="J274" t="s">
        <v>2864</v>
      </c>
      <c r="AG274" t="s">
        <v>1284</v>
      </c>
      <c r="AS274" t="s">
        <v>3989</v>
      </c>
      <c r="AW274" t="s">
        <v>4397</v>
      </c>
    </row>
    <row r="275" spans="10:49">
      <c r="J275" t="s">
        <v>2865</v>
      </c>
      <c r="AG275" t="s">
        <v>1285</v>
      </c>
      <c r="AS275" t="s">
        <v>3990</v>
      </c>
      <c r="AW275" t="s">
        <v>4398</v>
      </c>
    </row>
    <row r="276" spans="10:49">
      <c r="J276" t="s">
        <v>2866</v>
      </c>
      <c r="AG276" t="s">
        <v>1286</v>
      </c>
      <c r="AS276" t="s">
        <v>3991</v>
      </c>
      <c r="AW276" t="s">
        <v>4399</v>
      </c>
    </row>
    <row r="277" spans="10:49">
      <c r="J277" t="s">
        <v>2867</v>
      </c>
      <c r="AG277" t="s">
        <v>1287</v>
      </c>
      <c r="AS277" t="s">
        <v>3992</v>
      </c>
      <c r="AW277" t="s">
        <v>4400</v>
      </c>
    </row>
    <row r="278" spans="10:49">
      <c r="J278" t="s">
        <v>2868</v>
      </c>
      <c r="AG278" t="s">
        <v>1288</v>
      </c>
      <c r="AS278" t="s">
        <v>3993</v>
      </c>
      <c r="AW278" t="s">
        <v>4401</v>
      </c>
    </row>
    <row r="279" spans="10:49">
      <c r="J279" t="s">
        <v>2869</v>
      </c>
      <c r="AG279" t="s">
        <v>1289</v>
      </c>
      <c r="AS279" t="s">
        <v>3994</v>
      </c>
      <c r="AW279" t="s">
        <v>4402</v>
      </c>
    </row>
    <row r="280" spans="10:49">
      <c r="J280" t="s">
        <v>2870</v>
      </c>
      <c r="AG280" t="s">
        <v>1290</v>
      </c>
      <c r="AS280" t="s">
        <v>3995</v>
      </c>
      <c r="AW280" t="s">
        <v>4403</v>
      </c>
    </row>
    <row r="281" spans="10:49">
      <c r="J281" t="s">
        <v>2871</v>
      </c>
      <c r="AG281" t="s">
        <v>1291</v>
      </c>
      <c r="AS281" t="s">
        <v>3996</v>
      </c>
      <c r="AW281" t="s">
        <v>4404</v>
      </c>
    </row>
    <row r="282" spans="10:49">
      <c r="J282" t="s">
        <v>2872</v>
      </c>
      <c r="AG282" t="s">
        <v>1292</v>
      </c>
      <c r="AS282" t="s">
        <v>3997</v>
      </c>
      <c r="AW282" t="s">
        <v>4405</v>
      </c>
    </row>
    <row r="283" spans="10:49">
      <c r="J283" t="s">
        <v>2873</v>
      </c>
      <c r="AG283" t="s">
        <v>1293</v>
      </c>
      <c r="AS283" t="s">
        <v>3998</v>
      </c>
      <c r="AW283" t="s">
        <v>4406</v>
      </c>
    </row>
    <row r="284" spans="10:49">
      <c r="J284" t="s">
        <v>2874</v>
      </c>
      <c r="AG284" t="s">
        <v>1294</v>
      </c>
      <c r="AS284" t="s">
        <v>3999</v>
      </c>
      <c r="AW284" t="s">
        <v>4407</v>
      </c>
    </row>
    <row r="285" spans="10:49">
      <c r="J285" t="s">
        <v>2875</v>
      </c>
      <c r="AG285" t="s">
        <v>1295</v>
      </c>
      <c r="AS285" t="s">
        <v>4000</v>
      </c>
      <c r="AW285" t="s">
        <v>4408</v>
      </c>
    </row>
    <row r="286" spans="10:49">
      <c r="J286" t="s">
        <v>2876</v>
      </c>
      <c r="AG286" t="s">
        <v>1296</v>
      </c>
      <c r="AS286" t="s">
        <v>4001</v>
      </c>
      <c r="AW286" t="s">
        <v>4409</v>
      </c>
    </row>
    <row r="287" spans="10:49">
      <c r="J287" t="s">
        <v>2877</v>
      </c>
      <c r="AG287" t="s">
        <v>1297</v>
      </c>
      <c r="AS287" t="s">
        <v>4002</v>
      </c>
      <c r="AW287" t="s">
        <v>4410</v>
      </c>
    </row>
    <row r="288" spans="10:49">
      <c r="J288" t="s">
        <v>2878</v>
      </c>
      <c r="AG288" t="s">
        <v>1298</v>
      </c>
      <c r="AS288" t="s">
        <v>4003</v>
      </c>
      <c r="AW288" t="s">
        <v>4411</v>
      </c>
    </row>
    <row r="289" spans="10:49">
      <c r="J289" t="s">
        <v>2879</v>
      </c>
      <c r="AG289" t="s">
        <v>1299</v>
      </c>
      <c r="AS289" t="s">
        <v>4004</v>
      </c>
      <c r="AW289" t="s">
        <v>4412</v>
      </c>
    </row>
    <row r="290" spans="10:49">
      <c r="J290" t="s">
        <v>2880</v>
      </c>
      <c r="AG290" t="s">
        <v>1300</v>
      </c>
      <c r="AS290" t="s">
        <v>4005</v>
      </c>
      <c r="AW290" t="s">
        <v>4413</v>
      </c>
    </row>
    <row r="291" spans="10:49">
      <c r="J291" t="s">
        <v>2881</v>
      </c>
      <c r="AG291" t="s">
        <v>1301</v>
      </c>
      <c r="AS291" t="s">
        <v>4006</v>
      </c>
      <c r="AW291" t="s">
        <v>4414</v>
      </c>
    </row>
    <row r="292" spans="10:49">
      <c r="J292" t="s">
        <v>2882</v>
      </c>
      <c r="AG292" t="s">
        <v>1302</v>
      </c>
      <c r="AS292" t="s">
        <v>4007</v>
      </c>
      <c r="AW292" t="s">
        <v>4415</v>
      </c>
    </row>
    <row r="293" spans="10:49">
      <c r="J293" t="s">
        <v>2883</v>
      </c>
      <c r="AG293" t="s">
        <v>1303</v>
      </c>
      <c r="AS293" t="s">
        <v>4008</v>
      </c>
      <c r="AW293" t="s">
        <v>4416</v>
      </c>
    </row>
    <row r="294" spans="10:49">
      <c r="J294" t="s">
        <v>2884</v>
      </c>
      <c r="AG294" t="s">
        <v>1304</v>
      </c>
      <c r="AS294" t="s">
        <v>4009</v>
      </c>
      <c r="AW294" t="s">
        <v>4417</v>
      </c>
    </row>
    <row r="295" spans="10:49">
      <c r="J295" t="s">
        <v>2885</v>
      </c>
      <c r="AG295" t="s">
        <v>1305</v>
      </c>
      <c r="AS295" t="s">
        <v>4010</v>
      </c>
      <c r="AW295" t="s">
        <v>4418</v>
      </c>
    </row>
    <row r="296" spans="10:49">
      <c r="J296" t="s">
        <v>2886</v>
      </c>
      <c r="AG296" t="s">
        <v>1306</v>
      </c>
      <c r="AS296" t="s">
        <v>4011</v>
      </c>
      <c r="AW296" t="s">
        <v>4419</v>
      </c>
    </row>
    <row r="297" spans="10:49">
      <c r="J297" t="s">
        <v>2887</v>
      </c>
      <c r="AG297" t="s">
        <v>1307</v>
      </c>
      <c r="AS297" t="s">
        <v>4012</v>
      </c>
      <c r="AW297" t="s">
        <v>4420</v>
      </c>
    </row>
    <row r="298" spans="10:49">
      <c r="J298" t="s">
        <v>2888</v>
      </c>
      <c r="AG298" t="s">
        <v>1308</v>
      </c>
      <c r="AS298" t="s">
        <v>4013</v>
      </c>
      <c r="AW298" t="s">
        <v>4421</v>
      </c>
    </row>
    <row r="299" spans="10:49">
      <c r="J299" t="s">
        <v>2889</v>
      </c>
      <c r="AG299" t="s">
        <v>1309</v>
      </c>
      <c r="AS299" t="s">
        <v>4014</v>
      </c>
      <c r="AW299" t="s">
        <v>4422</v>
      </c>
    </row>
    <row r="300" spans="10:49">
      <c r="J300" t="s">
        <v>2890</v>
      </c>
      <c r="AG300" t="s">
        <v>1310</v>
      </c>
      <c r="AS300" t="s">
        <v>4015</v>
      </c>
      <c r="AW300" t="s">
        <v>4423</v>
      </c>
    </row>
    <row r="301" spans="10:49">
      <c r="J301" t="s">
        <v>2891</v>
      </c>
      <c r="AG301" t="s">
        <v>1311</v>
      </c>
      <c r="AS301" t="s">
        <v>4016</v>
      </c>
      <c r="AW301" t="s">
        <v>4424</v>
      </c>
    </row>
    <row r="302" spans="10:49">
      <c r="J302" t="s">
        <v>2892</v>
      </c>
      <c r="AG302" t="s">
        <v>1312</v>
      </c>
      <c r="AS302" t="s">
        <v>4017</v>
      </c>
      <c r="AW302" t="s">
        <v>4425</v>
      </c>
    </row>
    <row r="303" spans="10:49">
      <c r="J303" t="s">
        <v>2893</v>
      </c>
      <c r="AG303" t="s">
        <v>1313</v>
      </c>
      <c r="AS303" t="s">
        <v>4018</v>
      </c>
      <c r="AW303" t="s">
        <v>4426</v>
      </c>
    </row>
    <row r="304" spans="10:49">
      <c r="J304" t="s">
        <v>2894</v>
      </c>
      <c r="AG304" t="s">
        <v>1314</v>
      </c>
      <c r="AS304" t="s">
        <v>4019</v>
      </c>
      <c r="AW304" t="s">
        <v>4427</v>
      </c>
    </row>
    <row r="305" spans="10:49">
      <c r="J305" t="s">
        <v>2895</v>
      </c>
      <c r="AG305" t="s">
        <v>1315</v>
      </c>
      <c r="AS305" t="s">
        <v>4020</v>
      </c>
      <c r="AW305" t="s">
        <v>4428</v>
      </c>
    </row>
    <row r="306" spans="10:49">
      <c r="J306" t="s">
        <v>2896</v>
      </c>
      <c r="AG306" t="s">
        <v>1316</v>
      </c>
      <c r="AS306" t="s">
        <v>4021</v>
      </c>
      <c r="AW306" t="s">
        <v>4429</v>
      </c>
    </row>
    <row r="307" spans="10:49">
      <c r="J307" t="s">
        <v>2897</v>
      </c>
      <c r="AG307" t="s">
        <v>1317</v>
      </c>
      <c r="AS307" t="s">
        <v>4022</v>
      </c>
      <c r="AW307" t="s">
        <v>4430</v>
      </c>
    </row>
    <row r="308" spans="10:49">
      <c r="J308" t="s">
        <v>2898</v>
      </c>
      <c r="AG308" t="s">
        <v>1318</v>
      </c>
      <c r="AS308" t="s">
        <v>4023</v>
      </c>
      <c r="AW308" t="s">
        <v>4431</v>
      </c>
    </row>
    <row r="309" spans="10:49">
      <c r="J309" t="s">
        <v>2899</v>
      </c>
      <c r="AG309" t="s">
        <v>1319</v>
      </c>
      <c r="AS309" t="s">
        <v>4024</v>
      </c>
      <c r="AW309" t="s">
        <v>4432</v>
      </c>
    </row>
    <row r="310" spans="10:49">
      <c r="J310" t="s">
        <v>2449</v>
      </c>
      <c r="AG310" t="s">
        <v>1320</v>
      </c>
      <c r="AS310" t="s">
        <v>4025</v>
      </c>
      <c r="AW310" t="s">
        <v>4433</v>
      </c>
    </row>
    <row r="311" spans="10:49">
      <c r="J311" t="s">
        <v>2900</v>
      </c>
      <c r="AG311" t="s">
        <v>1321</v>
      </c>
      <c r="AS311" t="s">
        <v>947</v>
      </c>
      <c r="AW311" t="s">
        <v>4434</v>
      </c>
    </row>
    <row r="312" spans="10:49">
      <c r="J312" t="s">
        <v>2901</v>
      </c>
      <c r="AG312" t="s">
        <v>1322</v>
      </c>
      <c r="AS312" t="s">
        <v>950</v>
      </c>
      <c r="AW312" t="s">
        <v>4435</v>
      </c>
    </row>
    <row r="313" spans="10:49">
      <c r="J313" t="s">
        <v>2902</v>
      </c>
      <c r="AG313" t="s">
        <v>1323</v>
      </c>
      <c r="AW313" t="s">
        <v>4436</v>
      </c>
    </row>
    <row r="314" spans="10:49">
      <c r="J314" t="s">
        <v>2903</v>
      </c>
      <c r="AG314" t="s">
        <v>1324</v>
      </c>
      <c r="AW314" t="s">
        <v>4437</v>
      </c>
    </row>
    <row r="315" spans="10:49">
      <c r="J315" t="s">
        <v>2904</v>
      </c>
      <c r="AG315" t="s">
        <v>1325</v>
      </c>
      <c r="AW315" t="s">
        <v>4438</v>
      </c>
    </row>
    <row r="316" spans="10:49">
      <c r="J316" t="s">
        <v>2905</v>
      </c>
      <c r="AG316" t="s">
        <v>1326</v>
      </c>
      <c r="AW316" t="s">
        <v>4439</v>
      </c>
    </row>
    <row r="317" spans="10:49">
      <c r="J317" t="s">
        <v>2906</v>
      </c>
      <c r="AG317" t="s">
        <v>1327</v>
      </c>
      <c r="AW317" t="s">
        <v>4440</v>
      </c>
    </row>
    <row r="318" spans="10:49">
      <c r="J318" t="s">
        <v>2907</v>
      </c>
      <c r="AG318" t="s">
        <v>1328</v>
      </c>
      <c r="AW318" t="s">
        <v>4441</v>
      </c>
    </row>
    <row r="319" spans="10:49">
      <c r="J319" t="s">
        <v>2908</v>
      </c>
      <c r="AG319" t="s">
        <v>1329</v>
      </c>
      <c r="AW319" t="s">
        <v>4442</v>
      </c>
    </row>
    <row r="320" spans="10:49">
      <c r="J320" t="s">
        <v>2909</v>
      </c>
      <c r="AG320" t="s">
        <v>1330</v>
      </c>
      <c r="AW320" t="s">
        <v>4443</v>
      </c>
    </row>
    <row r="321" spans="10:49">
      <c r="J321" t="s">
        <v>2910</v>
      </c>
      <c r="AG321" t="s">
        <v>1331</v>
      </c>
      <c r="AW321" t="s">
        <v>4444</v>
      </c>
    </row>
    <row r="322" spans="10:49">
      <c r="J322" t="s">
        <v>2911</v>
      </c>
      <c r="AG322" t="s">
        <v>1332</v>
      </c>
      <c r="AW322" t="s">
        <v>4445</v>
      </c>
    </row>
    <row r="323" spans="10:49">
      <c r="J323" t="s">
        <v>2912</v>
      </c>
      <c r="AG323" t="s">
        <v>1333</v>
      </c>
      <c r="AW323" t="s">
        <v>4446</v>
      </c>
    </row>
    <row r="324" spans="10:49">
      <c r="J324" t="s">
        <v>2913</v>
      </c>
      <c r="AG324" t="s">
        <v>1334</v>
      </c>
      <c r="AW324" t="s">
        <v>4447</v>
      </c>
    </row>
    <row r="325" spans="10:49">
      <c r="J325" t="s">
        <v>2914</v>
      </c>
      <c r="AG325" t="s">
        <v>1335</v>
      </c>
      <c r="AW325" t="s">
        <v>4448</v>
      </c>
    </row>
    <row r="326" spans="10:49">
      <c r="J326" t="s">
        <v>2915</v>
      </c>
      <c r="AG326" t="s">
        <v>1336</v>
      </c>
      <c r="AW326" t="s">
        <v>4449</v>
      </c>
    </row>
    <row r="327" spans="10:49">
      <c r="J327" t="s">
        <v>2916</v>
      </c>
      <c r="AG327" t="s">
        <v>1337</v>
      </c>
      <c r="AW327" t="s">
        <v>4450</v>
      </c>
    </row>
    <row r="328" spans="10:49">
      <c r="J328" t="s">
        <v>2917</v>
      </c>
      <c r="AG328" t="s">
        <v>1338</v>
      </c>
      <c r="AW328" t="s">
        <v>4451</v>
      </c>
    </row>
    <row r="329" spans="10:49">
      <c r="J329" t="s">
        <v>2918</v>
      </c>
      <c r="AG329" t="s">
        <v>1339</v>
      </c>
      <c r="AW329" t="s">
        <v>4452</v>
      </c>
    </row>
    <row r="330" spans="10:49">
      <c r="J330" t="s">
        <v>2919</v>
      </c>
      <c r="AG330" t="s">
        <v>1340</v>
      </c>
      <c r="AW330" t="s">
        <v>4453</v>
      </c>
    </row>
    <row r="331" spans="10:49">
      <c r="J331" t="s">
        <v>2920</v>
      </c>
      <c r="AG331" t="s">
        <v>1341</v>
      </c>
      <c r="AW331" t="s">
        <v>4454</v>
      </c>
    </row>
    <row r="332" spans="10:49">
      <c r="J332" t="s">
        <v>2921</v>
      </c>
      <c r="AG332" t="s">
        <v>1342</v>
      </c>
      <c r="AW332" t="s">
        <v>4455</v>
      </c>
    </row>
    <row r="333" spans="10:49">
      <c r="J333" t="s">
        <v>2922</v>
      </c>
      <c r="AG333" t="s">
        <v>1343</v>
      </c>
      <c r="AW333" t="s">
        <v>4456</v>
      </c>
    </row>
    <row r="334" spans="10:49">
      <c r="J334" t="s">
        <v>2923</v>
      </c>
      <c r="AG334" t="s">
        <v>1344</v>
      </c>
      <c r="AW334" t="s">
        <v>4457</v>
      </c>
    </row>
    <row r="335" spans="10:49">
      <c r="J335" t="s">
        <v>2924</v>
      </c>
      <c r="AG335" t="s">
        <v>1345</v>
      </c>
      <c r="AW335" t="s">
        <v>4458</v>
      </c>
    </row>
    <row r="336" spans="10:49">
      <c r="J336" t="s">
        <v>2925</v>
      </c>
      <c r="AG336" t="s">
        <v>1346</v>
      </c>
      <c r="AW336" t="s">
        <v>4459</v>
      </c>
    </row>
    <row r="337" spans="10:49">
      <c r="J337" t="s">
        <v>2926</v>
      </c>
      <c r="AG337" t="s">
        <v>1347</v>
      </c>
      <c r="AW337" t="s">
        <v>4460</v>
      </c>
    </row>
    <row r="338" spans="10:49">
      <c r="J338" t="s">
        <v>2927</v>
      </c>
      <c r="AG338" t="s">
        <v>1348</v>
      </c>
      <c r="AW338" t="s">
        <v>4461</v>
      </c>
    </row>
    <row r="339" spans="10:49">
      <c r="J339" t="s">
        <v>2928</v>
      </c>
      <c r="AG339" t="s">
        <v>1349</v>
      </c>
      <c r="AW339" t="s">
        <v>4462</v>
      </c>
    </row>
    <row r="340" spans="10:49">
      <c r="J340" t="s">
        <v>2929</v>
      </c>
      <c r="AG340" t="s">
        <v>1350</v>
      </c>
      <c r="AW340" t="s">
        <v>4463</v>
      </c>
    </row>
    <row r="341" spans="10:49">
      <c r="J341" t="s">
        <v>2930</v>
      </c>
      <c r="AG341" t="s">
        <v>1351</v>
      </c>
      <c r="AW341" t="s">
        <v>4464</v>
      </c>
    </row>
    <row r="342" spans="10:49">
      <c r="J342" t="s">
        <v>2931</v>
      </c>
      <c r="AG342" t="s">
        <v>1352</v>
      </c>
      <c r="AW342" t="s">
        <v>4465</v>
      </c>
    </row>
    <row r="343" spans="10:49">
      <c r="J343" t="s">
        <v>2932</v>
      </c>
      <c r="AG343" t="s">
        <v>1353</v>
      </c>
      <c r="AW343" t="s">
        <v>4466</v>
      </c>
    </row>
    <row r="344" spans="10:49">
      <c r="J344" t="s">
        <v>2933</v>
      </c>
      <c r="AG344" t="s">
        <v>1354</v>
      </c>
      <c r="AW344" t="s">
        <v>4467</v>
      </c>
    </row>
    <row r="345" spans="10:49">
      <c r="J345" t="s">
        <v>2934</v>
      </c>
      <c r="AG345" t="s">
        <v>1355</v>
      </c>
      <c r="AW345" t="s">
        <v>4468</v>
      </c>
    </row>
    <row r="346" spans="10:49">
      <c r="J346" t="s">
        <v>2935</v>
      </c>
      <c r="AG346" t="s">
        <v>1356</v>
      </c>
      <c r="AW346" t="s">
        <v>4469</v>
      </c>
    </row>
    <row r="347" spans="10:49">
      <c r="J347" t="s">
        <v>2936</v>
      </c>
      <c r="AG347" t="s">
        <v>1357</v>
      </c>
      <c r="AW347" t="s">
        <v>4470</v>
      </c>
    </row>
    <row r="348" spans="10:49">
      <c r="J348" t="s">
        <v>2937</v>
      </c>
      <c r="AG348" t="s">
        <v>1358</v>
      </c>
      <c r="AW348" t="s">
        <v>4471</v>
      </c>
    </row>
    <row r="349" spans="10:49">
      <c r="J349" t="s">
        <v>2938</v>
      </c>
      <c r="AG349" t="s">
        <v>1359</v>
      </c>
      <c r="AW349" t="s">
        <v>4472</v>
      </c>
    </row>
    <row r="350" spans="10:49">
      <c r="J350" t="s">
        <v>2939</v>
      </c>
      <c r="AG350" t="s">
        <v>1360</v>
      </c>
      <c r="AW350" t="s">
        <v>4473</v>
      </c>
    </row>
    <row r="351" spans="10:49">
      <c r="J351" t="s">
        <v>2940</v>
      </c>
      <c r="AG351" t="s">
        <v>1361</v>
      </c>
      <c r="AW351" t="s">
        <v>4474</v>
      </c>
    </row>
    <row r="352" spans="10:49">
      <c r="J352" t="s">
        <v>2941</v>
      </c>
      <c r="AG352" t="s">
        <v>1362</v>
      </c>
      <c r="AW352" t="s">
        <v>4475</v>
      </c>
    </row>
    <row r="353" spans="10:49">
      <c r="J353" t="s">
        <v>2942</v>
      </c>
      <c r="AG353" t="s">
        <v>1363</v>
      </c>
      <c r="AW353" t="s">
        <v>4476</v>
      </c>
    </row>
    <row r="354" spans="10:49">
      <c r="J354" t="s">
        <v>2943</v>
      </c>
      <c r="AG354" t="s">
        <v>1364</v>
      </c>
      <c r="AW354" t="s">
        <v>4477</v>
      </c>
    </row>
    <row r="355" spans="10:49">
      <c r="J355" t="s">
        <v>2944</v>
      </c>
      <c r="AG355" t="s">
        <v>1365</v>
      </c>
      <c r="AW355" t="s">
        <v>4478</v>
      </c>
    </row>
    <row r="356" spans="10:49">
      <c r="J356" t="s">
        <v>2945</v>
      </c>
      <c r="AG356" t="s">
        <v>1366</v>
      </c>
      <c r="AW356" t="s">
        <v>4479</v>
      </c>
    </row>
    <row r="357" spans="10:49">
      <c r="J357" t="s">
        <v>2946</v>
      </c>
      <c r="AG357" t="s">
        <v>1367</v>
      </c>
      <c r="AW357" t="s">
        <v>4480</v>
      </c>
    </row>
    <row r="358" spans="10:49">
      <c r="J358" t="s">
        <v>2947</v>
      </c>
      <c r="AG358" t="s">
        <v>1368</v>
      </c>
      <c r="AW358" t="s">
        <v>4481</v>
      </c>
    </row>
    <row r="359" spans="10:49">
      <c r="J359" t="s">
        <v>2948</v>
      </c>
      <c r="AG359" t="s">
        <v>1369</v>
      </c>
      <c r="AW359" t="s">
        <v>4482</v>
      </c>
    </row>
    <row r="360" spans="10:49">
      <c r="J360" t="s">
        <v>2949</v>
      </c>
      <c r="AG360" t="s">
        <v>1370</v>
      </c>
      <c r="AW360" t="s">
        <v>4483</v>
      </c>
    </row>
    <row r="361" spans="10:49">
      <c r="J361" t="s">
        <v>2950</v>
      </c>
      <c r="AG361" t="s">
        <v>1371</v>
      </c>
      <c r="AW361" t="s">
        <v>4484</v>
      </c>
    </row>
    <row r="362" spans="10:49">
      <c r="J362" t="s">
        <v>2951</v>
      </c>
      <c r="AG362" t="s">
        <v>1372</v>
      </c>
      <c r="AW362" t="s">
        <v>4485</v>
      </c>
    </row>
    <row r="363" spans="10:49">
      <c r="J363" t="s">
        <v>2952</v>
      </c>
      <c r="AG363" t="s">
        <v>1373</v>
      </c>
      <c r="AW363" t="s">
        <v>4486</v>
      </c>
    </row>
    <row r="364" spans="10:49">
      <c r="J364" t="s">
        <v>2953</v>
      </c>
      <c r="AG364" t="s">
        <v>1374</v>
      </c>
      <c r="AW364" t="s">
        <v>4487</v>
      </c>
    </row>
    <row r="365" spans="10:49">
      <c r="J365" t="s">
        <v>2954</v>
      </c>
      <c r="AG365" t="s">
        <v>1375</v>
      </c>
      <c r="AW365" t="s">
        <v>4488</v>
      </c>
    </row>
    <row r="366" spans="10:49">
      <c r="J366" t="s">
        <v>2955</v>
      </c>
      <c r="AG366" t="s">
        <v>1376</v>
      </c>
      <c r="AW366" t="s">
        <v>4489</v>
      </c>
    </row>
    <row r="367" spans="10:49">
      <c r="J367" t="s">
        <v>2956</v>
      </c>
      <c r="AG367" t="s">
        <v>1377</v>
      </c>
      <c r="AW367" t="s">
        <v>4490</v>
      </c>
    </row>
    <row r="368" spans="10:49">
      <c r="J368" t="s">
        <v>2957</v>
      </c>
      <c r="AG368" t="s">
        <v>1378</v>
      </c>
      <c r="AW368" t="s">
        <v>4491</v>
      </c>
    </row>
    <row r="369" spans="10:49">
      <c r="J369" t="s">
        <v>2958</v>
      </c>
      <c r="AG369" t="s">
        <v>1379</v>
      </c>
      <c r="AW369" t="s">
        <v>4492</v>
      </c>
    </row>
    <row r="370" spans="10:49">
      <c r="J370" t="s">
        <v>2959</v>
      </c>
      <c r="AG370" t="s">
        <v>1380</v>
      </c>
      <c r="AW370" t="s">
        <v>4493</v>
      </c>
    </row>
    <row r="371" spans="10:49">
      <c r="J371" t="s">
        <v>2960</v>
      </c>
      <c r="AG371" t="s">
        <v>1381</v>
      </c>
      <c r="AW371" t="s">
        <v>4494</v>
      </c>
    </row>
    <row r="372" spans="10:49">
      <c r="J372" t="s">
        <v>2961</v>
      </c>
      <c r="AG372" t="s">
        <v>1382</v>
      </c>
      <c r="AW372" t="s">
        <v>4495</v>
      </c>
    </row>
    <row r="373" spans="10:49">
      <c r="J373" t="s">
        <v>2962</v>
      </c>
      <c r="AG373" t="s">
        <v>1383</v>
      </c>
      <c r="AW373" t="s">
        <v>4496</v>
      </c>
    </row>
    <row r="374" spans="10:49">
      <c r="J374" t="s">
        <v>2963</v>
      </c>
      <c r="AG374" t="s">
        <v>1384</v>
      </c>
      <c r="AW374" t="s">
        <v>4497</v>
      </c>
    </row>
    <row r="375" spans="10:49">
      <c r="J375" t="s">
        <v>2964</v>
      </c>
      <c r="AG375" t="s">
        <v>1385</v>
      </c>
      <c r="AW375" t="s">
        <v>4498</v>
      </c>
    </row>
    <row r="376" spans="10:49">
      <c r="J376" t="s">
        <v>2965</v>
      </c>
      <c r="AG376" t="s">
        <v>1386</v>
      </c>
      <c r="AW376" t="s">
        <v>4499</v>
      </c>
    </row>
    <row r="377" spans="10:49">
      <c r="J377" t="s">
        <v>2966</v>
      </c>
      <c r="AG377" t="s">
        <v>1387</v>
      </c>
      <c r="AW377" t="s">
        <v>4500</v>
      </c>
    </row>
    <row r="378" spans="10:49">
      <c r="J378" t="s">
        <v>2967</v>
      </c>
      <c r="AG378" t="s">
        <v>1388</v>
      </c>
      <c r="AW378" t="s">
        <v>4501</v>
      </c>
    </row>
    <row r="379" spans="10:49">
      <c r="J379" t="s">
        <v>2968</v>
      </c>
      <c r="AG379" t="s">
        <v>1389</v>
      </c>
      <c r="AW379" t="s">
        <v>4502</v>
      </c>
    </row>
    <row r="380" spans="10:49">
      <c r="J380" t="s">
        <v>2969</v>
      </c>
      <c r="AG380" t="s">
        <v>1390</v>
      </c>
      <c r="AW380" t="s">
        <v>4503</v>
      </c>
    </row>
    <row r="381" spans="10:49">
      <c r="J381" t="s">
        <v>2970</v>
      </c>
      <c r="AG381" t="s">
        <v>1391</v>
      </c>
      <c r="AW381" t="s">
        <v>4504</v>
      </c>
    </row>
    <row r="382" spans="10:49">
      <c r="J382" t="s">
        <v>2971</v>
      </c>
      <c r="AG382" t="s">
        <v>1392</v>
      </c>
      <c r="AW382" t="s">
        <v>4505</v>
      </c>
    </row>
    <row r="383" spans="10:49">
      <c r="J383" t="s">
        <v>2972</v>
      </c>
      <c r="AG383" t="s">
        <v>1393</v>
      </c>
      <c r="AW383" t="s">
        <v>4506</v>
      </c>
    </row>
    <row r="384" spans="10:49">
      <c r="J384" t="s">
        <v>2973</v>
      </c>
      <c r="AG384" t="s">
        <v>1394</v>
      </c>
      <c r="AW384" t="s">
        <v>4507</v>
      </c>
    </row>
    <row r="385" spans="10:49">
      <c r="J385" t="s">
        <v>2974</v>
      </c>
      <c r="AG385" t="s">
        <v>1395</v>
      </c>
      <c r="AW385" t="s">
        <v>4508</v>
      </c>
    </row>
    <row r="386" spans="10:49">
      <c r="J386" t="s">
        <v>2975</v>
      </c>
      <c r="AG386" t="s">
        <v>1396</v>
      </c>
      <c r="AW386" t="s">
        <v>4509</v>
      </c>
    </row>
    <row r="387" spans="10:49">
      <c r="J387" t="s">
        <v>2976</v>
      </c>
      <c r="AG387" t="s">
        <v>1397</v>
      </c>
      <c r="AW387" t="s">
        <v>4510</v>
      </c>
    </row>
    <row r="388" spans="10:49">
      <c r="J388" t="s">
        <v>2977</v>
      </c>
      <c r="AG388" t="s">
        <v>1398</v>
      </c>
      <c r="AW388" t="s">
        <v>4511</v>
      </c>
    </row>
    <row r="389" spans="10:49">
      <c r="J389" t="s">
        <v>2978</v>
      </c>
      <c r="AG389" t="s">
        <v>1399</v>
      </c>
      <c r="AW389" t="s">
        <v>4512</v>
      </c>
    </row>
    <row r="390" spans="10:49">
      <c r="J390" t="s">
        <v>2979</v>
      </c>
      <c r="AG390" t="s">
        <v>1400</v>
      </c>
      <c r="AW390" t="s">
        <v>4513</v>
      </c>
    </row>
    <row r="391" spans="10:49">
      <c r="J391" t="s">
        <v>2980</v>
      </c>
      <c r="AG391" t="s">
        <v>1401</v>
      </c>
      <c r="AW391" t="s">
        <v>4514</v>
      </c>
    </row>
    <row r="392" spans="10:49">
      <c r="J392" t="s">
        <v>2981</v>
      </c>
      <c r="AG392" t="s">
        <v>1402</v>
      </c>
      <c r="AW392" t="s">
        <v>4515</v>
      </c>
    </row>
    <row r="393" spans="10:49">
      <c r="J393" t="s">
        <v>2982</v>
      </c>
      <c r="AG393" t="s">
        <v>1403</v>
      </c>
      <c r="AW393" t="s">
        <v>4516</v>
      </c>
    </row>
    <row r="394" spans="10:49">
      <c r="J394" t="s">
        <v>2983</v>
      </c>
      <c r="AG394" t="s">
        <v>1404</v>
      </c>
      <c r="AW394" t="s">
        <v>4517</v>
      </c>
    </row>
    <row r="395" spans="10:49">
      <c r="J395" t="s">
        <v>2984</v>
      </c>
      <c r="AG395" t="s">
        <v>1405</v>
      </c>
      <c r="AW395" t="s">
        <v>4518</v>
      </c>
    </row>
    <row r="396" spans="10:49">
      <c r="J396" t="s">
        <v>2985</v>
      </c>
      <c r="AG396" t="s">
        <v>1406</v>
      </c>
      <c r="AW396" t="s">
        <v>4519</v>
      </c>
    </row>
    <row r="397" spans="10:49">
      <c r="J397" t="s">
        <v>2986</v>
      </c>
      <c r="AG397" t="s">
        <v>1407</v>
      </c>
      <c r="AW397" t="s">
        <v>4520</v>
      </c>
    </row>
    <row r="398" spans="10:49">
      <c r="J398" t="s">
        <v>2987</v>
      </c>
      <c r="AG398" t="s">
        <v>1408</v>
      </c>
      <c r="AW398" t="s">
        <v>4521</v>
      </c>
    </row>
    <row r="399" spans="10:49">
      <c r="J399" t="s">
        <v>2988</v>
      </c>
      <c r="AG399" t="s">
        <v>1409</v>
      </c>
      <c r="AW399" t="s">
        <v>4522</v>
      </c>
    </row>
    <row r="400" spans="10:49">
      <c r="J400" t="s">
        <v>2989</v>
      </c>
      <c r="AG400" t="s">
        <v>1410</v>
      </c>
      <c r="AW400" t="s">
        <v>4523</v>
      </c>
    </row>
    <row r="401" spans="10:49">
      <c r="J401" t="s">
        <v>2990</v>
      </c>
      <c r="AG401" t="s">
        <v>1411</v>
      </c>
      <c r="AW401" t="s">
        <v>4524</v>
      </c>
    </row>
    <row r="402" spans="10:49">
      <c r="J402" t="s">
        <v>2991</v>
      </c>
      <c r="AG402" t="s">
        <v>1412</v>
      </c>
      <c r="AW402" t="s">
        <v>4525</v>
      </c>
    </row>
    <row r="403" spans="10:49">
      <c r="J403" t="s">
        <v>2992</v>
      </c>
      <c r="AG403" t="s">
        <v>1413</v>
      </c>
      <c r="AW403" t="s">
        <v>4526</v>
      </c>
    </row>
    <row r="404" spans="10:49">
      <c r="J404" t="s">
        <v>2993</v>
      </c>
      <c r="AG404" t="s">
        <v>1414</v>
      </c>
      <c r="AW404" t="s">
        <v>4527</v>
      </c>
    </row>
    <row r="405" spans="10:49">
      <c r="J405" t="s">
        <v>2994</v>
      </c>
      <c r="AG405" t="s">
        <v>1415</v>
      </c>
      <c r="AW405" t="s">
        <v>4528</v>
      </c>
    </row>
    <row r="406" spans="10:49">
      <c r="J406" t="s">
        <v>2995</v>
      </c>
      <c r="AG406" t="s">
        <v>1416</v>
      </c>
      <c r="AW406" t="s">
        <v>4529</v>
      </c>
    </row>
    <row r="407" spans="10:49">
      <c r="J407" t="s">
        <v>2996</v>
      </c>
      <c r="AG407" t="s">
        <v>1417</v>
      </c>
      <c r="AW407" t="s">
        <v>4530</v>
      </c>
    </row>
    <row r="408" spans="10:49">
      <c r="J408" t="s">
        <v>2997</v>
      </c>
      <c r="AG408" t="s">
        <v>1418</v>
      </c>
      <c r="AW408" t="s">
        <v>4531</v>
      </c>
    </row>
    <row r="409" spans="10:49">
      <c r="J409" t="s">
        <v>2998</v>
      </c>
      <c r="AG409" t="s">
        <v>1419</v>
      </c>
      <c r="AW409" t="s">
        <v>4532</v>
      </c>
    </row>
    <row r="410" spans="10:49">
      <c r="J410" t="s">
        <v>2999</v>
      </c>
      <c r="AG410" t="s">
        <v>1420</v>
      </c>
      <c r="AW410" t="s">
        <v>4533</v>
      </c>
    </row>
    <row r="411" spans="10:49">
      <c r="J411" t="s">
        <v>3000</v>
      </c>
      <c r="AG411" t="s">
        <v>1421</v>
      </c>
      <c r="AW411" t="s">
        <v>4534</v>
      </c>
    </row>
    <row r="412" spans="10:49">
      <c r="J412" t="s">
        <v>3001</v>
      </c>
      <c r="AG412" t="s">
        <v>1422</v>
      </c>
      <c r="AW412" t="s">
        <v>4535</v>
      </c>
    </row>
    <row r="413" spans="10:49">
      <c r="J413" t="s">
        <v>3002</v>
      </c>
      <c r="AG413" t="s">
        <v>1423</v>
      </c>
      <c r="AW413" t="s">
        <v>4536</v>
      </c>
    </row>
    <row r="414" spans="10:49">
      <c r="J414" t="s">
        <v>3003</v>
      </c>
      <c r="AG414" t="s">
        <v>1424</v>
      </c>
      <c r="AW414" t="s">
        <v>4537</v>
      </c>
    </row>
    <row r="415" spans="10:49">
      <c r="J415" t="s">
        <v>3004</v>
      </c>
      <c r="AG415" t="s">
        <v>1425</v>
      </c>
      <c r="AW415" t="s">
        <v>4538</v>
      </c>
    </row>
    <row r="416" spans="10:49">
      <c r="J416" t="s">
        <v>3005</v>
      </c>
      <c r="AG416" t="s">
        <v>1426</v>
      </c>
      <c r="AW416" t="s">
        <v>4539</v>
      </c>
    </row>
    <row r="417" spans="10:49">
      <c r="J417" t="s">
        <v>3006</v>
      </c>
      <c r="AG417" t="s">
        <v>1427</v>
      </c>
      <c r="AW417" t="s">
        <v>4540</v>
      </c>
    </row>
    <row r="418" spans="10:49">
      <c r="J418" t="s">
        <v>3007</v>
      </c>
      <c r="AG418" t="s">
        <v>1428</v>
      </c>
      <c r="AW418" t="s">
        <v>4541</v>
      </c>
    </row>
    <row r="419" spans="10:49">
      <c r="J419" t="s">
        <v>3008</v>
      </c>
      <c r="AG419" t="s">
        <v>1429</v>
      </c>
      <c r="AW419" t="s">
        <v>4542</v>
      </c>
    </row>
    <row r="420" spans="10:49">
      <c r="J420" t="s">
        <v>3009</v>
      </c>
      <c r="AG420" t="s">
        <v>1430</v>
      </c>
      <c r="AW420" t="s">
        <v>4543</v>
      </c>
    </row>
    <row r="421" spans="10:49">
      <c r="J421" t="s">
        <v>3010</v>
      </c>
      <c r="AG421" t="s">
        <v>1431</v>
      </c>
      <c r="AW421" t="s">
        <v>4544</v>
      </c>
    </row>
    <row r="422" spans="10:49">
      <c r="J422" t="s">
        <v>3011</v>
      </c>
      <c r="AG422" t="s">
        <v>1432</v>
      </c>
      <c r="AW422" t="s">
        <v>4545</v>
      </c>
    </row>
    <row r="423" spans="10:49">
      <c r="J423" t="s">
        <v>3012</v>
      </c>
      <c r="AG423" t="s">
        <v>1433</v>
      </c>
      <c r="AW423" t="s">
        <v>4546</v>
      </c>
    </row>
    <row r="424" spans="10:49">
      <c r="J424" t="s">
        <v>3013</v>
      </c>
      <c r="AG424" t="s">
        <v>1434</v>
      </c>
      <c r="AW424" t="s">
        <v>4547</v>
      </c>
    </row>
    <row r="425" spans="10:49">
      <c r="J425" t="s">
        <v>3014</v>
      </c>
      <c r="AG425" t="s">
        <v>1435</v>
      </c>
      <c r="AW425" t="s">
        <v>4548</v>
      </c>
    </row>
    <row r="426" spans="10:49">
      <c r="J426" t="s">
        <v>3015</v>
      </c>
      <c r="AG426" t="s">
        <v>1436</v>
      </c>
      <c r="AW426" t="s">
        <v>4549</v>
      </c>
    </row>
    <row r="427" spans="10:49">
      <c r="J427" t="s">
        <v>3016</v>
      </c>
      <c r="AG427" t="s">
        <v>1437</v>
      </c>
      <c r="AW427" t="s">
        <v>4550</v>
      </c>
    </row>
    <row r="428" spans="10:49">
      <c r="J428" t="s">
        <v>3017</v>
      </c>
      <c r="AG428" t="s">
        <v>1438</v>
      </c>
      <c r="AW428" t="s">
        <v>4551</v>
      </c>
    </row>
    <row r="429" spans="10:49">
      <c r="J429" t="s">
        <v>3018</v>
      </c>
      <c r="AG429" t="s">
        <v>1439</v>
      </c>
      <c r="AW429" t="s">
        <v>4552</v>
      </c>
    </row>
    <row r="430" spans="10:49">
      <c r="J430" t="s">
        <v>3019</v>
      </c>
      <c r="AG430" t="s">
        <v>1440</v>
      </c>
      <c r="AW430" t="s">
        <v>4553</v>
      </c>
    </row>
    <row r="431" spans="10:49">
      <c r="J431" t="s">
        <v>3020</v>
      </c>
      <c r="AG431" t="s">
        <v>1441</v>
      </c>
      <c r="AW431" t="s">
        <v>4554</v>
      </c>
    </row>
    <row r="432" spans="10:49">
      <c r="J432" t="s">
        <v>3021</v>
      </c>
      <c r="AG432" t="s">
        <v>1442</v>
      </c>
      <c r="AW432" t="s">
        <v>4555</v>
      </c>
    </row>
    <row r="433" spans="10:49">
      <c r="J433" t="s">
        <v>3022</v>
      </c>
      <c r="AG433" t="s">
        <v>1443</v>
      </c>
      <c r="AW433" t="s">
        <v>4556</v>
      </c>
    </row>
    <row r="434" spans="10:49">
      <c r="J434" t="s">
        <v>3023</v>
      </c>
      <c r="AG434" t="s">
        <v>1444</v>
      </c>
      <c r="AW434" t="s">
        <v>4557</v>
      </c>
    </row>
    <row r="435" spans="10:49">
      <c r="J435" t="s">
        <v>3024</v>
      </c>
      <c r="AG435" t="s">
        <v>1445</v>
      </c>
      <c r="AW435" t="s">
        <v>4558</v>
      </c>
    </row>
    <row r="436" spans="10:49">
      <c r="J436" t="s">
        <v>3025</v>
      </c>
      <c r="AG436" t="s">
        <v>1446</v>
      </c>
      <c r="AW436" t="s">
        <v>4559</v>
      </c>
    </row>
    <row r="437" spans="10:49">
      <c r="J437" t="s">
        <v>3026</v>
      </c>
      <c r="AG437" t="s">
        <v>1447</v>
      </c>
      <c r="AW437" t="s">
        <v>4560</v>
      </c>
    </row>
    <row r="438" spans="10:49">
      <c r="J438" t="s">
        <v>3027</v>
      </c>
      <c r="AG438" t="s">
        <v>1448</v>
      </c>
      <c r="AW438" t="s">
        <v>4561</v>
      </c>
    </row>
    <row r="439" spans="10:49">
      <c r="J439" t="s">
        <v>3028</v>
      </c>
      <c r="AG439" t="s">
        <v>1449</v>
      </c>
      <c r="AW439" t="s">
        <v>4562</v>
      </c>
    </row>
    <row r="440" spans="10:49">
      <c r="J440" t="s">
        <v>3029</v>
      </c>
      <c r="AG440" t="s">
        <v>1450</v>
      </c>
      <c r="AW440" t="s">
        <v>4563</v>
      </c>
    </row>
    <row r="441" spans="10:49">
      <c r="J441" t="s">
        <v>3030</v>
      </c>
      <c r="AG441" t="s">
        <v>1451</v>
      </c>
      <c r="AW441" t="s">
        <v>4564</v>
      </c>
    </row>
    <row r="442" spans="10:49">
      <c r="J442" t="s">
        <v>3031</v>
      </c>
      <c r="AG442" t="s">
        <v>1452</v>
      </c>
      <c r="AW442" t="s">
        <v>4565</v>
      </c>
    </row>
    <row r="443" spans="10:49">
      <c r="J443" t="s">
        <v>3032</v>
      </c>
      <c r="AG443" t="s">
        <v>1453</v>
      </c>
      <c r="AW443" t="s">
        <v>4566</v>
      </c>
    </row>
    <row r="444" spans="10:49">
      <c r="J444" t="s">
        <v>3033</v>
      </c>
      <c r="AG444" t="s">
        <v>1454</v>
      </c>
      <c r="AW444" t="s">
        <v>4567</v>
      </c>
    </row>
    <row r="445" spans="10:49">
      <c r="J445" t="s">
        <v>3034</v>
      </c>
      <c r="AG445" t="s">
        <v>1455</v>
      </c>
      <c r="AW445" t="s">
        <v>4568</v>
      </c>
    </row>
    <row r="446" spans="10:49">
      <c r="J446" t="s">
        <v>3035</v>
      </c>
      <c r="AG446" t="s">
        <v>1456</v>
      </c>
      <c r="AW446" t="s">
        <v>4569</v>
      </c>
    </row>
    <row r="447" spans="10:49">
      <c r="J447" t="s">
        <v>3036</v>
      </c>
      <c r="AG447" t="s">
        <v>1457</v>
      </c>
      <c r="AW447" t="s">
        <v>4570</v>
      </c>
    </row>
    <row r="448" spans="10:49">
      <c r="J448" t="s">
        <v>3037</v>
      </c>
      <c r="AG448" t="s">
        <v>1458</v>
      </c>
      <c r="AW448" t="s">
        <v>4571</v>
      </c>
    </row>
    <row r="449" spans="10:49">
      <c r="J449" t="s">
        <v>3038</v>
      </c>
      <c r="AG449" t="s">
        <v>1459</v>
      </c>
      <c r="AW449" t="s">
        <v>4572</v>
      </c>
    </row>
    <row r="450" spans="10:49">
      <c r="J450" t="s">
        <v>3039</v>
      </c>
      <c r="AG450" t="s">
        <v>1460</v>
      </c>
      <c r="AW450" t="s">
        <v>4573</v>
      </c>
    </row>
    <row r="451" spans="10:49">
      <c r="J451" t="s">
        <v>3040</v>
      </c>
      <c r="AG451" t="s">
        <v>1461</v>
      </c>
      <c r="AW451" t="s">
        <v>4574</v>
      </c>
    </row>
    <row r="452" spans="10:49">
      <c r="J452" t="s">
        <v>3041</v>
      </c>
      <c r="AG452" t="s">
        <v>1462</v>
      </c>
      <c r="AW452" t="s">
        <v>4575</v>
      </c>
    </row>
    <row r="453" spans="10:49">
      <c r="J453" t="s">
        <v>3042</v>
      </c>
      <c r="AG453" t="s">
        <v>1463</v>
      </c>
      <c r="AW453" t="s">
        <v>4576</v>
      </c>
    </row>
    <row r="454" spans="10:49">
      <c r="J454" t="s">
        <v>3043</v>
      </c>
      <c r="AG454" t="s">
        <v>1464</v>
      </c>
      <c r="AW454" t="s">
        <v>4577</v>
      </c>
    </row>
    <row r="455" spans="10:49">
      <c r="J455" t="s">
        <v>3044</v>
      </c>
      <c r="AG455" t="s">
        <v>1465</v>
      </c>
      <c r="AW455" t="s">
        <v>4578</v>
      </c>
    </row>
    <row r="456" spans="10:49">
      <c r="J456" t="s">
        <v>3045</v>
      </c>
      <c r="AG456" t="s">
        <v>1466</v>
      </c>
      <c r="AW456" t="s">
        <v>4579</v>
      </c>
    </row>
    <row r="457" spans="10:49">
      <c r="J457" t="s">
        <v>3046</v>
      </c>
      <c r="AG457" t="s">
        <v>1467</v>
      </c>
      <c r="AW457" t="s">
        <v>4580</v>
      </c>
    </row>
    <row r="458" spans="10:49">
      <c r="J458" t="s">
        <v>3047</v>
      </c>
      <c r="AG458" t="s">
        <v>1468</v>
      </c>
      <c r="AW458" t="s">
        <v>4581</v>
      </c>
    </row>
    <row r="459" spans="10:49">
      <c r="J459" t="s">
        <v>3048</v>
      </c>
      <c r="AG459" t="s">
        <v>1469</v>
      </c>
      <c r="AW459" t="s">
        <v>4582</v>
      </c>
    </row>
    <row r="460" spans="10:49">
      <c r="J460" t="s">
        <v>3049</v>
      </c>
      <c r="AG460" t="s">
        <v>1470</v>
      </c>
      <c r="AW460" t="s">
        <v>4583</v>
      </c>
    </row>
    <row r="461" spans="10:49">
      <c r="J461" t="s">
        <v>3050</v>
      </c>
      <c r="AG461" t="s">
        <v>1471</v>
      </c>
      <c r="AW461" t="s">
        <v>4584</v>
      </c>
    </row>
    <row r="462" spans="10:49">
      <c r="J462" t="s">
        <v>3051</v>
      </c>
      <c r="AG462" t="s">
        <v>1472</v>
      </c>
      <c r="AW462" t="s">
        <v>4585</v>
      </c>
    </row>
    <row r="463" spans="10:49">
      <c r="J463" t="s">
        <v>3052</v>
      </c>
      <c r="AG463" t="s">
        <v>1473</v>
      </c>
      <c r="AW463" t="s">
        <v>4586</v>
      </c>
    </row>
    <row r="464" spans="10:49">
      <c r="J464" t="s">
        <v>3053</v>
      </c>
      <c r="AG464" t="s">
        <v>1474</v>
      </c>
      <c r="AW464" t="s">
        <v>4587</v>
      </c>
    </row>
    <row r="465" spans="10:49">
      <c r="J465" t="s">
        <v>3054</v>
      </c>
      <c r="AG465" t="s">
        <v>1475</v>
      </c>
      <c r="AW465" t="s">
        <v>4588</v>
      </c>
    </row>
    <row r="466" spans="10:49">
      <c r="J466" t="s">
        <v>3055</v>
      </c>
      <c r="AG466" t="s">
        <v>1476</v>
      </c>
      <c r="AW466" t="s">
        <v>4589</v>
      </c>
    </row>
    <row r="467" spans="10:49">
      <c r="J467" t="s">
        <v>3056</v>
      </c>
      <c r="AG467" t="s">
        <v>1477</v>
      </c>
      <c r="AW467" t="s">
        <v>4590</v>
      </c>
    </row>
    <row r="468" spans="10:49">
      <c r="J468" t="s">
        <v>3057</v>
      </c>
      <c r="AG468" t="s">
        <v>1478</v>
      </c>
      <c r="AW468" t="s">
        <v>4591</v>
      </c>
    </row>
    <row r="469" spans="10:49">
      <c r="J469" t="s">
        <v>2440</v>
      </c>
      <c r="AG469" t="s">
        <v>1479</v>
      </c>
      <c r="AW469" t="s">
        <v>4592</v>
      </c>
    </row>
    <row r="470" spans="10:49">
      <c r="J470" t="s">
        <v>3058</v>
      </c>
      <c r="AG470" t="s">
        <v>1480</v>
      </c>
      <c r="AW470" t="s">
        <v>4593</v>
      </c>
    </row>
    <row r="471" spans="10:49">
      <c r="J471" t="s">
        <v>3059</v>
      </c>
      <c r="AG471" t="s">
        <v>1481</v>
      </c>
      <c r="AW471" t="s">
        <v>4594</v>
      </c>
    </row>
    <row r="472" spans="10:49">
      <c r="J472" t="s">
        <v>3060</v>
      </c>
      <c r="AG472" t="s">
        <v>1482</v>
      </c>
      <c r="AW472" t="s">
        <v>4595</v>
      </c>
    </row>
    <row r="473" spans="10:49">
      <c r="J473" t="s">
        <v>3061</v>
      </c>
      <c r="AG473" t="s">
        <v>1483</v>
      </c>
      <c r="AW473" t="s">
        <v>4596</v>
      </c>
    </row>
    <row r="474" spans="10:49">
      <c r="J474" t="s">
        <v>3062</v>
      </c>
      <c r="AG474" t="s">
        <v>1484</v>
      </c>
      <c r="AW474" t="s">
        <v>4597</v>
      </c>
    </row>
    <row r="475" spans="10:49">
      <c r="J475" t="s">
        <v>3063</v>
      </c>
      <c r="AG475" t="s">
        <v>1485</v>
      </c>
      <c r="AW475" t="s">
        <v>4598</v>
      </c>
    </row>
    <row r="476" spans="10:49">
      <c r="J476" t="s">
        <v>3064</v>
      </c>
      <c r="AG476" t="s">
        <v>1486</v>
      </c>
      <c r="AW476" t="s">
        <v>4599</v>
      </c>
    </row>
    <row r="477" spans="10:49">
      <c r="J477" t="s">
        <v>3065</v>
      </c>
      <c r="AG477" t="s">
        <v>1487</v>
      </c>
      <c r="AW477" t="s">
        <v>4600</v>
      </c>
    </row>
    <row r="478" spans="10:49">
      <c r="J478" t="s">
        <v>3066</v>
      </c>
      <c r="AG478" t="s">
        <v>1488</v>
      </c>
      <c r="AW478" t="s">
        <v>4601</v>
      </c>
    </row>
    <row r="479" spans="10:49">
      <c r="J479" t="s">
        <v>3067</v>
      </c>
      <c r="AG479" t="s">
        <v>1489</v>
      </c>
      <c r="AW479" t="s">
        <v>4602</v>
      </c>
    </row>
    <row r="480" spans="10:49">
      <c r="J480" t="s">
        <v>3068</v>
      </c>
      <c r="AG480" t="s">
        <v>1490</v>
      </c>
      <c r="AW480" t="s">
        <v>4603</v>
      </c>
    </row>
    <row r="481" spans="10:49">
      <c r="J481" t="s">
        <v>3069</v>
      </c>
      <c r="AG481" t="s">
        <v>1491</v>
      </c>
      <c r="AW481" t="s">
        <v>4604</v>
      </c>
    </row>
    <row r="482" spans="10:49">
      <c r="J482" t="s">
        <v>3070</v>
      </c>
      <c r="AG482" t="s">
        <v>1492</v>
      </c>
      <c r="AW482" t="s">
        <v>4605</v>
      </c>
    </row>
    <row r="483" spans="10:49">
      <c r="J483" t="s">
        <v>3071</v>
      </c>
      <c r="AG483" t="s">
        <v>1493</v>
      </c>
      <c r="AW483" t="s">
        <v>4606</v>
      </c>
    </row>
    <row r="484" spans="10:49">
      <c r="J484" t="s">
        <v>3072</v>
      </c>
      <c r="AG484" t="s">
        <v>1494</v>
      </c>
      <c r="AW484" t="s">
        <v>4607</v>
      </c>
    </row>
    <row r="485" spans="10:49">
      <c r="J485" t="s">
        <v>3073</v>
      </c>
      <c r="AG485" t="s">
        <v>1495</v>
      </c>
      <c r="AW485" t="s">
        <v>4608</v>
      </c>
    </row>
    <row r="486" spans="10:49">
      <c r="J486" t="s">
        <v>3074</v>
      </c>
      <c r="AG486" t="s">
        <v>1496</v>
      </c>
      <c r="AW486" t="s">
        <v>4609</v>
      </c>
    </row>
    <row r="487" spans="10:49">
      <c r="J487" t="s">
        <v>3075</v>
      </c>
      <c r="AG487" t="s">
        <v>1497</v>
      </c>
      <c r="AW487" t="s">
        <v>4610</v>
      </c>
    </row>
    <row r="488" spans="10:49">
      <c r="J488" t="s">
        <v>3076</v>
      </c>
      <c r="AG488" t="s">
        <v>1498</v>
      </c>
      <c r="AW488" t="s">
        <v>4611</v>
      </c>
    </row>
    <row r="489" spans="10:49">
      <c r="J489" t="s">
        <v>3077</v>
      </c>
      <c r="AG489" t="s">
        <v>1499</v>
      </c>
      <c r="AW489" t="s">
        <v>4612</v>
      </c>
    </row>
    <row r="490" spans="10:49">
      <c r="J490" t="s">
        <v>3078</v>
      </c>
      <c r="AG490" t="s">
        <v>1500</v>
      </c>
      <c r="AW490" t="s">
        <v>4613</v>
      </c>
    </row>
    <row r="491" spans="10:49">
      <c r="J491" t="s">
        <v>3079</v>
      </c>
      <c r="AG491" t="s">
        <v>1501</v>
      </c>
      <c r="AW491" t="s">
        <v>4614</v>
      </c>
    </row>
    <row r="492" spans="10:49">
      <c r="J492" t="s">
        <v>3080</v>
      </c>
      <c r="AG492" t="s">
        <v>1502</v>
      </c>
      <c r="AW492" t="s">
        <v>4615</v>
      </c>
    </row>
    <row r="493" spans="10:49">
      <c r="J493" t="s">
        <v>3081</v>
      </c>
      <c r="AG493" t="s">
        <v>1503</v>
      </c>
      <c r="AW493" t="s">
        <v>4616</v>
      </c>
    </row>
    <row r="494" spans="10:49">
      <c r="J494" t="s">
        <v>3082</v>
      </c>
      <c r="AG494" t="s">
        <v>1504</v>
      </c>
      <c r="AW494" t="s">
        <v>4617</v>
      </c>
    </row>
    <row r="495" spans="10:49">
      <c r="J495" t="s">
        <v>3083</v>
      </c>
      <c r="AG495" t="s">
        <v>1505</v>
      </c>
      <c r="AW495" t="s">
        <v>4618</v>
      </c>
    </row>
    <row r="496" spans="10:49">
      <c r="J496" t="s">
        <v>3084</v>
      </c>
      <c r="AG496" t="s">
        <v>1506</v>
      </c>
      <c r="AW496" t="s">
        <v>4619</v>
      </c>
    </row>
    <row r="497" spans="10:49">
      <c r="J497" t="s">
        <v>3085</v>
      </c>
      <c r="AG497" t="s">
        <v>1507</v>
      </c>
      <c r="AW497" t="s">
        <v>4620</v>
      </c>
    </row>
    <row r="498" spans="10:49">
      <c r="J498" t="s">
        <v>3086</v>
      </c>
      <c r="AG498" t="s">
        <v>1508</v>
      </c>
      <c r="AW498" t="s">
        <v>4621</v>
      </c>
    </row>
    <row r="499" spans="10:49">
      <c r="J499" t="s">
        <v>3087</v>
      </c>
      <c r="AG499" t="s">
        <v>1509</v>
      </c>
      <c r="AW499" t="s">
        <v>4622</v>
      </c>
    </row>
    <row r="500" spans="10:49">
      <c r="J500" t="s">
        <v>3088</v>
      </c>
      <c r="AG500" t="s">
        <v>1510</v>
      </c>
      <c r="AW500" t="s">
        <v>4623</v>
      </c>
    </row>
    <row r="501" spans="10:49">
      <c r="J501" t="s">
        <v>3089</v>
      </c>
      <c r="AG501" t="s">
        <v>1511</v>
      </c>
      <c r="AW501" t="s">
        <v>4624</v>
      </c>
    </row>
    <row r="502" spans="10:49">
      <c r="J502" t="s">
        <v>3090</v>
      </c>
      <c r="AG502" t="s">
        <v>1512</v>
      </c>
      <c r="AW502" t="s">
        <v>4625</v>
      </c>
    </row>
    <row r="503" spans="10:49">
      <c r="J503" t="s">
        <v>3091</v>
      </c>
      <c r="AG503" t="s">
        <v>1513</v>
      </c>
      <c r="AW503" t="s">
        <v>4626</v>
      </c>
    </row>
    <row r="504" spans="10:49">
      <c r="J504" t="s">
        <v>3092</v>
      </c>
      <c r="AG504" t="s">
        <v>1514</v>
      </c>
      <c r="AW504" t="s">
        <v>4627</v>
      </c>
    </row>
    <row r="505" spans="10:49">
      <c r="J505" t="s">
        <v>3093</v>
      </c>
      <c r="AG505" t="s">
        <v>1515</v>
      </c>
      <c r="AW505" t="s">
        <v>4628</v>
      </c>
    </row>
    <row r="506" spans="10:49">
      <c r="J506" t="s">
        <v>3094</v>
      </c>
      <c r="AG506" t="s">
        <v>1516</v>
      </c>
      <c r="AW506" t="s">
        <v>4629</v>
      </c>
    </row>
    <row r="507" spans="10:49">
      <c r="J507" t="s">
        <v>3095</v>
      </c>
      <c r="AG507" t="s">
        <v>1517</v>
      </c>
      <c r="AW507" t="s">
        <v>4630</v>
      </c>
    </row>
    <row r="508" spans="10:49">
      <c r="J508" t="s">
        <v>3096</v>
      </c>
      <c r="AG508" t="s">
        <v>1518</v>
      </c>
      <c r="AW508" t="s">
        <v>4631</v>
      </c>
    </row>
    <row r="509" spans="10:49">
      <c r="J509" t="s">
        <v>3097</v>
      </c>
      <c r="AG509" t="s">
        <v>1519</v>
      </c>
      <c r="AW509" t="s">
        <v>4632</v>
      </c>
    </row>
    <row r="510" spans="10:49">
      <c r="J510" t="s">
        <v>3098</v>
      </c>
      <c r="AG510" t="s">
        <v>1520</v>
      </c>
      <c r="AW510" t="s">
        <v>4633</v>
      </c>
    </row>
    <row r="511" spans="10:49">
      <c r="J511" t="s">
        <v>3099</v>
      </c>
      <c r="AG511" t="s">
        <v>1521</v>
      </c>
      <c r="AW511" t="s">
        <v>4634</v>
      </c>
    </row>
    <row r="512" spans="10:49">
      <c r="J512" t="s">
        <v>3100</v>
      </c>
      <c r="AG512" t="s">
        <v>1522</v>
      </c>
      <c r="AW512" t="s">
        <v>4635</v>
      </c>
    </row>
    <row r="513" spans="10:49">
      <c r="J513" t="s">
        <v>3101</v>
      </c>
      <c r="AG513" t="s">
        <v>1523</v>
      </c>
      <c r="AW513" t="s">
        <v>4636</v>
      </c>
    </row>
    <row r="514" spans="10:49">
      <c r="J514" t="s">
        <v>3102</v>
      </c>
      <c r="AG514" t="s">
        <v>1524</v>
      </c>
      <c r="AW514" t="s">
        <v>4637</v>
      </c>
    </row>
    <row r="515" spans="10:49">
      <c r="J515" t="s">
        <v>3103</v>
      </c>
      <c r="AG515" t="s">
        <v>1525</v>
      </c>
      <c r="AW515" t="s">
        <v>4638</v>
      </c>
    </row>
    <row r="516" spans="10:49">
      <c r="J516" t="s">
        <v>3104</v>
      </c>
      <c r="AG516" t="s">
        <v>1526</v>
      </c>
      <c r="AW516" t="s">
        <v>4639</v>
      </c>
    </row>
    <row r="517" spans="10:49">
      <c r="J517" t="s">
        <v>3105</v>
      </c>
      <c r="AG517" t="s">
        <v>1527</v>
      </c>
      <c r="AW517" t="s">
        <v>4640</v>
      </c>
    </row>
    <row r="518" spans="10:49">
      <c r="J518" t="s">
        <v>3106</v>
      </c>
      <c r="AG518" t="s">
        <v>1528</v>
      </c>
      <c r="AW518" t="s">
        <v>4641</v>
      </c>
    </row>
    <row r="519" spans="10:49">
      <c r="J519" t="s">
        <v>3107</v>
      </c>
      <c r="AG519" t="s">
        <v>1529</v>
      </c>
      <c r="AW519" t="s">
        <v>4642</v>
      </c>
    </row>
    <row r="520" spans="10:49">
      <c r="AG520" t="s">
        <v>1530</v>
      </c>
      <c r="AW520" t="s">
        <v>4643</v>
      </c>
    </row>
    <row r="521" spans="10:49">
      <c r="AG521" t="s">
        <v>1531</v>
      </c>
      <c r="AW521" t="s">
        <v>4644</v>
      </c>
    </row>
    <row r="522" spans="10:49">
      <c r="AG522" t="s">
        <v>1532</v>
      </c>
      <c r="AW522" t="s">
        <v>4645</v>
      </c>
    </row>
    <row r="523" spans="10:49">
      <c r="AG523" t="s">
        <v>1533</v>
      </c>
      <c r="AW523" t="s">
        <v>4646</v>
      </c>
    </row>
    <row r="524" spans="10:49">
      <c r="AG524" t="s">
        <v>1534</v>
      </c>
      <c r="AW524" t="s">
        <v>4647</v>
      </c>
    </row>
    <row r="525" spans="10:49">
      <c r="AG525" t="s">
        <v>1535</v>
      </c>
      <c r="AW525" t="s">
        <v>4648</v>
      </c>
    </row>
    <row r="526" spans="10:49">
      <c r="AG526" t="s">
        <v>1536</v>
      </c>
      <c r="AW526" t="s">
        <v>4649</v>
      </c>
    </row>
    <row r="527" spans="10:49">
      <c r="AG527" t="s">
        <v>1537</v>
      </c>
      <c r="AW527" t="s">
        <v>4650</v>
      </c>
    </row>
    <row r="528" spans="10:49">
      <c r="AG528" t="s">
        <v>1538</v>
      </c>
      <c r="AW528" t="s">
        <v>4651</v>
      </c>
    </row>
    <row r="529" spans="33:49">
      <c r="AG529" t="s">
        <v>1539</v>
      </c>
      <c r="AW529" t="s">
        <v>4652</v>
      </c>
    </row>
    <row r="530" spans="33:49">
      <c r="AG530" t="s">
        <v>1540</v>
      </c>
      <c r="AW530" t="s">
        <v>4653</v>
      </c>
    </row>
    <row r="531" spans="33:49">
      <c r="AG531" t="s">
        <v>1541</v>
      </c>
      <c r="AW531" t="s">
        <v>4654</v>
      </c>
    </row>
    <row r="532" spans="33:49">
      <c r="AG532" t="s">
        <v>1542</v>
      </c>
      <c r="AW532" t="s">
        <v>4655</v>
      </c>
    </row>
    <row r="533" spans="33:49">
      <c r="AG533" t="s">
        <v>1543</v>
      </c>
      <c r="AW533" t="s">
        <v>4656</v>
      </c>
    </row>
    <row r="534" spans="33:49">
      <c r="AG534" t="s">
        <v>1544</v>
      </c>
      <c r="AW534" t="s">
        <v>4657</v>
      </c>
    </row>
    <row r="535" spans="33:49">
      <c r="AG535" t="s">
        <v>1545</v>
      </c>
      <c r="AW535" t="s">
        <v>4658</v>
      </c>
    </row>
    <row r="536" spans="33:49">
      <c r="AG536" t="s">
        <v>1546</v>
      </c>
      <c r="AW536" t="s">
        <v>4659</v>
      </c>
    </row>
    <row r="537" spans="33:49">
      <c r="AG537" t="s">
        <v>1547</v>
      </c>
      <c r="AW537" t="s">
        <v>4660</v>
      </c>
    </row>
    <row r="538" spans="33:49">
      <c r="AG538" t="s">
        <v>1548</v>
      </c>
      <c r="AW538" t="s">
        <v>4661</v>
      </c>
    </row>
    <row r="539" spans="33:49">
      <c r="AG539" t="s">
        <v>1549</v>
      </c>
      <c r="AW539" t="s">
        <v>4662</v>
      </c>
    </row>
    <row r="540" spans="33:49">
      <c r="AG540" t="s">
        <v>1550</v>
      </c>
      <c r="AW540" t="s">
        <v>4663</v>
      </c>
    </row>
    <row r="541" spans="33:49">
      <c r="AG541" t="s">
        <v>1551</v>
      </c>
      <c r="AW541" t="s">
        <v>4664</v>
      </c>
    </row>
    <row r="542" spans="33:49">
      <c r="AG542" t="s">
        <v>1552</v>
      </c>
      <c r="AW542" t="s">
        <v>4665</v>
      </c>
    </row>
    <row r="543" spans="33:49">
      <c r="AG543" t="s">
        <v>1553</v>
      </c>
      <c r="AW543" t="s">
        <v>4666</v>
      </c>
    </row>
    <row r="544" spans="33:49">
      <c r="AG544" t="s">
        <v>1554</v>
      </c>
      <c r="AW544" t="s">
        <v>4667</v>
      </c>
    </row>
    <row r="545" spans="33:49">
      <c r="AG545" t="s">
        <v>1555</v>
      </c>
      <c r="AW545" t="s">
        <v>4668</v>
      </c>
    </row>
    <row r="546" spans="33:49">
      <c r="AG546" t="s">
        <v>1556</v>
      </c>
      <c r="AW546" t="s">
        <v>4669</v>
      </c>
    </row>
    <row r="547" spans="33:49">
      <c r="AG547" t="s">
        <v>1557</v>
      </c>
      <c r="AW547" t="s">
        <v>4670</v>
      </c>
    </row>
    <row r="548" spans="33:49">
      <c r="AG548" t="s">
        <v>1558</v>
      </c>
      <c r="AW548" t="s">
        <v>4671</v>
      </c>
    </row>
    <row r="549" spans="33:49">
      <c r="AG549" t="s">
        <v>1559</v>
      </c>
      <c r="AW549" t="s">
        <v>4672</v>
      </c>
    </row>
    <row r="550" spans="33:49">
      <c r="AG550" t="s">
        <v>1560</v>
      </c>
      <c r="AW550" t="s">
        <v>4673</v>
      </c>
    </row>
    <row r="551" spans="33:49">
      <c r="AG551" t="s">
        <v>1561</v>
      </c>
      <c r="AW551" t="s">
        <v>4674</v>
      </c>
    </row>
    <row r="552" spans="33:49">
      <c r="AG552" t="s">
        <v>1562</v>
      </c>
      <c r="AW552" t="s">
        <v>4675</v>
      </c>
    </row>
    <row r="553" spans="33:49">
      <c r="AG553" t="s">
        <v>1563</v>
      </c>
      <c r="AW553" t="s">
        <v>4676</v>
      </c>
    </row>
    <row r="554" spans="33:49">
      <c r="AG554" t="s">
        <v>1564</v>
      </c>
      <c r="AW554" t="s">
        <v>4677</v>
      </c>
    </row>
    <row r="555" spans="33:49">
      <c r="AG555" t="s">
        <v>1565</v>
      </c>
      <c r="AW555" t="s">
        <v>4678</v>
      </c>
    </row>
    <row r="556" spans="33:49">
      <c r="AG556" t="s">
        <v>1566</v>
      </c>
      <c r="AW556" t="s">
        <v>4679</v>
      </c>
    </row>
    <row r="557" spans="33:49">
      <c r="AG557" t="s">
        <v>1567</v>
      </c>
      <c r="AW557" t="s">
        <v>4680</v>
      </c>
    </row>
    <row r="558" spans="33:49">
      <c r="AG558" t="s">
        <v>1568</v>
      </c>
      <c r="AW558" t="s">
        <v>4681</v>
      </c>
    </row>
    <row r="559" spans="33:49">
      <c r="AG559" t="s">
        <v>1569</v>
      </c>
      <c r="AW559" t="s">
        <v>4682</v>
      </c>
    </row>
    <row r="560" spans="33:49">
      <c r="AG560" t="s">
        <v>1570</v>
      </c>
      <c r="AW560" t="s">
        <v>4683</v>
      </c>
    </row>
    <row r="561" spans="33:49">
      <c r="AG561" t="s">
        <v>1571</v>
      </c>
      <c r="AW561" t="s">
        <v>4684</v>
      </c>
    </row>
    <row r="562" spans="33:49">
      <c r="AG562" t="s">
        <v>1572</v>
      </c>
      <c r="AW562" t="s">
        <v>4685</v>
      </c>
    </row>
    <row r="563" spans="33:49">
      <c r="AG563" t="s">
        <v>1573</v>
      </c>
      <c r="AW563" t="s">
        <v>947</v>
      </c>
    </row>
    <row r="564" spans="33:49">
      <c r="AG564" t="s">
        <v>1574</v>
      </c>
      <c r="AW564" t="s">
        <v>950</v>
      </c>
    </row>
    <row r="565" spans="33:49">
      <c r="AG565" t="s">
        <v>1575</v>
      </c>
    </row>
    <row r="566" spans="33:49">
      <c r="AG566" t="s">
        <v>1576</v>
      </c>
    </row>
    <row r="567" spans="33:49">
      <c r="AG567" t="s">
        <v>1577</v>
      </c>
    </row>
    <row r="568" spans="33:49">
      <c r="AG568" t="s">
        <v>1578</v>
      </c>
    </row>
    <row r="569" spans="33:49">
      <c r="AG569" t="s">
        <v>1579</v>
      </c>
    </row>
    <row r="570" spans="33:49">
      <c r="AG570" t="s">
        <v>1580</v>
      </c>
    </row>
    <row r="571" spans="33:49">
      <c r="AG571" t="s">
        <v>1581</v>
      </c>
    </row>
    <row r="572" spans="33:49">
      <c r="AG572" t="s">
        <v>1582</v>
      </c>
    </row>
    <row r="573" spans="33:49">
      <c r="AG573" t="s">
        <v>1583</v>
      </c>
    </row>
    <row r="574" spans="33:49">
      <c r="AG574" t="s">
        <v>1584</v>
      </c>
    </row>
    <row r="575" spans="33:49">
      <c r="AG575" t="s">
        <v>1585</v>
      </c>
    </row>
    <row r="576" spans="33:49">
      <c r="AG576" t="s">
        <v>1586</v>
      </c>
    </row>
    <row r="577" spans="33:33">
      <c r="AG577" t="s">
        <v>1587</v>
      </c>
    </row>
    <row r="578" spans="33:33">
      <c r="AG578" t="s">
        <v>1588</v>
      </c>
    </row>
    <row r="579" spans="33:33">
      <c r="AG579" t="s">
        <v>1589</v>
      </c>
    </row>
    <row r="580" spans="33:33">
      <c r="AG580" t="s">
        <v>1590</v>
      </c>
    </row>
    <row r="581" spans="33:33">
      <c r="AG581" t="s">
        <v>1591</v>
      </c>
    </row>
    <row r="582" spans="33:33">
      <c r="AG582" t="s">
        <v>1592</v>
      </c>
    </row>
    <row r="583" spans="33:33">
      <c r="AG583" t="s">
        <v>1593</v>
      </c>
    </row>
    <row r="584" spans="33:33">
      <c r="AG584" t="s">
        <v>1594</v>
      </c>
    </row>
    <row r="585" spans="33:33">
      <c r="AG585" t="s">
        <v>1595</v>
      </c>
    </row>
    <row r="586" spans="33:33">
      <c r="AG586" t="s">
        <v>1596</v>
      </c>
    </row>
    <row r="587" spans="33:33">
      <c r="AG587" t="s">
        <v>1597</v>
      </c>
    </row>
    <row r="588" spans="33:33">
      <c r="AG588" t="s">
        <v>1598</v>
      </c>
    </row>
    <row r="589" spans="33:33">
      <c r="AG589" t="s">
        <v>1599</v>
      </c>
    </row>
    <row r="590" spans="33:33">
      <c r="AG590" t="s">
        <v>1600</v>
      </c>
    </row>
    <row r="591" spans="33:33">
      <c r="AG591" t="s">
        <v>1601</v>
      </c>
    </row>
    <row r="592" spans="33:33">
      <c r="AG592" t="s">
        <v>1602</v>
      </c>
    </row>
    <row r="593" spans="33:33">
      <c r="AG593" t="s">
        <v>1603</v>
      </c>
    </row>
    <row r="594" spans="33:33">
      <c r="AG594" t="s">
        <v>1604</v>
      </c>
    </row>
    <row r="595" spans="33:33">
      <c r="AG595" t="s">
        <v>1605</v>
      </c>
    </row>
    <row r="596" spans="33:33">
      <c r="AG596" t="s">
        <v>1606</v>
      </c>
    </row>
    <row r="597" spans="33:33">
      <c r="AG597" t="s">
        <v>1607</v>
      </c>
    </row>
    <row r="598" spans="33:33">
      <c r="AG598" t="s">
        <v>1608</v>
      </c>
    </row>
    <row r="599" spans="33:33">
      <c r="AG599" t="s">
        <v>1609</v>
      </c>
    </row>
    <row r="600" spans="33:33">
      <c r="AG600" t="s">
        <v>1610</v>
      </c>
    </row>
    <row r="601" spans="33:33">
      <c r="AG601" t="s">
        <v>1611</v>
      </c>
    </row>
    <row r="602" spans="33:33">
      <c r="AG602" t="s">
        <v>1612</v>
      </c>
    </row>
    <row r="603" spans="33:33">
      <c r="AG603" t="s">
        <v>1613</v>
      </c>
    </row>
    <row r="604" spans="33:33">
      <c r="AG604" t="s">
        <v>1614</v>
      </c>
    </row>
    <row r="605" spans="33:33">
      <c r="AG605" t="s">
        <v>1615</v>
      </c>
    </row>
    <row r="606" spans="33:33">
      <c r="AG606" t="s">
        <v>1616</v>
      </c>
    </row>
    <row r="607" spans="33:33">
      <c r="AG607" t="s">
        <v>1617</v>
      </c>
    </row>
    <row r="608" spans="33:33">
      <c r="AG608" t="s">
        <v>1618</v>
      </c>
    </row>
    <row r="609" spans="33:33">
      <c r="AG609" t="s">
        <v>1619</v>
      </c>
    </row>
    <row r="610" spans="33:33">
      <c r="AG610" t="s">
        <v>1620</v>
      </c>
    </row>
    <row r="611" spans="33:33">
      <c r="AG611" t="s">
        <v>1621</v>
      </c>
    </row>
    <row r="612" spans="33:33">
      <c r="AG612" t="s">
        <v>1622</v>
      </c>
    </row>
    <row r="613" spans="33:33">
      <c r="AG613" t="s">
        <v>1623</v>
      </c>
    </row>
    <row r="614" spans="33:33">
      <c r="AG614" t="s">
        <v>1624</v>
      </c>
    </row>
    <row r="615" spans="33:33">
      <c r="AG615" t="s">
        <v>1625</v>
      </c>
    </row>
    <row r="616" spans="33:33">
      <c r="AG616" t="s">
        <v>1626</v>
      </c>
    </row>
    <row r="617" spans="33:33">
      <c r="AG617" t="s">
        <v>1627</v>
      </c>
    </row>
    <row r="618" spans="33:33">
      <c r="AG618" t="s">
        <v>1628</v>
      </c>
    </row>
    <row r="619" spans="33:33">
      <c r="AG619" t="s">
        <v>1629</v>
      </c>
    </row>
    <row r="620" spans="33:33">
      <c r="AG620" t="s">
        <v>1630</v>
      </c>
    </row>
    <row r="621" spans="33:33">
      <c r="AG621" t="s">
        <v>1631</v>
      </c>
    </row>
    <row r="622" spans="33:33">
      <c r="AG622" t="s">
        <v>1632</v>
      </c>
    </row>
    <row r="623" spans="33:33">
      <c r="AG623" t="s">
        <v>1633</v>
      </c>
    </row>
    <row r="624" spans="33:33">
      <c r="AG624" t="s">
        <v>1634</v>
      </c>
    </row>
    <row r="625" spans="33:33">
      <c r="AG625" t="s">
        <v>1635</v>
      </c>
    </row>
    <row r="626" spans="33:33">
      <c r="AG626" t="s">
        <v>1636</v>
      </c>
    </row>
    <row r="627" spans="33:33">
      <c r="AG627" t="s">
        <v>1637</v>
      </c>
    </row>
    <row r="628" spans="33:33">
      <c r="AG628" t="s">
        <v>1638</v>
      </c>
    </row>
    <row r="629" spans="33:33">
      <c r="AG629" t="s">
        <v>1639</v>
      </c>
    </row>
    <row r="630" spans="33:33">
      <c r="AG630" t="s">
        <v>1640</v>
      </c>
    </row>
    <row r="631" spans="33:33">
      <c r="AG631" t="s">
        <v>1641</v>
      </c>
    </row>
    <row r="632" spans="33:33">
      <c r="AG632" t="s">
        <v>1642</v>
      </c>
    </row>
    <row r="633" spans="33:33">
      <c r="AG633" t="s">
        <v>1643</v>
      </c>
    </row>
    <row r="634" spans="33:33">
      <c r="AG634" t="s">
        <v>1644</v>
      </c>
    </row>
    <row r="635" spans="33:33">
      <c r="AG635" t="s">
        <v>1645</v>
      </c>
    </row>
    <row r="636" spans="33:33">
      <c r="AG636" t="s">
        <v>1646</v>
      </c>
    </row>
    <row r="637" spans="33:33">
      <c r="AG637" t="s">
        <v>1647</v>
      </c>
    </row>
    <row r="638" spans="33:33">
      <c r="AG638" t="s">
        <v>1648</v>
      </c>
    </row>
    <row r="639" spans="33:33">
      <c r="AG639" t="s">
        <v>1649</v>
      </c>
    </row>
    <row r="640" spans="33:33">
      <c r="AG640" t="s">
        <v>1650</v>
      </c>
    </row>
    <row r="641" spans="33:33">
      <c r="AG641" t="s">
        <v>1651</v>
      </c>
    </row>
    <row r="642" spans="33:33">
      <c r="AG642" t="s">
        <v>1652</v>
      </c>
    </row>
    <row r="643" spans="33:33">
      <c r="AG643" t="s">
        <v>1653</v>
      </c>
    </row>
    <row r="644" spans="33:33">
      <c r="AG644" t="s">
        <v>1654</v>
      </c>
    </row>
    <row r="645" spans="33:33">
      <c r="AG645" t="s">
        <v>1655</v>
      </c>
    </row>
    <row r="646" spans="33:33">
      <c r="AG646" t="s">
        <v>1656</v>
      </c>
    </row>
    <row r="647" spans="33:33">
      <c r="AG647" t="s">
        <v>1657</v>
      </c>
    </row>
    <row r="648" spans="33:33">
      <c r="AG648" t="s">
        <v>1658</v>
      </c>
    </row>
    <row r="649" spans="33:33">
      <c r="AG649" t="s">
        <v>1659</v>
      </c>
    </row>
    <row r="650" spans="33:33">
      <c r="AG650" t="s">
        <v>1660</v>
      </c>
    </row>
    <row r="651" spans="33:33">
      <c r="AG651" t="s">
        <v>1661</v>
      </c>
    </row>
    <row r="652" spans="33:33">
      <c r="AG652" t="s">
        <v>1662</v>
      </c>
    </row>
    <row r="653" spans="33:33">
      <c r="AG653" t="s">
        <v>1663</v>
      </c>
    </row>
    <row r="654" spans="33:33">
      <c r="AG654" t="s">
        <v>1664</v>
      </c>
    </row>
    <row r="655" spans="33:33">
      <c r="AG655" t="s">
        <v>1665</v>
      </c>
    </row>
    <row r="656" spans="33:33">
      <c r="AG656" t="s">
        <v>1666</v>
      </c>
    </row>
    <row r="657" spans="33:33">
      <c r="AG657" t="s">
        <v>1667</v>
      </c>
    </row>
    <row r="658" spans="33:33">
      <c r="AG658" t="s">
        <v>1668</v>
      </c>
    </row>
    <row r="659" spans="33:33">
      <c r="AG659" t="s">
        <v>1669</v>
      </c>
    </row>
    <row r="660" spans="33:33">
      <c r="AG660" t="s">
        <v>1670</v>
      </c>
    </row>
    <row r="661" spans="33:33">
      <c r="AG661" t="s">
        <v>1671</v>
      </c>
    </row>
    <row r="662" spans="33:33">
      <c r="AG662" t="s">
        <v>1672</v>
      </c>
    </row>
    <row r="663" spans="33:33">
      <c r="AG663" t="s">
        <v>1673</v>
      </c>
    </row>
    <row r="664" spans="33:33">
      <c r="AG664" t="s">
        <v>1674</v>
      </c>
    </row>
    <row r="665" spans="33:33">
      <c r="AG665" t="s">
        <v>1675</v>
      </c>
    </row>
    <row r="666" spans="33:33">
      <c r="AG666" t="s">
        <v>1676</v>
      </c>
    </row>
    <row r="667" spans="33:33">
      <c r="AG667" t="s">
        <v>1677</v>
      </c>
    </row>
    <row r="668" spans="33:33">
      <c r="AG668" t="s">
        <v>1678</v>
      </c>
    </row>
    <row r="669" spans="33:33">
      <c r="AG669" t="s">
        <v>1679</v>
      </c>
    </row>
    <row r="670" spans="33:33">
      <c r="AG670" t="s">
        <v>1680</v>
      </c>
    </row>
    <row r="671" spans="33:33">
      <c r="AG671" t="s">
        <v>1681</v>
      </c>
    </row>
    <row r="672" spans="33:33">
      <c r="AG672" t="s">
        <v>1682</v>
      </c>
    </row>
    <row r="673" spans="33:33">
      <c r="AG673" t="s">
        <v>1683</v>
      </c>
    </row>
    <row r="674" spans="33:33">
      <c r="AG674" t="s">
        <v>1684</v>
      </c>
    </row>
    <row r="675" spans="33:33">
      <c r="AG675" t="s">
        <v>1685</v>
      </c>
    </row>
    <row r="676" spans="33:33">
      <c r="AG676" t="s">
        <v>1686</v>
      </c>
    </row>
    <row r="677" spans="33:33">
      <c r="AG677" t="s">
        <v>1687</v>
      </c>
    </row>
    <row r="678" spans="33:33">
      <c r="AG678" t="s">
        <v>1688</v>
      </c>
    </row>
    <row r="679" spans="33:33">
      <c r="AG679" t="s">
        <v>1689</v>
      </c>
    </row>
    <row r="680" spans="33:33">
      <c r="AG680" t="s">
        <v>1690</v>
      </c>
    </row>
    <row r="681" spans="33:33">
      <c r="AG681" t="s">
        <v>1691</v>
      </c>
    </row>
    <row r="682" spans="33:33">
      <c r="AG682" t="s">
        <v>1692</v>
      </c>
    </row>
    <row r="683" spans="33:33">
      <c r="AG683" t="s">
        <v>1693</v>
      </c>
    </row>
    <row r="684" spans="33:33">
      <c r="AG684" t="s">
        <v>1694</v>
      </c>
    </row>
    <row r="685" spans="33:33">
      <c r="AG685" t="s">
        <v>1695</v>
      </c>
    </row>
    <row r="686" spans="33:33">
      <c r="AG686" t="s">
        <v>1696</v>
      </c>
    </row>
    <row r="687" spans="33:33">
      <c r="AG687" t="s">
        <v>1697</v>
      </c>
    </row>
    <row r="688" spans="33:33">
      <c r="AG688" t="s">
        <v>1698</v>
      </c>
    </row>
    <row r="689" spans="33:33">
      <c r="AG689" t="s">
        <v>1699</v>
      </c>
    </row>
    <row r="690" spans="33:33">
      <c r="AG690" t="s">
        <v>1700</v>
      </c>
    </row>
    <row r="691" spans="33:33">
      <c r="AG691" t="s">
        <v>1701</v>
      </c>
    </row>
    <row r="692" spans="33:33">
      <c r="AG692" t="s">
        <v>1702</v>
      </c>
    </row>
    <row r="693" spans="33:33">
      <c r="AG693" t="s">
        <v>1703</v>
      </c>
    </row>
    <row r="694" spans="33:33">
      <c r="AG694" t="s">
        <v>1704</v>
      </c>
    </row>
    <row r="695" spans="33:33">
      <c r="AG695" t="s">
        <v>1705</v>
      </c>
    </row>
    <row r="696" spans="33:33">
      <c r="AG696" t="s">
        <v>1706</v>
      </c>
    </row>
    <row r="697" spans="33:33">
      <c r="AG697" t="s">
        <v>1707</v>
      </c>
    </row>
    <row r="698" spans="33:33">
      <c r="AG698" t="s">
        <v>1708</v>
      </c>
    </row>
    <row r="699" spans="33:33">
      <c r="AG699" t="s">
        <v>1709</v>
      </c>
    </row>
    <row r="700" spans="33:33">
      <c r="AG700" t="s">
        <v>1710</v>
      </c>
    </row>
    <row r="701" spans="33:33">
      <c r="AG701" t="s">
        <v>1711</v>
      </c>
    </row>
    <row r="702" spans="33:33">
      <c r="AG702" t="s">
        <v>1712</v>
      </c>
    </row>
    <row r="703" spans="33:33">
      <c r="AG703" t="s">
        <v>1713</v>
      </c>
    </row>
    <row r="704" spans="33:33">
      <c r="AG704" t="s">
        <v>1714</v>
      </c>
    </row>
    <row r="705" spans="33:33">
      <c r="AG705" t="s">
        <v>1715</v>
      </c>
    </row>
    <row r="706" spans="33:33">
      <c r="AG706" t="s">
        <v>1716</v>
      </c>
    </row>
    <row r="707" spans="33:33">
      <c r="AG707" t="s">
        <v>1717</v>
      </c>
    </row>
    <row r="708" spans="33:33">
      <c r="AG708" t="s">
        <v>1718</v>
      </c>
    </row>
    <row r="709" spans="33:33">
      <c r="AG709" t="s">
        <v>1719</v>
      </c>
    </row>
    <row r="710" spans="33:33">
      <c r="AG710" t="s">
        <v>1720</v>
      </c>
    </row>
    <row r="711" spans="33:33">
      <c r="AG711" t="s">
        <v>1721</v>
      </c>
    </row>
    <row r="712" spans="33:33">
      <c r="AG712" t="s">
        <v>1722</v>
      </c>
    </row>
    <row r="713" spans="33:33">
      <c r="AG713" t="s">
        <v>1723</v>
      </c>
    </row>
    <row r="714" spans="33:33">
      <c r="AG714" t="s">
        <v>1724</v>
      </c>
    </row>
    <row r="715" spans="33:33">
      <c r="AG715" t="s">
        <v>1725</v>
      </c>
    </row>
    <row r="716" spans="33:33">
      <c r="AG716" t="s">
        <v>1726</v>
      </c>
    </row>
    <row r="717" spans="33:33">
      <c r="AG717" t="s">
        <v>1727</v>
      </c>
    </row>
    <row r="718" spans="33:33">
      <c r="AG718" t="s">
        <v>1728</v>
      </c>
    </row>
    <row r="719" spans="33:33">
      <c r="AG719" t="s">
        <v>1729</v>
      </c>
    </row>
    <row r="720" spans="33:33">
      <c r="AG720" t="s">
        <v>1730</v>
      </c>
    </row>
    <row r="721" spans="33:33">
      <c r="AG721" t="s">
        <v>1731</v>
      </c>
    </row>
    <row r="722" spans="33:33">
      <c r="AG722" t="s">
        <v>1732</v>
      </c>
    </row>
    <row r="723" spans="33:33">
      <c r="AG723" t="s">
        <v>1733</v>
      </c>
    </row>
    <row r="724" spans="33:33">
      <c r="AG724" t="s">
        <v>1734</v>
      </c>
    </row>
    <row r="725" spans="33:33">
      <c r="AG725" t="s">
        <v>1735</v>
      </c>
    </row>
    <row r="726" spans="33:33">
      <c r="AG726" t="s">
        <v>1736</v>
      </c>
    </row>
    <row r="727" spans="33:33">
      <c r="AG727" t="s">
        <v>1737</v>
      </c>
    </row>
    <row r="728" spans="33:33">
      <c r="AG728" t="s">
        <v>1738</v>
      </c>
    </row>
    <row r="729" spans="33:33">
      <c r="AG729" t="s">
        <v>1739</v>
      </c>
    </row>
    <row r="730" spans="33:33">
      <c r="AG730" t="s">
        <v>1740</v>
      </c>
    </row>
    <row r="731" spans="33:33">
      <c r="AG731" t="s">
        <v>1741</v>
      </c>
    </row>
    <row r="732" spans="33:33">
      <c r="AG732" t="s">
        <v>1742</v>
      </c>
    </row>
    <row r="733" spans="33:33">
      <c r="AG733" t="s">
        <v>1743</v>
      </c>
    </row>
    <row r="734" spans="33:33">
      <c r="AG734" t="s">
        <v>1744</v>
      </c>
    </row>
    <row r="735" spans="33:33">
      <c r="AG735" t="s">
        <v>1745</v>
      </c>
    </row>
    <row r="736" spans="33:33">
      <c r="AG736" t="s">
        <v>1746</v>
      </c>
    </row>
    <row r="737" spans="33:33">
      <c r="AG737" t="s">
        <v>1747</v>
      </c>
    </row>
    <row r="738" spans="33:33">
      <c r="AG738" t="s">
        <v>1748</v>
      </c>
    </row>
    <row r="739" spans="33:33">
      <c r="AG739" t="s">
        <v>1749</v>
      </c>
    </row>
    <row r="740" spans="33:33">
      <c r="AG740" t="s">
        <v>1750</v>
      </c>
    </row>
    <row r="741" spans="33:33">
      <c r="AG741" t="s">
        <v>1751</v>
      </c>
    </row>
    <row r="742" spans="33:33">
      <c r="AG742" t="s">
        <v>1752</v>
      </c>
    </row>
    <row r="743" spans="33:33">
      <c r="AG743" t="s">
        <v>1753</v>
      </c>
    </row>
    <row r="744" spans="33:33">
      <c r="AG744" t="s">
        <v>1754</v>
      </c>
    </row>
    <row r="745" spans="33:33">
      <c r="AG745" t="s">
        <v>1755</v>
      </c>
    </row>
    <row r="746" spans="33:33">
      <c r="AG746" t="s">
        <v>1756</v>
      </c>
    </row>
    <row r="747" spans="33:33">
      <c r="AG747" t="s">
        <v>1757</v>
      </c>
    </row>
    <row r="748" spans="33:33">
      <c r="AG748" t="s">
        <v>1758</v>
      </c>
    </row>
    <row r="749" spans="33:33">
      <c r="AG749" t="s">
        <v>1759</v>
      </c>
    </row>
    <row r="750" spans="33:33">
      <c r="AG750" t="s">
        <v>1760</v>
      </c>
    </row>
    <row r="751" spans="33:33">
      <c r="AG751" t="s">
        <v>1761</v>
      </c>
    </row>
    <row r="752" spans="33:33">
      <c r="AG752" t="s">
        <v>1762</v>
      </c>
    </row>
    <row r="753" spans="33:33">
      <c r="AG753" t="s">
        <v>1763</v>
      </c>
    </row>
    <row r="754" spans="33:33">
      <c r="AG754" t="s">
        <v>1764</v>
      </c>
    </row>
    <row r="755" spans="33:33">
      <c r="AG755" t="s">
        <v>1765</v>
      </c>
    </row>
    <row r="756" spans="33:33">
      <c r="AG756" t="s">
        <v>1766</v>
      </c>
    </row>
    <row r="757" spans="33:33">
      <c r="AG757" t="s">
        <v>1767</v>
      </c>
    </row>
    <row r="758" spans="33:33">
      <c r="AG758" t="s">
        <v>1768</v>
      </c>
    </row>
    <row r="759" spans="33:33">
      <c r="AG759" t="s">
        <v>1769</v>
      </c>
    </row>
    <row r="760" spans="33:33">
      <c r="AG760" t="s">
        <v>1770</v>
      </c>
    </row>
    <row r="761" spans="33:33">
      <c r="AG761" t="s">
        <v>1771</v>
      </c>
    </row>
    <row r="762" spans="33:33">
      <c r="AG762" t="s">
        <v>1772</v>
      </c>
    </row>
    <row r="763" spans="33:33">
      <c r="AG763" t="s">
        <v>1773</v>
      </c>
    </row>
    <row r="764" spans="33:33">
      <c r="AG764" t="s">
        <v>1774</v>
      </c>
    </row>
    <row r="765" spans="33:33">
      <c r="AG765" t="s">
        <v>1775</v>
      </c>
    </row>
    <row r="766" spans="33:33">
      <c r="AG766" t="s">
        <v>1776</v>
      </c>
    </row>
    <row r="767" spans="33:33">
      <c r="AG767" t="s">
        <v>1777</v>
      </c>
    </row>
    <row r="768" spans="33:33">
      <c r="AG768" t="s">
        <v>1778</v>
      </c>
    </row>
    <row r="769" spans="33:33">
      <c r="AG769" t="s">
        <v>1779</v>
      </c>
    </row>
    <row r="770" spans="33:33">
      <c r="AG770" t="s">
        <v>1780</v>
      </c>
    </row>
    <row r="771" spans="33:33">
      <c r="AG771" t="s">
        <v>1781</v>
      </c>
    </row>
    <row r="772" spans="33:33">
      <c r="AG772" t="s">
        <v>1782</v>
      </c>
    </row>
    <row r="773" spans="33:33">
      <c r="AG773" t="s">
        <v>1783</v>
      </c>
    </row>
    <row r="774" spans="33:33">
      <c r="AG774" t="s">
        <v>1784</v>
      </c>
    </row>
    <row r="775" spans="33:33">
      <c r="AG775" t="s">
        <v>1785</v>
      </c>
    </row>
    <row r="776" spans="33:33">
      <c r="AG776" t="s">
        <v>1786</v>
      </c>
    </row>
    <row r="777" spans="33:33">
      <c r="AG777" t="s">
        <v>1787</v>
      </c>
    </row>
    <row r="778" spans="33:33">
      <c r="AG778" t="s">
        <v>1788</v>
      </c>
    </row>
    <row r="779" spans="33:33">
      <c r="AG779" t="s">
        <v>1789</v>
      </c>
    </row>
    <row r="780" spans="33:33">
      <c r="AG780" t="s">
        <v>1790</v>
      </c>
    </row>
    <row r="781" spans="33:33">
      <c r="AG781" t="s">
        <v>1791</v>
      </c>
    </row>
    <row r="782" spans="33:33">
      <c r="AG782" t="s">
        <v>1792</v>
      </c>
    </row>
    <row r="783" spans="33:33">
      <c r="AG783" t="s">
        <v>1793</v>
      </c>
    </row>
    <row r="784" spans="33:33">
      <c r="AG784" t="s">
        <v>1794</v>
      </c>
    </row>
    <row r="785" spans="33:33">
      <c r="AG785" t="s">
        <v>1795</v>
      </c>
    </row>
    <row r="786" spans="33:33">
      <c r="AG786" t="s">
        <v>1796</v>
      </c>
    </row>
    <row r="787" spans="33:33">
      <c r="AG787" t="s">
        <v>1797</v>
      </c>
    </row>
    <row r="788" spans="33:33">
      <c r="AG788" t="s">
        <v>1798</v>
      </c>
    </row>
    <row r="789" spans="33:33">
      <c r="AG789" t="s">
        <v>1799</v>
      </c>
    </row>
    <row r="790" spans="33:33">
      <c r="AG790" t="s">
        <v>1800</v>
      </c>
    </row>
    <row r="791" spans="33:33">
      <c r="AG791" t="s">
        <v>1801</v>
      </c>
    </row>
    <row r="792" spans="33:33">
      <c r="AG792" t="s">
        <v>1802</v>
      </c>
    </row>
    <row r="793" spans="33:33">
      <c r="AG793" t="s">
        <v>1803</v>
      </c>
    </row>
    <row r="794" spans="33:33">
      <c r="AG794" t="s">
        <v>1804</v>
      </c>
    </row>
    <row r="795" spans="33:33">
      <c r="AG795" t="s">
        <v>1805</v>
      </c>
    </row>
    <row r="796" spans="33:33">
      <c r="AG796" t="s">
        <v>1806</v>
      </c>
    </row>
    <row r="797" spans="33:33">
      <c r="AG797" t="s">
        <v>1807</v>
      </c>
    </row>
    <row r="798" spans="33:33">
      <c r="AG798" t="s">
        <v>1808</v>
      </c>
    </row>
    <row r="799" spans="33:33">
      <c r="AG799" t="s">
        <v>1809</v>
      </c>
    </row>
    <row r="800" spans="33:33">
      <c r="AG800" t="s">
        <v>1810</v>
      </c>
    </row>
    <row r="801" spans="33:33">
      <c r="AG801" t="s">
        <v>1811</v>
      </c>
    </row>
    <row r="802" spans="33:33">
      <c r="AG802" t="s">
        <v>1812</v>
      </c>
    </row>
    <row r="803" spans="33:33">
      <c r="AG803" t="s">
        <v>1813</v>
      </c>
    </row>
    <row r="804" spans="33:33">
      <c r="AG804" t="s">
        <v>1814</v>
      </c>
    </row>
    <row r="805" spans="33:33">
      <c r="AG805" t="s">
        <v>1815</v>
      </c>
    </row>
    <row r="806" spans="33:33">
      <c r="AG806" t="s">
        <v>1816</v>
      </c>
    </row>
    <row r="807" spans="33:33">
      <c r="AG807" t="s">
        <v>1817</v>
      </c>
    </row>
    <row r="808" spans="33:33">
      <c r="AG808" t="s">
        <v>1818</v>
      </c>
    </row>
    <row r="809" spans="33:33">
      <c r="AG809" t="s">
        <v>1819</v>
      </c>
    </row>
    <row r="810" spans="33:33">
      <c r="AG810" t="s">
        <v>1820</v>
      </c>
    </row>
    <row r="811" spans="33:33">
      <c r="AG811" t="s">
        <v>1821</v>
      </c>
    </row>
    <row r="812" spans="33:33">
      <c r="AG812" t="s">
        <v>1822</v>
      </c>
    </row>
    <row r="813" spans="33:33">
      <c r="AG813" t="s">
        <v>1823</v>
      </c>
    </row>
    <row r="814" spans="33:33">
      <c r="AG814" t="s">
        <v>1824</v>
      </c>
    </row>
    <row r="815" spans="33:33">
      <c r="AG815" t="s">
        <v>1825</v>
      </c>
    </row>
    <row r="816" spans="33:33">
      <c r="AG816" t="s">
        <v>1826</v>
      </c>
    </row>
    <row r="817" spans="33:33">
      <c r="AG817" t="s">
        <v>1827</v>
      </c>
    </row>
    <row r="818" spans="33:33">
      <c r="AG818" t="s">
        <v>1828</v>
      </c>
    </row>
    <row r="819" spans="33:33">
      <c r="AG819" t="s">
        <v>1829</v>
      </c>
    </row>
    <row r="820" spans="33:33">
      <c r="AG820" t="s">
        <v>1830</v>
      </c>
    </row>
    <row r="821" spans="33:33">
      <c r="AG821" t="s">
        <v>1831</v>
      </c>
    </row>
    <row r="822" spans="33:33">
      <c r="AG822" t="s">
        <v>1832</v>
      </c>
    </row>
    <row r="823" spans="33:33">
      <c r="AG823" t="s">
        <v>1833</v>
      </c>
    </row>
    <row r="824" spans="33:33">
      <c r="AG824" t="s">
        <v>1834</v>
      </c>
    </row>
    <row r="825" spans="33:33">
      <c r="AG825" t="s">
        <v>1835</v>
      </c>
    </row>
    <row r="826" spans="33:33">
      <c r="AG826" t="s">
        <v>1836</v>
      </c>
    </row>
    <row r="827" spans="33:33">
      <c r="AG827" t="s">
        <v>1837</v>
      </c>
    </row>
    <row r="828" spans="33:33">
      <c r="AG828" t="s">
        <v>1838</v>
      </c>
    </row>
    <row r="829" spans="33:33">
      <c r="AG829" t="s">
        <v>1839</v>
      </c>
    </row>
    <row r="830" spans="33:33">
      <c r="AG830" t="s">
        <v>1840</v>
      </c>
    </row>
    <row r="831" spans="33:33">
      <c r="AG831" t="s">
        <v>1841</v>
      </c>
    </row>
    <row r="832" spans="33:33">
      <c r="AG832" t="s">
        <v>1842</v>
      </c>
    </row>
    <row r="833" spans="33:33">
      <c r="AG833" t="s">
        <v>1843</v>
      </c>
    </row>
    <row r="834" spans="33:33">
      <c r="AG834" t="s">
        <v>1844</v>
      </c>
    </row>
    <row r="835" spans="33:33">
      <c r="AG835" t="s">
        <v>1845</v>
      </c>
    </row>
    <row r="836" spans="33:33">
      <c r="AG836" t="s">
        <v>1846</v>
      </c>
    </row>
    <row r="837" spans="33:33">
      <c r="AG837" t="s">
        <v>1847</v>
      </c>
    </row>
    <row r="838" spans="33:33">
      <c r="AG838" t="s">
        <v>1848</v>
      </c>
    </row>
    <row r="839" spans="33:33">
      <c r="AG839" t="s">
        <v>1849</v>
      </c>
    </row>
    <row r="840" spans="33:33">
      <c r="AG840" t="s">
        <v>1850</v>
      </c>
    </row>
    <row r="841" spans="33:33">
      <c r="AG841" t="s">
        <v>1851</v>
      </c>
    </row>
    <row r="842" spans="33:33">
      <c r="AG842" t="s">
        <v>1852</v>
      </c>
    </row>
    <row r="843" spans="33:33">
      <c r="AG843" t="s">
        <v>1853</v>
      </c>
    </row>
    <row r="844" spans="33:33">
      <c r="AG844" t="s">
        <v>1854</v>
      </c>
    </row>
    <row r="845" spans="33:33">
      <c r="AG845" t="s">
        <v>1855</v>
      </c>
    </row>
    <row r="846" spans="33:33">
      <c r="AG846" t="s">
        <v>1856</v>
      </c>
    </row>
    <row r="847" spans="33:33">
      <c r="AG847" t="s">
        <v>1857</v>
      </c>
    </row>
    <row r="848" spans="33:33">
      <c r="AG848" t="s">
        <v>1858</v>
      </c>
    </row>
    <row r="849" spans="33:33">
      <c r="AG849" t="s">
        <v>1859</v>
      </c>
    </row>
    <row r="850" spans="33:33">
      <c r="AG850" t="s">
        <v>1860</v>
      </c>
    </row>
    <row r="851" spans="33:33">
      <c r="AG851" t="s">
        <v>1861</v>
      </c>
    </row>
    <row r="852" spans="33:33">
      <c r="AG852" t="s">
        <v>1862</v>
      </c>
    </row>
    <row r="853" spans="33:33">
      <c r="AG853" t="s">
        <v>1863</v>
      </c>
    </row>
    <row r="854" spans="33:33">
      <c r="AG854" t="s">
        <v>1864</v>
      </c>
    </row>
    <row r="855" spans="33:33">
      <c r="AG855" t="s">
        <v>1865</v>
      </c>
    </row>
    <row r="856" spans="33:33">
      <c r="AG856" t="s">
        <v>1866</v>
      </c>
    </row>
    <row r="857" spans="33:33">
      <c r="AG857" t="s">
        <v>1867</v>
      </c>
    </row>
    <row r="858" spans="33:33">
      <c r="AG858" t="s">
        <v>1868</v>
      </c>
    </row>
    <row r="859" spans="33:33">
      <c r="AG859" t="s">
        <v>1869</v>
      </c>
    </row>
    <row r="860" spans="33:33">
      <c r="AG860" t="s">
        <v>1870</v>
      </c>
    </row>
    <row r="861" spans="33:33">
      <c r="AG861" t="s">
        <v>1871</v>
      </c>
    </row>
    <row r="862" spans="33:33">
      <c r="AG862" t="s">
        <v>1872</v>
      </c>
    </row>
    <row r="863" spans="33:33">
      <c r="AG863" t="s">
        <v>1873</v>
      </c>
    </row>
    <row r="864" spans="33:33">
      <c r="AG864" t="s">
        <v>1874</v>
      </c>
    </row>
    <row r="865" spans="33:33">
      <c r="AG865" t="s">
        <v>1875</v>
      </c>
    </row>
    <row r="866" spans="33:33">
      <c r="AG866" t="s">
        <v>1876</v>
      </c>
    </row>
    <row r="867" spans="33:33">
      <c r="AG867" t="s">
        <v>1877</v>
      </c>
    </row>
    <row r="868" spans="33:33">
      <c r="AG868" t="s">
        <v>1878</v>
      </c>
    </row>
    <row r="869" spans="33:33">
      <c r="AG869" t="s">
        <v>1879</v>
      </c>
    </row>
    <row r="870" spans="33:33">
      <c r="AG870" t="s">
        <v>1880</v>
      </c>
    </row>
    <row r="871" spans="33:33">
      <c r="AG871" t="s">
        <v>1881</v>
      </c>
    </row>
    <row r="872" spans="33:33">
      <c r="AG872" t="s">
        <v>1882</v>
      </c>
    </row>
    <row r="873" spans="33:33">
      <c r="AG873" t="s">
        <v>1883</v>
      </c>
    </row>
    <row r="874" spans="33:33">
      <c r="AG874" t="s">
        <v>1884</v>
      </c>
    </row>
    <row r="875" spans="33:33">
      <c r="AG875" t="s">
        <v>1885</v>
      </c>
    </row>
    <row r="876" spans="33:33">
      <c r="AG876" t="s">
        <v>1886</v>
      </c>
    </row>
    <row r="877" spans="33:33">
      <c r="AG877" t="s">
        <v>1887</v>
      </c>
    </row>
    <row r="878" spans="33:33">
      <c r="AG878" t="s">
        <v>1888</v>
      </c>
    </row>
    <row r="879" spans="33:33">
      <c r="AG879" t="s">
        <v>1889</v>
      </c>
    </row>
    <row r="880" spans="33:33">
      <c r="AG880" t="s">
        <v>1890</v>
      </c>
    </row>
    <row r="881" spans="33:33">
      <c r="AG881" t="s">
        <v>1891</v>
      </c>
    </row>
    <row r="882" spans="33:33">
      <c r="AG882" t="s">
        <v>1892</v>
      </c>
    </row>
    <row r="883" spans="33:33">
      <c r="AG883" t="s">
        <v>1893</v>
      </c>
    </row>
    <row r="884" spans="33:33">
      <c r="AG884" t="s">
        <v>1894</v>
      </c>
    </row>
    <row r="885" spans="33:33">
      <c r="AG885" t="s">
        <v>1895</v>
      </c>
    </row>
    <row r="886" spans="33:33">
      <c r="AG886" t="s">
        <v>1896</v>
      </c>
    </row>
    <row r="887" spans="33:33">
      <c r="AG887" t="s">
        <v>1897</v>
      </c>
    </row>
    <row r="888" spans="33:33">
      <c r="AG888" t="s">
        <v>1898</v>
      </c>
    </row>
    <row r="889" spans="33:33">
      <c r="AG889" t="s">
        <v>1899</v>
      </c>
    </row>
    <row r="890" spans="33:33">
      <c r="AG890" t="s">
        <v>1900</v>
      </c>
    </row>
    <row r="891" spans="33:33">
      <c r="AG891" t="s">
        <v>1901</v>
      </c>
    </row>
    <row r="892" spans="33:33">
      <c r="AG892" t="s">
        <v>1902</v>
      </c>
    </row>
    <row r="893" spans="33:33">
      <c r="AG893" t="s">
        <v>1903</v>
      </c>
    </row>
    <row r="894" spans="33:33">
      <c r="AG894" t="s">
        <v>1904</v>
      </c>
    </row>
    <row r="895" spans="33:33">
      <c r="AG895" t="s">
        <v>1905</v>
      </c>
    </row>
    <row r="896" spans="33:33">
      <c r="AG896" t="s">
        <v>1906</v>
      </c>
    </row>
    <row r="897" spans="33:33">
      <c r="AG897" t="s">
        <v>1907</v>
      </c>
    </row>
    <row r="898" spans="33:33">
      <c r="AG898" t="s">
        <v>1908</v>
      </c>
    </row>
    <row r="899" spans="33:33">
      <c r="AG899" t="s">
        <v>1909</v>
      </c>
    </row>
    <row r="900" spans="33:33">
      <c r="AG900" t="s">
        <v>1910</v>
      </c>
    </row>
    <row r="901" spans="33:33">
      <c r="AG901" t="s">
        <v>1911</v>
      </c>
    </row>
    <row r="902" spans="33:33">
      <c r="AG902" t="s">
        <v>1912</v>
      </c>
    </row>
  </sheetData>
  <hyperlinks>
    <hyperlink ref="A1" location="#'3757 - Wall Stickers'!D6" display="Brand"/>
    <hyperlink ref="B1" location="#'3757 - Wall Stickers'!J6" display="Variant Type"/>
    <hyperlink ref="C1" location="#'3757 - Wall Stickers'!L6" display="Variant Details - Variant Grouping (Class 3757)"/>
    <hyperlink ref="D1" location="#'6161 - Wallpaper'!L6" display="Variant Details - Variant Grouping (Class 6161)"/>
    <hyperlink ref="E1" location="#'3757 - Wall Stickers'!AF6" display="Ship Type"/>
    <hyperlink ref="F1" location="#'3757 - Wall Stickers'!AG6" display="Freight Class"/>
    <hyperlink ref="G1" location="#'3757 - Wall Stickers'!AH6" display="Lead Time"/>
    <hyperlink ref="H1" location="#'3757 - Wall Stickers'!AI6" display="Replacement Lead Time"/>
    <hyperlink ref="I1" location="#'Additional Documents'!D6" display="Document Type"/>
    <hyperlink ref="J1" location="#'Additional Documents'!E6" display="Legal Document Type"/>
    <hyperlink ref="K1" location="#'Additional Documents'!F6" display="Document Region"/>
    <hyperlink ref="L1" location="#'3757 - Wall Stickers'!BI6" display="Product Type"/>
    <hyperlink ref="M1" location="#'3757 - Wall Stickers'!BJ6" display="Subject"/>
    <hyperlink ref="N1" location="#'3757 - Wall Stickers'!BK6" display="Surface Type"/>
    <hyperlink ref="O1" location="#'3757 - Wall Stickers'!BL6" display="Material"/>
    <hyperlink ref="P1" location="#'3757 - Wall Stickers'!BM6" display="Compatible Surfaces"/>
    <hyperlink ref="Q1" location="#'3757 - Wall Stickers'!BO6" display="Room Use"/>
    <hyperlink ref="R1" location="#'3757 - Wall Stickers'!BP6" display="Holiday / Occasion"/>
    <hyperlink ref="S1" location="#'3757 - Wall Stickers'!BQ6" display="Country of Origin - Additional Details"/>
    <hyperlink ref="T1" location="#'3757 - Wall Stickers'!BS6" display="Licensed Product Category"/>
    <hyperlink ref="U1" location="#'3757 - Wall Stickers'!BT6" display="Durability"/>
    <hyperlink ref="V1" location="#'3757 - Wall Stickers'!BU6" display="Adjustability Features"/>
    <hyperlink ref="W1" location="#'3757 - Wall Stickers'!BV6" display="Color"/>
    <hyperlink ref="X1" location="#'3757 - Wall Stickers'!BX6" display="Pieces Included"/>
    <hyperlink ref="Y1" location="#'3757 - Wall Stickers'!BY6" display="Movie / Show Series Name"/>
    <hyperlink ref="Z1" location="#'3757 - Wall Stickers'!BZ6" display="General Features"/>
    <hyperlink ref="AA1" location="#'3757 - Wall Stickers'!CA6" display="Age Group"/>
    <hyperlink ref="AB1" location="#'3757 - Wall Stickers'!CE6" display="Commercial Warranty Length"/>
    <hyperlink ref="AC1" location="#'3757 - Wall Stickers'!CF6" display="Wayfair Compliance Verified Program (including Baby Safety Alliance fka JPMA) for this product category"/>
    <hyperlink ref="AD1" location="#'3757 - Wall Stickers'!CG6" display="Uniform Packaging and Labeling Regulations (UPLR) Compliant"/>
    <hyperlink ref="AE1" location="#'3757 - Wall Stickers'!CI6" display="Reason for Restriction"/>
    <hyperlink ref="AF1" location="#'3757 - Wall Stickers'!CJ6" display="ISTA Certified"/>
    <hyperlink ref="AG1" location="#'Additional Chemicals'!C6" display="Chemical"/>
    <hyperlink ref="AH1" location="#'Additional Chemicals'!D6" display="Toxicity"/>
    <hyperlink ref="AI1" location="#'3757 - Wall Stickers'!CO6" display="Country Of Manufacturer"/>
    <hyperlink ref="AJ1" location="#'6161 - Wallpaper'!BI6" display="Product Type"/>
    <hyperlink ref="AK1" location="#'6161 - Wallpaper'!BJ6" display="Pattern"/>
    <hyperlink ref="AL1" location="#'6161 - Wallpaper'!BK6" display="Wallpaper Texture"/>
    <hyperlink ref="AM1" location="#'6161 - Wallpaper'!BL6" display="Application Type"/>
    <hyperlink ref="AN1" location="#'6161 - Wallpaper'!BM6" display="Match Type"/>
    <hyperlink ref="AO1" location="#'6161 - Wallpaper'!BN6" display="Removal Type"/>
    <hyperlink ref="AP1" location="#'6161 - Wallpaper'!BO6" display="Country of Origin - Additional Details"/>
    <hyperlink ref="AQ1" location="#'6161 - Wallpaper'!BP6" display="Supplier Intended and Approved Use"/>
    <hyperlink ref="AR1" location="#'6161 - Wallpaper'!BR6" display="Durability"/>
    <hyperlink ref="AS1" location="#'6161 - Wallpaper'!BS6" display="Designer"/>
    <hyperlink ref="AT1" location="#'6161 - Wallpaper'!BT6" display="Product Care"/>
    <hyperlink ref="AU1" location="#'6161 - Wallpaper'!BU6" display="Color"/>
    <hyperlink ref="AV1" location="#'6161 - Wallpaper'!BW6" display="Wood Species"/>
    <hyperlink ref="AW1" location="#'6161 - Wallpaper'!BX6" display="Sports Team Name"/>
    <hyperlink ref="AX1" location="#'6161 - Wallpaper'!BY6" display="Movie / Show Series Name"/>
    <hyperlink ref="AY1" location="#'6161 - Wallpaper'!CA6" display="General Features"/>
    <hyperlink ref="AZ1" location="#'6161 - Wallpaper'!CB6" display="Material"/>
    <hyperlink ref="BA1" location="#'6161 - Wallpaper'!CC6" display="Age Group"/>
    <hyperlink ref="BB1" location="#'6161 - Wallpaper'!CD6" display="Finish"/>
    <hyperlink ref="BC1" location="#'6161 - Wallpaper'!CJ6" display="Commercial Warranty Length"/>
    <hyperlink ref="BD1" location="#'6161 - Wallpaper'!CK6" display="Wayfair Compliance Verified Program (including Baby Safety Alliance fka JPMA) for this product category"/>
    <hyperlink ref="BE1" location="#'6161 - Wallpaper'!CL6" display="Uniform Packaging and Labeling Regulations (UPLR) Compliant"/>
    <hyperlink ref="BF1" location="#'6161 - Wallpaper'!CN6" display="Reason for Restriction"/>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86</vt:i4>
      </vt:variant>
    </vt:vector>
  </HeadingPairs>
  <TitlesOfParts>
    <vt:vector size="111" baseType="lpstr">
      <vt:lpstr>Instructions</vt:lpstr>
      <vt:lpstr>Error Summary</vt:lpstr>
      <vt:lpstr>WAYFAIR_USE_ONLY</vt:lpstr>
      <vt:lpstr>3757 - Wall Stickers</vt:lpstr>
      <vt:lpstr>3757 - Wall Stickers-WUO_ERR</vt:lpstr>
      <vt:lpstr>3757 - Wall Stickers-WUO_TRK</vt:lpstr>
      <vt:lpstr>6161 - Wallpaper</vt:lpstr>
      <vt:lpstr>6161 - Wallpaper-WUO_ERR</vt:lpstr>
      <vt:lpstr>6161 - Wallpaper-WUO_TRK</vt:lpstr>
      <vt:lpstr>Additional Cartons</vt:lpstr>
      <vt:lpstr>Additional Cartons-WUO_ERR</vt:lpstr>
      <vt:lpstr>Additional Cartons-WUO_TRK</vt:lpstr>
      <vt:lpstr>Additional Images</vt:lpstr>
      <vt:lpstr>Additional Images-WUO_ERR</vt:lpstr>
      <vt:lpstr>Additional Images-WUO_TRK</vt:lpstr>
      <vt:lpstr>Additional Videos</vt:lpstr>
      <vt:lpstr>Additional Videos-WUO_ERR</vt:lpstr>
      <vt:lpstr>Additional Videos-WUO_TRK</vt:lpstr>
      <vt:lpstr>Additional Documents</vt:lpstr>
      <vt:lpstr>Additional Documents-WUO_ERR</vt:lpstr>
      <vt:lpstr>Additional Documents-WUO_TRK</vt:lpstr>
      <vt:lpstr>Additional Chemicals</vt:lpstr>
      <vt:lpstr>Additional Chemicals-WUO_ERR</vt:lpstr>
      <vt:lpstr>Additional Chemicals-WUO_TRK</vt:lpstr>
      <vt:lpstr>Valid Values</vt:lpstr>
      <vt:lpstr>allowed182152</vt:lpstr>
      <vt:lpstr>allowed237073</vt:lpstr>
      <vt:lpstr>allowed237291</vt:lpstr>
      <vt:lpstr>allowed239196</vt:lpstr>
      <vt:lpstr>allowed244672</vt:lpstr>
      <vt:lpstr>allowed245842</vt:lpstr>
      <vt:lpstr>allowed251777</vt:lpstr>
      <vt:lpstr>allowed251781</vt:lpstr>
      <vt:lpstr>allowed299896</vt:lpstr>
      <vt:lpstr>allowed300640</vt:lpstr>
      <vt:lpstr>allowed300666</vt:lpstr>
      <vt:lpstr>allowed302380</vt:lpstr>
      <vt:lpstr>allowed333897</vt:lpstr>
      <vt:lpstr>allowed336807</vt:lpstr>
      <vt:lpstr>allowed336816</vt:lpstr>
      <vt:lpstr>allowed364166</vt:lpstr>
      <vt:lpstr>allowed371810</vt:lpstr>
      <vt:lpstr>allowed371902</vt:lpstr>
      <vt:lpstr>allowed379963</vt:lpstr>
      <vt:lpstr>allowed380379</vt:lpstr>
      <vt:lpstr>allowed381985</vt:lpstr>
      <vt:lpstr>allowed386214</vt:lpstr>
      <vt:lpstr>allowed409341</vt:lpstr>
      <vt:lpstr>allowed421593</vt:lpstr>
      <vt:lpstr>allowed435493</vt:lpstr>
      <vt:lpstr>allowed435497</vt:lpstr>
      <vt:lpstr>allowed436381</vt:lpstr>
      <vt:lpstr>allowed437136</vt:lpstr>
      <vt:lpstr>allowed437142</vt:lpstr>
      <vt:lpstr>allowed486624</vt:lpstr>
      <vt:lpstr>allowed486754</vt:lpstr>
      <vt:lpstr>allowed487304</vt:lpstr>
      <vt:lpstr>allowed71859</vt:lpstr>
      <vt:lpstr>allowed71862</vt:lpstr>
      <vt:lpstr>allowed71864</vt:lpstr>
      <vt:lpstr>allowed71866</vt:lpstr>
      <vt:lpstr>allowed71880</vt:lpstr>
      <vt:lpstr>allowed71893</vt:lpstr>
      <vt:lpstr>allowed83610</vt:lpstr>
      <vt:lpstr>allowed83613</vt:lpstr>
      <vt:lpstr>allowed83614</vt:lpstr>
      <vt:lpstr>allowed83631</vt:lpstr>
      <vt:lpstr>allowed83632</vt:lpstr>
      <vt:lpstr>allowed83633</vt:lpstr>
      <vt:lpstr>allowedcore__manufacturerId</vt:lpstr>
      <vt:lpstr>allowedmedia__documentType</vt:lpstr>
      <vt:lpstr>allowedmedia__legalDocumentType</vt:lpstr>
      <vt:lpstr>allowedmedia__regionType</vt:lpstr>
      <vt:lpstr>allowedpropSixtyFive__chemicalId</vt:lpstr>
      <vt:lpstr>allowedpropSixtyFive__countryOfManufacturer</vt:lpstr>
      <vt:lpstr>allowedpropSixtyFive__toxicity</vt:lpstr>
      <vt:lpstr>allowedshippingAndFulfillment__freightClass</vt:lpstr>
      <vt:lpstr>allowedshippingAndFulfillment__leadTime</vt:lpstr>
      <vt:lpstr>allowedshippingAndFulfillment__replacementLeadTime</vt:lpstr>
      <vt:lpstr>allowedshippingAndFulfillment__shipType</vt:lpstr>
      <vt:lpstr>allowedvariantGrouping__variantGrouping</vt:lpstr>
      <vt:lpstr>allowedvariantGrouping__variantGrouping</vt:lpstr>
      <vt:lpstr>allowedvariantGrouping__variantType</vt:lpstr>
      <vt:lpstr>Class3757Answers</vt:lpstr>
      <vt:lpstr>Class3757Errors</vt:lpstr>
      <vt:lpstr>Class3757Headers</vt:lpstr>
      <vt:lpstr>Class3757Tracker</vt:lpstr>
      <vt:lpstr>Class6161Answers</vt:lpstr>
      <vt:lpstr>Class6161Errors</vt:lpstr>
      <vt:lpstr>Class6161Headers</vt:lpstr>
      <vt:lpstr>Class6161Tracker</vt:lpstr>
      <vt:lpstr>media__documentsAnswers</vt:lpstr>
      <vt:lpstr>media__documentsErrors</vt:lpstr>
      <vt:lpstr>media__documentsHeaders</vt:lpstr>
      <vt:lpstr>media__documentsTracker</vt:lpstr>
      <vt:lpstr>media__imagesAnswers</vt:lpstr>
      <vt:lpstr>media__imagesErrors</vt:lpstr>
      <vt:lpstr>media__imagesHeaders</vt:lpstr>
      <vt:lpstr>media__imagesTracker</vt:lpstr>
      <vt:lpstr>media__videosAnswers</vt:lpstr>
      <vt:lpstr>media__videosErrors</vt:lpstr>
      <vt:lpstr>media__videosHeaders</vt:lpstr>
      <vt:lpstr>media__videosTracker</vt:lpstr>
      <vt:lpstr>propSixtyFive__chemicalsAnswers</vt:lpstr>
      <vt:lpstr>propSixtyFive__chemicalsErrors</vt:lpstr>
      <vt:lpstr>propSixtyFive__chemicalsHeaders</vt:lpstr>
      <vt:lpstr>propSixtyFive__chemicalsTracker</vt:lpstr>
      <vt:lpstr>shippingAndFulfillment__cartonsAnswers</vt:lpstr>
      <vt:lpstr>shippingAndFulfillment__cartonsErrors</vt:lpstr>
      <vt:lpstr>shippingAndFulfillment__cartonsHeaders</vt:lpstr>
      <vt:lpstr>shippingAndFulfillment__cartonsTracker</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2026-05-12T16:01:36Z</dcterms:created>
  <dcterms:modified xsi:type="dcterms:W3CDTF">2026-05-12T16:01:36Z</dcterms:modified>
</cp:coreProperties>
</file>