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Instructions" sheetId="1" r:id="rId1"/>
    <sheet name="Error Summary" sheetId="2" r:id="rId2"/>
    <sheet name="WAYFAIR_USE_ONLY" sheetId="3" state="hidden" r:id="rId3"/>
    <sheet name="6161 - Wallpaper" sheetId="4" r:id="rId4"/>
    <sheet name="6161 - Wallpaper-WUO_ERR" sheetId="5" state="hidden" r:id="rId5"/>
    <sheet name="6161 - Wallpaper-WUO_TRK" sheetId="6" state="hidden" r:id="rId6"/>
    <sheet name="3757 - Wall Stickers" sheetId="7" r:id="rId7"/>
    <sheet name="3757 - Wall Stickers-WUO_ERR" sheetId="8" state="hidden" r:id="rId8"/>
    <sheet name="3757 - Wall Stickers-WUO_TRK" sheetId="9" state="hidden" r:id="rId9"/>
    <sheet name="Additional Cartons" sheetId="10" r:id="rId10"/>
    <sheet name="Additional Cartons-WUO_ERR" sheetId="11" state="hidden" r:id="rId11"/>
    <sheet name="Additional Cartons-WUO_TRK" sheetId="12" state="hidden" r:id="rId12"/>
    <sheet name="Additional Images" sheetId="13" r:id="rId13"/>
    <sheet name="Additional Images-WUO_ERR" sheetId="14" state="hidden" r:id="rId14"/>
    <sheet name="Additional Images-WUO_TRK" sheetId="15" state="hidden" r:id="rId15"/>
    <sheet name="Additional Videos" sheetId="16" r:id="rId16"/>
    <sheet name="Additional Videos-WUO_ERR" sheetId="17" state="hidden" r:id="rId17"/>
    <sheet name="Additional Videos-WUO_TRK" sheetId="18" state="hidden" r:id="rId18"/>
    <sheet name="Additional Documents" sheetId="19" r:id="rId19"/>
    <sheet name="Additional Documents-WUO_ERR" sheetId="20" state="hidden" r:id="rId20"/>
    <sheet name="Additional Documents-WUO_TRK" sheetId="21" state="hidden" r:id="rId21"/>
    <sheet name="Additional Chemicals" sheetId="22" r:id="rId22"/>
    <sheet name="Additional Chemicals-WUO_ERR" sheetId="23" state="hidden" r:id="rId23"/>
    <sheet name="Additional Chemicals-WUO_TRK" sheetId="24" state="hidden" r:id="rId24"/>
    <sheet name="Valid Values" sheetId="25" r:id="rId25"/>
  </sheets>
  <definedNames>
    <definedName name="_xlnm._FilterDatabase" localSheetId="24" hidden="1">'Error Summary'!$A$2:$H$2</definedName>
    <definedName name="allowed182152">'Valid Values'!$BQ$2:$BQ$27</definedName>
    <definedName name="allowed237073">'Valid Values'!$CM$2:$CM$3</definedName>
    <definedName name="allowed237291">'Valid Values'!$AY$2:$AY$3</definedName>
    <definedName name="allowed239196">'Valid Values'!$AB$2:$AB$3</definedName>
    <definedName name="allowed244672">'Valid Values'!$BS$2:$BS$6</definedName>
    <definedName name="allowed245842">'Valid Values'!$Z$2:$Z$6</definedName>
    <definedName name="allowed299896">'Valid Values'!$BU$2:$BU$8</definedName>
    <definedName name="allowed300640">'Valid Values'!$CE$2:$CE$179</definedName>
    <definedName name="allowed300666">'Valid Values'!$AM$2:$AM$179</definedName>
    <definedName name="allowed302380">'Valid Values'!$AL$2:$AL$564</definedName>
    <definedName name="allowed333897">'Valid Values'!$AV$2:$AV$26</definedName>
    <definedName name="allowed336807">'Valid Values'!$BW$2:$BW$20</definedName>
    <definedName name="allowed336816">'Valid Values'!$AD$2:$AD$12</definedName>
    <definedName name="allowed364166">'Valid Values'!$AF$2:$AF$312</definedName>
    <definedName name="allowed371810">'Valid Values'!$AH$2:$AH$36</definedName>
    <definedName name="allowed371902">'Valid Values'!$BY$2:$BY$27</definedName>
    <definedName name="allowed379963">'Valid Values'!$AJ$2:$AJ$21</definedName>
    <definedName name="allowed380379">'Valid Values'!$CA$2:$CA$21</definedName>
    <definedName name="allowed386214">'Valid Values'!$CO$2:$CO$4</definedName>
    <definedName name="allowed409341">'Valid Values'!$CJ$2:$CJ$26</definedName>
    <definedName name="allowed421593">'Valid Values'!$CC$2:$CC$5</definedName>
    <definedName name="allowed435493">'Valid Values'!$CF$2:$CF$10</definedName>
    <definedName name="allowed435497">'Valid Values'!$AN$2:$AN$5</definedName>
    <definedName name="allowed436381">'Valid Values'!$AP$2:$AP$19</definedName>
    <definedName name="allowed437136">'Valid Values'!$AR$2:$AR$15</definedName>
    <definedName name="allowed437142">'Valid Values'!$CH$2:$CH$15</definedName>
    <definedName name="allowed486624">'Valid Values'!$AX$2:$AX$3</definedName>
    <definedName name="allowed486754">'Valid Values'!$CL$2:$CL$3</definedName>
    <definedName name="allowed487304">'Valid Values'!$AT$2:$AT$13</definedName>
    <definedName name="allowed71859">'Valid Values'!$BC$2:$BC$14</definedName>
    <definedName name="allowed71862">'Valid Values'!$BE$2:$BE$33</definedName>
    <definedName name="allowed71864">'Valid Values'!$BG$2:$BG$11</definedName>
    <definedName name="allowed71866">'Valid Values'!$BI$2:$BI$224</definedName>
    <definedName name="allowed71880">'Valid Values'!$BK$2:$BK$27</definedName>
    <definedName name="allowed71893">'Valid Values'!$BM$2:$BM$30</definedName>
    <definedName name="allowed71900">'Valid Values'!$BO$2:$BO$248</definedName>
    <definedName name="allowed83610">'Valid Values'!$L$2:$L$9</definedName>
    <definedName name="allowed83613">'Valid Values'!$N$2:$N$40</definedName>
    <definedName name="allowed83614">'Valid Values'!$P$2:$P$7</definedName>
    <definedName name="allowed83631">'Valid Values'!$R$2:$R$6</definedName>
    <definedName name="allowed83632">'Valid Values'!$T$2:$T$6</definedName>
    <definedName name="allowed83633">'Valid Values'!$V$2:$V$6</definedName>
    <definedName name="allowed83645">'Valid Values'!$X$2:$X$248</definedName>
    <definedName name="allowedcore__manufacturerId">'Valid Values'!$A$2:$A$2</definedName>
    <definedName name="allowedmedia__documentType">'Valid Values'!$I$2:$I$16</definedName>
    <definedName name="allowedmedia__legalDocumentType">'Valid Values'!$J$2:$J$533</definedName>
    <definedName name="allowedmedia__regionType">'Valid Values'!$K$2:$K$5</definedName>
    <definedName name="allowedpropSixtyFive__chemicalId">'Valid Values'!$BA$2:$BA$902</definedName>
    <definedName name="allowedpropSixtyFive__toxicity">'Valid Values'!$BB$2:$BB$3</definedName>
    <definedName name="allowedshippingAndFulfillment__freightClass">'Valid Values'!$F$2:$F$19</definedName>
    <definedName name="allowedshippingAndFulfillment__leadTime">'Valid Values'!$G$2:$G$18</definedName>
    <definedName name="allowedshippingAndFulfillment__replacementLeadTime">'Valid Values'!$H$2:$H$7</definedName>
    <definedName name="allowedshippingAndFulfillment__shipType">'Valid Values'!$E$2:$E$3</definedName>
    <definedName name="allowedvariantGrouping__variantGrouping">'Valid Values'!$C$2:$C$3</definedName>
    <definedName name="allowedvariantGrouping__variantGrouping">'Valid Values'!$D$2:$D$4</definedName>
    <definedName name="allowedvariantGrouping__variantType">'Valid Values'!$B$2:$B$4</definedName>
    <definedName name="Class3757Answers">'3757 - Wall Stickers'!$B$8:$CO$507</definedName>
    <definedName name="Class3757Errors">'3757 - Wall Stickers-WUO_ERR'!$B$8:$CO$507</definedName>
    <definedName name="Class3757Headers">'3757 - Wall Stickers'!$B$4:$CO$4</definedName>
    <definedName name="Class3757Tracker">'3757 - Wall Stickers-WUO_TRK'!$B$8:$CO$507</definedName>
    <definedName name="Class6161Answers">'6161 - Wallpaper'!$B$8:$CR$507</definedName>
    <definedName name="Class6161Errors">'6161 - Wallpaper-WUO_ERR'!$B$8:$CR$507</definedName>
    <definedName name="Class6161Headers">'6161 - Wallpaper'!$B$4:$CR$4</definedName>
    <definedName name="Class6161Tracker">'6161 - Wallpaper-WUO_TRK'!$B$8:$CR$507</definedName>
    <definedName name="GetErrorQuestionDisplayNames">_xlfn.LAMBDA(_xlpm.headers,_xlpm.tracker,_xlpm.errors,   _xlfn.LET(     _xlpm.colSeq, _xlfn.SEQUENCE(1, COLUMNS(_xlpm.tracker)),     _xlpm.colMatrix, _xlfn.MAKEARRAY(ROWS(_xlpm.tracker), COLUMNS(_xlpm.tracker), _xlfn.LAMBDA(_xlpm.r,_xlpm.c, INDEX(_xlpm.colSeq, 1, _xlpm.c))),     _xlpm.filteredCols, _xlfn._xlws.FILTER(       _xlfn.TOCOL(_xlpm.colMatrix),       _xlfn.TOCOL((_xlpm.errors &lt;&gt; "") * (_xlpm.tracker &lt;&gt; "Valid") * (_xlpm.tracker &lt;&gt; "Disabled")),       "QUESTION_PLACEHOLDER"     ),     IF(       AND(ROWS(_xlpm.filteredCols)*COLUMNS(_xlpm.filteredCols)=1, INDEX(_xlpm.filteredCols,1,1)="QUESTION_PLACEHOLDER"),       "",       _xlfn.LET(         _xlpm.cleanColNums, _xlfn.TOCOL(_xlpm.filteredCols, 2),         _xlpm.rawHeaders, INDEX(_xlpm.headers, 1, _xlpm.cleanColNums),         IFERROR(IF(_xlpm.rawHeaders = "", "", _xlpm.rawHeaders), "")       )     )   ) )</definedName>
    <definedName name="GetFilteredProvidedAnswers">_xlfn.LAMBDA(_xlpm.answers,_xlpm.errors,_xlpm.tracker,     _xlfn.LET( _xlpm.filtered, _xlfn._xlws.FILTER(_xlfn.TOCOL(_xlpm.answers), _xlfn.TOCOL((_xlpm.errors &lt;&gt; "") * (_xlpm.tracker &lt;&gt; "Valid") * (_xlpm.tracker &lt;&gt; "Disabled")), "EMPTY_FILTER_PLACEHOLDER"),   _xlpm.final, IF(ROWS(_xlpm.filtered)*COLUMNS(_xlpm.filtered)=1, IF(INDEX(_xlpm.filtered,1,1)="EMPTY_FILTER_PLACEHOLDER", "EMPTY_ERROR", _xlpm.filtered), _xlpm.filtered), _xlpm.result, IF( _xlpm.final="EMPTY_ERROR", "EMPTY_ERROR",  IFERROR(IF(_xlpm.final="", "", _xlpm.final), "EMPTY_ERROR") ),         _xlpm.result     ) )</definedName>
    <definedName name="GetSheetLocationAddresses">_xlfn.LAMBDA(_xlpm.tracker,_xlpm.errors,   _xlfn.LET(     _xlpm.filterCondition, _xlfn.TOCOL((_xlpm.errors &lt;&gt; "") * (_xlpm.tracker &lt;&gt; "Valid") * (_xlpm.tracker &lt;&gt; "Disabled")),     _xlfn._xlws.FILTER(       _xlfn.TOCOL(ADDRESS(_xlfn.SEQUENCE(ROWS(_xlpm.tracker), 1, 8), _xlfn.SEQUENCE(1, COLUMNS(_xlpm.tracker), 2), 4), 2),       _xlpm.filterCondition, ""     )   ) )</definedName>
    <definedName name="GetSheetNameData">_xlfn.LAMBDA(_xlpm.tracker,_xlpm.errors,_xlpm.sheetTitle,   _xlfn.LET(     _xlpm.filterCondition, _xlfn.TOCOL((_xlpm.errors &lt;&gt; "") * (_xlpm.tracker &lt;&gt; "Valid") * (_xlpm.tracker &lt;&gt; "Disabled")),     _xlpm.filteredData, _xlfn._xlws.FILTER(_xlfn.TOCOL(_xlpm.tracker), _xlpm.filterCondition, ""),     IF(_xlpm.filteredData&lt;&gt;"", _xlpm.sheetTitle, "")   ) )</definedName>
    <definedName name="GetSheetProductName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"EMPTY_ERROR",       _xlfn.LET(         _xlpm.rawVals, INDEX(_xlpm.sheetRef, _xlpm.rowNumbers),         IFERROR(IF(_xlpm.rawVals = "", "", _xlpm.rawVals), "EMPTY_ERROR")       )     )   ) )</definedName>
    <definedName name="GetSheetStatusData">_xlfn.LAMBDA(_xlpm.tracker,_xlpm.errors,   _xlfn.LET(     _xlpm.filterCondition, _xlfn.TOCOL((_xlpm.errors &lt;&gt; "") * (_xlpm.tracker &lt;&gt; "Valid") * (_xlpm.tracker &lt;&gt; "Disabled")),     _xlfn._xlws.FILTER(_xlfn.TOCOL(_xlpm.tracker), _xlpm.filterCondition, "")   ) )</definedName>
    <definedName name="GetSheetSupplierPartNumbers">_xlfn.LAMBDA(_xlpm.tracker,_xlpm.errors,_xlpm.sheetRef,   _xlfn.LET(     _xlpm.filterCondition, _xlfn.TOCOL((_xlpm.errors &lt;&gt; "") * (_xlpm.tracker &lt;&gt; "Valid") * (_xlpm.tracker &lt;&gt; "Disabled")),     _xlpm.rowNumbers, _xlfn._xlws.FILTER(       _xlfn.TOCOL(ROW(_xlpm.tracker) * (COLUMN(_xlpm.tracker) / COLUMN(_xlpm.tracker)), 2),       _xlpm.filterCondition, ""     ),     IF(AND(ROWS(_xlpm.rowNumbers)*COLUMNS(_xlpm.rowNumbers)=1, _xlpm.rowNumbers=""),       "",       _xlfn.LET(         _xlpm.rawVals, INDEX(_xlpm.sheetRef, _xlpm.rowNumbers),         IFERROR(IF(_xlpm.rawVals = "", "", _xlpm.rawVals), "")       )     )   ) )</definedName>
    <definedName name="media__documentsAnswers">'Additional Documents'!$B$7:$G$507</definedName>
    <definedName name="media__documentsErrors">'Additional Documents-WUO_ERR'!$B$7:$G$507</definedName>
    <definedName name="media__documentsHeaders">'Additional Documents'!$B$4:$G$4</definedName>
    <definedName name="media__documentsTracker">'Additional Documents-WUO_TRK'!$B$7:$G$507</definedName>
    <definedName name="media__imagesAnswers">'Additional Images'!$B$7:$D$507</definedName>
    <definedName name="media__imagesErrors">'Additional Images-WUO_ERR'!$B$7:$D$507</definedName>
    <definedName name="media__imagesHeaders">'Additional Images'!$B$4:$D$4</definedName>
    <definedName name="media__imagesTracker">'Additional Images-WUO_TRK'!$B$7:$D$507</definedName>
    <definedName name="media__videosAnswers">'Additional Videos'!$B$7:$D$507</definedName>
    <definedName name="media__videosErrors">'Additional Videos-WUO_ERR'!$B$7:$D$507</definedName>
    <definedName name="media__videosHeaders">'Additional Videos'!$B$4:$D$4</definedName>
    <definedName name="media__videosTracker">'Additional Videos-WUO_TRK'!$B$7:$D$507</definedName>
    <definedName name="propSixtyFive__chemicalsAnswers">'Additional Chemicals'!$B$7:$E$507</definedName>
    <definedName name="propSixtyFive__chemicalsErrors">'Additional Chemicals-WUO_ERR'!$B$7:$E$507</definedName>
    <definedName name="propSixtyFive__chemicalsHeaders">'Additional Chemicals'!$B$4:$E$4</definedName>
    <definedName name="propSixtyFive__chemicalsTracker">'Additional Chemicals-WUO_TRK'!$B$7:$E$507</definedName>
    <definedName name="shippingAndFulfillment__cartonsAnswers">'Additional Cartons'!$B$7:$G$507</definedName>
    <definedName name="shippingAndFulfillment__cartonsErrors">'Additional Cartons-WUO_ERR'!$B$7:$G$507</definedName>
    <definedName name="shippingAndFulfillment__cartonsHeaders">'Additional Cartons'!$B$4:$G$4</definedName>
    <definedName name="shippingAndFulfillment__cartonsTracker">'Additional Cartons-WUO_TRK'!$B$7:$G$507</definedName>
  </definedNames>
  <calcPr calcId="124519" fullCalcOnLoad="1"/>
</workbook>
</file>

<file path=xl/comments1.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2.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3.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4.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5.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comments6.xml><?xml version="1.0" encoding="utf-8"?>
<comments xmlns="http://schemas.openxmlformats.org/spreadsheetml/2006/main">
  <authors>
    <author>wayfair</author>
  </authors>
  <commentList>
    <comment ref="B7" authorId="0">
      <text>
        <r>
          <rPr>
            <sz val="8"/>
            <color indexed="81"/>
            <rFont val="Tahoma"/>
            <family val="2"/>
          </rPr>
          <t>If all of your products have the same answer to a question, you can set a default value. Any answer you enter in Row 7 will be applied to all of your product in this class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<sst xmlns="http://schemas.openxmlformats.org/spreadsheetml/2006/main" count="11636" uniqueCount="5822">
  <si>
    <t>New Features</t>
  </si>
  <si>
    <t>Variant Grouping</t>
  </si>
  <si>
    <t>If you have indicated that you will provide variant grouping data via template settings, additional columns for variant grouping information have been added to the class</t>
  </si>
  <si>
    <t>sheet. Enter a common identifier to indicate which part numbers should be grouped together, select attribute(s) to group variants by (or enter custom category if</t>
  </si>
  <si>
    <t>desired category is not included in the dropdown), and provide corresponding variant attribute. Groupings that violate Wayfair's Do Not Join rules will be excluded.</t>
  </si>
  <si>
    <t>If Wayfair detects additional variants, products will be grouped further after submission.</t>
  </si>
  <si>
    <t>Class Sheet Instructions</t>
  </si>
  <si>
    <t>Conditional Formatting</t>
  </si>
  <si>
    <t>Some answers to questions on the spec sheet are dependent on upstream responses, whether they are related to attributes like material type, existence of features</t>
  </si>
  <si>
    <t>or compliance. Real-time cell coloring per the legend indicates whether an input is required, has an error or has a conditional rule applied.</t>
  </si>
  <si>
    <t>Error Guidance</t>
  </si>
  <si>
    <t>Errors are highlighted on the Error Summary Tab which shows a summary of all errors across all sheets with high level details and hyperlinks to the corresponding</t>
  </si>
  <si>
    <t>cell where the error occurred. Additionally, a new Error Status Column at the beginning of each class sheet will show the status of each row and will display the first error</t>
  </si>
  <si>
    <t>error message in that row, and will update as errors are resolved from left to right.</t>
  </si>
  <si>
    <t>All data provided in the class sheet feeds directly to the customer-facing Product Details Page (PDP), optimizes search and enables order fulfillment. Please ensure the</t>
  </si>
  <si>
    <t>data provided is accurate and as detailed as possible.</t>
  </si>
  <si>
    <t>Notes:</t>
  </si>
  <si>
    <t xml:space="preserve">  •  Column headers provide additional information on the data required for each column.</t>
  </si>
  <si>
    <t xml:space="preserve">  •  Completing Recommended and Additional fields further enhances the customer experience and improves the quality of listings for better product discovery.</t>
  </si>
  <si>
    <t xml:space="preserve">  •  Marketing Copy should provide a compelling, informative overview of the product, ensuring it effectively highlights key features, benefits, and use cases.</t>
  </si>
  <si>
    <t xml:space="preserve">       Incorporating comprehensive, descriptive language will enable future enhancements for capturing and improving product tagging.</t>
  </si>
  <si>
    <t xml:space="preserve">       ◦  Provide key selling point(s)/feature(s) that differentiate your product and inform customers about your product and encourage purchase.</t>
  </si>
  <si>
    <t xml:space="preserve">       ◦  Either Marketing Copy OR at least 3 Feature Bullets are required. Feature bullets will be displayed on Wayfair PDP in bulleted form.</t>
  </si>
  <si>
    <t xml:space="preserve">  •  The order in which media is input may not be reflected in order of imagery on the product page.</t>
  </si>
  <si>
    <t xml:space="preserve">  •  If all products in a class have the same answer to a question, a default value can be set. An answer entered in the Default Answer row will be applied to all products</t>
  </si>
  <si>
    <t xml:space="preserve">      in that class automatically. Additional products added to this class in the future will have the same default value applied as well. For any products that have a</t>
  </si>
  <si>
    <t xml:space="preserve">      different answer than others in the class, enter the answer manually to the applicable row to bypass the default just for that question and product.</t>
  </si>
  <si>
    <t>Additional Tabs Instructions</t>
  </si>
  <si>
    <t>Additional Cartons</t>
  </si>
  <si>
    <t>If a product ships in more than 5 cartons, use the Additional Cartons tab to submit data for cartons 6 and beyond. To add additional cartons, provide the Supplier Part</t>
  </si>
  <si>
    <t>Number followed by corresponding data for each carton.</t>
  </si>
  <si>
    <t>Additional Chemicals</t>
  </si>
  <si>
    <t>If your product contains more than 5 chemicals that need to be reported for Proposition 65, use the Additional Chemicals tab to add additional data.</t>
  </si>
  <si>
    <t>Additional Media</t>
  </si>
  <si>
    <t>If a product has more media files than there are columns for in the class sheet, use the Additional Images, Videos or Documents tabs to add additional data.</t>
  </si>
  <si>
    <t xml:space="preserve">  •  A maximum of 3 videos can be shown on a product display page in the media tray. Additional videos can be showcased within Waymore content.</t>
  </si>
  <si>
    <t>Valid Values</t>
  </si>
  <si>
    <t>The Valid Values tab shows all acceptable answers to single- and multi-select questions. Hyperlinks below each column header will bring you to the corresponding</t>
  </si>
  <si>
    <t>values list on this tab.</t>
  </si>
  <si>
    <t>Failed Products</t>
  </si>
  <si>
    <t>The Failed Products tab will only show if products in your template failed to upload. These products will need to be added to a new template and uploaded again.</t>
  </si>
  <si>
    <t>For Mandarin translations of product questions, please click here. All answer inputs should still be provided in English.
点击此处查看所有产品相关问题的中文翻译。</t>
  </si>
  <si>
    <t>Legends</t>
  </si>
  <si>
    <t>Cell Fill Colors</t>
  </si>
  <si>
    <t>Light Red</t>
  </si>
  <si>
    <t>Missing required data</t>
  </si>
  <si>
    <t>Gray</t>
  </si>
  <si>
    <t>Not required/will be autofilled*</t>
  </si>
  <si>
    <t>Red</t>
  </si>
  <si>
    <t>Error/incorrect answer</t>
  </si>
  <si>
    <t>Blue</t>
  </si>
  <si>
    <t>Autofill suggested by Wayfair (review needed)</t>
  </si>
  <si>
    <t>Yellow</t>
  </si>
  <si>
    <t>Warning</t>
  </si>
  <si>
    <t>No fill</t>
  </si>
  <si>
    <t>Validated/no action required</t>
  </si>
  <si>
    <t>* For products that have already been submitted, the entire row will be filled gray and cannot be edited further</t>
  </si>
  <si>
    <t>Data Priority</t>
  </si>
  <si>
    <t>Required</t>
  </si>
  <si>
    <t>Data required for product to be live on site</t>
  </si>
  <si>
    <t>Recommended</t>
  </si>
  <si>
    <t>Not required but recommended to improve search and browse</t>
  </si>
  <si>
    <t>Additional</t>
  </si>
  <si>
    <t>Optional but enhances listings for customers</t>
  </si>
  <si>
    <t>Conditional</t>
  </si>
  <si>
    <t>Data may be required based on prior responses</t>
  </si>
  <si>
    <t>Data Type</t>
  </si>
  <si>
    <t>Text</t>
  </si>
  <si>
    <t>Enter a text-based response</t>
  </si>
  <si>
    <t>Single-Select</t>
  </si>
  <si>
    <t>Select one option from a list of provided options (listed in a dropdown on the cell)</t>
  </si>
  <si>
    <t>Multi-Select</t>
  </si>
  <si>
    <t>Enter one or more options from a list of provided options, separated using a semi-colon (;)</t>
  </si>
  <si>
    <t>Number*</t>
  </si>
  <si>
    <t>Enter a decimal numeric response with up to 2 decimal points</t>
  </si>
  <si>
    <t>Whole Number*</t>
  </si>
  <si>
    <t>Enter an integer (whole number) numeric response</t>
  </si>
  <si>
    <t>Yes or No</t>
  </si>
  <si>
    <t>Enter a Yes, No or Does Not Apply response (listed in a dropdown on the cell)</t>
  </si>
  <si>
    <t>* Does Not Apply is a valid response when applicable</t>
  </si>
  <si>
    <t>{"brand_catalog_id": 1, "previous_upload_id": null, "template_type": "DEFAULT_QUESTIONS", "supplier_id": 65183, "template_context": "STANDARD", "app_version": "v2", "product_count": 0, "default_answers_included": true, "default_answers_supported": true, "use_legacy_excel_format": false, "include_variant_grouping": true, "download_template_request_id": "ef248246-9caa-47cf-8a72-fe67de55ff1e", "sheet_metadata": null, "locale": "en-US", "schema_version_id": 9}</t>
  </si>
  <si>
    <t>Carts &amp; Stands</t>
  </si>
  <si>
    <t>Multimedia Storage</t>
  </si>
  <si>
    <t>Speaker Stands</t>
  </si>
  <si>
    <t>TV Stands &amp; Entertainment Centers</t>
  </si>
  <si>
    <t>Audio Towers</t>
  </si>
  <si>
    <t>Office Chairs</t>
  </si>
  <si>
    <t>Beds</t>
  </si>
  <si>
    <t>Dressers &amp; Chests</t>
  </si>
  <si>
    <t>Nightstands</t>
  </si>
  <si>
    <t>Armoires &amp; Wardrobes</t>
  </si>
  <si>
    <t>Daybeds &amp; Guest Beds</t>
  </si>
  <si>
    <t>Headboards</t>
  </si>
  <si>
    <t>Bedroom Sets</t>
  </si>
  <si>
    <t>Easels</t>
  </si>
  <si>
    <t>Display Cases</t>
  </si>
  <si>
    <t>Lockers</t>
  </si>
  <si>
    <t>Lecterns &amp; Podiums</t>
  </si>
  <si>
    <t>Desks</t>
  </si>
  <si>
    <t>Literature Racks</t>
  </si>
  <si>
    <t>Filing Cabinets</t>
  </si>
  <si>
    <t>Bookcases</t>
  </si>
  <si>
    <t>Classroom Chairs</t>
  </si>
  <si>
    <t>Wall &amp; Accent Mirrors</t>
  </si>
  <si>
    <t>Office Stools</t>
  </si>
  <si>
    <t>Office Sets</t>
  </si>
  <si>
    <t>Stackable &amp; Nesting Chairs</t>
  </si>
  <si>
    <t>Futon Mattresses</t>
  </si>
  <si>
    <t>Pot Racks</t>
  </si>
  <si>
    <t>Plant Stands &amp; Tables</t>
  </si>
  <si>
    <t>Accent Chairs</t>
  </si>
  <si>
    <t>Kitchen Islands</t>
  </si>
  <si>
    <t>Baker's Racks</t>
  </si>
  <si>
    <t>Wine Racks</t>
  </si>
  <si>
    <t>Bar Stools</t>
  </si>
  <si>
    <t>Mantel &amp; Tabletop Clocks</t>
  </si>
  <si>
    <t>Grandfather Clocks / Floor Clocks</t>
  </si>
  <si>
    <t>Conference Tables</t>
  </si>
  <si>
    <t>Folding Tables</t>
  </si>
  <si>
    <t>Coat Racks and Hooks</t>
  </si>
  <si>
    <t>Cafeteria Tables</t>
  </si>
  <si>
    <t>Bars &amp; Bar Sets</t>
  </si>
  <si>
    <t>Electric &amp; Alternative Fuel Fireplaces</t>
  </si>
  <si>
    <t>Portable Tool Storage</t>
  </si>
  <si>
    <t>Patio Tables</t>
  </si>
  <si>
    <t>Projector Screens and Accessories</t>
  </si>
  <si>
    <t>Specialty Filing &amp; Filing Accessories</t>
  </si>
  <si>
    <t>Safes</t>
  </si>
  <si>
    <t>Office Storage Cabinets</t>
  </si>
  <si>
    <t>Patio Sofas</t>
  </si>
  <si>
    <t>Patio Chaise Lounges</t>
  </si>
  <si>
    <t>Patio Umbrellas</t>
  </si>
  <si>
    <t>Patio Dining Sets</t>
  </si>
  <si>
    <t>Outdoor Conversation Sets</t>
  </si>
  <si>
    <t>Shelving &amp; Racks</t>
  </si>
  <si>
    <t>Tool Cabinets</t>
  </si>
  <si>
    <t>Dining Table Sets</t>
  </si>
  <si>
    <t>Dining Tables</t>
  </si>
  <si>
    <t>Vanities</t>
  </si>
  <si>
    <t>Bean Bags</t>
  </si>
  <si>
    <t>Accent Chests / Cabinets</t>
  </si>
  <si>
    <t>Classic Game Tables &amp; Puzzle Tables</t>
  </si>
  <si>
    <t>Sideboards &amp; Buffets</t>
  </si>
  <si>
    <t>Hammocks</t>
  </si>
  <si>
    <t>Area Rugs</t>
  </si>
  <si>
    <t>Dining Chairs</t>
  </si>
  <si>
    <t>China Cabinets</t>
  </si>
  <si>
    <t>Hall Trees</t>
  </si>
  <si>
    <t>Porch Swings</t>
  </si>
  <si>
    <t>Jewelry Armoires</t>
  </si>
  <si>
    <t>Fountains</t>
  </si>
  <si>
    <t>Lighting Shades</t>
  </si>
  <si>
    <t>Fireplace Accessories</t>
  </si>
  <si>
    <t>Blanket Racks &amp; Ladders</t>
  </si>
  <si>
    <t>TV Trays</t>
  </si>
  <si>
    <t>Cutting Boards</t>
  </si>
  <si>
    <t>Rug Pads</t>
  </si>
  <si>
    <t>Folding Chairs</t>
  </si>
  <si>
    <t>Night Lights</t>
  </si>
  <si>
    <t>Changing Tables</t>
  </si>
  <si>
    <t>Dollies</t>
  </si>
  <si>
    <t>Patio Bar Sets</t>
  </si>
  <si>
    <t>Ceiling Fans</t>
  </si>
  <si>
    <t>Patio Umbrella Accessories</t>
  </si>
  <si>
    <t>Gliders</t>
  </si>
  <si>
    <t>Mattress Toppers and Pads</t>
  </si>
  <si>
    <t>TV Stand Accessories</t>
  </si>
  <si>
    <t>Furniture Covers</t>
  </si>
  <si>
    <t>Mount Accessories</t>
  </si>
  <si>
    <t>Room Dividers</t>
  </si>
  <si>
    <t>Bird Baths</t>
  </si>
  <si>
    <t>Bird Feeders</t>
  </si>
  <si>
    <t>Benches</t>
  </si>
  <si>
    <t>Recessed Lighting Housing</t>
  </si>
  <si>
    <t>Lighting Accessories</t>
  </si>
  <si>
    <t>Classroom Desks</t>
  </si>
  <si>
    <t>Stages, Risers and Accessories</t>
  </si>
  <si>
    <t>Rocking Chairs</t>
  </si>
  <si>
    <t>Office Partitions</t>
  </si>
  <si>
    <t>Furniture Cushions</t>
  </si>
  <si>
    <t>Accent Stools</t>
  </si>
  <si>
    <t>Locker Room Benches</t>
  </si>
  <si>
    <t>Living Room Sets</t>
  </si>
  <si>
    <t>Sofas</t>
  </si>
  <si>
    <t>Sectionals</t>
  </si>
  <si>
    <t>Ottomans</t>
  </si>
  <si>
    <t>Listening Centers</t>
  </si>
  <si>
    <t>Outdoor Fireplaces</t>
  </si>
  <si>
    <t>Projectors</t>
  </si>
  <si>
    <t>Light Bulbs</t>
  </si>
  <si>
    <t>Patio Ottomans</t>
  </si>
  <si>
    <t>Planters</t>
  </si>
  <si>
    <t>Toy Boxes and Organizers</t>
  </si>
  <si>
    <t>Rocking Horses</t>
  </si>
  <si>
    <t>Stair Treads</t>
  </si>
  <si>
    <t>Rug Care</t>
  </si>
  <si>
    <t>Kids Chairs</t>
  </si>
  <si>
    <t>Bath Accessories</t>
  </si>
  <si>
    <t>Storage Drawers</t>
  </si>
  <si>
    <t>Cribs</t>
  </si>
  <si>
    <t>Cable Management</t>
  </si>
  <si>
    <t>Locker Accessories</t>
  </si>
  <si>
    <t>Kids Tables and Sets</t>
  </si>
  <si>
    <t>Breakroom Tables</t>
  </si>
  <si>
    <t>Air Mattresses</t>
  </si>
  <si>
    <t>Board &amp; Easel Accessories</t>
  </si>
  <si>
    <t>Bassinets &amp; Cradles</t>
  </si>
  <si>
    <t>Patio Heaters</t>
  </si>
  <si>
    <t>Multi-Child Strollers</t>
  </si>
  <si>
    <t>Trellises</t>
  </si>
  <si>
    <t>Chairmats</t>
  </si>
  <si>
    <t>Dollhouses</t>
  </si>
  <si>
    <t>Mailroom Tables</t>
  </si>
  <si>
    <t>Maps &amp; Atlases</t>
  </si>
  <si>
    <t>Door Bells &amp; Chimes</t>
  </si>
  <si>
    <t>Coffee &amp; Cocktail Tables</t>
  </si>
  <si>
    <t>End Tables</t>
  </si>
  <si>
    <t>Sofa &amp; Console Tables</t>
  </si>
  <si>
    <t>Smoking Urns &amp; Ashtrays</t>
  </si>
  <si>
    <t>Portable Fans</t>
  </si>
  <si>
    <t>Living Room Table Sets</t>
  </si>
  <si>
    <t>Trash Cans &amp; Recycling</t>
  </si>
  <si>
    <t>Jewelry Boxes</t>
  </si>
  <si>
    <t>Massage Chairs</t>
  </si>
  <si>
    <t>Wall Mounted Shelves</t>
  </si>
  <si>
    <t>Home Theater Seating</t>
  </si>
  <si>
    <t>Sheds</t>
  </si>
  <si>
    <t>Trash Can Accessories</t>
  </si>
  <si>
    <t>Baby &amp; Kids Nap Mats and Playmats</t>
  </si>
  <si>
    <t>Ride-On Toys</t>
  </si>
  <si>
    <t>Classroom Storage</t>
  </si>
  <si>
    <t>Canopies</t>
  </si>
  <si>
    <t>Kids Bookcases</t>
  </si>
  <si>
    <t>Laundry Accessories &amp; Storage</t>
  </si>
  <si>
    <t>Vases, Urns, Jars, &amp; Bottles</t>
  </si>
  <si>
    <t>Greenhouses</t>
  </si>
  <si>
    <t>Greenhouse Accessories</t>
  </si>
  <si>
    <t>Shed Accessories</t>
  </si>
  <si>
    <t>Activity Tables</t>
  </si>
  <si>
    <t>Soft Play</t>
  </si>
  <si>
    <t>Mailboxes</t>
  </si>
  <si>
    <t>Mailbox Accessories</t>
  </si>
  <si>
    <t>Mailbox Posts &amp; Stands</t>
  </si>
  <si>
    <t>Address Plaques &amp; Lettering</t>
  </si>
  <si>
    <t>Banner Stands and Booth Displays</t>
  </si>
  <si>
    <t>Toilets</t>
  </si>
  <si>
    <t>Bathroom Sinks</t>
  </si>
  <si>
    <t>Tubs And Whirlpools</t>
  </si>
  <si>
    <t>Cart Accessories &amp; Parts</t>
  </si>
  <si>
    <t>Baking Sheets</t>
  </si>
  <si>
    <t>Pie Pans</t>
  </si>
  <si>
    <t>Cake Pans</t>
  </si>
  <si>
    <t>Fixture Parts And Components</t>
  </si>
  <si>
    <t>Garden Statues</t>
  </si>
  <si>
    <t>Patio Furniture Replacement Slings</t>
  </si>
  <si>
    <t>Vehicle Ports</t>
  </si>
  <si>
    <t>Drains</t>
  </si>
  <si>
    <t>Kitchen Sinks</t>
  </si>
  <si>
    <t>Medicine Cabinets</t>
  </si>
  <si>
    <t>Valves</t>
  </si>
  <si>
    <t>Kitchen Sink Accessories</t>
  </si>
  <si>
    <t>Salt And Pepper Shakers / Grinders (Mills)</t>
  </si>
  <si>
    <t>Blinds and Shades</t>
  </si>
  <si>
    <t>Picture Frames</t>
  </si>
  <si>
    <t>Safe Accessories</t>
  </si>
  <si>
    <t>Kitchen Faucets</t>
  </si>
  <si>
    <t>Bathroom Sink Faucets</t>
  </si>
  <si>
    <t>Range Hoods</t>
  </si>
  <si>
    <t>Science Tables</t>
  </si>
  <si>
    <t>Cooking Utensils</t>
  </si>
  <si>
    <t>Toilet Seats</t>
  </si>
  <si>
    <t>Birdhouses</t>
  </si>
  <si>
    <t>Coolers</t>
  </si>
  <si>
    <t>Play Kitchen Sets</t>
  </si>
  <si>
    <t>Cookware Sets</t>
  </si>
  <si>
    <t>Roasting Pans</t>
  </si>
  <si>
    <t>Bed Frames</t>
  </si>
  <si>
    <t>Saucepans And Sauciers</t>
  </si>
  <si>
    <t>Mobiles</t>
  </si>
  <si>
    <t>Stock Pots, Soup Pots and Multi-Pots</t>
  </si>
  <si>
    <t>Dutch Ovens &amp; Braisers</t>
  </si>
  <si>
    <t>Skillets &amp; Fry Pans</t>
  </si>
  <si>
    <t>Fondue Sets</t>
  </si>
  <si>
    <t>Dinnerware Sets &amp; Place Settings</t>
  </si>
  <si>
    <t>Waterbeds</t>
  </si>
  <si>
    <t>Waterbed Parts And Accessories</t>
  </si>
  <si>
    <t>Slipcovers</t>
  </si>
  <si>
    <t>Under Cabinet Lighting</t>
  </si>
  <si>
    <t>Bidet Faucets</t>
  </si>
  <si>
    <t>Recliners</t>
  </si>
  <si>
    <t>Specialty Faucets</t>
  </si>
  <si>
    <t>Urinals</t>
  </si>
  <si>
    <t>Bidets</t>
  </si>
  <si>
    <t>Blenders, Smoothie Makers &amp; Accessories</t>
  </si>
  <si>
    <t>Mixers &amp; Mixer Accessories</t>
  </si>
  <si>
    <t>Patio Umbrella Stands &amp; Bases</t>
  </si>
  <si>
    <t>Food Processors</t>
  </si>
  <si>
    <t>Ice Cream Makers &amp; Yogurt Makers</t>
  </si>
  <si>
    <t>Slow Cookers</t>
  </si>
  <si>
    <t>Food Dehydrators</t>
  </si>
  <si>
    <t>Vacuum Food Sealers</t>
  </si>
  <si>
    <t>Electric Grills &amp; Skillets</t>
  </si>
  <si>
    <t>Garbage Disposals</t>
  </si>
  <si>
    <t>Juicers</t>
  </si>
  <si>
    <t>Irons, Garment Steamers &amp; Hair Tools</t>
  </si>
  <si>
    <t>Strainers, Colanders, &amp; Salad Spinners</t>
  </si>
  <si>
    <t>Pasta Makers &amp; Accessories</t>
  </si>
  <si>
    <t>Can Openers</t>
  </si>
  <si>
    <t>Popcorn Machines / Nut Roasters</t>
  </si>
  <si>
    <t>Air Fryers</t>
  </si>
  <si>
    <t>Timers</t>
  </si>
  <si>
    <t>Burners &amp; Hot Plates</t>
  </si>
  <si>
    <t>Mops &amp; Mop Accessories</t>
  </si>
  <si>
    <t>Hammock Stands and Accessories</t>
  </si>
  <si>
    <t>Waffle, Pizzelle &amp; Crepe Makers</t>
  </si>
  <si>
    <t>Cradle &amp; Bassinet Bedding</t>
  </si>
  <si>
    <t>Toddler Bedding</t>
  </si>
  <si>
    <t>Crib Bedding Sets</t>
  </si>
  <si>
    <t>Training Tables</t>
  </si>
  <si>
    <t>Game Chairs</t>
  </si>
  <si>
    <t>Vacuums &amp; Steamers</t>
  </si>
  <si>
    <t>Ergonomic Accessories</t>
  </si>
  <si>
    <t>Crib Mattresses</t>
  </si>
  <si>
    <t>Drinking Fountains</t>
  </si>
  <si>
    <t>Utility Sinks</t>
  </si>
  <si>
    <t>Fountain Accessories</t>
  </si>
  <si>
    <t>Refrigerators</t>
  </si>
  <si>
    <t>Swing Sets &amp; Playgrounds</t>
  </si>
  <si>
    <t>Swing Set Accessories</t>
  </si>
  <si>
    <t>Toaster Ovens</t>
  </si>
  <si>
    <t>Slides</t>
  </si>
  <si>
    <t>Coffee Makers</t>
  </si>
  <si>
    <t>Indoor Gardening</t>
  </si>
  <si>
    <t>Wine Refrigerators</t>
  </si>
  <si>
    <t>Microwaves</t>
  </si>
  <si>
    <t>Cabinet Organization</t>
  </si>
  <si>
    <t>Teeter-Totters &amp; Seesaws</t>
  </si>
  <si>
    <t>Sandboxes &amp; Sand Toys</t>
  </si>
  <si>
    <t>Commercial Playground Equipment</t>
  </si>
  <si>
    <t>Indoor Chaise Lounges</t>
  </si>
  <si>
    <t>Espresso Machines</t>
  </si>
  <si>
    <t>Dog Beds &amp; Mats</t>
  </si>
  <si>
    <t>Open Stock Knives and Kitchen Scissors</t>
  </si>
  <si>
    <t>Flatware &amp; Silverware Single Pieces</t>
  </si>
  <si>
    <t>Vehicle Covers</t>
  </si>
  <si>
    <t>Desk Parts</t>
  </si>
  <si>
    <t>Safety Gates</t>
  </si>
  <si>
    <t>Steam</t>
  </si>
  <si>
    <t>Chocolate And Beverage Fountains</t>
  </si>
  <si>
    <t>Bread Machines</t>
  </si>
  <si>
    <t>Coffee Grinders</t>
  </si>
  <si>
    <t>Milk Frothers</t>
  </si>
  <si>
    <t>Coffee &amp; Espresso Accessories</t>
  </si>
  <si>
    <t>Snow Cone Machines &amp; Ice Crushers</t>
  </si>
  <si>
    <t>Garage Floors</t>
  </si>
  <si>
    <t>Futons</t>
  </si>
  <si>
    <t>Fire Pit &amp; Chiminea Accessories</t>
  </si>
  <si>
    <t>Knife Sharpeners</t>
  </si>
  <si>
    <t>Electric Knives</t>
  </si>
  <si>
    <t>Water Coolers &amp; Dispensers</t>
  </si>
  <si>
    <t>Kegerators</t>
  </si>
  <si>
    <t>Lids &amp; Covers</t>
  </si>
  <si>
    <t>Poachers</t>
  </si>
  <si>
    <t>Bar &amp; Wine Tools</t>
  </si>
  <si>
    <t>Space Heaters</t>
  </si>
  <si>
    <t>Christmas Trees</t>
  </si>
  <si>
    <t>Ornaments &amp; Tree Décor</t>
  </si>
  <si>
    <t>Outdoor Decorations</t>
  </si>
  <si>
    <t>Holiday Lighting</t>
  </si>
  <si>
    <t>Chafing Dishes &amp; Accessories</t>
  </si>
  <si>
    <t>Dog and Cat Bowls, Feeders &amp; Accessories</t>
  </si>
  <si>
    <t>Crates and Carriers</t>
  </si>
  <si>
    <t>Smokers</t>
  </si>
  <si>
    <t>Christmas Tree Stands &amp; Accessories</t>
  </si>
  <si>
    <t>Garlands &amp; Swag</t>
  </si>
  <si>
    <t>Woks</t>
  </si>
  <si>
    <t>Ranges</t>
  </si>
  <si>
    <t>Wall Ovens</t>
  </si>
  <si>
    <t>Cooktops</t>
  </si>
  <si>
    <t>Outdoor Sinks &amp; Bar Centers</t>
  </si>
  <si>
    <t>Pool Tables</t>
  </si>
  <si>
    <t>Space Heater Accessories</t>
  </si>
  <si>
    <t>Washing Machines</t>
  </si>
  <si>
    <t>Flatware &amp; Silverware Sets</t>
  </si>
  <si>
    <t>Trampolines</t>
  </si>
  <si>
    <t>Trampoline Accessories &amp; Parts</t>
  </si>
  <si>
    <t>Flatware &amp; Silverware Serving Pieces</t>
  </si>
  <si>
    <t>Picnic Baskets &amp; Coolers</t>
  </si>
  <si>
    <t>Poultry &amp; Meat Preparation Tools</t>
  </si>
  <si>
    <t>Slicers, Peelers And Graters</t>
  </si>
  <si>
    <t>Coasters &amp; Trivets</t>
  </si>
  <si>
    <t>Dartboards And Cabinets</t>
  </si>
  <si>
    <t>Dishwashers</t>
  </si>
  <si>
    <t>Kitchen Gadgets</t>
  </si>
  <si>
    <t>Pet Strollers</t>
  </si>
  <si>
    <t>Rolling Pins</t>
  </si>
  <si>
    <t>Dog Houses</t>
  </si>
  <si>
    <t>Coffee Servers, Airpots &amp; Carafes</t>
  </si>
  <si>
    <t>Stovetop &amp; Electric Tea Kettles</t>
  </si>
  <si>
    <t>Kids Beds</t>
  </si>
  <si>
    <t>Game Table Accessories</t>
  </si>
  <si>
    <t>Table Tennis Tables</t>
  </si>
  <si>
    <t>Sports Fan Shop Products</t>
  </si>
  <si>
    <t>Kids Wall Décor</t>
  </si>
  <si>
    <t>Hot / Cold Tea Accessories</t>
  </si>
  <si>
    <t>Cat Condos &amp; Cat Trees</t>
  </si>
  <si>
    <t>Cabinet and Drawer Pulls</t>
  </si>
  <si>
    <t>Dryers</t>
  </si>
  <si>
    <t>Lawn Games</t>
  </si>
  <si>
    <t>Bird Cages</t>
  </si>
  <si>
    <t>Cat Litter Boxes &amp; Litter Box Enclosures</t>
  </si>
  <si>
    <t>Pet Ramps &amp; Stairs</t>
  </si>
  <si>
    <t>Freezers</t>
  </si>
  <si>
    <t>Decorative Objects</t>
  </si>
  <si>
    <t>Ice Makers</t>
  </si>
  <si>
    <t>Stanchions</t>
  </si>
  <si>
    <t>Pizza Stones, Pans &amp; Peels</t>
  </si>
  <si>
    <t>Bed Skirts</t>
  </si>
  <si>
    <t>Standard Bed Pillow</t>
  </si>
  <si>
    <t>Bedding Sets</t>
  </si>
  <si>
    <t>Candles</t>
  </si>
  <si>
    <t>Boxes, Bins, Baskets, &amp; Buckets</t>
  </si>
  <si>
    <t>Sheets &amp; Pillowcases</t>
  </si>
  <si>
    <t>Cake, Cookie, &amp; Pastry Decoration</t>
  </si>
  <si>
    <t>Bath Rugs &amp; Mats</t>
  </si>
  <si>
    <t>Accent Pillows</t>
  </si>
  <si>
    <t>Dining Linens</t>
  </si>
  <si>
    <t>Wood Fireplaces</t>
  </si>
  <si>
    <t>Av Component Shelving</t>
  </si>
  <si>
    <t>Globes</t>
  </si>
  <si>
    <t>Glassware &amp; Barware</t>
  </si>
  <si>
    <t>Beverage Servers</t>
  </si>
  <si>
    <t>Transformers</t>
  </si>
  <si>
    <t>Mixing Bowls</t>
  </si>
  <si>
    <t>Kitchen Scales</t>
  </si>
  <si>
    <t>Measuring Cups, Spoons, Scoops &amp; Funnels</t>
  </si>
  <si>
    <t>Magazine Racks</t>
  </si>
  <si>
    <t>Potholders</t>
  </si>
  <si>
    <t>Kitchen Towels</t>
  </si>
  <si>
    <t>Kitchen Aprons</t>
  </si>
  <si>
    <t>Decorative Plates &amp; Bowls</t>
  </si>
  <si>
    <t>Food Thermometers</t>
  </si>
  <si>
    <t>Egg Tools</t>
  </si>
  <si>
    <t>Picture &amp; Memory Albums</t>
  </si>
  <si>
    <t>Food Storage &amp; Dispensers</t>
  </si>
  <si>
    <t>Napkin Holders &amp; Paper Towel Holders</t>
  </si>
  <si>
    <t>Utensil Crocks, Caddies, Chests and Spoon Rests</t>
  </si>
  <si>
    <t>Shuffleboards</t>
  </si>
  <si>
    <t>Basketball Games</t>
  </si>
  <si>
    <t>Foosball Tables</t>
  </si>
  <si>
    <t>Hockey Tables</t>
  </si>
  <si>
    <t>Multi Game Tables</t>
  </si>
  <si>
    <t>Small Animal Cages And Habitats</t>
  </si>
  <si>
    <t>Dog Car Accessories</t>
  </si>
  <si>
    <t>Wall Art</t>
  </si>
  <si>
    <t>Mantels</t>
  </si>
  <si>
    <t>Bird Play Stand &amp; Playcenters</t>
  </si>
  <si>
    <t>Treadmills</t>
  </si>
  <si>
    <t>Ellipticals</t>
  </si>
  <si>
    <t>Exercise Bikes</t>
  </si>
  <si>
    <t>Home Gyms</t>
  </si>
  <si>
    <t>Pet Electric Fences/Containment</t>
  </si>
  <si>
    <t>Hardwood Flooring</t>
  </si>
  <si>
    <t>Laminate Flooring</t>
  </si>
  <si>
    <t>Electronic Mounts</t>
  </si>
  <si>
    <t>Wall Clocks</t>
  </si>
  <si>
    <t>Flooring Trim</t>
  </si>
  <si>
    <t>Aquariums &amp; Bowls</t>
  </si>
  <si>
    <t>Sewing Machines &amp; Sergers</t>
  </si>
  <si>
    <t>Camping Tents &amp; Shelters</t>
  </si>
  <si>
    <t>Arcade Games &amp; Slot Machine</t>
  </si>
  <si>
    <t>Hot Tub Accessories</t>
  </si>
  <si>
    <t>Bathroom Safety</t>
  </si>
  <si>
    <t>Crib Conversion Rails</t>
  </si>
  <si>
    <t>Cat Litter Box Accessories</t>
  </si>
  <si>
    <t>Pet Crate &amp; Carrier Accessories</t>
  </si>
  <si>
    <t>Blankets And Throws</t>
  </si>
  <si>
    <t>Duvet Fills and Inserts</t>
  </si>
  <si>
    <t>Shower Curtains</t>
  </si>
  <si>
    <t>Bath Towels</t>
  </si>
  <si>
    <t>Pet Gates</t>
  </si>
  <si>
    <t>Pet Doors</t>
  </si>
  <si>
    <t>Cat Cages &amp; Playpens</t>
  </si>
  <si>
    <t>Pet Bed Accessories &amp; Covers</t>
  </si>
  <si>
    <t>Potting Benches &amp; Tables</t>
  </si>
  <si>
    <t>Hand Dryers</t>
  </si>
  <si>
    <t>Chair Accessories</t>
  </si>
  <si>
    <t>Hooks</t>
  </si>
  <si>
    <t>Brooms and Sweepers</t>
  </si>
  <si>
    <t>Fire Extinguishers</t>
  </si>
  <si>
    <t>Key Organizers</t>
  </si>
  <si>
    <t>Scales</t>
  </si>
  <si>
    <t>Time Clocks &amp; Accessories</t>
  </si>
  <si>
    <t>Signs &amp; Sign Holders</t>
  </si>
  <si>
    <t>Disposable Party Supplies</t>
  </si>
  <si>
    <t>Art Room Supplies</t>
  </si>
  <si>
    <t>Hangers</t>
  </si>
  <si>
    <t>Partition Desks &amp; Cubicles</t>
  </si>
  <si>
    <t>Partition &amp; Panel Hardware Accessories</t>
  </si>
  <si>
    <t>Trash Bags &amp; Liners</t>
  </si>
  <si>
    <t>Classroom Decorations</t>
  </si>
  <si>
    <t>Smoke &amp; CO Detectors</t>
  </si>
  <si>
    <t>Vacuum Accessories</t>
  </si>
  <si>
    <t>Eye Wash Stations</t>
  </si>
  <si>
    <t>Decorative Telephones</t>
  </si>
  <si>
    <t>Cash Handling</t>
  </si>
  <si>
    <t>Restroom Dispensers</t>
  </si>
  <si>
    <t>Drawer Organizers</t>
  </si>
  <si>
    <t>File Boxes</t>
  </si>
  <si>
    <t>Water Coolers/Ice Buckets</t>
  </si>
  <si>
    <t>Table Accessories</t>
  </si>
  <si>
    <t>Flooring Samples</t>
  </si>
  <si>
    <t>Dog Agility Equipment</t>
  </si>
  <si>
    <t>Yoga &amp; Pilates</t>
  </si>
  <si>
    <t>Chicken Coops</t>
  </si>
  <si>
    <t>Desktop Organizers &amp; Desk Pads</t>
  </si>
  <si>
    <t>Sports Display Cases</t>
  </si>
  <si>
    <t>Floor &amp; Wall Tile</t>
  </si>
  <si>
    <t>Ladders</t>
  </si>
  <si>
    <t>Tile Trims</t>
  </si>
  <si>
    <t>Shelving Accessories</t>
  </si>
  <si>
    <t>Vinyl Flooring</t>
  </si>
  <si>
    <t>Furniture Parts</t>
  </si>
  <si>
    <t>Wedding</t>
  </si>
  <si>
    <t>Hampers &amp; Baskets</t>
  </si>
  <si>
    <t>Tailgating Wagons</t>
  </si>
  <si>
    <t>Birding Accessories</t>
  </si>
  <si>
    <t>Flags</t>
  </si>
  <si>
    <t>Landscaping Screens &amp; Bridges</t>
  </si>
  <si>
    <t>Swimming Pools</t>
  </si>
  <si>
    <t>Hot Tubs</t>
  </si>
  <si>
    <t>Garage Storage Cabinets</t>
  </si>
  <si>
    <t>Bike And Sport Racks</t>
  </si>
  <si>
    <t>Workbenches</t>
  </si>
  <si>
    <t>Hose Reels</t>
  </si>
  <si>
    <t>Garage Appliances</t>
  </si>
  <si>
    <t>Slatwall &amp; Pegboard Accessories</t>
  </si>
  <si>
    <t>Locks</t>
  </si>
  <si>
    <t>Compost</t>
  </si>
  <si>
    <t>Fencing &amp; Edging</t>
  </si>
  <si>
    <t>Fabric</t>
  </si>
  <si>
    <t>Ramps</t>
  </si>
  <si>
    <t>Exercise Pens and Yard Kennels</t>
  </si>
  <si>
    <t>Baby Blankets</t>
  </si>
  <si>
    <t>Cat Beds</t>
  </si>
  <si>
    <t>Dog Blankets</t>
  </si>
  <si>
    <t>Pet Grooming Furniture</t>
  </si>
  <si>
    <t>Beer Pong</t>
  </si>
  <si>
    <t>Knife Sets</t>
  </si>
  <si>
    <t>Dog House Accessories</t>
  </si>
  <si>
    <t>Saunas</t>
  </si>
  <si>
    <t>Water Heaters</t>
  </si>
  <si>
    <t>Dumbbells</t>
  </si>
  <si>
    <t>Weight Benches</t>
  </si>
  <si>
    <t>Weight Plates</t>
  </si>
  <si>
    <t>Sauna Accessories</t>
  </si>
  <si>
    <t>Learning Resources</t>
  </si>
  <si>
    <t>Carpet Tile</t>
  </si>
  <si>
    <t>Outdoor Deck Tiles</t>
  </si>
  <si>
    <t>Water Filtration</t>
  </si>
  <si>
    <t>Sports Flags</t>
  </si>
  <si>
    <t>Fitness &amp; Recreational Flooring</t>
  </si>
  <si>
    <t>Bath Exhaust Fans</t>
  </si>
  <si>
    <t>Craft &amp; Sewing Tables</t>
  </si>
  <si>
    <t>Bounce Houses &amp; Inflatable Slides</t>
  </si>
  <si>
    <t>Commercial Ceiling Lighting</t>
  </si>
  <si>
    <t>Commercial Wall Lighting</t>
  </si>
  <si>
    <t>Commercial Outdoor Lighting</t>
  </si>
  <si>
    <t>Commercial Exit And Emergency Lights</t>
  </si>
  <si>
    <t>Commercial Accent Lighting</t>
  </si>
  <si>
    <t>Playhouses &amp; Play Tents</t>
  </si>
  <si>
    <t>Bleachers</t>
  </si>
  <si>
    <t>Chicken Coop Accessories</t>
  </si>
  <si>
    <t>Reptile/Snake Terrariums and Habitats</t>
  </si>
  <si>
    <t>Faux Florals</t>
  </si>
  <si>
    <t>Faux Plants and Trees</t>
  </si>
  <si>
    <t>Switches, Dimmers &amp; Outlets</t>
  </si>
  <si>
    <t>Covers &amp; Carry Bags</t>
  </si>
  <si>
    <t>Grilling Tools &amp; Accessories</t>
  </si>
  <si>
    <t>Grill Parts</t>
  </si>
  <si>
    <t>Grilling &amp; Heating Fuels</t>
  </si>
  <si>
    <t>Deck Boxes</t>
  </si>
  <si>
    <t>Wall Stickers</t>
  </si>
  <si>
    <t>Ironing Boards, Covers &amp; Pads</t>
  </si>
  <si>
    <t>Drying Racks</t>
  </si>
  <si>
    <t>Shoe Storage</t>
  </si>
  <si>
    <t>Bathroom Storage</t>
  </si>
  <si>
    <t>Climbing Toys &amp; Slides</t>
  </si>
  <si>
    <t>Cruets &amp; Condiment Bottles</t>
  </si>
  <si>
    <t>Changing Table Pads &amp; Covers</t>
  </si>
  <si>
    <t>Bedding Accessories</t>
  </si>
  <si>
    <t>Table Top Games &amp; Accessories</t>
  </si>
  <si>
    <t>Towel Warmers</t>
  </si>
  <si>
    <t>Rug Samples</t>
  </si>
  <si>
    <t>Home Brewing</t>
  </si>
  <si>
    <t>Pavers &amp; Cobblestones</t>
  </si>
  <si>
    <t>Body Weight Scales</t>
  </si>
  <si>
    <t>Compact &amp; Mini Fridges</t>
  </si>
  <si>
    <t>Large Appliance Accessories</t>
  </si>
  <si>
    <t>Christmas Stockings &amp; Holders</t>
  </si>
  <si>
    <t>Accent Tiles</t>
  </si>
  <si>
    <t>Enclosures</t>
  </si>
  <si>
    <t>Tool Holders</t>
  </si>
  <si>
    <t>Vanity Tops</t>
  </si>
  <si>
    <t>Vanity Bases</t>
  </si>
  <si>
    <t>Chandeliers</t>
  </si>
  <si>
    <t>Flush Mount Lighting</t>
  </si>
  <si>
    <t>Pendant Lights</t>
  </si>
  <si>
    <t>Wayfair Gift Certificates &amp; Donations</t>
  </si>
  <si>
    <t>Outdoor Hanging Lights</t>
  </si>
  <si>
    <t>Landscape Lighting</t>
  </si>
  <si>
    <t>Post Lanterns</t>
  </si>
  <si>
    <t>Outdoor Wall Lights</t>
  </si>
  <si>
    <t>Luggage Racks</t>
  </si>
  <si>
    <t>Vanity Lighting</t>
  </si>
  <si>
    <t>Wall Sconces</t>
  </si>
  <si>
    <t>Kids Bedroom Sets</t>
  </si>
  <si>
    <t>Kids Headboards</t>
  </si>
  <si>
    <t>Tub Faucets</t>
  </si>
  <si>
    <t>Shower Faucets &amp; Systems</t>
  </si>
  <si>
    <t>Candle Holders</t>
  </si>
  <si>
    <t>Shower &amp; Tub Doors</t>
  </si>
  <si>
    <t>Shower and Bathtub Enclosures</t>
  </si>
  <si>
    <t>Kids Dressers &amp; Chests</t>
  </si>
  <si>
    <t>Kids Nightstands</t>
  </si>
  <si>
    <t>Kids Armoires</t>
  </si>
  <si>
    <t>Flagpoles and Accessories</t>
  </si>
  <si>
    <t>Towel Bars, Racks, and Stands</t>
  </si>
  <si>
    <t>Toilet Paper Holders</t>
  </si>
  <si>
    <t>Patio Dining Chairs</t>
  </si>
  <si>
    <t>Wallpaper</t>
  </si>
  <si>
    <t>Patio Bar Stools</t>
  </si>
  <si>
    <t>Kids Desks</t>
  </si>
  <si>
    <t>Patio Benches</t>
  </si>
  <si>
    <t>Kids Vanities</t>
  </si>
  <si>
    <t>Gas Grills</t>
  </si>
  <si>
    <t>Outdoor Cookers</t>
  </si>
  <si>
    <t>Electric Grills</t>
  </si>
  <si>
    <t>Saute Pans</t>
  </si>
  <si>
    <t>Grill Pans &amp; Griddles</t>
  </si>
  <si>
    <t>Pot Inserts &amp; Steamer Baskets</t>
  </si>
  <si>
    <t>Shower Bases</t>
  </si>
  <si>
    <t>Ceiling Fan Light Kits</t>
  </si>
  <si>
    <t>Outdoor Lanterns &amp; Lamps</t>
  </si>
  <si>
    <t>Camping Cots</t>
  </si>
  <si>
    <t>Air Conditioners</t>
  </si>
  <si>
    <t>Wine Bottle Carriers</t>
  </si>
  <si>
    <t>Floor Lamps</t>
  </si>
  <si>
    <t>Outdoor Showers</t>
  </si>
  <si>
    <t>Curtains &amp; Drapes</t>
  </si>
  <si>
    <t>Valances &amp; Kitchen Curtains</t>
  </si>
  <si>
    <t>Curtain Hardware &amp; Accessories</t>
  </si>
  <si>
    <t>Stained Glass Panels</t>
  </si>
  <si>
    <t>Slatwalls &amp; Pegboards</t>
  </si>
  <si>
    <t>Cotton Candy Makers &amp; Accessories</t>
  </si>
  <si>
    <t>Holiday Decor Storage</t>
  </si>
  <si>
    <t>Closet Systems</t>
  </si>
  <si>
    <t>Spice Jars &amp; Racks</t>
  </si>
  <si>
    <t>Serving Bowls</t>
  </si>
  <si>
    <t>Serving Dishes &amp; Platters</t>
  </si>
  <si>
    <t>Specialty Serving</t>
  </si>
  <si>
    <t>Creamers &amp; Sugar Bowls</t>
  </si>
  <si>
    <t>Changing Stations</t>
  </si>
  <si>
    <t>Scents &amp; Diffusers</t>
  </si>
  <si>
    <t>Mugs &amp; Teacups</t>
  </si>
  <si>
    <t>Holiday Accents &amp; Decor</t>
  </si>
  <si>
    <t>Decorative Trays</t>
  </si>
  <si>
    <t>Judaica</t>
  </si>
  <si>
    <t>Dinnerware Storage</t>
  </si>
  <si>
    <t>Pantry Cabinets</t>
  </si>
  <si>
    <t>Bathroom Hardware Sets</t>
  </si>
  <si>
    <t>Soda Makers</t>
  </si>
  <si>
    <t>Weight Bar</t>
  </si>
  <si>
    <t>Bulletin Boards, Whiteboards, Chalkboards</t>
  </si>
  <si>
    <t>Makeup Vanities</t>
  </si>
  <si>
    <t>Stock &amp; Ready-to-Assemble Kitchen Cabinets</t>
  </si>
  <si>
    <t>Bar Carts</t>
  </si>
  <si>
    <t>Restroom Partitions</t>
  </si>
  <si>
    <t>Dining Bowls</t>
  </si>
  <si>
    <t>Plates &amp; Saucers</t>
  </si>
  <si>
    <t>Flushometer Valves</t>
  </si>
  <si>
    <t>Institutional Furniture Parts &amp; Accessories</t>
  </si>
  <si>
    <t>Mattresses</t>
  </si>
  <si>
    <t>Mattress Foundations</t>
  </si>
  <si>
    <t>Shutters</t>
  </si>
  <si>
    <t>Table Lamps</t>
  </si>
  <si>
    <t>Decorative Torches</t>
  </si>
  <si>
    <t>Dwell Studio</t>
  </si>
  <si>
    <t>Mattress Covers and Protectors</t>
  </si>
  <si>
    <t>Trunks</t>
  </si>
  <si>
    <t>Picture Lights</t>
  </si>
  <si>
    <t>Stair Accessories</t>
  </si>
  <si>
    <t>Interior Doors</t>
  </si>
  <si>
    <t>Toilet Seat Decals</t>
  </si>
  <si>
    <t>Molding &amp; Millwork</t>
  </si>
  <si>
    <t>Door Hardware Accessories</t>
  </si>
  <si>
    <t>Outdoor Pizza Ovens</t>
  </si>
  <si>
    <t>Shower &amp; Tub Accessories</t>
  </si>
  <si>
    <t>Toilet Brushes &amp; Plungers</t>
  </si>
  <si>
    <t>Grab Bars</t>
  </si>
  <si>
    <t>Commercial Floor Care</t>
  </si>
  <si>
    <t>Water Filter Pitchers</t>
  </si>
  <si>
    <t>Bookends</t>
  </si>
  <si>
    <t>Lawn and Beach Chairs</t>
  </si>
  <si>
    <t>Adirondack Chairs</t>
  </si>
  <si>
    <t>Patio Rockers &amp; Gliders</t>
  </si>
  <si>
    <t>Patio Lounge Chairs</t>
  </si>
  <si>
    <t>Tapestries and Wall Hangings</t>
  </si>
  <si>
    <t>Wall Décor</t>
  </si>
  <si>
    <t>Life Size Cutouts</t>
  </si>
  <si>
    <t>Ice Buckets, Beverage Tubs &amp; Chillers</t>
  </si>
  <si>
    <t>Memo Boards</t>
  </si>
  <si>
    <t>Cupolas &amp; Weathervanes</t>
  </si>
  <si>
    <t>Weather Instruments</t>
  </si>
  <si>
    <t>Floor Installation Accessories</t>
  </si>
  <si>
    <t>Floor Underlayments</t>
  </si>
  <si>
    <t>Floor Vent Covers</t>
  </si>
  <si>
    <t>Wallpaper Sample</t>
  </si>
  <si>
    <t>Awnings</t>
  </si>
  <si>
    <t>Shade Sails</t>
  </si>
  <si>
    <t>Gazebos</t>
  </si>
  <si>
    <t>Pergolas</t>
  </si>
  <si>
    <t>Beekeeping Supplies</t>
  </si>
  <si>
    <t>Baking Dishes</t>
  </si>
  <si>
    <t>Muffin &amp; Cupcake Pans</t>
  </si>
  <si>
    <t>Bread &amp; Loaf Pans</t>
  </si>
  <si>
    <t>Bakeware Sets</t>
  </si>
  <si>
    <t>Napkin Rings, Place Card Holders &amp; Food Markers</t>
  </si>
  <si>
    <t>Entry Sets</t>
  </si>
  <si>
    <t>Door Levers</t>
  </si>
  <si>
    <t>Door Knobs</t>
  </si>
  <si>
    <t>Deadbolts</t>
  </si>
  <si>
    <t>Door Stops</t>
  </si>
  <si>
    <t>Door Hinges</t>
  </si>
  <si>
    <t>Canisters &amp; Jars</t>
  </si>
  <si>
    <t>Cabinet Hinges</t>
  </si>
  <si>
    <t>Cabinet and Drawer Backplates</t>
  </si>
  <si>
    <t>Cabinet and Drawer Knobs</t>
  </si>
  <si>
    <t>Drawer Slides</t>
  </si>
  <si>
    <t>Waiting Room &amp; Reception Chairs</t>
  </si>
  <si>
    <t>Reception Sofas</t>
  </si>
  <si>
    <t>Reception Benches</t>
  </si>
  <si>
    <t>Reception Desks</t>
  </si>
  <si>
    <t>Ceiling Tiles</t>
  </si>
  <si>
    <t>Multichannel-Only (MCO) Fulfillment</t>
  </si>
  <si>
    <t>Poker &amp; Card Tables</t>
  </si>
  <si>
    <t>Futon Frames</t>
  </si>
  <si>
    <t>Shade Accessories</t>
  </si>
  <si>
    <t>Cabinet and Drawer Accessories</t>
  </si>
  <si>
    <t>Rain Barrels</t>
  </si>
  <si>
    <t>Food Service Racks &amp; Shelving</t>
  </si>
  <si>
    <t>Shower Panels</t>
  </si>
  <si>
    <t>Shower Heads</t>
  </si>
  <si>
    <t>Arbors</t>
  </si>
  <si>
    <t>Teapots &amp; Teapot Sets</t>
  </si>
  <si>
    <t>Wreaths</t>
  </si>
  <si>
    <t>Radiators</t>
  </si>
  <si>
    <t>Hospitality - Booths</t>
  </si>
  <si>
    <t>Decorative Media Players</t>
  </si>
  <si>
    <t>Exterior Doors</t>
  </si>
  <si>
    <t>Large Appliance Warranties</t>
  </si>
  <si>
    <t>Washer and Dryer Sets</t>
  </si>
  <si>
    <t>Towel Rings</t>
  </si>
  <si>
    <t>Towel &amp; Robe Hooks</t>
  </si>
  <si>
    <t>Dorm Room Furniture</t>
  </si>
  <si>
    <t>Uniters Rugs</t>
  </si>
  <si>
    <t>Small Appliance Warranties</t>
  </si>
  <si>
    <t>String Lights</t>
  </si>
  <si>
    <t>Air Purifiers</t>
  </si>
  <si>
    <t>Humidifiers</t>
  </si>
  <si>
    <t>Air Treatment Accessories</t>
  </si>
  <si>
    <t>Dehumidifiers</t>
  </si>
  <si>
    <t>Log Storage</t>
  </si>
  <si>
    <t>Crib Sheets</t>
  </si>
  <si>
    <t>Crib Bedding Accessories</t>
  </si>
  <si>
    <t>Product Credit</t>
  </si>
  <si>
    <t>Tabletop Fireplaces</t>
  </si>
  <si>
    <t>Peel and Stick Backsplash Tile</t>
  </si>
  <si>
    <t>Kids Step Stools</t>
  </si>
  <si>
    <t>Shower Curtain Rods</t>
  </si>
  <si>
    <t>Wall Paneling</t>
  </si>
  <si>
    <t>House Letters &amp; Numbers</t>
  </si>
  <si>
    <t>Lighting Warranties</t>
  </si>
  <si>
    <t>Handy</t>
  </si>
  <si>
    <t>Soft Seating</t>
  </si>
  <si>
    <t>Uniters Renovation - Plumbing</t>
  </si>
  <si>
    <t>Planter Accessories</t>
  </si>
  <si>
    <t>Charcoal Grills</t>
  </si>
  <si>
    <t>Track Lighting Kits</t>
  </si>
  <si>
    <t>Recessed Lighting Kits</t>
  </si>
  <si>
    <t>Track Lighting Heads &amp; Pendants</t>
  </si>
  <si>
    <t>Track Lighting Tracks, Rails &amp; Connectors</t>
  </si>
  <si>
    <t>Recessed Lighting Trims</t>
  </si>
  <si>
    <t>Wall Organizers, Wall Baskets, and Key Organizers</t>
  </si>
  <si>
    <t>Coffee Pods &amp; K-Cups</t>
  </si>
  <si>
    <t>Curtains, Drapes, &amp; Valences Samples</t>
  </si>
  <si>
    <t>Large Appliances Fulfillment Services</t>
  </si>
  <si>
    <t>Outdoor Structures &amp; Spa Warranties</t>
  </si>
  <si>
    <t>Portable Washers &amp; Dryers</t>
  </si>
  <si>
    <t>Adjustable Beds</t>
  </si>
  <si>
    <t>Closet Organizer Accessories</t>
  </si>
  <si>
    <t>Shower Benches</t>
  </si>
  <si>
    <t>Placemats, Chargers, &amp; Napkins</t>
  </si>
  <si>
    <t>Clothing &amp; Garment Racks</t>
  </si>
  <si>
    <t>Nursery Furniture Sets</t>
  </si>
  <si>
    <t>Wood Pellet Grills</t>
  </si>
  <si>
    <t>Wayfair Registry</t>
  </si>
  <si>
    <t>Beauty Organizers</t>
  </si>
  <si>
    <t>Security Lighting</t>
  </si>
  <si>
    <t>Fireplace Screens &amp; Doors</t>
  </si>
  <si>
    <t>Garden Accents</t>
  </si>
  <si>
    <t>Evaporative Coolers</t>
  </si>
  <si>
    <t>Bathrobes</t>
  </si>
  <si>
    <t>Outdoor Wall Decor</t>
  </si>
  <si>
    <t>Doormats</t>
  </si>
  <si>
    <t>Kitchen Mats</t>
  </si>
  <si>
    <t>Decorative Boxes</t>
  </si>
  <si>
    <t>Microfridge Combo Units</t>
  </si>
  <si>
    <t>Gas Fireplaces</t>
  </si>
  <si>
    <t>Barn Door Hardware</t>
  </si>
  <si>
    <t>Fabric Samples</t>
  </si>
  <si>
    <t>Glass Sample</t>
  </si>
  <si>
    <t>Metal Sample</t>
  </si>
  <si>
    <t>Plastic Sample</t>
  </si>
  <si>
    <t>Ceramic/Stone Sample</t>
  </si>
  <si>
    <t>Wicker/Rattan Sample</t>
  </si>
  <si>
    <t>Textile Sample</t>
  </si>
  <si>
    <t>Thermostats</t>
  </si>
  <si>
    <t>Restaurant Table Bases</t>
  </si>
  <si>
    <t>Restaurant Tables</t>
  </si>
  <si>
    <t>Outdoor Flush Mounts</t>
  </si>
  <si>
    <t>Novelty Lighting</t>
  </si>
  <si>
    <t>Kitchen Appliance Packages</t>
  </si>
  <si>
    <t>Commercial Cooking Equipment</t>
  </si>
  <si>
    <t>Commercial Work Tables</t>
  </si>
  <si>
    <t>Countertop Ovens &amp; Cookers</t>
  </si>
  <si>
    <t>Commercial Ovens &amp; Ranges</t>
  </si>
  <si>
    <t>Commercial Refrigerators &amp; Freezers</t>
  </si>
  <si>
    <t>Knife Storage</t>
  </si>
  <si>
    <t>Buffet Accessories</t>
  </si>
  <si>
    <t>Smart &amp; Electronic Door Locks</t>
  </si>
  <si>
    <t>Privacy Booths</t>
  </si>
  <si>
    <t>Interactive Tables</t>
  </si>
  <si>
    <t>Ceiling Fan Parts and Accessories</t>
  </si>
  <si>
    <t>Bar Equipment &amp; Accessories</t>
  </si>
  <si>
    <t>Footboards</t>
  </si>
  <si>
    <t>Outdoor Kitchens</t>
  </si>
  <si>
    <t>Teen Beds</t>
  </si>
  <si>
    <t>Teen Bookcases</t>
  </si>
  <si>
    <t>Teens Headboards</t>
  </si>
  <si>
    <t>Teen Nightstands</t>
  </si>
  <si>
    <t>Teen Dressers</t>
  </si>
  <si>
    <t>Square Trade - Plumbing Core</t>
  </si>
  <si>
    <t>Square Trade - Plumbing Vanities</t>
  </si>
  <si>
    <t>Changing Table Toppers</t>
  </si>
  <si>
    <t>Square Trade - Upholstery Niche</t>
  </si>
  <si>
    <t>Teacher Desks</t>
  </si>
  <si>
    <t>Study Carrels</t>
  </si>
  <si>
    <t>Toasters</t>
  </si>
  <si>
    <t>Wall Plates</t>
  </si>
  <si>
    <t>Square Trade - Kitchen and Dining</t>
  </si>
  <si>
    <t>Square Trade - Upholstery</t>
  </si>
  <si>
    <t>Square Trade Rugs</t>
  </si>
  <si>
    <t>Square Trade - Youth</t>
  </si>
  <si>
    <t>Square Trade - Office</t>
  </si>
  <si>
    <t>Guest Room Sets</t>
  </si>
  <si>
    <t>Square Trade - Utility Bedding</t>
  </si>
  <si>
    <t>Square Trade - Mattresses</t>
  </si>
  <si>
    <t>Underfloor Heating</t>
  </si>
  <si>
    <t>Can Openers, Food Scales &amp; Packaging Appliances</t>
  </si>
  <si>
    <t>Specialized Food Preparation</t>
  </si>
  <si>
    <t>Design Services</t>
  </si>
  <si>
    <t>Rice Cookers and Food Steamers</t>
  </si>
  <si>
    <t>Water Bottles, Travel Mugs &amp; Tumblers</t>
  </si>
  <si>
    <t>Wood Samples</t>
  </si>
  <si>
    <t>Kitchen Sink Storage</t>
  </si>
  <si>
    <t>Bed Accessories</t>
  </si>
  <si>
    <t>Square Trade - Nursery</t>
  </si>
  <si>
    <t>Square Trade - Hardware</t>
  </si>
  <si>
    <t>Stationery &amp; Coffee Table Books</t>
  </si>
  <si>
    <t>Teen Bedding</t>
  </si>
  <si>
    <t>Beverage Refrigerators &amp; Coolers</t>
  </si>
  <si>
    <t>Reception Sets</t>
  </si>
  <si>
    <t>Commercial Plumbing Parts &amp; Accessories</t>
  </si>
  <si>
    <t>Christmas Tree Skirts &amp; Collars</t>
  </si>
  <si>
    <t>Teen Desks</t>
  </si>
  <si>
    <t>Deep Fryers</t>
  </si>
  <si>
    <t>Square Trade Fireplaces &amp; Grills</t>
  </si>
  <si>
    <t>Square Trade Storage &amp; Organization</t>
  </si>
  <si>
    <t>Playground Flooring</t>
  </si>
  <si>
    <t>Shower Curtain Hooks and Accessories</t>
  </si>
  <si>
    <t>Gift Cards for Physical Store</t>
  </si>
  <si>
    <t>Teen Desk Chairs</t>
  </si>
  <si>
    <t>Kids Cots</t>
  </si>
  <si>
    <t>True Components</t>
  </si>
  <si>
    <t>Pet Food Storage Containers &amp; Treat Jars</t>
  </si>
  <si>
    <t>Restaurant Table Tops</t>
  </si>
  <si>
    <t>One-of-a-Kind Rugs</t>
  </si>
  <si>
    <t>Reading Benches &amp; Chairs</t>
  </si>
  <si>
    <t>Tree &amp; Novelty Garlands</t>
  </si>
  <si>
    <t>Protection Plans</t>
  </si>
  <si>
    <t>Laundry Accessories</t>
  </si>
  <si>
    <t>Shower Walls</t>
  </si>
  <si>
    <t>Fencing Accessories</t>
  </si>
  <si>
    <t>Teen Lounge Furniture</t>
  </si>
  <si>
    <t>Teen Accent Pillows</t>
  </si>
  <si>
    <t>Teen Wall Art</t>
  </si>
  <si>
    <t>Commercial Food Storage &amp; Accessories</t>
  </si>
  <si>
    <t>Teen Wall Décor</t>
  </si>
  <si>
    <t>Teen Tapestries and Wall Hangings</t>
  </si>
  <si>
    <t>Teen Novelty Lighting</t>
  </si>
  <si>
    <t>Live Plants and Trees</t>
  </si>
  <si>
    <t>Turf Flooring</t>
  </si>
  <si>
    <t>Semi-Custom &amp; Custom Kitchen Cabinets</t>
  </si>
  <si>
    <t>Outdoor Privacy Screens and Partitions</t>
  </si>
  <si>
    <t>Admins Can Sell (ACS) - Sales and Service (S&amp;S)</t>
  </si>
  <si>
    <t>Swimming Pool Accessories</t>
  </si>
  <si>
    <t>Baby &amp; Kids Rugs</t>
  </si>
  <si>
    <t>Kids Bedding Sets</t>
  </si>
  <si>
    <t>Cabinet Samples</t>
  </si>
  <si>
    <t>Design Project Class</t>
  </si>
  <si>
    <t>Media &amp; Character Shop</t>
  </si>
  <si>
    <t>Door Lining &amp; Frames</t>
  </si>
  <si>
    <t>Cold Plunges</t>
  </si>
  <si>
    <t>Border</t>
  </si>
  <si>
    <t>Tile</t>
  </si>
  <si>
    <t>Roll</t>
  </si>
  <si>
    <t>Wall Mural</t>
  </si>
  <si>
    <t>Installation Tools</t>
  </si>
  <si>
    <t>Double Roll</t>
  </si>
  <si>
    <t>Adhesives &amp; Tools</t>
  </si>
  <si>
    <t>Panel</t>
  </si>
  <si>
    <t>3D Embossed</t>
  </si>
  <si>
    <t>Flocked</t>
  </si>
  <si>
    <t>Smooth</t>
  </si>
  <si>
    <t>Textured</t>
  </si>
  <si>
    <t>Unavailable</t>
  </si>
  <si>
    <t>Does Not Apply</t>
  </si>
  <si>
    <t>Non-Pasted</t>
  </si>
  <si>
    <t>Pre-Pasted</t>
  </si>
  <si>
    <t>Self-Adhesive</t>
  </si>
  <si>
    <t>United States</t>
  </si>
  <si>
    <t>Canada</t>
  </si>
  <si>
    <t>China</t>
  </si>
  <si>
    <t>Germany</t>
  </si>
  <si>
    <t>India</t>
  </si>
  <si>
    <t>Indonesia</t>
  </si>
  <si>
    <t>Italy</t>
  </si>
  <si>
    <t>Japan</t>
  </si>
  <si>
    <t>Mexico</t>
  </si>
  <si>
    <t>Vietnam</t>
  </si>
  <si>
    <t>United Kingdom</t>
  </si>
  <si>
    <t>Denmark</t>
  </si>
  <si>
    <t>France</t>
  </si>
  <si>
    <t>Sweden</t>
  </si>
  <si>
    <t>Spain</t>
  </si>
  <si>
    <t>Poland</t>
  </si>
  <si>
    <t>Turkey</t>
  </si>
  <si>
    <t>Nepal</t>
  </si>
  <si>
    <t>Iran, Islamic Republic of</t>
  </si>
  <si>
    <t>Uzbekistan</t>
  </si>
  <si>
    <t>Russian Federation</t>
  </si>
  <si>
    <t>Kazakhstan</t>
  </si>
  <si>
    <t>Tajikistan</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</si>
  <si>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</si>
  <si>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</si>
  <si>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</si>
  <si>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</si>
  <si>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</si>
  <si>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</si>
  <si>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</si>
  <si>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</si>
  <si>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</si>
  <si>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</si>
  <si>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</si>
  <si>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</si>
  <si>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</si>
  <si>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</si>
  <si>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</si>
  <si>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</si>
  <si>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</si>
  <si>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</si>
  <si>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</si>
  <si>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</si>
  <si>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</si>
  <si>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</si>
  <si>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</si>
  <si>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</si>
  <si>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</si>
  <si>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</si>
  <si>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</si>
  <si>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</si>
  <si>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</si>
  <si>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</si>
  <si>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</si>
  <si>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</si>
  <si>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</si>
  <si>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</si>
  <si>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</si>
  <si>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</si>
  <si>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</si>
  <si>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</si>
  <si>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Cape Verde</t>
  </si>
  <si>
    <t>Cayman Islands</t>
  </si>
  <si>
    <t>Central African Republic</t>
  </si>
  <si>
    <t>Chad</t>
  </si>
  <si>
    <t>Chile</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</si>
  <si>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</si>
  <si>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</si>
  <si>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</si>
  <si>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</si>
  <si>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</si>
  <si>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</si>
  <si>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</si>
  <si>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</si>
  <si>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</si>
  <si>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</si>
  <si>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</si>
  <si>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</si>
  <si>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</si>
  <si>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</si>
  <si>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</si>
  <si>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</si>
  <si>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</si>
  <si>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</si>
  <si>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</si>
  <si>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</si>
  <si>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</si>
  <si>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</si>
  <si>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</si>
  <si>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</si>
  <si>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</si>
  <si>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</si>
  <si>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</si>
  <si>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French Guiana</t>
  </si>
  <si>
    <t>French Polynesia</t>
  </si>
  <si>
    <t>French Southern Territories</t>
  </si>
  <si>
    <t>Gabon</t>
  </si>
  <si>
    <t>Gambia</t>
  </si>
  <si>
    <t>Georgia</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</si>
  <si>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</si>
  <si>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</si>
  <si>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</si>
  <si>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</si>
  <si>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</si>
  <si>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</si>
  <si>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</si>
  <si>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</si>
  <si>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</si>
  <si>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</si>
  <si>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</si>
  <si>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</si>
  <si>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</si>
  <si>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</si>
  <si>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</si>
  <si>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</si>
  <si>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</si>
  <si>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</si>
  <si>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</si>
  <si>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Iraq</t>
  </si>
  <si>
    <t>Ireland</t>
  </si>
  <si>
    <t>Isle of Man</t>
  </si>
  <si>
    <t>Israel</t>
  </si>
  <si>
    <t>Jamaica</t>
  </si>
  <si>
    <t>Jersey</t>
  </si>
  <si>
    <t>Jordan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</si>
  <si>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</si>
  <si>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</si>
  <si>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</si>
  <si>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</si>
  <si>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</si>
  <si>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</si>
  <si>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</si>
  <si>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</si>
  <si>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</si>
  <si>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</si>
  <si>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</si>
  <si>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</si>
  <si>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</si>
  <si>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</si>
  <si>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</si>
  <si>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</si>
  <si>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</si>
  <si>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</si>
  <si>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</si>
  <si>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</si>
  <si>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</si>
  <si>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</si>
  <si>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</si>
  <si>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</si>
  <si>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</si>
  <si>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</si>
  <si>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</si>
  <si>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</si>
  <si>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Micronesia, Federated States of</t>
  </si>
  <si>
    <t>Moldova, Republic of</t>
  </si>
  <si>
    <t>Monaco</t>
  </si>
  <si>
    <t>Mongolia</t>
  </si>
  <si>
    <t>Montenegro</t>
  </si>
  <si>
    <t>Montserrat</t>
  </si>
  <si>
    <t>Morocco</t>
  </si>
  <si>
    <t>Mozambique</t>
  </si>
  <si>
    <t>Myanmar</t>
  </si>
  <si>
    <t>Namibia</t>
  </si>
  <si>
    <t>Nauru</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</si>
  <si>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</si>
  <si>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</si>
  <si>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</si>
  <si>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</si>
  <si>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</si>
  <si>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</si>
  <si>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</si>
  <si>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</si>
  <si>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</si>
  <si>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</si>
  <si>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</si>
  <si>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</si>
  <si>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</si>
  <si>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</si>
  <si>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</si>
  <si>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</si>
  <si>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</si>
  <si>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</si>
  <si>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</si>
  <si>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</si>
  <si>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</si>
  <si>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Portugal</t>
  </si>
  <si>
    <t>Puerto Rico</t>
  </si>
  <si>
    <t>Qatar</t>
  </si>
  <si>
    <t>Reunion</t>
  </si>
  <si>
    <t>Romania</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</si>
  <si>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</si>
  <si>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</si>
  <si>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</si>
  <si>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</si>
  <si>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</si>
  <si>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</si>
  <si>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</si>
  <si>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</si>
  <si>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</si>
  <si>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</si>
  <si>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</si>
  <si>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</si>
  <si>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</si>
  <si>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</si>
  <si>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</si>
  <si>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</si>
  <si>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</si>
  <si>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</si>
  <si>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</si>
  <si>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</si>
  <si>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</si>
  <si>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</si>
  <si>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</si>
  <si>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Sri Lanka</t>
  </si>
  <si>
    <t>Sudan</t>
  </si>
  <si>
    <t>Suriname</t>
  </si>
  <si>
    <t>Svalbard and Jan Mayen</t>
  </si>
  <si>
    <t>Swaziland</t>
  </si>
  <si>
    <t>Switzerland</t>
  </si>
  <si>
    <t>Syrian Arab Republic</t>
  </si>
  <si>
    <t>Taiwan</t>
  </si>
  <si>
    <t>Tanzania, United Republic of</t>
  </si>
  <si>
    <t>Thailand</t>
  </si>
  <si>
    <t>Timor-Leste</t>
  </si>
  <si>
    <t>Togo</t>
  </si>
  <si>
    <t>Tokelau</t>
  </si>
  <si>
    <t>Tonga</t>
  </si>
  <si>
    <t>Trinidad and Tobago</t>
  </si>
  <si>
    <t>Tunisia</t>
  </si>
  <si>
    <t>Turkmenistan</t>
  </si>
  <si>
    <t>Turks and Caicos Islands</t>
  </si>
  <si>
    <t>Tuvalu</t>
  </si>
  <si>
    <t>Uganda</t>
  </si>
  <si>
    <t>Ukraine</t>
  </si>
  <si>
    <t>United Arab Emirates</t>
  </si>
  <si>
    <t>United States Minor Outlying Islands</t>
  </si>
  <si>
    <t>Uruguay</t>
  </si>
  <si>
    <t>Vanuatu</t>
  </si>
  <si>
    <t>Venezuela</t>
  </si>
  <si>
    <t>Virgin Islands, British</t>
  </si>
  <si>
    <t>Virgin Islands, U.S.</t>
  </si>
  <si>
    <t>Wallis and Futuna</t>
  </si>
  <si>
    <t>Western Sahara</t>
  </si>
  <si>
    <t>Yemen</t>
  </si>
  <si>
    <t>Zambia</t>
  </si>
  <si>
    <t>Zimbabwe</t>
  </si>
  <si>
    <t>Kosovo</t>
  </si>
  <si>
    <t>Yes</t>
  </si>
  <si>
    <t>No</t>
  </si>
  <si>
    <t>30 Days</t>
  </si>
  <si>
    <t>60 Days</t>
  </si>
  <si>
    <t>90 Days</t>
  </si>
  <si>
    <t>6 Months</t>
  </si>
  <si>
    <t>1 Year</t>
  </si>
  <si>
    <t>2 Years</t>
  </si>
  <si>
    <t>3 Years</t>
  </si>
  <si>
    <t>5 Years</t>
  </si>
  <si>
    <t>10 Years</t>
  </si>
  <si>
    <t>20 Years</t>
  </si>
  <si>
    <t>25 Years</t>
  </si>
  <si>
    <t>Lifetime</t>
  </si>
  <si>
    <t>15 Years</t>
  </si>
  <si>
    <t>4 Years</t>
  </si>
  <si>
    <t>18 Months</t>
  </si>
  <si>
    <t>6 Years</t>
  </si>
  <si>
    <t>7 Years</t>
  </si>
  <si>
    <t>8 Years</t>
  </si>
  <si>
    <t>9 Years</t>
  </si>
  <si>
    <t>12 Years</t>
  </si>
  <si>
    <t>11 Years</t>
  </si>
  <si>
    <t>13 Years</t>
  </si>
  <si>
    <t>14 Years</t>
  </si>
  <si>
    <t>No Commercial Warranty</t>
  </si>
  <si>
    <t>Stickalz</t>
  </si>
  <si>
    <t>US</t>
  </si>
  <si>
    <t>UK</t>
  </si>
  <si>
    <t>EU</t>
  </si>
  <si>
    <t>CA</t>
  </si>
  <si>
    <t>A-alpha-C (2-Amino-9H-pyrido[2,3-b]indole)</t>
  </si>
  <si>
    <t>Abiraterone acetate</t>
  </si>
  <si>
    <t>Acetaldehyde</t>
  </si>
  <si>
    <t>Acetamide</t>
  </si>
  <si>
    <t>Acetazolamide</t>
  </si>
  <si>
    <t>Acetochlor</t>
  </si>
  <si>
    <t>Acetohydroxamic acid</t>
  </si>
  <si>
    <t>2-Acetylaminofluorene</t>
  </si>
  <si>
    <t>Acifluorfen sodium</t>
  </si>
  <si>
    <t>Acrylamide</t>
  </si>
  <si>
    <t>Acrylonitrile</t>
  </si>
  <si>
    <t>Actinomycin D</t>
  </si>
  <si>
    <t>AF-2;[2-(2-furyl)-3-(5-nitro-2-furyl)]acrylamide</t>
  </si>
  <si>
    <t>Aflatoxins</t>
  </si>
  <si>
    <t>Alachlor</t>
  </si>
  <si>
    <t>Alcoholic beverages, when associated with alcohol abuse</t>
  </si>
  <si>
    <t>Aldrin</t>
  </si>
  <si>
    <t>All-trans retinoic acid</t>
  </si>
  <si>
    <t>Aloe Vera, non-decolorized whole leaf extract</t>
  </si>
  <si>
    <t>Alprazolam</t>
  </si>
  <si>
    <t>Amantadine hydrochloride</t>
  </si>
  <si>
    <t>Amikacin sulfate</t>
  </si>
  <si>
    <t>2-Aminoanthraquinone</t>
  </si>
  <si>
    <t>p-Aminoazobenzene</t>
  </si>
  <si>
    <t>o-Aminoazotoluene</t>
  </si>
  <si>
    <t>4-Aminobiphenyl (4-aminodiphenyl)</t>
  </si>
  <si>
    <t>1-Amino-2,4-dibromoanthraquinone</t>
  </si>
  <si>
    <t>3-Amino-9-ethylcarbazole hydrochloride</t>
  </si>
  <si>
    <t>2-Aminofluorene</t>
  </si>
  <si>
    <t>Aminoglutethimide</t>
  </si>
  <si>
    <t>Aminoglycosides</t>
  </si>
  <si>
    <t>1-Amino-2-methylanthraquinone</t>
  </si>
  <si>
    <t>2-Amino-5-(5-nitro-2-furyl)-1,3,4-thiadiazole</t>
  </si>
  <si>
    <t>4-Amino-2-nitrophenol</t>
  </si>
  <si>
    <t>Aminopterin</t>
  </si>
  <si>
    <t>Amiodarone hydrochloride</t>
  </si>
  <si>
    <t>Amitraz</t>
  </si>
  <si>
    <t>Amitrole</t>
  </si>
  <si>
    <t>Amoxapine</t>
  </si>
  <si>
    <t>Amsacrine</t>
  </si>
  <si>
    <t>Analgesic mixtures containing Phenacetin</t>
  </si>
  <si>
    <t>Androstenedione</t>
  </si>
  <si>
    <t>Angiotensin converting enzyme  (ACE) inhibitors</t>
  </si>
  <si>
    <t>Aniline</t>
  </si>
  <si>
    <t>Aniline hydrochloride</t>
  </si>
  <si>
    <t>o-Anisidine</t>
  </si>
  <si>
    <t>o-Anisidine hydrochloride</t>
  </si>
  <si>
    <t>Anisindione</t>
  </si>
  <si>
    <t>Anthraquinone</t>
  </si>
  <si>
    <t>Antimony oxide (Antimony trioxide)</t>
  </si>
  <si>
    <t>Aramite</t>
  </si>
  <si>
    <t>Areca nut</t>
  </si>
  <si>
    <t>Aristolochic acids</t>
  </si>
  <si>
    <t>Arsenic (inorganic arsenic compounds)</t>
  </si>
  <si>
    <t>Arsenic (inorganic oxides)</t>
  </si>
  <si>
    <t>Asbestos</t>
  </si>
  <si>
    <t>Aspirin (NOTE: It is especially important not to use aspirin during the last three months of pregnancy, unless specifically directed to do so by a physician because it may cause problems in the unborn child or complications during delivery.)</t>
  </si>
  <si>
    <t>Atenolol</t>
  </si>
  <si>
    <t>Atrazine</t>
  </si>
  <si>
    <t>Auramine</t>
  </si>
  <si>
    <t>Auranofin</t>
  </si>
  <si>
    <t>Avermectin B1 (Abamectin)</t>
  </si>
  <si>
    <t>Azacitidine</t>
  </si>
  <si>
    <t>Azaserine</t>
  </si>
  <si>
    <t>Azathioprine</t>
  </si>
  <si>
    <t>Azobenzene</t>
  </si>
  <si>
    <t>Barbiturates</t>
  </si>
  <si>
    <t>Beclomethasone dipropionate</t>
  </si>
  <si>
    <t>Benomyl</t>
  </si>
  <si>
    <t>Benthiavalicarb-isopropyl</t>
  </si>
  <si>
    <t>Benz[a]anthracene</t>
  </si>
  <si>
    <t>Benzene</t>
  </si>
  <si>
    <t>Benzidine [and its salts]</t>
  </si>
  <si>
    <t>Benzidine-based dyes</t>
  </si>
  <si>
    <t>Benzodiazepines</t>
  </si>
  <si>
    <t>Benzo[b]fluoranthene</t>
  </si>
  <si>
    <t>Benzo[j]fluoranthene</t>
  </si>
  <si>
    <t>Benzo[k]fluoranthene</t>
  </si>
  <si>
    <t>Benzofuran</t>
  </si>
  <si>
    <t>Benzophenone</t>
  </si>
  <si>
    <t>Benzo[a]pyrene</t>
  </si>
  <si>
    <t>Benzotrichloride</t>
  </si>
  <si>
    <t>Benzphetamine hydrochloride</t>
  </si>
  <si>
    <t>Benzyl chloride</t>
  </si>
  <si>
    <t>Benzyl violet 4B</t>
  </si>
  <si>
    <t>Beryllium and beryllium compounds</t>
  </si>
  <si>
    <t>Betel quid with tobacco</t>
  </si>
  <si>
    <t>Betel quid without tobacco</t>
  </si>
  <si>
    <t>2,2-Bis(bromomethyl)-1,3-propanediol</t>
  </si>
  <si>
    <t>Bis(2-chloroethyl)ether</t>
  </si>
  <si>
    <t>N,N-Bis(2-chloroethyl)-2-naphthylamine  (Chlornapazine)</t>
  </si>
  <si>
    <t>Bischloroethyl nitrosourea (BCNU) (Carmustine)</t>
  </si>
  <si>
    <t>Bis(chloromethyl)ether</t>
  </si>
  <si>
    <t>Bis(2-chloro-1-methylethyl)ether,  technical grade</t>
  </si>
  <si>
    <t>Bisphenol A (BPA)</t>
  </si>
  <si>
    <t>Bitumens, extracts of steam-refined and air refined</t>
  </si>
  <si>
    <t>Bracken fern</t>
  </si>
  <si>
    <t>Bromacil lithium salt</t>
  </si>
  <si>
    <t>Bromate</t>
  </si>
  <si>
    <t>Bromochloroacetic acid</t>
  </si>
  <si>
    <t>Bromodichloroacetic acid</t>
  </si>
  <si>
    <t>Bromodichloromethane</t>
  </si>
  <si>
    <t>Bromoethane</t>
  </si>
  <si>
    <t>Bromoform</t>
  </si>
  <si>
    <t>1-Bromopropane (1-BP)</t>
  </si>
  <si>
    <t>Bromoxynil</t>
  </si>
  <si>
    <t>Bromoxynil octanoate</t>
  </si>
  <si>
    <t>Butabarbital sodium</t>
  </si>
  <si>
    <t>1,3-Butadiene</t>
  </si>
  <si>
    <t>1,4-Butanediol dimethanesulfonate (Busulfan)</t>
  </si>
  <si>
    <t>Butylated hydroxyanisole</t>
  </si>
  <si>
    <t>Butyl benzyl phthalate (BBP)d</t>
  </si>
  <si>
    <t>beta-Butyrolactone</t>
  </si>
  <si>
    <t>Cacodylic acid</t>
  </si>
  <si>
    <t>Cadmium</t>
  </si>
  <si>
    <t>Cadmium and cadmium compounds</t>
  </si>
  <si>
    <t>Caffeic acid</t>
  </si>
  <si>
    <t>Captafol</t>
  </si>
  <si>
    <t>Captan</t>
  </si>
  <si>
    <t>Carbamazepine</t>
  </si>
  <si>
    <t>Carbaryl</t>
  </si>
  <si>
    <t>Carbazole</t>
  </si>
  <si>
    <t>Carbon black (airborne, unbound particles of respirable size)</t>
  </si>
  <si>
    <t>Carbon-black extracts</t>
  </si>
  <si>
    <t>Carbon disulfide</t>
  </si>
  <si>
    <t>Carbon monoxide</t>
  </si>
  <si>
    <t>Carbon tetrachloride</t>
  </si>
  <si>
    <t>Carboplatin</t>
  </si>
  <si>
    <t>N-Carboxymethyl-N-nitrosourea</t>
  </si>
  <si>
    <t>Catechol</t>
  </si>
  <si>
    <t>Ceramic fibers (airborne particles of respirable size)</t>
  </si>
  <si>
    <t>Certain combined chemotherapy for lymphomas</t>
  </si>
  <si>
    <t>Chenodiol</t>
  </si>
  <si>
    <t>Chloral</t>
  </si>
  <si>
    <t>Chloral hydrate</t>
  </si>
  <si>
    <t>Chlorambucil</t>
  </si>
  <si>
    <t>Chloramphenicol sodium succinate</t>
  </si>
  <si>
    <t>Chlorcyclizine hydrochloride</t>
  </si>
  <si>
    <t>Chlordane</t>
  </si>
  <si>
    <t>Chlordecone (Kepone)</t>
  </si>
  <si>
    <t>Chlordiazepoxide</t>
  </si>
  <si>
    <t>Chlordiazepoxide hydrochloride</t>
  </si>
  <si>
    <t>Chlordimeform</t>
  </si>
  <si>
    <t>Chlorendic acid</t>
  </si>
  <si>
    <t>Chlorinated paraffins (Average chain length, C12;approximately 60 percent chlorine by weight)</t>
  </si>
  <si>
    <t>p-Chloroaniline</t>
  </si>
  <si>
    <t>p-Chloroaniline hydrochloride</t>
  </si>
  <si>
    <t>Chloroethane (Ethyl chloride)</t>
  </si>
  <si>
    <t>1-(2-Chloroethyl)-3-cyclohexyl-1-nitrosourea (CCNU) (Lomustine)</t>
  </si>
  <si>
    <t>1-(2-Chloroethyl)-3-(4-methylcyclohexyl)-1-nitrosourea (Methyl-CCNU)</t>
  </si>
  <si>
    <t>Chloromethyl methyl ether (technical grade)</t>
  </si>
  <si>
    <t>3-Chloro-2-methylpropene</t>
  </si>
  <si>
    <t>1-Chloro-4-nitrobenzene</t>
  </si>
  <si>
    <t>4-Chloro-o-phenylenediamine</t>
  </si>
  <si>
    <t>Chloroprene</t>
  </si>
  <si>
    <t>Chlorothalonil</t>
  </si>
  <si>
    <t>p-Chloro-o-toluidine</t>
  </si>
  <si>
    <t>p-Chloro-o-toluidine, strong acid salts of</t>
  </si>
  <si>
    <t>5-Chloro-o-toluidine and its strong acid salts</t>
  </si>
  <si>
    <t>Chlorotrianisene</t>
  </si>
  <si>
    <t>Chlorozotocin</t>
  </si>
  <si>
    <t>Chlorpyrifos</t>
  </si>
  <si>
    <t>Chromium (hexavalent compounds)</t>
  </si>
  <si>
    <t>Chrysene</t>
  </si>
  <si>
    <t>C.I. Acid Red 114</t>
  </si>
  <si>
    <t>C.I. Basic Red 9 monohydrochloride</t>
  </si>
  <si>
    <t>C.I. Direct Blue 15</t>
  </si>
  <si>
    <t>C.I. Direct Blue 218</t>
  </si>
  <si>
    <t>C.I. Disperse Yellow 3</t>
  </si>
  <si>
    <t>C.I. Solvent Yellow 14</t>
  </si>
  <si>
    <t>Ciclosporin (Cyclosporin A; Cyclosporine)</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</si>
  <si>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</si>
  <si>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</si>
  <si>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</si>
  <si>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</si>
  <si>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</si>
  <si>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</si>
  <si>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</si>
  <si>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</si>
  <si>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</si>
  <si>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</si>
  <si>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</si>
  <si>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metal powder</t>
  </si>
  <si>
    <t>Cobalt [II] oxide</t>
  </si>
  <si>
    <t>Cobalt sulfate</t>
  </si>
  <si>
    <t>Cobalt sulfate heptahydrate</t>
  </si>
  <si>
    <t>Cocaine</t>
  </si>
  <si>
    <t>Coconut oil diethanolamine condensate (cocamide diethanolamine)</t>
  </si>
  <si>
    <t>Codeine phosphate</t>
  </si>
  <si>
    <t>Coke oven emissions</t>
  </si>
  <si>
    <t>Colchicine</t>
  </si>
  <si>
    <t>Conjugated estrogens</t>
  </si>
  <si>
    <t>Creosotes</t>
  </si>
  <si>
    <t>p-Cresidine</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</si>
  <si>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</si>
  <si>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</si>
  <si>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</si>
  <si>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</si>
  <si>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</si>
  <si>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</si>
  <si>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</si>
  <si>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</si>
  <si>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</si>
  <si>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</si>
  <si>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</si>
  <si>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</si>
  <si>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</si>
  <si>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8</t>
  </si>
  <si>
    <t>D&amp;C Red No. 9</t>
  </si>
  <si>
    <t>D&amp;C Red No. 19</t>
  </si>
  <si>
    <t>Dacarbazine</t>
  </si>
  <si>
    <t>Daminozide</t>
  </si>
  <si>
    <t>Danazol</t>
  </si>
  <si>
    <t>Dantron (Chrysazin; 1,8-Dihydroxyanthraquinone)</t>
  </si>
  <si>
    <t>Daunomycin</t>
  </si>
  <si>
    <t xml:space="preserve">Daunorubicin hydrochloride </t>
  </si>
  <si>
    <t>2,4-D butyric acid</t>
  </si>
  <si>
    <t>DDD (Dichlorodiphenyl-dichloroethane)</t>
  </si>
  <si>
    <t>DDE (Dichlorodiphenyl-dichloroethylene)</t>
  </si>
  <si>
    <t>DDT (Dichlorodiphenyl-trichloroethane)</t>
  </si>
  <si>
    <t>o,p'-DDT</t>
  </si>
  <si>
    <t>p,p'-DDT</t>
  </si>
  <si>
    <t>DDVP (Dichlorvos)</t>
  </si>
  <si>
    <t>Demeclocycline hydrochloride (internal use)</t>
  </si>
  <si>
    <t>Des-ethyl atrazine (DEA)</t>
  </si>
  <si>
    <t>Des-isopropyl atrazine (DIA)</t>
  </si>
  <si>
    <t>N,N'-Diacetylbenzidine</t>
  </si>
  <si>
    <t>2,4-Diaminoanisole</t>
  </si>
  <si>
    <t>2,4-Diaminoanisole sulfate</t>
  </si>
  <si>
    <t>2,4-Diamino-6-chloro-s-triazine (DACT)</t>
  </si>
  <si>
    <t>4,4'-Diaminodiphenyl ether (4,4'-Oxydianiline)</t>
  </si>
  <si>
    <t>2,4-Diaminotoluene</t>
  </si>
  <si>
    <t>Diazepam</t>
  </si>
  <si>
    <t>Diazoaminobenzene</t>
  </si>
  <si>
    <t>Diazoxide</t>
  </si>
  <si>
    <t>Dibenz[a,h]acridine</t>
  </si>
  <si>
    <t>Dibenz[a,j]acridine</t>
  </si>
  <si>
    <t>Dibenzanthracenes</t>
  </si>
  <si>
    <t>Dibenz[a,c]anthracene</t>
  </si>
  <si>
    <t>Dibenz[a,h]anthracene</t>
  </si>
  <si>
    <t>Dibenz[a,j]anthracene</t>
  </si>
  <si>
    <t>7H-Dibenzo[c,g]carbazole</t>
  </si>
  <si>
    <t>Dibenzo[a,e]pyrene</t>
  </si>
  <si>
    <t>Dibenzo[a,h]pyrene</t>
  </si>
  <si>
    <t>Dibenzo[a,i]pyrene</t>
  </si>
  <si>
    <t>Dibenzo[a,l]pyrene</t>
  </si>
  <si>
    <t>Dibromoacetic acid</t>
  </si>
  <si>
    <t>Dibromoacetonitrile</t>
  </si>
  <si>
    <t>2,3-Dibromo-1-propanol</t>
  </si>
  <si>
    <t>Dichloroacetic acid</t>
  </si>
  <si>
    <t>p-Dichlorobenzene</t>
  </si>
  <si>
    <t>3,3'-Dichlorobenzidine</t>
  </si>
  <si>
    <t>3,3'-Dichlorobenzidine dihydrochloride</t>
  </si>
  <si>
    <t>1,1-Dichloro-2,2-bis(p-chloropheny)ethylene (DDE)</t>
  </si>
  <si>
    <t>1,4-Dichloro-2-butene</t>
  </si>
  <si>
    <t>3,3'-Dichloro-4,4'-diamino-diphenyl ether</t>
  </si>
  <si>
    <t>1,1-Dichloroethane</t>
  </si>
  <si>
    <t>Dichloromethane (Methylene chloride)</t>
  </si>
  <si>
    <t>Dichlorophene</t>
  </si>
  <si>
    <t>Dichlorphenamide</t>
  </si>
  <si>
    <t>1,2-Dichloropropane</t>
  </si>
  <si>
    <t>1,3-Dichloro-2-propanol (1,3-DCP)</t>
  </si>
  <si>
    <t>1,3-Dichloropropene</t>
  </si>
  <si>
    <t>Dicumarol</t>
  </si>
  <si>
    <t>Dieldrin</t>
  </si>
  <si>
    <t>Diepoxybutane</t>
  </si>
  <si>
    <t>Diesel engine exhaust</t>
  </si>
  <si>
    <t>Diethanolamine</t>
  </si>
  <si>
    <t>Di(2-ethylhexyl)phthalate (DEHP)</t>
  </si>
  <si>
    <t>1,2-Diethylhydrazine</t>
  </si>
  <si>
    <t>Diethylstilbestrol (DES)</t>
  </si>
  <si>
    <t>Diethyl sulfate</t>
  </si>
  <si>
    <t>Diflunisal</t>
  </si>
  <si>
    <t>Diglycidyl resorcinol ether (DGRE)</t>
  </si>
  <si>
    <t xml:space="preserve">Dihydroergotamine mesylate </t>
  </si>
  <si>
    <t>Dihydrosafrole</t>
  </si>
  <si>
    <t>Diisononyl phthalate (DINP)</t>
  </si>
  <si>
    <t>Diisopropyl sulfate</t>
  </si>
  <si>
    <t>Diltiazem hydrochloride</t>
  </si>
  <si>
    <t>3,3'-Dimethoxybenzidine (o-Dianisidine)</t>
  </si>
  <si>
    <t>3,3'-Dimethoxybenzidine dihydrochloride</t>
  </si>
  <si>
    <t>3,3'-Dimethoxybenzidine-based dyes metabolized to 3,3'-dimethoxybenzidine</t>
  </si>
  <si>
    <t>N,N-Dimethylacetamide</t>
  </si>
  <si>
    <t>4-Dimethylaminoazobenzene</t>
  </si>
  <si>
    <t>trans-2-[(Dimethylamino)methylimino]-5-[2-(5-nitro-2-furyl)vinyl]-1,3,4-oxadiazole</t>
  </si>
  <si>
    <t>7,12-Dimethylbenz(a)anthracene</t>
  </si>
  <si>
    <t>3,3'-Dimethylbenzidine (ortho-Tolidine)</t>
  </si>
  <si>
    <t>3,3'-Dimethylbenzidine-based dyes metabolized to 3,3'-dimethylbenzidine</t>
  </si>
  <si>
    <t>3,3'-Dimethylbenzidine dihydrochloride</t>
  </si>
  <si>
    <t>Dimethylcarbamoyl chloride</t>
  </si>
  <si>
    <t>N,N-Dimethylformamide</t>
  </si>
  <si>
    <t>1,1-Dimethylhydrazine (UDMH)</t>
  </si>
  <si>
    <t>1,2-Dimethylhydrazine</t>
  </si>
  <si>
    <t>2,6-Dimethyl-N-nitrosomorpholine (DMNM)</t>
  </si>
  <si>
    <t>Dimethyl sulfate</t>
  </si>
  <si>
    <t>N,N-Dimethyl-p-toluidine</t>
  </si>
  <si>
    <t>Dimethylvinylchloride</t>
  </si>
  <si>
    <t>Di-n-butyl phthalate (DBP)</t>
  </si>
  <si>
    <t>3,7-Dinitrofluoranthene</t>
  </si>
  <si>
    <t>3,9-Dinitrofluoranthene</t>
  </si>
  <si>
    <t>1,3-Dinitropyrene</t>
  </si>
  <si>
    <t>1,6-Dinitropyrene</t>
  </si>
  <si>
    <t>1,8-Dinitropyrene</t>
  </si>
  <si>
    <t>2,4-Dinitrotoluene</t>
  </si>
  <si>
    <t>2,6-Dinitrotoluene</t>
  </si>
  <si>
    <t>Dinitrotoluene mixture, 2,4-/2,6-</t>
  </si>
  <si>
    <t>Dinocap</t>
  </si>
  <si>
    <t>Dinoseb</t>
  </si>
  <si>
    <t>Di-n-propyl isocinchomeronate (MGK Repellent 326)</t>
  </si>
  <si>
    <t>1,4-Dioxane</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</si>
  <si>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</si>
  <si>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</si>
  <si>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</si>
  <si>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</si>
  <si>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</si>
  <si>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</si>
  <si>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</si>
  <si>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</si>
  <si>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</si>
  <si>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</si>
  <si>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</si>
  <si>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</si>
  <si>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</si>
  <si>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</si>
  <si>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</si>
  <si>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</si>
  <si>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</si>
  <si>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</si>
  <si>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</si>
  <si>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</si>
  <si>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Estradiol 17B</t>
  </si>
  <si>
    <t>Estragole</t>
  </si>
  <si>
    <t>Estrogens, steroidal</t>
  </si>
  <si>
    <t>Estrogen-progestogen (combined) used as menopausal therapy</t>
  </si>
  <si>
    <t>Estrone</t>
  </si>
  <si>
    <t>Estropipate</t>
  </si>
  <si>
    <t>Ethanol in alcoholic beverages</t>
  </si>
  <si>
    <t>Ethinylestradiol</t>
  </si>
  <si>
    <t>Ethionamide</t>
  </si>
  <si>
    <t>Ethoprop</t>
  </si>
  <si>
    <t>Ethyl acrylate</t>
  </si>
  <si>
    <t>Ethyl alcohol in alcoholic beverages</t>
  </si>
  <si>
    <t>Ethylbenzene</t>
  </si>
  <si>
    <t>Ethyl dipropylthiocarbamate</t>
  </si>
  <si>
    <t>Ethyl-4,4'-dichlorobenzilate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</si>
  <si>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</si>
  <si>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</si>
  <si>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</si>
  <si>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</si>
  <si>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</si>
  <si>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</si>
  <si>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</si>
  <si>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Ethyleneimine (Aziridine)</t>
  </si>
  <si>
    <t>Ethylene oxide</t>
  </si>
  <si>
    <t>Ethylene thiourea</t>
  </si>
  <si>
    <t>Ethyl methanesulfonate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</si>
  <si>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</si>
  <si>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</si>
  <si>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</si>
  <si>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</si>
  <si>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</si>
  <si>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</si>
  <si>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</si>
  <si>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</si>
  <si>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</si>
  <si>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</si>
  <si>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</si>
  <si>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</si>
  <si>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</si>
  <si>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</si>
  <si>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</si>
  <si>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</si>
  <si>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</si>
  <si>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Formaldehyde (gas)</t>
  </si>
  <si>
    <t>2-(2-Formylhydrazino)-4-(5-nitro-2-furyl)thiazole</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</si>
  <si>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</si>
  <si>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</si>
  <si>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</si>
  <si>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</si>
  <si>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</si>
  <si>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</si>
  <si>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</si>
  <si>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</si>
  <si>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</si>
  <si>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</si>
  <si>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</si>
  <si>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</si>
  <si>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</si>
  <si>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</si>
  <si>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</si>
  <si>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</si>
  <si>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</si>
  <si>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</si>
  <si>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</si>
  <si>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</si>
  <si>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</si>
  <si>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</si>
  <si>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</si>
  <si>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</si>
  <si>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</si>
  <si>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</si>
  <si>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</si>
  <si>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</si>
  <si>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</si>
  <si>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</si>
  <si>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</si>
  <si>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Hexachlorodibenzodioxin</t>
  </si>
  <si>
    <t>Hexachloroethane</t>
  </si>
  <si>
    <t>2,4-Hexadienal (89% trans, trans isomer; 11% cis, trans isomer)</t>
  </si>
  <si>
    <t>Hexafluoroacetone</t>
  </si>
  <si>
    <t>Hexamethylphosphoramide</t>
  </si>
  <si>
    <t>Histrelin acetate</t>
  </si>
  <si>
    <t>Hydramethylnon</t>
  </si>
  <si>
    <t>Hydrazine</t>
  </si>
  <si>
    <t>Hydrazine sulfate</t>
  </si>
  <si>
    <t>Hydrazobenzene (1,2-Diphenylhydrazine)</t>
  </si>
  <si>
    <t>1-Hydroxyanthraquinone</t>
  </si>
  <si>
    <t>Hydroxyurea</t>
  </si>
  <si>
    <t>Idarubicin hydrochloride</t>
  </si>
  <si>
    <t>Ifosfamide</t>
  </si>
  <si>
    <t>Iodine-131</t>
  </si>
  <si>
    <t>Imazalil</t>
  </si>
  <si>
    <t>Indeno[1,2,3-cd]pyrene</t>
  </si>
  <si>
    <t>Indium phosphide</t>
  </si>
  <si>
    <t>IQ (2-Amino-3-methylimidazo[4,5-f] quinoline)</t>
  </si>
  <si>
    <t>Iprodione</t>
  </si>
  <si>
    <t>Iron dextran complex</t>
  </si>
  <si>
    <t>Isobutyl nitrite</t>
  </si>
  <si>
    <t>Isoprene</t>
  </si>
  <si>
    <t>Isopyrazam</t>
  </si>
  <si>
    <t>Isotretinoin</t>
  </si>
  <si>
    <t>Isoxaflutole</t>
  </si>
  <si>
    <t>Kresoxim-methyl</t>
  </si>
  <si>
    <t>Lactofen</t>
  </si>
  <si>
    <t>Lasiocarpine</t>
  </si>
  <si>
    <t>Lead</t>
  </si>
  <si>
    <t>Lead and lead compounds</t>
  </si>
  <si>
    <t>Lead acetate</t>
  </si>
  <si>
    <t>Lead phosphate</t>
  </si>
  <si>
    <t>Lead subacetate</t>
  </si>
  <si>
    <t>Leather dust</t>
  </si>
  <si>
    <t>Leuprolide acetate</t>
  </si>
  <si>
    <t>Levodopa</t>
  </si>
  <si>
    <t>Lindane and other hexachlorocyclohexane isomers</t>
  </si>
  <si>
    <t>Linuron</t>
  </si>
  <si>
    <t>Lithium carbonate</t>
  </si>
  <si>
    <t>Lithium citrate</t>
  </si>
  <si>
    <t>Lorazepam</t>
  </si>
  <si>
    <t>Lovastatin</t>
  </si>
  <si>
    <t>Lynestrenol</t>
  </si>
  <si>
    <t>Malathion</t>
  </si>
  <si>
    <t>Malonaldehyde, sodium salt</t>
  </si>
  <si>
    <t>Mancozeb</t>
  </si>
  <si>
    <t>Maneb</t>
  </si>
  <si>
    <t>Marijuana smoke</t>
  </si>
  <si>
    <t>Me-A-alpha-C (2-Amino-3-methyl-9H-pyrido[2,3-b]indole)</t>
  </si>
  <si>
    <t>Mebendazole</t>
  </si>
  <si>
    <t>Medroxyprogesterone acetate</t>
  </si>
  <si>
    <t>Megestrol acetate</t>
  </si>
  <si>
    <t>MeIQ (2-Amino-3,4-dimethylimidazo[4,5-f]quinoline)</t>
  </si>
  <si>
    <t>MeIQx (2-Amino-3,8-dimethylimidazo[4,5-f]quinoxaline)</t>
  </si>
  <si>
    <t>Melphalan</t>
  </si>
  <si>
    <t>Menotropins</t>
  </si>
  <si>
    <t>Mepanipyrim</t>
  </si>
  <si>
    <t>Meprobamate</t>
  </si>
  <si>
    <t>2-Mercaptobenzothiazole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</si>
  <si>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</si>
  <si>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</si>
  <si>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</si>
  <si>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</si>
  <si>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</si>
  <si>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</si>
  <si>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</si>
  <si>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</si>
  <si>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</si>
  <si>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</si>
  <si>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</si>
  <si>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</si>
  <si>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5-Methoxypsoralen with ultraviolet A therapy</t>
  </si>
  <si>
    <t>8-Methoxypsoralen with ultraviolet A therapy</t>
  </si>
  <si>
    <t>2-Methylaziridine (Propyleneimine)</t>
  </si>
  <si>
    <t>Methylazoxymethanol</t>
  </si>
  <si>
    <t>Methylazoxymethanol acetate</t>
  </si>
  <si>
    <t>Methyl bromide, as a structural fumigant</t>
  </si>
  <si>
    <t>Methyl carbamate</t>
  </si>
  <si>
    <t>Methyl chloride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</si>
  <si>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</si>
  <si>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</si>
  <si>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</si>
  <si>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</si>
  <si>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</si>
  <si>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</si>
  <si>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</si>
  <si>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</si>
  <si>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</si>
  <si>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2-Methylimidazole</t>
  </si>
  <si>
    <t>4-Methylimidazole</t>
  </si>
  <si>
    <t>Methyl iodide</t>
  </si>
  <si>
    <t>Methyl isobutyl ketone</t>
  </si>
  <si>
    <t>Methyl isobutyl ketone (MIBK)</t>
  </si>
  <si>
    <t>Methyl isocyanate (MIC)</t>
  </si>
  <si>
    <t>Methyl mercury</t>
  </si>
  <si>
    <t>Methylmercury compounds</t>
  </si>
  <si>
    <t>Methyl methanesulfonate</t>
  </si>
  <si>
    <t>Methyl-n-butyl ketone</t>
  </si>
  <si>
    <t>2-Methyl-1-nitroanthraquinone (of uncertain purity)</t>
  </si>
  <si>
    <t>N-Methyl-N'-nitro-N-nitrosoguanidine</t>
  </si>
  <si>
    <t>N-Methylolacrylamide</t>
  </si>
  <si>
    <t>N-Methylpyrrolidone</t>
  </si>
  <si>
    <t>α-Methyl styrene (alpha-Methylstyrene)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</si>
  <si>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</si>
  <si>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</si>
  <si>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</si>
  <si>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</si>
  <si>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</si>
  <si>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</si>
  <si>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</si>
  <si>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</si>
  <si>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</si>
  <si>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</si>
  <si>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</si>
  <si>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</si>
  <si>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</si>
  <si>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</si>
  <si>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</si>
  <si>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</si>
  <si>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</si>
  <si>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</si>
  <si>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</si>
  <si>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</si>
  <si>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Myclobutanil</t>
  </si>
  <si>
    <t>beta-Myrcene</t>
  </si>
  <si>
    <t>Nabam</t>
  </si>
  <si>
    <t>Nafarelin acetate</t>
  </si>
  <si>
    <t>Nafenopin</t>
  </si>
  <si>
    <t>Nalidixic acid</t>
  </si>
  <si>
    <t>Naphthalene</t>
  </si>
  <si>
    <t>1-Naphthylamine</t>
  </si>
  <si>
    <t>2-Naphthylamine</t>
  </si>
  <si>
    <t>Neomycin sulfate (internal use)</t>
  </si>
  <si>
    <t>Netilmicin sulfate</t>
  </si>
  <si>
    <t>Nickel (Metallic)</t>
  </si>
  <si>
    <t>Nickel acetate</t>
  </si>
  <si>
    <t>Nickel carbonate</t>
  </si>
  <si>
    <t>Nickel carbonyl</t>
  </si>
  <si>
    <t>Nickel compounds</t>
  </si>
  <si>
    <t>Nickelocene</t>
  </si>
  <si>
    <t>Nickel oxide</t>
  </si>
  <si>
    <t>Nickel refinery dust from the pyrometallurgical process</t>
  </si>
  <si>
    <t>Nickel subsulfide</t>
  </si>
  <si>
    <t>Nicotine</t>
  </si>
  <si>
    <t>Nifedipine</t>
  </si>
  <si>
    <t>Nimodipine</t>
  </si>
  <si>
    <t>Niridazole</t>
  </si>
  <si>
    <t>Nitrapyrin</t>
  </si>
  <si>
    <t>Nitrilotriacetic acid</t>
  </si>
  <si>
    <t>Nitrilotriacetic acid, trisodium salt monohydrate</t>
  </si>
  <si>
    <t>5-Nitroacenaphthene</t>
  </si>
  <si>
    <t>o-Nitroanisole</t>
  </si>
  <si>
    <t>Nitrobenzene</t>
  </si>
  <si>
    <t>4-Nitrobiphenyl</t>
  </si>
  <si>
    <t>6-Nitrochrysene</t>
  </si>
  <si>
    <t>Nitrofen (technical grade)</t>
  </si>
  <si>
    <t>2-Nitrofluorene</t>
  </si>
  <si>
    <t>Nitrofurazone</t>
  </si>
  <si>
    <t>1-[(5-Nitrofurfurylidene)-amino]-2-imidazolidinone</t>
  </si>
  <si>
    <t>N-[4-(5-Nitro-2-furyl)-2-thiazolyl]acetamide</t>
  </si>
  <si>
    <t>Nitrogen mustard (Mechlorethamine)</t>
  </si>
  <si>
    <t>Nitrogen mustard hydrochloride (Mechlorethamine hydrochloride)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</si>
  <si>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</si>
  <si>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</si>
  <si>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</si>
  <si>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</si>
  <si>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</si>
  <si>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</si>
  <si>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</si>
  <si>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</si>
  <si>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</si>
  <si>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</si>
  <si>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</si>
  <si>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</si>
  <si>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</si>
  <si>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</si>
  <si>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</si>
  <si>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</si>
  <si>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</si>
  <si>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</si>
  <si>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</si>
  <si>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</si>
  <si>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</si>
  <si>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</si>
  <si>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</si>
  <si>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</si>
  <si>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</si>
  <si>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</si>
  <si>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</si>
  <si>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</si>
  <si>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</si>
  <si>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</si>
  <si>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</si>
  <si>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</si>
  <si>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</si>
  <si>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</si>
  <si>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</si>
  <si>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</si>
  <si>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</si>
  <si>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Nitrous oxide</t>
  </si>
  <si>
    <t>Norethisterone (Norethindrone)</t>
  </si>
  <si>
    <t>Norethisterone acetate (Norethindrone acetate)</t>
  </si>
  <si>
    <t>Norethisterone (Norethindrone)/Ethinyl estradiol</t>
  </si>
  <si>
    <t>Norethynodrel</t>
  </si>
  <si>
    <t>Norgestrel</t>
  </si>
  <si>
    <t>Ochratoxin A</t>
  </si>
  <si>
    <t>Oil Orange SS</t>
  </si>
  <si>
    <t>Oral contraceptives, combined</t>
  </si>
  <si>
    <t>Oral contraceptives, sequential</t>
  </si>
  <si>
    <t>Oryzalin</t>
  </si>
  <si>
    <t>Oxadiazon</t>
  </si>
  <si>
    <t>Oxazepam</t>
  </si>
  <si>
    <t>Oxymetholone</t>
  </si>
  <si>
    <t>Oxytetracycline (internal use)</t>
  </si>
  <si>
    <t>Oxytetracycline hydrochloride (internal use)</t>
  </si>
  <si>
    <t>Oxythioquinox (Chinomethionat)</t>
  </si>
  <si>
    <t>Paclitaxel</t>
  </si>
  <si>
    <t>Palygorskite fibers (&gt; 5mm in length)</t>
  </si>
  <si>
    <t>Panfuran S</t>
  </si>
  <si>
    <t>Paramethadione</t>
  </si>
  <si>
    <t>Parathion</t>
  </si>
  <si>
    <t>Penicillamine</t>
  </si>
  <si>
    <t>pentabromodiphenyl ether mixture [DE-71 (technical grade)]</t>
  </si>
  <si>
    <t>Pentachlorophenol</t>
  </si>
  <si>
    <t>Pentachlorophenol and by-products of its synthesis (complex mixture)</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</si>
  <si>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</si>
  <si>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</si>
  <si>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</si>
  <si>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</si>
  <si>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</si>
  <si>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</si>
  <si>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</si>
  <si>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</si>
  <si>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</si>
  <si>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</si>
  <si>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</si>
  <si>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</si>
  <si>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</si>
  <si>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</si>
  <si>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</si>
  <si>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</si>
  <si>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o-Phenylenediamine and its salts</t>
  </si>
  <si>
    <t>Phenylhydrazine and its salts</t>
  </si>
  <si>
    <t>o-Phenylphenate, sodium</t>
  </si>
  <si>
    <t>o-Phenylphenol</t>
  </si>
  <si>
    <t>Phenylphosphine</t>
  </si>
  <si>
    <t>PhiP(2-Amino-1-methyl-6-phenylimidazol[4,5-b]pyridine)</t>
  </si>
  <si>
    <t>Pimozide</t>
  </si>
  <si>
    <t>Pioglitazone</t>
  </si>
  <si>
    <t>Pipobroman</t>
  </si>
  <si>
    <t>Pirimicarb</t>
  </si>
  <si>
    <t>Plicamycin</t>
  </si>
  <si>
    <t>Polybrominated biphenyls</t>
  </si>
  <si>
    <t>Polychlorinated biphenyls</t>
  </si>
  <si>
    <t>Polychlorinated biphenyls (containing 60 or more percent chlorine by molecular weight)</t>
  </si>
  <si>
    <t>Polychlorinated dibenzo-p-dioxins</t>
  </si>
  <si>
    <t>Polychlorinated dibenzofurans</t>
  </si>
  <si>
    <t>Polygeenan</t>
  </si>
  <si>
    <t>Ponceau MX</t>
  </si>
  <si>
    <t>Ponceau 3R</t>
  </si>
  <si>
    <t>Potassium bromate</t>
  </si>
  <si>
    <t>Potassium dimethyldithiocarbamate</t>
  </si>
  <si>
    <t>Pravastatin sodium</t>
  </si>
  <si>
    <t>Prednisolone sodium phosphate</t>
  </si>
  <si>
    <t>Primidone</t>
  </si>
  <si>
    <t>Procarbazine</t>
  </si>
  <si>
    <t>Procarbazine hydrochloride</t>
  </si>
  <si>
    <t>Procymidone</t>
  </si>
  <si>
    <t>Progesterone</t>
  </si>
  <si>
    <t>Pronamide</t>
  </si>
  <si>
    <t>Propachlor</t>
  </si>
  <si>
    <t>1,3-Propane sultone</t>
  </si>
  <si>
    <t>Propargite</t>
  </si>
  <si>
    <t>Propazine</t>
  </si>
  <si>
    <t>beta-Propiolactone</t>
  </si>
  <si>
    <t>Propoxur</t>
  </si>
  <si>
    <t>Propylene glycol mono-t-butyl ether</t>
  </si>
  <si>
    <t>Propylene oxide</t>
  </si>
  <si>
    <t>Propylthiouracil</t>
  </si>
  <si>
    <t>Pulegone</t>
  </si>
  <si>
    <t>Pymetrozine</t>
  </si>
  <si>
    <t>Pyridine</t>
  </si>
  <si>
    <t>Pyrimethamine</t>
  </si>
  <si>
    <t>Quazepam</t>
  </si>
  <si>
    <t>Quinoline and its strong acid salts</t>
  </si>
  <si>
    <t>Radionuclides</t>
  </si>
  <si>
    <t>Reserpine</t>
  </si>
  <si>
    <t>Residual (heavy) fuel oils</t>
  </si>
  <si>
    <t>Resmethrin</t>
  </si>
  <si>
    <t>Retinol/retinyl esters, when in daily dosages in excess of 10,000 IU, or 3,000 retinol equivalents.</t>
  </si>
  <si>
    <t>Ribavirin</t>
  </si>
  <si>
    <t>Riddelliine</t>
  </si>
  <si>
    <t>Rifampin</t>
  </si>
  <si>
    <t>Safrole</t>
  </si>
  <si>
    <t>Salted fish, Chinese-style</t>
  </si>
  <si>
    <t>Secobarbital sodium</t>
  </si>
  <si>
    <t>Sedaxane</t>
  </si>
  <si>
    <t>Selenium sulfide</t>
  </si>
  <si>
    <t>Sermorelin acetate</t>
  </si>
  <si>
    <t>Shale-oils</t>
  </si>
  <si>
    <t>Silica, crystalline (airborne particles of respirable size)</t>
  </si>
  <si>
    <t>Simazine</t>
  </si>
  <si>
    <t>Sodium dimethyldithiocarbamate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</si>
  <si>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</si>
  <si>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</si>
  <si>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</si>
  <si>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</si>
  <si>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</si>
  <si>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</si>
  <si>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</si>
  <si>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</si>
  <si>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</si>
  <si>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</si>
  <si>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</si>
  <si>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</si>
  <si>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</si>
  <si>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</si>
  <si>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</si>
  <si>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</si>
  <si>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</si>
  <si>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</si>
  <si>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</si>
  <si>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</si>
  <si>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</si>
  <si>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</si>
  <si>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</si>
  <si>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</si>
  <si>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</si>
  <si>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</si>
  <si>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</si>
  <si>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3,3',4,4'-Tetrachloroazobenzene</t>
  </si>
  <si>
    <t>2,3,7,8-Tetrachlorodibenzo-p-dioxin (TCDD)</t>
  </si>
  <si>
    <t>1,1,1,2-Tetrachloroethane</t>
  </si>
  <si>
    <t>1,1,2,2-Tetrachloroethane</t>
  </si>
  <si>
    <t>Tetrachloroethylene (Perchloroethylene)</t>
  </si>
  <si>
    <t>p-a,a,a-Tetrachlorotoluene</t>
  </si>
  <si>
    <t>Tetrachlorvinphos</t>
  </si>
  <si>
    <t>Tetracycline (internal use)</t>
  </si>
  <si>
    <t>Tetracyclines (internal use)</t>
  </si>
  <si>
    <t>Tetracycline hydrochloride (internal use)</t>
  </si>
  <si>
    <t>Tetrafluoroethylene</t>
  </si>
  <si>
    <t>Tetranitromethane</t>
  </si>
  <si>
    <t>Thalidomide</t>
  </si>
  <si>
    <t>Thioacetamide</t>
  </si>
  <si>
    <t>4,4'-Thiodianiline</t>
  </si>
  <si>
    <t>Thiodicarb</t>
  </si>
  <si>
    <t>Thioguanine</t>
  </si>
  <si>
    <t>Thiouracil</t>
  </si>
  <si>
    <t>Thiourea</t>
  </si>
  <si>
    <t>Thorium dioxide</t>
  </si>
  <si>
    <t>Titanium dioxide (airborne, unbound particles of respirable size)</t>
  </si>
  <si>
    <t>Tobacco, oral use of smokeless products</t>
  </si>
  <si>
    <t>Tobacco smoke</t>
  </si>
  <si>
    <t>Tobacco smoke (primary)</t>
  </si>
  <si>
    <t>Tobramycin sulfate</t>
  </si>
  <si>
    <t>Toluene</t>
  </si>
  <si>
    <t>Toluene diisocyanate</t>
  </si>
  <si>
    <t>o-Toluidine</t>
  </si>
  <si>
    <t>o-Toluidine hydrochloride</t>
  </si>
  <si>
    <t>Topiramate</t>
  </si>
  <si>
    <t>Toxaphene (Polychlorinated camphenes)</t>
  </si>
  <si>
    <t>Toxins derived from Fusarium moniliforme (Fusarium verticillioides)</t>
  </si>
  <si>
    <t>Treosulfan</t>
  </si>
  <si>
    <t>Triadimefon</t>
  </si>
  <si>
    <t>Triamterene</t>
  </si>
  <si>
    <t>Triazolam</t>
  </si>
  <si>
    <t>S,S,S-Tributyl phosphorotrithioate (Tribufos, DEF)</t>
  </si>
  <si>
    <t>Tributyltin methacrylate</t>
  </si>
  <si>
    <t>Trichlormethine (Trimustine hydrochloride)</t>
  </si>
  <si>
    <t>Trichloroacetic acid</t>
  </si>
  <si>
    <t>Trichloroethylene</t>
  </si>
  <si>
    <t>2,4,6-Trichlorophenol</t>
  </si>
  <si>
    <t>1,2,3-Trichloropropane</t>
  </si>
  <si>
    <t>Trientine hydrochloride</t>
  </si>
  <si>
    <t>Triforine</t>
  </si>
  <si>
    <t>Trilostane</t>
  </si>
  <si>
    <t>Trimethadione</t>
  </si>
  <si>
    <t>2,4,5-Trimethylaniline and its strong acid salts</t>
  </si>
  <si>
    <t>Trimethyl phosphate</t>
  </si>
  <si>
    <t>Trimetrexate glucuronate</t>
  </si>
  <si>
    <t>2,4,6-Trinitrotoluene (TNT)</t>
  </si>
  <si>
    <t>Triphenyltin hydroxide</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</si>
  <si>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</si>
  <si>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</si>
  <si>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</si>
  <si>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</si>
  <si>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</si>
  <si>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</si>
  <si>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</si>
  <si>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</si>
  <si>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Uracil mustard</t>
  </si>
  <si>
    <t>Urethane (Ethyl carbamate)</t>
  </si>
  <si>
    <t>Urofollitropin</t>
  </si>
  <si>
    <t>Valproate (Valproic acid)</t>
  </si>
  <si>
    <t>Vanadium pentoxide (orthorhombic crystalline form)</t>
  </si>
  <si>
    <t>Vinblastine sulfate</t>
  </si>
  <si>
    <t>Vinclozolin</t>
  </si>
  <si>
    <t>Vincristine sulfate</t>
  </si>
  <si>
    <t>Vinyl bromide</t>
  </si>
  <si>
    <t>Vinyl chloride</t>
  </si>
  <si>
    <t>4-Vinylcyclohexene</t>
  </si>
  <si>
    <t>4-Vinyl-1-cyclohexene diepoxide (Vinyl cyclohexenedioxide)</t>
  </si>
  <si>
    <t>Vinyl fluoride</t>
  </si>
  <si>
    <t>Vinylidene chloride (1,1-Dichloroethylene)</t>
  </si>
  <si>
    <t>Vinyl trichloride (1,1,2-Trichloroethane)</t>
  </si>
  <si>
    <t>Warfarin</t>
  </si>
  <si>
    <t>Wood dust</t>
  </si>
  <si>
    <t>2,6-Xylidine (2,6-Dimethylaniline)</t>
  </si>
  <si>
    <t>Zalcitabine</t>
  </si>
  <si>
    <t>Zidovudine (AZT)</t>
  </si>
  <si>
    <t>Zileuton</t>
  </si>
  <si>
    <t>2-Bromopropane (2-BP)</t>
  </si>
  <si>
    <t>2-Chloropropionic acid</t>
  </si>
  <si>
    <t>Di-n-hexyl phthalate (DnHP)</t>
  </si>
  <si>
    <t>m-Dinitrobenzene</t>
  </si>
  <si>
    <t>o-Dinitrobenzene</t>
  </si>
  <si>
    <t>p-Dinitrobenzene</t>
  </si>
  <si>
    <t>Dinitrotoluene (technical grade)</t>
  </si>
  <si>
    <t>n-Hexane</t>
  </si>
  <si>
    <t>2,5-Hexanedione</t>
  </si>
  <si>
    <t>Hydrogen cyanide (HCN) and cyanide salts (CN salts)</t>
  </si>
  <si>
    <t>Levonorgestrel implants</t>
  </si>
  <si>
    <t>Nitrofurantoin</t>
  </si>
  <si>
    <t>Oxydemeton methyl</t>
  </si>
  <si>
    <t>Quizalofop-ethyl</t>
  </si>
  <si>
    <t>Sodium fluoroacetate</t>
  </si>
  <si>
    <t>Thiophanate methyl</t>
  </si>
  <si>
    <t>Vinyl cyclohexene dioxide (4-Vinyl-1-cyclohexene diepoxide)</t>
  </si>
  <si>
    <t>Chloroform</t>
  </si>
  <si>
    <t>1,2-Dibromo-3-chloropropane (DBCP)</t>
  </si>
  <si>
    <t>Diclofop-methyl</t>
  </si>
  <si>
    <t>Phenyl glycidyl ether</t>
  </si>
  <si>
    <t>Di-isodecyl phthalate (DIDP)</t>
  </si>
  <si>
    <t>Erionite</t>
  </si>
  <si>
    <t>Iprovalicarb</t>
  </si>
  <si>
    <t>Nickel hydroxide</t>
  </si>
  <si>
    <t>Norethisterone (Norethindrone) /Mestranol</t>
  </si>
  <si>
    <t>Anabolic steroids</t>
  </si>
  <si>
    <t>Altretamine</t>
  </si>
  <si>
    <t>Beryllium</t>
  </si>
  <si>
    <t>Beryllium Oxide</t>
  </si>
  <si>
    <t>Beryllium Sulfate</t>
  </si>
  <si>
    <t>Hexachlorocyclohexane (alpha isomer)</t>
  </si>
  <si>
    <t>Hexachlorocyclohexane (beta isomer)</t>
  </si>
  <si>
    <t>Hexachlorocyclohexane (gamma isomer)</t>
  </si>
  <si>
    <t>Cyanide salts that readily dissociate in solution (expressed as cyanide)</t>
  </si>
  <si>
    <t>Hydrogen cyanide</t>
  </si>
  <si>
    <t>Potassium cyanide</t>
  </si>
  <si>
    <t>Methylhydrazine</t>
  </si>
  <si>
    <t>Methylhydrazine sulfate</t>
  </si>
  <si>
    <t>o-Phenylenediamine</t>
  </si>
  <si>
    <t>o-Phenylenediamine dihydochloride</t>
  </si>
  <si>
    <t>Phenylhydrazine</t>
  </si>
  <si>
    <t>Phenylhydrazine hydrochloride</t>
  </si>
  <si>
    <t>Sodium cyanide</t>
  </si>
  <si>
    <t>Short form warning</t>
  </si>
  <si>
    <t>Nickel (soluble compounds)</t>
  </si>
  <si>
    <t>TRIM VX</t>
  </si>
  <si>
    <t>N-Nitrosohexamethyleneimine</t>
  </si>
  <si>
    <t>Gentian violet (Crystal violet)</t>
  </si>
  <si>
    <t>Custom warning</t>
  </si>
  <si>
    <t>2-Amino-4-chlorophenol</t>
  </si>
  <si>
    <t>2-Chloronitrobenzene</t>
  </si>
  <si>
    <t>1,4-Dichloro-2-nitrobenzene</t>
  </si>
  <si>
    <t>2,4-Dichloro-1-nitrobenzene</t>
  </si>
  <si>
    <t>Bevacizumab</t>
  </si>
  <si>
    <t>p-chloro-?,?,?-trifluorotoluene (para-Chlorobenzotrifluoride, PCBTF)</t>
  </si>
  <si>
    <t>para-Nitroanisole</t>
  </si>
  <si>
    <t>Cannabis (marijuana) smoke</t>
  </si>
  <si>
    <t>?9 -Tetrahydrocannabinol (?9 -THC)</t>
  </si>
  <si>
    <t>1,1,1-Trichloroethane</t>
  </si>
  <si>
    <t>1-Bromo-3-chloropropane</t>
  </si>
  <si>
    <t>1-Butyl glycidyl ether</t>
  </si>
  <si>
    <t>2-Ethylhexyl acrylate</t>
  </si>
  <si>
    <t>Alcoholic beverages</t>
  </si>
  <si>
    <t>Anthracene</t>
  </si>
  <si>
    <t>Bisphenol S (BPS)</t>
  </si>
  <si>
    <t>Coal-tar pitch</t>
  </si>
  <si>
    <t>Dimethyl hydrogen phosphite</t>
  </si>
  <si>
    <t>Fluoro-edenite fibrous amphibole</t>
  </si>
  <si>
    <t>Glycidyl methacrylate</t>
  </si>
  <si>
    <t>Hexachlorocyclohexane (technical grade)</t>
  </si>
  <si>
    <t>Indium tin oxide</t>
  </si>
  <si>
    <t>Leucomalachite green</t>
  </si>
  <si>
    <t>Methyl acrylate</t>
  </si>
  <si>
    <t>Molybdenum trioxide</t>
  </si>
  <si>
    <t>p-Chloro-o-toluidine, hydrochloride</t>
  </si>
  <si>
    <t>Perfluorononanoic acid (PFNA) and its salts</t>
  </si>
  <si>
    <t>Perfluorooctane sulfonic acid (PFOS) and its salts and transformation and degradation precursors</t>
  </si>
  <si>
    <t>Retinol/retinyl esters, when in daily dosages in excess of 10,000 IU, or 3,000 retinol equivalents. (NOTE: Retinol/retinyl esters are required and essential for maintenance of normal reproductive function. The recommended daily level during pregnancy is 8,000 IU.)</t>
  </si>
  <si>
    <t>Silicon carbide whiskers</t>
  </si>
  <si>
    <t>Tetrahydrofuran</t>
  </si>
  <si>
    <t>Trimethylolpropane triacrylate, technical grade</t>
  </si>
  <si>
    <t>Vismodegib</t>
  </si>
  <si>
    <t>Small Parcel</t>
  </si>
  <si>
    <t>LTL</t>
  </si>
  <si>
    <t>50</t>
  </si>
  <si>
    <t>55</t>
  </si>
  <si>
    <t>60</t>
  </si>
  <si>
    <t>65</t>
  </si>
  <si>
    <t>70</t>
  </si>
  <si>
    <t>77.5</t>
  </si>
  <si>
    <t>85</t>
  </si>
  <si>
    <t>92.5</t>
  </si>
  <si>
    <t>100</t>
  </si>
  <si>
    <t>110</t>
  </si>
  <si>
    <t>125</t>
  </si>
  <si>
    <t>150</t>
  </si>
  <si>
    <t>175</t>
  </si>
  <si>
    <t>200</t>
  </si>
  <si>
    <t>250</t>
  </si>
  <si>
    <t>300</t>
  </si>
  <si>
    <t>400</t>
  </si>
  <si>
    <t>500</t>
  </si>
  <si>
    <t>0</t>
  </si>
  <si>
    <t>24</t>
  </si>
  <si>
    <t>48</t>
  </si>
  <si>
    <t>72</t>
  </si>
  <si>
    <t>96</t>
  </si>
  <si>
    <t>120</t>
  </si>
  <si>
    <t>144</t>
  </si>
  <si>
    <t>168</t>
  </si>
  <si>
    <t>192</t>
  </si>
  <si>
    <t>216</t>
  </si>
  <si>
    <t>240</t>
  </si>
  <si>
    <t>360</t>
  </si>
  <si>
    <t>480</t>
  </si>
  <si>
    <t>600</t>
  </si>
  <si>
    <t>720</t>
  </si>
  <si>
    <t>840</t>
  </si>
  <si>
    <t>960</t>
  </si>
  <si>
    <t>Primary Variant</t>
  </si>
  <si>
    <t>Non-Primary Variant</t>
  </si>
  <si>
    <t>Not Variant</t>
  </si>
  <si>
    <t>Color</t>
  </si>
  <si>
    <t>Size</t>
  </si>
  <si>
    <t>Wallpaper Material</t>
  </si>
  <si>
    <t>Window Decal</t>
  </si>
  <si>
    <t>Chalkboard Decals</t>
  </si>
  <si>
    <t>Growth Chart Decals</t>
  </si>
  <si>
    <t>Calendar and Organiser Decals</t>
  </si>
  <si>
    <t>Photo Frame Decals</t>
  </si>
  <si>
    <t>Whiteboard Decals</t>
  </si>
  <si>
    <t>Clock Decals</t>
  </si>
  <si>
    <t>Tile Decals</t>
  </si>
  <si>
    <t>Whiteboard and Chalkboard Decals</t>
  </si>
  <si>
    <t>Wall Decals</t>
  </si>
  <si>
    <t>Window Stickers &amp; Film</t>
  </si>
  <si>
    <t>Door Decals</t>
  </si>
  <si>
    <t>Create A Pattern Set</t>
  </si>
  <si>
    <t>Satin</t>
  </si>
  <si>
    <t>Glossy</t>
  </si>
  <si>
    <t>Matte</t>
  </si>
  <si>
    <t>Low Gloss</t>
  </si>
  <si>
    <t>Glitter</t>
  </si>
  <si>
    <t>Mirrored</t>
  </si>
  <si>
    <t>3D</t>
  </si>
  <si>
    <t>Glow in the Dark</t>
  </si>
  <si>
    <t>High Gloss</t>
  </si>
  <si>
    <t>Birthday</t>
  </si>
  <si>
    <t>Graduation</t>
  </si>
  <si>
    <t>Valentine's Day</t>
  </si>
  <si>
    <t>St. Patrick's Day</t>
  </si>
  <si>
    <t>Passover</t>
  </si>
  <si>
    <t>Easter</t>
  </si>
  <si>
    <t>Mother's Day</t>
  </si>
  <si>
    <t>Father's Day</t>
  </si>
  <si>
    <t>Independence Day</t>
  </si>
  <si>
    <t>Halloween</t>
  </si>
  <si>
    <t>Thanksgiving</t>
  </si>
  <si>
    <t>Hanukkah</t>
  </si>
  <si>
    <t>Christmas</t>
  </si>
  <si>
    <t>Kwanzaa</t>
  </si>
  <si>
    <t>New Year's</t>
  </si>
  <si>
    <t>New Baby</t>
  </si>
  <si>
    <t>No Holiday</t>
  </si>
  <si>
    <t>Day of the Dead</t>
  </si>
  <si>
    <t>Cinco de Mayo</t>
  </si>
  <si>
    <t>Mardi Gras</t>
  </si>
  <si>
    <t>Shabbat</t>
  </si>
  <si>
    <t>Retirement</t>
  </si>
  <si>
    <t>Bar and Bat Mitzvah</t>
  </si>
  <si>
    <t>Rosh Hashanah</t>
  </si>
  <si>
    <t>Baptism</t>
  </si>
  <si>
    <t>Sports Teams</t>
  </si>
  <si>
    <t>Celebrities</t>
  </si>
  <si>
    <t>Entertainment/Characters</t>
  </si>
  <si>
    <t>Corporate Brands</t>
  </si>
  <si>
    <t>Fashion Brands</t>
  </si>
  <si>
    <t>1A</t>
  </si>
  <si>
    <t>3A or 6A</t>
  </si>
  <si>
    <t>Errors</t>
  </si>
  <si>
    <t>Displays the error status and message for the first error in the row, with a link to the corresponding cell.</t>
  </si>
  <si>
    <t>Read-Only</t>
  </si>
  <si>
    <t>core::supplierPartNumber</t>
  </si>
  <si>
    <t>Supplier Part Number</t>
  </si>
  <si>
    <t>Must be less than 64 characters and must be a unique value (products cannot be added if they have the same part number as something you already have in your catalog). This is the supplier-specific value for the product as it appears on your Inventory Feed and Purchased Orders.</t>
  </si>
  <si>
    <t>Default Row:</t>
  </si>
  <si>
    <t>core::amazonStandardIdentificationNumber</t>
  </si>
  <si>
    <t>Amazon Seller SKU</t>
  </si>
  <si>
    <t>The Amazon Seller SKU is Amazon's identifier for your product that allows you to fulfill the product through Amazon shipping even when selling the product on other sites like Wayfair.</t>
  </si>
  <si>
    <t>N/A</t>
  </si>
  <si>
    <t>core::manufacturerId</t>
  </si>
  <si>
    <t>Brand</t>
  </si>
  <si>
    <t>Enter your product's brand (may be the same as the product's manufacturer). New brands must be created in the brand management tool in Partner Home before they can be selected here.</t>
  </si>
  <si>
    <t>Select</t>
  </si>
  <si>
    <t>core::manufacturerPartNumber</t>
  </si>
  <si>
    <t>Manufacturer Part Number</t>
  </si>
  <si>
    <t>Must be less than 64 characters and must be a unique value (products cannot be added if they have the same part number as something you already have in your catalog). This is the part number provided by the manufacturer.</t>
  </si>
  <si>
    <t>core::universalProductCode</t>
  </si>
  <si>
    <t>Universal Product Code</t>
  </si>
  <si>
    <t>Must follow the standard UPC format and must be a unique value (products cannot be added if they have the same UPC as something you already have in your catalog).</t>
  </si>
  <si>
    <t>core::productName</t>
  </si>
  <si>
    <t>Product Name</t>
  </si>
  <si>
    <t>Please do not use abbreviations or exceed the 254 character limit. Wayfair may adjust the provided name based on marketing standards per class.</t>
  </si>
  <si>
    <t>core::collectionName</t>
  </si>
  <si>
    <t>Collection Name</t>
  </si>
  <si>
    <t>If the product belongs to a collection of associated products that are not just product variances/options, enter the collection here. This can match with collections of products you already sell on site. For example, a collection may be a bed and nightstand that both follow a modern theme, but would not be a bed that comes in two separate colors. Products in a collection do not share the same listing on site.</t>
  </si>
  <si>
    <t>core::manufacturerProductUrl</t>
  </si>
  <si>
    <t>Manufacturer Product URL</t>
  </si>
  <si>
    <t>Enter the URL for the specific manufacturer product page of your product.</t>
  </si>
  <si>
    <t>variantGrouping::variantType</t>
  </si>
  <si>
    <t>Variant Type</t>
  </si>
  <si>
    <t>Indicate whether this part number is a standalone product, primary variant (all required fields must be provided), or non-primary variant (data can be autofilled from primary variant).</t>
  </si>
  <si>
    <t>variantGrouping::groupReferenceId</t>
  </si>
  <si>
    <t>Group Reference ID</t>
  </si>
  <si>
    <t>Provide an identifier to group your variants. This information will be used to create a listing.</t>
  </si>
  <si>
    <t>variantGrouping::variantGrouping</t>
  </si>
  <si>
    <t>Variant Grouping 1</t>
  </si>
  <si>
    <t>Common attribute to group products by. Select from dropdown or enter a custom value.</t>
  </si>
  <si>
    <t>variantGrouping::variantAttributeNameOnSite</t>
  </si>
  <si>
    <t>Variant Attribute Name On Site 1</t>
  </si>
  <si>
    <t>Display name for variant attribute, if differs from corresponding Attribute answer.</t>
  </si>
  <si>
    <t>Variant Grouping 2</t>
  </si>
  <si>
    <t>Variant Attribute Name On Site 2</t>
  </si>
  <si>
    <t>Variant Grouping 3</t>
  </si>
  <si>
    <t>Variant Attribute Name On Site 3</t>
  </si>
  <si>
    <t>price::wholesalePrice</t>
  </si>
  <si>
    <t>Base Cost</t>
  </si>
  <si>
    <t>Your supplier profile preference for currency is used to determine the currency of the base (wholesale) cost provided.</t>
  </si>
  <si>
    <t>Number</t>
  </si>
  <si>
    <t>price::minimumAdvertizedPrice</t>
  </si>
  <si>
    <t>Minimum Advertised Price</t>
  </si>
  <si>
    <t>The region selected for this sheet is used to determine the currency of the MAP provided. This may differ from the currency of your base cost.</t>
  </si>
  <si>
    <t>price::manufacturerSuggestedRetailPrice</t>
  </si>
  <si>
    <t>Manufacturer Suggested Retail Price</t>
  </si>
  <si>
    <t>The region selected for this sheet is used to determine the currency of the MSRP provided. This may differ from the currency of your base cost.</t>
  </si>
  <si>
    <t>price::b2bEveryDayDiscountPercent</t>
  </si>
  <si>
    <t>Everyday B2B Discount Rate</t>
  </si>
  <si>
    <t>The discount rate provided here will be used for orders placed by B2B customers. This information can be edited or added later in the Pricing Home tool if it is not provided here.</t>
  </si>
  <si>
    <t>featureDescription::romanceCopy</t>
  </si>
  <si>
    <t>Marketing Copy</t>
  </si>
  <si>
    <t>Please do not use special symbols (trademark, copyright, etc.) or extra lines/spacing. This should be a short, single paragraph product description in complete sentences highlighting details about key product information.</t>
  </si>
  <si>
    <t>featureDescription::genericFeatures</t>
  </si>
  <si>
    <t>Feature Bullet 1</t>
  </si>
  <si>
    <t>15 words or less, describing one aspect of the product, eg., Unique aspects, benefits, use cases, technology. These provide customers with key facts at first glance and help them to decide whether they want to make the purchase. If no marketing copy is provided, then at least 3 feature bullets must be provided.</t>
  </si>
  <si>
    <t>Feature Bullet 2</t>
  </si>
  <si>
    <t>Feature Bullet 3</t>
  </si>
  <si>
    <t>Feature Bullet 4</t>
  </si>
  <si>
    <t>Feature Bullet 5</t>
  </si>
  <si>
    <t>shippingAndFulfillment::minimumOrderQuantity</t>
  </si>
  <si>
    <t>Minimum Order Quantity</t>
  </si>
  <si>
    <t>The minimum count of items a customer must choose to purchase the product.</t>
  </si>
  <si>
    <t>Whole Number</t>
  </si>
  <si>
    <t>shippingAndFulfillment::forceQuantityMultiplier</t>
  </si>
  <si>
    <t>Force Quantity Multiplier</t>
  </si>
  <si>
    <t>This represents how many items the customer must buy in increments of, or in addition to. For example, a multiplier of 2 would mean a custom must buy 1 quantity, 3 quantity, 5 quantity, or some other multiple of 2.</t>
  </si>
  <si>
    <t>shippingAndFulfillment::displaySetQuantity</t>
  </si>
  <si>
    <t>Display Set Quantity</t>
  </si>
  <si>
    <t>Number of items represented by the part number and wholesale price. For example, if you want to sell a bundle of pillows, and the part number and wholesale cost you provided represents that full bundle of pillows, then you would answer the Display Set Quantity question with how many pillows are in the bundle.</t>
  </si>
  <si>
    <t>shippingAndFulfillment::productWeight</t>
  </si>
  <si>
    <t>Product Weight</t>
  </si>
  <si>
    <t>[Pounds] What is the total weight of this product once assembled? Please enter just the number (i.e. 45.5) without a unit of measurement.</t>
  </si>
  <si>
    <t>shippingAndFulfillment::shipType</t>
  </si>
  <si>
    <t>Ship Type</t>
  </si>
  <si>
    <t>Enter small parcel or LTL to indicate how the product can ship based on size and weight.</t>
  </si>
  <si>
    <t>shippingAndFulfillment::freightClass</t>
  </si>
  <si>
    <t>Freight Class</t>
  </si>
  <si>
    <t>Each product falls into 1 of 18 classes determined by a product's 'transportability' and are crucial for calculating shipping cost. The field is required when ship type is LTL.</t>
  </si>
  <si>
    <t>shippingAndFulfillment::leadTime</t>
  </si>
  <si>
    <t>Lead Time</t>
  </si>
  <si>
    <t>[Hours] This is the length of time from receipt of PO to shipment from the warehouse.</t>
  </si>
  <si>
    <t>shippingAndFulfillment::replacementLeadTime</t>
  </si>
  <si>
    <t>Replacement Lead Time</t>
  </si>
  <si>
    <t>[Hours] This is length of time from receipt of a replacement PO to shipment from the warehouse</t>
  </si>
  <si>
    <t>shippingAndFulfillment::nationalMotorFreightClass</t>
  </si>
  <si>
    <t>National Motor Freight Class</t>
  </si>
  <si>
    <t>5 to 7 digit number in length (depending on any sub classification) that will identify what is shipping in the box</t>
  </si>
  <si>
    <t>shippingAndFulfillment::flatPack</t>
  </si>
  <si>
    <t>Flat Pack</t>
  </si>
  <si>
    <t>Also known as 'knocked down'. Select 'Yes' if this product ships disassembled in a flat pack box.</t>
  </si>
  <si>
    <t>shippingAndFulfillment::shipPalletized</t>
  </si>
  <si>
    <t>Ship Palletized</t>
  </si>
  <si>
    <t>Select 'Yes' if this product ships on a pallet.</t>
  </si>
  <si>
    <t>shippingAndFulfillment::weight</t>
  </si>
  <si>
    <t>Carton Weight 1</t>
  </si>
  <si>
    <t>[Pounds] Enter in the shipping weight (i.e. 45.5) of the packaging used for the product.  If the product ships in more than one box, this measurement is per box.</t>
  </si>
  <si>
    <t>shippingAndFulfillment::height</t>
  </si>
  <si>
    <t>Carton Height 1</t>
  </si>
  <si>
    <t>[Inches] Enter in the shipping height (i.e. 45.5) of the packaging used for the product.  If the product ships in more than one box, this measurement is per box.</t>
  </si>
  <si>
    <t>shippingAndFulfillment::width</t>
  </si>
  <si>
    <t>Carton Width 1</t>
  </si>
  <si>
    <t>[Inches] Enter in the shipping width (i.e. 45.5) of the packaging used for the product.  If the product ships in more than one box, this measurement is per box.</t>
  </si>
  <si>
    <t>shippingAndFulfillment::depth</t>
  </si>
  <si>
    <t>Carton Depth 1</t>
  </si>
  <si>
    <t>[Inches] Enter in the shipping depth (i.e. 45.5) of the packaging used for the product.  If the product ships in more than one box, this measurement is per box.</t>
  </si>
  <si>
    <t>media::imageValue</t>
  </si>
  <si>
    <t>Image File Name or URL 1</t>
  </si>
  <si>
    <t>Your first image will be set as the lead image for this listing, however, is subject to change upon Wayfair review. For each image uploaded, provide the file name with extension (e.g. PART_1.jpeg) or a direct public URL which leads to a single image (tip: to isolate the image, right click + select Open Image in New Tab). Elements like logos, buttons, etc will interfere with our ability to download the image. Do not exceed 20 images per product.</t>
  </si>
  <si>
    <t>Image File Name or URL 2</t>
  </si>
  <si>
    <t>Image File Name or URL 3</t>
  </si>
  <si>
    <t>Image File Name or URL 4</t>
  </si>
  <si>
    <t>Image File Name or URL 5</t>
  </si>
  <si>
    <t>media::videoValue</t>
  </si>
  <si>
    <t>Video File Name or URL 1</t>
  </si>
  <si>
    <t>Provide the video’s file name with extension for separate uploads or a direct public URL. Do not exceed 10 videos per product.</t>
  </si>
  <si>
    <t>media::documentValue</t>
  </si>
  <si>
    <t>Document File Name or URL 1</t>
  </si>
  <si>
    <t>Provide the document’s file name with extension for separate uploads or a direct public URL. Do not exceed 10 documents per product.</t>
  </si>
  <si>
    <t>media::documentType</t>
  </si>
  <si>
    <t>Document Type 1</t>
  </si>
  <si>
    <t>Select one or more values from the provided list that best describe the document’s purpose. This classification helps customers easily find information like “Installation &amp; Assembly” guides, “Warranty Information,” or “Specifications.</t>
  </si>
  <si>
    <t>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t>
  </si>
  <si>
    <t>media::legalDocumentType</t>
  </si>
  <si>
    <t>Legal Document Type 1</t>
  </si>
  <si>
    <t>If the document serves as a legal notice or certification (e.g., “ASTM F2057 - 19,” “ANSI A117.1 Compliant”), select the specific type(s) from the provided list. This is used for compliance and to display certifications to customers.</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</si>
  <si>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Certified; ASTM F2085 - 12 Compliant; ASTM F2088-15 Compliant; ASTM F2194 Compliant; ASTM F2225-15 Compliant; ASTM F2388 - 18 Certified; ASTM F2613 - 17 Compliant; ASTM F2729 - 18 Compliant; ASTM F2933-18 Compliant; ASTM F3084 - 16 Compliant; ASTM F3096 - 14 Compliant; ASTM F3363-19 Compliant; ASTM F381-16 Compliant; ASTM F406 - 10a Compliant; ASTM F406 - 15 Compliant; ASTM F406 - 17 Certified; ASTM F963 - 17 Certified; ASTM F963-11 Compliant; ATA Rated; BHFTI Upholstered Furniture Flammability Compliant; BIFMA G1 Ergonomics Guideline for Furniture; BIFMA HCF 8.1 - Healthcare Furniture Design; Blauer Engel; BS 5287: 1988 Certified; BS 5852 Certified; BS 5867-2:2008 Certified; BS 7176: 2007 Certified; BS 7177:2008+A1:2011 Certified; BS EN 13120: 2009 + A1: 2014 (Requirements for Window Blinds or Drapery Cords) - EU ONLY; BS EN 716-1 Compliant - EU ONLY; BS EN12790 Certified; CAL TB 116 Compliant; CAL TB 117-2013 Compliant; CALGreen Compliant; California AB 1953 Compliant; CAN C22.2 No. 3 - Electrical Components of Fuel Burning Equipment; CAN/ULC-S674; CARB Phase II Compliant (formaldehyde emissions); CE Certified; CEE Rating; CertiPUR-US Certified; cETL Listed; CGA 2.17- M91 (R2014); Chemicals of Concern Compliant; Chemikalien-Verbotsverordnung / Section 3 Compliant; Children's Product Certificate (CPC); CISPR 22 Compliant; Complies with 16 CFR 1305.4; ASTM F1427 - 13 Compliant - Consumer Safety Specification for Bunk Beds; CPAI-84 Compliant; CPSC - 15 U.S. Code § 1278a - Children's Products Containing Lead; CPSC - 16 CFR 1213 Compliant; CPSC - 16 CFR 1215 Compliant - Safety Standards for Infant Bath Seats; ASTM 1821-19 and/or CPSC - 16 CFR 1217 Compliant; CPSC - 16 CFR 1218 Compliant; ASTM F1169-19 Compliant and/or CPSC - 16 CFR 1219 Compliant; ASTM F406-22 and/or CPSC - 16 CFR 1220 Compliant; CPSC - 16 CFR 1221 Compliant; CPSC - 16 CFR 1225 Compliant; CPSC - 16 CFR 1234 Compliant; CPSC - 16 CFR 1238 Compliant; CPSC - 16 CFR 1239 Compliant; CPSC - 16 CFR 1303 Compliant; CPSC - 16 CFR 1500.48 Compliant; CPSC - 16 CFR 1500.49 Compliant; CPSC - 16 CFR 1513 Compliant; CPSC - 16 CFR 1630 Compliant; CPSC - 16 CFR 1631 Compliant; CPSC - 16 CFR 1632 Compliant; CPSC - 16 CFR 1633 Compliant; CPSC - 16 CFR Part 1130-Requirements For Consumer Registration Of Durable Infant Or Toddler Products; CPSC - 16 CFR Part 1307-Prohibition Of Children's Toys And Child Care Articles Containing Specified Phthalates; CPSC 16 CFR 1500.3(c)(6)(vi); CPSC 16 CFR 1500.44; CPSIA Compliant; Cradle to Cradle Certified; CRI Certified; CRI Green Label Certified; CRI Green Label Plus Certified; CSA 2.41-2014/ANSI Z21.97-2014; CSA B125.1 Certified; CSA B13 Certified; CSA B45 Certified; CSA B45.1 Certified; CSA B45.2 Certified; CSA Certified; CSA Listed for Canada; CSA Listed for USA; CSPC - 16 CFR 1750 Compliant; cUL Listed; cUPC Certified; DECT 6.0 Compliant; DIN EN 12935 Certified; DIN EN 16647:2016; Dry/ Damp/ or Wet Location Listed - CAN; Dry/ Damp/ or Wet Location Listed - USA; EU 2018/2005; EIA Compliant; EISA 2007 Compliant; EN 1111:2017; EN 1130-1:1996 (Safety Requirements for Cribs and Cradles) - EU ONLY; EN 12221-1 (Standards for Changing Tables) - EU ONLY; EN 1287:2017; EN 13219 (Standards for Trampolines) - EU ONLY; EN 14428:2015; EN 14516:2019; EN 14527:2019 Certified; EN 14528:2018 Certified; EN 1466:2014; EN 14688:2018 Certified; EN 14749:2016 Certified; EN 14878: 2007 (Requirements for Children's Sleepwear) - EU ONLY; EN 14988-1 (Safety Standards for High Chairs) - EU ONLY; EN 15312 (Safety Standards for Multi-Sport Equipment) - EU ONLY; EN 1725 (Safety Standards for Adult Beds) - EU ONLY; EN 1930 (Standards for Child Gates and Safety Barriers) - EU ONLY; EN 200:2008 Certified; EN 50291-1 (Standards for Smoke Detectors and CO Detectors) - EU ONLY; EN 54-12 (Standards for Smoke Detectors and CO Detectors) - EU ONLY; EN 71 Compliant; EN 71-14:2018 Compliant; EN 747-1 (Standards for Childrens Bunk Beds) - EU ONLY; EN 748 (Safety Standards for Football Goals) - EU ONLY; EN 997:2018; Energy Label Type; Energy Policy Act 1992 Compliant; ENERGY STAR Certified; EPA Compliant; EPA Pesticide Registration Number; EPP Compliant; ETL Listed; EU 2018/1513; EU Energy Efficiency Class; EuroLatex ECO-Standard; FCC Compliant; FCC Part 15 Compliant; FCC Part 68 Compliant; FIRA Certified; Fire Rated; FISP Certified; FloorScore Certification; FM Approved; Food Safe; FSC Certified; General Certificate of Conformity (GCC); Glass Doors and Enclosures Regulations SOR/2016-174; Glazed Ceramics and Glassware Regulations SOR/2016-175; GOLS 3.0 (Global Organic Latex Standard) Certified; Goodweave Certified; GOTS 5.0 (Global Organic Textile Standard) Certified; Green Public Procurement Certified; GREENGUARD Certified; GREENGUARD Gold Certified; GS (Geprüfte Sicherheit) verzeichnet; GSA Approved; Health Canada - SOR/2016-176 Compliant; Health Canada - SOR/2016-179 Compliant; Health Canada - SOR/2016-183 Compliant; Health Canada Compliant; HFES 100 Certified Ergonomic; HVI 2100 Certified; HVI Certified; IAPMO Certified; IATA Compliant; IEC/EN 62471 Compliant; Indoor Air Quality Certified; IP Rating; IPEMA Certified; ISO 14000 Certified; ISO 14001 Certified; ISO 9000 Certified; ISO 9001 Certified; ISTA 1A Certified; ISTA 3A Certified; ISTA 3A or 6A Certified; ISTA1ACertified; ISTA3Aor6ACertified; ITSF Compliant; ITTF Approved; ITTO Compliant; Janka Hardness Rating (PSI); JPMA Certified; Kettles Regulations SOR/2016-181; Lacey Act Compliant; LM-79 Certified; LM-80 Certified; Low Lead Compliant; Mattress Flammability Testing - Public Occupancy Use; MERV Rating; MET Listed; Minnesota 325F.177 Compliant; MOHS - Surface Hardness; NAECA Certified; NAHB Compliant; NEMA Certified; New York City Water Regulation Compliant; NFPA 211 - Standard for Chimeys/ Fireplaces/ Vents and Solid Fuel-Burning Appliances; NFPA 253 or ASTM E648 Compliant; NFPA Compliant; NFSI Certified; NOMITE Certified; NRPA Certified; NSF Certified; NSF/ANSI 184 Certified; NSF/ANSI 3 Certified; FACTS - NSF/ANSI 336 –Compliant; NSF/ANSI 61 Certified; OEKO-TEX Standard 100 Certified; OSHA Compliant; PAT Tested; PEFC Certified; PEI Rated; PEI Rating; Responsible Down Standard Certified; RoHS Compliant; SATRA Approved; SCC Compliant; SCS Certified; SDWA Compliant; SFI Certified; SOR/2016-152 - Canadian Regulation - Cribs/ Cradles and Bassinets; SOR/2016-193 - Surface Coating Materials Regulations; SOR/2018-83 -Consumer Products Containing Lead Regulations; Stiftung Warentest Note; TAA Compliant; TCLP Compliant; Textile Flammability Regulations SOR/2016-194; Textile Labelling and Advertising Regulations (C.R.C./ c. 1551); Tipover Restraint Device Included; Title 20 - California Code of Regulations; Title 24 Compliant; Toys Regulations SOR/2016-195; TSA Compliant; TSCA Title VI Compliant (formaldehyde emissions); TÜV Rheinland zertifiziert; UL 10B Compliant; UL 10C Compliant; UL 1678 Listed; UL 1951 Listed; UL 2108 Listed; UL 4041 - Safety Standard for Outdoor Furniture; UL Gas-Fired Mark; UL Listed; UN 38.3 Testing Requirements; Uniform Packaging and Labeling Regulations (UPLR) Compliant; UPC Certified; USATT Approved; USDA Compliant; USDA Organic/ NOP Certified; USPS Approved; Vermont Act 193 Compliant; Washington Children's Safe Product Act; Washington State VIAQ Code Compliant; WQA Gold Seal Certified; WW-P-541 Certified; Safety Data Sheets (SDS); Canadian Energy Label (EnerGuide); GS Marked; DIN EN 1860; EN 17072:2018; UKCA Marked; ASTM F1169-19 Compliant - Safety Specification for Full Sized Baby Cribs; ASTM F2933-19 Certified; ASTM F1912-19 Certified; ASTM F2088-20 Certified; ASTM F1427-19 - Consumer Safety Specification for Bunk Beds; ASTM F2085-19 Certified; ASTM F2613-19 Certified; ASTM F3084-20 Certified; TÜV SÜD Certified; BS EN 442-1:2014 - Requirements for Radiators and Convectors; CSA B45.5/IAPMO Z124; ASTM F3429 / F3429M – 20 Compliant - Standard Specification for Disposable Flammable Liquid Fuel Containers; REACH (Registration/ Evaluation/ Authorisation and Restriction of Chemicals) Compliant; ASTM F1148-20; EN 1130:2019 (Safety Requirements for Cribs and Cradles) - EU ONLY; UK General Product Safety Regulation; EN 16582 - Requirements for Domestic Swimming Pools; EN 16713 - Requirements for Filtration Systems/ Circulation Systems/ and Treatment in Domestic Swimming Pools; EN 1021 1&amp;2 - Furniture Flammability Standard; FIRA/FRQG C001:2016 - General Safety Requirements for Children's Furniture; BS 8509 - British Safety Standard for Children's Beds; FIRA/FRQG C002:2016 - Seating: Requirements for Strength/ Stability/ and Durability; FIRA/FRQG C003:2016 - Tables and desks: Requirements for strength/ stability and durability; FIRA/FRQG C004:2016 - Storage furniture – Requirements for strength/ stability and durability; EN 71-8:2018 Compliant; EN 71-1:2014 + A1:2018; EN 62115:2005+A11:2012; EU: 2006/42/EC - EU Machinery Directive; CPSC - 16 CFR 1222 Compliant; CPSC 16 CFR 1227.2; EN 16890: 2017; SOR/2016-167 - Carriages and Strollers Regulations; Recycled Content; Global Recycled Standard (Textile Exchange) Certified; Recycled Claim Standard (Textile Exchange) Certified; ISO 14021 Recycled Content Standard Certified; Organic Content Standard (Textile Exchange) Certified; Asthma and Allergy Friendly Certified; British Allergy Foundation Seal of Approval; Carbon Neutral Certifications; Golden M Certified; MAS Certified Green; FloorScore Certified; CertiPUR-EU Certified; EU Ecolabel; EPA WaterSense Certified; Blue Angel Certified; Responsible Down Standard (Textile Exchange) Certified; Bluesign Certified; GreenScreen Certified; MADE SAFE Certified; Responsible Wool Standard (Textile Exchange) Certified; Das Kork Logo Certified; DGM Emissions Label for Furniture; GUT Label; LEVEL - ANSI/BIFMA e3 Furniture Sustainability Standard - Certified; Natureplus Eco-Label; NATURLEDER IVN Certified; NATURTEXTIL IVN Certified BEST; ÖkoControl Seal; Sustainability Assessment for Carpet - NSF/ANSI 140 - Compliant; Sustainability Assessment for Wallcovering Products - NSF/ANSI 342 - Compliant; Type III Product Specific Environmental Product Declaration (EPD); UL ECOLOGO Certified; USDA BioBased Product; DOWNPASS Certified; Green Squared (G2) Certified; FairTrade Certified; FairTrade Certified Cotton; FSC 100% Certified; FSC MIX Certified; FSC Recycled; SFI Certified Sourcing; SFI Chain-of-Custody Certified; SFI Fiber Sourcing Certified; ENERGY STAR Canada Certified; Carbon Neutral - PAS 2060 - Certified; Carbonfree Product Certification; Indoor Advantage Certified; Indoor Advantage Gold Certified; Indoor Air Comfort Certified; Indoor Air Comfort GOLD Certified; OEKO-TEX LEATHER STANDARD Certified; OEKO-TEX MADE IN GREEN Certified; Cradle to Cradle Material Health Certificate; eco-INSTITUT-Label; CARB Certified (Ozone Emissions for Air Cleaners); EN 1103:2006; Code of Practice for Fire Safety of Furnishings and Fittings in Places of Assembly; EN 13773; I.S. 419:2011; ÖNORM A3800-1; ÖNORM B 3825; EN 14619:2019; Product Attestation; California Carpet Stewardship Program Compliant; Is Responsible Person Information Available; FIRA/FRQG C001: 2021 Furniture - Children’s Domestic Furniture – General Safety Requirements; BS EN 17191:2021; FIRA/FRQG C003: 2021 Furniture - Children’s Domestic Furniture – Tables &amp; Desks – Requirements for Strength/ Stability and Durability; National Minority Supplier Development Council Certification; Small Business Administration Certification; SupplierGATEWAY Enhanced Digital Certification; System for Award Management Certification; Women’s Business Enterprise National Council Certification; Other Minority Business Enterprise Certification; &gt; 50% Black/ Women or LatinX Certification; EU Food Contact Regulation - Plastics; Fairtrade International Certified - Sports Ball; FLOCERT Expiration Date; CANFER Compliant; ASTM F2710-19 Compliant; CPSC 16 CFR 1207; ASTM F1004-22 Compliant; BS EN 14960 Compliant (Inflatables); EN 14468-1:2015 Compliant (Table Tennis Tables); BS 7972:2001+A1:2009 Compliant (Children's bedguards); Energy Efficiency Regulations Compliant; EU/UK Timber Compliant; SOR/2023-101 - Carriages and Strollers; ASTM F2388-21; EN 16779-1: 2018; ASTM F406-22; ANSI Z21.11.2-2019; ASTM B117-19; CPSC - 40 CFR 60; CSA / ANSI Z21.58:22; CSA / ANSI Z83.26:20; EC No. 1907/2006 Annex XVII; EC No. 1935/2004; FDA Generally Recognized as Safe (GRAS); UL 1278 4th Ed; UL 2021 4th Ed; EN 12520; BS EN 16781; ASTM F2057-23 (STURDY); EN 16780: 2018; ASTM F2613-21; ASTM F1427-21e1; Unified Water Label; CPSC - 16 CFR 1241; CPSC - 16 CFR 1263 Compliant (Reese's Law); Commercial Warranty; EU 2024/590; BS EN 597-1; ASTM F1912-21 Compliant; ASTM F963-23 Compliant; FIRA/FRQG C004:2016 + A1 2017; EUDR; CA PFAS; CPSC - 16 CFR 1242; EU General Product Safety Regulation; EPA Compliant - Step 2 Certified; ANSI/WCMA A100.1-2018 Standard; SOR/2019-97 - Corded Window Coverings Regulations; ANSI/BIFMA X6.4 Occasional-Use Seating Standard; ASTM F1148-22; SOR/2016 - 217; 16 CFR 1235; ASTM F2088-24; 16 CFR 1243; IS 419 / EN 1021; IS 419 / EN 597/ EN 16890; IS 419 / EN 597; ASTM-1917-23; Low Voltage Directive; Children's Furniture Safety and Stability; CPSC - 16 CFR 1224; ASTM F2276-23 (General Mechanical Requirements); UL 1647 (Electrical Safety); In-House Contract-Quality Testing Document; Contract Grade Signed Verification Letter; SOR/2018-186; SOR/2024-217; Certified Egyptian Cotton; SOR/2011-17; BS EN ISO 20957-1; BS EN ISO 20957-2; BS EN ISO 20957-9; BS EN ISO 20957-5; BS EN ISO 20957-10; BS EN ISO 20957-4; BS EN ISO 29057-6; CFR 1205; ANSI B71.1-2017 - Standard Specifications for Pedestrian-Controlled Mowers and Ride-On Mowers; CAN/CSA-C22.2 No. 147 Compliant; California Proposition 65; EN 13310:2015+A1:2018 Certified; BS EN 862 Certified; BS EN ISO 8317 Certified; BS EN ISO 11683 Certified; BS 7176:2007 - Low Hazard Category; BS 7176:2007 - Medium Hazard Category; BS 7176:2007 - High Hazard Category; BS 7176:2007 - Very High Hazard Category; Detergents Regulation 2010 / Regulation (EU) 2026/405; BPR Authorisation Certificate; Aerosol Dispensers Regulations 2009; BS 7177:2008 - Low Hazard Category; BS 7177:2008 - Medium Hazard Category; BS 7177:2008 - High Hazard Category; BS 7177:2008 - Very High Hazard Category; BS EN ISO 6892-1; 16 CFR 1231 or ASTM F404-21; 16 CFR 1237 or ASTM F2640-18; 16 CFR 1233 or ASTM 1235-18; ASTM F404-21</t>
  </si>
  <si>
    <t>media::regionType</t>
  </si>
  <si>
    <t>Document Region 1</t>
  </si>
  <si>
    <t>Select the country or region where this document is legally applicable. This is crucial for compliance-related documents that may differ across locations.</t>
  </si>
  <si>
    <t>Document File Name or URL 2</t>
  </si>
  <si>
    <t>Document Type 2</t>
  </si>
  <si>
    <t>Legal Document Type 2</t>
  </si>
  <si>
    <t>Document Region 2</t>
  </si>
  <si>
    <t>Document File Name or URL 3</t>
  </si>
  <si>
    <t>Document Type 3</t>
  </si>
  <si>
    <t>Legal Document Type 3</t>
  </si>
  <si>
    <t>Document Region 3</t>
  </si>
  <si>
    <t>83610</t>
  </si>
  <si>
    <t>Product Type</t>
  </si>
  <si>
    <t>What type of product is this?</t>
  </si>
  <si>
    <t>83613</t>
  </si>
  <si>
    <t>Pattern</t>
  </si>
  <si>
    <t>What is the pattern of the product? If there is more than one pattern, please select all that apply.</t>
  </si>
  <si>
    <t>Please choose one or more from the following, using a semicolon (;) to separate each value: Abstract; Animal Print; Chevron; Damask; Floral; Geometric; Paisley; Plaid; Polka Dots; Striped; Toile; Brick; Solid Color; Stone; Wood &amp; Shiplap; Marble; Gingham; Camouflage; Ikat; Houndstooth; Patchwork; Ombre; Checkered; Argyle; No Pattern; Trellis; Dots; Starburst; Geometric Shapes; Irish Chain; Chevron / Zig Zag; Clear; Drunkard's Path; Moroccan; Oriental; Block Print; Arc; Vintage Look; Does Not Apply</t>
  </si>
  <si>
    <t>83614</t>
  </si>
  <si>
    <t>Wallpaper Texture</t>
  </si>
  <si>
    <t>What type of texture does this product have applied to it?</t>
  </si>
  <si>
    <t>83631</t>
  </si>
  <si>
    <t>Application Type</t>
  </si>
  <si>
    <t>How is this product applied? This will be explicitly stated in the description. If this product does not fit any of the listed options, please enter the correct value.</t>
  </si>
  <si>
    <t>83632</t>
  </si>
  <si>
    <t>Match Type</t>
  </si>
  <si>
    <t>What is the pattern match type of this product? This will be explicitly stated in the description. If this product does not fit any of the listed options, please enter the correct information/value. Select all that apply.</t>
  </si>
  <si>
    <t>Please choose one or more from the following, using a semicolon (;) to separate each value: Drop; Random; Straight; Unavailable; Does Not Apply</t>
  </si>
  <si>
    <t>83633</t>
  </si>
  <si>
    <t>Removal Type</t>
  </si>
  <si>
    <t>How should the user remove the product?</t>
  </si>
  <si>
    <t>Please choose one or more from the following, using a semicolon (;) to separate each value: Peelable; Strippable; Solution Required; Unavailable; Does Not Apply</t>
  </si>
  <si>
    <t>83645</t>
  </si>
  <si>
    <t>Country of Origin</t>
  </si>
  <si>
    <t>What is the country where this finished product was produced?  For goods produced in more than one country where did it undergo the last substantial processing resulting in the finished item?  If this is an imported good this is the Country of Origin that was declared to US Customs Service. If this product does not fit any of the listed options, please enter the correct country.</t>
  </si>
  <si>
    <t>245842</t>
  </si>
  <si>
    <t>Country of Origin - Additional Details</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</si>
  <si>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</si>
  <si>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Please choose one or more from the following, using a semicolon (;) to separate each value: Made in USA; Made in USA of Imported Materials; Product of Canada; Made In Canada; Does Not Apply</t>
  </si>
  <si>
    <t>239196</t>
  </si>
  <si>
    <t>Supplier Intended and Approved Use</t>
  </si>
  <si>
    <t>What type of environmental setting was this product designed and manufactured to be used in? Note: your answer indicates that Wayfair is able to market this product as being intended for use in the selected setting(s). Please select both, if both options apply.</t>
  </si>
  <si>
    <t>Please choose one or more from the following, using a semicolon (;) to separate each value: Non Residential Use; Residential Use</t>
  </si>
  <si>
    <t>83647</t>
  </si>
  <si>
    <t>BPA Free</t>
  </si>
  <si>
    <t>Does this product contain 0% BPA (Bisphenol A), a plastic compound with toxic properties?</t>
  </si>
  <si>
    <t>336816</t>
  </si>
  <si>
    <t>Durability</t>
  </si>
  <si>
    <t>Which of the following durability features are applicable to this product? Please select all applicable options from the list. If none apply, please select "No Durability Features."</t>
  </si>
  <si>
    <t>Please choose one or more from the following, using a semicolon (;) to separate each value: Mold / Mildew Resistant; Water Resistant; No Durability Features; Drip Free; Fade Resistant; Heat Resistant; Stain Resistant; Reinforced; Non-Porous; Fray Resistant; Non-Staining</t>
  </si>
  <si>
    <t>364166</t>
  </si>
  <si>
    <t>Designer</t>
  </si>
  <si>
    <t>Who is the Designer of this product? The Designer is typically one individual and is not the name of the brand. If the designer does not exist, please select does not apply</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</si>
  <si>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E. Barber and J. Osgerby; Sean Lavin; Neri &amp; Hu; Flemming Lassen; Mogens Lassen; Paloma Contreras; Alicia Engman; Meneghello Paolelli; G. DeBrekht; Zeki Muren; Corey Damen Jenkins; Garcia Cumini; Charlotte Moss; Angela Harris, The Studio; Unavailable; Does Not Apply</t>
  </si>
  <si>
    <t>371810</t>
  </si>
  <si>
    <t>Product Care</t>
  </si>
  <si>
    <t>What is the appropriate way to clean and/or care for this product? Please select as many answers as applicable.</t>
  </si>
  <si>
    <t>Please choose one or more from the following, using a semicolon (;) to separate each value: Wipe down with mild soap and water; Use product specific cleaner; Wipe clean with a dry cloth; Dust mop; Hand wash recommended; Spot clean only; Clean with soap and water; Clean spills immediately; Non-Abrasive, Neutral Ph Cleaner; Vacuum with no beater bar/rotating brush; Professional / Dry Clean Recommended; Vacuum with upholstery attachment; Avoid use of abrasive cleaners; Do not wash;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with cloth; Hand Wash Only - Towel Dry Immediately; Wipe Clean Only; Wipe clean with a damp cloth; Does Not Apply</t>
  </si>
  <si>
    <t>379963</t>
  </si>
  <si>
    <t>What is the color of the product? If your color name is not listed, please type in the value.</t>
  </si>
  <si>
    <t>Please choose one or more from the following, using a semicolon (;) to separate each value: Black; Brown; White; Green; Gray; Red; Beige; Yellow; Pink; Orange; Purple; Silver; Gold; Clear; Cream; Ivory; Tan; Teal; Navy; Blue</t>
  </si>
  <si>
    <t>380015</t>
  </si>
  <si>
    <t>Pattern Repeat Frequency</t>
  </si>
  <si>
    <t>Please enter the number of unique patterns in the design of the product.</t>
  </si>
  <si>
    <t>302380</t>
  </si>
  <si>
    <t>Sports Team Name</t>
  </si>
  <si>
    <t>Which sports team does this product display? Please only fill out this information if the product has a logo from one of these sports teams on the product itself.</t>
  </si>
  <si>
    <t>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 Unavailable; Does Not Apply</t>
  </si>
  <si>
    <t>300666</t>
  </si>
  <si>
    <t>Movie / Show Series Name</t>
  </si>
  <si>
    <t>What movie / show does this product display? Please only fill out this information if an image of the movie / show is shown on the product. If the move or show is not listed, please enter it manually.</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</si>
  <si>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 Unavailable; Does Not Apply</t>
  </si>
  <si>
    <t>83654</t>
  </si>
  <si>
    <t>Pattern Interval</t>
  </si>
  <si>
    <t>[Inches] How much space is in-between each pattern? Please enter just the number (e.g. 1.5).</t>
  </si>
  <si>
    <t>435497</t>
  </si>
  <si>
    <t>General Features</t>
  </si>
  <si>
    <t>Select all features that describe the product’s intrinsic performance, certifications, or functional classification rather than its physical parts. This includes invisible treatments and overarching capabilities (Pet Friendly, Disposable, Breathable, etc.) where the benefit is inherent to the product as a whole.</t>
  </si>
  <si>
    <t>Please choose one or more from the following, using a semicolon (;) to separate each value: Breathable; Dual Sided; Paintable / Stainable; No General Features</t>
  </si>
  <si>
    <t>436381</t>
  </si>
  <si>
    <t>Material</t>
  </si>
  <si>
    <t>What material is the product made of?</t>
  </si>
  <si>
    <t>Please choose one or more from the following, using a semicolon (;) to separate each value: Aluminum; Cast Iron; Fabric; Paper; Plastic; PVC; Steel; Solid Wood; Vinyl; Wood; Fleece; Grass Cloth; MDF; Non-Woven; Particle Board / Chipboard; Plywood / Laminate Board; Paper / Printed Veneer; Real Wood Veneer</t>
  </si>
  <si>
    <t>437136</t>
  </si>
  <si>
    <t>Age Group</t>
  </si>
  <si>
    <t>For what age group(s) is the product intended or can be safely used by? Please select all that apply.</t>
  </si>
  <si>
    <t>Please choose one or more from the following, using a semicolon (;) to separate each value: Newborn (Birth - 6 months old); Infant (6 - 12 Months); Toddler (1 - 3 Years); Pre-school (3 - 5 Years); Youth (5 - 8 Years); Pre-teen (9 - 12 Years); Teen (13+); Adult (18+); All Ages; Adult; Baby; Kid; Teen; Toddler</t>
  </si>
  <si>
    <t>487304</t>
  </si>
  <si>
    <t>Finish</t>
  </si>
  <si>
    <t>What is the finish of the product?</t>
  </si>
  <si>
    <t>Please choose one or more from the following, using a semicolon (;) to separate each value: Satin; Gloss; Rubber Coated; Neoprene Dipped; Distressed; Glitter / Shimmer; Low-Gloss; Matte; Metallic; Primed; Semi Gloss; Does Not Apply</t>
  </si>
  <si>
    <t>83653</t>
  </si>
  <si>
    <t>Overall Product Length - End to End</t>
  </si>
  <si>
    <t>[Feet] What is the overall length (longest side) of the product from end to end? Please enter just the number (e.g. 45.5).</t>
  </si>
  <si>
    <t>83652</t>
  </si>
  <si>
    <t>Overall Width - Side to Side</t>
  </si>
  <si>
    <t>[Inches] What is overall width of the product from side to side? Please enter just the number (e.g. 45.5).</t>
  </si>
  <si>
    <t>83655</t>
  </si>
  <si>
    <t>Square Footage per Unit</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</si>
  <si>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</si>
  <si>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83656</t>
  </si>
  <si>
    <t>Overall Product Weight</t>
  </si>
  <si>
    <t>[Pounds] What is the total weight of this product once assembled? If this product includes multiples of the same item, add weight of one individual unit (e.g. 1 Dining Chair in a set of 2). Please enter just the number (i.e. 45.5).</t>
  </si>
  <si>
    <t>238830</t>
  </si>
  <si>
    <t>Commercial Warranty</t>
  </si>
  <si>
    <t>Does the manufacturer warranty cover the use of this product in a commercial environment?</t>
  </si>
  <si>
    <t>333897</t>
  </si>
  <si>
    <t>Commercial Warranty Length</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</si>
  <si>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</si>
  <si>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486624</t>
  </si>
  <si>
    <t>Wayfair Compliance Verified Program (including Baby Safety Alliance fka JPMA) for this product category</t>
  </si>
  <si>
    <t>Please only select "Yes" if you are a part of Wayfair's Compliance Verified Program  and / or your product has been tested and certified to Baby Safety Alliance (BSA) protocols (fka JPMA) for the relevant product category. Wayfair will verify this information. Incorrectly selecting that you are a part of either program may result in your products becoming unfindable until all compliance data is updated and provided.</t>
  </si>
  <si>
    <t>237291</t>
  </si>
  <si>
    <t>Uniform Packaging and Labeling Regulations (UPLR) Compliant</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</si>
  <si>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</si>
  <si>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250059</t>
  </si>
  <si>
    <t>Canada Product Restriction</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</si>
  <si>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</si>
  <si>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415800</t>
  </si>
  <si>
    <t>Sustainability &amp; Social Responsibility Certifications (North America Only)</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</si>
  <si>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</si>
  <si>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propSixtyFive::warningRequired</t>
  </si>
  <si>
    <t>Warning Required</t>
  </si>
  <si>
    <t>If the product requires a warning for Proposition 65 compliance in California, answer 'Yes' and indicate which chemicals and toxicities are applicable.</t>
  </si>
  <si>
    <t>propSixtyFive::chemicalId</t>
  </si>
  <si>
    <t>Chemical 1</t>
  </si>
  <si>
    <t>Select the chemical that requires the Prop65 warning.</t>
  </si>
  <si>
    <t>propSixtyFive::toxicity</t>
  </si>
  <si>
    <t>Toxicity 1</t>
  </si>
  <si>
    <t>Select the toxicity that can result from the selected chemical.</t>
  </si>
  <si>
    <t>Please choose one or more from the following, using a semicolon (;) to separate each value: Cancer; Developmental</t>
  </si>
  <si>
    <t>Basic Information</t>
  </si>
  <si>
    <t>Variants</t>
  </si>
  <si>
    <t>Pricing</t>
  </si>
  <si>
    <t>Marketing Information</t>
  </si>
  <si>
    <t>Fulfillment Information</t>
  </si>
  <si>
    <t>Carton Details</t>
  </si>
  <si>
    <t>Media</t>
  </si>
  <si>
    <t>Attributes</t>
  </si>
  <si>
    <t>Compliance</t>
  </si>
  <si>
    <t>71859</t>
  </si>
  <si>
    <t>71862</t>
  </si>
  <si>
    <t>Subject</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</si>
  <si>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</si>
  <si>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Please choose one or more from the following, using a semicolon (;) to separate each value: Animals; Astrology &amp; Stars; Scenic &amp; Cityscapes; Food &amp; Beverage; Insects; Patriotic; Entertainment; Plants &amp; Flowers; Religious &amp; Spiritual; Nautical &amp; Beach; Abstract; Sports; People; Geography; Fantasy &amp; Sci-Fi; Landscape &amp; Nature; Text &amp; Numbers; Furniture; Novelty &amp; Humor; STEM; Fashion; Buildings &amp; Architecture; Transportation; Bath &amp; Laundry; History &amp; Language; Cities &amp; Countries; Disney/Pixar; No Subject; Education; Birds; U.S. States &amp; Territories; Unavailable</t>
  </si>
  <si>
    <t>71864</t>
  </si>
  <si>
    <t>Surface Type</t>
  </si>
  <si>
    <t>What type of surface does this product have? Please enter the most applicable option. If this product does not fit any of the listed options, please enter the correct information. Multiple options can be selected.</t>
  </si>
  <si>
    <t>71866</t>
  </si>
  <si>
    <t>Please choose one or more from the following, using a semicolon (;) to separate each value: Fabric; Vinyl; Canvas; Paper; Plastic; PVC;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Composite; Carbon Steel; Compressed Polyester; Ceramic / Porcelain; Bone China; Cedar; Concrete; Cotton; Earthenware; Engineered Stone; Concrete / Cement; Corrugated; Enamel / Lacquer; Cotton Blend; Compressed Stone; Copper; Faux Leather;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Olefin; Nickel; PEVA; Nylon; Oak; Oxford Fabric; Polyamide; Plywood; Pinecones; Plastic / Acrylic; Pewter; Polycarbonate Plastic; Nickel Plated;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Rubber; Quartzite; Real Greenery; Resin; Rocks / Pebbles; Recycled P.E.T; Real Floral; Suede / Faux Suede; Solid Brass; Stainless Steel (18/0); Sponge; Tin; Teak;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Wrought Iron; Wood; Wool; Wire; Zinc Alloy; Walnut Wood; Viscose; Wicker; Wool / Felt; Charcoal; Enamel Coated Steel; Vinyl Coated Steel; Mirror; Water Hyacinth; MDF; Particle Board / Chipboard; Plywood / Laminate Board; Paper / Printed Veneer; Real Wood Veneer</t>
  </si>
  <si>
    <t>71880</t>
  </si>
  <si>
    <t>Compatible Surfaces</t>
  </si>
  <si>
    <t>What type(s) of surfaces is this product compatible with?</t>
  </si>
  <si>
    <t>Please choose one or more from the following, using a semicolon (;) to separate each value: Multi-Surface; Flat Surface; Textured Wall; Brick Wall; Cement Wall; Solid Wood; Glass Wall; Stainless Steel; Existing Tile; Chalkboard; Appliance; Mirror; Wallpaper; Painted Gypsum; Acrylic Panel; Orange Peel Wall; Gypsum Wall; Laminate; Plywood Wall; Drywall; Stucco Wall; Ceramic Tile Wall; Concrete; Stone Wall; Medium Density Fiberboard; Unavailable</t>
  </si>
  <si>
    <t>71892</t>
  </si>
  <si>
    <t>Personalization or Monogramming</t>
  </si>
  <si>
    <t>Is the product monogrammed, or does the product feature a customer inputted text?</t>
  </si>
  <si>
    <t>71893</t>
  </si>
  <si>
    <t>Room Use</t>
  </si>
  <si>
    <t>Is this product designed for a specific room? Enter more than one option if applicable.</t>
  </si>
  <si>
    <t>Please choose one or more from the following, using a semicolon (;) to separate each value: Bathroom; Kitchen; Bedroom; Living Room; Laundry Room; Nursery; Dining Room; Pantry; Home Office; Game Room; Foyer; Playroom; Patio; Closet; Restaurant Dining Room; Basement; Garage/Shop; Commercial Office; Backyard; Mudroom/Deck; School Classroom; Hotel Room; Lobby/Reception; Hallway; Studio; Art School; Commercial Kitchen; Unavailable; Does Not Apply</t>
  </si>
  <si>
    <t>71900</t>
  </si>
  <si>
    <t>182152</t>
  </si>
  <si>
    <t>Holiday / Occasion</t>
  </si>
  <si>
    <t>What is the particular Holiday / Occasion theme or design  of the product? Please select one Holiday / Occasion based on option definitions. If no Holiday or Occasion is  applicable to the product, please select "No Holiday"</t>
  </si>
  <si>
    <t>244672</t>
  </si>
  <si>
    <t>71902</t>
  </si>
  <si>
    <t>299896</t>
  </si>
  <si>
    <t>Licensed Product Category</t>
  </si>
  <si>
    <t>If this is a licensed product, which licensing category does this product fall under? If this product is not an officially-licensed product associated with an active licensing agreement, please mark this as Does Not Apply.</t>
  </si>
  <si>
    <t>336807</t>
  </si>
  <si>
    <t>Please choose one or more from the following, using a semicolon (;) to separate each value: Mold / Mildew Resistant; Water Resistant; No Durability Features; Fade Resistant; Heat Resistant; Stain Resistant; Tip Resistant; Waterproof; Shatter Resistant; Weather Resistant; Rust Resistant; Anodic Protection; Predator Resistant; Drill Resistant; Condensation Free; Antimicrobial; Pry Resistant; Fray Resistant; Non-Staining</t>
  </si>
  <si>
    <t>371902</t>
  </si>
  <si>
    <t>Adjustability Features</t>
  </si>
  <si>
    <t>Select all features that allow a user to intentionally change the product’s physical dimensions, orientation, or configuration. This includes any design elements meant to be moved, rotated, folded, or expanded (Reclining backrests, height-adjustable legs, etc.) to adapt the product to a specific person or space.</t>
  </si>
  <si>
    <t>Please choose one or more from the following, using a semicolon (;) to separate each value: Removable; Retractable; Tilt; Reversible; Collapsible; Extendable; Configurable / Modular; Swivel; Trimmable; Convertible; Rotating; Lift Assist; Reclining; Double Sided; Glider; Wall Recline; Adjustable; Swing Arm; Temperature; Stackable; Tilt Lock; Tilt Out; Tilting; No Adjustability Features; Unavailable; Does Not Apply</t>
  </si>
  <si>
    <t>380379</t>
  </si>
  <si>
    <t>Please choose one or more from the following, using a semicolon (;) to separate each value: Blue; Black; Brown; White; Green; Gray; Red; Beige; Yellow; Pink; Orange; Purple; Silver; Gold; Clear; Cream; Ivory; Tan; Teal; Navy</t>
  </si>
  <si>
    <t>383756</t>
  </si>
  <si>
    <t>Total Number of Pieces Included</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</si>
  <si>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</si>
  <si>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421593</t>
  </si>
  <si>
    <t>Pieces Included</t>
  </si>
  <si>
    <t>What pieces are included with this product?</t>
  </si>
  <si>
    <t>Please choose one or more from the following, using a semicolon (;) to separate each value: Handle(s); Paste; Unavailable; Does Not Apply</t>
  </si>
  <si>
    <t>300640</t>
  </si>
  <si>
    <t>435493</t>
  </si>
  <si>
    <t>Please choose one or more from the following, using a semicolon (;) to separate each value: Breathable; Dual Sided; Animated; Double Sided; Non-Wall Damaging; Reusable; Vintage; Window Clinging; No General Features</t>
  </si>
  <si>
    <t>437142</t>
  </si>
  <si>
    <t>71906</t>
  </si>
  <si>
    <t>Overall Height - Top to Bottom</t>
  </si>
  <si>
    <t>[Inches] What is the overall height of the product from top to bottom? Please enter just the number (e.g. 45.5).</t>
  </si>
  <si>
    <t>71907</t>
  </si>
  <si>
    <t>399894</t>
  </si>
  <si>
    <t>409341</t>
  </si>
  <si>
    <t>486754</t>
  </si>
  <si>
    <t>237073</t>
  </si>
  <si>
    <t>250057</t>
  </si>
  <si>
    <t>386214</t>
  </si>
  <si>
    <t>ISTA Certified</t>
  </si>
  <si>
    <t>Is the packaging for this SKU ISTA Certified (1A, 3A, 6A)?</t>
  </si>
  <si>
    <t>415799</t>
  </si>
  <si>
    <t>Carton Weight</t>
  </si>
  <si>
    <t>Carton Height</t>
  </si>
  <si>
    <t>Carton Width</t>
  </si>
  <si>
    <t>Carton Depth</t>
  </si>
  <si>
    <t>Image File Name or URL</t>
  </si>
  <si>
    <t>Video File Name or URL</t>
  </si>
  <si>
    <t>Document File Name or URL</t>
  </si>
  <si>
    <t>Document Type</t>
  </si>
  <si>
    <t>Legal Document Type</t>
  </si>
  <si>
    <t>Document Region</t>
  </si>
  <si>
    <t>Chemical</t>
  </si>
  <si>
    <t>Toxicity</t>
  </si>
  <si>
    <t>Variant Details - Variant Grouping (Class 3757)</t>
  </si>
  <si>
    <t>Variant Details - Variant Grouping (Class 6161)</t>
  </si>
  <si>
    <t>Specifications</t>
  </si>
  <si>
    <t>Installation &amp; Assembly</t>
  </si>
  <si>
    <t>Owner Manual</t>
  </si>
  <si>
    <t>Delivery Information</t>
  </si>
  <si>
    <t>Warranty Information</t>
  </si>
  <si>
    <t>Certifications</t>
  </si>
  <si>
    <t>Disclaimers</t>
  </si>
  <si>
    <t>Buying Guides</t>
  </si>
  <si>
    <t>Promotions</t>
  </si>
  <si>
    <t>Dimensions</t>
  </si>
  <si>
    <t>Marketing Materials</t>
  </si>
  <si>
    <t>Energy Guide</t>
  </si>
  <si>
    <t>Other</t>
  </si>
  <si>
    <t>Product Information Sheet</t>
  </si>
  <si>
    <t>Digital Law Label</t>
  </si>
  <si>
    <t>AAFA Certified</t>
  </si>
  <si>
    <t>AATCC 116 Grade</t>
  </si>
  <si>
    <t>AATCC 16.1-2014 Grade</t>
  </si>
  <si>
    <t>AATCC 16.3-2014 Grade</t>
  </si>
  <si>
    <t>AATCC 8 Grade</t>
  </si>
  <si>
    <t>AC Rated</t>
  </si>
  <si>
    <t>ACT Flammability Guidelines Compliant</t>
  </si>
  <si>
    <t>AHAM CADR Dust rating</t>
  </si>
  <si>
    <t>AHAM CADR Pollen rating</t>
  </si>
  <si>
    <t>AHAM CADR Smoke rating</t>
  </si>
  <si>
    <t>AHMA Certified</t>
  </si>
  <si>
    <t>AHMA Compliant</t>
  </si>
  <si>
    <t>AHRI Certified</t>
  </si>
  <si>
    <t>ANSI A117.1 Compliant</t>
  </si>
  <si>
    <t>ANSI A137.1 Compliant</t>
  </si>
  <si>
    <t>ANSI IT9.2 Compliant</t>
  </si>
  <si>
    <t>ANSI Z1.5A/CGA 9.1M Certified</t>
  </si>
  <si>
    <t>ANSI Z124.1.2 Compliant</t>
  </si>
  <si>
    <t>ANSI Z124.3 Compliant</t>
  </si>
  <si>
    <t>ANSI Z124.6-97 Compliant</t>
  </si>
  <si>
    <t>ANSI Z21.11.2-2016 - Gas-Fired Unvented Room Heaters and Gas-Fired Unvented Decorative Room Heaters</t>
  </si>
  <si>
    <t>ANSI Z21.50-2016/CSA 2.22-2016 - Standard for Vented Decorative Gas Appliances</t>
  </si>
  <si>
    <t>ANSI Z21.60-2017/CSA 2.26-2017- Standard for Decorative Gas Appliances</t>
  </si>
  <si>
    <t>ANSI Z21.84-2017 - Standard for Manually Lighted/ Natural Gas/ Decorative Gas Appliances</t>
  </si>
  <si>
    <t>ANSI Z21.88-2017/CSA 2.33-2017- Standard for Vented Gas Fireplace Heaters</t>
  </si>
  <si>
    <t>ANSI Z358 Compliant</t>
  </si>
  <si>
    <t>ANSI/BHMA A156 Certified</t>
  </si>
  <si>
    <t>ANSI/BIFMA M7.1 Standard Test Method for Determining VOC Emissions</t>
  </si>
  <si>
    <t>ANSI/BIFMA X5.1 Office Seating</t>
  </si>
  <si>
    <t>ANSI/BIFMA X5.11 Large Occupant Office Seating</t>
  </si>
  <si>
    <t>ANSI/BIFMA X5.3 Vertical Files</t>
  </si>
  <si>
    <t>ANSI/BIFMA X5.4 Lounge &amp; Public Seating</t>
  </si>
  <si>
    <t>ANSI/BIFMA X5.5 Desk Products</t>
  </si>
  <si>
    <t>ANSI/BIFMA X5.6 Panel Systems</t>
  </si>
  <si>
    <t>ANSI/BIFMA X5.9 Storage</t>
  </si>
  <si>
    <t>ANSI/BIFMA X6.1 Educational Seating</t>
  </si>
  <si>
    <t>ANSI/BIFMA X7.1 Standard for Formaldehyde &amp; TVOC Emissions</t>
  </si>
  <si>
    <t>ANSI/ESD S20.20 Certified</t>
  </si>
  <si>
    <t>ANSI/NISO Z39.48 Compliant</t>
  </si>
  <si>
    <t>ANSI/SOHO S6.5 Small Office/Home Office</t>
  </si>
  <si>
    <t>APMA Certified</t>
  </si>
  <si>
    <t>ASHRAE 62.2 Standard Compliant</t>
  </si>
  <si>
    <t>ASME A112.18.1 Compliant</t>
  </si>
  <si>
    <t>ASME A112.18.2 Compliant</t>
  </si>
  <si>
    <t>ASME A112.19.1 Compliant</t>
  </si>
  <si>
    <t>ASME A112.19.2 Compliant</t>
  </si>
  <si>
    <t>ASME A112.19.3 Compliant</t>
  </si>
  <si>
    <t>ASP:02:01 Certification</t>
  </si>
  <si>
    <t>ASSE 1001 Certified</t>
  </si>
  <si>
    <t>ASSE 1006 Certified</t>
  </si>
  <si>
    <t>ASSE 1016 Certified</t>
  </si>
  <si>
    <t>ASTM 1821-19</t>
  </si>
  <si>
    <t>ASTM E1590-07 Compliant</t>
  </si>
  <si>
    <t>ASTM F1004-19 Certified</t>
  </si>
  <si>
    <t>ASTM F1148-17 Compliant</t>
  </si>
  <si>
    <t>ASTM F1148-18 Compliant</t>
  </si>
  <si>
    <t>ASTM F1148-18 Certified</t>
  </si>
  <si>
    <t>ASTM F1169 - 13 Compliant</t>
  </si>
  <si>
    <t>ASTM F1487-17 Compliant</t>
  </si>
  <si>
    <t>ASTM F1821 - 16 Compliant</t>
  </si>
  <si>
    <t>ASTM F1912-17 Compliant</t>
  </si>
  <si>
    <t>ASTM F1917 - 12 Compliant</t>
  </si>
  <si>
    <t>ASTM F2057 - 14</t>
  </si>
  <si>
    <t>ASTM F2057 - 17</t>
  </si>
  <si>
    <t>ASTM F2057 - 19 Certified</t>
  </si>
  <si>
    <t>ASTM F2085 - 12 Compliant</t>
  </si>
  <si>
    <t>ASTM F2088-15 Compliant</t>
  </si>
  <si>
    <t>ASTM F2194 Compliant</t>
  </si>
  <si>
    <t>ASTM F2225-15 Compliant</t>
  </si>
  <si>
    <t>ASTM F2388 - 18 Certified</t>
  </si>
  <si>
    <t>ASTM F2613 - 17 Compliant</t>
  </si>
  <si>
    <t>ASTM F2729 - 18 Compliant</t>
  </si>
  <si>
    <t>ASTM F2933-18 Compliant</t>
  </si>
  <si>
    <t>ASTM F3084 - 16 Compliant</t>
  </si>
  <si>
    <t>ASTM F3096 - 14 Compliant</t>
  </si>
  <si>
    <t>ASTM F3363-19 Compliant</t>
  </si>
  <si>
    <t>ASTM F381-16 Compliant</t>
  </si>
  <si>
    <t>ASTM F406 - 10a Compliant</t>
  </si>
  <si>
    <t>ASTM F406 - 15 Compliant</t>
  </si>
  <si>
    <t>ASTM F406 - 17 Certified</t>
  </si>
  <si>
    <t>ASTM F963 - 17 Certified</t>
  </si>
  <si>
    <t>ASTM F963-11 Compliant</t>
  </si>
  <si>
    <t>ATA Rated</t>
  </si>
  <si>
    <t>BHFTI Upholstered Furniture Flammability Compliant</t>
  </si>
  <si>
    <t>BIFMA G1 Ergonomics Guideline for Furniture</t>
  </si>
  <si>
    <t>BIFMA HCF 8.1 - Healthcare Furniture Design</t>
  </si>
  <si>
    <t>Blauer Engel</t>
  </si>
  <si>
    <t>BS 5287: 1988 Certified</t>
  </si>
  <si>
    <t>BS 5852 Certified</t>
  </si>
  <si>
    <t>BS 5867-2:2008 Certified</t>
  </si>
  <si>
    <t>BS 7176: 2007 Certified</t>
  </si>
  <si>
    <t>BS 7177:2008+A1:2011 Certified</t>
  </si>
  <si>
    <t>BS EN 13120: 2009 + A1: 2014 (Requirements for Window Blinds or Drapery Cords) - EU ONLY</t>
  </si>
  <si>
    <t>BS EN 716-1 Compliant - EU ONLY</t>
  </si>
  <si>
    <t>BS EN12790 Certified</t>
  </si>
  <si>
    <t>CAL TB 116 Compliant</t>
  </si>
  <si>
    <t>CAL TB 117-2013 Compliant</t>
  </si>
  <si>
    <t>CALGreen Compliant</t>
  </si>
  <si>
    <t>California AB 1953 Compliant</t>
  </si>
  <si>
    <t>CAN C22.2 No. 3 - Electrical Components of Fuel Burning Equipment</t>
  </si>
  <si>
    <t>CAN/ULC-S674</t>
  </si>
  <si>
    <t>CARB Phase II Compliant (formaldehyde emissions)</t>
  </si>
  <si>
    <t>CE Certified</t>
  </si>
  <si>
    <t>CEE Rating</t>
  </si>
  <si>
    <t>CertiPUR-US Certified</t>
  </si>
  <si>
    <t>cETL Listed</t>
  </si>
  <si>
    <t>CGA 2.17- M91 (R2014)</t>
  </si>
  <si>
    <t>Chemicals of Concern Compliant</t>
  </si>
  <si>
    <t>Chemikalien-Verbotsverordnung / Section 3 Compliant</t>
  </si>
  <si>
    <t>Children's Product Certificate (CPC)</t>
  </si>
  <si>
    <t>CISPR 22 Compliant</t>
  </si>
  <si>
    <t>Complies with 16 CFR 1305.4</t>
  </si>
  <si>
    <t>ASTM F1427 - 13 Compliant - Consumer Safety Specification for Bunk Beds</t>
  </si>
  <si>
    <t>CPAI-84 Compliant</t>
  </si>
  <si>
    <t>CPSC - 15 U.S. Code § 1278a - Children's Products Containing Lead</t>
  </si>
  <si>
    <t>CPSC - 16 CFR 1213 Compliant</t>
  </si>
  <si>
    <t>CPSC - 16 CFR 1215 Compliant - Safety Standards for Infant Bath Seats</t>
  </si>
  <si>
    <t>ASTM 1821-19 and/or CPSC - 16 CFR 1217 Compliant</t>
  </si>
  <si>
    <t>CPSC - 16 CFR 1218 Compliant</t>
  </si>
  <si>
    <t>ASTM F1169-19 Compliant and/or CPSC - 16 CFR 1219 Compliant</t>
  </si>
  <si>
    <t>ASTM F406-22 and/or CPSC - 16 CFR 1220 Compliant</t>
  </si>
  <si>
    <t>CPSC - 16 CFR 1221 Compliant</t>
  </si>
  <si>
    <t>CPSC - 16 CFR 1225 Compliant</t>
  </si>
  <si>
    <t>CPSC - 16 CFR 1234 Compliant</t>
  </si>
  <si>
    <t>CPSC - 16 CFR 1238 Compliant</t>
  </si>
  <si>
    <t>CPSC - 16 CFR 1239 Compliant</t>
  </si>
  <si>
    <t>CPSC - 16 CFR 1303 Compliant</t>
  </si>
  <si>
    <t>CPSC - 16 CFR 1500.48 Compliant</t>
  </si>
  <si>
    <t>CPSC - 16 CFR 1500.49 Compliant</t>
  </si>
  <si>
    <t>CPSC - 16 CFR 1513 Compliant</t>
  </si>
  <si>
    <t>CPSC - 16 CFR 1630 Compliant</t>
  </si>
  <si>
    <t>CPSC - 16 CFR 1631 Compliant</t>
  </si>
  <si>
    <t>CPSC - 16 CFR 1632 Compliant</t>
  </si>
  <si>
    <t>CPSC - 16 CFR 1633 Compliant</t>
  </si>
  <si>
    <t>CPSC - 16 CFR Part 1130-Requirements For Consumer Registration Of Durable Infant Or Toddler Products</t>
  </si>
  <si>
    <t>CPSC - 16 CFR Part 1307-Prohibition Of Children's Toys And Child Care Articles Containing Specified Phthalates</t>
  </si>
  <si>
    <t>CPSC 16 CFR 1500.3(c)(6)(vi)</t>
  </si>
  <si>
    <t>CPSC 16 CFR 1500.44</t>
  </si>
  <si>
    <t>CPSIA Compliant</t>
  </si>
  <si>
    <t>Cradle to Cradle Certified</t>
  </si>
  <si>
    <t>CRI Certified</t>
  </si>
  <si>
    <t>CRI Green Label Certified</t>
  </si>
  <si>
    <t>CRI Green Label Plus Certified</t>
  </si>
  <si>
    <t>CSA 2.41-2014/ANSI Z21.97-2014</t>
  </si>
  <si>
    <t>CSA B125.1 Certified</t>
  </si>
  <si>
    <t>CSA B13 Certified</t>
  </si>
  <si>
    <t>CSA B45 Certified</t>
  </si>
  <si>
    <t>CSA B45.1 Certified</t>
  </si>
  <si>
    <t>CSA B45.2 Certified</t>
  </si>
  <si>
    <t>CSA Certified</t>
  </si>
  <si>
    <t>CSA Listed for Canada</t>
  </si>
  <si>
    <t>CSA Listed for USA</t>
  </si>
  <si>
    <t>CSPC - 16 CFR 1750 Compliant</t>
  </si>
  <si>
    <t>cUL Listed</t>
  </si>
  <si>
    <t>cUPC Certified</t>
  </si>
  <si>
    <t>DECT 6.0 Compliant</t>
  </si>
  <si>
    <t>DIN EN 12935 Certified</t>
  </si>
  <si>
    <t>DIN EN 16647:2016</t>
  </si>
  <si>
    <t>Dry/ Damp/ or Wet Location Listed - CAN</t>
  </si>
  <si>
    <t>Dry/ Damp/ or Wet Location Listed - USA</t>
  </si>
  <si>
    <t>EU 2018/2005</t>
  </si>
  <si>
    <t>EIA Compliant</t>
  </si>
  <si>
    <t>EISA 2007 Compliant</t>
  </si>
  <si>
    <t>EN 1111:2017</t>
  </si>
  <si>
    <t>EN 1130-1:1996 (Safety Requirements for Cribs and Cradles) - EU ONLY</t>
  </si>
  <si>
    <t>EN 12221-1 (Standards for Changing Tables) - EU ONLY</t>
  </si>
  <si>
    <t>EN 1287:2017</t>
  </si>
  <si>
    <t>EN 13219 (Standards for Trampolines) - EU ONLY</t>
  </si>
  <si>
    <t>EN 14428:2015</t>
  </si>
  <si>
    <t>EN 14516:2019</t>
  </si>
  <si>
    <t>EN 14527:2019 Certified</t>
  </si>
  <si>
    <t>EN 14528:2018 Certified</t>
  </si>
  <si>
    <t>EN 1466:2014</t>
  </si>
  <si>
    <t>EN 14688:2018 Certified</t>
  </si>
  <si>
    <t>EN 14749:2016 Certified</t>
  </si>
  <si>
    <t>EN 14878: 2007 (Requirements for Children's Sleepwear) - EU ONLY</t>
  </si>
  <si>
    <t>EN 14988-1 (Safety Standards for High Chairs) - EU ONLY</t>
  </si>
  <si>
    <t>EN 15312 (Safety Standards for Multi-Sport Equipment) - EU ONLY</t>
  </si>
  <si>
    <t>EN 1725 (Safety Standards for Adult Beds) - EU ONLY</t>
  </si>
  <si>
    <t>EN 1930 (Standards for Child Gates and Safety Barriers) - EU ONLY</t>
  </si>
  <si>
    <t>EN 200:2008 Certified</t>
  </si>
  <si>
    <t>EN 50291-1 (Standards for Smoke Detectors and CO Detectors) - EU ONLY</t>
  </si>
  <si>
    <t>EN 54-12 (Standards for Smoke Detectors and CO Detectors) - EU ONLY</t>
  </si>
  <si>
    <t>EN 71 Compliant</t>
  </si>
  <si>
    <t>EN 71-14:2018 Compliant</t>
  </si>
  <si>
    <t>EN 747-1 (Standards for Childrens Bunk Beds) - EU ONLY</t>
  </si>
  <si>
    <t>EN 748 (Safety Standards for Football Goals) - EU ONLY</t>
  </si>
  <si>
    <t>EN 997:2018</t>
  </si>
  <si>
    <t>Energy Label Type</t>
  </si>
  <si>
    <t>Energy Policy Act 1992 Compliant</t>
  </si>
  <si>
    <t>ENERGY STAR Certified</t>
  </si>
  <si>
    <t>EPA Compliant</t>
  </si>
  <si>
    <t>EPA Pesticide Registration Number</t>
  </si>
  <si>
    <t>EPP Compliant</t>
  </si>
  <si>
    <t>ETL Listed</t>
  </si>
  <si>
    <t>EU 2018/1513</t>
  </si>
  <si>
    <t>EU Energy Efficiency Class</t>
  </si>
  <si>
    <t>EuroLatex ECO-Standard</t>
  </si>
  <si>
    <t>FCC Compliant</t>
  </si>
  <si>
    <t>FCC Part 15 Compliant</t>
  </si>
  <si>
    <t>FCC Part 68 Compliant</t>
  </si>
  <si>
    <t>FIRA Certified</t>
  </si>
  <si>
    <t>Fire Rated</t>
  </si>
  <si>
    <t>FISP Certified</t>
  </si>
  <si>
    <t>FloorScore Certification</t>
  </si>
  <si>
    <t>FM Approved</t>
  </si>
  <si>
    <t>Food Safe</t>
  </si>
  <si>
    <t>FSC Certified</t>
  </si>
  <si>
    <t>General Certificate of Conformity (GCC)</t>
  </si>
  <si>
    <t>Glass Doors and Enclosures Regulations SOR/2016-174</t>
  </si>
  <si>
    <t>Glazed Ceramics and Glassware Regulations SOR/2016-175</t>
  </si>
  <si>
    <t>GOLS 3.0 (Global Organic Latex Standard) Certified</t>
  </si>
  <si>
    <t>Goodweave Certified</t>
  </si>
  <si>
    <t>GOTS 5.0 (Global Organic Textile Standard) Certified</t>
  </si>
  <si>
    <t>Green Public Procurement Certified</t>
  </si>
  <si>
    <t>GREENGUARD Certified</t>
  </si>
  <si>
    <t>GREENGUARD Gold Certified</t>
  </si>
  <si>
    <t>GS (Geprüfte Sicherheit) verzeichnet</t>
  </si>
  <si>
    <t>GSA Approved</t>
  </si>
  <si>
    <t>Health Canada - SOR/2016-176 Compliant</t>
  </si>
  <si>
    <t>Health Canada - SOR/2016-179 Compliant</t>
  </si>
  <si>
    <t>Health Canada - SOR/2016-183 Compliant</t>
  </si>
  <si>
    <t>Health Canada Compliant</t>
  </si>
  <si>
    <t>HFES 100 Certified Ergonomic</t>
  </si>
  <si>
    <t>HVI 2100 Certified</t>
  </si>
  <si>
    <t>HVI Certified</t>
  </si>
  <si>
    <t>IAPMO Certified</t>
  </si>
  <si>
    <t>IATA Compliant</t>
  </si>
  <si>
    <t>IEC/EN 62471 Compliant</t>
  </si>
  <si>
    <t>Indoor Air Quality Certified</t>
  </si>
  <si>
    <t>IP Rating</t>
  </si>
  <si>
    <t>IPEMA Certified</t>
  </si>
  <si>
    <t>ISO 14000 Certified</t>
  </si>
  <si>
    <t>ISO 14001 Certified</t>
  </si>
  <si>
    <t>ISO 9000 Certified</t>
  </si>
  <si>
    <t>ISO 9001 Certified</t>
  </si>
  <si>
    <t>ISTA 1A Certified</t>
  </si>
  <si>
    <t>ISTA 3A Certified</t>
  </si>
  <si>
    <t>ISTA 3A or 6A Certified</t>
  </si>
  <si>
    <t>ISTA1ACertified</t>
  </si>
  <si>
    <t>ISTA3Aor6ACertified</t>
  </si>
  <si>
    <t>ITSF Compliant</t>
  </si>
  <si>
    <t>ITTF Approved</t>
  </si>
  <si>
    <t>ITTO Compliant</t>
  </si>
  <si>
    <t>Janka Hardness Rating (PSI)</t>
  </si>
  <si>
    <t>JPMA Certified</t>
  </si>
  <si>
    <t>Kettles Regulations SOR/2016-181</t>
  </si>
  <si>
    <t>Lacey Act Compliant</t>
  </si>
  <si>
    <t>LM-79 Certified</t>
  </si>
  <si>
    <t>LM-80 Certified</t>
  </si>
  <si>
    <t>Low Lead Compliant</t>
  </si>
  <si>
    <t>Mattress Flammability Testing - Public Occupancy Use</t>
  </si>
  <si>
    <t>MERV Rating</t>
  </si>
  <si>
    <t>MET Listed</t>
  </si>
  <si>
    <t>Minnesota 325F.177 Compliant</t>
  </si>
  <si>
    <t>MOHS - Surface Hardness</t>
  </si>
  <si>
    <t>NAECA Certified</t>
  </si>
  <si>
    <t>NAHB Compliant</t>
  </si>
  <si>
    <t>NEMA Certified</t>
  </si>
  <si>
    <t>New York City Water Regulation Compliant</t>
  </si>
  <si>
    <t>NFPA 211 - Standard for Chimeys/ Fireplaces/ Vents and Solid Fuel-Burning Appliances</t>
  </si>
  <si>
    <t>NFPA 253 or ASTM E648 Compliant</t>
  </si>
  <si>
    <t>NFPA Compliant</t>
  </si>
  <si>
    <t>NFSI Certified</t>
  </si>
  <si>
    <t>NOMITE Certified</t>
  </si>
  <si>
    <t>NRPA Certified</t>
  </si>
  <si>
    <t>NSF Certified</t>
  </si>
  <si>
    <t>NSF/ANSI 184 Certified</t>
  </si>
  <si>
    <t>NSF/ANSI 3 Certified</t>
  </si>
  <si>
    <t>FACTS - NSF/ANSI 336 –Compliant</t>
  </si>
  <si>
    <t>NSF/ANSI 61 Certified</t>
  </si>
  <si>
    <t>OEKO-TEX Standard 100 Certified</t>
  </si>
  <si>
    <t>OSHA Compliant</t>
  </si>
  <si>
    <t>PAT Tested</t>
  </si>
  <si>
    <t>PEFC Certified</t>
  </si>
  <si>
    <t>PEI Rated</t>
  </si>
  <si>
    <t>PEI Rating</t>
  </si>
  <si>
    <t>Responsible Down Standard Certified</t>
  </si>
  <si>
    <t>RoHS Compliant</t>
  </si>
  <si>
    <t>SATRA Approved</t>
  </si>
  <si>
    <t>SCC Compliant</t>
  </si>
  <si>
    <t>SCS Certified</t>
  </si>
  <si>
    <t>SDWA Compliant</t>
  </si>
  <si>
    <t>SFI Certified</t>
  </si>
  <si>
    <t>SOR/2016-152 - Canadian Regulation - Cribs/ Cradles and Bassinets</t>
  </si>
  <si>
    <t>SOR/2016-193 - Surface Coating Materials Regulations</t>
  </si>
  <si>
    <t>SOR/2018-83 -Consumer Products Containing Lead Regulations</t>
  </si>
  <si>
    <t>Stiftung Warentest Note</t>
  </si>
  <si>
    <t>TAA Compliant</t>
  </si>
  <si>
    <t>TCLP Compliant</t>
  </si>
  <si>
    <t>Textile Flammability Regulations SOR/2016-194</t>
  </si>
  <si>
    <t>Textile Labelling and Advertising Regulations (C.R.C./ c. 1551)</t>
  </si>
  <si>
    <t>Tipover Restraint Device Included</t>
  </si>
  <si>
    <t>Title 20 - California Code of Regulations</t>
  </si>
  <si>
    <t>Title 24 Compliant</t>
  </si>
  <si>
    <t>Toys Regulations SOR/2016-195</t>
  </si>
  <si>
    <t>TSA Compliant</t>
  </si>
  <si>
    <t>TSCA Title VI Compliant (formaldehyde emissions)</t>
  </si>
  <si>
    <t>TÜV Rheinland zertifiziert</t>
  </si>
  <si>
    <t>UL 10B Compliant</t>
  </si>
  <si>
    <t>UL 10C Compliant</t>
  </si>
  <si>
    <t>UL 1678 Listed</t>
  </si>
  <si>
    <t>UL 1951 Listed</t>
  </si>
  <si>
    <t>UL 2108 Listed</t>
  </si>
  <si>
    <t>UL 4041 - Safety Standard for Outdoor Furniture</t>
  </si>
  <si>
    <t>UL Gas-Fired Mark</t>
  </si>
  <si>
    <t>UL Listed</t>
  </si>
  <si>
    <t>UN 38.3 Testing Requirements</t>
  </si>
  <si>
    <t>UPC Certified</t>
  </si>
  <si>
    <t>USATT Approved</t>
  </si>
  <si>
    <t>USDA Compliant</t>
  </si>
  <si>
    <t>USDA Organic/ NOP Certified</t>
  </si>
  <si>
    <t>USPS Approved</t>
  </si>
  <si>
    <t>Vermont Act 193 Compliant</t>
  </si>
  <si>
    <t>Washington Children's Safe Product Act</t>
  </si>
  <si>
    <t>Washington State VIAQ Code Compliant</t>
  </si>
  <si>
    <t>WQA Gold Seal Certified</t>
  </si>
  <si>
    <t>WW-P-541 Certified</t>
  </si>
  <si>
    <t>Safety Data Sheets (SDS)</t>
  </si>
  <si>
    <t>Canadian Energy Label (EnerGuide)</t>
  </si>
  <si>
    <t>GS Marked</t>
  </si>
  <si>
    <t>DIN EN 1860</t>
  </si>
  <si>
    <t>EN 17072:2018</t>
  </si>
  <si>
    <t>UKCA Marked</t>
  </si>
  <si>
    <t>ASTM F1169-19 Compliant - Safety Specification for Full Sized Baby Cribs</t>
  </si>
  <si>
    <t>ASTM F2933-19 Certified</t>
  </si>
  <si>
    <t>ASTM F1912-19 Certified</t>
  </si>
  <si>
    <t>ASTM F2088-20 Certified</t>
  </si>
  <si>
    <t>ASTM F1427-19 - Consumer Safety Specification for Bunk Beds</t>
  </si>
  <si>
    <t>ASTM F2085-19 Certified</t>
  </si>
  <si>
    <t>ASTM F2613-19 Certified</t>
  </si>
  <si>
    <t>ASTM F3084-20 Certified</t>
  </si>
  <si>
    <t>TÜV SÜD Certified</t>
  </si>
  <si>
    <t>BS EN 442-1:2014 - Requirements for Radiators and Convectors</t>
  </si>
  <si>
    <t>CSA B45.5/IAPMO Z124</t>
  </si>
  <si>
    <t>ASTM F3429 / F3429M – 20 Compliant - Standard Specification for Disposable Flammable Liquid Fuel Containers</t>
  </si>
  <si>
    <t>REACH (Registration/ Evaluation/ Authorisation and Restriction of Chemicals) Compliant</t>
  </si>
  <si>
    <t>ASTM F1148-20</t>
  </si>
  <si>
    <t>EN 1130:2019 (Safety Requirements for Cribs and Cradles) - EU ONLY</t>
  </si>
  <si>
    <t>UK General Product Safety Regulation</t>
  </si>
  <si>
    <t>EN 16582 - Requirements for Domestic Swimming Pools</t>
  </si>
  <si>
    <t>EN 16713 - Requirements for Filtration Systems/ Circulation Systems/ and Treatment in Domestic Swimming Pools</t>
  </si>
  <si>
    <t>EN 1021 1&amp;2 - Furniture Flammability Standard</t>
  </si>
  <si>
    <t>FIRA/FRQG C001:2016 - General Safety Requirements for Children's Furniture</t>
  </si>
  <si>
    <t>BS 8509 - British Safety Standard for Children's Beds</t>
  </si>
  <si>
    <t>FIRA/FRQG C002:2016 - Seating: Requirements for Strength/ Stability/ and Durability</t>
  </si>
  <si>
    <t>FIRA/FRQG C003:2016 - Tables and desks: Requirements for strength/ stability and durability</t>
  </si>
  <si>
    <t>FIRA/FRQG C004:2016 - Storage furniture – Requirements for strength/ stability and durability</t>
  </si>
  <si>
    <t>EN 71-8:2018 Compliant</t>
  </si>
  <si>
    <t>EN 71-1:2014 + A1:2018</t>
  </si>
  <si>
    <t>EN 62115:2005+A11:2012</t>
  </si>
  <si>
    <t>EU: 2006/42/EC - EU Machinery Directive</t>
  </si>
  <si>
    <t>CPSC - 16 CFR 1222 Compliant</t>
  </si>
  <si>
    <t>CPSC 16 CFR 1227.2</t>
  </si>
  <si>
    <t>EN 16890: 2017</t>
  </si>
  <si>
    <t>SOR/2016-167 - Carriages and Strollers Regulations</t>
  </si>
  <si>
    <t>Recycled Content</t>
  </si>
  <si>
    <t>Global Recycled Standard (Textile Exchange) Certified</t>
  </si>
  <si>
    <t>Recycled Claim Standard (Textile Exchange) Certified</t>
  </si>
  <si>
    <t>ISO 14021 Recycled Content Standard Certified</t>
  </si>
  <si>
    <t>Organic Content Standard (Textile Exchange) Certified</t>
  </si>
  <si>
    <t>Asthma and Allergy Friendly Certified</t>
  </si>
  <si>
    <t>British Allergy Foundation Seal of Approval</t>
  </si>
  <si>
    <t>Carbon Neutral Certifications</t>
  </si>
  <si>
    <t>Golden M Certified</t>
  </si>
  <si>
    <t>MAS Certified Green</t>
  </si>
  <si>
    <t>FloorScore Certified</t>
  </si>
  <si>
    <t>CertiPUR-EU Certified</t>
  </si>
  <si>
    <t>EU Ecolabel</t>
  </si>
  <si>
    <t>EPA WaterSense Certified</t>
  </si>
  <si>
    <t>Blue Angel Certified</t>
  </si>
  <si>
    <t>Responsible Down Standard (Textile Exchange) Certified</t>
  </si>
  <si>
    <t>Bluesign Certified</t>
  </si>
  <si>
    <t>GreenScreen Certified</t>
  </si>
  <si>
    <t>MADE SAFE Certified</t>
  </si>
  <si>
    <t>Responsible Wool Standard (Textile Exchange) Certified</t>
  </si>
  <si>
    <t>Das Kork Logo Certified</t>
  </si>
  <si>
    <t>DGM Emissions Label for Furniture</t>
  </si>
  <si>
    <t>GUT Label</t>
  </si>
  <si>
    <t>LEVEL - ANSI/BIFMA e3 Furniture Sustainability Standard - Certified</t>
  </si>
  <si>
    <t>Natureplus Eco-Label</t>
  </si>
  <si>
    <t>NATURLEDER IVN Certified</t>
  </si>
  <si>
    <t>NATURTEXTIL IVN Certified BEST</t>
  </si>
  <si>
    <t>ÖkoControl Seal</t>
  </si>
  <si>
    <t>Sustainability Assessment for Carpet - NSF/ANSI 140 - Compliant</t>
  </si>
  <si>
    <t>Sustainability Assessment for Wallcovering Products - NSF/ANSI 342 - Compliant</t>
  </si>
  <si>
    <t>Type III Product Specific Environmental Product Declaration (EPD)</t>
  </si>
  <si>
    <t>UL ECOLOGO Certified</t>
  </si>
  <si>
    <t>USDA BioBased Product</t>
  </si>
  <si>
    <t>DOWNPASS Certified</t>
  </si>
  <si>
    <t>Green Squared (G2) Certified</t>
  </si>
  <si>
    <t>FairTrade Certified</t>
  </si>
  <si>
    <t>FairTrade Certified Cotton</t>
  </si>
  <si>
    <t>FSC 100% Certified</t>
  </si>
  <si>
    <t>FSC MIX Certified</t>
  </si>
  <si>
    <t>FSC Recycled</t>
  </si>
  <si>
    <t>SFI Certified Sourcing</t>
  </si>
  <si>
    <t>SFI Chain-of-Custody Certified</t>
  </si>
  <si>
    <t>SFI Fiber Sourcing Certified</t>
  </si>
  <si>
    <t>ENERGY STAR Canada Certified</t>
  </si>
  <si>
    <t>Carbon Neutral - PAS 2060 - Certified</t>
  </si>
  <si>
    <t>Carbonfree Product Certification</t>
  </si>
  <si>
    <t>Indoor Advantage Certified</t>
  </si>
  <si>
    <t>Indoor Advantage Gold Certified</t>
  </si>
  <si>
    <t>Indoor Air Comfort Certified</t>
  </si>
  <si>
    <t>Indoor Air Comfort GOLD Certified</t>
  </si>
  <si>
    <t>OEKO-TEX LEATHER STANDARD Certified</t>
  </si>
  <si>
    <t>OEKO-TEX MADE IN GREEN Certified</t>
  </si>
  <si>
    <t>Cradle to Cradle Material Health Certificate</t>
  </si>
  <si>
    <t>eco-INSTITUT-Label</t>
  </si>
  <si>
    <t>CARB Certified (Ozone Emissions for Air Cleaners)</t>
  </si>
  <si>
    <t>EN 1103:2006</t>
  </si>
  <si>
    <t>Code of Practice for Fire Safety of Furnishings and Fittings in Places of Assembly</t>
  </si>
  <si>
    <t>EN 13773</t>
  </si>
  <si>
    <t>I.S. 419:2011</t>
  </si>
  <si>
    <t>ÖNORM A3800-1</t>
  </si>
  <si>
    <t>ÖNORM B 3825</t>
  </si>
  <si>
    <t>EN 14619:2019</t>
  </si>
  <si>
    <t>Product Attestation</t>
  </si>
  <si>
    <t>California Carpet Stewardship Program Compliant</t>
  </si>
  <si>
    <t>Is Responsible Person Information Available</t>
  </si>
  <si>
    <t>FIRA/FRQG C001: 2021 Furniture - Children’s Domestic Furniture – General Safety Requirements</t>
  </si>
  <si>
    <t>BS EN 17191:2021</t>
  </si>
  <si>
    <t>FIRA/FRQG C003: 2021 Furniture - Children’s Domestic Furniture – Tables &amp; Desks – Requirements for Strength/ Stability and Durability</t>
  </si>
  <si>
    <t>National Minority Supplier Development Council Certification</t>
  </si>
  <si>
    <t>Small Business Administration Certification</t>
  </si>
  <si>
    <t>SupplierGATEWAY Enhanced Digital Certification</t>
  </si>
  <si>
    <t>System for Award Management Certification</t>
  </si>
  <si>
    <t>Women’s Business Enterprise National Council Certification</t>
  </si>
  <si>
    <t>Other Minority Business Enterprise Certification</t>
  </si>
  <si>
    <t>&gt; 50% Black/ Women or LatinX Certification</t>
  </si>
  <si>
    <t>EU Food Contact Regulation - Plastics</t>
  </si>
  <si>
    <t>Fairtrade International Certified - Sports Ball</t>
  </si>
  <si>
    <t>FLOCERT Expiration Date</t>
  </si>
  <si>
    <t>CANFER Compliant</t>
  </si>
  <si>
    <t>ASTM F2710-19 Compliant</t>
  </si>
  <si>
    <t>CPSC 16 CFR 1207</t>
  </si>
  <si>
    <t>ASTM F1004-22 Compliant</t>
  </si>
  <si>
    <t>BS EN 14960 Compliant (Inflatables)</t>
  </si>
  <si>
    <t>EN 14468-1:2015 Compliant (Table Tennis Tables)</t>
  </si>
  <si>
    <t>BS 7972:2001+A1:2009 Compliant (Children's bedguards)</t>
  </si>
  <si>
    <t>Energy Efficiency Regulations Compliant</t>
  </si>
  <si>
    <t>EU/UK Timber Compliant</t>
  </si>
  <si>
    <t>SOR/2023-101 - Carriages and Strollers</t>
  </si>
  <si>
    <t>ASTM F2388-21</t>
  </si>
  <si>
    <t>EN 16779-1: 2018</t>
  </si>
  <si>
    <t>ASTM F406-22</t>
  </si>
  <si>
    <t>ANSI Z21.11.2-2019</t>
  </si>
  <si>
    <t>ASTM B117-19</t>
  </si>
  <si>
    <t>CPSC - 40 CFR 60</t>
  </si>
  <si>
    <t>CSA / ANSI Z21.58:22</t>
  </si>
  <si>
    <t>CSA / ANSI Z83.26:20</t>
  </si>
  <si>
    <t>EC No. 1907/2006 Annex XVII</t>
  </si>
  <si>
    <t>EC No. 1935/2004</t>
  </si>
  <si>
    <t>FDA Generally Recognized as Safe (GRAS)</t>
  </si>
  <si>
    <t>UL 1278 4th Ed</t>
  </si>
  <si>
    <t>UL 2021 4th Ed</t>
  </si>
  <si>
    <t>EN 12520</t>
  </si>
  <si>
    <t>BS EN 16781</t>
  </si>
  <si>
    <t>ASTM F2057-23 (STURDY)</t>
  </si>
  <si>
    <t>EN 16780: 2018</t>
  </si>
  <si>
    <t>ASTM F2613-21</t>
  </si>
  <si>
    <t>ASTM F1427-21e1</t>
  </si>
  <si>
    <t>Unified Water Label</t>
  </si>
  <si>
    <t>CPSC - 16 CFR 1241</t>
  </si>
  <si>
    <t>CPSC - 16 CFR 1263 Compliant (Reese's Law)</t>
  </si>
  <si>
    <t>EU 2024/590</t>
  </si>
  <si>
    <t>BS EN 597-1</t>
  </si>
  <si>
    <t>ASTM F1912-21 Compliant</t>
  </si>
  <si>
    <t>ASTM F963-23 Compliant</t>
  </si>
  <si>
    <t>FIRA/FRQG C004:2016 + A1 2017</t>
  </si>
  <si>
    <t>EUDR</t>
  </si>
  <si>
    <t>CA PFAS</t>
  </si>
  <si>
    <t>CPSC - 16 CFR 1242</t>
  </si>
  <si>
    <t>EU General Product Safety Regulation</t>
  </si>
  <si>
    <t>EPA Compliant - Step 2 Certified</t>
  </si>
  <si>
    <t>ANSI/WCMA A100.1-2018 Standard</t>
  </si>
  <si>
    <t>SOR/2019-97 - Corded Window Coverings Regulations</t>
  </si>
  <si>
    <t>ANSI/BIFMA X6.4 Occasional-Use Seating Standard</t>
  </si>
  <si>
    <t>ASTM F1148-22</t>
  </si>
  <si>
    <t>SOR/2016 - 217</t>
  </si>
  <si>
    <t>16 CFR 1235</t>
  </si>
  <si>
    <t>ASTM F2088-24</t>
  </si>
  <si>
    <t>16 CFR 1243</t>
  </si>
  <si>
    <t>IS 419 / EN 1021</t>
  </si>
  <si>
    <t>IS 419 / EN 597/ EN 16890</t>
  </si>
  <si>
    <t>IS 419 / EN 597</t>
  </si>
  <si>
    <t>ASTM-1917-23</t>
  </si>
  <si>
    <t>Low Voltage Directive</t>
  </si>
  <si>
    <t>Children's Furniture Safety and Stability</t>
  </si>
  <si>
    <t>CPSC - 16 CFR 1224</t>
  </si>
  <si>
    <t>ASTM F2276-23 (General Mechanical Requirements)</t>
  </si>
  <si>
    <t>UL 1647 (Electrical Safety)</t>
  </si>
  <si>
    <t>In-House Contract-Quality Testing Document</t>
  </si>
  <si>
    <t>Contract Grade Signed Verification Letter</t>
  </si>
  <si>
    <t>SOR/2018-186</t>
  </si>
  <si>
    <t>SOR/2024-217</t>
  </si>
  <si>
    <t>Certified Egyptian Cotton</t>
  </si>
  <si>
    <t>SOR/2011-17</t>
  </si>
  <si>
    <t>BS EN ISO 20957-1</t>
  </si>
  <si>
    <t>BS EN ISO 20957-2</t>
  </si>
  <si>
    <t>BS EN ISO 20957-9</t>
  </si>
  <si>
    <t>BS EN ISO 20957-5</t>
  </si>
  <si>
    <t>BS EN ISO 20957-10</t>
  </si>
  <si>
    <t>BS EN ISO 20957-4</t>
  </si>
  <si>
    <t>BS EN ISO 29057-6</t>
  </si>
  <si>
    <t>CFR 1205</t>
  </si>
  <si>
    <t>ANSI B71.1-2017 - Standard Specifications for Pedestrian-Controlled Mowers and Ride-On Mowers</t>
  </si>
  <si>
    <t>CAN/CSA-C22.2 No. 147 Compliant</t>
  </si>
  <si>
    <t>California Proposition 65</t>
  </si>
  <si>
    <t>EN 13310:2015+A1:2018 Certified</t>
  </si>
  <si>
    <t>BS EN 862 Certified</t>
  </si>
  <si>
    <t>BS EN ISO 8317 Certified</t>
  </si>
  <si>
    <t>BS EN ISO 11683 Certified</t>
  </si>
  <si>
    <t>BS 7176:2007 - Low Hazard Category</t>
  </si>
  <si>
    <t>BS 7176:2007 - Medium Hazard Category</t>
  </si>
  <si>
    <t>BS 7176:2007 - High Hazard Category</t>
  </si>
  <si>
    <t>BS 7176:2007 - Very High Hazard Category</t>
  </si>
  <si>
    <t>Detergents Regulation 2010 / Regulation (EU) 2026/405</t>
  </si>
  <si>
    <t>BPR Authorisation Certificate</t>
  </si>
  <si>
    <t>Aerosol Dispensers Regulations 2009</t>
  </si>
  <si>
    <t>BS 7177:2008 - Low Hazard Category</t>
  </si>
  <si>
    <t>BS 7177:2008 - Medium Hazard Category</t>
  </si>
  <si>
    <t>BS 7177:2008 - High Hazard Category</t>
  </si>
  <si>
    <t>BS 7177:2008 - Very High Hazard Category</t>
  </si>
  <si>
    <t>BS EN ISO 6892-1</t>
  </si>
  <si>
    <t>16 CFR 1231 or ASTM F404-21</t>
  </si>
  <si>
    <t>16 CFR 1237 or ASTM F2640-18</t>
  </si>
  <si>
    <t>16 CFR 1233 or ASTM 1235-18</t>
  </si>
  <si>
    <t>ASTM F404-21</t>
  </si>
  <si>
    <t>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t>
  </si>
  <si>
    <t>Product Type Definitions</t>
  </si>
  <si>
    <t>A narrow, decorative strip designed to be applied as an accent or edge. Typically used to frame surfaces, define boundaries, or complement primary patterns, these strips are often installed horizontally along edges or perimeters to add visual interest and detail.</t>
  </si>
  <si>
    <t>A modular, thin piece of material used for covering surfaces such as floors, walls, or ceilings. Typically manufactured in regular shapes like squares or rectangles, tiles are designed to be installed in a repeating grid or pattern to provide a durable, functional, or decorative finish.</t>
  </si>
  <si>
    <t>A continuous sheet of material supplied in a cylindrical, wound format. Items in this format are typically standardized in length and width and are intended to be cut or trimmed by the user during installation or use.</t>
  </si>
  <si>
    <t>A large printed image or artwork designed to cover a significant area of a wall, typically supplied as multiple adjacent panels or a single large piece. Wall murals create a continuous scene or pattern rather than a repeating design.</t>
  </si>
  <si>
    <t>Tools and equipment specifically designed to facilitate the application or mounting of a product. These may include smoothing instruments, rollers, application brushes, and precision cutting tools. This category focuses on physical aids for the installation process and does not include adhesives.</t>
  </si>
  <si>
    <t>A packaging format consisting of two standard single rolls combined into a single continuous unit. It provides a larger quantity of material in one piece, allowing for increased coverage of a surface while minimizing the number of seams or joints required during application.</t>
  </si>
  <si>
    <t>Substances such as pastes or glues and the essential equipment required for their application or removal. This includes bonding agents, removal solutions, and specialized implements used to facilitate the installation or stripping process.</t>
  </si>
  <si>
    <t>A flat, distinct section or component that forms part of a larger surface or structure. Typically rectangular or square, it may be used as a standalone unit or as part of an assembly to provide structural support, coverage, or decorative detail across various applications.</t>
  </si>
  <si>
    <t>Abstract</t>
  </si>
  <si>
    <t>Animal Print</t>
  </si>
  <si>
    <t>Chevron</t>
  </si>
  <si>
    <t>Damask</t>
  </si>
  <si>
    <t>Floral</t>
  </si>
  <si>
    <t>Geometric</t>
  </si>
  <si>
    <t>Paisley</t>
  </si>
  <si>
    <t>Plaid</t>
  </si>
  <si>
    <t>Polka Dots</t>
  </si>
  <si>
    <t>Striped</t>
  </si>
  <si>
    <t>Toile</t>
  </si>
  <si>
    <t>Brick</t>
  </si>
  <si>
    <t>Solid Color</t>
  </si>
  <si>
    <t>Stone</t>
  </si>
  <si>
    <t>Wood &amp; Shiplap</t>
  </si>
  <si>
    <t>Marble</t>
  </si>
  <si>
    <t>Gingham</t>
  </si>
  <si>
    <t>Camouflage</t>
  </si>
  <si>
    <t>Ikat</t>
  </si>
  <si>
    <t>Houndstooth</t>
  </si>
  <si>
    <t>Patchwork</t>
  </si>
  <si>
    <t>Ombre</t>
  </si>
  <si>
    <t>Checkered</t>
  </si>
  <si>
    <t>Argyle</t>
  </si>
  <si>
    <t>No Pattern</t>
  </si>
  <si>
    <t>Trellis</t>
  </si>
  <si>
    <t>Dots</t>
  </si>
  <si>
    <t>Starburst</t>
  </si>
  <si>
    <t>Geometric Shapes</t>
  </si>
  <si>
    <t>Irish Chain</t>
  </si>
  <si>
    <t>Chevron / Zig Zag</t>
  </si>
  <si>
    <t>Clear</t>
  </si>
  <si>
    <t>Drunkard's Path</t>
  </si>
  <si>
    <t>Moroccan</t>
  </si>
  <si>
    <t>Oriental</t>
  </si>
  <si>
    <t>Block Print</t>
  </si>
  <si>
    <t>Arc</t>
  </si>
  <si>
    <t>Vintage Look</t>
  </si>
  <si>
    <t>Pattern Definitions</t>
  </si>
  <si>
    <t>A non-representational pattern that does not contain recognizable objects, distinct shapes, figures, or symmetry. It is unstructured and lacks a repeating design.</t>
  </si>
  <si>
    <t>A pattern that resembles the natural skin, fur, or scales of an animal (e.g., leopard, zebra, tiger, snake). This applies to the pattern only, not to products featuring a single animal illustration, which should be tagged as Animal Theme.</t>
  </si>
  <si>
    <t>A repeating pattern formed by continuous, symmetrical V or inverted V shapes, creating an unbroken zig-zag stripe, typically in alternating colors. It is distinguished from Herringbone by its continuous line.</t>
  </si>
  <si>
    <t>A highly detailed, symmetrical pattern created through a complex weave, often monochromatic or two-color, where the design appears slightly raised against the ground. It is characterized by the contrasting sheen and matte texture, typically featuring ornamental scroll, swirl, or floral motifs.</t>
  </si>
  <si>
    <t>A repeating pattern where the primary motif is botanical, such as flowers, vines, leaves, or groups of blossoms. The pattern must be dominated visually by these plant-based forms and not be a minor accent or purely geometric</t>
  </si>
  <si>
    <t>A repeating pattern of geometric forms such as circles, squares, triangles, hexagons, rectangles, or any other shapes.</t>
  </si>
  <si>
    <t>A repeating pattern featuring the curved teardrop or droplet-shaped motif, often called "boteh," with intricate, ornate detailing or embellishments within the shape.</t>
  </si>
  <si>
    <t>A pattern of intersecting horizontal and vertical bands of different widths and colors that cross at right angles to form a grid of squares or rectangles. Excludes simple checkerboard (Checkered) or uniform white and colored squares (Gingham)</t>
  </si>
  <si>
    <t>An array of uniformly sized, filled circular dots on a contrasting background, arranged in a regular, evenly spaced formation (grid or offset). This pattern is distinct from 'Dots,' which feature irregular size or spacing.</t>
  </si>
  <si>
    <t>Repeating parallel bands or lines on a contrasting background.</t>
  </si>
  <si>
    <t>A scenic pattern characterized by a single color printed on a light background. The design depicts detailed pastoral or nature scenes with a delicate, sketched or illustrative appearance.</t>
  </si>
  <si>
    <t>Repeating rectangular units arranged in a staggered or offset row formation, mimicking the structure of traditional brickwork.</t>
  </si>
  <si>
    <t>A uniform, single color across the entire product surface with no printed design, contrasting colors, or visible motif. A pattern created by the texture or weave of the same-colored material is included, provided the product is 100% one color.</t>
  </si>
  <si>
    <t>A pattern designed to resemble the natural, irregular, and often coarse surface of stone. It features organic shapes, mottling, veining, or speckling with varied coloration, lacking the uniform structure of geometric patterns.</t>
  </si>
  <si>
    <t>A pattern that imitates the look of wood grain and the structure of shiplap paneling. Characterized by linear designs, knots, and graining, and repeated parallel lines or grooves that simulate side-by-side or overlapping wooden boards.</t>
  </si>
  <si>
    <t>A pattern that mimics the appearance of natural marble, characterized by irregular, flowing lines, veining, and swirling colors.</t>
  </si>
  <si>
    <t>A pattern of uniform, intersecting horizontal and vertical lines in white and a single color. The colored line acts as a sheer overlay, creating a darker shade where the lines intersect. White is a required component.</t>
  </si>
  <si>
    <t>Pattern resembling military or hunting camouflage, featuring irregular, abstract shapes in earthy tones (green, brown, tan, black). Excludes simple floral or plant designs.</t>
  </si>
  <si>
    <t>A dyeing and weaving technique where the warp, weft, or both yarns are tie-dyed before being woven, resulting in a finished pattern characterized by a colorful, uneven, blurred, or hazy appearance.</t>
  </si>
  <si>
    <t>A large checked pattern with notched corners suggestive of a canine tooth, presenting as broken checks or abstract four-pointed shapes.</t>
  </si>
  <si>
    <t>A pattern of large, multi-colored squares or blocks that appear pieced or patched together</t>
  </si>
  <si>
    <t>A pattern of colors or tones that shade or blend gradually into each other, typically graduating from light to dark or from one hue to another. It does not have a distinct or repeating motif, with the design created purely by the smooth tonal transition.</t>
  </si>
  <si>
    <t>A pattern of equally sized, opaque squares in a repeating grid of two alternating colors. It is distinguished from Plaid, which uses varying stripe widths, and Gingham, which features semi-transparent color blending.</t>
  </si>
  <si>
    <t>A geometric pattern of varicolored diamonds in solid and outline shapes on a single background color or an overlay of intercrossing diagonal lines on solid diamonds.</t>
  </si>
  <si>
    <t>Applies when the product has no discernible or deliberate pattern, design, or motif, but is not a uniform, single solid color. Use for visually unadorned or blank surfaces, which may include natural material variations, clear, or transparent finishes.</t>
  </si>
  <si>
    <t>An open framework or lattice of interwoven or intersecting elements, often forming repeating geometric shapes.</t>
  </si>
  <si>
    <t>A pattern consisting of small, circular shapes, which may be solid or outlined. Unlike a Polka Dot pattern, the dots may be uniform or varied in size, and their placement can be regular, irregular, or scattered.</t>
  </si>
  <si>
    <t>A pattern of lines or shapes radiating outward from a central point, resembling a star or sunburst effect.</t>
  </si>
  <si>
    <t>A pattern composed of distinct geometric shapes (such as circles, squares, triangles, or polygons) that are the primary visual motif. The arrangement can be repeating or non-repeating.</t>
  </si>
  <si>
    <t>A geometric pattern characterized by a grid of interlocking squares or rectangles arranged in continuous diagonal chains, creating a repeating lattice or linked effect.</t>
  </si>
  <si>
    <t>A continuous, angular pattern composed of repeated diagonal lines that meet to form sharp V-shapes (chevron) or a more varied zigzag motif. This pattern is distinct from Herringbone (broken, interlocking V-shapes).</t>
  </si>
  <si>
    <t>Fully transparent or see-through material with an absence of visible pattern, color, or applied texture, allowing clear visibility of underlying elements.</t>
  </si>
  <si>
    <t>A geometric pattern created from repeating curved units, often quarter-circles, arranged to form continuous, interlocking, and meandering pathways.</t>
  </si>
  <si>
    <t>An ornate and intricate pattern inspired by traditional Moroccan decorative arts. It is characterized by complex, symmetrical, and repeating geometric motifs, such as stars, arabesques, and interlocking lattice shapes.</t>
  </si>
  <si>
    <t>A design inspired by traditional East Asian or Eastern artistry. It is characterized by intricate, decorative details and features symbolic, floral, or geometric motifs in a balanced, often symmetrical layout.</t>
  </si>
  <si>
    <t>A pattern created by stamping a carved block onto a material, resulting in repetitive motifs or designs. It is characterized by a handcrafted aesthetic, slight irregularities, and a subtle variation in the print.</t>
  </si>
  <si>
    <t>A pattern characterized by repeated or overlapping curved elements, such as arches or semi-circles, which form portions of a circular motif.</t>
  </si>
  <si>
    <t>A pattern or design that intentionally evokes a retro or nostalgic appearance reminiscent of past eras. This may include historically inspired motifs, faded colors, distressed effects, or a timeworn aesthetic.</t>
  </si>
  <si>
    <t>Wallpaper Texture Definitions</t>
  </si>
  <si>
    <t>Features a three-dimensional, raised surface pattern created by pressing or embossing the material. Designs physically project above the background layer, offering a pronounced tactile effect and visual depth.</t>
  </si>
  <si>
    <t>Features a raised, velvety surface created by applying short natural or synthetic fibers to a base material. Characterized by a soft-touch texture and visual depth, this finish is often used to create decorative patterns or to mimic the appearance of snow or suede.</t>
  </si>
  <si>
    <t>An even, flat surface without any raised or tactile texture. It feels completely level to the touch and has no visible texture or pattern in relief.</t>
  </si>
  <si>
    <t>Features a physically raised, textured, or three-dimensional surface pattern that can be felt or seen. This includes any non-smooth surface created by the material or manufacturing process, providing depth and tactile interest beyond a purely visual or printed design.</t>
  </si>
  <si>
    <t>Application Type Definitions</t>
  </si>
  <si>
    <t>The item does not have pre-applied adhesive on the back. Paste or glue must be manually applied to the product or the installation surface. This traditional method is often preferred for its durability and requires a brush or roller for application.</t>
  </si>
  <si>
    <t>The item features a water-activated adhesive backing. Installation requires soaking or dampening the material to activate the paste before application. This method provides a more convenient setup compared to non-pasted options.</t>
  </si>
  <si>
    <t>Features a pressure-sensitive adhesive backing protected by a removable liner, allowing for application by peeling off the backing and pressing the item directly onto a surface. No additional paste, glue, or water is required for installation. Typically designed to be removable and repositionable.</t>
  </si>
  <si>
    <t>Drop</t>
  </si>
  <si>
    <t>Random</t>
  </si>
  <si>
    <t>Straight</t>
  </si>
  <si>
    <t>Match Type Definitions</t>
  </si>
  <si>
    <t>A type of pattern match where the design elements align both horizontally and vertically, creating a staggered or diagonal repeat. This alignment typically requires every other strip or panel to be offset from the previous one to create a seamless visual transition.</t>
  </si>
  <si>
    <t>A layout or pattern repeat where elements are arranged in a non-linear, scattered, or arbitrary fashion. This configuration does not require specific horizontal or vertical alignment at seams or edges, facilitating a seamless appearance regardless of placement.</t>
  </si>
  <si>
    <t>Refers to a pattern match where the design elements align horizontally across adjacent strips or panels. Every panel starts at the same point of the pattern at the top edge, ensuring a continuous and level flow of the design across the entire surface.</t>
  </si>
  <si>
    <t>Peelable</t>
  </si>
  <si>
    <t>Strippable</t>
  </si>
  <si>
    <t>Solution Required</t>
  </si>
  <si>
    <t>Removal Type Definitions</t>
  </si>
  <si>
    <t>Refers to a material or decorative top layer that can be removed dry by hand, typically leaving a thin substrate or adhesive backing on the surface that may require separate removal.</t>
  </si>
  <si>
    <t>Designed to be dry stripped from a surface, this material can be removed in full sheets without the need for water, chemicals, or steam, typically leaving minimal adhesive residue and little to no damage to the underlying surface.</t>
  </si>
  <si>
    <t>Indicates that the material must be treated with a chemical agent, water, or steam to deactivate or loosen the adhesive bond for removal. This process often requires penetration time followed by manual scraping to clear the surface.</t>
  </si>
  <si>
    <t>Country of Origin Definitions</t>
  </si>
  <si>
    <t>A country in North America, officially known as the United States of America.</t>
  </si>
  <si>
    <t>A country in North America, officially known as Canada.</t>
  </si>
  <si>
    <t>A country in East Asia, officially known as the People's Republic of China.</t>
  </si>
  <si>
    <t>A country in Central Europe, officially known as the Federal Republic of Germany.</t>
  </si>
  <si>
    <t>A country in South Asia, officially known as the Republic of India.</t>
  </si>
  <si>
    <t>A country in Southeast Asia, officially known as the Republic of Indonesia.</t>
  </si>
  <si>
    <t>A country in Southern Europe, officially known as the Italian Republic.</t>
  </si>
  <si>
    <t>An island country in East Asia, officially known as Japan.</t>
  </si>
  <si>
    <t>A country in the southern portion of North America, officially known as the United Mexican States.</t>
  </si>
  <si>
    <t>A country in Southeast Asia, officially known as the Socialist Republic of Vietnam.</t>
  </si>
  <si>
    <t>A country in north-western Europe, officially known as the United Kingdom of Great Britain and Northern Ireland.</t>
  </si>
  <si>
    <t>A country in Northern Europe, officially known as the Kingdom of Denmark.</t>
  </si>
  <si>
    <t>A country in Western Europe, officially known as the French Republic.</t>
  </si>
  <si>
    <t>A country in Northern Europe, officially known as the Kingdom of Sweden.</t>
  </si>
  <si>
    <t>A country in Southwestern Europe, officially known as the Kingdom of Spain.</t>
  </si>
  <si>
    <t>A country in Central Europe, officially known as the Republic of Poland.</t>
  </si>
  <si>
    <t>A transcontinental country located mainly on the Anatolian Peninsula in Western Asia, officially known as the Republic of Turkey.</t>
  </si>
  <si>
    <t>A landlocked country in South Asia, officially known as Nepal.</t>
  </si>
  <si>
    <t>A country in Western Asia, officially known as the Islamic Republic of Iran.</t>
  </si>
  <si>
    <t>A country in Central Asia, officially known as the Republic of Uzbekistan.</t>
  </si>
  <si>
    <t>A country in Eastern Europe and Northern Asia, officially known as the Russian Federation.</t>
  </si>
  <si>
    <t>A country in Central Asia, officially known as the Republic of Kazakhstan.</t>
  </si>
  <si>
    <t>A landlocked country in Central Asia, officially known as the Republic of Tajikistan.</t>
  </si>
  <si>
    <t>A landlocked country located at the crossroads of Central and South Asia, officially known as the Islamic Republic of Afghanistan.</t>
  </si>
  <si>
    <t>An autonomous and demilitarized region of Finland, officially known as the Åland Islands.</t>
  </si>
  <si>
    <t>A country in southeastern Europe, officially known as the Republic of Albania.</t>
  </si>
  <si>
    <t>A country in North Africa, officially known as the People's Democratic Republic of Algeria.</t>
  </si>
  <si>
    <t>An unincorporated territory of the United States in the South Pacific Ocean, officially known as American Samoa.</t>
  </si>
  <si>
    <t>A small landlocked country in the Pyrenees mountains between France and Spain, officially known as the Principality of Andorra.</t>
  </si>
  <si>
    <t>A country on the west coast of Southern Africa, officially known as the Republic of Angola.</t>
  </si>
  <si>
    <t>A British Overseas Territory in the Caribbean, officially known as Anguilla.</t>
  </si>
  <si>
    <t>The southernmost continent on Earth, containing the geographic South Pole; not under the sovereignty of any country and governed by the Antarctic Treaty System.</t>
  </si>
  <si>
    <t>An island country in the Caribbean, officially known as Antigua and Barbuda.</t>
  </si>
  <si>
    <t>A country in South America, officially known as the Argentine Republic.</t>
  </si>
  <si>
    <t>A country in the South Caucasus region of Eurasia, officially known as the Republic of Armenia.</t>
  </si>
  <si>
    <t>A constituent country of the Kingdom of the Netherlands located in the southern Caribbean Sea, officially known as Aruba.</t>
  </si>
  <si>
    <t>A country in Oceania, officially known as the Commonwealth of Australia.</t>
  </si>
  <si>
    <t>A country in central Europe, officially known as the Republic of Austria.</t>
  </si>
  <si>
    <t>A country in the South Caucasus region of Eurasia, officially known as the Republic of Azerbaijan.</t>
  </si>
  <si>
    <t>An island country within the Lucayan Archipelago in the Atlantic, officially known as the Commonwealth of The Bahamas.</t>
  </si>
  <si>
    <t>A country in Western Asia, officially known as the Kingdom of Bahrain.</t>
  </si>
  <si>
    <t>A country in South Asia, officially known as the People's Republic of Bangladesh.</t>
  </si>
  <si>
    <t>An island country in the Caribbean, officially known as Barbados.</t>
  </si>
  <si>
    <t>A country in Eastern Europe, officially known as the Republic of Belarus.</t>
  </si>
  <si>
    <t>A country in Western Europe, officially known as the Kingdom of Belgium.</t>
  </si>
  <si>
    <t>A country located on the eastern coast of Central America, officially known as Belize.</t>
  </si>
  <si>
    <t>A country in West Africa, officially known as the Republic of Benin.</t>
  </si>
  <si>
    <t>A British Overseas Territory in the North Atlantic Ocean, officially known as Bermuda.</t>
  </si>
  <si>
    <t>A landlocked country in South Asia, officially known as the Kingdom of Bhutan.</t>
  </si>
  <si>
    <t>A country in West-Central South America, officially known as the Plurinational State of Bolivia.</t>
  </si>
  <si>
    <t>A country in Southeastern Europe, officially known as Bosnia and Herzegovina.</t>
  </si>
  <si>
    <t>A landlocked country in Southern Africa, officially known as the Republic of Botswana.</t>
  </si>
  <si>
    <t>A dependent island of Norway located in the South Atlantic Ocean, officially known as Bouvet Island.</t>
  </si>
  <si>
    <t>A country in South America, officially known as the Federative Republic of Brazil.</t>
  </si>
  <si>
    <t>A British Overseas Territory in the Indian Ocean, officially known as the British Indian Ocean Territory.</t>
  </si>
  <si>
    <t>A country in Southeast Asia, officially known as the Nation of Brunei, the Abode of Peace (Brunei Darussalam).</t>
  </si>
  <si>
    <t>A country in Southeastern Europe, officially known as the Republic of Bulgaria.</t>
  </si>
  <si>
    <t>A landlocked country in West Africa, officially known as Burkina Faso.</t>
  </si>
  <si>
    <t>A landlocked country in East Africa, officially known as the Republic of Burundi.</t>
  </si>
  <si>
    <t>A country in Southeast Asia, officially known as the Kingdom of Cambodia.</t>
  </si>
  <si>
    <t>A country in Central Africa, officially known as the Republic of Cameroon.</t>
  </si>
  <si>
    <t>An island country in the central Atlantic Ocean, officially known as the Republic of Cabo Verde.</t>
  </si>
  <si>
    <t>A British Overseas Territory in the western Caribbean Sea, officially known as the Cayman Islands.</t>
  </si>
  <si>
    <t>A landlocked country in Central Africa, officially known as the Central African Republic.</t>
  </si>
  <si>
    <t>A landlocked country in north-central Africa, officially known as the Republic of Chad.</t>
  </si>
  <si>
    <t>A country on the western edge of South America, officially known as the Republic of Chile.</t>
  </si>
  <si>
    <t>An Australian external territory in the Indian Ocean, officially known as Christmas Island.</t>
  </si>
  <si>
    <t>An Australian external territory in the Indian Ocean, officially known as the Territory of Cocos (Keeling) Islands.</t>
  </si>
  <si>
    <t>A country in South America, officially known as the Republic of Colombia.</t>
  </si>
  <si>
    <t>An island country in the Indian Ocean, officially known as the Union of the Comoros.</t>
  </si>
  <si>
    <t>A country in Central Africa, officially known as the Republic of the Congo.</t>
  </si>
  <si>
    <t>A country in Central Africa, officially known as the Democratic Republic of the Congo.</t>
  </si>
  <si>
    <t>A self-governing territory in free association with New Zealand, officially known as the Cook Islands.</t>
  </si>
  <si>
    <t>A country in Central America, officially known as the Republic of Costa Rica.</t>
  </si>
  <si>
    <t>A country in West Africa, commonly known as Côte d'Ivoire, officially the Republic of Côte d'Ivoire (Ivory Coast).</t>
  </si>
  <si>
    <t>A country in southeast Europe, officially known as the Republic of Croatia.</t>
  </si>
  <si>
    <t>An island country in the Caribbean, officially known as the Republic of Cuba.</t>
  </si>
  <si>
    <t>An island country in the Eastern Mediterranean, officially known as the Republic of Cyprus.</t>
  </si>
  <si>
    <t>A country in Central Europe, officially known as the Czech Republic or Czechia.</t>
  </si>
  <si>
    <t>A country in the Horn of Africa, officially known as the Republic of Djibouti.</t>
  </si>
  <si>
    <t>An island country in the Caribbean, officially known as the Commonwealth of Dominica.</t>
  </si>
  <si>
    <t>A country on the island of Hispaniola in the Caribbean region, officially known as the Dominican Republic.</t>
  </si>
  <si>
    <t>A country on the northwest coast of South America, officially known as the Republic of Ecuador.</t>
  </si>
  <si>
    <t>A country in North Africa, officially known as the Arab Republic of Egypt.</t>
  </si>
  <si>
    <t>A country in Central America, officially known as the Republic of El Salvador.</t>
  </si>
  <si>
    <t>A country on the west coast of Central Africa, officially known as the Republic of Equatorial Guinea.</t>
  </si>
  <si>
    <t>A country in the Horn of Africa, officially known as the State of Eritrea.</t>
  </si>
  <si>
    <t>A country in Northern Europe, officially known as the Republic of Estonia.</t>
  </si>
  <si>
    <t>A country located in the Horn of Africa, officially known as the Federal Democratic Republic of Ethiopia.</t>
  </si>
  <si>
    <t>A British Overseas Territory in the South Atlantic Ocean, officially known as the Falkland Islands (Malvinas).</t>
  </si>
  <si>
    <t>An autonomous territory within the Kingdom of Denmark, located in the North Atlantic Ocean.</t>
  </si>
  <si>
    <t>An island country in the South Pacific, officially known as the Republic of Fiji.</t>
  </si>
  <si>
    <t>A country in Northern Europe, officially known as the Republic of Finland.</t>
  </si>
  <si>
    <t>An overseas department of France located on the northern coast of South America.</t>
  </si>
  <si>
    <t>An overseas collectivity of France in the South Pacific, officially known as French Polynesia.</t>
  </si>
  <si>
    <t>French Southern and Antarctic Lands (TAAF), an overseas territory of France consisting of islands and territories in the southern Indian Ocean.</t>
  </si>
  <si>
    <t>A country on the west coast of Central Africa, officially known as the Gabonese Republic.</t>
  </si>
  <si>
    <t>A country in West Africa, officially known as the Republic of The Gambia.</t>
  </si>
  <si>
    <t>A country at the intersection of Europe and Asia, officially known as Georgia.</t>
  </si>
  <si>
    <t>A country in West Africa, officially known as the Republic of Ghana.</t>
  </si>
  <si>
    <t>A British Overseas Territory located on the southern coast of the Iberian Peninsula, officially known as Gibraltar.</t>
  </si>
  <si>
    <t>A country located in southeastern Europe, officially known as the Hellenic Republic (Greece).</t>
  </si>
  <si>
    <t>An autonomous territory within the Kingdom of Denmark, located between the Arctic and Atlantic Oceans, known as Greenland.</t>
  </si>
  <si>
    <t>An island country in the Caribbean, officially known as Grenada.</t>
  </si>
  <si>
    <t>An overseas region of France located in the Caribbean.</t>
  </si>
  <si>
    <t>An unincorporated and organized territory of the United States in the western Pacific Ocean.</t>
  </si>
  <si>
    <t>A country in Central America, officially known as the Republic of Guatemala.</t>
  </si>
  <si>
    <t>A British Crown dependency located in the English Channel, considered a separate jurisdiction from the United Kingdom.</t>
  </si>
  <si>
    <t>A country in West Africa, officially known as the Republic of Guinea.</t>
  </si>
  <si>
    <t>A country in West Africa, officially known as the Republic of Guinea-Bissau.</t>
  </si>
  <si>
    <t>A country on the northern mainland of South America, officially known as the Cooperative Republic of Guyana.</t>
  </si>
  <si>
    <t>A country in the Caribbean, officially known as the Republic of Haiti.</t>
  </si>
  <si>
    <t>An Australian external territory in the southern Indian Ocean, consisting of Heard Island and McDonald Islands; uninhabited.</t>
  </si>
  <si>
    <t>A sovereign city-state and the headquarters of the Roman Catholic Church, officially known as Vatican City State (Holy See).</t>
  </si>
  <si>
    <t>A country in Central America, officially known as the Republic of Honduras.</t>
  </si>
  <si>
    <t>A Special Administrative Region of China, officially known as Hong Kong SAR.</t>
  </si>
  <si>
    <t>A country in Central Europe, officially known as Hungary.</t>
  </si>
  <si>
    <t>An island country in the North Atlantic, officially known as Iceland.</t>
  </si>
  <si>
    <t>A country in Western Asia, officially known as the Republic of Iraq.</t>
  </si>
  <si>
    <t>A country in north-western Europe, occupying most of the island of Ireland.</t>
  </si>
  <si>
    <t>A British Crown dependency located in the Irish Sea between Great Britain and Ireland, considered separate from the United Kingdom.</t>
  </si>
  <si>
    <t>A country in the Middle East, officially known as the State of Israel.</t>
  </si>
  <si>
    <t>An island country in the Caribbean Sea, officially known as Jamaica.</t>
  </si>
  <si>
    <t>A British Crown dependency located in the English Channel, considered separate from the United Kingdom.</t>
  </si>
  <si>
    <t>A country in Western Asia, officially known as the Hashemite Kingdom of Jordan.</t>
  </si>
  <si>
    <t>A country in East Africa, officially known as the Republic of Kenya.</t>
  </si>
  <si>
    <t>An island country in the central Pacific Ocean, officially known as the Republic of Kiribati.</t>
  </si>
  <si>
    <t>A country in East Asia, officially known as the Democratic People's Republic of Korea or North Korea.</t>
  </si>
  <si>
    <t>A country in East Asia, officially known as the Republic of Korea or South Korea.</t>
  </si>
  <si>
    <t>A country in Western Asia, officially known as the State of Kuwait.</t>
  </si>
  <si>
    <t>A landlocked country in Central Asia, officially known as the Kyrgyz Republic or Kyrgyzstan.</t>
  </si>
  <si>
    <t>A country in Southeast Asia, officially known as the Lao People's Democratic Republic.</t>
  </si>
  <si>
    <t>A country in the Baltic region of Northern Europe, officially known as the Republic of Latvia.</t>
  </si>
  <si>
    <t>A country in Western Asia, officially known as the Lebanese Republic.</t>
  </si>
  <si>
    <t>A landlocked country in Southern Africa, officially known as the Kingdom of Lesotho.</t>
  </si>
  <si>
    <t>A country on the west coast of Africa, officially known as the Republic of Liberia.</t>
  </si>
  <si>
    <t>A country in North Africa, officially known as Libya (Libyan Arab Jamahiriya being a former official name).</t>
  </si>
  <si>
    <t>A country in Central Europe, officially known as the Principality of Liechtenstein.</t>
  </si>
  <si>
    <t>A country in the Baltic region of Europe, officially known as the Republic of Lithuania.</t>
  </si>
  <si>
    <t>A country in Western Europe, officially known as the Grand Duchy of Luxembourg.</t>
  </si>
  <si>
    <t>A Special Administrative Region of China, officially known as Macao SAR.</t>
  </si>
  <si>
    <t>A country in Southeast Europe, officially known as the Republic of North Macedonia; previously referred to in international agreements as the former Yugoslav Republic of Macedonia.</t>
  </si>
  <si>
    <t>An island country in the Indian Ocean, officially known as the Republic of Madagascar.</t>
  </si>
  <si>
    <t>A landlocked country in southeastern Africa, officially known as the Republic of Malawi.</t>
  </si>
  <si>
    <t>A country in Southeast Asia, officially known as Malaysia.</t>
  </si>
  <si>
    <t>An island country in South Asia, officially known as the Republic of Maldives.</t>
  </si>
  <si>
    <t>A landlocked country in West Africa, officially known as the Republic of Mali.</t>
  </si>
  <si>
    <t>An island country in the Mediterranean Sea, officially known as the Republic of Malta.</t>
  </si>
  <si>
    <t>An island country in the central Pacific Ocean, officially known as the Republic of the Marshall Islands.</t>
  </si>
  <si>
    <t>An overseas territorial collectivity of France located in the Caribbean, officially known as Martinique.</t>
  </si>
  <si>
    <t>A country in Northwest Africa, officially known as the Islamic Republic of Mauritania.</t>
  </si>
  <si>
    <t>An island country in the Indian Ocean, officially known as the Republic of Mauritius.</t>
  </si>
  <si>
    <t>An overseas department and region of France consisting of one main island in the Indian Ocean, officially known as Mayotte.</t>
  </si>
  <si>
    <t>An island country in the western Pacific Ocean, officially known as the Federated States of Micronesia.</t>
  </si>
  <si>
    <t>A country in Eastern Europe, officially known as the Republic of Moldova.</t>
  </si>
  <si>
    <t>A sovereign city-state on the French Riviera in Western Europe, officially known as the Principality of Monaco.</t>
  </si>
  <si>
    <t>A landlocked country in East and Central Asia, officially known as Mongolia.</t>
  </si>
  <si>
    <t>A country in Southeastern Europe, officially known as Montenegro.</t>
  </si>
  <si>
    <t>A British Overseas Territory in the Caribbean, officially known as Montserrat.</t>
  </si>
  <si>
    <t>A country in North Africa, officially known as the Kingdom of Morocco.</t>
  </si>
  <si>
    <t>A country in Southeast Africa, officially known as the Republic of Mozambique.</t>
  </si>
  <si>
    <t>A country in Southeast Asia, officially known as the Republic of the Union of Myanmar.</t>
  </si>
  <si>
    <t>A country in southern Africa, officially known as the Republic of Namibia.</t>
  </si>
  <si>
    <t>A small island country in Micronesia, northeast of Australia, officially known as the Republic of Nauru.</t>
  </si>
  <si>
    <t>A country in Western Europe, officially known as the Kingdom of the Netherlands.</t>
  </si>
  <si>
    <t>A former autonomous Caribbean country within the Kingdom of the Netherlands, dissolved in 2010. Its territories are now special municipalities or constituent countries within the Kingdom.</t>
  </si>
  <si>
    <t>A special collectivity of France comprising dozens of islands in the South Pacific.</t>
  </si>
  <si>
    <t>An island country in the southwestern Pacific Ocean, officially known as New Zealand.</t>
  </si>
  <si>
    <t>A country in Central America, officially known as the Republic of Nicaragua.</t>
  </si>
  <si>
    <t>A landlocked country in West Africa, officially known as the Republic of Niger.</t>
  </si>
  <si>
    <t>A country in West Africa, officially known as the Federal Republic of Nigeria.</t>
  </si>
  <si>
    <t>An island country in the South Pacific Ocean, officially known as Niue, in free association with New Zealand.</t>
  </si>
  <si>
    <t>An external territory of Australia located in the Pacific Ocean, officially known as Norfolk Island.</t>
  </si>
  <si>
    <t>A commonwealth of the United States and group of islands in the northwestern Pacific Ocean, with political status as an unincorporated and organized territory.</t>
  </si>
  <si>
    <t>A country in Northern Europe, officially known as the Kingdom of Norway.</t>
  </si>
  <si>
    <t>A country on the southeastern coast of the Arabian Peninsula, officially known as the Sultanate of Oman.</t>
  </si>
  <si>
    <t>A country in South Asia, officially known as the Islamic Republic of Pakistan.</t>
  </si>
  <si>
    <t>An island country in the western Pacific Ocean, officially known as the Republic of Palau.</t>
  </si>
  <si>
    <t>A territory in the Middle East recognized by the United Nations as the Occupied Palestinian Territory, comprising the West Bank and Gaza Strip.</t>
  </si>
  <si>
    <t>A country in Central America, officially known as the Republic of Panama.</t>
  </si>
  <si>
    <t>A country in Oceania, officially known as the Independent State of Papua New Guinea.</t>
  </si>
  <si>
    <t>A country in South America, officially known as the Republic of Paraguay.</t>
  </si>
  <si>
    <t>A country in western South America, officially known as the Republic of Peru.</t>
  </si>
  <si>
    <t>An island country in Southeast Asia in the western Pacific Ocean, officially known as the Republic of the Philippines.</t>
  </si>
  <si>
    <t>A British Overseas Territory in the southern Pacific Ocean comprising four volcanic islands; the only inhabited island is Pitcairn.</t>
  </si>
  <si>
    <t>A country in southwestern Europe, officially known as the Portuguese Republic.</t>
  </si>
  <si>
    <t>An unincorporated territory of the United States located in the Caribbean, officially known as the Commonwealth of Puerto Rico.</t>
  </si>
  <si>
    <t>A country on the Arabian Peninsula in Western Asia, officially known as the State of Qatar.</t>
  </si>
  <si>
    <t>An overseas department and region of France located in the Indian Ocean, east of Madagascar.</t>
  </si>
  <si>
    <t>A country in southeastern Europe, officially known as Romania.</t>
  </si>
  <si>
    <t>A landlocked country in East-Central Africa, officially known as the Republic of Rwanda.</t>
  </si>
  <si>
    <t>A French overseas collectivity located in the Caribbean, officially known as Saint Barthélemy.</t>
  </si>
  <si>
    <t>A British Overseas Territory in the South Atlantic Ocean, officially known as Saint Helena, Ascension and Tristan da Cunha.</t>
  </si>
  <si>
    <t>An island country in the Caribbean, officially known as the Federation of Saint Kitts and Nevis.</t>
  </si>
  <si>
    <t>An island country in the Caribbean Sea, officially known as Saint Lucia.</t>
  </si>
  <si>
    <t>A French overseas collectivity located in the Caribbean, officially known as Saint Martin.</t>
  </si>
  <si>
    <t>A self-governing territorial overseas collectivity of France in the northwestern Atlantic Ocean, officially known as Saint Pierre and Miquelon.</t>
  </si>
  <si>
    <t>An island country in the Caribbean, officially known as Saint Vincent and the Grenadines.</t>
  </si>
  <si>
    <t>An island country in the South Pacific Ocean, officially known as the Independent State of Samoa.</t>
  </si>
  <si>
    <t>A microstate surrounded by Italy, officially known as the Republic of San Marino.</t>
  </si>
  <si>
    <t>An island country in the Gulf of Guinea, Central Africa, officially known as the Democratic Republic of São Tomé and Príncipe.</t>
  </si>
  <si>
    <t>A country in Western Asia, officially known as the Kingdom of Saudi Arabia.</t>
  </si>
  <si>
    <t>A country located on the west coast of Africa, officially known as the Republic of Senegal.</t>
  </si>
  <si>
    <t>A country in Southeast Europe, officially known as the Republic of Serbia.</t>
  </si>
  <si>
    <t>An archipelago and country consisting of 115 islands in the Indian Ocean, officially known as the Republic of Seychelles.</t>
  </si>
  <si>
    <t>A country on the southwest coast of West Africa, officially known as the Republic of Sierra Leone.</t>
  </si>
  <si>
    <t>A sovereign city-state and island country in Southeast Asia, officially known as Singapore.</t>
  </si>
  <si>
    <t>A landlocked country in Central Europe, officially known as the Slovak Republic or Slovakia.</t>
  </si>
  <si>
    <t>A country in Southern Europe, officially known as the Republic of Slovenia.</t>
  </si>
  <si>
    <t>An island country in Oceania, officially known as the Solomon Islands.</t>
  </si>
  <si>
    <t>A country in the Horn of Africa, officially known as the Federal Republic of Somalia.</t>
  </si>
  <si>
    <t>A country located at the southern tip of Africa, officially known as the Republic of South Africa.</t>
  </si>
  <si>
    <t>A British Overseas Territory in the southern Atlantic Ocean comprising South Georgia and the South Sandwich Islands.</t>
  </si>
  <si>
    <t>An island country in South Asia, officially known as the Democratic Socialist Republic of Sri Lanka.</t>
  </si>
  <si>
    <t>A country in Northeast Africa, officially known as the Republic of the Sudan.</t>
  </si>
  <si>
    <t>A country on the northeastern Atlantic coast of South America, officially known as the Republic of Suriname.</t>
  </si>
  <si>
    <t>Two territories under Norwegian sovereignty in the Arctic Ocean: Svalbard archipelago and Jan Mayen island.</t>
  </si>
  <si>
    <t>A country in Southern Africa, officially known as the Kingdom of Eswatini (formerly Swaziland).</t>
  </si>
  <si>
    <t>A landlocked country in Central Europe, officially known as the Swiss Confederation.</t>
  </si>
  <si>
    <t>A country in Western Asia, officially known as the Syrian Arab Republic.</t>
  </si>
  <si>
    <t>A self-governing island in East Asia, officially known as the Republic of China (Taiwan); claimed by the People's Republic of China.</t>
  </si>
  <si>
    <t>A country in East Africa, officially known as the United Republic of Tanzania.</t>
  </si>
  <si>
    <t>A country in Southeast Asia, officially known as the Kingdom of Thailand.</t>
  </si>
  <si>
    <t>A country in Southeast Asia, officially known as the Democratic Republic of Timor-Leste.</t>
  </si>
  <si>
    <t>A country in West Africa, officially known as the Togolese Republic.</t>
  </si>
  <si>
    <t>A dependent territory of New Zealand in the southern Pacific Ocean, officially known as Tokelau.</t>
  </si>
  <si>
    <t>A Polynesian kingdom in the South Pacific, officially known as the Kingdom of Tonga.</t>
  </si>
  <si>
    <t>An island country in the Caribbean, officially known as the Republic of Trinidad and Tobago.</t>
  </si>
  <si>
    <t>A country in North Africa, officially known as the Republic of Tunisia.</t>
  </si>
  <si>
    <t>A country in Central Asia, officially known as Turkmenistan.</t>
  </si>
  <si>
    <t>A British Overseas Territory in the Atlantic Ocean, officially known as the Turks and Caicos Islands.</t>
  </si>
  <si>
    <t>An island country in the Pacific Ocean, officially known as Tuvalu.</t>
  </si>
  <si>
    <t>A landlocked country in East Africa, officially known as the Republic of Uganda.</t>
  </si>
  <si>
    <t>A country in Eastern Europe, officially known as Ukraine.</t>
  </si>
  <si>
    <t>A country in Western Asia, officially known as the United Arab Emirates.</t>
  </si>
  <si>
    <t>A group of unincorporated United States islands and atolls in the Pacific Ocean, officially known as the United States Minor Outlying Islands.</t>
  </si>
  <si>
    <t>A country in South America, officially known as the Oriental Republic of Uruguay.</t>
  </si>
  <si>
    <t>A Pacific island country in Oceania, officially known as the Republic of Vanuatu.</t>
  </si>
  <si>
    <t>A country located on the northern coast of South America, officially known as the Bolivarian Republic of Venezuela.</t>
  </si>
  <si>
    <t>A British Overseas Territory in the Caribbean, officially known as the Virgin Islands, British.</t>
  </si>
  <si>
    <t>An unincorporated territory of the United States in the Caribbean, officially known as the United States Virgin Islands.</t>
  </si>
  <si>
    <t>A French overseas collectivity in the South Pacific comprising three main volcanic tropical islands and several islets.</t>
  </si>
  <si>
    <t>A disputed territory in North Africa, known as Western Sahara, with an unresolved legal status.</t>
  </si>
  <si>
    <t>A country in Western Asia, officially known as the Republic of Yemen.</t>
  </si>
  <si>
    <t>A landlocked country in southern Africa, officially known as the Republic of Zambia.</t>
  </si>
  <si>
    <t>A landlocked country in southern Africa, officially known as the Republic of Zimbabwe.</t>
  </si>
  <si>
    <t>A partially recognized country in Southeast Europe, officially referred to as the Republic of Kosovo.</t>
  </si>
  <si>
    <t>Made in USA</t>
  </si>
  <si>
    <t>Made in USA of Imported Materials</t>
  </si>
  <si>
    <t>Product of Canada</t>
  </si>
  <si>
    <t>Made In Canada</t>
  </si>
  <si>
    <t>Country of Origin - Additional Details Definitions</t>
  </si>
  <si>
    <t>Use this tag value only if the product's final assembly or processing, all significant processing, and all or virtually all ingredients or components are made and sourced in the United States (including the 50 states, D.C., and U.S. territories and possessions) with no or negligible foreign content. The claim should meet the FTC's 'all or virtually all' standard for an unqualified 'Made in USA' representation. Marketers must have substantiation for the claim and should not use it for products with any significant foreign parts, processing, or content. Reference: FTC Made in USA Labeling Rule.</t>
  </si>
  <si>
    <t>Use this tag value if the product's final assembly or processing takes place in the U.S., but significant components or materials are imported, and the claim meets the FTC requirements for a qualified 'Made in USA' statement. The claim must specify that while some U.S. content or processing is present, the product does not meet the 'all or virtually all' threshold required for an unqualified claim. For example: 'Made in USA of U.S. and imported parts.' This claim must be truthful, substantiated, and not likely to mislead consumers regarding the amount or importance of U.S. content. Reference: FTC guidance on qualified Made in USA claims.</t>
  </si>
  <si>
    <t>Use this value if the last substantial transformation of the product occurred in Canada and at least 98% of the total direct costs of producing or manufacturing the goods are Canadian. This is a stricter claim than 'Made in Canada.' Ensure labeling and advertising adhere to Canadian regulations. See https://www.competitionbureau.gc.ca/eic/site/cb-bc.nsf/eng/02228.html.</t>
  </si>
  <si>
    <t>Use this designation if the last substantial transformation of the product occurred in Canada; at least 51% of the total direct costs of producing or manufacturing the goods are Canadian; and the representation is accompanied by an appropriate qualifying statement (such as 'with imported parts').</t>
  </si>
  <si>
    <t>Non Residential Use</t>
  </si>
  <si>
    <t>Residential Use</t>
  </si>
  <si>
    <t>Supplier Intended and Approved Use Definitions</t>
  </si>
  <si>
    <t>Intended for non-residential, commercial, institutional, or public environments. Products are designed for higher durability and heavier usage, featuring sturdier construction, enhanced performance, and compliance with commercial industry standards.</t>
  </si>
  <si>
    <t>Designed and suitable for private homes, apartments, or other non-commercial residential environments. Products for this use are subject to lighter, less frequent usage and do not require commercial-grade durability or safety standards.</t>
  </si>
  <si>
    <t>Mold / Mildew Resistant</t>
  </si>
  <si>
    <t>Water Resistant</t>
  </si>
  <si>
    <t>No Durability Features</t>
  </si>
  <si>
    <t>Drip Free</t>
  </si>
  <si>
    <t>Fade Resistant</t>
  </si>
  <si>
    <t>Heat Resistant</t>
  </si>
  <si>
    <t>Stain Resistant</t>
  </si>
  <si>
    <t>Reinforced</t>
  </si>
  <si>
    <t>Non-Porous</t>
  </si>
  <si>
    <t>Fray Resistant</t>
  </si>
  <si>
    <t>Non-Staining</t>
  </si>
  <si>
    <t>Durability Definitions</t>
  </si>
  <si>
    <t>Made from materials or treated to inhibit the growth of mold and mildew, maintaining appearance, hygiene, and durability when exposed to moisture or humidity.</t>
  </si>
  <si>
    <t>Capable of resisting water penetration to a significant degree, offering protection against light rain, splashes, and humidity. It is not entirely impervious and cannot withstand heavy exposure or full immersion.</t>
  </si>
  <si>
    <t>Does not possess any specialized durability features or protective qualities as described in the other answer values.</t>
  </si>
  <si>
    <t>Features a design or construction that prevents or minimizes the dripping of liquids from surfaces or edges.</t>
  </si>
  <si>
    <t>Designed or treated to resist discoloration, bleaching, or loss of vibrancy caused by exposure to sunlight, washing, or environmental factors, thereby maintaining the product's intended color and appearance.</t>
  </si>
  <si>
    <t>Capable of withstanding high temperatures without melting, warping, deforming, or deteriorating.</t>
  </si>
  <si>
    <t>The product incorporates materials, coatings, or finishes designed to repel or resist the absorption and penetration of common staining substances, facilitating easier cleaning and preserving the original appearance.</t>
  </si>
  <si>
    <t>Includes additional material or structural features to increase durability, strength, and resistance to breaking or deforming under stress.</t>
  </si>
  <si>
    <t>Characterized by a surface that lacks pores, preventing the absorption of liquids, air, and contaminants. This feature facilitates easy cleaning and provides resistance to stains and moisture.</t>
  </si>
  <si>
    <t>Resistant to the unraveling, splitting, or wearing away of fibers or material at edges, seams, or surfaces, preserving structural integrity and a clean appearance through use and abrasion.</t>
  </si>
  <si>
    <t>Constructed from materials or finishes that prevent absorption and resist permanent discoloration from common staining agents and spills.</t>
  </si>
  <si>
    <t>Achille Castiglioni</t>
  </si>
  <si>
    <t>Alfredo Llorens</t>
  </si>
  <si>
    <t>Becky Bailey</t>
  </si>
  <si>
    <t>Badeloft</t>
  </si>
  <si>
    <t>Alain Van Havre</t>
  </si>
  <si>
    <t>Bannoura</t>
  </si>
  <si>
    <t>Ann Gish</t>
  </si>
  <si>
    <t>Ambesonne</t>
  </si>
  <si>
    <t>Alberto Tabellini &amp; David Reiss</t>
  </si>
  <si>
    <t>Andres Martinez</t>
  </si>
  <si>
    <t>Allison Paladino</t>
  </si>
  <si>
    <t>AERIN</t>
  </si>
  <si>
    <t>Alexa Hampton</t>
  </si>
  <si>
    <t>Antonio Citterio</t>
  </si>
  <si>
    <t>BergHOFF</t>
  </si>
  <si>
    <t>Ardmore</t>
  </si>
  <si>
    <t>Arnold Krog</t>
  </si>
  <si>
    <t>Bruno Marashlian</t>
  </si>
  <si>
    <t>Carol Benson-Cobb</t>
  </si>
  <si>
    <t>Campania International</t>
  </si>
  <si>
    <t>Debra Ann of Atomic Mobiles</t>
  </si>
  <si>
    <t>ARTCANVAS</t>
  </si>
  <si>
    <t>Karen Didion</t>
  </si>
  <si>
    <t>Maceteros</t>
  </si>
  <si>
    <t>Rosiland Solomon</t>
  </si>
  <si>
    <t>Ysnay</t>
  </si>
  <si>
    <t>Ashley Norton</t>
  </si>
  <si>
    <t>University frames</t>
  </si>
  <si>
    <t>Ashley Helms</t>
  </si>
  <si>
    <t>B2U</t>
  </si>
  <si>
    <t>Artwall</t>
  </si>
  <si>
    <t>Aviva Stanoff</t>
  </si>
  <si>
    <t>ArtVerse</t>
  </si>
  <si>
    <t>Artorang</t>
  </si>
  <si>
    <t>ACROMA</t>
  </si>
  <si>
    <t>Barrow Industries</t>
  </si>
  <si>
    <t>Barclay Butera</t>
  </si>
  <si>
    <t>Aqua Gallery</t>
  </si>
  <si>
    <t>Barrow Fabric</t>
  </si>
  <si>
    <t>Barbara Barry</t>
  </si>
  <si>
    <t>Aston</t>
  </si>
  <si>
    <t>Barry Goralnick</t>
  </si>
  <si>
    <t>Barbara and James Restin</t>
  </si>
  <si>
    <t>Arshs Fine Rugs</t>
  </si>
  <si>
    <t>Brightech</t>
  </si>
  <si>
    <t>C.L.L Collections</t>
  </si>
  <si>
    <t>Bunny Williams</t>
  </si>
  <si>
    <t>Busalt Design</t>
  </si>
  <si>
    <t>Candice Olson</t>
  </si>
  <si>
    <t>Betsy Drake Interiors</t>
  </si>
  <si>
    <t>Bhawna's Fusion</t>
  </si>
  <si>
    <t>Capital Lighting Fixture Co.</t>
  </si>
  <si>
    <t>Booth &amp; Williams</t>
  </si>
  <si>
    <t>Berbermade</t>
  </si>
  <si>
    <t>Caroline's Treasures</t>
  </si>
  <si>
    <t>Christian Lacroix</t>
  </si>
  <si>
    <t>Chic Teak</t>
  </si>
  <si>
    <t>Chapman &amp; Myers</t>
  </si>
  <si>
    <t>ChiChi Decor</t>
  </si>
  <si>
    <t>Celerie Kemble</t>
  </si>
  <si>
    <t>ChildBeWild</t>
  </si>
  <si>
    <t>Casa Fine Arts</t>
  </si>
  <si>
    <t>Bespoky Rugs</t>
  </si>
  <si>
    <t>Dawn Sweitzer</t>
  </si>
  <si>
    <t>Dana Gibson</t>
  </si>
  <si>
    <t>David Chipperfield</t>
  </si>
  <si>
    <t>Darren Gygi</t>
  </si>
  <si>
    <t>Creative Matters Inc.</t>
  </si>
  <si>
    <t>Dana McMillan</t>
  </si>
  <si>
    <t>Danielle Davis</t>
  </si>
  <si>
    <t>David Phoenix</t>
  </si>
  <si>
    <t>Christopher Fareed</t>
  </si>
  <si>
    <t>E by Design</t>
  </si>
  <si>
    <t>COXBRIGHT</t>
  </si>
  <si>
    <t>Coe Steinwart</t>
  </si>
  <si>
    <t>DreamLine</t>
  </si>
  <si>
    <t>Daphne Polselli</t>
  </si>
  <si>
    <t>Diane Beesley</t>
  </si>
  <si>
    <t>Denny Knight</t>
  </si>
  <si>
    <t>Diane Keaton</t>
  </si>
  <si>
    <t>echo</t>
  </si>
  <si>
    <t>Ebros Gift</t>
  </si>
  <si>
    <t>EGLO</t>
  </si>
  <si>
    <t>Duravit</t>
  </si>
  <si>
    <t>Eleonora Ferragatta</t>
  </si>
  <si>
    <t>E. F. Chapman</t>
  </si>
  <si>
    <t>Elaine Smith</t>
  </si>
  <si>
    <t>East West Furniture</t>
  </si>
  <si>
    <t>iCanvas</t>
  </si>
  <si>
    <t>Empava</t>
  </si>
  <si>
    <t>Ernest Massuet</t>
  </si>
  <si>
    <t>James Restin</t>
  </si>
  <si>
    <t>Enrico Lavazzi</t>
  </si>
  <si>
    <t>Ella's Bubbles</t>
  </si>
  <si>
    <t>Emissary</t>
  </si>
  <si>
    <t>Jaime Hayon</t>
  </si>
  <si>
    <t>Evergreen</t>
  </si>
  <si>
    <t>Jean-Marie Massaud</t>
  </si>
  <si>
    <t>J Paul</t>
  </si>
  <si>
    <t>Jennifer Hollack Raboin</t>
  </si>
  <si>
    <t>Javier Mariscal</t>
  </si>
  <si>
    <t>Jasper Morrison</t>
  </si>
  <si>
    <t>James Brooksberry</t>
  </si>
  <si>
    <t>Jamie Graney</t>
  </si>
  <si>
    <t>J. Kent Martin</t>
  </si>
  <si>
    <t>Jonathan Adler</t>
  </si>
  <si>
    <t>Jennifer Ridel</t>
  </si>
  <si>
    <t>Jose Javier Malavia</t>
  </si>
  <si>
    <t>John Beard</t>
  </si>
  <si>
    <t>JMV</t>
  </si>
  <si>
    <t>Jordan Glassco Smith</t>
  </si>
  <si>
    <t>Europatex</t>
  </si>
  <si>
    <t>Jorge Pensi</t>
  </si>
  <si>
    <t>Jose Luis Santes</t>
  </si>
  <si>
    <t>John Strauss/Carisa Marie</t>
  </si>
  <si>
    <t>Jose Maria Reina</t>
  </si>
  <si>
    <t>Ettore Sottsass</t>
  </si>
  <si>
    <t>Enrico Cosi &amp; Sergio Tabellini</t>
  </si>
  <si>
    <t>Eugeni Quitllet</t>
  </si>
  <si>
    <t>Jose Santaeulalia</t>
  </si>
  <si>
    <t>Jessica Hollander</t>
  </si>
  <si>
    <t>JoyJolt</t>
  </si>
  <si>
    <t>Jim and Phoebe Howard</t>
  </si>
  <si>
    <t>Julia Knight</t>
  </si>
  <si>
    <t>Kelly Wearstler</t>
  </si>
  <si>
    <t>Laura Park</t>
  </si>
  <si>
    <t>Kurt Merki Jr.</t>
  </si>
  <si>
    <t>Karin Reiter</t>
  </si>
  <si>
    <t>Karo Martirosyan</t>
  </si>
  <si>
    <t>Lexora</t>
  </si>
  <si>
    <t>LACAVA</t>
  </si>
  <si>
    <t>LILY</t>
  </si>
  <si>
    <t>Levi Wilson</t>
  </si>
  <si>
    <t>LeadGoods</t>
  </si>
  <si>
    <t>Julie Neill</t>
  </si>
  <si>
    <t>Juan Huerta</t>
  </si>
  <si>
    <t>Lillian August</t>
  </si>
  <si>
    <t>Kent Wilcoxson Jordan</t>
  </si>
  <si>
    <t>Kayvan</t>
  </si>
  <si>
    <t>Karim Rashid</t>
  </si>
  <si>
    <t>Kevin O'Brien</t>
  </si>
  <si>
    <t>Lynn McKernan</t>
  </si>
  <si>
    <t>Lipman Art</t>
  </si>
  <si>
    <t>Madison Knowles-Stewart</t>
  </si>
  <si>
    <t>MaestroBath</t>
  </si>
  <si>
    <t>M. FEDER</t>
  </si>
  <si>
    <t>LOOMLAN</t>
  </si>
  <si>
    <t>Loretta Yang</t>
  </si>
  <si>
    <t>Lyn Hamer Cook</t>
  </si>
  <si>
    <t>Loloi</t>
  </si>
  <si>
    <t>Linum Home Textiles</t>
  </si>
  <si>
    <t>Konstantin Grcic</t>
  </si>
  <si>
    <t>Ludovica &amp; Roberto Palomba</t>
  </si>
  <si>
    <t>Kaleen</t>
  </si>
  <si>
    <t>Liora Manne</t>
  </si>
  <si>
    <t>Malanta Knowles</t>
  </si>
  <si>
    <t>Mark D. Sikes</t>
  </si>
  <si>
    <t>Marc Sadler</t>
  </si>
  <si>
    <t>Mesut Bozkurt</t>
  </si>
  <si>
    <t>Meirxifeng Design</t>
  </si>
  <si>
    <t>Marcel Wanders</t>
  </si>
  <si>
    <t>Marla Rae</t>
  </si>
  <si>
    <t>Matteo Thun</t>
  </si>
  <si>
    <t>Matteo Thun &amp; Antonio Rodriguez</t>
  </si>
  <si>
    <t>Metrohouse Designs</t>
  </si>
  <si>
    <t>Marytumm</t>
  </si>
  <si>
    <t>National Outdoor Living</t>
  </si>
  <si>
    <t>Mary Jurek</t>
  </si>
  <si>
    <t>Melissa Hyatt LLC</t>
  </si>
  <si>
    <t>Naomi Neilson</t>
  </si>
  <si>
    <t>Myard</t>
  </si>
  <si>
    <t>The Met x Ann Gish</t>
  </si>
  <si>
    <t>Martha Stewart</t>
  </si>
  <si>
    <t>Modern Space</t>
  </si>
  <si>
    <t>Melea Markell</t>
  </si>
  <si>
    <t>MTI Baths</t>
  </si>
  <si>
    <t>Michael Updike</t>
  </si>
  <si>
    <t>Naoto Fukasawa</t>
  </si>
  <si>
    <t>Morettis</t>
  </si>
  <si>
    <t>National Tree Company</t>
  </si>
  <si>
    <t>Nick Sheridan</t>
  </si>
  <si>
    <t>Momeni</t>
  </si>
  <si>
    <t>Michele De Lucchi &amp; Giancarlo Fassina</t>
  </si>
  <si>
    <t>Mode Living Team</t>
  </si>
  <si>
    <t>Monika Lubkowsa-Jonas</t>
  </si>
  <si>
    <t>MH London</t>
  </si>
  <si>
    <t>New World Trading</t>
  </si>
  <si>
    <t>Ngala Trading</t>
  </si>
  <si>
    <t>NovaSolo</t>
  </si>
  <si>
    <t>York Wallcoverings</t>
  </si>
  <si>
    <t>Fran Bradburn</t>
  </si>
  <si>
    <t>Yasi</t>
  </si>
  <si>
    <t>Suzanne Kasler</t>
  </si>
  <si>
    <t>Norman Wyatt Jr.</t>
  </si>
  <si>
    <t>Nikki Chu</t>
  </si>
  <si>
    <t>Tammy Keller</t>
  </si>
  <si>
    <t>TapLong</t>
  </si>
  <si>
    <t>Glow Crystal Lighting</t>
  </si>
  <si>
    <t>Patrice Lowe</t>
  </si>
  <si>
    <t>Summer Snow</t>
  </si>
  <si>
    <t>Flatfish</t>
  </si>
  <si>
    <t>Olivia Rose</t>
  </si>
  <si>
    <t>TeakSmith</t>
  </si>
  <si>
    <t>Notting Hill Decorative Hardware</t>
  </si>
  <si>
    <t>Tovolo</t>
  </si>
  <si>
    <t>Feiss</t>
  </si>
  <si>
    <t>Oiva Toikka</t>
  </si>
  <si>
    <t>Swig Life</t>
  </si>
  <si>
    <t>The Enchanted Home</t>
  </si>
  <si>
    <t>Wedgwood</t>
  </si>
  <si>
    <t>Frank Huster</t>
  </si>
  <si>
    <t>Tim Klein</t>
  </si>
  <si>
    <t>Exotic India</t>
  </si>
  <si>
    <t>Quorum</t>
  </si>
  <si>
    <t>Vera Wang</t>
  </si>
  <si>
    <t>Tvilum</t>
  </si>
  <si>
    <t>Tufenkian Design Studio</t>
  </si>
  <si>
    <t>Francisco Polope</t>
  </si>
  <si>
    <t>Hiroshi Koshitaka</t>
  </si>
  <si>
    <t>Oussum</t>
  </si>
  <si>
    <t>Sylvia Corban</t>
  </si>
  <si>
    <t>Suzanne Renaud</t>
  </si>
  <si>
    <t>Nude design team</t>
  </si>
  <si>
    <t>Ottomanson</t>
  </si>
  <si>
    <t>Peter Townsend</t>
  </si>
  <si>
    <t>Pergamino</t>
  </si>
  <si>
    <t>Hansgrohe</t>
  </si>
  <si>
    <t>George Dyachenko</t>
  </si>
  <si>
    <t>Hilary Farr</t>
  </si>
  <si>
    <t>Thom Filicia</t>
  </si>
  <si>
    <t>VEVOR</t>
  </si>
  <si>
    <t>Hubbardton Forge</t>
  </si>
  <si>
    <t>Hendryx Haus</t>
  </si>
  <si>
    <t>Four Hands</t>
  </si>
  <si>
    <t>Urban Trends Collection</t>
  </si>
  <si>
    <t>Viso Project</t>
  </si>
  <si>
    <t>Harmonia Living</t>
  </si>
  <si>
    <t>Hekman</t>
  </si>
  <si>
    <t>Yinuo Pure Furniture Limited</t>
  </si>
  <si>
    <t>Gorham</t>
  </si>
  <si>
    <t>Varvara Sivas</t>
  </si>
  <si>
    <t>Franklin Corporation</t>
  </si>
  <si>
    <t>Graywolf Design Co</t>
  </si>
  <si>
    <t>The Creative Bunch Studio</t>
  </si>
  <si>
    <t>Rachel K</t>
  </si>
  <si>
    <t>United Artworks</t>
  </si>
  <si>
    <t>Vickerman</t>
  </si>
  <si>
    <t>Willow Collections</t>
  </si>
  <si>
    <t>Piero Lissoni</t>
  </si>
  <si>
    <t>Wexford Home</t>
  </si>
  <si>
    <t>Homebody Accents</t>
  </si>
  <si>
    <t>Pride Sasser</t>
  </si>
  <si>
    <t>Handy Living</t>
  </si>
  <si>
    <t>HKH International</t>
  </si>
  <si>
    <t>Ferruccio Laviani</t>
  </si>
  <si>
    <t>Twist Modern</t>
  </si>
  <si>
    <t>Fernando Martinez</t>
  </si>
  <si>
    <t>Phoenix Design</t>
  </si>
  <si>
    <t>Thomas O'Brien</t>
  </si>
  <si>
    <t>Home Dynamix</t>
  </si>
  <si>
    <t>Sweet Jojo Designs</t>
  </si>
  <si>
    <t>RBROHANT</t>
  </si>
  <si>
    <t>Ramon Esteve</t>
  </si>
  <si>
    <t>Yamazaki Home</t>
  </si>
  <si>
    <t>Tycolit</t>
  </si>
  <si>
    <t>Oxygen Lighting</t>
  </si>
  <si>
    <t>Phyllis Morris</t>
  </si>
  <si>
    <t>Get Bed Ready</t>
  </si>
  <si>
    <t>Heckman</t>
  </si>
  <si>
    <t>Robert Sonneman</t>
  </si>
  <si>
    <t>The Allstone Group</t>
  </si>
  <si>
    <t>Ellen DeGeneres</t>
  </si>
  <si>
    <t>Foersom &amp; Hiort-Lorenzen MDD</t>
  </si>
  <si>
    <t>Dexsa</t>
  </si>
  <si>
    <t>Vinform</t>
  </si>
  <si>
    <t>ELK Home</t>
  </si>
  <si>
    <t>Patricia Urquiola</t>
  </si>
  <si>
    <t>Ron Rezek</t>
  </si>
  <si>
    <t>Hudson Valley</t>
  </si>
  <si>
    <t>Rachel Lee</t>
  </si>
  <si>
    <t>Zaza Ergemlidze</t>
  </si>
  <si>
    <t>Robert Allen</t>
  </si>
  <si>
    <t>Raul Rubio</t>
  </si>
  <si>
    <t>Ron McIntyre</t>
  </si>
  <si>
    <t>Roma Moulding</t>
  </si>
  <si>
    <t>Ralph Lauren</t>
  </si>
  <si>
    <t>Reflectionsonus Art Studio</t>
  </si>
  <si>
    <t>Philippe Starck</t>
  </si>
  <si>
    <t>Howcool</t>
  </si>
  <si>
    <t>Tony Zaza</t>
  </si>
  <si>
    <t>Greentouch Home</t>
  </si>
  <si>
    <t>Riverside Furniture</t>
  </si>
  <si>
    <t>Umbra</t>
  </si>
  <si>
    <t>Falls Bridge Candles</t>
  </si>
  <si>
    <t>Michael Anastassiades</t>
  </si>
  <si>
    <t>E. Barber and J. Osgerby</t>
  </si>
  <si>
    <t>Sean Lavin</t>
  </si>
  <si>
    <t>Neri &amp; Hu</t>
  </si>
  <si>
    <t>Flemming Lassen</t>
  </si>
  <si>
    <t>Mogens Lassen</t>
  </si>
  <si>
    <t>Paloma Contreras</t>
  </si>
  <si>
    <t>Alicia Engman</t>
  </si>
  <si>
    <t>Meneghello Paolelli</t>
  </si>
  <si>
    <t>G. DeBrekht</t>
  </si>
  <si>
    <t>Zeki Muren</t>
  </si>
  <si>
    <t>Corey Damen Jenkins</t>
  </si>
  <si>
    <t>Garcia Cumini</t>
  </si>
  <si>
    <t>Charlotte Moss</t>
  </si>
  <si>
    <t>Angela Harris, The Studio</t>
  </si>
  <si>
    <t>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t>
  </si>
  <si>
    <t>Designer Definitions</t>
  </si>
  <si>
    <t>An influential Italian architect and industrial designer celebrated for innovative, functional, and playful designs that often repurposed everyday objects. His acclaimed career spanned decades, earning numerous prestigious design awards and placement in prominent international museum collections.</t>
  </si>
  <si>
    <t>Alfredo Llorens is a product designer. This value should only be used when the product is explicitly credited to this designer or design studio in official documentation.</t>
  </si>
  <si>
    <t>Indicates the product or collection was created by Becky Bailey, a designer or artist known for specific aesthetic or technical contributions. Use this value only when the product is explicitly credited to this individual or their design studio in official documentation.</t>
  </si>
  <si>
    <t>A German-founded company specializing in luxury fixtures recognized for modern, minimalist forms that emphasize functionality, material integrity, and comfort. Their aesthetic combines contemporary design with durable materials, making it a prominent choice for both residential and hospitality settings.</t>
  </si>
  <si>
    <t>A Belgian designer and head designer at Ethnicraft, renowned for minimalist and nature-inspired designs. His work is characterized by a deep emphasis on form and craftsmanship, often incorporating organic shapes and balanced aesthetics.</t>
  </si>
  <si>
    <t>A design team or studio recognized for creating specific product collections. This value should only be used when the product is distinctly credited to this entity in official documentation.</t>
  </si>
  <si>
    <t>Capital Lighting Fixture Co. is a design-focused manufacturing company founded in 1990. The company’s in-house design team is recognized for creating a wide range of products that blend transitional and contemporary aesthetics with high-quality standards.</t>
  </si>
  <si>
    <t>A home décor brand recognized for its vibrant and artistic designs featuring digitally printed patterns. Ambesonne focuses on creative and diverse aesthetics, utilizing a design collective approach rather than attribution to an individual designer.</t>
  </si>
  <si>
    <t>A collaborative design partnership between Alberto Tabellini and David Reiss, known for their work in high-quality pewter and metalware. Their designs often emphasize a blend of traditional craftsmanship with contemporary forms, resulting in elegant and functional pieces.</t>
  </si>
  <si>
    <t>A designer from Cordoba, Spain, recognized for blending traditional craftsmanship with contemporary aesthetics. His work is characterized by a serene, restrained, and timeless luxury, emphasizing meticulous attention to detail and the use of noble materials to create sophisticated, high-quality designs.</t>
  </si>
  <si>
    <t>Allison Paladino is an American interior designer recognized for her refined transitional style, blending modern and traditional elements. Her aesthetic emphasizes clean lines and timeless elegance, often characterized by a balanced approach developed through collaborations with various manufacturers.</t>
  </si>
  <si>
    <t>A global luxury lifestyle brand founded by Aerin Lauder, defined by a signature aesthetic of effortless style and modern femininity. Collections are created under the creative direction of Aerin Lauder and her design studio, emphasizing artisanal craftsmanship and refined detailing.</t>
  </si>
  <si>
    <t>Alexa Hampton is a prominent American interior designer and author known for advancing the legacy of her father’s firm, Mark Hampton, with elegant, classically inspired interiors for contemporary living. Her work merges classical principles with functional solutions for a broad range of products.</t>
  </si>
  <si>
    <t>Antonio Citterio is a renowned Italian architect and industrial designer celebrated for an elegant, functional, and timeless aesthetic. A multi-time recipient of the Compasso d'Oro award, he is recognized for his sophisticated, understated approach and extensive collaborations with prestigious global design brands.</t>
  </si>
  <si>
    <t>BergHOFF is an international brand and manufacturer specializing in housewares and kitchen products. Product design is primarily managed by an in-house team unless an individual designer is specifically credited. Use only when the brand is formally recognized as the designer of the product.</t>
  </si>
  <si>
    <t>Established in 1985 by Fée Halsted, Ardmore is a celebrated design collective and studio from South Africa. It is recognized for its unique, artist-driven aesthetic that blends Zulu storytelling with vibrant, hand-painted imagery and intricate sculptural details inspired by African wildlife.</t>
  </si>
  <si>
    <t>Arnold Krog (1856–1931) was a Danish architect, designer, and painter, best known for his tenure as artistic director of Royal Copenhagen. He revitalized decorative arts by blending Japanese-inspired and Impressionist styles, earning international acclaim for his innovative, nature-inspired work.</t>
  </si>
  <si>
    <t>Bruno Marashlian is an American designer and entrepreneur recognized for blending industrial and modern aesthetics. As the founder of Innovations Lighting, his work is characterized by a balance of creative design and functional engineering across diverse categories.</t>
  </si>
  <si>
    <t>An American artist and designer recognized for her custom abstract paintings, textiles, and wallcoverings. Her work is characterized by a fluid, layered aesthetic often translated into home décor and lifestyle products through collaborative partnerships and licensing.</t>
  </si>
  <si>
    <t>A premier designer, manufacturer, and distributor known for blending classic European traditions with a contemporary American sensibility. Led by Creative Director Peter C. Cilio, the brand employs a team of artisans to create original, often hand-crafted designs for residential and commercial spaces.</t>
  </si>
  <si>
    <t>Debra Ann is an American artist, kinetic sculptor, and founder of Atomic Mobiles. She is recognized for her mid-century modern-inspired kinetic art and home decor, characterized by vibrant colors, playful forms, and bespoke craftsmanship.</t>
  </si>
  <si>
    <t>ARTCANVAS is a design collective and art studio based in the United States. Designs are created by an in-house team known as the ARTCANVAS Design Group, which produces a broad array of contemporary artworks and home decor featuring various styles for interior environments.</t>
  </si>
  <si>
    <t>Karen Didion is an artist and designer recognized for creating seasonal collections and decorative figures. This value identifies products designed or created by her studio.</t>
  </si>
  <si>
    <t>A brand or company name. Designer attribution should only be applied if a specific individual or studio associated with the entity is explicitly credited in the product documentation; otherwise, this value should be treated as a brand identifier rather than a designer.</t>
  </si>
  <si>
    <t>Rosiland Solomon is an award-winning artist and illustrator known for her commercial paintings and design work in consumer products. She is recognized for her research-driven creative process influenced by themes of animals, nature, and the outdoors. Solomon has designed products and artwork for licensing.</t>
  </si>
  <si>
    <t>A recognized designer, design studio, or collective credited with the creation or styling of a product. This value should only be selected when official product documentation or verifiable records explicitly attribute the design to this entity.</t>
  </si>
  <si>
    <t>A brand and manufacturer specializing in designer architectural hardware and decorative fixtures. Collections are developed through a company-led or team-based approach, focusing on high-end functional design and premium materials for residential and commercial interiors.</t>
  </si>
  <si>
    <t>University Frames is an American company specializing in the design and manufacturing of custom framing solutions. Their team focuses on craftsmanship and the use of quality materials to create products that are both functional and decorative.</t>
  </si>
  <si>
    <t>Ashley Helms is an American designer and creative professional. This selection indicates that the product has been specifically created or credited to her or her design studio.</t>
  </si>
  <si>
    <t>The product or collection is associated with B2U, which typically functions as a brand or manufacturing entity rather than an individual designer. This value should only be selected if the product documentation specifically credits B2U as the primary designer.</t>
  </si>
  <si>
    <t>An art and design company that creates and manufactures original works, curated collections, and home decor items. This selection should be used when the company’s internal design team or studio is explicitly credited with the creative development and aesthetic direction of the product.</t>
  </si>
  <si>
    <t>An award-winning American designer and artist recognized for an innovative approach to home decor and accessories. Her work is characterized by nature-inspired motifs, artisanal techniques, and deliberate luxury, often integrating natural materials to create tactile, unique aesthetic designs.</t>
  </si>
  <si>
    <t>ArtVerse is a design and manufacturing studio specializing in custom and printed home decor, recognized for a variety of artistic prints and graphic-driven designs. This name refers to a company or collective credited with the creation or artistic direction of the product.</t>
  </si>
  <si>
    <t>A creative design studio and collective specializing in contemporary Middle Eastern and Persian-inspired art. Their work often features intricate patterns, traditional calligraphy, and vibrant color palettes, blending classical cultural themes with modern artistic expressions.</t>
  </si>
  <si>
    <t>A design entity or brand whose products are developed by an in-house creative team. Attribution to this studio indicates a focus on combining contemporary style with functional design, typically applied when the work is credited to the collective brand entity rather than a specific individual.</t>
  </si>
  <si>
    <t>A design house and supplier specializing in decorative materials for residential and contract markets. Its collections emphasize innovative patterns and durable constructions developed by an in-house team to provide sophisticated and high-performance aesthetic solutions.</t>
  </si>
  <si>
    <t>Barclay Butera is a renowned American interior and product designer recognized for his signature aesthetic that blends classic and contemporary styles. His work is characterized by approachable elegance, sophisticated layering of textures and patterns, and a polished yet livable design philosophy.</t>
  </si>
  <si>
    <t>Aqua Gallery is a manufacturer and distributor of home products characterized by its in-house design team. Products are generally credited to the company's internal studio rather than a specific individual designer.</t>
  </si>
  <si>
    <t>Barrow Fabric (Barrow Industries) is an American textile brand specializing in home furnishing materials. Known for decorative and performance textiles, their in-house design team produces a wide range of textures, colors, and patterns for residential and commercial interiors.</t>
  </si>
  <si>
    <t>A world-renowned interior and product designer known for a signature style of quiet elegance, refined simplicity, and timeless design. Her work is characterized by a masterful understanding of proportion and balance, drawing inspiration from the natural world to create harmonious, livable aesthetics.</t>
  </si>
  <si>
    <t>Refers to a brand, manufacturer, or entity rather than a distinguishable individual designer or design studio. This value should only be used if specific product documentation explicitly credits Aston as the designer or creative lead.</t>
  </si>
  <si>
    <t>An American architect and product designer known for his Blended Modern style, which fuses classical and contemporary influences. His work spans architecture, interior design, and various home and hospitality collections, emphasizing a harmonious balance of diverse aesthetic elements.</t>
  </si>
  <si>
    <t>Barbara and James Restin are individual designers and the founding creative force behind UltraLights Lighting. Their work focuses on architectural lighting fixtures and home decor, characterized by a collaborative design process between the founders and their in-house team.</t>
  </si>
  <si>
    <t>A brand and manufacturer specializing in home textiles and floor coverings. This value refers to the entity as the primary design authority or producer and does not typically credit an individual designer unless specifically indicated in product documentation.</t>
  </si>
  <si>
    <t>A direct-to-consumer home décor brand. In the context of designer attribution, this value refers to products developed and credited to the brand’s internal design or creative teams. Use when the design is explicitly attributed to the brand's in-house team rather than a specific individual.</t>
  </si>
  <si>
    <t>C.L.L Collections is a brand or label involved in the design of home decor and furnishings. Its collections often include decorative accents and curated accessories, though specific individual designer names are typically not individually credited.</t>
  </si>
  <si>
    <t>An acclaimed American interior designer, author, and entrepreneur celebrated for her refined yet livable spaces. Her work blends antique inspirations with new, enduring designs, resulting in collections that reflect her classic design sensibilities and a focus on detail.</t>
  </si>
  <si>
    <t>A design studio and boutique firm that curates and creates interior accents and furnishings. Known for blending classic and unexpected aesthetics, the studio focuses on artisan-crafted pieces, layered textures, and soulful, eclectic designs intended to elevate residential and commercial environments.</t>
  </si>
  <si>
    <t>Candice Olson is a Canadian interior designer and television personality recognized for her sophisticated, contemporary style. Her signature aesthetic blends traditional form and scale with modern simplicity, often characterized by subtle color palettes and rich textures.</t>
  </si>
  <si>
    <t>A home décor brand founded by Betsy Drake and R. B. Hamilton, featuring original designs often inspired by nature, coastal themes, and wildlife. Products showcase realistic renderings from the artists, with designs credited to the brand as a collaborative design entity.</t>
  </si>
  <si>
    <t>Bhawna's Fusion refers to designs by Bhawna Sharma, an artist and creative director known for hand-crafted goods inspired by nature and Indian heritage. Her work often involves collaboration with artisans to create unique pieces distinguished by a fusion of simplicity and luxury.</t>
  </si>
  <si>
    <t>Evergreen is an American design company known for a wide range of home and garden décor. Designer attribution refers to the company's in-house team or collaborative efforts when no individual designer is credited. For products with no known, named designer, select Does Not Apply.</t>
  </si>
  <si>
    <t>Booth &amp; Williams is a design resource and brand specializing in curated decorative collections for interior design projects. Products are created by an in-house design and curation team rather than an individual designer, representing a collective approach to product design and styling.</t>
  </si>
  <si>
    <t>A brand and design collective specializing in artisan-crafted goods that utilize traditional Moroccan weaving techniques. Characterized by authentic craftsmanship and tribal geometric motifs, the brand blends ancestral heritage with contemporary aesthetics using premium natural materials.</t>
  </si>
  <si>
    <t>An American brand specializing in home decor and functional items featuring artist-illustrated designs. The brand is recognized for its extensive range of artwork applied to various surfaces, often emphasizing colorful and decorative motifs.</t>
  </si>
  <si>
    <t>Javier Mariscal is a renowned Spanish multidisciplinary designer and artist, known for a playful, expressive style across graphic art, furniture, and product design. His work is characterized by vibrant colors, bold forms, and an imaginative approach that often reflects Mediterranean cultural influences.</t>
  </si>
  <si>
    <t>A brand and retail entity primarily recognized for manufacturing and distributing products. This value does not represent an individual designer or design studio and should only be used if the brand itself is explicitly credited with the product design in official documentation.</t>
  </si>
  <si>
    <t>A design partnership between E.F. Chapman and Kyle Myers that combines classically influenced styles with modern sensibilities. The collaboration is characterized by a blend of timeless architectural motifs and refined, contemporary aesthetics.</t>
  </si>
  <si>
    <t>A design collective or studio staffed by artists specializing in contemporary surface and product design. They are recognized for an artist-driven approach characterized by bold patterns, vibrant colors, and innovative use of materials to create style-focused home accents and decorative statements.</t>
  </si>
  <si>
    <t>Celerie Kemble is an American interior designer known for her distinctive, fresh approach to traditional decor. This selection identifies the product as being specifically designed or authored by Celerie Kemble.</t>
  </si>
  <si>
    <t>ChildBeWild is an art and design studio known for creating whimsical and playful works for home décor. It is characterized by an aesthetic that often incorporates child-centric themes and creative, handcrafted personalization. Use this tag only when the product or design is formally credited to the studio.</t>
  </si>
  <si>
    <t>A collaborative art studio and home decor brand that focuses on decorative wall art and prints. This designation is typically used for products associated with their creative collective or branding rather than an individual designer.</t>
  </si>
  <si>
    <t>A design house and brand specializing in artisan and custom-crafted items for residential and commercial interiors. Their work focuses on blending traditional craftsmanship with contemporary patterns through a collaborative in-house design team and skilled artisans.</t>
  </si>
  <si>
    <t>Dawn Sweitzer is an artist and designer recognized for creating lifestyle decor and home products that often incorporate mixed materials, unique finishes, and artistic motifs. Her work frequently stems from her background in fine art, including paintings and woven textiles.</t>
  </si>
  <si>
    <t>An American designer and artist recognized for bold, painterly patterns and vibrant designs. Her approach combines classic motifs with contemporary color and style, producing collections that evoke joy and personality in interior decor.</t>
  </si>
  <si>
    <t>An acclaimed British architect known for his minimalist aesthetic, modern architectural projects, and significant contributions to building restoration and urban planning. This designation indicates the product was created or inspired by his design studio.</t>
  </si>
  <si>
    <t>An American artist and illustrator recognized for his vibrant aesthetic and signature home decor collections. With a background in freelance illustration and portraiture, his work is characterized by bold expression, craftsmanship, and a focus on high-quality giclee reproductions.</t>
  </si>
  <si>
    <t>A multidisciplinary design studio and brand known for creating original, high-quality, and ethically produced floor and wall coverings. Based in Toronto, Canada, the company specializes in custom surface design, utilizing a wide range of materials and artisanal production techniques.</t>
  </si>
  <si>
    <t>A Spanish sculptor and designer recognized for his artistic collaborations with Lladró. His work blends sculptural artistry with functional design, specializing in porcelain and ceramic creations that encompass decorative figures, lighting, and high-end home accessories.</t>
  </si>
  <si>
    <t>A self-taught artist and designer based in Los Angeles, California, Danielle Davis is recognized for her abstract works inspired by diverse cultures and personal experiences. Her designs often utilize acrylic and watercolor mediums to explore themes of emotion and nature through layered textures.</t>
  </si>
  <si>
    <t>David Phoenix is an American interior and product designer known for residential and hospitality projects characterized by a luxurious and classic aesthetic. Use this value only if the product is explicitly and officially credited to David Phoenix.</t>
  </si>
  <si>
    <t>Christopher Fareed is a contemporary multimedia artist and designer recognized for a modern approach that emphasizes innovative textures, organic forms, and the intersection of traditional craftsmanship with bold aesthetics. His work is characterized by high standards of refinement for residential and hospitality environments.</t>
  </si>
  <si>
    <t>An American home décor brand specializing in printed textiles and a variety of household accessories. Use this value if official product documentation explicitly credits E by Design as the designer.</t>
  </si>
  <si>
    <t>No public information is available for an individual designer or design team under this name. This value likely refers to a brand or manufacturer rather than a credited designer. Only select if the product is explicitly attributed to a designer of this name.</t>
  </si>
  <si>
    <t>Coe Steinwart is a multi-disciplinary designer and artist known for blending functional design with aesthetic detail. With an background in painting and design, their work focuses on ergonomic improvements and user-friendly features across various consumer product categories.</t>
  </si>
  <si>
    <t>A global brand and manufacturer recognized for its engineering and design of premium home products. This selection indicates that the item was conceptualized and created by the brand's professional in-house design team.</t>
  </si>
  <si>
    <t>Daphne Polselli is an artist and commercial designer primarily recognized for her work in illustration, typography, and surface design. Her work often features graphic patterns and stylized motifs. Use this value only if the product is explicitly attributed to her authorship.</t>
  </si>
  <si>
    <t>Diane Beesley is an artist and designer known for contributing original art and design collections to the home decor market. Her work often features unique creative elements developed for various residential applications.</t>
  </si>
  <si>
    <t>Denny Knight is an artist and designer recognized for creating vibrant, expressive prints and decorative designs. His creative work often blends classic themes with a bold artistic vision, contributing to various home decor collections and accessories.</t>
  </si>
  <si>
    <t>Diane Keaton is an American actress, director, and author who has collaborated on various interior design projects and home product collections. Her work often reflects a signature eclectic style, blending classic and modern elements with a focus on sophisticated, curated aesthetics.</t>
  </si>
  <si>
    <t>Laura Park is an American artist and designer recognized for her bright, abstract patterns and vibrant color palettes. As the founder of Laura Park Designs, she transforms original artwork into a diverse range of textiles and home décor accessories characterized by a whimsical, sophisticated aesthetic.</t>
  </si>
  <si>
    <t>A home décor and gift brand specializing in themed, sculptural collectibles and decorative accents. Product designs are typically developed by an in-house creative team rather than a specifically credited individual designer. When no individual is named, designer attribution refers to the Ebros Gift in-house team.</t>
  </si>
  <si>
    <t>A global lighting design and manufacturing company established in 1969 in Austria. EGLO is recognized for contemporary, innovative decorative solutions for modern home interiors, developed by an internal team of designers.</t>
  </si>
  <si>
    <t>A globally recognized brand known for its architectural approach to contemporary living. The company collaborates with world-renowned independent designers and utilizes a specialized in-house team to develop products defined by technical precision, thoughtful functionality, and high-quality materials.</t>
  </si>
  <si>
    <t>Eleonora Ferragatta is an Italian-American artist and designer recognized for original fine art, textiles, and limited-edition decor. Her work often features hand-painted, nature-inspired motifs, emphasizing a blend of classical elegance and modern functional design.</t>
  </si>
  <si>
    <t>An American designer best known for luxury lighting and home accents, characterized by traditional and transitional styles. Chapman’s work typically features classic shapes with contemporary updates and refined finishing details, often developed through collaborations with high-end brands.</t>
  </si>
  <si>
    <t>A designer and founder recognized for creating luxury performance goods characterized by fashion-inspired textiles. The work emphasizes a blend of sophisticated style and functional durability, utilizing high-quality materials suitable for diverse interior and exterior environments.</t>
  </si>
  <si>
    <t>Levi Wilson is an American designer and the founder of Hammerton, an artisanal design company. His work emphasizes handcrafted techniques, high-quality materials, and organic forms inspired by the natural world, resulting in contemporary functional art for the home.</t>
  </si>
  <si>
    <t>A digital art collective and home decor brand recognized for bridging the gap between artists and consumers. The brand collaborates with a wide range of classic and contemporary artists to offer high-quality, curated designs across various artistic styles and subjects.</t>
  </si>
  <si>
    <t>A home appliance brand known for modern kitchen and bath products. Empava focuses on combining contemporary aesthetics with functionality, reliability, and affordability, offering a diverse range of appliances and fixtures designed for both compact and full-size residential spaces.</t>
  </si>
  <si>
    <t>Ernest Massuet is a Spanish sculptor recognized for his refined and elegant representations of animals, characterized by anatomical precision and technical mastery. Often working in porcelain and bronze, his designs reflect a classical influence and a handcrafted aesthetic.</t>
  </si>
  <si>
    <t>I do not have enough information to provide a biographical definition for James Restin. There is no publicly available information identifying an individual by this name as a recognized designer in the home goods or furniture industry. This value should only be selected if the product is explicitly credited to James Restin in the manufacturer's documentation.</t>
  </si>
  <si>
    <t>An individual designer and sculptor recognized for his contributions to product design and European ceramic production. His work is characterized by modern, streamlined aesthetics and collaborative craftsmanship in the creation of decorative and functional homeware.</t>
  </si>
  <si>
    <t>A brand and manufacturer specializing in accessible fixtures and wellness-oriented solutions designed for safety, comfort, and durability in residential and commercial environments. Products are developed by an internal design team focused on functional engineering and therapeutic features.</t>
  </si>
  <si>
    <t>An Egyptian-born, Canadian-American industrial designer renowned for his vibrant, futuristic, and democratic approach to furniture, home accessories, and interior design. Recognized for distinctive organic shapes, bold colors, and innovative use of materials for global brands.</t>
  </si>
  <si>
    <t>Jaime Hayon is an internationally acclaimed Spanish artist and designer known for a distinct creative universe that blurs the lines between art, decoration, and design. His work is characterized by optimistic aesthetics, bold colors, whimsical forms, and a deep commitment to craftsmanship.</t>
  </si>
  <si>
    <t>A design company known for offering a wide range of home and garden décor. Their in-house designers collaborate with artists to create decorative, message-driven designs across various categories, emphasizing individuality and creative self-expression through diverse collections.</t>
  </si>
  <si>
    <t>A renowned French architect and designer celebrated for innovative, essentialist forms that harmonize function and emotion. His work is characterized by fluid lines, organic shapes, and a thoughtful dialogue with nature, focusing on simplicity and modernity across various design disciplines.</t>
  </si>
  <si>
    <t>The J Paul Company is a promotional marketing and design firm based in Texas, USA. The company develops branded products and awards using an in-house design and production team. Individual designers are typically not credited.</t>
  </si>
  <si>
    <t>An American artist and studio owner who creates original fine art and mixed media works for residential and commercial interiors. Known for custom commissioned pieces and architectural-inspired designs, her work serves various sectors, including healthcare, hospitality, and corporate spaces.</t>
  </si>
  <si>
    <t>A renowned Spanish multidisciplinary designer and artist known for a playful, expressive style. His work is characterized by vibrant colors, bold forms, and an innovative approach that often reflects Mediterranean cultural influences. Mariscal has contributed iconic designs to the world of interiors and was a participant in the Memphis Group.</t>
  </si>
  <si>
    <t>A prominent British industrial and product designer recognized for his functional and pared-down approach. His work is characterized by simplicity and practical elegance, often collaborating with leading international brands to create understated objects intended for everyday use.</t>
  </si>
  <si>
    <t>There is currently no verifiable public information identifying James Brooksberry as a recognized professional designer or design studio. This value may refer to an in-house brand or exclusive entity without a documented individual designer profile.</t>
  </si>
  <si>
    <t>Jamie Graney is a designer specializing in surface and product design, including home decor. Their work often involves bold patterns and innovative use of materials, with products featured in collaborations and design events for contemporary interiors.</t>
  </si>
  <si>
    <t>J. Kent Martin is an American artist and product designer known for abstract works and product designs that bridge the worlds of fine art, architecture, and home furnishings. His work is defined by modern forms and a focus on material explorations.</t>
  </si>
  <si>
    <t>American designer and potter recognized for a distinctive aesthetic known as Modern American Glamour. His work is characterized by a bold, whimsical approach that merges mid-century modern influences with vibrant patterns, playful motifs, and a mix of irreverent luxury and polished craftsmanship.</t>
  </si>
  <si>
    <t>An interior designer and creative director with expertise in residential and commercial interiors, art consulting, and custom product design. Her work is known for integrating architectural and artistic elements to create purposeful and holistic spaces.</t>
  </si>
  <si>
    <t>Jose Javier Malavia is a Spanish sculptor and designer known for his refined technique and exploration of human emotion. Notable for his detailed work in porcelain and figurative art, his style often bridges traditional craftsmanship with contemporary aesthetics, characterized by sculptural elegance and artistry.</t>
  </si>
  <si>
    <t>A brand or entity whose products are designed by an internal team of designers and artisans rather than a specifically named individual. This attribution identifies the company's collective design studio as the source of the product's aesthetic and functional development.</t>
  </si>
  <si>
    <t>Refers to a design studio, architectural firm, or collaborative label rather than an individual designer. This entity is associated with the creative direction and execution of projects across various industries and design disciplines.</t>
  </si>
  <si>
    <t>Jordan Glassco Smith is a professional designer recognized for contributing unique creative concepts and aesthetic direction to product collections. This value attributes the design of the product to Jordan Glassco Smith.</t>
  </si>
  <si>
    <t>Europatex is a design company recognized for creative textiles and home trimmings. This value refers to products designed by its in-house collaborative studio rather than a specific individual. Use this selection only if the product is explicitly credited to the Europatex design team.</t>
  </si>
  <si>
    <t>An Argentine-born, Spanish-based designer internationally recognized for minimalist, functional designs. Pensi’s work is noted for its refined lines, elegant forms, and innovative use of materials, blending timeless aesthetics with modern industrial design principles.</t>
  </si>
  <si>
    <t>Jose Luis Santes is a Spanish sculptor and designer recognized for his detailed porcelain and ceramic creations, notably in collaboration with Lladró. His work emphasizes artistic craftsmanship and sculptural sensibility, often blending decorative artistry with functional design elements.</t>
  </si>
  <si>
    <t>Indicates the product design is explicitly attributed to designers John Strauss and Carisa Marie, or their collaborative design team. This value identifies items where these specific individuals or their studio are recognized as the primary creative contributors.</t>
  </si>
  <si>
    <t>Jose Maria Reina is a Spanish designer recognized for creating functional and visually striking items characterized by innovative forms. This value should only be used when the product is specifically attributed to the designer in official documentation.</t>
  </si>
  <si>
    <t>An influential Italian architect and designer (1917–2007) and founder of the Memphis Group. He is celebrated for his visionary contributions to postmodern design, characterized by vibrant colors, unconventional geometric forms, and a playful, experimental aesthetic.</t>
  </si>
  <si>
    <t>Enrico Cosi and Sergio Tabellini are the Italian designers and founders of Cosi Tabellini, a family-owned workshop established in 1954 in Brescia, Italy. They are known for their expertise in pewtersmithing, creating designs that blend traditional casting techniques with contemporary aesthetics.</t>
  </si>
  <si>
    <t>A Catalan industrial designer known for an innovative, futuristic approach that merges technology and art to create fluid, contemporary designs. His work is characterized by a unique synthesis of form and function, often resulting in iconic pieces recognized for their modern aesthetic.</t>
  </si>
  <si>
    <t>A renowned Spanish sculptor and designer known for his sophisticated and highly detailed artistic creations. His work often emphasizes intricate forms and delicate expressions, characterized by a blend of classical modeling and contemporary aesthetic elements.</t>
  </si>
  <si>
    <t>Jessica Hollander is an American botanical artist and founder of the lifestyle brand India &amp; Purry. Known for her detailed oil and watercolor paintings of flora, her work merges fine art with home decor by translating original botanical renderings into various functional designs.</t>
  </si>
  <si>
    <t>A lifestyle brand specializing in home goods, drinkware, and accessories. Products under this name are developed by an in-house design team rather than a single individual. Designer attribution refers to the internal creative group responsible for the product's aesthetic and functional design.</t>
  </si>
  <si>
    <t>American interior designers recognized for their timeless, classically inspired aesthetic. Designing together under the "Mr. &amp; Mrs. Howard" name, their work is characterized by refined traditional styles, architectural detailing, and a focus on balance, comfort, and livability.</t>
  </si>
  <si>
    <t>A designer renowned for luxury home décor inspired by vibrant colors, nature, and global travels. Known for handcrafted pieces that blend signature enamel and mother-of-pearl finishes, creating a distinctive, artistic aesthetic across various lifestyle and home collections.</t>
  </si>
  <si>
    <t>An acclaimed American designer recognized for an expressive, sculptural style that blends contemporary and vintage influences. Her work is characterized by a fearless use of form and texture, sophisticated color palettes, and a juxtaposition of architectural and organic elements.</t>
  </si>
  <si>
    <t>An American artist and designer recognized for her vibrant, abstract patterns and sophisticated use of color. Founder of Laura Park Designs, she specializes in transforming original, painterly artwork into digital patterns for textiles and home decor, characterized by a playful and modern aesthetic.</t>
  </si>
  <si>
    <t>Kurt Merki Jr. is a Swiss-Ghanaian designer known for a diverse range of work spanning furniture, industrial design, and architecture. His approach often blends cultural influences and emphasizes precision and functionality. This value indicates that the product was created by or in collaboration with his design studio.</t>
  </si>
  <si>
    <t>Karin Reiter is a designer and the founder of Tourmaline Home, recognized for her work with textiles and home decor. Her designs often blend vintage-inspired aesthetics with modern materials to create distinctive, high-end collections.</t>
  </si>
  <si>
    <t>An Armenian-American artist and founder of Karo Studios, recognized for creating contemporary 3D glass and metal sculptures. His work often integrates architectural principles, precision engineering, and abstract geometric forms to explore themes of balance, light, and nature.</t>
  </si>
  <si>
    <t>A home product company recognized for its in-house design team's approach to modern, functional products. Designs are characterized by sleek, contemporary aesthetics and practical construction, blending innovation with timeless appeal to enhance interior spaces.</t>
  </si>
  <si>
    <t>MTI Baths is an American company established in 1988, focused on the design and manufacture of luxury products. Its designs are primarily attributed to an in-house team rather than a single individual. Use this tag only if product documentation explicitly credits the company as the designer.</t>
  </si>
  <si>
    <t>Lily refers to a brand or design studio rather than a recognized individual designer. Product attribution is typically credited to an in-house design team or the entity itself rather than a single individual.</t>
  </si>
  <si>
    <t>Levi Wilson is an American designer and the founder of Hammerton, a company recognized for artisanal craftsmanship and decorative home accents. Wilson’s work emphasizes handcrafted design, high-quality materials, and inspiration from natural forms to create functional art for contemporary interiors.</t>
  </si>
  <si>
    <t>LeadGoods is a company specializing in customizable apparel, home decor, and gifts. Their creative team develops embroidered and printed designs for a variety of consumer products, often focusing on seasonal, family, and occasion-based motifs and personalized elements.</t>
  </si>
  <si>
    <t>Julie Neill is an American designer and artist based in New Orleans, renowned for her bespoke, sculptural creations. Drawing on fine art and interior design backgrounds, she creates collections characterized by organic forms, classical inspiration, and a dedication to handmade detail.</t>
  </si>
  <si>
    <t>A designer recognized for creating sculptural works characterized by classical influences and handcrafted techniques. Often associated with artistic porcelain and ceramic designs, his work emphasizes aesthetic detail and traditional craftsmanship.</t>
  </si>
  <si>
    <t>Lillian August is an American interior designer and textile artist known for blending classic, traditional, and modern aesthetics. Her signature style features an expressive use of color and pattern, often inspired by English country and American luxury lifestyles.</t>
  </si>
  <si>
    <t>Kent Wilcoxson Jordan is an artist and designer recognized for digital art and framed works. Indicates that the product is formally credited to this individual. Do not apply this value unless product documentation explicitly identifies Kent Wilcoxson Jordan as the designer.</t>
  </si>
  <si>
    <t>Refers to the collective in-house design team at Mode Living. Designs are developed collaboratively by the brand's internal creative team rather than being attributed to a specific individual designer.</t>
  </si>
  <si>
    <t>Karim Rashid is an Egyptian-born, Canadian-American industrial designer renowned for a vibrant, futuristic, and democratic approach to design. His work is characterized by distinctive organic shapes, bold colors, and an innovative use of materials to create functional and expressive objects.</t>
  </si>
  <si>
    <t>Kevin O’Brien is an American designer and artist recognized for his work in high-end textiles and home decor. Known for founded Kevin O’Brien Studio, his work is characterized by original hand-painted and hand-dyed techniques, vibrant colors, and unique surface treatments.</t>
  </si>
  <si>
    <t>Lynn McKernan is a designer and the owner of Rightside Design Studio, specializing in coastal-themed home décor and textiles. She is recognized for incorporating nature-inspired motifs and artistic creativity into her designs.</t>
  </si>
  <si>
    <t>A curation-focused brand and design studio that collaborates with a range of contemporary artists and designers to create varied collections. This value identifies products developed by the brand's in-house design team or through its curated artistic partnerships.</t>
  </si>
  <si>
    <t>A designer or creative studio involved in professional product design and creative direction. The work typically blends functional and aesthetic elements for residential environments, often featured in curated collections focused on original design concepts and stylish accents.</t>
  </si>
  <si>
    <t>A luxury brand characterized by artisanal craftsmanship and European-inspired elegance. Designs utilize premium materials and sculptural, handcrafted aesthetics to create high-end, sophisticated elements for residential and commercial environments.</t>
  </si>
  <si>
    <t>Refers to the specific designer, design studio, or brand responsible for the aesthetic and structural conception of the product. This value should be selected only when product documentation or secondary research explicitly credits M. FEDER as the designer.</t>
  </si>
  <si>
    <t>There is insufficient public information to reliably identify 'Yasi' as an individual designer or design studio. This value is generally not applicable for designer attribution unless the product documentation explicitly credits an individual by this name. For most products, this tag should be treated as unavailable.</t>
  </si>
  <si>
    <t>Loretta Hui-shan Yang is an acclaimed Taiwanese artist and co-founder of Liuli Crystal Art, recognized as a pioneer in contemporary glass art. She is renowned for reviving the ancient pate-de-verre (lost-wax) casting technique, creating intricate works that blend traditional Asian philosophy with modern artistic expression.</t>
  </si>
  <si>
    <t>Lyn Hamer Cook is an artist and designer known for her animal-themed artwork and pet portraiture. Her work focuses on capturing the personality and movement of animals, often utilizing acrylic, oil, and pastel mediums, and is featured on a variety of home décor products.</t>
  </si>
  <si>
    <t>A design-focused brand characterized by an in-house creative team and high-profile artist collaborations. The studio emphasizes original patterns and textures, developing collections through a blend of internal expertise and partnerships with recognized interior designers.</t>
  </si>
  <si>
    <t>An international brand specializing in home textile products, known for utilizing premium materials and meticulous craftsmanship to create decorative and functional items rooted in quality and timeless aesthetics. Use this value only if the product is explicitly attributed to this brand as the designer.</t>
  </si>
  <si>
    <t>Renowned German industrial designer recognized for a minimalist, functionalist approach. Characterized by a reduced design language that utilizes geometric forms, unexpected angles, and technical sophistication, his work emphasizes efficiency and the innovative application of materials.</t>
  </si>
  <si>
    <t>Ludovica and Roberto Palomba are an award-winning Italian designer duo and founders of Palomba Serafini Associati. Internationally celebrated for their holistic approach, their work is recognized for its timeless balance of innovation and tradition across various industrial and product designs.</t>
  </si>
  <si>
    <t>Refers to a design or collection attributed to the internal design team and artisans of Kaleen. This designation indicates a collaborative studio approach to design rather than the work of a single named individual.</t>
  </si>
  <si>
    <t>A textile and home designer known for integrating innovative technologies with a bold, contemporary aesthetic. Her work is characterized by the use of vibrant colors and intricate patterns inspired by her background in textile design and traditional craftsmanship.</t>
  </si>
  <si>
    <t>Malanta Knowles is a designer with nearly 40 years of experience in the home decor industry, focusing on traditional Southern style with contemporary influences. Her work involves developing product concepts, managing design strategy, and integrating artistic trends into commercial collections.</t>
  </si>
  <si>
    <t>Mark D. Sikes is an esteemed American interior and product designer recognized for his fresh take on classic styles. Known for all-American sensibilities and timeless, classically inspired aesthetics, his work often features blue-and-white palettes and approachable elegance.</t>
  </si>
  <si>
    <t>An Austrian-born French designer renowned for his pioneering experimentation with materials and the integration of diverse technologies. A multi-time recipient of the Compasso d'Oro award, his work is characterized by a multifaceted approach that combines technical innovation with a contemporary aesthetic.</t>
  </si>
  <si>
    <t>Mesut Bozkurt is a professional designer primarily recognized for his work in user interface (UI), user experience (UX), and game design. This value should only be selected if the individual is explicitly credited as the product's designer in official documentation.</t>
  </si>
  <si>
    <t>Meirxifeng Design is a design studio and manufacturer based in Southern California, specializing in both contemporary and traditional styles. Product designs are developed by an in-house team with expertise in material selection and modern manufacturing techniques. Attribution is typically given to the Meirxifeng Design group rather than a single individual.</t>
  </si>
  <si>
    <t>Marcel Wanders is a renowned Dutch designer and art director celebrated for innovative designs that merge whimsical, historical references with modern materials. He is the founder of Marcel Wanders studio and co-founder of the design label Moooi, known for his unique, expressive aesthetic.</t>
  </si>
  <si>
    <t>Oiva Toikka (1931–2019) was a celebrated Finnish designer renowned for his imaginative approach to glass, ceramics, and textiles. He is best known for creating iconic collections characterized by vibrant patterns, playful shapes, and nature-inspired motifs.</t>
  </si>
  <si>
    <t>Italian architect and designer recognized for innovative architecture and product design. A founding member of the Memphis Group, Thun’s work focuses on timeless simplicity, sustainability, and aesthetic durability, earning numerous international accolades including the Compasso d'Oro.</t>
  </si>
  <si>
    <t>The Enchanted Home is a home decor brand and studio specializing in classic and elegant accessories, including blue and white porcelain, lighting, and seasonal accents. Their collections are recognized for timeless patterns, high-quality craftsmanship, and a refined residential aesthetic.</t>
  </si>
  <si>
    <t>A historic British design house and manufacturer established in 1759, recognized for its heritage in fine ceramics and decorative arts. In product design, this refers to items created by the brand's internal creative team or through official collaborations, emphasizing traditional craftsmanship and high-end aesthetic standards.</t>
  </si>
  <si>
    <t>Marytumm is an artist and designer specializing in contemporary art, abstract painting, and custom artwork for home decor. Additional designer information is not currently available.</t>
  </si>
  <si>
    <t>Indicates that the product was developed by the National Outdoor Living in-house design team or studio. This attribution is used when the brand's internal design department is responsible for the product's conceptual and functional development rather than a specific individual designer.</t>
  </si>
  <si>
    <t>An award-winning American designer recognized for a signature style that blends modern simplicity with artisanal craftsmanship. Her work is characterized by organic, sculptural forms and the use of high-quality, hand-hammered materials to create enduringly beautiful and functional home goods.</t>
  </si>
  <si>
    <t>Melissa Hyatt is an accomplished watercolor artist, surface pattern designer, and illustrator known for her coastal-inspired aesthetic. Her work often features original watercolor art and licensed designs for home decor and lifestyle brands, reflecting her background as a textile design director.</t>
  </si>
  <si>
    <t>Naomi Neilson is a designer and entrepreneur best known as the founder of Native Trails, a company established in 1996 that creates sustainable home furnishings and decor. Her work emphasizes artisan traditions, sustainability, and fair trade practices.</t>
  </si>
  <si>
    <t>A brand or design-focused entity recognized for developing products with an emphasis on functional and decorative solutions. This value should only be used when the brand is explicitly credited with the design of the product; otherwise, use Does Not Apply.</t>
  </si>
  <si>
    <t>A design collaboration between luxury brand Ann Gish and The Metropolitan Museum of Art (The Met), featuring products inspired by the museum's vast global archives. The collection translates historic motifs, patterns, and artworks into contemporary designs for the home.</t>
  </si>
  <si>
    <t>A renowned American entrepreneur and lifestyle expert recognized for her expertise in home décor and functional design. Her collections often feature aesthetic and practical elements developed under her creative direction or in collaboration with her in-house design teams.</t>
  </si>
  <si>
    <t>A design studio or brand label characterized by a collaborative in-house design team rather than a single named individual. Their work typically features streamlined, contemporary aesthetics tailored for modern living environments. Selection should be verified through product documentation.</t>
  </si>
  <si>
    <t>Melea Markell is an American interior and product designer recognized for her Parisian-inspired designs. She is known for bringing a modern, feminine interpretation to classical forms and antiques, creating pieces that blend traditional elegance with contemporary sophistication.</t>
  </si>
  <si>
    <t>An American design and manufacturing brand established in 1988, distinguished by a focus on handcrafted quality, technical innovation, and extensive customization. The brand’s aesthetic is developed by an in-house design and engineering team recognized for award-winning excellence and high-end functional design.</t>
  </si>
  <si>
    <t>Michael Updike is an American sculptor and designer recognized for creating decorative and functional home accessories. His work often emphasizes handcrafted details and original sculpted prototypes, blending artistic value with practical application in home decor.</t>
  </si>
  <si>
    <t>An internationally acclaimed Japanese industrial designer known for minimalist, user-centric designs. His work emphasizes intuitive function, simplicity, and seamless integration into the environment, often focusing on the observation of unconscious human behavior.</t>
  </si>
  <si>
    <t>Refers to several brands and manufacturing firms often associated with Italian-inspired craftsmanship. This value signifies products developed by a family-run company or in-house production team rather than an individual designer or independent design studio.</t>
  </si>
  <si>
    <t>A leading importer and wholesaler of seasonal and holiday decorative products. Founded in 1990, the company is recognized for its innovation and broad range of home decor items, often featuring in-house design teams or specific brand-led concepts.</t>
  </si>
  <si>
    <t>An American industrial designer and co-founder of Cerno, recognized for a modern and contemporary design aesthetic that emphasizes clean lines and minimalist forms. He is known for integrating natural materials with high-performance engineering to create functional, aesthetically driven designs.</t>
  </si>
  <si>
    <t>A leading manufacturer recognized for innovative technology, high-quality materials, and contemporary design. Products are engineered for high performance and durability in both residential and commercial applications, utilized globally to provide functional and aesthetic solutions for modern interior spaces.</t>
  </si>
  <si>
    <t>Renowned Italian designers recognized for their influential collaborations in architecture and industrial design. Their joint work is celebrated for merging functional engineering with timeless modern aesthetics, most notably exemplified by the iconic and award-winning Tolomeo series.</t>
  </si>
  <si>
    <t>The Mode Living Team refers to the collective in-house designers for the brand. This designation is used when design work is developed collaboratively by the company's internal creative staff rather than being attributed to a specific individual designer.</t>
  </si>
  <si>
    <t>Monika Lubkowska-Jonas is a designer and creative director known for her leadership at LSA International, where she blends contemporary design with traditional craft techniques. Her work emphasizes simplicity, quality, and originality in home decor.</t>
  </si>
  <si>
    <t>A brand known for stylish home goods and furnishings. Products under this label are typically the result of proprietary in-house design rather than a named individual or specific design studio. This value should only be used if the brand is explicitly credited with the product's design.</t>
  </si>
  <si>
    <t>A brand or design group that focuses on blending traditional craftsmanship with contemporary design principles. This selection indicates that the product’s aesthetic or construction was developed by the New World Trading creative team, often emphasizing the use of natural materials and artisanal techniques.</t>
  </si>
  <si>
    <t>A design house that collaborates with artisans across the African continent to create contemporary pieces. It is characterized by the combination of sustainable, indigenous materials and traditional craftsmanship with modern aesthetics.</t>
  </si>
  <si>
    <t>A Danish design company established in 1996 that specializes in products blending Scandinavian design sensibilities with classic French-country and rustic elements. All designs are developed in-house, characterized by clean lines, functional elegance, and a focus on timeless comfort.</t>
  </si>
  <si>
    <t>An American company and long-standing manufacturer known for producing a vast array of residential and commercial surface designs. Their prolific in-house design studio develops a broad portfolio of patterns and artistic prints ranging from traditional to contemporary styles.</t>
  </si>
  <si>
    <t>Indicates that the product or collection was created by or in collaboration with the designer Fran Bradburn. Use this value only when official product documentation or marketing materials explicitly credit the design to this individual.</t>
  </si>
  <si>
    <t>Refers to products created by the designer or design studio known as Yasi. This value should only be selected when the product is explicitly credited to this designer in official documentation. If no such attribution exists, select Does Not Apply.</t>
  </si>
  <si>
    <t>An influential American interior designer renowned for her luminous, timeless aesthetic that blends European classics with modern sensibilities. Her signature style is characterized by elegant, refined spaces and sophisticated product collections noted for their approachable luxury.</t>
  </si>
  <si>
    <t>An artist and designer recognized for his work in home decor, fine art, and lifestyle accessories. Selection indicates the product is designed or influenced by his distinct artistic style and creative vision.</t>
  </si>
  <si>
    <t>A celebrity interior and product designer recognized for a bold, global-modern aesthetic that fuses fashion-forward concepts with cultural references. Her work is characterized by eclectic patterns, modern lines, and a sophisticated, multi-layered approach to creating elevated, livable style.</t>
  </si>
  <si>
    <t>Tammy Keller is an American contemporary artist and interior designer known for her abstract art and vibrant color palettes. Her work often blends creative expression with personal style, drawing inspiration from nature and contemporary aesthetics to create distinctive home interior designs.</t>
  </si>
  <si>
    <t>A brand known for design and manufacture through an in-house team of designers and engineers, with no individual designer or design team specifically credited.</t>
  </si>
  <si>
    <t>Glow Crystal Lighting is a decor brand known for incorporating crystal and quartz into its designs. Products are developed by an in-house design team with no individual designer or studio specifically credited for design authorship.</t>
  </si>
  <si>
    <t>An American interior designer and home decor stylist known for a curated approach to modern design. This creative influence blends cozy textures with meaningful accents to create distinctive and inviting spaces.</t>
  </si>
  <si>
    <t>Refers to an individual or studio functioning as a designer or creative entity. This designation is applied when the product is explicitly credited to this name in official documentation or through recognized brand collaborations.</t>
  </si>
  <si>
    <t>An architecture and home design firm recognized for coastal residential projects. This attribution should only be applied when product documentation explicitly credits the firm as the designer; it does not refer to a motif or biological classification.</t>
  </si>
  <si>
    <t>A New York-based botanical artist and designer known for creating sculptural items and decor that merge contemporary art with horticultural design. Her work often features organic forms, urban ecological themes, and a systems-based approach to materials.</t>
  </si>
  <si>
    <t>Teak Smith is a brand and design collective recognized for its commitment to craftsmanship and refined aesthetics. Founded by a group of artisans and designers, the brand focuses on creating products with clean lines and minimalist silhouettes, utilizing sustainably sourced materials and traditional artisanal values.</t>
  </si>
  <si>
    <t>An American hardware manufacturer recognized for detailed, artisan designs handcrafted by an in-house team. The brand serves as a designer-led studio specializing in products with intricate relief and artistic motifs.</t>
  </si>
  <si>
    <t>A kitchenware and home products brand characterized by an internal design team that emphasizes practicality, modern functionality, and innovation. Use this value when a product is explicitly credited as an original design by the brand’s in-house group or a named designer.</t>
  </si>
  <si>
    <t>Feiss is a company and design house established by Murray Feiss in 1955, recognized for developing a broad range of products that blend traditional and modern styles. This value refers to the manufacturer's in-house design team rather than a specific individual designer.</t>
  </si>
  <si>
    <t>A celebrated Finnish designer and artist (1931–2019) renowned for an imaginative, vibrant, and nature-inspired aesthetic. His work is characterized by bold patterns and playful forms that represent a departure from classic Nordic functionalism through the experimental use of color and texture.</t>
  </si>
  <si>
    <t>The creative process behind the product is led by an internal design team, ensuring each item features the brand’s signature blend of color, pattern, and functionality. This value applies when the product development is credited to the brand's in-house studio rather than an individual designer.</t>
  </si>
  <si>
    <t>A home decor brand and design studio specializing in classic, elegant aesthetics and traditional patterns. Recognized for high-quality craftsmanship and a refined style, the brand develops sophisticated collections intended for upscale residential interiors.</t>
  </si>
  <si>
    <t>A historic British design house founded in 1759, recognized for its heritage in craftsmanship and decorative arts. This attribution signifies a product developed by the brand’s in-house creative team or through documented collaborations with recognized designers.</t>
  </si>
  <si>
    <t>A German designer and artist recognized for work in contemporary glass and ceramics, focusing on minimalist forms and innovative techniques. Attributed designs typically feature clean, functional lines, often produced through collaborations with specialized studios.</t>
  </si>
  <si>
    <t>I do not have enough information to provide a specific professional biography for Tim Klein as a designer. There is no publicly available information or industry documentation identifying a recognized designer or design studio by this name. This value should only be used if product documentation explicitly credits Tim Klein as the designer.</t>
  </si>
  <si>
    <t>Exotic India is a retailer and brand specializing in traditional Indian art, home decor, and handicrafts. Products are typically crafted by regional artisans rather than a single individual designer or design studio. This value should only be used when Exotic India is specifically credited as the designer.</t>
  </si>
  <si>
    <t>Quorum is a brand and manufacturer recognized for its in-house industrial design team, known for producing products characterized by craftsmanship and innovative design within the home industry. This designation is used when the product design is attributed to the brand's internal studio.</t>
  </si>
  <si>
    <t>An American fashion designer internationally renowned for a modern and sophisticated aesthetic. Her work is characterized by a balance of contemporary flair and timeless elegance, extending from couture bridal fashion into a comprehensive lifestyle brand including refined homeware collections.</t>
  </si>
  <si>
    <t>A brand and design team recognized for manufacturing and product development. This selection identifies the product as an original design attributed to the brand's internal design studio or collective engineering team.</t>
  </si>
  <si>
    <t>The in-house creative team for the luxury brand founded by James Tufenkian, focused on high-end, handcrafted artisanal designs. The studio emphasizes a collaborative design philosophy, often crediting the collective team rather than a single individual for their original and timeless works.</t>
  </si>
  <si>
    <t>Francisco Polope is a Spanish sculptor and designer, recognized as a master sculptor at Lladró, renowned for high-porcelain figurative art. His expertise includes design and sculpting, characterized by detailed, expressive forms and technical mastery with porcelain and ceramics.</t>
  </si>
  <si>
    <t>Hiroshi Koshitaka is a self-taught designer known for creating collections influenced by Japanese architecture, nature, and traditional artisanal techniques. His work often emphasizes a blend of artistic detail and functional drama, reflecting a background in architectural installations.</t>
  </si>
  <si>
    <t>Oussum is a brand or design group rather than an individual designer or studio. Specific designer information for this entity is currently unavailable. Use this value only if the product is explicitly credited to Oussum; otherwise, select Does Not Apply.</t>
  </si>
  <si>
    <t>Sylvia Corban is an American artist and designer known for realistic watercolor artworks inspired by the wildlife and coastal scenery of the Gulf Coast. Her designs are featured across a variety of home goods, often depicting regional culture, nature, and coastal themes.</t>
  </si>
  <si>
    <t>Suzanne Renaud (1951–2011) was an American artist and designer recognized for her creative contributions to decorative and functional home products. Best known for whimsical animal portraiture, her work emphasizes originality and detail, often reflecting distinctive and playful artwork.</t>
  </si>
  <si>
    <t>The Nude design team is an in-house creative collective responsible for the design and development of products for the Nude brand. Design work is attributed to the collaborative team rather than an individual, reflecting a shared creative vision and a contemporary, minimalist aesthetic.</t>
  </si>
  <si>
    <t>A home furnishings brand where product development and design are typically credited to an in-house design team or studio. This value is used when the concept and creation of the product are attributed to the brand's internal design department rather than a specific individual designer.</t>
  </si>
  <si>
    <t>A name associated with several creative professionals, including architects and editors, though it lacks a singular, widely recognized commercial product design profile. This designation should be applied only when product documentation or manufacturing records explicitly credit the design to an individual or studio of this name.</t>
  </si>
  <si>
    <t>A creative team of designers and artisans specializing in high-quality home accessories. The brand blends global influences and innovative design approaches to create vibrant and distinctive home décor.</t>
  </si>
  <si>
    <t>A German company specializing in bathroom and kitchen fixtures known for innovative technology, high-quality materials, and contemporary design. Their products are utilized in residential and commercial interiors worldwide, focusing on functional and water-efficient solutions.</t>
  </si>
  <si>
    <t>George Dyachenko is a contemporary artist and illustrator known for watercolor and mixed-media artworks, often centered on animal and nature themes. His work is distinguished by its realistic and expressive depictions.</t>
  </si>
  <si>
    <t>Hilary Farr is a British-Canadian designer, businesswoman, and television host recognized for her work on HGTV's Love It or List It. As president of Hilary Farr's Designs, she is known for creating practical yet sophisticated residential interiors and home furnishing collections.</t>
  </si>
  <si>
    <t>Indicates the product is specifically designed or credited to Thom Filicia, a renowned interior designer and lifestyle expert known for his classic simplicity and modern flair. This value should only be selected when product documentation explicitly attributes the design to Thom Filicia or his firm.</t>
  </si>
  <si>
    <t>A global equipment and home goods brand recognized for providing a wide range of tools and industrial products. Selection indicates the product is manufactured or branded by VEVOR, rather than being the work of a specific individual designer or independent design studio.</t>
  </si>
  <si>
    <t>A collaborative in-house design team based in Vermont, recognized for blending traditional blacksmithing techniques with modern innovation. The studio is composed of designers from diverse backgrounds in architecture, sculpture, and jewelry, focused on handcrafted, artisanal aesthetics.</t>
  </si>
  <si>
    <t>A design team or studio recognized for its contributions to home decor and furnishings. Precise biographical or historical details regarding the entity's authorship in specific product categories may be limited.</t>
  </si>
  <si>
    <t>A global design brand and manufacturer known for modern and vintage-inspired pieces that emphasize craftsmanship, innovative materials, and refined style. Products are developed and curated in-house by the brand's design team rather than attributed to a single named individual designer.</t>
  </si>
  <si>
    <t>A home decor company specializing in decorative accessories and accent pieces for residential and commercial interiors. Products are typically developed by an in-house design team or attributed to the brand's design staff, rather than a single individual designer.</t>
  </si>
  <si>
    <t>A multidisciplinary design studio and lifestyle brand based in Madrid and New York that specializes in collectible homeware. The brand is recognized for its commitment to global craftsmanship and the creation of refined, form-based pieces rooted in artisanal skill and timeless design.</t>
  </si>
  <si>
    <t>An American design house and brand recognized for its heritage in luxury patterns and sophisticated aesthetics. Characterized by high-quality material standards, the brand applies its signature style across various interior categories through a company-led design approach.</t>
  </si>
  <si>
    <t>An American manufacturer established in 1922, recognized for its traditional and modern pieces. This value refers to company-led or collective design by an in-house creative team rather than attribution to a single individual designer.</t>
  </si>
  <si>
    <t>A manufacturing and design entity recognized for producing a variety of home goods. This selection identifies the product as an original creation attributed to this specific design house or manufacturer rather than an individual independent designer.</t>
  </si>
  <si>
    <t>An influential American design house and manufacturer established in 1831, recognized for its historic contributions to craftsmanship and artistry. Products associated with this name reflect the creative leadership of the company’s internal design department, which has collaborated with renowned master silversmiths and artisans to produce iconic traditional and modern styles.</t>
  </si>
  <si>
    <t>Varvara Sivas is the co-founder and creative lead at D.V. KAP Home. She is recognized for her design direction and role in shaping the aesthetic vision for high-quality collections of home accessories and decorative textiles.</t>
  </si>
  <si>
    <t>An American manufacturing company founded in 1970 and based in Houston, Mississippi, known for producing a wide range of home goods and interior products. Items credited to this name are typically developed through the company's in-house design and engineering teams.</t>
  </si>
  <si>
    <t>Graywolf Design Co is a design studio and collective. This value should only be used if the product documentation explicitly credits the studio for the creative direction or design of the item.</t>
  </si>
  <si>
    <t>Howcool is a home decor and furniture brand known for modern accent pieces and portable furniture. Its products are developed by an internal design team, focusing on combining ergonomic functionality with contemporary styling for home organization and interior aesthetics.</t>
  </si>
  <si>
    <t>Refers to an individual or studio credited with the creative direction or original design of the product. Information regarding this designer's specific background or portfolio may be limited or unavailable for certain product categories.</t>
  </si>
  <si>
    <t>An art and wall decor studio specializing in contemporary prints and canvases for residential and commercial interiors. Known for producing a wide range of decorative works, the studio focuses on collaborative and commercial artistic designs that provide visual impact for varied living and hospitality spaces.</t>
  </si>
  <si>
    <t>Vickerman products are developed by an in-house creative team, representing the design work of a collaborative group rather than any one individual. As a tag value, Vickerman refers to company-led or collective design across various seasonal and decorative categories.</t>
  </si>
  <si>
    <t>A design studio and brand known for creating a range of contemporary and classic home products. The brand emphasizes quality craftsmanship, versatile finishes, and a signature blend of modern aesthetics and functional utility suitable for residential spaces.</t>
  </si>
  <si>
    <t>An acclaimed Italian architect and designer recognized for a contemporary, humanist approach characterized by sophisticated minimalism, essential lines, and harmonious proportions. His work emphasizes a balance between formal rigor and creative freedom, often utilizing refined materials.</t>
  </si>
  <si>
    <t>Indicates that the product was developed by the in-house design or creative team at Wexford Home, a manufacturer and distributor known for a wide range of home decor. This value should be applied only when the brand is explicitly credited with the design or conceptual creation of the item.</t>
  </si>
  <si>
    <t>Homebody Accents is a creative design team and manufacturer known for producing decorative accents for home interiors. The studio develops distinctive product designs that reflect the brand's approach to home styling and personalization through innovative craftsmanship.</t>
  </si>
  <si>
    <t>Pride Sasser is a designer and founder recognized for an innovative and eclectic aesthetic. With a background in sculpture and extensive international experience, Sasser blends artistic expression with specialized material use to create unique designs across various product categories.</t>
  </si>
  <si>
    <t>A brand that utilizes an in-house team for design and development. This value is used when the brand itself is the credited design entity, rather than a specific individual designer or an independent design studio.</t>
  </si>
  <si>
    <t>No known designer profile or attribution found; appears to be a brand or entity with no individual designer credited. Only use this value if a specific designer or design team within the organization is not identified.</t>
  </si>
  <si>
    <t>Flemming Lassen (1902–1984) was a Danish architect and designer, and a pioneer of Danish functionalism. Known for his contributions to Scandinavian modernism, his work is celebrated for its simple, functional forms, clean lines, and use of natural materials.</t>
  </si>
  <si>
    <t>A contemporary brand and creative team recognized for a design aesthetic that blends classic silhouettes with unique, personalized, or modern elements. Selection indicates the product is officially credited to the brand's design portfolio.</t>
  </si>
  <si>
    <t>Fernando Martinez is a multidisciplinary artist and designer recognized for his work in ceramics, lighting, and furniture. His creative approach often integrates technical engineering with fine arts, emphasizing an exploration of cultural intersection, narrative forms, and tactile surfaces.</t>
  </si>
  <si>
    <t>An international, award-winning industrial design studio founded in Germany in 1987, specializing in product and interaction design that emphasizes functionality, user experience, and long-lasting aesthetic value.</t>
  </si>
  <si>
    <t>Alicia Engman is an American entrepreneur and co-founder of the design studio Hygge &amp; West, recognized for creating artisanal patterns and home decor collections. Her work often emphasizes collaborative, hand-drawn designs that blend modern and traditional aesthetics.</t>
  </si>
  <si>
    <t>A global home decor and furnishing brand recognized for its versatile collections and commitment to functional design. This attribution indicates that the product was developed by the brand's in-house design team or manufactured as part of its proprietary line of home goods.</t>
  </si>
  <si>
    <t>An in-house creative team and lifestyle brand recognized for developing a wide range of home textiles and decorative accents. This value identifies products designed and released under the Sweet Jojo Designs studio name.</t>
  </si>
  <si>
    <t>RBROHANT is a global design brand and manufacturer recognized for avant-garde and modern aesthetics. The brand utilizes a collaborative approach to product development, integrating a team of international in-house and external designers to create innovative and high-quality designs.</t>
  </si>
  <si>
    <t>Ramón Esteve is a Spanish architect and industrial designer celebrated for minimalist and harmonious creations. As the founder of Ramón Esteve Estudio, his work is characterized by clean lines, functional elegance, and architectural inspiration, balancing modern sophistication with simplicity.</t>
  </si>
  <si>
    <t>A Japanese home goods company recognized for minimalist and functional design. Its products are characterized by a modern aesthetic focused on space-saving solutions and organization, developed by an in-house design team.</t>
  </si>
  <si>
    <t>Refers to products designed by or explicitly credited to Tycolit, a brand recognized for its functional design and engineering standards. This value should only be selected when the product's creative origin is officially documented as Tycolit.</t>
  </si>
  <si>
    <t>A lighting brand and division of Quorum International specializing in modern, energy-efficient solutions for residential and commercial interiors. Known for a sleek, sophisticated aesthetic, the brand emphasizes sharp angles, clean lines, and geometric styling across its product offerings.</t>
  </si>
  <si>
    <t>A type of steel alloyed with elements such as chromium, nickel, molybdenum, or manganese to enhance mechanical properties like strength, toughness, and corrosion resistance. This material is used for components requiring increased durability and performance under demanding conditions.</t>
  </si>
  <si>
    <t>A brand and company specializing in home textiles and accessories. When credited as a designer, it indicates that the products are developed by the company’s internal creative team or through a collaborative, team-driven design approach rather than by a specific individual designer.</t>
  </si>
  <si>
    <t>An American manufacturer established in 1922, recognized for high-quality craftsmanship and a focus on traditional and transitional styles. Design development is typically attributed to the company's in-house team unless an individual designer is explicitly credited.</t>
  </si>
  <si>
    <t>Robert Sonneman is a pioneering American designer recognized for his modernist and functionalist approach to lighting and home furnishings. As the founder of SONNEMAN – A Way of Light, he is celebrated for innovative, architectural designs that utilize contemporary materials and sleek forms.</t>
  </si>
  <si>
    <t>A global manufacturer and distributor specializing in handcrafted products made from premium natural stones such as granite, marble, and onyx. The brand is recognized for its artisanal craftsmanship and use of high-quality materials to create unique, organic focal points for residential and commercial spaces.</t>
  </si>
  <si>
    <t>Ellen DeGeneres is an American lifestyle entrepreneur whose signature design style features relaxed mid-century and rustic modern influences. Her collections reflect an affinity for approachable, artful, and comfortable decor across various home product categories.</t>
  </si>
  <si>
    <t>Foersom and Hiort-Lorenzen MDD is a Danish design duo consisting of Johannes Foersom and Peter Hiort-Lorenzen. Renowned for their contributions to Scandinavian design, they create functional, aesthetically informed pieces characterized by craftsmanship, sustainability, and user-centered design.</t>
  </si>
  <si>
    <t>Dexsa is a design studio specializing in home décor and inspirational products. The brand's internal team is responsible for conceptualizing and developing the unique aesthetic and emotional appeal of its product offerings.</t>
  </si>
  <si>
    <t>The product is attributed to Vinform, which may represent a specific designer, design studio, or branded design team. This value should be used when the item's design is officially credited to this entity in the product documentation.</t>
  </si>
  <si>
    <t>Hardwood refers to wood harvested from deciduous trees, which lose their leaves annually. Valued for its durability and strength, it often features unique grain and color variations that develop richer character over time. Common examples include oak, maple, cherry, hickory, alder, and walnut.</t>
  </si>
  <si>
    <t>Patricia Urquiola is a Spanish architect and designer recognized for her innovative approach to contemporary industrial design and interiors. She leads a Milan-based studio, collaborating with leading global brands to create works known for blending artisanal techniques with industrial methods.</t>
  </si>
  <si>
    <t>Ron Rezek is an American industrial designer recognized for his modern aesthetic and contributions to contemporary product design. His work is characterized by simplicity and functional innovation, often emphasizing clean lines and a minimalist approach to product development.</t>
  </si>
  <si>
    <t>Hudson Valley Lighting Group is a brand and manufacturer of home goods and lighting fixtures, but it is not an individual designer or credited design studio. Selection indicates the product is associated with the brand entity rather than a specific individual designer.</t>
  </si>
  <si>
    <t>A designer or design studio specializing in home and lifestyle products. Rachel Lee is recognized for a personalized design approach that incorporates visual storytelling and creative intuition to create unique, human-centric experiences within the brand's specific aesthetic.</t>
  </si>
  <si>
    <t>Zaza Ergemlidze is a designer and the president of Zaer Ltd. International, a family-owned company specializing in unique, handcrafted decorative pieces. Known for distinctive artistic flair and skilled craftsmanship, Ergemlidze oversees the design and production of varied aesthetic collections.</t>
  </si>
  <si>
    <t>An American textile and design brand established in 1938, recognized for its luxury fabrics and sophisticated color palettes. The brand offers a wide range of patterns and textures, often adapted from its signature residential textiles into various home décor and interior design applications.</t>
  </si>
  <si>
    <t>Designer information is not currently available for this entity. This value should only be selected when there is verifiable documentation or a distinct credit naming Raul Rubio as the designer of the product.</t>
  </si>
  <si>
    <t>Ron McIntyre is an architect and designer recognized for a multidisciplinary approach to integrated architecture and planning. He specializes in creating collaborative, functional, and cost-conscious solutions for public and interior environments through a combination of artistic and technical expertise.</t>
  </si>
  <si>
    <t>Refers to products designed by or in collaboration with Roma Moulding, a company specializing in handcrafted designs and innovative mouldings. This indicates the item reflects the brand's creative heritage and specific design standards.</t>
  </si>
  <si>
    <t>Ralph Lauren is an iconic American fashion designer and founder of the Ralph Lauren Corporation, known for classic, luxury lifestyle products. His designs are characterized by a refined, timeless aesthetic often inspired by traditional, preppy, and equestrian motifs.</t>
  </si>
  <si>
    <t>Reflectionsonus Art Studio is an art and design studio recognized for creative and expressive works, particularly in fine art painting and graphic design. Products credited to this name are typically developed by the studio's principal artist(s), who bring artistic interpretation to items.</t>
  </si>
  <si>
    <t>Philippe Starck is an internationally recognized French designer and architect known for his innovative, boundary-pushing approach. His work is characterized by playful creativity, functional minimalism, and a philosophy of democratic design that blends bold aesthetics with everyday utility.</t>
  </si>
  <si>
    <t>Howcool is a home and outdoor goods brand that emphasizes ergonomic, portable, and modern designs for the home. Their products are typically developed by an internal design team rather than a specific credited designer, focusing on affordable functionality and interior styling.</t>
  </si>
  <si>
    <t>Refers to products created or inspired by the work of designer Tony Zaza. This designation identifies items that feature the specific aesthetic, style, or technical specifications attributed to this designer or design house.</t>
  </si>
  <si>
    <t>Greentouch Home is a home furnishings brand and manufacturer. If the product is explicitly credited to a specific Greentouch Home design team or named designer, this value indicates the involvement of their in-house creative studio in the design and development process.</t>
  </si>
  <si>
    <t>An American company founded in 1946 known for its design and manufacturing of home goods. Products are developed by an in-house creative team, representing the design work of a collaborative group rather than any one individual. This refers to company-led or collective design.</t>
  </si>
  <si>
    <t>A Canadian design company and brand known for creating innovative, functional, and affordable items. Their in-house design team emphasizes modern aesthetics and practical solutions, making their designs globally recognized for bringing intelligent design to everyday objects.</t>
  </si>
  <si>
    <t>A brand known primarily for home fragrances and artisanal products. When listed as a designer, it indicates the design is attributed to the company's creative team or brand aesthetic rather than a specific individual.</t>
  </si>
  <si>
    <t>Michael Anastassiades is a Cypriot-born, London-based designer renowned for a minimalist aesthetic that combines poetic interpretation with technical precision. His work balances clarity, geometry, and refined materials, often exploring themes of balance and timeless structure.</t>
  </si>
  <si>
    <t>Edward Barber and Jay Osgerby are British industrial designers and founders of the Barber Osgerby studio, established in 1996. Known for an innovative approach to material and form, their work is featured in major museums and involves collaboration with leading international design brands.</t>
  </si>
  <si>
    <t>Sean Lavin is a designer recognized for contemporary lighting and home product design, characterized by a modern aesthetic and a focus on sleek, functional style. This selection indicates that the product was created or inspired by his specific design influence.</t>
  </si>
  <si>
    <t>An interdisciplinary design practice founded by Lyndon Neri and Rossana Hu, recognized for a multicultural approach that fuses contemporary aesthetics with historical context. The studio works across multiple scales, integrating architecture and interior design with refined materiality.</t>
  </si>
  <si>
    <t>Flemming Lassen (1902–1984) was an influential Danish architect and designer who helped pioneer the Functionalist movement in Scandinavia. Often collaborating with Arne Jacobsen, his work is characterized by simple, clean lines, organic forms, and a commitment to modernist principles.</t>
  </si>
  <si>
    <t>Mogens Lassen (1901–1987) was an influential Danish architect and designer recognized as a pioneer of Danish functionalism. His work is characterized by a commitment to modernist principles, mathematical precision, and an architectural approach to form and proportion.</t>
  </si>
  <si>
    <t>Paloma Contreras is an award-winning American interior designer and author known for her modern take on traditional style. Her work is characterized by a balance of classic silhouettes, timeless elegance, and contemporary touches, often incorporating a touch of glamour and vibrant color.</t>
  </si>
  <si>
    <t>Alicia Engman is an entrepreneur and co-founder of Hygge &amp; West, a home decor company recognized for artisanal designs and collaborative patterns. This selection indicates the product was created or designed in collaboration with her.</t>
  </si>
  <si>
    <t>A Milan-based industrial design studio founded in 2006 by Marco Paolelli and Sandro Meneghello. The studio is recognized for its unconventional approach to product development, blending lateral thinking with technical precision to create innovative, functional, and aesthetically iconic designs.</t>
  </si>
  <si>
    <t>An artistic studio renowned for handcrafted collections that blend traditional old-world craftsmanship with contemporary design. Founded by Andre Gabricht, the studio specializes in intricate, freehand-painted artistry and fine-cut woodwork created by skilled master artisans.</t>
  </si>
  <si>
    <t>Zeki Müren (1931–1996) was a prominent Turkish musician, composer, and multidisciplinary artist. An alumnus of the Istanbul State Academy of Fine Arts, his creative influence extended beyond music and film to include the design of textiles, rugs, and theatrical costumes.</t>
  </si>
  <si>
    <t>An award-winning American interior designer known for a bold, maximalist aesthetic that fuses classic traditionalism with vibrant colors and layered patterns. His work is recognized for its sophisticated architectural bones and a focus on creating high-design spaces that remain functional.</t>
  </si>
  <si>
    <t>A multidisciplinary design studio founded in Italy by Cinzia Cumini and Vicente García Jiménez. The studio is recognized for its fusion of Italian and Spanish influences, blending art and technology with a philosophy of slow design to create innovative and unique designs.</t>
  </si>
  <si>
    <t>An award-winning American interior designer known for her timeless, layered interiors and collections for major home décor brands. Her work is recognized for its classical influences, Southern warmth, and extensive contributions to design literature and philanthropy.</t>
  </si>
  <si>
    <t>Refers to designer Angela Harris and her design collective, recognized for modern and approachable interior designs. Their work features distinctive patterns and a blend of contemporary and classic aesthetics across a variety of home décor and surface products.</t>
  </si>
  <si>
    <t>Wipe down with mild soap and water</t>
  </si>
  <si>
    <t>Use product specific cleaner</t>
  </si>
  <si>
    <t>Wipe clean with a dry cloth</t>
  </si>
  <si>
    <t>Dust mop</t>
  </si>
  <si>
    <t>Hand wash recommended</t>
  </si>
  <si>
    <t>Spot clean only</t>
  </si>
  <si>
    <t>Clean with soap and water</t>
  </si>
  <si>
    <t>Clean spills immediately</t>
  </si>
  <si>
    <t>Non-Abrasive, Neutral Ph Cleaner</t>
  </si>
  <si>
    <t>Vacuum with no beater bar/rotating brush</t>
  </si>
  <si>
    <t>Professional / Dry Clean Recommended</t>
  </si>
  <si>
    <t>Vacuum with upholstery attachment</t>
  </si>
  <si>
    <t>Avoid use of abrasive cleaners</t>
  </si>
  <si>
    <t>Do not wash</t>
  </si>
  <si>
    <t>Hose down</t>
  </si>
  <si>
    <t>Spot clean</t>
  </si>
  <si>
    <t>Wipe with wet cloth</t>
  </si>
  <si>
    <t>Spot clean with water</t>
  </si>
  <si>
    <t>No washing / drying care</t>
  </si>
  <si>
    <t>Do not bleach</t>
  </si>
  <si>
    <t>After cleaning, use sealant</t>
  </si>
  <si>
    <t>Vacuum</t>
  </si>
  <si>
    <t>Avoid direct sunlight</t>
  </si>
  <si>
    <t>Clean with cloth, mild soap, and warm water</t>
  </si>
  <si>
    <t>Spot clean with mild detergent</t>
  </si>
  <si>
    <t>Spot clean as needed</t>
  </si>
  <si>
    <t>Do not use any cleaning agents</t>
  </si>
  <si>
    <t>Machine wash</t>
  </si>
  <si>
    <t>Dry clean recommended</t>
  </si>
  <si>
    <t>Use dry, solvent-based cleaner</t>
  </si>
  <si>
    <t>Wipe with cloth</t>
  </si>
  <si>
    <t>Hand Wash Only - Towel Dry Immediately</t>
  </si>
  <si>
    <t>Wipe Clean Only</t>
  </si>
  <si>
    <t>Wipe clean with a damp cloth</t>
  </si>
  <si>
    <t>Product Care Definitions</t>
  </si>
  <si>
    <t>Wipe surfaces with a soft cloth dampened with a mild soap and water solution. Dry thoroughly immediately after cleaning to prevent moisture damage and water spots.</t>
  </si>
  <si>
    <t>Use a cleaner specifically formulated for the product's material or finish. Always follow manufacturer recommendations for safe and effective use.</t>
  </si>
  <si>
    <t>Remove dust and light debris by wiping the surface with a clean, dry, non-abrasive cloth. Do not use water or cleaning solutions.</t>
  </si>
  <si>
    <t>Use a soft, dry dust mop or duster for the routine removal of loose dust and light debris from hard, non-fabric surfaces.</t>
  </si>
  <si>
    <t>Manufacturer's recommended care method for the item or its components. Use a mild detergent and water. Hand washing is preferred for best results and to prevent potential damage from machine washing.</t>
  </si>
  <si>
    <t>Clean only isolated spots or affected areas. Do not fully wash, immerse, dry clean, or machine clean the entire product. Use a cleaning method appropriate for the material.</t>
  </si>
  <si>
    <t>Clean the product or its components with a solution of mild soap and water, applied with a soft cloth or sponge. Rinse well and dry thoroughly. Avoid harsh chemicals and saturation.</t>
  </si>
  <si>
    <t>Promptly clean all spills to prevent stains, discoloration, and material damage. Use the cleaning method appropriate for the product's specific material.</t>
  </si>
  <si>
    <t>Use a non-abrasive cleaner that is pH neutral to prevent scratching, damage, or discoloration on sensitive surfaces and finishes. Avoid acidic or alkaline cleaning products.</t>
  </si>
  <si>
    <t>Use a vacuum cleaner without an active beater bar or rotating brush to remove debris and prevent damage to delicate or decorated surfaces.</t>
  </si>
  <si>
    <t>Recommendation for professional or commercial dry cleaning, typically for items with delicate materials or special finishes. Follow the manufacturer's care instructions to maintain product integrity.</t>
  </si>
  <si>
    <t>Gently clean fabric and upholstered surfaces with a vacuum's upholstery attachment to remove dust, dirt, and debris without causing snags or damage.</t>
  </si>
  <si>
    <t>Do not use cleaning agents or tools that contain abrasive particles or harsh chemicals, as they can scratch, dull, or damage the product's surface, finish, or fabric.</t>
  </si>
  <si>
    <t>Do not wash or immerse the product in water by any method, including hand or machine washing. Cleaning should use only the alternative care instructions specified by the manufacturer.</t>
  </si>
  <si>
    <t>Cleaning the product or component via the direct application of water from a hose. Appropriate only for materials designed to withstand water exposure and pressure; not suitable for water-sensitive or electrical parts.</t>
  </si>
  <si>
    <t>Address localized stains or soil by cleaning only the affected spot with an appropriate solution and cloth. Do not clean or immerse the entire product.</t>
  </si>
  <si>
    <t>Wipe the product's surface with a clean cloth dampened with water. Avoid excess moisture and dry immediately after cleaning for optimal care.</t>
  </si>
  <si>
    <t>Apply water only with a damp, clean cloth or sponge to gently clean localized stains or soiled areas. Do not saturate the material; air dry thoroughly.</t>
  </si>
  <si>
    <t>No specific washing or drying care is required. Maintenance may consist of occasional dusting, wiping, or light cleaning only, with no routine laundering necessary.</t>
  </si>
  <si>
    <t>Do not use any type of bleach or bleach-based cleaning products, as bleach can discolor, weaken, or damage materials and finishes.</t>
  </si>
  <si>
    <t>Apply a protective sealant product to the surface after cleaning to restore or maintain the protective barrier against moisture, stains, and damage. Always follow manufacturer's instructions.</t>
  </si>
  <si>
    <t>Use a vacuum cleaner to remove dust, debris, and loose particles from the surface. Use suitable attachments and settings appropriate for the material being cleaned.</t>
  </si>
  <si>
    <t>Prolonged exposure to direct sunlight or UV rays can cause fading, discoloration, warping, or material degradation.</t>
  </si>
  <si>
    <t>Clean the product's surface with a soft cloth using mild soap and warm water. Rinse with a clean cloth to remove soap residue, then dry the surface thoroughly.</t>
  </si>
  <si>
    <t>Apply a mild or diluted detergent solution with a damp cloth or sponge to treat soiled areas. Gently blot or rub, then rinse with a clean, damp cloth. Avoid oversaturating the material and test on an inconspicuous area first.</t>
  </si>
  <si>
    <t>Address localized soiling or stains as needed by applying a material-appropriate cleaning agent only to the affected area. Full washing is not implied.</t>
  </si>
  <si>
    <t>Prohibits the use of any cleaning agents (soaps, detergents, solvents, or chemicals) on the product. Cleaning must be done only with dry methods or as specified in the manufacturer's care instructions.</t>
  </si>
  <si>
    <t>The product or its removable components can be safely cleaned in a washing machine. Follow all manufacturer care label instructions regarding water temperature, cycle settings, and detergent.</t>
  </si>
  <si>
    <t>Professional dry cleaning is recommended to maintain the product or component's quality. Always follow manufacturer guidelines, as alternative cleaning methods may cause damage or distortion.</t>
  </si>
  <si>
    <t>Clean with a dry, solvent-based agent only. Follow manufacturer/care label instructions, avoid water or water-based cleaners, and test in an inconspicuous area before use.</t>
  </si>
  <si>
    <t>Wipe the surface using a clean, soft cloth (dry or slightly damp) to remove dust and dirt. Suitable for general maintenance, avoiding excessive moisture or harsh detergents.</t>
  </si>
  <si>
    <t>Wash the item or its removable components by hand only. Immediately after washing and rinsing, use a clean towel to thoroughly dry all surfaces to prevent water damage, spots, or prolonged moisture absorption. Do not machine wash or air dry.</t>
  </si>
  <si>
    <t>Clean only by wiping with a clean, dry, or slightly damp cloth. Do not wash, soak, immerse, or use harsh/abrasive cleaners. Follow manufacturer specifications.</t>
  </si>
  <si>
    <t>Wipe product surfaces clean with a damp, non-abrasive cloth. Avoid saturating the material, soaking, or submerging the product. For best results, dry immediately after wiping.</t>
  </si>
  <si>
    <t>Black</t>
  </si>
  <si>
    <t>Brown</t>
  </si>
  <si>
    <t>White</t>
  </si>
  <si>
    <t>Green</t>
  </si>
  <si>
    <t>Beige</t>
  </si>
  <si>
    <t>Pink</t>
  </si>
  <si>
    <t>Orange</t>
  </si>
  <si>
    <t>Purple</t>
  </si>
  <si>
    <t>Silver</t>
  </si>
  <si>
    <t>Gold</t>
  </si>
  <si>
    <t>Cream</t>
  </si>
  <si>
    <t>Ivory</t>
  </si>
  <si>
    <t>Tan</t>
  </si>
  <si>
    <t>Teal</t>
  </si>
  <si>
    <t>Navy</t>
  </si>
  <si>
    <t>Color Definitions</t>
  </si>
  <si>
    <t>The darkest color, resulting from the absence or complete absorption of visible light. Use this value when black is the primary or predominant color of the product.</t>
  </si>
  <si>
    <t>A composite, neutral color ranging from light tan to deep dark brown, resembling earth, wood, or chocolate. Apply when brown is the dominant visible color.</t>
  </si>
  <si>
    <t>The purest, lightest color with no hue, reflecting nearly all visible light, and free of significant yellow, ivory, or gray undertones.</t>
  </si>
  <si>
    <t>The definition was synthesized by combining the most universal elements from multiple variations. It establishes the color's position on the spectrum (between blue and yellow), describes the range of shades (pale to deep forest), and includes the instruction that the color must be the major visible component, ensuring the definition is universal for all products.</t>
  </si>
  <si>
    <t>A neutral, achromatic color ranging from light silver-gray to dark charcoal. Excludes metallic silver, beige, taupe, or any shade with a distinct blue or brown tint.</t>
  </si>
  <si>
    <t>A primary color with a spectrum of shades, ranging from soft rose and bright scarlet to deep crimson and burgundy.</t>
  </si>
  <si>
    <t>A light, neutral color that is a pale, sandy yellowish-brown, resembling unbleached linen or natural wool. This shade is lighter than tan or brown.</t>
  </si>
  <si>
    <t>A bright, primary color located between green and orange on the visible spectrum, ranging from pale pastel shades to vivid, deep golden tones.</t>
  </si>
  <si>
    <t>A light tint of red, created by mixing red with white, covering all shades from pale pastels like blush to deep, vibrant fuchsia.</t>
  </si>
  <si>
    <t>A vivid color between red and yellow on the color spectrum. Applies to all shades, from light tangerine to deep rust.</t>
  </si>
  <si>
    <t>A color resulting from the combination of red and blue hues, encompassing all shades from light lavender to deep violet. Use for products where purple is the dominant visible color.</t>
  </si>
  <si>
    <t>A metallic, reflective color resembling polished silver metal. It is a light gray or grayish-white tone that may feature a shiny or matte surface.</t>
  </si>
  <si>
    <t>A metallic yellow tone that mimics the appearance of gold metal. This includes shiny, reflective, glossy, or matte finishes.</t>
  </si>
  <si>
    <t>Transparent or translucent appearance with no distinguishable color or pigmentation.</t>
  </si>
  <si>
    <t>A soft, pale yellowish-white color. It is warmer and more yellow-toned than pure white or ivory, but lighter than beige.</t>
  </si>
  <si>
    <t>A creamy off-white color with subtle yellow or beige undertones. It is warmer in tone than pure white.</t>
  </si>
  <si>
    <t>A pale to medium brown color, generally with warm yellow or beige undertones, resembling natural sand or lightly tanned leather.</t>
  </si>
  <si>
    <t>A cool-toned, medium to dark blue-green color that sits between blue and green on the color spectrum.</t>
  </si>
  <si>
    <t>A very dark shade of blue, often associated with naval uniforms or the deep night sky.</t>
  </si>
  <si>
    <t>A color between green and violet on the visible spectrum, ranging from pale sky blue to deep royal blue. Use this value when blue is the main or most visible color of the product.</t>
  </si>
  <si>
    <t>MLB Atlanta Braves</t>
  </si>
  <si>
    <t>MLB Chicago Cubs</t>
  </si>
  <si>
    <t>MLB Arizona Diamondbacks</t>
  </si>
  <si>
    <t>MLB Baltimore Orioles</t>
  </si>
  <si>
    <t>MLB Kansas City Royals</t>
  </si>
  <si>
    <t>MLB Boston Red Sox</t>
  </si>
  <si>
    <t>MLB Milwaukee Brewers</t>
  </si>
  <si>
    <t>MLB Detroit Tigers</t>
  </si>
  <si>
    <t>MLB Cincinnati Reds</t>
  </si>
  <si>
    <t>MLB Los Angeles Dodgers</t>
  </si>
  <si>
    <t>MLB Colorado Rockies</t>
  </si>
  <si>
    <t>MLB Chicago White Sox</t>
  </si>
  <si>
    <t>MLB Houston Astros</t>
  </si>
  <si>
    <t>MLB Miami Marlins</t>
  </si>
  <si>
    <t>MLB Minnesota Twins</t>
  </si>
  <si>
    <t>MLB Philadelphia Phillies</t>
  </si>
  <si>
    <t>NBA New York Knicks</t>
  </si>
  <si>
    <t>NHL Edmonton Oilers</t>
  </si>
  <si>
    <t>MLB Los Angeles Angels</t>
  </si>
  <si>
    <t>MLB New York Mets</t>
  </si>
  <si>
    <t>MLB New York Yankees</t>
  </si>
  <si>
    <t>MLB Pittsburgh Pirates</t>
  </si>
  <si>
    <t>MLB San Diego Padres</t>
  </si>
  <si>
    <t>MLB San Francisco Giants</t>
  </si>
  <si>
    <t>NHL Los Angeles Kings</t>
  </si>
  <si>
    <t>NHL Pittsburgh Penguins</t>
  </si>
  <si>
    <t>MLB Seattle Mariners</t>
  </si>
  <si>
    <t>MLB Cleveland Guardians</t>
  </si>
  <si>
    <t>MLB Tampa Bay Rays</t>
  </si>
  <si>
    <t>MLB Toronto Blue Jays</t>
  </si>
  <si>
    <t>MLB Washington Nationals</t>
  </si>
  <si>
    <t>NBA Boston Celtics</t>
  </si>
  <si>
    <t>NBA Charlotte Hornets</t>
  </si>
  <si>
    <t>NBA Denver Nuggets</t>
  </si>
  <si>
    <t>NBA Golden State Warriors</t>
  </si>
  <si>
    <t>NFL Houston Texans</t>
  </si>
  <si>
    <t>NFL Baltimore Ravens</t>
  </si>
  <si>
    <t>NBA Detroit Pistons</t>
  </si>
  <si>
    <t>NBA Cleveland Cavaliers</t>
  </si>
  <si>
    <t>NBA Houston Rockets</t>
  </si>
  <si>
    <t>NBA Atlanta Hawks</t>
  </si>
  <si>
    <t>NHL Washington Capitals</t>
  </si>
  <si>
    <t>NBA Los Angeles Clippers</t>
  </si>
  <si>
    <t>NBA Minnesota Timberwolves</t>
  </si>
  <si>
    <t>NBA Brooklyn Nets</t>
  </si>
  <si>
    <t>NBA Sacramento Kings</t>
  </si>
  <si>
    <t>NBA Washington Wizards</t>
  </si>
  <si>
    <t>NBA San Antonio Spurs</t>
  </si>
  <si>
    <t>NHL Calgary Flames</t>
  </si>
  <si>
    <t>NHL Carolina Hurricanes</t>
  </si>
  <si>
    <t>NBA Indiana Pacers</t>
  </si>
  <si>
    <t>NBA New Orleans Pelicans</t>
  </si>
  <si>
    <t>NFL New York Giants</t>
  </si>
  <si>
    <t>NBA Memphis Grizzlies</t>
  </si>
  <si>
    <t>MLB Oakland Athletics</t>
  </si>
  <si>
    <t>NHL Detroit Red Wings</t>
  </si>
  <si>
    <t>NHL Colorado Avalanche</t>
  </si>
  <si>
    <t>NHL New York Islanders</t>
  </si>
  <si>
    <t>NBA Chicago Bulls</t>
  </si>
  <si>
    <t>NBA Utah Jazz</t>
  </si>
  <si>
    <t>NBA Philadelphia 76ers</t>
  </si>
  <si>
    <t>NBA Milwaukee Bucks</t>
  </si>
  <si>
    <t>NBA Miami Heat</t>
  </si>
  <si>
    <t>NBA Oklahoma City Thunder</t>
  </si>
  <si>
    <t>NBA Orlando Magic</t>
  </si>
  <si>
    <t>NHL Montreal Canadiens</t>
  </si>
  <si>
    <t>NHL Vancouver Canucks</t>
  </si>
  <si>
    <t>NHL San Jose Sharks</t>
  </si>
  <si>
    <t>NHL Arizona Coyotes</t>
  </si>
  <si>
    <t>NHL Winnipeg Jets</t>
  </si>
  <si>
    <t>NHL Buffalo Sabres</t>
  </si>
  <si>
    <t>NHL Boston Bruins</t>
  </si>
  <si>
    <t>NHL Vegas Golden Knights</t>
  </si>
  <si>
    <t>NFL Buffalo Bills</t>
  </si>
  <si>
    <t>NBA Toronto Raptors</t>
  </si>
  <si>
    <t>NFL Arizona Cardinals</t>
  </si>
  <si>
    <t>MLB Texas Rangers</t>
  </si>
  <si>
    <t>NFL Cincinnati Bengals</t>
  </si>
  <si>
    <t>NFL Carolina Panthers</t>
  </si>
  <si>
    <t>NFL Detroit Lions</t>
  </si>
  <si>
    <t>NFL Atlanta Falcons</t>
  </si>
  <si>
    <t>NFL Green Bay Packers</t>
  </si>
  <si>
    <t>NFL Denver Broncos</t>
  </si>
  <si>
    <t>NFL Miami Dolphins</t>
  </si>
  <si>
    <t>NFL Jacksonville Jaguars</t>
  </si>
  <si>
    <t>NHL Dallas Stars</t>
  </si>
  <si>
    <t>NFL Kansas City Chiefs</t>
  </si>
  <si>
    <t>NHL Florida Panthers</t>
  </si>
  <si>
    <t>NHL Minnesota Wild</t>
  </si>
  <si>
    <t>NBA Phoenix Suns</t>
  </si>
  <si>
    <t>NFL Indianapolis Colts</t>
  </si>
  <si>
    <t>NFL Minnesota Vikings</t>
  </si>
  <si>
    <t>NHL Columbus Blue Jackets</t>
  </si>
  <si>
    <t>NFL Pittsburgh Steelers</t>
  </si>
  <si>
    <t>NFL New York Jets</t>
  </si>
  <si>
    <t>NFL Las Vegas Raiders</t>
  </si>
  <si>
    <t>NFL New Orleans Saints</t>
  </si>
  <si>
    <t>NFL San Francisco 49ers</t>
  </si>
  <si>
    <t>NHL Nashville Predators</t>
  </si>
  <si>
    <t>NHL St. Louis Blues</t>
  </si>
  <si>
    <t>NHL Philadelphia Flyers</t>
  </si>
  <si>
    <t>NHL Tampa Bay Lightning</t>
  </si>
  <si>
    <t>NHL Toronto Maple Leafs</t>
  </si>
  <si>
    <t>MLB St. Louis Cardinals</t>
  </si>
  <si>
    <t>NHL Ottawa Senators</t>
  </si>
  <si>
    <t>NFL Seattle Seahawks</t>
  </si>
  <si>
    <t>NCAA US Naval Academy</t>
  </si>
  <si>
    <t>NFL Tampa Bay Buccaneers</t>
  </si>
  <si>
    <t>NHL Anaheim Ducks</t>
  </si>
  <si>
    <t>NCAA Xavier</t>
  </si>
  <si>
    <t>NBA Dallas Mavericks</t>
  </si>
  <si>
    <t>NFL Los Angeles Rams</t>
  </si>
  <si>
    <t>NFL Washington Commanders</t>
  </si>
  <si>
    <t>NCAA Villanova</t>
  </si>
  <si>
    <t>NFL New England Patriots</t>
  </si>
  <si>
    <t>NCAA Wisconsin</t>
  </si>
  <si>
    <t>NBA Portland Trail Blazers</t>
  </si>
  <si>
    <t>NCAA UCLA</t>
  </si>
  <si>
    <t>NHL Chicago Blackhawks</t>
  </si>
  <si>
    <t>NFL Chicago Bears</t>
  </si>
  <si>
    <t>NBA Los Angeles Lakers</t>
  </si>
  <si>
    <t>NCAA Utah</t>
  </si>
  <si>
    <t>NCAA Alabama</t>
  </si>
  <si>
    <t>NHL New Jersey Devils</t>
  </si>
  <si>
    <t>NCAA Syracuse</t>
  </si>
  <si>
    <t>NHL New York Rangers</t>
  </si>
  <si>
    <t>NCAA U.S Air Force Academy</t>
  </si>
  <si>
    <t>NCAA James Madison</t>
  </si>
  <si>
    <t>NFL Cleveland Browns</t>
  </si>
  <si>
    <t>NCAA UCF</t>
  </si>
  <si>
    <t>NCAA Towson</t>
  </si>
  <si>
    <t>NCAA Tennessee</t>
  </si>
  <si>
    <t>NCAA Purdue</t>
  </si>
  <si>
    <t>NCAA Texas State</t>
  </si>
  <si>
    <t>NCAA Pittsburgh</t>
  </si>
  <si>
    <t>NCAA SMU</t>
  </si>
  <si>
    <t>NCAA Ole Miss</t>
  </si>
  <si>
    <t>NCAA Seton Hall</t>
  </si>
  <si>
    <t>NCAA Texas</t>
  </si>
  <si>
    <t>NCAA Penn State</t>
  </si>
  <si>
    <t>NCAA North Dakota</t>
  </si>
  <si>
    <t>NCAA North Carolina</t>
  </si>
  <si>
    <t>NCAA Mississippi State</t>
  </si>
  <si>
    <t>NCAA Oklahoma</t>
  </si>
  <si>
    <t>NCAA Oklahoma State</t>
  </si>
  <si>
    <t>NCAA Ohio</t>
  </si>
  <si>
    <t>NCAA Nebraska</t>
  </si>
  <si>
    <t>NCAA Missouri State</t>
  </si>
  <si>
    <t>NCAA Ohio State</t>
  </si>
  <si>
    <t>NCAA Notre Dame</t>
  </si>
  <si>
    <t>NCAA Michigan</t>
  </si>
  <si>
    <t>NCAA Michigan Tech</t>
  </si>
  <si>
    <t>NCAA Michigan Wolverines</t>
  </si>
  <si>
    <t>NCAA Louisville</t>
  </si>
  <si>
    <t>NCAA Michigan State</t>
  </si>
  <si>
    <t>NCAA Indiana</t>
  </si>
  <si>
    <t>NCAA Memphis</t>
  </si>
  <si>
    <t>NCAA Houston</t>
  </si>
  <si>
    <t>NCAA Miami Of Ohio</t>
  </si>
  <si>
    <t>NCAA Georgia Tech</t>
  </si>
  <si>
    <t>NCAA Georgia Southern University</t>
  </si>
  <si>
    <t>NCAA Clemson</t>
  </si>
  <si>
    <t>NCAA East Carolina University</t>
  </si>
  <si>
    <t>NCAA Florida Gators</t>
  </si>
  <si>
    <t>NCAA Duke</t>
  </si>
  <si>
    <t>NCAA Eastern Kentucky</t>
  </si>
  <si>
    <t>NCAA Georgetown</t>
  </si>
  <si>
    <t>NCAA Coastal Carolina University</t>
  </si>
  <si>
    <t>NCAA Colorado State</t>
  </si>
  <si>
    <t>NCAA Georgia</t>
  </si>
  <si>
    <t>NCAA Citadel</t>
  </si>
  <si>
    <t>NCAA Creighton</t>
  </si>
  <si>
    <t>NCAA Central Michigan</t>
  </si>
  <si>
    <t>NCAA Boston College</t>
  </si>
  <si>
    <t>NCAA BYU</t>
  </si>
  <si>
    <t>NCAA Texas A&amp;M</t>
  </si>
  <si>
    <t>NCAA Butler University</t>
  </si>
  <si>
    <t>NCAA TCU</t>
  </si>
  <si>
    <t>NFL Dallas Cowboys</t>
  </si>
  <si>
    <t>NFL Philadelphia Eagles</t>
  </si>
  <si>
    <t>NCAA Virginia Tech</t>
  </si>
  <si>
    <t>NFL Los Angeles Chargers</t>
  </si>
  <si>
    <t>NCAA University Of Southern California</t>
  </si>
  <si>
    <t>NCAA Boise State</t>
  </si>
  <si>
    <t>NFL Tennessee Titans</t>
  </si>
  <si>
    <t>NCAA Louisiana State</t>
  </si>
  <si>
    <t>NCAA U.S Military Academy</t>
  </si>
  <si>
    <t>NHL Seattle Kraken</t>
  </si>
  <si>
    <t>AFC Bournemouth</t>
  </si>
  <si>
    <t>Brighton and Hove Albion</t>
  </si>
  <si>
    <t>Arsenal</t>
  </si>
  <si>
    <t>Everton</t>
  </si>
  <si>
    <t>Chelsea</t>
  </si>
  <si>
    <t>Crystal Palace</t>
  </si>
  <si>
    <t>Liverpool</t>
  </si>
  <si>
    <t>Leicester City</t>
  </si>
  <si>
    <t>Fulham</t>
  </si>
  <si>
    <t>Aston Villa</t>
  </si>
  <si>
    <t>Brentford</t>
  </si>
  <si>
    <t>Leeds United</t>
  </si>
  <si>
    <t>FC Bayern München</t>
  </si>
  <si>
    <t>SV Werder Bremen</t>
  </si>
  <si>
    <t>RB Leipzig</t>
  </si>
  <si>
    <t>Manchester City</t>
  </si>
  <si>
    <t>1. FC Köln</t>
  </si>
  <si>
    <t>Bayer 04 Leverkusen</t>
  </si>
  <si>
    <t>Tottenham Hotspur</t>
  </si>
  <si>
    <t>West Ham United</t>
  </si>
  <si>
    <t>VfB Stuttgart</t>
  </si>
  <si>
    <t>VfL Bochum 1848</t>
  </si>
  <si>
    <t>FC Schalke 04</t>
  </si>
  <si>
    <t>Wolverhampton Wanderers</t>
  </si>
  <si>
    <t>1. FC Union Berlin</t>
  </si>
  <si>
    <t>VfL Wolfsburg</t>
  </si>
  <si>
    <t>TSG Hoffenheim</t>
  </si>
  <si>
    <t>Hertha Berlin</t>
  </si>
  <si>
    <t>SC Freiburg</t>
  </si>
  <si>
    <t>FC Augsburg</t>
  </si>
  <si>
    <t>1. FSV Mainz 05</t>
  </si>
  <si>
    <t>Nottingham Forest</t>
  </si>
  <si>
    <t>Southampton</t>
  </si>
  <si>
    <t>Borussia Dortmund</t>
  </si>
  <si>
    <t>Manchester United</t>
  </si>
  <si>
    <t>Eintracht Frankfurt</t>
  </si>
  <si>
    <t>Borussia Mönchengladbach</t>
  </si>
  <si>
    <t>Newcastle United</t>
  </si>
  <si>
    <t>Club Atlético de Madrid SAD</t>
  </si>
  <si>
    <t>Real Club Celta de Vigo SAD</t>
  </si>
  <si>
    <t>Rayo Vallecano de Madrid SAD</t>
  </si>
  <si>
    <t>Valencia Club de Fútbol SAD</t>
  </si>
  <si>
    <t>Club Atlético Osasuna</t>
  </si>
  <si>
    <t>Real Club Deportivo Mallorca SAD</t>
  </si>
  <si>
    <t>Real Sociedad de Fútbol SAD</t>
  </si>
  <si>
    <t>Sevilla Fútbol Club SAD</t>
  </si>
  <si>
    <t>Unión Deportiva Almería SAD</t>
  </si>
  <si>
    <t>Fútbol Club Barcelona</t>
  </si>
  <si>
    <t>RCD Espanyol de Barcelona</t>
  </si>
  <si>
    <t>Cádiz Club de Fútbol SAD</t>
  </si>
  <si>
    <t>Villarreal Club de Fútbol SAD</t>
  </si>
  <si>
    <t>Getafe Club de Fútbol SAD</t>
  </si>
  <si>
    <t>Girona Fútbol Club SAD</t>
  </si>
  <si>
    <t>Elche Club de Fútbol SAD</t>
  </si>
  <si>
    <t>Real Betis Balompié SAD</t>
  </si>
  <si>
    <t>Real Valladolid Club de Fútbol SAD</t>
  </si>
  <si>
    <t>Athletic Club</t>
  </si>
  <si>
    <t>Real Madrid Club de Fútbol</t>
  </si>
  <si>
    <t>Associazione Calcio Monza S.P.A.</t>
  </si>
  <si>
    <t>Atalanta Bergamasca Calcio S.P.A.</t>
  </si>
  <si>
    <t>Torino Football Club S.P.A.</t>
  </si>
  <si>
    <t>Roma Associazione Sportiva S.P.A.</t>
  </si>
  <si>
    <t>Juventus Football Club S.P.A.</t>
  </si>
  <si>
    <t>Sassuolo Calcio Unione Sportiva S.R.L.</t>
  </si>
  <si>
    <t>Milan Associazione Calcio S.P.A.</t>
  </si>
  <si>
    <t>Udinese Calcio S.P.A.</t>
  </si>
  <si>
    <t>Bologna Football Club 1909 S.P.A.</t>
  </si>
  <si>
    <t>Unione Sportiva Cremonese</t>
  </si>
  <si>
    <t>Spezia Calcio S.R.L.</t>
  </si>
  <si>
    <t>Fiorentina Acf S.P.A.</t>
  </si>
  <si>
    <t>Sampdoria Unione Calcio S.P.A</t>
  </si>
  <si>
    <t>U.S. Salernitana 1919 S.R.L.</t>
  </si>
  <si>
    <t>Empoli Football Club S.P.A.</t>
  </si>
  <si>
    <t>Unione Sportiva Lecce S.P.A.</t>
  </si>
  <si>
    <t>Napoli Societa' Sportiva Calcio S.P.A.</t>
  </si>
  <si>
    <t>Hellas Verona Football Club S.P.A.</t>
  </si>
  <si>
    <t>Internazionale Football Club S.P.A.</t>
  </si>
  <si>
    <t>Lazio Societa' Sportiva S.P.A.</t>
  </si>
  <si>
    <t>Angers SCO</t>
  </si>
  <si>
    <t>FC Nantes</t>
  </si>
  <si>
    <t>FC Metz</t>
  </si>
  <si>
    <t>Olympique De Marseille</t>
  </si>
  <si>
    <t>Olympique Lyonnais</t>
  </si>
  <si>
    <t>Losc Lille</t>
  </si>
  <si>
    <t>Montpellier Hérault SC</t>
  </si>
  <si>
    <t>RC Lens</t>
  </si>
  <si>
    <t>Paris Saint-Germain</t>
  </si>
  <si>
    <t>OGC Nice</t>
  </si>
  <si>
    <t>FC Lorient</t>
  </si>
  <si>
    <t>RC Strasbourg Alsace</t>
  </si>
  <si>
    <t>Estac Troyes</t>
  </si>
  <si>
    <t>Stade Brestois 29</t>
  </si>
  <si>
    <t>AS Monaco</t>
  </si>
  <si>
    <t>AS Saint-Étienne</t>
  </si>
  <si>
    <t>FC Girondins De Bordeaux</t>
  </si>
  <si>
    <t>Stade Rennais FC</t>
  </si>
  <si>
    <t>Clermont Foot 63</t>
  </si>
  <si>
    <t>Stade De Reims</t>
  </si>
  <si>
    <t>CFL Hamilton Tiger-Cats</t>
  </si>
  <si>
    <t>CFL Toronto Argonauts</t>
  </si>
  <si>
    <t>MLS Minnesota United FC</t>
  </si>
  <si>
    <t>MLS Los Angeles FC</t>
  </si>
  <si>
    <t>MLS Montreal Impact</t>
  </si>
  <si>
    <t>MLS Orlando City</t>
  </si>
  <si>
    <t>CFL Winnipeg Blue Bombers</t>
  </si>
  <si>
    <t>MLB Boston Braves</t>
  </si>
  <si>
    <t>AFL Hollywood Rangers</t>
  </si>
  <si>
    <t>MLS Chicago Fire</t>
  </si>
  <si>
    <t>Alabama Agricultural &amp; Mechanical University</t>
  </si>
  <si>
    <t>MLB 1966 California Angels</t>
  </si>
  <si>
    <t>MLS Kansas City Sporting</t>
  </si>
  <si>
    <t>MLS New York Red Bulls</t>
  </si>
  <si>
    <t>MLS New England Revolution</t>
  </si>
  <si>
    <t>MLS New York City FC</t>
  </si>
  <si>
    <t>MLS Cincinnati FC</t>
  </si>
  <si>
    <t>MLS Atlanta Dream</t>
  </si>
  <si>
    <t>MLS Colorado Rapids</t>
  </si>
  <si>
    <t>MLS Houston Dynamo</t>
  </si>
  <si>
    <t>MLS Philadelphia Union</t>
  </si>
  <si>
    <t>MLB 1944 Brooklyn Dodgers</t>
  </si>
  <si>
    <t>MLB 1954 Philadelphia Athletics</t>
  </si>
  <si>
    <t>MLS D.C. United</t>
  </si>
  <si>
    <t>CFL Edmonton Elks</t>
  </si>
  <si>
    <t>MLS Columbus Crew</t>
  </si>
  <si>
    <t>MLB Brooklyn Dodgers</t>
  </si>
  <si>
    <t>MLS Atlanta United</t>
  </si>
  <si>
    <t>CFL Montreal Alouettes</t>
  </si>
  <si>
    <t>MLB 1990 Montreal Expos</t>
  </si>
  <si>
    <t>CFL Saskatchewan Roughriders</t>
  </si>
  <si>
    <t>MLB 1998 Tampa Bay Devil Rays</t>
  </si>
  <si>
    <t>MLS Dallas FC</t>
  </si>
  <si>
    <t>MLS LA Galaxy</t>
  </si>
  <si>
    <t>MLS Portland Timbers</t>
  </si>
  <si>
    <t>NCAA Kentucky</t>
  </si>
  <si>
    <t>NCAA Kent State</t>
  </si>
  <si>
    <t>NCAA Lamar Cardinals and Lady Cardinals</t>
  </si>
  <si>
    <t>MLS Real Salt Lake</t>
  </si>
  <si>
    <t>NCAA South Florida</t>
  </si>
  <si>
    <t>NCAA Truman State</t>
  </si>
  <si>
    <t>NCAA Tulane</t>
  </si>
  <si>
    <t>World Cup England</t>
  </si>
  <si>
    <t>NCAA Kennesaw State</t>
  </si>
  <si>
    <t>NCAA Idaho State</t>
  </si>
  <si>
    <t>NCAA Illinois</t>
  </si>
  <si>
    <t>NCAA Kansas City</t>
  </si>
  <si>
    <t>NCAA Idaho Vandals</t>
  </si>
  <si>
    <t>NCAA Jacksonville</t>
  </si>
  <si>
    <t>NCAA Kentucky State</t>
  </si>
  <si>
    <t>NCAA George Mason</t>
  </si>
  <si>
    <t>NCAA Alabama - Huntsville</t>
  </si>
  <si>
    <t>NCAA Grand Valley State</t>
  </si>
  <si>
    <t>NCAA Idaho</t>
  </si>
  <si>
    <t>NCAA Louisiana - Monroe</t>
  </si>
  <si>
    <t>MLS Toronto FC</t>
  </si>
  <si>
    <t>NCAA Long Beach State</t>
  </si>
  <si>
    <t>NCAA Akron Zips</t>
  </si>
  <si>
    <t>NCAA McNeese State</t>
  </si>
  <si>
    <t>NCAA Alabama State</t>
  </si>
  <si>
    <t>NCAA Minnesota Duluth</t>
  </si>
  <si>
    <t>MLS Seattle Sounders</t>
  </si>
  <si>
    <t>NCAA Maine</t>
  </si>
  <si>
    <t>NCAA New Orleans</t>
  </si>
  <si>
    <t>NCAA Hawaii</t>
  </si>
  <si>
    <t>NCAA Alabama A &amp; M</t>
  </si>
  <si>
    <t>NCAA Marquette</t>
  </si>
  <si>
    <t>NCAA Jackson State</t>
  </si>
  <si>
    <t>NCAA Missouri Western State</t>
  </si>
  <si>
    <t>NCAA Florida State</t>
  </si>
  <si>
    <t>NCAA Morehead State</t>
  </si>
  <si>
    <t>NCAA Miami Florida</t>
  </si>
  <si>
    <t>NCAA Minot State</t>
  </si>
  <si>
    <t>NCAA Louisiana</t>
  </si>
  <si>
    <t>NCAA Minnesota</t>
  </si>
  <si>
    <t>NCAA Missouri</t>
  </si>
  <si>
    <t>NCAA Ferris State</t>
  </si>
  <si>
    <t>NCAA Cornell</t>
  </si>
  <si>
    <t>NCAA Bowling Green State</t>
  </si>
  <si>
    <t>NCAA Eastern Washington</t>
  </si>
  <si>
    <t>NCAA Bethune Cookman</t>
  </si>
  <si>
    <t>NCAA Ball State</t>
  </si>
  <si>
    <t>NCAA Davidson</t>
  </si>
  <si>
    <t>NCAA Eastern Carolina</t>
  </si>
  <si>
    <t>NCAA Colgate</t>
  </si>
  <si>
    <t>NCAA Bucknell</t>
  </si>
  <si>
    <t>NCAA Colorado</t>
  </si>
  <si>
    <t>NCAA Clark Atlanta</t>
  </si>
  <si>
    <t>NCAA Duquesne</t>
  </si>
  <si>
    <t>NCAA Baylor</t>
  </si>
  <si>
    <t>World Cup United States</t>
  </si>
  <si>
    <t>NCAA Arizona State</t>
  </si>
  <si>
    <t>NCAA Buffalo</t>
  </si>
  <si>
    <t>NCAA Brown</t>
  </si>
  <si>
    <t>NCAA Elon</t>
  </si>
  <si>
    <t>World Cup Portugal</t>
  </si>
  <si>
    <t>World Cup Italy</t>
  </si>
  <si>
    <t>NCAA Louisiana Ragin' Cajuns</t>
  </si>
  <si>
    <t>World Cup Mexico</t>
  </si>
  <si>
    <t>MLS Vancouver Whitecaps</t>
  </si>
  <si>
    <t>NCAA Delaware</t>
  </si>
  <si>
    <t>NCAA Boston University</t>
  </si>
  <si>
    <t>NCAA William &amp; Mary</t>
  </si>
  <si>
    <t>NFL Seattle Bombers</t>
  </si>
  <si>
    <t>NFL Boston Shamrocks</t>
  </si>
  <si>
    <t>NHL New Orleans Brass</t>
  </si>
  <si>
    <t>World Cup Australia</t>
  </si>
  <si>
    <t>NCAA Yale</t>
  </si>
  <si>
    <t>NCAA Wyoming</t>
  </si>
  <si>
    <t>NCAA Louisiana Tech</t>
  </si>
  <si>
    <t>NCAA Detroit Mercy</t>
  </si>
  <si>
    <t>MLS San Jose Earthquake</t>
  </si>
  <si>
    <t>NFL Calgary Stampeders</t>
  </si>
  <si>
    <t>World Cup France</t>
  </si>
  <si>
    <t>NCAA Wyoming State</t>
  </si>
  <si>
    <t>NCAA Gonzaga</t>
  </si>
  <si>
    <t>NFL Washington Senators</t>
  </si>
  <si>
    <t>NCAA Youngstown State</t>
  </si>
  <si>
    <t>NCAA Cal State Fullerton</t>
  </si>
  <si>
    <t>NCAA Hampton</t>
  </si>
  <si>
    <t>NCAA California State</t>
  </si>
  <si>
    <t>NCAA Arkansas State</t>
  </si>
  <si>
    <t>NHL Baltimore Clippers</t>
  </si>
  <si>
    <t>World Cup Spain</t>
  </si>
  <si>
    <t>NCAA Alaska</t>
  </si>
  <si>
    <t>NCAA Mercer</t>
  </si>
  <si>
    <t>NCAA Bemidji State</t>
  </si>
  <si>
    <t>NCAA Wright State</t>
  </si>
  <si>
    <t>NCAA Florida Gulf Coast</t>
  </si>
  <si>
    <t>NCAA Minnesota State</t>
  </si>
  <si>
    <t>NCAA Campbell</t>
  </si>
  <si>
    <t>NCAA DePaul</t>
  </si>
  <si>
    <t>NCAA Indiana State</t>
  </si>
  <si>
    <t>NCAA Bradley</t>
  </si>
  <si>
    <t>NCAA Fresno State</t>
  </si>
  <si>
    <t>NCAA Arkansas</t>
  </si>
  <si>
    <t>NCAA Georgia State</t>
  </si>
  <si>
    <t>NCAA Cal Berkeley</t>
  </si>
  <si>
    <t>NCAA Hartford</t>
  </si>
  <si>
    <t>NCAA Charleston Southern</t>
  </si>
  <si>
    <t>NCAA Brooklyn</t>
  </si>
  <si>
    <t>Premier League Team Swansea City</t>
  </si>
  <si>
    <t>World Cup Germany</t>
  </si>
  <si>
    <t>NCAA George Washington</t>
  </si>
  <si>
    <t>NCAA Columbia</t>
  </si>
  <si>
    <t>NCAA Iowa State</t>
  </si>
  <si>
    <t>NCAA East Tennessee State</t>
  </si>
  <si>
    <t>NCAA Eastern Illinois</t>
  </si>
  <si>
    <t>NCAA Cleveland State</t>
  </si>
  <si>
    <t>NCAA Auburn</t>
  </si>
  <si>
    <t>NCAA Concordia</t>
  </si>
  <si>
    <t>NCAA Kansas State</t>
  </si>
  <si>
    <t>NBA Seattle Super Sonics</t>
  </si>
  <si>
    <t>NCAA Denver</t>
  </si>
  <si>
    <t>NCAA Montana</t>
  </si>
  <si>
    <t>NCAA Albany State</t>
  </si>
  <si>
    <t>NCAA Marine Corps</t>
  </si>
  <si>
    <t>NCAA Western Michigan</t>
  </si>
  <si>
    <t>NCAA Chattanooga Mocs</t>
  </si>
  <si>
    <t>NCAA Loyola Chicago</t>
  </si>
  <si>
    <t>NCAA New Mexico</t>
  </si>
  <si>
    <t>NCAA Dartmouth</t>
  </si>
  <si>
    <t>NCAA Morehouse</t>
  </si>
  <si>
    <t>NCAA Montana State</t>
  </si>
  <si>
    <t>NCAA MIT</t>
  </si>
  <si>
    <t>NHL Atlanta Thrashers</t>
  </si>
  <si>
    <t>NCAA Arizona</t>
  </si>
  <si>
    <t>NCAA Appalachian State</t>
  </si>
  <si>
    <t>NCAA Iowa</t>
  </si>
  <si>
    <t>NCAA Middle Tennessee State</t>
  </si>
  <si>
    <t>NCAA Marshall</t>
  </si>
  <si>
    <t>NCAA Kansas</t>
  </si>
  <si>
    <t>NCAA Milwaukee</t>
  </si>
  <si>
    <t>NCAA Cincinnati</t>
  </si>
  <si>
    <t>NCAA Dayton</t>
  </si>
  <si>
    <t>NCAA Emporia State</t>
  </si>
  <si>
    <t>NCAA Nicholls State</t>
  </si>
  <si>
    <t>NCAA Virginia Military Institute</t>
  </si>
  <si>
    <t>NCAA Nevada</t>
  </si>
  <si>
    <t>NCAA Weber State</t>
  </si>
  <si>
    <t>NCAA Washington Capitals</t>
  </si>
  <si>
    <t>NCAA Washington</t>
  </si>
  <si>
    <t>NCAA Wofford</t>
  </si>
  <si>
    <t>Premier League Team Norwich City</t>
  </si>
  <si>
    <t>NCAA Western Carolina</t>
  </si>
  <si>
    <t>NCAA Virginia Commonwealth</t>
  </si>
  <si>
    <t>NCAA Western Kentucky</t>
  </si>
  <si>
    <t>NCAA Virginia</t>
  </si>
  <si>
    <t>NCAA Nebraska Wesleyan</t>
  </si>
  <si>
    <t>NCAA South Dakota State</t>
  </si>
  <si>
    <t>NCAA New Hampshire</t>
  </si>
  <si>
    <t>NCAA Utah State</t>
  </si>
  <si>
    <t>NCAA Valdosta State</t>
  </si>
  <si>
    <t>NCAA Cal Poly</t>
  </si>
  <si>
    <t>NCAA Vanderbilt</t>
  </si>
  <si>
    <t>NCAA UChicago</t>
  </si>
  <si>
    <t>NCAA UConn</t>
  </si>
  <si>
    <t>NCAA New Mexico State</t>
  </si>
  <si>
    <t>NCAA Virginia State</t>
  </si>
  <si>
    <t>NCAA South Carolina State</t>
  </si>
  <si>
    <t>NCAA Texas Tech</t>
  </si>
  <si>
    <t>NCAA Wichita State</t>
  </si>
  <si>
    <t>NCAA UMass</t>
  </si>
  <si>
    <t>NCAA Tulsa</t>
  </si>
  <si>
    <t>NCAA NC State</t>
  </si>
  <si>
    <t>NCAA St. John's</t>
  </si>
  <si>
    <t>NCAA Southwest Minnesota State</t>
  </si>
  <si>
    <t>NCAA Washington State</t>
  </si>
  <si>
    <t>NCAA Wake Forest</t>
  </si>
  <si>
    <t>NCAA UNC Wilmington</t>
  </si>
  <si>
    <t>NCAA Nebraska - Lincoln</t>
  </si>
  <si>
    <t>NCAA Vermont</t>
  </si>
  <si>
    <t>NCAA UNC Asheville</t>
  </si>
  <si>
    <t>NCAA Southern Mississippi</t>
  </si>
  <si>
    <t>NCAA Southern</t>
  </si>
  <si>
    <t>NCAA Seattle</t>
  </si>
  <si>
    <t>NCAA Saint Joseph's</t>
  </si>
  <si>
    <t>NCAA West Virginia</t>
  </si>
  <si>
    <t>NCAA Tennessee Tech</t>
  </si>
  <si>
    <t>NCAA San Diego</t>
  </si>
  <si>
    <t>NCAA North Dakota State</t>
  </si>
  <si>
    <t>NCAA South Alabama</t>
  </si>
  <si>
    <t>NCAA Stanford</t>
  </si>
  <si>
    <t>NCAA Sacramento State</t>
  </si>
  <si>
    <t>NCAA Toledo</t>
  </si>
  <si>
    <t>NCAA Rutgers</t>
  </si>
  <si>
    <t>NCAA Northern Illinois</t>
  </si>
  <si>
    <t>NCAA Northwestern</t>
  </si>
  <si>
    <t>NCAA Alcorn State</t>
  </si>
  <si>
    <t>NHL San Francisco Seals</t>
  </si>
  <si>
    <t>NCAA Maryland</t>
  </si>
  <si>
    <t>NCAA Alabama - Birmingham</t>
  </si>
  <si>
    <t>NCAA Eastern Michigan</t>
  </si>
  <si>
    <t>NCAA Illinois State</t>
  </si>
  <si>
    <t>NCAA Southern Illinois</t>
  </si>
  <si>
    <t>NCAA St. Joseph's</t>
  </si>
  <si>
    <t>NCAA San Diego State</t>
  </si>
  <si>
    <t>NCAA South Dakota</t>
  </si>
  <si>
    <t>NCAA Northern Arizona</t>
  </si>
  <si>
    <t>NCAA North Carolina State</t>
  </si>
  <si>
    <t>NCAA Northern Iowa</t>
  </si>
  <si>
    <t>NCAA Toronto</t>
  </si>
  <si>
    <t>NCAA Portland</t>
  </si>
  <si>
    <t>NCAA Saint Louis</t>
  </si>
  <si>
    <t>NCAA San Francisco</t>
  </si>
  <si>
    <t>NCAA Oregon</t>
  </si>
  <si>
    <t>NCAA San Jose State</t>
  </si>
  <si>
    <t>NCAA Valparaiso</t>
  </si>
  <si>
    <t>NCAA Sioux Falls</t>
  </si>
  <si>
    <t>NCAA Temple</t>
  </si>
  <si>
    <t>NCAA Washington and Lee</t>
  </si>
  <si>
    <t>NCAA Sam Houston State</t>
  </si>
  <si>
    <t>NCAA U.S. Coast Guard Academy</t>
  </si>
  <si>
    <t>NCAA Oakland</t>
  </si>
  <si>
    <t>NCAA Regent</t>
  </si>
  <si>
    <t>NCAA Rockies - Colorado</t>
  </si>
  <si>
    <t>NCAA Southeastern Louisiana</t>
  </si>
  <si>
    <t>NCAA Northern Michigan</t>
  </si>
  <si>
    <t>NCAA Ohio Dominican</t>
  </si>
  <si>
    <t>NCAA NYU</t>
  </si>
  <si>
    <t>NCAA Northern State Wolves</t>
  </si>
  <si>
    <t>NCAA Texas - El Paso</t>
  </si>
  <si>
    <t>NCAA South Carolina Gamecocks</t>
  </si>
  <si>
    <t>NCAA Texas - San Antonio</t>
  </si>
  <si>
    <t>NCAA North Florida</t>
  </si>
  <si>
    <t>NCAA Virginia Wesleyan</t>
  </si>
  <si>
    <t>NCAA Tennessee State</t>
  </si>
  <si>
    <t>NCAA Richmond</t>
  </si>
  <si>
    <t>NCAA Rhode Island</t>
  </si>
  <si>
    <t>NCAA Stephen F. Austin State</t>
  </si>
  <si>
    <t>NCAA North Texas University</t>
  </si>
  <si>
    <t>NCAA Old Dominion</t>
  </si>
  <si>
    <t>NCAA Rice</t>
  </si>
  <si>
    <t>NCAA Texas - Rio Grande Valley</t>
  </si>
  <si>
    <t>NCAA Oregon State</t>
  </si>
  <si>
    <t xml:space="preserve">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t>
  </si>
  <si>
    <t>Justice League (All Characters)</t>
  </si>
  <si>
    <t>Disney Princesses (All Characters)</t>
  </si>
  <si>
    <t>The Avengers (All Characters)</t>
  </si>
  <si>
    <t>Mickey Mouse Clubhouse</t>
  </si>
  <si>
    <t>Harry Potter</t>
  </si>
  <si>
    <t>Frozen</t>
  </si>
  <si>
    <t>Charlie Brown</t>
  </si>
  <si>
    <t>Dr. Seuss</t>
  </si>
  <si>
    <t>Disney Fairies (All Characters)</t>
  </si>
  <si>
    <t>Star Wars</t>
  </si>
  <si>
    <t>Toy Story</t>
  </si>
  <si>
    <t>The Little Mermaid</t>
  </si>
  <si>
    <t>The Wizard of Oz</t>
  </si>
  <si>
    <t>Teenage Mutant Ninja Turtles</t>
  </si>
  <si>
    <t>Finding Nemo</t>
  </si>
  <si>
    <t>Spongebob Squarepants</t>
  </si>
  <si>
    <t>Minions</t>
  </si>
  <si>
    <t>Cars</t>
  </si>
  <si>
    <t>Hello Kitty</t>
  </si>
  <si>
    <t>Angry Birds</t>
  </si>
  <si>
    <t>Dumbo</t>
  </si>
  <si>
    <t>The Big Bang Theory</t>
  </si>
  <si>
    <t>My Little Pony</t>
  </si>
  <si>
    <t>Thomas The Tank Engine &amp; Friends</t>
  </si>
  <si>
    <t>Betty Boop</t>
  </si>
  <si>
    <t>Doc McStuffins</t>
  </si>
  <si>
    <t>Tom &amp; Jerry</t>
  </si>
  <si>
    <t>Dragons</t>
  </si>
  <si>
    <t>Berenstain Bears</t>
  </si>
  <si>
    <t>The Walking Dead</t>
  </si>
  <si>
    <t>Winnie the Pooh</t>
  </si>
  <si>
    <t>Scooby-Doo</t>
  </si>
  <si>
    <t>Beauty &amp; the Beast</t>
  </si>
  <si>
    <t>Bubble Guppies</t>
  </si>
  <si>
    <t>Monsters Inc.</t>
  </si>
  <si>
    <t>Looney Tunes</t>
  </si>
  <si>
    <t>Pokemon</t>
  </si>
  <si>
    <t>The Lion King</t>
  </si>
  <si>
    <t>Sesame Street</t>
  </si>
  <si>
    <t>Barbie</t>
  </si>
  <si>
    <t>Asterix</t>
  </si>
  <si>
    <t>Dora the Explorer</t>
  </si>
  <si>
    <t>Star Trek</t>
  </si>
  <si>
    <t>The Muppets</t>
  </si>
  <si>
    <t>Curious George</t>
  </si>
  <si>
    <t>The Simpsons</t>
  </si>
  <si>
    <t>Yogi Bear and Friends</t>
  </si>
  <si>
    <t>Angelina Ballerina</t>
  </si>
  <si>
    <t>The Polar Express</t>
  </si>
  <si>
    <t>Peter Pan</t>
  </si>
  <si>
    <t>Jake and the Neverland Pirates</t>
  </si>
  <si>
    <t>Pinocchio</t>
  </si>
  <si>
    <t>Frankenstein</t>
  </si>
  <si>
    <t>Sofia the First</t>
  </si>
  <si>
    <t>Peter Rabbit</t>
  </si>
  <si>
    <t>Planes</t>
  </si>
  <si>
    <t>Despicable Me</t>
  </si>
  <si>
    <t>Alice In Wonderland</t>
  </si>
  <si>
    <t>A Nightmare On Elm Street</t>
  </si>
  <si>
    <t>Among Us</t>
  </si>
  <si>
    <t>Bambi</t>
  </si>
  <si>
    <t>Baby Shark's Big Show</t>
  </si>
  <si>
    <t>A Christmas Story</t>
  </si>
  <si>
    <t>101 Dalmatians</t>
  </si>
  <si>
    <t>Avatar</t>
  </si>
  <si>
    <t>Captain Marvel</t>
  </si>
  <si>
    <t>DuckTales</t>
  </si>
  <si>
    <t>The Batman</t>
  </si>
  <si>
    <t>Fantastic Beasts and Where To Find Them</t>
  </si>
  <si>
    <t>The Office</t>
  </si>
  <si>
    <t>Blaze and the Monster Machines</t>
  </si>
  <si>
    <t>Blue's Clues</t>
  </si>
  <si>
    <t>Dance Moms</t>
  </si>
  <si>
    <t>Birds of Prey</t>
  </si>
  <si>
    <t>Black Panther</t>
  </si>
  <si>
    <t>E.T.</t>
  </si>
  <si>
    <t>Demon Slayer: Kimetsu no Yaiba</t>
  </si>
  <si>
    <t>Daniel Tiger's Neighborhood</t>
  </si>
  <si>
    <t>Finding Dory</t>
  </si>
  <si>
    <t>Beetlejuice</t>
  </si>
  <si>
    <t>Descendants</t>
  </si>
  <si>
    <t>Doom</t>
  </si>
  <si>
    <t>DC Super Hero Girls</t>
  </si>
  <si>
    <t>CoComelon</t>
  </si>
  <si>
    <t>City Streets</t>
  </si>
  <si>
    <t>Cruella</t>
  </si>
  <si>
    <t>Child's Play</t>
  </si>
  <si>
    <t>Darling In The FRANXX</t>
  </si>
  <si>
    <t>Encanto</t>
  </si>
  <si>
    <t>Fortnite</t>
  </si>
  <si>
    <t>Gravity Falls</t>
  </si>
  <si>
    <t>Friends</t>
  </si>
  <si>
    <t>Genshin Impact</t>
  </si>
  <si>
    <t>Gudetama: An Eggcellent Adventure</t>
  </si>
  <si>
    <t>Ghostbusters</t>
  </si>
  <si>
    <t>Friday the 13th</t>
  </si>
  <si>
    <t>Guardians of the Galaxy</t>
  </si>
  <si>
    <t>Godzilla</t>
  </si>
  <si>
    <t>Gremlins</t>
  </si>
  <si>
    <t>Hawkeye</t>
  </si>
  <si>
    <t>IT</t>
  </si>
  <si>
    <t>JoJo Siwa</t>
  </si>
  <si>
    <t>Hulk</t>
  </si>
  <si>
    <t>Jujutsu Kaisen</t>
  </si>
  <si>
    <t>Hocus Pocus</t>
  </si>
  <si>
    <t>Lego</t>
  </si>
  <si>
    <t>L.O.L. Surprise</t>
  </si>
  <si>
    <t>Halo</t>
  </si>
  <si>
    <t>Lady and the Tramp</t>
  </si>
  <si>
    <t>Mira: Royal Detective</t>
  </si>
  <si>
    <t>Iron Man</t>
  </si>
  <si>
    <t>My Neighbor Totoro</t>
  </si>
  <si>
    <t>My Hero Academia</t>
  </si>
  <si>
    <t>Monster Jam</t>
  </si>
  <si>
    <t>Lilo &amp; Stitch</t>
  </si>
  <si>
    <t>Naruto</t>
  </si>
  <si>
    <t>Monopoly</t>
  </si>
  <si>
    <t>Power Rangers</t>
  </si>
  <si>
    <t>Step Brothers</t>
  </si>
  <si>
    <t>Jurassic World</t>
  </si>
  <si>
    <t>Spirited Away</t>
  </si>
  <si>
    <t>Spider-Man</t>
  </si>
  <si>
    <t>Mario Kart</t>
  </si>
  <si>
    <t>PJ Masks</t>
  </si>
  <si>
    <t>Space Jam</t>
  </si>
  <si>
    <t>Squad Goals</t>
  </si>
  <si>
    <t>Sleeping Beauty</t>
  </si>
  <si>
    <t>Kung Fu Panda</t>
  </si>
  <si>
    <t>Puppy Dog Pals</t>
  </si>
  <si>
    <t>Space Jam 2</t>
  </si>
  <si>
    <t>Loki - Marvel</t>
  </si>
  <si>
    <t>Luca</t>
  </si>
  <si>
    <t>Rocky</t>
  </si>
  <si>
    <t>Rick and Morty</t>
  </si>
  <si>
    <t>Raya and The Last Dragon</t>
  </si>
  <si>
    <t>Squid Games</t>
  </si>
  <si>
    <t>Peppa Pig</t>
  </si>
  <si>
    <t>Stranger Things</t>
  </si>
  <si>
    <t>Lost in Space</t>
  </si>
  <si>
    <t>Moana</t>
  </si>
  <si>
    <t>Paw Patrol</t>
  </si>
  <si>
    <t>Party Town</t>
  </si>
  <si>
    <t>Minecraft</t>
  </si>
  <si>
    <t>Shopkins</t>
  </si>
  <si>
    <t>Spies in Space</t>
  </si>
  <si>
    <t>Snow White and the Seven Dwarfs</t>
  </si>
  <si>
    <t>Jaws</t>
  </si>
  <si>
    <t>Pocoyo</t>
  </si>
  <si>
    <t>Rudolph the Red-Nosed Reindeer</t>
  </si>
  <si>
    <t>Sonic the Hedgehog</t>
  </si>
  <si>
    <t>Superman</t>
  </si>
  <si>
    <t>Suicide Squad</t>
  </si>
  <si>
    <t>Wonder Woman</t>
  </si>
  <si>
    <t>The Mandalorian</t>
  </si>
  <si>
    <t>The Ring of Fire</t>
  </si>
  <si>
    <t>The Pirates of The Caribbean</t>
  </si>
  <si>
    <t>Trolls</t>
  </si>
  <si>
    <t>The Matrix</t>
  </si>
  <si>
    <t>The Sandlot</t>
  </si>
  <si>
    <t>Tron</t>
  </si>
  <si>
    <t>The Aristocats</t>
  </si>
  <si>
    <t>The Nightmare Before Christmas</t>
  </si>
  <si>
    <t>The Lion Guard</t>
  </si>
  <si>
    <t>The Grinch</t>
  </si>
  <si>
    <t>The Golden Girls</t>
  </si>
  <si>
    <t>Top Gun</t>
  </si>
  <si>
    <t>The Eternals</t>
  </si>
  <si>
    <t>The Lord of the Rings</t>
  </si>
  <si>
    <t>The Peanuts Movie</t>
  </si>
  <si>
    <t>The Octonauts</t>
  </si>
  <si>
    <t>The Godfather</t>
  </si>
  <si>
    <t>Texas Chainsaw Massacre</t>
  </si>
  <si>
    <t>To All The Boys</t>
  </si>
  <si>
    <t>Bluey - Bluey</t>
  </si>
  <si>
    <t>Dungeons &amp; Dragons</t>
  </si>
  <si>
    <t>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t>
  </si>
  <si>
    <t>Breathable</t>
  </si>
  <si>
    <t>Dual Sided</t>
  </si>
  <si>
    <t>Paintable / Stainable</t>
  </si>
  <si>
    <t>No General Features</t>
  </si>
  <si>
    <t>General Features Definitions</t>
  </si>
  <si>
    <t>Refers to a material's ability to allow air to circulate and moisture vapor to pass through its structure. This property facilitates temperature regulation and prevents the accumulation of heat and moisture, enhancing overall comfort and hygiene.</t>
  </si>
  <si>
    <t>Refers to an item that features two usable surfaces or sides, often characterized by being reversible or having functional elements and aesthetic finishes on both its front and back.</t>
  </si>
  <si>
    <t>Indicates the surface material is suitable for the application of paint, stain, or other finishes to achieve a desired color or protective coating without the need for extensive sanding or priming. This characteristic allows for aesthetic customization and surface protection across various material types.</t>
  </si>
  <si>
    <t>Aluminum</t>
  </si>
  <si>
    <t>Cast Iron</t>
  </si>
  <si>
    <t>Paper</t>
  </si>
  <si>
    <t>Plastic</t>
  </si>
  <si>
    <t>PVC</t>
  </si>
  <si>
    <t>Steel</t>
  </si>
  <si>
    <t>Solid Wood</t>
  </si>
  <si>
    <t>Vinyl</t>
  </si>
  <si>
    <t>Wood</t>
  </si>
  <si>
    <t>Fleece</t>
  </si>
  <si>
    <t>Grass Cloth</t>
  </si>
  <si>
    <t>MDF</t>
  </si>
  <si>
    <t>Non-Woven</t>
  </si>
  <si>
    <t>Particle Board / Chipboard</t>
  </si>
  <si>
    <t>Plywood / Laminate Board</t>
  </si>
  <si>
    <t>Paper / Printed Veneer</t>
  </si>
  <si>
    <t>Real Wood Veneer</t>
  </si>
  <si>
    <t>Material Definitions</t>
  </si>
  <si>
    <t>Aluminum is a lightweight, silvery-white, non-ferrous metal known for its excellent strength-to-weight ratio, malleability, and high natural resistance to corrosion and rust.</t>
  </si>
  <si>
    <t>A hard, dense, and brittle iron alloy with a high carbon content (2-4%). It is formed by casting and widely used for strong, durable, and decorative components.</t>
  </si>
  <si>
    <t>A flexible material made by weaving, knitting, or bonding natural or synthetic fibers. Use only as a general descriptor when the specific fiber content (e.g., cotton, polyester) is unknown or not the primary defining material.</t>
  </si>
  <si>
    <t>A material made primarily from cellulose fibers derived from plant sources or recycled materials. It is typically a lightweight, thin, and flexible sheet, but can also be used in dense, molded, or rigid forms like paperboard or cardboard.</t>
  </si>
  <si>
    <t>A synthetic polymer material that is lightweight, durable, moisture-resistant, and easily molded into a wide variety of forms. It encompasses common polymers such as polyethylene, polypropylene, and PVC, for use when plastic is a main or structural component of the product.</t>
  </si>
  <si>
    <t>Polyvinyl chloride (PVC) is a synthetic thermoplastic polymer known for its durability, flexibility, and resistance to moisture and chemicals. It can be manufactured as a rigid or flexible material.</t>
  </si>
  <si>
    <t>A durable, strong, and versatile metal alloy composed primarily of iron and carbon. Steel is valued for its high strength, rigidity, and resistance to deformation, often used for structural components. It may require a protective coating to prevent corrosion.</t>
  </si>
  <si>
    <t>Natural wood cut directly from a tree, used in its full solid form without manufactured layering, adhesives, fillers, or composite materials like plywood or MDF. It is valued for its strength, durability, and unique grain patterns.</t>
  </si>
  <si>
    <t>Synthetic plastic polymer, commonly polyvinyl chloride (PVC). Flexible and durable, it is valued for its water resistance, easy maintenance, and can be manufactured in both flexible and rigid forms.</t>
  </si>
  <si>
    <t>Natural, organic material derived from timber, used as a primary structural component. It is valued for its inherent strength, durability, and unique grain patterns and texture.</t>
  </si>
  <si>
    <t>A soft, synthetic knit fabric primarily made from polyester and engineered to mimic the insulating properties of wool. It features a napped, brushed surface that creates air pockets to trap body heat, resulting in a lightweight, breathable material with high thermal efficiency and moisture resistance.</t>
  </si>
  <si>
    <t>A traditional handwoven textile made from natural vegetable fibers such as ramie, hemp, jute, or flax. It is characterized by a plain, loose weave and a distinctively tactile, nubby surface that showcases the organic irregularities and subtle luster of the plant-based materials.</t>
  </si>
  <si>
    <t>Medium-Density Fiberboard (MDF) is an engineered wood product made by breaking down wood residuals into fine fibers, combining them with wax and resin binders, and forming dense panels under high heat and pressure. It features a smooth, uniform surface ideal for painting, machining, or veneering.</t>
  </si>
  <si>
    <t>A fabric-like material made from fibers bonded together through mechanical, thermal, or chemical processes rather than by weaving or knitting. This engineered structure creates a unified web or sheet that offers specific functional properties such as absorbency, filtration, or durability.</t>
  </si>
  <si>
    <t>Particle Board, also known as chipboard, is an engineered wood product manufactured by compressing wood chips, sawdust, or shavings with a synthetic resin binder under heat and pressure. It is a cost-effective, uniform substrate that is typically less dense and more susceptible to moisture than MDF or plywood.</t>
  </si>
  <si>
    <t>Plywood is an engineered wood panel made by gluing thin layers of wood veneer with alternating grain directions for enhanced strength and stability. Laminate board consists of a composite core, such as plywood or MDF, bonded with a durable decorative or protective synthetic surface layer.</t>
  </si>
  <si>
    <t>A thin layer of paper engineered with a printed pattern or design, typically mimicking wood grain or other natural materials, applied to a substrate material.</t>
  </si>
  <si>
    <t>A thin layer of genuine timber sliced from a tree log and bonded to a stable core substrate, retaining the natural grain, texture, and unique organic variations of solid wood.</t>
  </si>
  <si>
    <t>Newborn (Birth - 6 months old)</t>
  </si>
  <si>
    <t>Infant (6 - 12 Months)</t>
  </si>
  <si>
    <t>Toddler (1 - 3 Years)</t>
  </si>
  <si>
    <t>Pre-school (3 - 5 Years)</t>
  </si>
  <si>
    <t>Youth (5 - 8 Years)</t>
  </si>
  <si>
    <t>Pre-teen (9 - 12 Years)</t>
  </si>
  <si>
    <t>Teen (13+)</t>
  </si>
  <si>
    <t>Adult (18+)</t>
  </si>
  <si>
    <t>All Ages</t>
  </si>
  <si>
    <t>Adult</t>
  </si>
  <si>
    <t>Baby</t>
  </si>
  <si>
    <t>Kid</t>
  </si>
  <si>
    <t>Teen</t>
  </si>
  <si>
    <t>Toddler</t>
  </si>
  <si>
    <t>Age Group Definitions</t>
  </si>
  <si>
    <t>Designed or suitable for newborns from birth up to 6 months old, generally requiring maximum safety features and support.</t>
  </si>
  <si>
    <t>Products designed or intended for use by infants from 6 months up to 1 year of age. These items are developed to support developmental milestones such as sitting, crawling, and early standing while adhering to strict safety standards regarding materials and construction.</t>
  </si>
  <si>
    <t>Products designed or intended for children aged 12 months to 3 years (36 months). Items must adhere to strict safety standards for this age group, including regulations regarding small parts, choking hazards, and stable construction to support developing motor skills and safe exploration.</t>
  </si>
  <si>
    <t>Products intended for or safely usable by children in the preschool age range, approximately 3 to 5 years old. These items are designed to be developmentally appropriate for children refining motor skills and engaging in imaginative, social, or cooperative play.</t>
  </si>
  <si>
    <t>Intended for children aged 5 to 8 years, typically corresponding to early elementary or primary school levels. Products in this range are designed to accommodate the advancing motor skills, increased reasoning abilities, and developmental needs typical of youth in this age group.</t>
  </si>
  <si>
    <t>Products designed for or safe to be used by children aged 9 to 12 years, generally corresponding to the pre-teen or tween years. These items accommodate larger body sizes and support increasing independence, abstract thinking, and social development.</t>
  </si>
  <si>
    <t>Designed for or safe to be used by individuals ages 13 years and older, corresponding to teenagers and above. These products are typically sized and built to accommodate adolescent body size, weight, and interests, offering appropriate levels of durability and complexity.</t>
  </si>
  <si>
    <t>Products intended for use by adults aged 18 and older. These products are designed for adult physical and cognitive abilities and do not require child-specific safety adaptations or meet children's product safety standards.</t>
  </si>
  <si>
    <t>Products designed and determined to be safe for use across all age groups, from newborns through adults. These items feature universal designs or adjustable components that accommodate users of all ages and comply with safety standards relevant to the youngest intended user.</t>
  </si>
  <si>
    <t>Indicates that the product is designed for or intended to be used by individuals who have reached physical maturity or the legal age of majority. This classification typically emphasizes aesthetic, functional, or ergonomic features tailored to the needs and preferences of mature users.</t>
  </si>
  <si>
    <t>Refers to products specifically designed for infants and very young children, typically ranging from birth to approximately 24 months of age. These items prioritize safety, comfort, and developmental needs appropriate for this early life stage.</t>
  </si>
  <si>
    <t>Refers to a demographic stage of human development generally encompassing the period from early childhood through pre-adolescence, typically between the ages of 4 and 12 years. This classification follows the transition from toddlerhood and precedes the teenage years.</t>
  </si>
  <si>
    <t>Refers to individuals typically between the ages of 13 and 19. This classification identifies products designed for, or sized to accommodate, persons in this specific developmental stage between childhood and adulthood.</t>
  </si>
  <si>
    <t>Refers to a developmental stage in early childhood typically encompassing children between the ages of 1 and 3 years (12 to 36 months). This period is characterized by significant milestones in physical mobility, language acquisition, and increasing independence.</t>
  </si>
  <si>
    <t>Gloss</t>
  </si>
  <si>
    <t>Rubber Coated</t>
  </si>
  <si>
    <t>Neoprene Dipped</t>
  </si>
  <si>
    <t>Distressed</t>
  </si>
  <si>
    <t>Glitter / Shimmer</t>
  </si>
  <si>
    <t>Low-Gloss</t>
  </si>
  <si>
    <t>Metallic</t>
  </si>
  <si>
    <t>Primed</t>
  </si>
  <si>
    <t>Semi Gloss</t>
  </si>
  <si>
    <t>Finish Definitions</t>
  </si>
  <si>
    <t>A smooth, low-gloss finish that offers a soft sheen and subtle reflectivity, falling between matte and high-gloss finishes. It diffuses light for an understated appearance and is applicable to various materials and colors.</t>
  </si>
  <si>
    <t>A smooth, highly reflective finish characterized by a bright, mirror-like shine. Gloss finishes maximize light reflection and color vibrancy, providing a polished and sleek appearance distinct from matte, satin, or brushed finishes.</t>
  </si>
  <si>
    <t>A finish characterized by a surface layer or core coating of rubber. This application provides increased durability, impact resistance, and protection for surrounding surfaces. It also serves to reduce noise, enhance grip, and provide a non-slip, resilient quality to the product.</t>
  </si>
  <si>
    <t>A finish achieved by dipping an item into liquid neoprene, a synthetic rubber. This process creates a smooth, pliable, and grippy coating that provides slip resistance, shock absorption, and noise reduction while protecting the underlying material and contact surfaces.</t>
  </si>
  <si>
    <t>A finish that intentionally introduces visual texture, color variation, and an aged or weathered appearance to a surface. Distressing may involve irregular color, surface marks, or an uneven patina, resulting in a rustic, vintage, or industrial look.</t>
  </si>
  <si>
    <t>A decorative finish characterized by light-reflecting particles that create a sparkling, twinkling, or luminous effect. It ranges from finely milled mineral powders that provide a soft, radiant glow (shimmer) to larger, multi-faceted fragments that deliver a bold, high-impact glitz (glitter).</t>
  </si>
  <si>
    <t>A surface finish with minimal sheen and reflectivity, positioned between matte and standard gloss. Characterized by a subtle luster, low-gloss finishes help conceal minor surface imperfections while providing a soft, understated appearance.</t>
  </si>
  <si>
    <t>A flat, non-reflective finish with little to no sheen. Characterized by a smooth, low-luster surface that absorbs light rather than reflecting it, providing an understated appearance while effectively concealing fingerprints, dust, and minor surface imperfections.</t>
  </si>
  <si>
    <t>Refers to a surface finish or material appearance characterized by high luster, reflectivity, and a sheen reminiscent of solid metal. It typically features a smooth or textured quality that catches and reflects light to create a brilliant, polished, or shimmering effect.</t>
  </si>
  <si>
    <t>A preparatory coating applied to a surface to seal pores, enhance adhesion, and provide a stable base for subsequent layers of paint or stain. This initial finish is not intended as a final topcoat and indicates the item is ready for further finishing.</t>
  </si>
  <si>
    <t>A finish that offers a noticeable sheen and moderate reflectivity, falling between satin and high-gloss. Semi-gloss provides a smooth, lustrous surface that balances vibrant color enhancement with moisture resistance and durability, though it may more readily show surface imperfections.</t>
  </si>
  <si>
    <t>Commercial Warranty Length Definitions</t>
  </si>
  <si>
    <t>The manufacturer warranty covers the product for 30 days from the date of purchase when used in a commercial environment.</t>
  </si>
  <si>
    <t>Manufacturer's warranty coverage for 60 days from the original date of commercial purchase.</t>
  </si>
  <si>
    <t>Manufacturer's warranty is valid for 90 days from the original purchase date when the product is used in a commercial environment.</t>
  </si>
  <si>
    <t>Manufacturer warranty coverage is for a duration of 6 months from the original commercial purchase date.</t>
  </si>
  <si>
    <t>Manufacturer's warranty coverage for one year from the original commercial purchase date.</t>
  </si>
  <si>
    <t>Manufacturer warranty coverage is for 2 years, starting from the original commercial purchase date.</t>
  </si>
  <si>
    <t>Manufacturer's warranty covers the product for three (3) years from the original commercial purchase date.</t>
  </si>
  <si>
    <t>The manufacturer warranty provides coverage for 5 years from the original commercial purchase date.</t>
  </si>
  <si>
    <t>A manufacturer's warranty of 10 years for use in a commercial setting, beginning from the date of purchase.</t>
  </si>
  <si>
    <t>The manufacturer's commercial warranty covers the product for a period of 20 years from the original date of purchase.</t>
  </si>
  <si>
    <t>Manufacturer warranty coverage for a continuous period of 25 years, effective from the date of original commercial purchase</t>
  </si>
  <si>
    <t>Manufacturer warranty that covers the product for its entire working lifespan or the original purchaser's lifetime when used commercially, subject to the manufacturer's policy.</t>
  </si>
  <si>
    <t>Commercial warranty coverage for a period of 15 years from the original purchase date.</t>
  </si>
  <si>
    <t>The manufacturer's warranty provides 4 years of coverage from the original commercial purchase date.</t>
  </si>
  <si>
    <t>Manufacturer warranty coverage for 18 months from the date of purchase when the product is used in a commercial environment.</t>
  </si>
  <si>
    <t>Manufacturer's warranty coverage for six years from the original commercial purchase date.</t>
  </si>
  <si>
    <t>Manufacturer's warranty for 7 years from the original commercial purchase date.</t>
  </si>
  <si>
    <t>Warranty coverage for a continuous period of eight (8) years from the date of purchase for commercial use.</t>
  </si>
  <si>
    <t>Manufacturer's warranty is valid for a period of 9 years for product use in a commercial environment.</t>
  </si>
  <si>
    <t>Warranty coverage for a continuous period of 12 years from the original commercial purchase date</t>
  </si>
  <si>
    <t>The manufacturer warranty covers the product for a duration of 11 years when used in a commercial environment.</t>
  </si>
  <si>
    <t>The manufacturer provides warranty coverage for a continuous period of 13 years from the original commercial purchase date.</t>
  </si>
  <si>
    <t>Manufacturer's commercial warranty provides continuous product coverage for a period of 14 years from the original purchase date.</t>
  </si>
  <si>
    <t>No commercial warranty coverage is provided by the manufacturer.</t>
  </si>
  <si>
    <t>Uniform Packaging and Labeling Regulations (UPLR) Compliant Definitions</t>
  </si>
  <si>
    <t>The product packaging is compliant with the Uniform Packaging and Labeling Regulation (UPLR) as specified in NIST Handbook 130. The packaging displays the identity of the commodity, the name and place of business of the manufacturer, packer, or distributor, and the net quantity of contents in a uniform location and in appropriate units (e.g., metric and U.S. customary for consumer goods), as required.</t>
  </si>
  <si>
    <t>The product packaging does not meet the Uniform Packaging and Labeling Regulation (UPLR) requirements as specified in NIST Handbook 130. One or more mandatory elements—such as the declaration of identity, manufacturer/distributor details, or net quantity of contents—are missing, incomplete, or not presented according to the regulation, or the required units of measure are not provided.</t>
  </si>
  <si>
    <t>Cancer</t>
  </si>
  <si>
    <t>Developmental</t>
  </si>
  <si>
    <t>A vinyl or adhesive sticker specifically designed to be applied to windows, glass doors, or other transparent surfaces for decorative or informational purposes. Window decals are typically removable and are visible from one or both sides of the glass.</t>
  </si>
  <si>
    <t>A removable vinyl or adhesive decal that functions as a chalkboard surface, allowing users to write with chalk and erase. These items can be applied to walls or other smooth surfaces for temporary or reusable note-taking and drawing.</t>
  </si>
  <si>
    <t>A wall decal featuring a height measurement scale designed for tracking growth. These adhesive-backed graphics are intended for application to vertical surfaces and are typically designed for easy removal without damaging the underlying surface.</t>
  </si>
  <si>
    <t>Refers to adhesive labels or graphics designed to assist in scheduling, time management, and task tracking. These items typically feature functional elements such as dates, priorities, or icons to provide a visual and organized overview of plans, deadlines, and appointments.</t>
  </si>
  <si>
    <t>A wall decal designed to frame or hold photographs, typically including outlines or spaces for inserting pictures. Photo frame decals may feature decorative motifs or tree and collage shapes and are intended for easy, non-damaging display of photos on walls.</t>
  </si>
  <si>
    <t>A removable decal with a white, dry-erase surface that allows for writing and erasing using dry-erase markers. These adhesive-backed items can be applied to walls, doors, or other smooth surfaces to create a functional area for notes, reminders, or drawings.</t>
  </si>
  <si>
    <t>A decal designed to resemble a functional clock face, sometimes including clock hands or mechanisms, intended to be applied to a wall to create the appearance of a large clock. May be decorative only or function in combination with a clock movement.</t>
  </si>
  <si>
    <t>A decal designed to simulate the appearance of ceramic or porcelain tiles when applied to flat surfaces such as walls, backsplashes, or countertops. These are typically used for decorative updates and are often removable and repositionable.</t>
  </si>
  <si>
    <t>A removable and repositionable adhesive decal featuring surfaces compatible with dry-erase markers, chalk, or both. These flexible sheets can be applied to smooth, flat surfaces to create an erasable writing area for notes, schedules, or illustrations.</t>
  </si>
  <si>
    <t>A decorative vinyl or adhesive graphic intended to be affixed directly to a vertical surface. These items are primarily designed for use on interior walls and can include designs, shapes, or text to enhance the aesthetic of a space. Often removable and repositionable.</t>
  </si>
  <si>
    <t>A sticker or film designed for application to glass surfaces to provide privacy, decoration, or UV and heat blocking. These materials can be frosted, patterned, or clear with printed designs and often cover larger surface areas than standard decals.</t>
  </si>
  <si>
    <t>A decal intended for application on door surfaces, typically sized and designed specifically for doors. These may serve decorative, labeling, or privacy purposes and are removable without damaging the underlying surface.</t>
  </si>
  <si>
    <t>A coordinated set of individual components intended for arrangement in a repeated or continuous design. These sets allow for customizable layouts and configurations to create a cohesive visual pattern across a surface.</t>
  </si>
  <si>
    <t>Animals</t>
  </si>
  <si>
    <t>Astrology &amp; Stars</t>
  </si>
  <si>
    <t>Scenic &amp; Cityscapes</t>
  </si>
  <si>
    <t>Food &amp; Beverage</t>
  </si>
  <si>
    <t>Insects</t>
  </si>
  <si>
    <t>Patriotic</t>
  </si>
  <si>
    <t>Entertainment</t>
  </si>
  <si>
    <t>Plants &amp; Flowers</t>
  </si>
  <si>
    <t>Religious &amp; Spiritual</t>
  </si>
  <si>
    <t>Nautical &amp; Beach</t>
  </si>
  <si>
    <t>Sports</t>
  </si>
  <si>
    <t>People</t>
  </si>
  <si>
    <t>Geography</t>
  </si>
  <si>
    <t>Fantasy &amp; Sci-Fi</t>
  </si>
  <si>
    <t>Landscape &amp; Nature</t>
  </si>
  <si>
    <t>Text &amp; Numbers</t>
  </si>
  <si>
    <t>Furniture</t>
  </si>
  <si>
    <t>Novelty &amp; Humor</t>
  </si>
  <si>
    <t>STEM</t>
  </si>
  <si>
    <t>Fashion</t>
  </si>
  <si>
    <t>Buildings &amp; Architecture</t>
  </si>
  <si>
    <t>Transportation</t>
  </si>
  <si>
    <t>Bath &amp; Laundry</t>
  </si>
  <si>
    <t>History &amp; Language</t>
  </si>
  <si>
    <t>Cities &amp; Countries</t>
  </si>
  <si>
    <t>Disney/Pixar</t>
  </si>
  <si>
    <t>No Subject</t>
  </si>
  <si>
    <t>Education</t>
  </si>
  <si>
    <t>Birds</t>
  </si>
  <si>
    <t>U.S. States &amp; Territories</t>
  </si>
  <si>
    <t>Subject Definitions</t>
  </si>
  <si>
    <t>Non-human animals as the primary subject, including mammals, reptiles, amphibians, or aquatic creatures, depicted realistically, stylized, or abstractly. Excludes birds and insects, which have separate categories.</t>
  </si>
  <si>
    <t>Depicts astrology or celestial themes as the primary visual focus. Includes zodiac signs, constellations, horoscopes, stars, planets, and astronomical symbols. Excludes general night sky scenes or incidental star motifs unless the celestial theme is central.</t>
  </si>
  <si>
    <t>Depicts scenic landscapes, natural vistas, or cityscapes where the overall environment or view is the subject. Includes panoramic views, skyline representations, and scenic backdrops. Excludes isolated natural features or architectural elements not representing a whole scene.</t>
  </si>
  <si>
    <t>The product's primary subject is food or beverages, including fruits, vegetables, prepared dishes, or drinks. Use only when the food or beverage is the central visual focus, not incidental or background.</t>
  </si>
  <si>
    <t>Depicts one or more insects (e.g., butterflies, beetles, bees) as the primary subject, in realistic or stylized form. Excludes other arthropods (like spiders or crustaceans) and instances where insects are minor background elements.</t>
  </si>
  <si>
    <t>Conveys patriotism, national pride, or national symbols as the primary subject. Includes flags, national emblems, iconic landmarks, or colors associated with patriotism. Excludes generic decorative motifs without clear patriotic association.</t>
  </si>
  <si>
    <t>Subject matter centered on the entertainment industry, media, or performing arts, encompassing themes, iconography, film, music, theater, and notable personalities. This includes references to popular culture and well-known entertainment events.</t>
  </si>
  <si>
    <t>Depicts botanical subjects, including plants, flowers, trees, or leaves, as the primary visual focus. This applies to realistic, stylized, or abstract representations. Exclude products where the botanical element is a minor decorative accent.</t>
  </si>
  <si>
    <t>The main subject is symbols, figures, or iconography associated with religious beliefs, spiritual traditions, or ritual practices. Applies only when the theme is the primary focus, not incidental.</t>
  </si>
  <si>
    <t>A design or subject whose central theme relates to oceanic, coastal, or maritime environments. This includes prominent representations of anchors, boats, sea creatures, shells, lighthouses, and beach scenery. Exclude incidental or minor motifs.</t>
  </si>
  <si>
    <t>Non-representational forms, shapes, colors, textures, or patterns as the main subject. The design lacks any clear or recognizable objects, people, animals, or scenes.</t>
  </si>
  <si>
    <t>Primary subject is sports or athletic activities, encompassing depictions or symbols of equipment, athletes, competitions, and iconography associated with organized or recreational competitive physical activity. Excludes generic movement or fitness themes not directly sports-related.</t>
  </si>
  <si>
    <t>The central subject is human figures or representations of people, whether realistic, stylized, abstract, or symbolic. This includes individuals, groups, portraits, and figures, and excludes animals or other subjects where people are secondary.</t>
  </si>
  <si>
    <t>The primary subject is geographic features, concepts, or representations, including maps, globes, continents, regions, and landforms. Excludes specific cities, countries, or where the geographic motif is a secondary element.</t>
  </si>
  <si>
    <t>Subject matter or imagery that depicts fantastical, mythical, speculative, or futuristic elements from fantasy and science fiction genres, such as imaginary worlds, creatures, or technology.</t>
  </si>
  <si>
    <t>A subject that depicts natural scenery or outdoor landscapes, including forests, mountains, rivers, and fields. The imagery is dominated by non-urban, non-architectural elements. Excludes cityscapes and items where a specific animal, plant, or flower is the main focus.</t>
  </si>
  <si>
    <t>The product's main visual subject is text, letters, numbers, or typographic elements. Use only when words, numerals, or letterforms are the central focus of the design.</t>
  </si>
  <si>
    <t>The product's main subject is a depiction of furnishings or freestanding functional objects used in an interior space. This includes realistic, stylized, or artistic representations where the furnishing is the principal focus, excluding minor or background elements.</t>
  </si>
  <si>
    <t>Features humorous, whimsical, or novelty elements intended primarily to amuse or entertain. This applies only when the humor or novelty is the main subject or decorative feature.</t>
  </si>
  <si>
    <t>Visual themes or motifs where Science, Technology, Engineering, or Mathematics (STEM) is the principal subject. Includes imagery of scientific instruments, mathematical symbols, or engineering concepts. Excludes incidental references not central to the product's focus.</t>
  </si>
  <si>
    <t>Primary subject or central decorative element is fashion or fashion-related concepts. Includes motifs of clothing, accessories, runways, mannequins, and other symbols of the fashion industry. Excludes depictions where fashion is secondary or incidental.</t>
  </si>
  <si>
    <t>Depiction of man-made structures and architectural elements (buildings, bridges, monuments) as the primary subject. Excludes broad scenes where architecture is secondary.</t>
  </si>
  <si>
    <t>Depicts vehicles or modes of transportation, such as cars, trains, planes, and boats, as the central subject or primary design element. Includes realistic, stylized, or abstract representations of transport means and infrastructure. Excludes incidental references.</t>
  </si>
  <si>
    <t>Subject matter where the primary focus is bathing, washing, or laundry activities, including symbols or motifs associated with hygiene and washroom spaces.</t>
  </si>
  <si>
    <t>Subject, theme, or imagery focused on historical events, notable figures, ancient cultures, language, literature, writing systems, or linguistic symbols.</t>
  </si>
  <si>
    <t>Depicts a specific city, country, or geographic location through recognizable skylines, landmarks, flags, maps, or other elements that clearly identify the place. Excludes generalized architecture, geography, or nature scenes.</t>
  </si>
  <si>
    <t>Features officially licensed characters, scenes, or iconography directly associated with Disney or Pixar intellectual properties. Includes classic and modern franchises. Excludes generic, non-licensed cartoon-like subjects.</t>
  </si>
  <si>
    <t>Applicable when the product features no discernible subject, theme, or representational imagery. Used for items that are purely functional, geometric, abstract, solid color, or pattern-based.</t>
  </si>
  <si>
    <t>Depicts or represents education, academic subjects, learning environments, or associated symbols and objects as the central theme. Includes motifs like books, globes, chalkboards, and graduation imagery. Excludes incidental references.</t>
  </si>
  <si>
    <t>The product's central focus is one or more avian species. Apply to realistic, stylized, or abstract representations where the bird is the primary subject. Exclude products where birds are minor elements or background features.</t>
  </si>
  <si>
    <t>The main subject or design is a representation of one or more U.S. states or territories, including state outlines, maps, flags, symbols, landmarks, or regional emblems. Excludes general patriotic themes or incidental references.</t>
  </si>
  <si>
    <t>Surface Type Definitions</t>
  </si>
  <si>
    <t>A surface finish that provides a subtle, soft sheen between matte and high gloss. It diffuses light gently, appearing smoother and more luminous than a matte finish but less reflective than a high-gloss surface.</t>
  </si>
  <si>
    <t>A high-sheen, reflective finish that creates a smooth, mirror-like surface. This finish enhances color vibrancy and depth while providing a durable, easy-to-clean surface that highlights architectural details and textures.</t>
  </si>
  <si>
    <t>A non-reflective, flat surface finish with little to no sheen. Matte surfaces diffuse light, producing a muted look that reduces glare and effectively hides dust, scuffs, and fingerprints.</t>
  </si>
  <si>
    <t>A surface finish with a low level of sheen that produces subtle, diffuse reflections. It offers a soft, understated appearance that is less reflective than standard gloss but more lustrous than a matte finish, effectively minimizing glare and helping to mask minor surface imperfections.</t>
  </si>
  <si>
    <t>A decorative surface finish characterized by the inclusion of small, multi-faceted reflective particles. These particles catch and reflect light from various angles to create a shimmering, multi-dimensional sparkling effect.</t>
  </si>
  <si>
    <t>A highly reflective, smooth surface finish that provides a clear, undistorted reflection similar to a mirror. This finish is characterized by exceptional shine and clarity, often used to enhance light, create an illusion of depth, or provide a modern aesthetic.</t>
  </si>
  <si>
    <t>A surface effect that creates a physical or visual illusion of depth, volume, and dimension. This multi-dimensional appearance is typically achieved through layering, embossing, or sculptural relief, making the design appear raised or recessed relative to a flat background.</t>
  </si>
  <si>
    <t>A luminous surface finish that absorbs light and later emits a visible glow in darkness. Designed for visibility and decorative effects, especially at night or in low-light environments.</t>
  </si>
  <si>
    <t>A surface finish with a high level of shininess or luster, producing a mirror-like, highly reflective appearance. High gloss finishes maximize light reflection and create a vivid visual impact, standing out more than standard glossy finishes.</t>
  </si>
  <si>
    <t>Canvas</t>
  </si>
  <si>
    <t>Polycarbonate (PC)</t>
  </si>
  <si>
    <t>Polyethylene Plastic</t>
  </si>
  <si>
    <t>Glass</t>
  </si>
  <si>
    <t>Silicone</t>
  </si>
  <si>
    <t>Stainless Steel</t>
  </si>
  <si>
    <t>Melamine</t>
  </si>
  <si>
    <t>Polypropylene</t>
  </si>
  <si>
    <t>Cane</t>
  </si>
  <si>
    <t>Raffia</t>
  </si>
  <si>
    <t>Mango Wood</t>
  </si>
  <si>
    <t>Linen Blend</t>
  </si>
  <si>
    <t>Acrylic</t>
  </si>
  <si>
    <t>Limestone</t>
  </si>
  <si>
    <t>Artificial Grass</t>
  </si>
  <si>
    <t>Antler</t>
  </si>
  <si>
    <t>HDPE</t>
  </si>
  <si>
    <t>Linen</t>
  </si>
  <si>
    <t>Foam</t>
  </si>
  <si>
    <t>Cowhide</t>
  </si>
  <si>
    <t>Copper / Copper Plated</t>
  </si>
  <si>
    <t>Engineered Wood</t>
  </si>
  <si>
    <t>Cast Aluminum</t>
  </si>
  <si>
    <t>Flat Wire</t>
  </si>
  <si>
    <t>Crystal</t>
  </si>
  <si>
    <t>Fleece / Microfiber</t>
  </si>
  <si>
    <t>Cardboard / Paper</t>
  </si>
  <si>
    <t>Chenille</t>
  </si>
  <si>
    <t>Cherry Wood</t>
  </si>
  <si>
    <t>Handblown Glass</t>
  </si>
  <si>
    <t>Cement</t>
  </si>
  <si>
    <t>Flannel</t>
  </si>
  <si>
    <t>Chrome</t>
  </si>
  <si>
    <t>Enamelware</t>
  </si>
  <si>
    <t>Enameled Cast Iron</t>
  </si>
  <si>
    <t>Agate / Geode</t>
  </si>
  <si>
    <t>Fiberglass</t>
  </si>
  <si>
    <t>Bronze</t>
  </si>
  <si>
    <t>Bamboo Slat / Seagrass</t>
  </si>
  <si>
    <t>Beaded</t>
  </si>
  <si>
    <t>Alpaca</t>
  </si>
  <si>
    <t>Felt</t>
  </si>
  <si>
    <t>Denim</t>
  </si>
  <si>
    <t>Clay</t>
  </si>
  <si>
    <t>Gel</t>
  </si>
  <si>
    <t>Coir</t>
  </si>
  <si>
    <t>Cardboard</t>
  </si>
  <si>
    <t>Leather</t>
  </si>
  <si>
    <t>Cashmere</t>
  </si>
  <si>
    <t>Galvanized Steel</t>
  </si>
  <si>
    <t>Hemp</t>
  </si>
  <si>
    <t>Fireclay</t>
  </si>
  <si>
    <t>Anodized Aluminum</t>
  </si>
  <si>
    <t>Blended Fabric</t>
  </si>
  <si>
    <t>Bamboo</t>
  </si>
  <si>
    <t>Brass</t>
  </si>
  <si>
    <t>Burlap</t>
  </si>
  <si>
    <t>Ceramic</t>
  </si>
  <si>
    <t>Composite</t>
  </si>
  <si>
    <t>Carbon Steel</t>
  </si>
  <si>
    <t>Compressed Polyester</t>
  </si>
  <si>
    <t>Ceramic / Porcelain</t>
  </si>
  <si>
    <t>Bone China</t>
  </si>
  <si>
    <t>Cedar</t>
  </si>
  <si>
    <t>Concrete</t>
  </si>
  <si>
    <t>Cotton</t>
  </si>
  <si>
    <t>Earthenware</t>
  </si>
  <si>
    <t>Engineered Stone</t>
  </si>
  <si>
    <t>Concrete / Cement</t>
  </si>
  <si>
    <t>Corrugated</t>
  </si>
  <si>
    <t>Enamel / Lacquer</t>
  </si>
  <si>
    <t>Cotton Blend</t>
  </si>
  <si>
    <t>Compressed Stone</t>
  </si>
  <si>
    <t>Copper</t>
  </si>
  <si>
    <t>Faux Leather</t>
  </si>
  <si>
    <t>Faux Sheepskin</t>
  </si>
  <si>
    <t>Fiberstone</t>
  </si>
  <si>
    <t>Fine Silver</t>
  </si>
  <si>
    <t>Hard-Anodized Aluminum</t>
  </si>
  <si>
    <t>Granite</t>
  </si>
  <si>
    <t>Heavy Gauge Wire</t>
  </si>
  <si>
    <t>Faux Fur</t>
  </si>
  <si>
    <t>Faux Mohair</t>
  </si>
  <si>
    <t>Faux Cowhide</t>
  </si>
  <si>
    <t>Iron</t>
  </si>
  <si>
    <t>High Leaded Crystal</t>
  </si>
  <si>
    <t>Lead Crystal</t>
  </si>
  <si>
    <t>Ironstone</t>
  </si>
  <si>
    <t>Leather / Faux Leather</t>
  </si>
  <si>
    <t>Latex</t>
  </si>
  <si>
    <t>Jute</t>
  </si>
  <si>
    <t>Lead Free Crystal</t>
  </si>
  <si>
    <t>Lace</t>
  </si>
  <si>
    <t>Jute / Sisal</t>
  </si>
  <si>
    <t>Laminate</t>
  </si>
  <si>
    <t>Marble / Granite</t>
  </si>
  <si>
    <t>Mercury Glass</t>
  </si>
  <si>
    <t>Medium Density Fiberboard (MDF)</t>
  </si>
  <si>
    <t>Mesh</t>
  </si>
  <si>
    <t>Merino Wool</t>
  </si>
  <si>
    <t>Memory Foam</t>
  </si>
  <si>
    <t>Natural Stone</t>
  </si>
  <si>
    <t>Microfiber / Polyester</t>
  </si>
  <si>
    <t>Natural Fiber</t>
  </si>
  <si>
    <t>Microfiber</t>
  </si>
  <si>
    <t>Natural Fibers</t>
  </si>
  <si>
    <t>Magnet</t>
  </si>
  <si>
    <t>Muslin</t>
  </si>
  <si>
    <t>Metal</t>
  </si>
  <si>
    <t>Microfiber / Microsuede</t>
  </si>
  <si>
    <t>Olefin</t>
  </si>
  <si>
    <t>Nickel</t>
  </si>
  <si>
    <t>PEVA</t>
  </si>
  <si>
    <t>Nylon</t>
  </si>
  <si>
    <t>Oak</t>
  </si>
  <si>
    <t>Oxford Fabric</t>
  </si>
  <si>
    <t>Polyamide</t>
  </si>
  <si>
    <t>Plywood</t>
  </si>
  <si>
    <t>Pinecones</t>
  </si>
  <si>
    <t>Plastic / Acrylic</t>
  </si>
  <si>
    <t>Pewter</t>
  </si>
  <si>
    <t>Polycarbonate Plastic</t>
  </si>
  <si>
    <t>Nickel Plated</t>
  </si>
  <si>
    <t>Polyester</t>
  </si>
  <si>
    <t>Polymer</t>
  </si>
  <si>
    <t>Polyester Fill</t>
  </si>
  <si>
    <t>Polystyrene</t>
  </si>
  <si>
    <t>Polyvinyl Chloride (PVC)</t>
  </si>
  <si>
    <t>Polyurethane</t>
  </si>
  <si>
    <t>Porcelain China</t>
  </si>
  <si>
    <t>Powder Coated Steel</t>
  </si>
  <si>
    <t>Polypropylene Plastic</t>
  </si>
  <si>
    <t>Porcelain Enameled Steel</t>
  </si>
  <si>
    <t>Porcelain</t>
  </si>
  <si>
    <t>Powder Coated Aluminum</t>
  </si>
  <si>
    <t>Polyester Blend</t>
  </si>
  <si>
    <t>Polyresin</t>
  </si>
  <si>
    <t>Polymarble</t>
  </si>
  <si>
    <t>Polyurethane (PU)</t>
  </si>
  <si>
    <t>Sandstone</t>
  </si>
  <si>
    <t>Sheepskin</t>
  </si>
  <si>
    <t>Sateen</t>
  </si>
  <si>
    <t>Rayon / Viscose</t>
  </si>
  <si>
    <t>Rayon from Bamboo</t>
  </si>
  <si>
    <t>Silver Plated</t>
  </si>
  <si>
    <t>Sherpa</t>
  </si>
  <si>
    <t>Quartz</t>
  </si>
  <si>
    <t>Shell / Capiz</t>
  </si>
  <si>
    <t>Rope</t>
  </si>
  <si>
    <t>Silk</t>
  </si>
  <si>
    <t>Rayon</t>
  </si>
  <si>
    <t>Seagrass</t>
  </si>
  <si>
    <t>Rubber</t>
  </si>
  <si>
    <t>Quartzite</t>
  </si>
  <si>
    <t>Real Greenery</t>
  </si>
  <si>
    <t>Resin</t>
  </si>
  <si>
    <t>Rocks / Pebbles</t>
  </si>
  <si>
    <t>Recycled P.E.T</t>
  </si>
  <si>
    <t>Real Floral</t>
  </si>
  <si>
    <t>Suede / Faux Suede</t>
  </si>
  <si>
    <t>Solid Brass</t>
  </si>
  <si>
    <t>Stainless Steel (18/0)</t>
  </si>
  <si>
    <t>Sponge</t>
  </si>
  <si>
    <t>Tin</t>
  </si>
  <si>
    <t>Teak</t>
  </si>
  <si>
    <t>Stainless Steel (18/10)</t>
  </si>
  <si>
    <t>Slate</t>
  </si>
  <si>
    <t>Travertine</t>
  </si>
  <si>
    <t>Stainless Steel (18/8)</t>
  </si>
  <si>
    <t>Sterling Silver</t>
  </si>
  <si>
    <t>Terrycloth</t>
  </si>
  <si>
    <t>Terracotta</t>
  </si>
  <si>
    <t>Synthetic</t>
  </si>
  <si>
    <t>Thermoplastic</t>
  </si>
  <si>
    <t>Tencel</t>
  </si>
  <si>
    <t>Stoneware</t>
  </si>
  <si>
    <t>Tempered Glass</t>
  </si>
  <si>
    <t>Tinsel</t>
  </si>
  <si>
    <t>Solid Surface</t>
  </si>
  <si>
    <t>Tritan Plastic</t>
  </si>
  <si>
    <t>Sunbrella®</t>
  </si>
  <si>
    <t>Upholstered</t>
  </si>
  <si>
    <t>Velour</t>
  </si>
  <si>
    <t>Twig</t>
  </si>
  <si>
    <t>Velvet</t>
  </si>
  <si>
    <t>Vitreous China</t>
  </si>
  <si>
    <t>Urethane</t>
  </si>
  <si>
    <t>Zinc</t>
  </si>
  <si>
    <t>Rattan</t>
  </si>
  <si>
    <t>Turkish Cotton</t>
  </si>
  <si>
    <t>Wrought Iron</t>
  </si>
  <si>
    <t>Wool</t>
  </si>
  <si>
    <t>Wire</t>
  </si>
  <si>
    <t>Zinc Alloy</t>
  </si>
  <si>
    <t>Walnut Wood</t>
  </si>
  <si>
    <t>Viscose</t>
  </si>
  <si>
    <t>Wicker</t>
  </si>
  <si>
    <t>Wool / Felt</t>
  </si>
  <si>
    <t>Charcoal</t>
  </si>
  <si>
    <t>Enamel Coated Steel</t>
  </si>
  <si>
    <t>Vinyl Coated Steel</t>
  </si>
  <si>
    <t>Mirror</t>
  </si>
  <si>
    <t>Water Hyacinth</t>
  </si>
  <si>
    <t>Please choose one or more from the following, using a semicolon (;) to separate each value: Fabric; Vinyl; Canvas; Paper; Plastic; PVC;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Composite; Carbon Steel; Compressed Polyester; Ceramic / Porcelain; Bone China; Cedar; Concrete; Cotton; Earthenware; Engineered Stone; Concrete / Cement; Corrugated; Enamel / Lacquer; Cotton Blend; Compressed Stone; Copper; Faux Leather;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Olefin; Nickel; PEVA; Nylon; Oak; Oxford Fabric; Polyamide; Plywood; Pinecones; Plastic / Acrylic; Pewter; Polycarbonate Plastic; Nickel Plated;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t>
  </si>
  <si>
    <t>Canvas is a highly durable, heavy, plain-woven fabric. It is typically constructed from cotton, linen, or synthetic fibers, prized for its strength, stiffness, and excellent resistance to abrasion and wear.</t>
  </si>
  <si>
    <t>Polycarbonate (PC) is a highly durable, transparent thermoplastic polymer known for its exceptional strength, impact resistance, and optical clarity. It is lightweight and can withstand high temperatures.</t>
  </si>
  <si>
    <t>Polyethylene (PE) is a versatile, lightweight, and durable thermoplastic polymer. It is available as low-density (LDPE) for flexible uses and high-density (HDPE) for more rigid, structural components, known for its strong resistance to moisture, chemicals, and impact.</t>
  </si>
  <si>
    <t>A hard, brittle, transparent or translucent non-crystalline solid, manufactured primarily from silica (sand) by melting ingredients at high temperatures and cooling rapidly.</t>
  </si>
  <si>
    <t>A flexible, durable synthetic polymer composed of silicon, oxygen, carbon, and hydrogen. It is valued for its thermal stability, high heat resistance, and rubber-like texture.</t>
  </si>
  <si>
    <t>A durable, iron-based metal alloy containing a minimum of 10.5% chromium, which forms a protective surface layer that provides exceptional resistance to rust, corrosion, and staining. Known for its strength, high longevity, heat resistance, and ease of cleaning.</t>
  </si>
  <si>
    <t>A hard, durable thermosetting plastic resin, typically lightweight and rigid. It is highly resistant to scratching, staining, and chipping. Use only when the product is genuine melamine material or laminate, not a color or finish.</t>
  </si>
  <si>
    <t>Polypropylene is a versatile, lightweight thermoplastic polymer and synthetic fiber from the polyolefin family. It is valued for its durability, flexibility, chemical resistance, and low moisture absorption, making it suitable for a wide range of molded parts, films, and textiles.</t>
  </si>
  <si>
    <t>Cane is a natural material derived from the outer bark or stem of plants, primarily rattan. It is processed into thin, flexible strips and typically woven into decorative or structural panels. It is lightweight, strong, pale-colored, and often features a smooth, glossy finish.</t>
  </si>
  <si>
    <t>Natural fiber from the raffia palm leaf. Lightweight, flexible, and pliable, it is often woven into decorative panels or surface coverings for a textured, organic look.</t>
  </si>
  <si>
    <t>A durable, moderately dense hardwood, sustainably harvested from the mango tree. It features unique grain patterns and ranges from light yellow-brown to golden brown.</t>
  </si>
  <si>
    <t>A textile combining linen (flax plant fiber) with other natural or synthetic fibers, such as cotton, polyester, or rayon. The blend balances linen's breathability and natural texture with improved durability, softness, wrinkle resistance, or affordability.</t>
  </si>
  <si>
    <t>A durable, lightweight synthetic thermoplastic polymer (PMMA) known for its transparency, rigidity, and high impact resistance. This material is used as a shatter-resistant alternative to glass, and must be the primary structural or visible material.</t>
  </si>
  <si>
    <t>Limestone is a sedimentary rock composed mainly of calcium carbonate (CaCO3) often derived from marine fossils. It is a porous stone, typically light to neutral in color with a fine texture, valued for durability and workability.</t>
  </si>
  <si>
    <t>Artificial grass is a synthetic fiber or turf, often made from plastic polymers such as polyethylene or polypropylene, that is engineered to replicate the appearance and texture of natural grass.</t>
  </si>
  <si>
    <t>I combined the best descriptive facts about antler's nature and common uses from all the low-count variations. This made a universal rule by removing all references to specific products like blankets or seats.</t>
  </si>
  <si>
    <t>HDPE (High-Density Polyethylene) is a durable, strong, and rigid thermoplastic polymer. It is known for its high strength-to-density ratio, impact and chemical resistance, and excellent weather durability.</t>
  </si>
  <si>
    <t>Jersey is a soft, stretchy knit textile, typically made from cotton, synthetic, or blended fibers. It features a fine, smooth texture, good drape, and breathability due to its knit construction.</t>
  </si>
  <si>
    <t>A strong, highly durable natural fiber derived from the flax plant, valued for its breathability, moisture-wicking ability, and crisp, cool texture. It is absorbent, quick-drying, and softens with use.</t>
  </si>
  <si>
    <t>A lightweight, cellular material formed by trapping gas bubbles in a polymer matrix, such as polyurethane or polyethylene. It is valued for its cushioning, shock-absorbing, and insulating properties, and may be rigid or flexible.</t>
  </si>
  <si>
    <t>Cowhide is the natural hide of cattle, typically tanned with the hair remaining, valued for its exceptional durability, unique markings, texture, and natural color variations.</t>
  </si>
  <si>
    <t>Solid copper is a reddish-brown, corrosion-resistant metal. Copper Plated is a surface coating of copper over another base material. This value applies when copper or copper plating forms the principal visible material, valued for its warm color, metallic luster, and tendency to develop a patina.</t>
  </si>
  <si>
    <t>A composite product made by bonding wood fibers, particles, or veneers with adhesives. Common types include plywood, MDF (Medium-Density Fiberboard), and particleboard. It offers greater stability and uniformity than natural wood.</t>
  </si>
  <si>
    <t>An aluminum alloy formed by pouring molten metal into a mold, valued for its light weight, corrosion resistance, and ability to create complex, durable shapes.</t>
  </si>
  <si>
    <t>A metal wire that has been flattened into a ribbon-like or rectangular cross-section, distinguishing it from round wire. It is typically made from metal such as steel, copper, or aluminum.</t>
  </si>
  <si>
    <t>A high-clarity, brilliant glass containing metal oxides (such as lead, barium, or zinc) to enhance light refraction and density. It is heavier than standard glass and can be a leaded or lead-free formulation.</t>
  </si>
  <si>
    <t>A synthetic textile blend combining soft, napped fabric (fleece, typically polyester, known for insulation and warmth) and ultra-fine fibers (microfiber, prized for smoothness and moisture-wicking properties). I made a new definition by mixing the facts about fleece and microfiber from all the options. This makes the description work for every product by taking out all the examples of things like blankets and clothes.</t>
  </si>
  <si>
    <t>Products constructed primarily from paper-based materials, encompassing thin, flexible paper and thicker, rigid cardboard (e.g., paperboard or corrugated fiberboard). Derived from cellulose pulp, these materials are valued for being lightweight, inexpensive, and recyclable.</t>
  </si>
  <si>
    <t>A soft, velvety-pile fabric or yarn created by twisting or weaving short lengths of fiber between core threads, resulting in a fuzzy, tufted surface. It is often made from cotton, rayon, or synthetic blends.</t>
  </si>
  <si>
    <t>A dense, durable hardwood from the cherry tree, known for its fine, uniform grain and stability. It is prized for its rich reddish-brown color which naturally deepens with exposure to light.</t>
  </si>
  <si>
    <t>Glass individually formed by skilled artisans using a blowpipe to shape molten glass. This manual process results in unique, one-of-a-kind pieces with subtle variations and an artisanal appearance, unlike machine-made or molded glass.</t>
  </si>
  <si>
    <t>Cement is an inorganic, mineral-based powder that acts as a binder, hardening into a solid mass when mixed with water. It is a key component in materials such as concrete.</t>
  </si>
  <si>
    <t>Flannel is a soft, medium-weight woven fabric, typically made from cotton, wool, or synthetic fibers. It is characterized by a brushed (napped) surface on one or both sides, creating a fuzzy texture that provides warmth and enhanced softness.</t>
  </si>
  <si>
    <t>A metallic finish created by electroplating a thin layer of chromium onto a base metal. It provides a bright, highly reflective, and corrosion-resistant surface.</t>
  </si>
  <si>
    <t>A material consisting of a metal substrate, typically steel or iron, coated with a durable layer of vitreous enamel. The enamel is powdered glass fused to the metal at high heat, creating a hard, glossy, non-porous, and chemically resistant finish.</t>
  </si>
  <si>
    <t>Cast iron coated with a layer of vitreous enamel, a glass-like material fused to the metal surface at high temperatures. This finish creates a smooth, protective barrier that prevents rust, provides exceptional durability, heat retention, and corrosion resistance.</t>
  </si>
  <si>
    <t>Agate is a banded form of chalcedony quartz, and a geode is a spherical rock lined with crystals. These semi-precious stones are valued for their vivid banding, translucency, and unique internal formations.</t>
  </si>
  <si>
    <t>Fiberglass is a composite material made from fine glass fibers embedded in a resin matrix. It is known for being lightweight, strong, durable, and resistant to moisture and corrosion, and can be molded into various shapes.The definition was created by combining the best facts from multiple versions to make one clear description of the material. This ensures the definition is universal for all products by removing all mentions of specific items.</t>
  </si>
  <si>
    <t>Bronze is an alloy primarily composed of copper and tin, valued for its strength, durability, and exceptional resistance to corrosion. This dense metal features a reddish-brown color that often develops a protective green or dark patina over time.</t>
  </si>
  <si>
    <t>A material combination of thin, rigid bamboo strips (slats) and woven natural seagrass fibers. It is valued for its strength, woven texture, and natural durability.</t>
  </si>
  <si>
    <t>Composed of small decorative beads (glass, metal, plastic, or other materials) strung or affixed to a surface. Select this value when the beads form the extensive, dominant material or design feature, not a minor trim or accent.</t>
  </si>
  <si>
    <t>A natural fiber obtained from the fleece of alpacas, a South American camelid. It is prized for being extremely soft, lightweight, warm, durable, and naturally hypoallergenic (lanolin-free).</t>
  </si>
  <si>
    <t>Felt is a dense, nonwoven textile material made by matting and compressing fibers together, typically wool or synthetic blends. It is valued for its cushioning, insulation, and general stability.</t>
  </si>
  <si>
    <t>A durable cotton or cotton-blend twill textile, distinguished by a warp-faced weave that produces a characteristic diagonal ribbing.</t>
  </si>
  <si>
    <t>A natural, fine-grained earthy material that is highly moldable when wet and hardens upon drying or firing. It is commonly used as the base for ceramics, earthenware, and terracotta, and is often glazed for durability.</t>
  </si>
  <si>
    <t>A semi-solid, jelly-like material, typically a polymer or silicone compound, valued for its soft, flexible nature and cushioning or temperature-regulating properties.</t>
  </si>
  <si>
    <t>Coir is a natural, coarse, and durable fiber extracted from the outer husk of coconuts. It is valued for its rough texture and moisture resilience, commonly used in woven materials, padding, and decorative accents.</t>
  </si>
  <si>
    <t>A heavy-duty, stiff paper-based material composed of compressed cellulose fibers, typically presented as thick paperboard or layered corrugated fiberboard. It is lightweight, often used for temporary structural components, and lacks long-term durability and moisture resistance.</t>
  </si>
  <si>
    <t>A material produced by tanning or chemically treating animal skins and hides, making them strong, flexible, and resistant to decay. Most commonly sourced from cattle, sheep, goats, or pigs. Characteristics may vary based on the source animal and processing method.</t>
  </si>
  <si>
    <t>A luxury natural fiber obtained from the soft undercoat of cashmere goats. Cashmere is prized for its exceptional softness, warmth, and lightweight insulating properties. It features a fine, luxurious texture and natural breathability. Use only if the product is constructed from genuine cashmere.</t>
  </si>
  <si>
    <t>Steel coated with a protective layer of zinc for enhanced resistance against corrosion and rust. This process increases the material's durability and strength.</t>
  </si>
  <si>
    <t>Hemp is a strong, natural, and sustainable fiber derived from the stalks of the Cannabis sativa plant. It is prized for its high durability, resistance to mold and mildew, and naturally coarse texture.</t>
  </si>
  <si>
    <t>Fireclay is a dense, refractory ceramic material composed of hydrous aluminum silicates. It is fired at high temperatures and valued for its exceptional durability, non-porous nature, and resistance to heat.</t>
  </si>
  <si>
    <t>Anodized aluminum is aluminum that has been electrochemically treated to form a durable, corrosion-resistant oxide layer on its surface, which enhances hardness and allows for aesthetic coloring.</t>
  </si>
  <si>
    <t>A textile material composed of two or more different types of natural or synthetic fibers, spun or woven together to combine the desirable properties of each component</t>
  </si>
  <si>
    <t>Bamboo is a versatile, highly renewable material derived from a woody grass. It is used in rigid applications as a hard, durable, lightweight wood substitute, or processed into soft, breathable textile fibers (viscose/rayon) known for their moisture-wicking and antimicrobial qualities.</t>
  </si>
  <si>
    <t>Brass is a yellow-gold metal alloy primarily composed of copper and zinc. It is valued for its golden appearance, workability, and natural resistance to corrosion.</t>
  </si>
  <si>
    <t>Burlap is a coarse, woven fabric made from natural plant fibers such as jute, hemp, or sisal. It is known for its rough, rustic texture and natural, earth-toned appearance.</t>
  </si>
  <si>
    <t>An inorganic, non-metallic material (such as porcelain, stoneware, or earthenware) made from clay or similar minerals. It is shaped and hardened by firing at high temperatures, resulting in a product valued for its hardness, durability, and heat resistance.</t>
  </si>
  <si>
    <t>An engineered material formed by the intentional and permanent combination of two or more distinct constituent substances. The resulting material has enhanced physical or chemical properties superior to those of its individual components.</t>
  </si>
  <si>
    <t>Carbon steel is an alloy of iron with carbon as the primary alloying element (0.05% to 2.1% by weight). Increased carbon content provides greater strength and hardness but reduces ductility and weldability. It is valued for strength but is susceptible to rust and corrosion without proper coating.</t>
  </si>
  <si>
    <t>A synthetic material made by mechanically compressing polyester fibers into a dense, resilient sheet or batting. It is used for padding, insulation, or structure, offering strength and moisture resistance.</t>
  </si>
  <si>
    <t>Ceramic and Porcelain are non-metallic, inorganic materials formed from clay and fired at high temperatures. Ceramic is the broader category. Porcelain is a highly refined, dense ceramic known for its whiteness, low porosity, hardness, and translucency.</t>
  </si>
  <si>
    <t>A translucent and highly durable ceramic, defined as containing a minimum of 30% bone ash, kaolin, and feldspathic material. Bone china is prized for its whiteness, strength, and chip resistance.</t>
  </si>
  <si>
    <t>Cedar is a lightweight, aromatic softwood, typically reddish-brown with a straight grain. It is valued for its natural oils, which provide inherent resistance to insects, rot, and moisture.</t>
  </si>
  <si>
    <t>A composite material made from cement, aggregates, and water. It forms a hard, dense, and durable surface, valued for its weight, strength, and modern industrial aesthetic.</t>
  </si>
  <si>
    <t>Cotton is a soft, breathable, and absorbent natural fiber derived from the cotton plant's seed bolls. It is primarily used in textiles, fabrics, and non-structural components.</t>
  </si>
  <si>
    <t>Earthenware is a porous, opaque ceramic material made from natural clay and fired at relatively low temperatures. It is comparatively soft and less dense than stoneware or porcelain, typically requiring a glaze to be fully watertight.</t>
  </si>
  <si>
    <t>Engineered stone is a non-porous composite material made from crushed natural stone (such as quartz or marble) bound together by polymer resin or cement. It is highly durable and provides uniform color, consistent strength, and superior resistance to scratching and chemicals.</t>
  </si>
  <si>
    <t>A composite material made of a cement binder, aggregates (sand, gravel, or crushed stone), and water, which hardens into a solid, heavy, stone-like mass. Cement is the powder bonding agent used to create concrete. This material is valued for its strength, durability, and industrial aesthetic.</t>
  </si>
  <si>
    <t>A material with a grooved, wavy, or fluted structure, typically made from fiberboard, plastic, or metal. The structure, where a fluted layer is often sandwiched between flat sheets, increases strength while remaining lightweight.</t>
  </si>
  <si>
    <t>A hard, glossy surface coating applied over a substrate. Enamel is a vitreous (glassy) coating for color and protection; lacquer is a hard, resin-based film. Use only when the coating is the product's primary visible surface material.</t>
  </si>
  <si>
    <t>A textile fabric made by blending cotton fibers with one or more other natural or synthetic fibers (e.g., polyester, rayon). This combination balances cotton's comfort and breathability with the added properties of the blended fiber, such as enhanced durability, wrinkle resistance, or stretch.</t>
  </si>
  <si>
    <t>Compressed stone is a dense, engineered material made by combining natural stone fragments or powder with polymer resins or binders. The mixture is pressed under high pressure to form a durable, non-porous slab or shape, sometimes referred to as polymarble.</t>
  </si>
  <si>
    <t>A reddish-brown, non-ferrous metal element that is highly conductive, malleable, and resistant to corrosion. It is prized for its distinctive color and will develop a protective patina over time.</t>
  </si>
  <si>
    <t>A synthetic material engineered to replicate the appearance and texture of genuine leather, often constructed from a fabric backing coated with polyurethane (PU) or polyvinyl chloride (PVC). It is an affordable, water-resistant, and animal-free alternative.</t>
  </si>
  <si>
    <t>A synthetic material designed to replicate the appearance and soft, woolly texture of genuine sheepskin. It is typically constructed from acrylic or polyester fibers as an animal-free alternative.</t>
  </si>
  <si>
    <t>Fiberstone is a composite material made from stone powder, resin, and fiberglass reinforcement. It is lightweight and durable, mimicking the appearance and texture of natural stone.</t>
  </si>
  <si>
    <t>Fine Silver is a precious metal of extremely high purity, specifically 99.9% (or .999 fineness). It is prized for its bright luster and resistance to tarnish, but is soft and malleable, making it less suitable for items requiring high durability.</t>
  </si>
  <si>
    <t>Aluminum that has undergone an intensified electrolytic process to form a thick, dense oxide layer. This treatment provides superior hardness, durability, wear, and corrosion resistance.</t>
  </si>
  <si>
    <t>Granite is a hard, coarse-grained, natural igneous rock composed chiefly of quartz, feldspar, and mica. It is prized for its exceptional durability, density, resistance to scratching and heat, and its natural speckled appearance.</t>
  </si>
  <si>
    <t>A thick, sturdy metal wire with a low American Wire Gauge (AWG) number indicating a greater diameter than standard wire. This material is used as a primary structural or visible component to provide enhanced strength, durability, and weight-bearing capacity.</t>
  </si>
  <si>
    <t>Faux fur (also called fake fur) is a pile fabric engineered from synthetic fibers (such as polyester, acrylic, or modacrylic) to mimic the appearance and warmth of real animal fur. It is used as an animal-friendly, cruelty-free alternative, valued for its softness, variety of textures, and ease of care</t>
  </si>
  <si>
    <t>Faux Mohair is a synthetic or blended fabric, typically made from polyester or acrylic, designed to imitate the soft, fuzzy, and lustrous texture of natural mohair derived from Angora goats. It is a durable, animal-free, and more affordable alternative.</t>
  </si>
  <si>
    <t>A man-made, animal-free material engineered from synthetic fibers (such as polyester or acrylic) to closely replicate the appearance, texture, and pattern of genuine cowhide. It is valued as a durable, decorative alternative.</t>
  </si>
  <si>
    <t>Iron is a strong, hard, dense, ferrous metal typically used as a principal structural material in wrought or cast forms. Due to its susceptibility to rust, it usually requires a protective finish. Only select this value if iron is the main material, excluding alloys like steel and cast iron.</t>
  </si>
  <si>
    <t>A type of crystal glass containing a high percentage of lead oxide, typically 24% or greater. This composition results in exceptional weight, clarity, brilliance, and a high refractive index. It is not recommended for prolonged food or beverage storage due to potential lead leaching.</t>
  </si>
  <si>
    <t>A natural metamorphic rock composed primarily of recrystallized carbonate minerals, such as calcite or dolomite. It is prized for its high density, durability, and distinctive veining, and can be polished to a smooth, glossy surface.</t>
  </si>
  <si>
    <t>Lead crystal is a type of glass that contains at least 24% lead oxide by weight. The lead enhances the material's density, clarity, and refractive index, resulting in exceptional brilliance and ease of cutting for decorative effects.</t>
  </si>
  <si>
    <t>Ironstone is a dense, durable, non-porous vitreous ceramic, typically white or off-white. It was developed as a sturdier alternative to porcelain and is prized for its exceptional resistance to chipping and cracking.</t>
  </si>
  <si>
    <t>Leather is tanned animal hide, and faux leather is a synthetic substitute, often made from PU or PVC, designed to mimic its appearance, texture, and properties.</t>
  </si>
  <si>
    <t>Latex is a flexible, elastic, and resilient material that can be either natural, derived from rubber tree sap, or synthetic, produced from petroleum-based polymers.</t>
  </si>
  <si>
    <t>A long, coarse, natural bast fiber derived from the jute plant. This durable and sustainable material is known for its high strength, rough, textured surface, and biodegradable nature. It is also referred to as burlap or hessian.</t>
  </si>
  <si>
    <t>Crystal glass manufactured without lead oxide, substituting it with alternative metal oxides (e.g., barium, zinc, or potassium) to achieve the clarity, brilliance, and weight of traditional lead crystal, while offering a safer, more durable material.</t>
  </si>
  <si>
    <t>A delicate, openwork textile or fabric made by looping, twisting, or knitting threads (often cotton, silk, or synthetic) into intricate, decorative patterns characterized by repeated open holes.</t>
  </si>
  <si>
    <t>Jute and sisal are strong, biodegradable natural plant fibers. Jute is a softer, more flexible bast fiber; Sisal is a coarser, stiffer leaf fiber, prized for its durability and abrasion resistance.</t>
  </si>
  <si>
    <t>A synthetic, multi-layer composite material consisting of a decorative sheet (paper or film) fused with resin and bonded to a substrate like MDF or particleboard. It provides a durable, moisture- and scratch-resistant surface that often mimics wood grain, stone, or solid colors.</t>
  </si>
  <si>
    <t>Marble is a metamorphic stone characterized by distinctive veining, crystalline texture, and the ability to take a polish. Granite is a separate, harder igneous rock known for its granular appearance, strength, and durability. This value applies to items constructed from a composite or combination of both natural stones.</t>
  </si>
  <si>
    <t>Mercury glass, or silvered glass, is a decorative, double-walled glass with a reflective metallic coating sealed between its layers to create a mirrored or antiqued silver finish. Modern versions do not contain actual mercury.</t>
  </si>
  <si>
    <t>Medium Density Fiberboard (MDF) is an engineered wood product composed of fine wood fibers bonded with resin under high heat and pressure, forming dense, smooth, and dimensionally stable panels.</t>
  </si>
  <si>
    <t>A material composed of interconnected strands (metal, plastic, or synthetic fiber) forming a regular, open grid or net-like structure. It is valued for its lightweight nature, ventilation, and transparency.</t>
  </si>
  <si>
    <t>A natural fiber from Merino sheep, characterized by an ultrafine diameter, exceptional softness, and light weight. It is prized for being highly breathable, moisture-wicking, thermoregulating, and less itchy than traditional wool.</t>
  </si>
  <si>
    <t>A dense, viscoelastic polyurethane foam material that conforms to shape under pressure and gradually returns to its original form, prized for its cushioning, stability, and pressure-relieving properties.</t>
  </si>
  <si>
    <t>A solid, naturally occurring mineral material quarried from the earth (e.g., marble, granite, slate, or limestone). It is prized for its durability, unique veining, and color variations, and is distinct from engineered or composite stone.</t>
  </si>
  <si>
    <t>A blended textile made from microfiber, which is an ultrafine synthetic fiber (typically polyester), and standard polyester fibers. The material offers a combination of softness, durability, resilience, and easy-care properties.</t>
  </si>
  <si>
    <t>Fibers sourced from plant, animal, or mineral sources that are minimally processed and not synthetically or chemically altered. This category excludes man-made and significantly blended fibers.</t>
  </si>
  <si>
    <t>A synthetic fiber made from ultra-fine filaments, typically polyester or polyamide, that are finer than one denier. It is characterized by a soft, smooth, lightweight texture, high absorbency, and durability.</t>
  </si>
  <si>
    <t>Natural fibers are strand materials sourced directly from plants (such as cotton, jute, sisal) or animals (such as wool or silk). They are often minimally processed and valued for their organic appearance and biodegradability.</t>
  </si>
  <si>
    <t>A material (e.g., ferromagnetic metal, alloy, or ceramic composite) that produces a permanent magnetic field. This value applies only when the magnetic element is a primary structural or functional component, not merely a minor fastener.</t>
  </si>
  <si>
    <t>Muslin is a lightweight, plain-woven cotton fabric, or occasionally a cotton blend, known for its softness, breathability, and a weight that ranges from sheer to coarse.</t>
  </si>
  <si>
    <t>A general term for materials and alloys, such as steel, iron, or aluminum, characterized by strength, durability, malleability, and conductivity. Use this value only when a more specific metal tag is not applicable.</t>
  </si>
  <si>
    <t>A synthetic textile composed of ultra-fine fibers, typically polyester or nylon. Microfiber is valued for its softness, absorbency, and durability. Microsuede is a variant finished to mimic the soft appearance and texture of natural suede.</t>
  </si>
  <si>
    <t>Olefin is a durable synthetic fiber, often polypropylene or polyethylene, known for its strength, moisture resistance, and quick-drying qualities.</t>
  </si>
  <si>
    <t>A hard, silvery-white metallic element valued for its durability, corrosion resistance, and lustrous finish. It is often used as a structural alloy or protective plating.</t>
  </si>
  <si>
    <t>Polyethylene Vinyl Acetate (PEVA) is a flexible, non-chlorinated plastic copolymer. It is a lightweight, waterproof, and moisture-resistant alternative to traditional vinyl (PVC), valued for its ease of cleaning and typically smooth texture.</t>
  </si>
  <si>
    <t>A strong, lightweight synthetic polyamide known for exceptional tensile strength, abrasion resistance, and flexibility. Use only when Nylon is a main or structural component, not for thread or minor trim.</t>
  </si>
  <si>
    <t>A dense, durable hardwood prized for exceptional strength and resistance to decay. It features a prominent, defined grain and ranges from light tan to deep brown.</t>
  </si>
  <si>
    <t>A durable, woven textile traditionally made from cotton, polyester, or blends, characterized by a distinctive basketweave structure and a slightly textured surface.</t>
  </si>
  <si>
    <t>Polyamide is a class of synthetic polymers (most commonly nylon) known for exceptional strength, elasticity, and superior resistance to abrasion. It is utilized as a durable fiber or a molded plastic component.</t>
  </si>
  <si>
    <t>Plywood is an engineered wood panel made by bonding multiple thin layers (plies) of wood veneer with the grain of adjacent layers oriented at right angles. This construction provides high strength, stability, and resistance to warping.</t>
  </si>
  <si>
    <t>Woody seed cones of pine trees, used as a natural construction or decorative material. This value applies only when pinecones are a primary, visible, and substantial component of the product, valued for their organic texture and rustic appeal.</t>
  </si>
  <si>
    <t>A synthetic material category including general polymers (plastic) and polymethyl methacrylate (acrylic). Both are lightweight, durable, and moisture-resistant. Acrylic is a clear or colored thermoplastic valued for its rigidity and glass-like appearance.</t>
  </si>
  <si>
    <t>A malleable, silvery-gray metal alloy composed primarily of tin with small amounts of copper and antimony. Modern, food-safe pewter is lead-free.</t>
  </si>
  <si>
    <t>Polycarbonate is a tough, durable, and lightweight thermoplastic polymer, typically transparent or translucent, prized for its high impact resistance and shatterproof properties.</t>
  </si>
  <si>
    <t>A base metal coated with a thin layer of nickel, typically applied through electroplating. This finish provides a lustrous, silvery appearance and improves corrosion resistance and surface hardness. It is a surface finish and not solid nickel.</t>
  </si>
  <si>
    <t>A versatile, durable synthetic polymer derived from petroleum. It is valued for its high strength, wrinkle and moisture resistance, and is processed into fibers for textiles or molded into plastic forms.</t>
  </si>
  <si>
    <t>A material, either natural or synthetic, composed of large molecules made of repeating structural units (monomers). This value represents a broad category including plastics, resins, and rubbers, and should only be used when a more specific polymer type is not identified.</t>
  </si>
  <si>
    <t>A lightweight, resilient synthetic fiberfill material composed of polyester. Used as stuffing or padding to provide loft, cushioning, and insulation. It is valued for its quick-drying, mildew-resistant, and hypoallergenic properties. This value applies only when the material is used as a fill, distinct from woven polyester fabric.</t>
  </si>
  <si>
    <t>Polystyrene is a synthetic, lightweight, rigid thermoplastic polymer. Made from styrene monomer, it is a clear, opaque, or expanded foam plastic valued for its moldability and affordability.</t>
  </si>
  <si>
    <t>Polyvinyl Chloride (PVC) is a synthetic thermoplastic polymer known for its durability, chemical resistance, and versatility. It is inherently water-resistant and can be manufactured in both rigid and flexible forms for a wide range of uses.</t>
  </si>
  <si>
    <t>Polyurethane is a highly versatile synthetic polymer that can be formulated as a flexible foam, a rigid plastic, a durable coating, or a sealant. It is valued for its resilience, flexibility, durability, and resistance to water and abrasion.</t>
  </si>
  <si>
    <t>Porcelain China is a high-fired, vitrified ceramic material, also known as fine china, composed primarily of kaolin clay, feldspar, and quartz. This process results in a dense, non-porous body with high strength, whiteness, and translucency.</t>
  </si>
  <si>
    <t>Steel coated with a dry powder, typically applied electrostatically and cured under heat, to form a hard, durable, and protective finish. This process enhances resistance to corrosion, chipping, and scratching, and provides a uniform, aesthetic colored layer.</t>
  </si>
  <si>
    <t>A lightweight, semi-crystalline thermoplastic polymer (PP). It is durable, non-absorbent, and offers strong resistance to chemicals, moisture, and physical fatigue.</t>
  </si>
  <si>
    <t>Porcelain enameled steel is a steel substrate coated with a hard, glassy, vitreous porcelain enamel layer fused to the metal at high temperatures. This creates a smooth, durable, corrosion-resistant, and heat-resistant surface.</t>
  </si>
  <si>
    <t>A hard, dense, non-porous ceramic material created by firing refined clay and minerals at high temperatures. It is vitrified, highly durable, and typically white or translucent with a smooth, refined finish.</t>
  </si>
  <si>
    <t>Aluminum coated with a colored powder that is electrostatically applied and heat-cured. This process forms a smooth, highly durable, and uniform surface, providing exceptional resistance to chipping, fading, and corrosion.</t>
  </si>
  <si>
    <t>A textile fabric made from a blend of polyester fibers and other natural or synthetic materials. This combination is designed to combine the strength, durability, and resilience of polyester with desirable properties like softness, comfort, or breathability from the blended fibers.</t>
  </si>
  <si>
    <t>Polyresin is a synthetic resin compound or composite, often blended with powdered fillers like calcium carbonate. It is valued for its superior moldability, durability, and capacity to capture fine details, often finished to closely mimic natural materials such as stone, ceramic, wood, or metal.</t>
  </si>
  <si>
    <t>Polymarble is an engineered composite material made from finely crushed marble or stone dust mixed with polymer resin. It is molded and finished to resemble natural marble but is generally less porous, more lightweight, and more durable than solid stone.</t>
  </si>
  <si>
    <t>Polyurethane (PU) is a versatile, durable synthetic polymer. It is used as flexible foam, rigid solids, protective coatings, and films, often prized for its flexibility, moisture resistance, and ability to mimic faux leather.</t>
  </si>
  <si>
    <t>Sandstone is a sedimentary rock composed mainly of sand-sized mineral particles. It features a porous, granular texture, is moderately durable, and ranges in color from light tan to various earth tones.</t>
  </si>
  <si>
    <t>Silver is a soft, white, lustrous precious metal (Ag), prized for its high reflectivity and workability. It is used in pure form, as an alloy (e.g., sterling silver), or as plating over base materials.</t>
  </si>
  <si>
    <t>The tanned hide of a sheep with the wool fleece still attached, characterized by a soft, plush texture and natural insulation.</t>
  </si>
  <si>
    <t>Sateen is a woven fabric, typically made from spun cotton yarns, characterized by a satin weave structure. This weave creates a smooth, lustrous surface with a subtle sheen, soft hand-feel, and good drape.</t>
  </si>
  <si>
    <t>Rayon and viscose are semi-synthetic fibers made from regenerated plant cellulose, typically wood pulp. This material is prized for its smooth, soft, silk-like texture, excellent drape, and high absorbency. Viscose is a common subtype of rayon.</t>
  </si>
  <si>
    <t>Rayon from Bamboo is a semi-synthetic, regenerated cellulose fiber (viscose) chemically derived from bamboo pulp. It is known for its softness, breathability, and moisture-wicking properties. Select only if the fiber is explicitly sourced from bamboo cellulose, not generic rayon or a bamboo-look finish.</t>
  </si>
  <si>
    <t>A base metal coated with a thin layer of pure silver, typically applied via electroplating. Provides the appearance of solid silver at a lower cost, but the plating is less durable and may wear away over time, revealing the base metal.</t>
  </si>
  <si>
    <t>A synthetic or natural fleece material with a thick, plush, wool-like pile that mimics sheepskin or lambswool. It is valued for its warmth and softness. I synthesized a new definition by combining the most descriptive, non-product-specific details from all variations, like the thick pile and how it mimics sheepskin. I removed all specific product mentions to create a clear, universal definition for this material.</t>
  </si>
  <si>
    <t>A hard, crystalline mineral (silicon dioxide) prized for its scratch resistance and durability. It is used in its natural form or as the primary component in engineered stone surfaces.</t>
  </si>
  <si>
    <t>Satin is a fabric distinguished by a smooth, lustrous surface and dull back, created using a specific satin weave with filament fibers such as silk, polyester, or nylon.</t>
  </si>
  <si>
    <t>Decorative material from natural shells of marine mollusks. Capiz is the thin, translucent shell of the windowpane oyster, prized for its pearlescent luster and semi-transparent quality, used for inlays, panels, or structural accents.</t>
  </si>
  <si>
    <t>A flexible, elongated cord made from strands of natural or synthetic fibers that are twisted or braided together. It is a thick, strong material used as a primary visible, structural, or decorative element.</t>
  </si>
  <si>
    <t>A natural protein fiber produced by silkworms, prized for its smooth, lustrous texture, strength, and breathability. Use this value only if the product is constructed from genuine silk.</t>
  </si>
  <si>
    <t>Rayon is a semi-synthetic fiber made from regenerated cellulose, typically sourced from wood pulp or bamboo. It is known for its soft, silk-like feel, high absorbency, breathability, and excellent drape. It may also be called viscose or bamboo rayon.</t>
  </si>
  <si>
    <t>Seagrass is a natural, renewable plant fiber harvested from aquatic grasses in coastal waters. It is lightweight, strong, and flexible, with a pale, earthy color and a straight grain. It is typically twisted into cordage and then woven.</t>
  </si>
  <si>
    <t>An elastic and pliable polymer (elastomer) derived from natural latex or synthetic sources. It is a durable, water-resistant material valued for its resilience, shock absorption, and non-slip properties.</t>
  </si>
  <si>
    <t>Quartzite is a hard, dense, natural metamorphic stone formed from quartz-rich sandstone under heat and pressure. It is highly durable and resistant to heat, scratching, and weathering, often featuring a crystalline sparkle.</t>
  </si>
  <si>
    <t>Foliage, branches, or stems derived from genuine plant matter that is fresh, dried, or preserved. This material must be a substantial, primary component of the product and not a minor accent.</t>
  </si>
  <si>
    <t>A synthetic or natural polymer compound that is molded or cast into a durable solid. It is valued for its ability to hold intricate shapes and replicate the appearance of materials like stone or wood.</t>
  </si>
  <si>
    <t>Naturally occurring small pieces of mineral or stone used as a decorative element, a surface material, or a functional aggregate for stability and drainage. Applies only to genuine rock or pebble material, not imagery.</t>
  </si>
  <si>
    <t>Recycled P.E.T is a synthetic material derived from recycled polyethylene terephthalate (PET) plastic, commonly sourced from post-consumer bottles.</t>
  </si>
  <si>
    <t>Genuine, natural botanical material, such as fresh, dried, or preserved flowers and leaves, incorporated into a product. Excludes printed patterns or artificial imitations.</t>
  </si>
  <si>
    <t>I created a new universal definition by combining the most important facts about both real suede and its synthetic version. I removed all mentions of specific products like towels or furniture to make sure the definition works for everything on the site.</t>
  </si>
  <si>
    <t>Solid Brass is a highly durable alloy composed mainly of copper (minimum 62%) and zinc (minimum 18%), prized for its gold-like appearance and resistance to corrosion. Use only when the product is constructed from the genuine solid alloy, not plating or a finish.</t>
  </si>
  <si>
    <t>Stainless Steel (18/0) is a magnetic, ferritic alloy composed of approximately 18% chromium and 0% nickel. It offers moderate corrosion resistance and is more affordable than higher-nickel grades, but is less durable and lustrous.</t>
  </si>
  <si>
    <t>A soft, porous, and highly absorbent material, typically made from natural sea sponge, cellulose, or synthetic foams like polyurethane. It is valued for its cushioning and ability to retain liquids.</t>
  </si>
  <si>
    <t>Tin is a soft, malleable, silvery-white metal known for its corrosion resistance. It is often used as a protective coating, a component in alloys (like solder or pewter), or as a primary material in thin, lightweight products.</t>
  </si>
  <si>
    <t>Teak is a highly durable tropical hardwood, typically golden to medium brown, prized for its natural oils that provide exceptional resistance to moisture, decay, and insects.</t>
  </si>
  <si>
    <t>Austenitic stainless steel alloy composed of 18% chromium and 10% nickel. This grade provides superior corrosion resistance, high strength, and a bright, lustrous finish.</t>
  </si>
  <si>
    <t>Slate is a fine-grained, durable metamorphic rock that splits easily into thin, flat layers. It is typically dark gray to black and valued for its natural texture, strength, and resistance to water.</t>
  </si>
  <si>
    <t>Travertine is a natural stone, a type of porous limestone formed by mineral deposits from hot springs. It is characterized by a pitted surface, earthy tones (beige, tan, or cream), and is valued for its durability.</t>
  </si>
  <si>
    <t>An austenitic stainless steel alloy (Type 304) containing approximately 18% chromium and 8% nickel. It is known for its excellent corrosion resistance, high strength, bright finish, and is generally non-magnetic.</t>
  </si>
  <si>
    <t>Sterling silver is a precious metal alloy consisting of at least 92.5% pure silver and 7.5% other metals, typically copper. This composition increases strength and durability, retaining a bright, lustrous finish. It is often hallmarked with '925' or 'Sterling' to indicate its purity.</t>
  </si>
  <si>
    <t>A woven or knitted textile with an uncut looped pile on one or both sides, typically made from cotton or a cotton blend. It is valued for its high absorbency, softness, and plush texture.</t>
  </si>
  <si>
    <t>A naturally occurring solid aggregate of minerals or mineraloids, such as granite, slate, or marble. Valued for its durability, weight, unique patterns, and cool texture. Use for products constructed from genuine stone material.</t>
  </si>
  <si>
    <t>A porous, reddish-brown earthenware ceramic material made from natural clay fired at low temperatures. It is often unglazed and valued for its distinctive earthy and rustic texture. Use only if the product is constructed from the genuine material, not a color or finish.</t>
  </si>
  <si>
    <t>Material created through chemical synthesis that is not derived from natural plant or animal sources. This category includes man-made fibers, plastics, and resins like polyester, nylon, and acrylic.</t>
  </si>
  <si>
    <t>A class of synthetic polymer materials that become pliable when heated and solidify upon cooling, allowing for repeated molding. Examples include polyethylene, polypropylene, and polycarbonate.</t>
  </si>
  <si>
    <t>Tencel is a branded lyocell fiber, a semi-synthetic material made from sustainably sourced wood pulp, primarily eucalyptus. Produced through an eco-friendly, closed-loop process, it is known for its exceptional softness, breathability, and moisture-wicking properties.</t>
  </si>
  <si>
    <t>A durable, dense ceramic material made from clay and fired at high temperatures (typically 1,200–1,315°C) until vitrified. Stoneware is non-porous, opaque, and hard, prized for its chip-resistance and stone-like appearance.</t>
  </si>
  <si>
    <t>Safety glass strengthened by controlled thermal or chemical treatments, offering four times the strength of standard glass. It shatters into small, blunt granular chunks rather than sharp shards, enhancing safety.</t>
  </si>
  <si>
    <t>A lightweight, flexible decorative material made of thin, metallic or metallic-looking strips, traditionally metal but now commonly plastic (PVC, Mylar/foil). It is highly reflective and used to add sparkle and visual emphasis.</t>
  </si>
  <si>
    <t>An engineered, non-porous, and durable composite material. It is typically made from a blend of acrylic or polyester resins and natural minerals, prized for its seamless appearance and stain resistance.</t>
  </si>
  <si>
    <t>Tritan is a durable, BPA-free copolyester plastic developed by Eastman. It is known for its exceptional clarity, high impact and chemical resistance, and dishwasher safety.</t>
  </si>
  <si>
    <t>Sunbrella® is a proprietary, high-performance fabric made from solution-dyed acrylic fibers. It is renowned for exceptional durability, UV resistance, color retention, and resistance to stains and moisture.</t>
  </si>
  <si>
    <t>A component or surface covered with textile, leather, or synthetic material and padded underneath to create a soft, cushioned, or finished exterior.</t>
  </si>
  <si>
    <t>A plush, knitted or woven fabric with a short, dense pile, resembling velvet. Velour is typically made from cotton or synthetic fibers and characterized by its soft, velvety feel and moderate stretch.</t>
  </si>
  <si>
    <t>A small, natural, woody branch or shoot from a tree or shrub. Used as a visible or structural material, often prized for a rustic, organic aesthetic.</t>
  </si>
  <si>
    <t>A woven or knitted fabric with a dense, cut pile of evenly distributed fibers, creating a soft, plush surface, a smooth nap, and a luxurious luster. It is composed of natural fibers (silk, cotton) or synthetic blends (polyester, rayon). Applicable to genuine velvet or materials with a visibly matching texture.</t>
  </si>
  <si>
    <t>Vitreous China is a hard, dense ceramic material with a glass-like, non-porous surface created by a high-temperature glaze. It is highly durable, impervious to water, and features a glossy finish.</t>
  </si>
  <si>
    <t>Urethane, or polyurethane, is a versatile synthetic polymer used in solid, flexible, or foam forms. It is valued for its durability, resilience, and resistance to water and chemicals, making it suitable for coatings, molded components, and lightweight structural parts.</t>
  </si>
  <si>
    <t>Zinc is a bluish-white, moderately soft metal prized for its natural corrosion resistance, malleability, and use in various alloys and protective coatings like galvanization.</t>
  </si>
  <si>
    <t>Rattan is a natural, flexible, and highly durable material derived from the stems of climbing palm plants native to tropical regions. It is lightweight, strong, and prized for weaving and its natural, textured, pale golden-brown appearance. Not to be confused with wicker, which is a weaving method.</t>
  </si>
  <si>
    <t>A premium, long-staple cotton variety grown in Turkey, primarily in the Aegean and Mediterranean regions. It is known for its extra-long fibers, which yield a soft, strong, highly absorbent, and durable textile that typically becomes softer with use and washing.</t>
  </si>
  <si>
    <t>A tough, malleable iron alloy with very low carbon content and fibrous inclusions. This durable metal is corrosion-resistant and easily shaped for decorative and structural uses.</t>
  </si>
  <si>
    <t>A natural protein fiber primarily from sheep, prized for its softness, resilience, and excellent thermal and sound insulation. It is naturally moisture-wicking and flame-resistant.</t>
  </si>
  <si>
    <t>A flexible, drawn-out strand of metal or other ductile material, typically used in the form of a continuous strand, mesh, grid, or coil to provide structural support or electrical conductivity.</t>
  </si>
  <si>
    <t>Zinc alloy is a group of metal alloys with zinc as the primary component, combined with other metals such as aluminum, copper, or magnesium. It is valued for its strength, versatility, excellent casting properties, and enhanced corrosion resistance.</t>
  </si>
  <si>
    <t>A hard, dense hardwood known for its rich, dark brown to purplish heartwood and generally straight grain. Valued for durability, strength, and fine appearance. Use only if the actual material is genuine walnut wood, not a color or finish.</t>
  </si>
  <si>
    <t>Viscose is a semi-synthetic fiber, also known as rayon, derived from regenerated cellulose (typically wood pulp or bamboo). It is valued for its soft, silky texture, lustrous sheen, good drape, breathability, and absorbency.</t>
  </si>
  <si>
    <t>Wicker refers to the construction method of weaving pliable natural fibers, such as rattan, willow, or cane, or their synthetic alternatives, into a rigid and textured woven structure.</t>
  </si>
  <si>
    <t>Wool is a natural fiber from animal fleece, valued for its warmth and moisture management. Felt is a dense, non-woven textile created by matting and pressing wool or synthetic fibers together, resulting in a soft, insulating material resistant to fraying.</t>
  </si>
  <si>
    <t>Charcoal is a black, porous, carbon-rich residue produced by pyrolyzing wood or organic materials. This value applies when it is used as a primary structural or decorative material, or for its functional properties like odor absorption.</t>
  </si>
  <si>
    <t>Steel coated with a fused, vitreous (glassy) enamel finish. This hard coating provides a smooth, durable, and corrosion-resistant surface for color and hygiene. Apply only when the genuine material is the main visible or structural component.</t>
  </si>
  <si>
    <t>Steel finished with a layer of vinyl plastic (often PVC) to provide corrosion resistance, water protection, and enhanced durability.</t>
  </si>
  <si>
    <t>A flat, highly polished surface, typically glass or acrylic, coated on the back with a reflective metallic layer to produce a clear, image-reflecting finish. Use only when the reflective surface is the primary visible material, not a finish or small accent</t>
  </si>
  <si>
    <t>Water Hyacinth is a natural, rapidly growing aquatic plant fiber derived from its dried stems and stalks. This sustainable material is typically woven or braided to create lightweight, durable items. It features a characteristic golden to brown color and a chunky, organic texture.</t>
  </si>
  <si>
    <t>Multi-Surface</t>
  </si>
  <si>
    <t>Flat Surface</t>
  </si>
  <si>
    <t>Textured Wall</t>
  </si>
  <si>
    <t>Brick Wall</t>
  </si>
  <si>
    <t>Cement Wall</t>
  </si>
  <si>
    <t>Glass Wall</t>
  </si>
  <si>
    <t>Existing Tile</t>
  </si>
  <si>
    <t>Chalkboard</t>
  </si>
  <si>
    <t>Appliance</t>
  </si>
  <si>
    <t>Painted Gypsum</t>
  </si>
  <si>
    <t>Acrylic Panel</t>
  </si>
  <si>
    <t>Orange Peel Wall</t>
  </si>
  <si>
    <t>Gypsum Wall</t>
  </si>
  <si>
    <t>Plywood Wall</t>
  </si>
  <si>
    <t>Drywall</t>
  </si>
  <si>
    <t>Stucco Wall</t>
  </si>
  <si>
    <t>Ceramic Tile Wall</t>
  </si>
  <si>
    <t>Stone Wall</t>
  </si>
  <si>
    <t>Medium Density Fiberboard</t>
  </si>
  <si>
    <t>Compatible Surfaces Definitions</t>
  </si>
  <si>
    <t>Multi-Surface refers to compatibility with multiple distinct surface types, indicating that the product is engineered or supplied with mounting solutions suitable for a stated range of surfaces, such as drywall, tile, glass, metal, or other materials. Do not treat ordinary compatibility with an unspecified flat wall alone as Multi-Surface.</t>
  </si>
  <si>
    <t>Refers to a wall or installation surface that is continuously even and planar, without significant texture, protrusions, or recesses. This is the general compatibility value for smooth or level surfaces when product information does not specify a material-specific requirement.</t>
  </si>
  <si>
    <t>Refers to a vertical surface intentionally finished with a raised or irregular texture, such as orange peel, knockdown, or stipple. Indicates that a product or mounting system is compatible with surfaces exhibiting low-to-moderate variation rather than being limited to smooth finishes.</t>
  </si>
  <si>
    <t>Refers to a vertical surface constructed from individual bricks, typically made of clay or concrete, joined with mortar. These surfaces can be structural or decorative and vary between smooth and rough textures. Compatibility indicates the product can be secured using appropriate mounting hardware or adhesives.</t>
  </si>
  <si>
    <t>A wall primarily constructed from cement, such as poured concrete or cement blocks, often used for foundational or structural support. These surfaces are solid, durable, and highly resistant to weathering, and may range from smooth to highly textured.</t>
  </si>
  <si>
    <t>Constructed primarily from wood, an organic material derived from trees, where the specific type (such as solid, reclaimed, hardwood, or manufactured) is not identified. Use for items that are clearly wooden but do not meet the criteria for more specific wood sub-categories.</t>
  </si>
  <si>
    <t>Refers to a vertical surface or partition constructed primarily of glass panels. Indicates that a product is compatible with or can be securely adhered to smooth, non-porous glass surfaces typically found in interior environments.</t>
  </si>
  <si>
    <t>A smooth, corrosion-resistant metallic surface characterized by its durable, non-porous properties. Commonly used in kitchens or commercial environments, it provides a functional and sleek finish that supports mounting or integration when used with compatible hardware or adhesives.</t>
  </si>
  <si>
    <t>Refers to a surface already covered with mounted ceramic, porcelain, or stone tiles. Compatibility indicates that a product can be installed or affixed directly onto the clean, flat, non-porous surface of these existing tiles without requiring their removal.</t>
  </si>
  <si>
    <t>Refers to a smooth, reusable, usually dark-colored surface specifically designed for writing or drawing with chalk or chalk markers. These surfaces can be made from porous materials, like painted wood, or non-porous materials, such as slate or porcelain, and are easily erased for repeated use.</t>
  </si>
  <si>
    <t>Refers to the finished, vertical exterior surface of household appliances, typically composed of metal, glass, or plastic. Compatibility indicates the product can be safely applied or installed on these smooth, non-porous surfaces.</t>
  </si>
  <si>
    <t>A flat, highly reflective glass surface. In the context of compatibility, indicates that the item can be securely adhered to or mounted on a clean mirror surface.</t>
  </si>
  <si>
    <t>A thin decorative covering made from paper, vinyl, or fabric that is adhered to an interior wall surface to provide a finished aesthetic. Patterns, textures, or images may be applied to the material to enhance the visual appeal of a space.</t>
  </si>
  <si>
    <t>Refers to gypsum wallboard (also known as drywall or plasterboard) that has been coated with paint to create a finished interior surface. It is commonly used for walls and ceilings in residential and commercial construction, providing a smooth substrate for decorative finishes.</t>
  </si>
  <si>
    <t>A flat, lightweight sheet made of acrylic (polymethyl methacrylate), a clear or colored synthetic plastic material often used as a durable, shatter-resistant substitute for glass. It provides a smooth surface used for various decorative, protective, or structural applications.</t>
  </si>
  <si>
    <t>A type of wall finish characterized by a subtle, dimpled texture resembling the skin of an orange. Created by spraying drywall compound, this common interior surface provides visual interest and helps conceal minor imperfections while remaining relatively smooth.</t>
  </si>
  <si>
    <t>Refers to an interior wall constructed from gypsum board (also known as drywall or plasterboard), which consists of a core of compressed gypsum encased in paper facing. It provides a smooth, uniform surface suitable for finishing with paint, wallpaper, or other decorative treatments.</t>
  </si>
  <si>
    <t>A multi-layered synthetic material made by bonding layers of paper or fabric to a substrate with resin, topped with a protective finish. It is characterized by a smooth, durable, and often decorative surface designed to replicate the appearance of natural materials.</t>
  </si>
  <si>
    <t>Refers to a wall surface constructed from sheets of plywood, an engineered wood product made from multiple layers of wood veneer glued together. These surfaces are sturdy, generally smooth, and suitable for both structural and decorative interior applications.</t>
  </si>
  <si>
    <t>Refers to a panel made from gypsum plaster pressed between thick sheets of paper. It is used for constructing interior walls and ceilings, providing a smooth, flat surface suitable for various finishes such as painting or wallpapering.</t>
  </si>
  <si>
    <t>Refers to a wall surface finished with stucco, a hard, dense plaster typically composed of cement, sand, lime, and water. It is characterized by a range of finishes from smooth to highly textured and is used for both interior and exterior architectural surfaces.</t>
  </si>
  <si>
    <t>Refers to a wall surface finished with ceramic tiles, which are hard, water-resistant units made from fired clay. The surface is typically smooth, non-porous, and glazed, making it suitable for mounting or adhering compatible items.</t>
  </si>
  <si>
    <t>Designed to resemble the appearance of poured concrete or cement, featuring the subtle mottling, color variations, and textures characteristic of the material. This aesthetic is typically plain and unpatterned, offering a modern, industrial look through a range of neutral, earthy hues.</t>
  </si>
  <si>
    <t>Refers to a vertical surface composed of natural or engineered stone, such as granite, limestone, or slate, constructed with or without mortar. These surfaces are durable, may vary from smooth to irregular in profile, and are found in both interior accent and exterior structural applications.</t>
  </si>
  <si>
    <t>An engineered wood product made from wood fibers, resin, and wax, compressed into a dense, stable panel. Characterized by a smooth, uniform surface and consistent density, it is free of knots and grain patterns, making it an ideal substrate for various finishes and machining.</t>
  </si>
  <si>
    <t>Bathroom</t>
  </si>
  <si>
    <t>Kitchen</t>
  </si>
  <si>
    <t>Bedroom</t>
  </si>
  <si>
    <t>Living Room</t>
  </si>
  <si>
    <t>Laundry Room</t>
  </si>
  <si>
    <t>Nursery</t>
  </si>
  <si>
    <t>Dining Room</t>
  </si>
  <si>
    <t>Pantry</t>
  </si>
  <si>
    <t>Home Office</t>
  </si>
  <si>
    <t>Game Room</t>
  </si>
  <si>
    <t>Foyer</t>
  </si>
  <si>
    <t>Playroom</t>
  </si>
  <si>
    <t>Patio</t>
  </si>
  <si>
    <t>Closet</t>
  </si>
  <si>
    <t>Restaurant Dining Room</t>
  </si>
  <si>
    <t>Basement</t>
  </si>
  <si>
    <t>Garage/Shop</t>
  </si>
  <si>
    <t>Commercial Office</t>
  </si>
  <si>
    <t>Backyard</t>
  </si>
  <si>
    <t>Mudroom/Deck</t>
  </si>
  <si>
    <t>School Classroom</t>
  </si>
  <si>
    <t>Hotel Room</t>
  </si>
  <si>
    <t>Lobby/Reception</t>
  </si>
  <si>
    <t>Hallway</t>
  </si>
  <si>
    <t>Studio</t>
  </si>
  <si>
    <t>Art School</t>
  </si>
  <si>
    <t>Commercial Kitchen</t>
  </si>
  <si>
    <t>Room Use Definitions</t>
  </si>
  <si>
    <t>A room or designated area intended for personal hygiene, bathing, and other sanitation-related activities, typically equipped with a toilet, washbasin, and bathtub or shower. This environment is generally characterized by higher humidity levels and frequent exposure to moisture.</t>
  </si>
  <si>
    <t>A room or area primarily designed and equipped for the preparation, cooking, and serving of food, often including specialized appliances and infrastructure for ventilation, hygiene, and safety.</t>
  </si>
  <si>
    <t>A private room within a home or residence designed and furnished primarily for sleeping and personal retreat. Not intended for use in hotel rooms or multi-purpose spaces.</t>
  </si>
  <si>
    <t>A primary social and gathering space in a residence designed for general everyday use, including relaxation and social interaction among household members and guests.</t>
  </si>
  <si>
    <t>A room intended for washing and drying clothes, often containing appliances and significant moisture presence. It is a dedicated space for laundering and related household activities such as folding, ironing, and linen storage.</t>
  </si>
  <si>
    <t>A room specifically designed for the care, sleeping, and early development of infants and young children, typically within a residential or childcare setting.</t>
  </si>
  <si>
    <t>A dedicated space within a residential or commercial setting specifically designed for the purpose of serving and consuming meals.</t>
  </si>
  <si>
    <t>A small room, closet, or cabinet typically located in or near a kitchen, dedicated to the storage of food provisions, dishes, or other kitchen essentials.</t>
  </si>
  <si>
    <t>A dedicated workspace or room within a private residence specifically designed for professional activities, remote work, or academic study. Designed to promote productivity and focus within a home environment. Not intended for commercial or shared office settings.</t>
  </si>
  <si>
    <t>A room or dedicated area within a residence or facility designed primarily for recreational activities, games, and entertainment. This space is intended for leisure, socialization, and play, often accommodating digital gaming setups, table games, or various indoor hobbies.</t>
  </si>
  <si>
    <t>An entrance hall or open area located near the front door of a building or home, typically serving as a transition space between the exterior and the interior.</t>
  </si>
  <si>
    <t>A room designated for play, recreation, and activities for children, typically within a household or childcare setting. It is designed to facilitate open-ended play, creativity, and leisure while providing a safe environment for development.</t>
  </si>
  <si>
    <t>An outdoor paved or stone area, typically located at ground level and adjacent to a residential or commercial building, designed for dining, recreation, or social use.</t>
  </si>
  <si>
    <t>A small, enclosed storage area within a building, typically used for organizing or storing clothing, linens, or household items. This space is distinct from pantries, general storage rooms, or laundry rooms and is designed for confined, personal storage.</t>
  </si>
  <si>
    <t>The primary area within a commercial food service establishment designed for seating and serving patrons.</t>
  </si>
  <si>
    <t>A room or group of rooms located entirely or partially below ground level in a residential, commercial, or institutional building, often utilized for storage, utility services, or additional living space.</t>
  </si>
  <si>
    <t>An enclosed or semi-enclosed area primarily used for vehicle storage, workshop activities, repairs, DIY projects, or tool and equipment storage. These spaces are typically characterized by a need for high durability and may be attached to or separate from a primary residence.</t>
  </si>
  <si>
    <t>A workplace or business environment where administrative, clerical, or managerial work is conducted.</t>
  </si>
  <si>
    <t>An exterior area associated with a residential or institutional property, typically located at the rear of the building, used for recreation, gardening, or relaxation. This space is exposed to outdoor environmental conditions and may include both open and covered areas.</t>
  </si>
  <si>
    <t>Transitional or entry spaces, such as mudrooms or attached outdoor platforms, designed to manage outdoor gear, dirt, and moisture. These areas often serve as a buffer between exterior and interior living spaces.</t>
  </si>
  <si>
    <t>A designated educational space within a school or similar academic institution utilized for formal teaching, learning, and group instruction.</t>
  </si>
  <si>
    <t>A private guest accommodation space within a hotel or lodging facility designed for temporary occupancy. This setting typically requires materials and finishes that are durable, easy to maintain, and suitable for high-traffic hospitality environments.</t>
  </si>
  <si>
    <t>An entry, reception, or waiting area located near the main entrance of a commercial, hospitality, or multi-residential building.</t>
  </si>
  <si>
    <t>An interior corridor or passageway within a building that serves as a route for circulation, typically connecting various rooms, entrances, or sections.</t>
  </si>
  <si>
    <t>A multifunctional space or workroom designed for creative production, such as art, photography, or music, as well as a compact residential unit where living and sleeping areas are combined into a single open-concept room.</t>
  </si>
  <si>
    <t>A classroom or studio environment dedicated to the instruction and practice of visual or fine arts, typically within an educational institution. These spaces are designed to support creative activities and may require durable surfaces suitable for artistic work.</t>
  </si>
  <si>
    <t>A kitchen located in a commercial or institutional setting, such as a restaurant, cafeteria, or catering facility. These environments are designed for high-volume food production and are typically subject to specific health, safety, and commercial building codes.</t>
  </si>
  <si>
    <t>Holiday / Occasion Definitions</t>
  </si>
  <si>
    <t>Features explicit Birthday-specific imagery, motifs (e.g., balloons, cakes, candles, party hats), or phrases (e.g., 'Birthday,' 'Happy Birthday'). Exclude generic celebratory motifs without explicit reference to a birthday.</t>
  </si>
  <si>
    <t>Applies to products featuring Graduation-specific motifs (e.g., cap, diploma, gown) or explicit phrases (e.g., "Graduation", "Class of XXXX (year)"). Exclude generic celebratory items without a direct graduation reference.</t>
  </si>
  <si>
    <t>Products featuring explicit Wedding or Engagement themes, including iconography (diamond rings, two gold rings, wedding attire) or phrases such as "His &amp; Hers," "Mr &amp; Mrs," "Bride &amp; Groom," "Newlyweds," "Vows," or wedding party roles.</t>
  </si>
  <si>
    <t>Applies to products featuring explicit Valentine's Day shapes or phrases. Shapes include hearts, cupid, and lips. Phrases include "Valentine", "Happy Valentine's Day", "Be Mine", "Love is in the Air", "I Love You", and "XO".</t>
  </si>
  <si>
    <t>Requires St. Patrick's Day-specific imagery (leprechauns, shamrocks/clovers, pots of gold with or without rainbows) or phrases ("St. Patrick's Day," "Happy St. Patrick's Day," "Lucky") to be present as the product's shape, print, or text.</t>
  </si>
  <si>
    <t>Applies to products featuring Passover-specific motifs, shapes, or phrases. Motifs include Seder Plates and Matzah; phrases include "Passover," "Happy Pesach," and "Seder." Only use for genuine Passover themes; exclude generic Judaica or non-specific seasonal designs.</t>
  </si>
  <si>
    <t>For products whose design, shape, print, or text features explicit Easter-specific elements. This includes motifs such as bunnies, eggs, chicks, flowers, crosses, and phrases like "Easter" or "Happy Easter." Do not apply to generic spring or floral motifs without a direct Easter reference.</t>
  </si>
  <si>
    <t>Products explicitly themed for Mother's Day, featuring phrases such as "Mom", "Mother", "Mommy", "Happy Mother's Day", "Best Mom", or "I Love You Mom". The product's primary theme or message must clearly associate with celebrating or honoring mothers on this specific occasion.</t>
  </si>
  <si>
    <t>Applies to products explicitly themed for Father's Day, featuring phrases like "Dad", "Father", "Happy Father's Day", "Best Dad", or "#1 Dad". Exclude generic masculine or family-related products unless the Father's Day occasion is clearly referenced.</t>
  </si>
  <si>
    <t>Products explicitly referencing Independence Day or 4th of July through shape, printed objects, or words. Themed objects include American Flags, Stars &amp; Stripes, and fireworks. Phrases include "Independence Day", "4th of July", "Fourth of July", "USA", "America", "God Bless America", and "Freedom"</t>
  </si>
  <si>
    <t>Products featuring Halloween-themed motifs, object shapes, or text. Motifs include jack-o-lanterns, skeletons, ghosts, spiders and webs, bats, black cats, witches, monsters, and candy corn. Phrases include "Halloween," "Happy Halloween," "Boo," and "Trick or Treat!".</t>
  </si>
  <si>
    <t>The product features motifs (e.g., turkeys, pilgrims, pumpkins/squash, harvest imagery) or phrases (e.g., "Thanksgiving," "Happy Turkey Day," "Thankful") explicitly associated with the Thanksgiving holiday. Do not use for generic autumn or harvest decor lacking explicit Thanksgiving reference.</t>
  </si>
  <si>
    <t>Product features an explicit Hanukkah motif, shape, or phrase. Qualifying imagery includes Menorah (9 candle holder), Dreidel, and Star of David. Qualifying phrases include "Hanukkah" and "Happy Hanukkah." Do not use for generic blue/white color schemes or stars unless Hanukkah is clearly referenced by text or symbol.</t>
  </si>
  <si>
    <t>Applies if the product's shape, printed design, or contained words/phrases are explicitly Christmas-themed. Examples of motifs include Christmas trees, Santa Claus, ornaments, reindeer, and related phrases. Exclude generic winter or seasonal themes lacking a direct Christmas reference.</t>
  </si>
  <si>
    <t>Applies to products in the shape of or featuring a printed motif or text related to Kwanzaa. Core symbols include the Kinara (seven-candle holder), Unity Cup, and the Pan-African colors (red, black, green). The design or phrase must explicitly reference Kwanzaa.</t>
  </si>
  <si>
    <t>Products designed or labeled for New Year's celebrations. Theme includes phrases like "Happy New Year," "Ring in the New Year," "New Year's Eve," or "Happy XXXX (year)," and motifs such as clocks striking midnight, fireworks, confetti, or champagne glasses. Exclude generic party themes without an explicit New Year's reference.</t>
  </si>
  <si>
    <t>Products themed for celebrating the arrival of a newborn. This includes explicit phrases such as 'It's a Girl,' 'It's a Boy,' or 'Welcome Baby,' and symbolic motifs like storks, baby bottles, rattles, pacifiers, or footprints. Do not use for generic baby items or products that only feature pastel colors without explicit New Baby icons or wording.</t>
  </si>
  <si>
    <t>For products with no theme, motif, symbol, or design element explicitly tied to a specific holiday or occasion. This value applies when there is an absence of all holiday-specific references, language, or colors.</t>
  </si>
  <si>
    <t>Design or text specifically celebrating Day of the Dead (Día de los Muertos or All Souls' Day). Acceptable motifs include decorated sugar skulls (calaveras), marigold flowers, candles, and pan de muerto. Exclude products related to Halloween or generic spooky themes.</t>
  </si>
  <si>
    <t>Intended for Cinco de Mayo celebrations. Applies to products featuring specific holiday motifs (Mexican flag, piñatas, cacti, sombreros, maracas, tacos, margaritas) or phrases ("Cinco de Mayo," "Fiesta")</t>
  </si>
  <si>
    <t>Intended for Mardi Gras celebrations, featuring the traditional colors (purple, green, gold), phrases (e.g., "Mardi Gras," "Fat Tuesday," "laissez les bons temps rouler"), or shapes (e.g., fleur de lis, masks, coins) associated with the holiday.</t>
  </si>
  <si>
    <t>The Jewish Sabbath, observed weekly from Friday evening to Saturday evening. Applies to products featuring explicit Shabbat themes, phrases such as "Shabbat Shalom," or imagery related to core rituals like candle lighting, challah bread, and Kiddush cups, distinct from generic Jewish symbols.</t>
  </si>
  <si>
    <t>The product's theme or design is explicitly related to the retirement milestone or celebration. This includes messages (e.g., 'Happy Retirement') and imagery symbolizing the transition from work to leisure or a new life chapter.</t>
  </si>
  <si>
    <t>This is for products themed, designed, or explicitly associated with the Jewish coming-of-age ceremonies (Bar Mitzvah/Bat Mitzvah). Indicators include phrases such as 'Mazel Tov,' 'Bar Mitzvah,' 'Bat Mitzvah,' and traditional Jewish symbols like the Star of David or Torah scrolls. Apply only to items clearly referencing this specific rite of passage, not generic Jewish or celebratory themes.</t>
  </si>
  <si>
    <t>The product is themed for Rosh Hashanah, the Jewish New Year, if it features associated imagery, symbols, or phrases. Common motifs include the shofar (ram's horn), apples, honey, pomegranates, or greetings like "Shana Tova." Exclude products with only generic fruit, fall, or New Year's themes without explicit holiday reference.</t>
  </si>
  <si>
    <t>Themed around or commemorating the religious rite of Baptism or Christening. This includes products featuring associated symbols (e.g., crosses, doves, water, fonts) or explicit text/phrases such as "Baptism," "Christening," "Blessed," or "God Bless."</t>
  </si>
  <si>
    <t>Licensed Product Category Definitions</t>
  </si>
  <si>
    <t>Products officially licensed by sports teams or leagues. Licensees have rights to use the team’s name, logo, mascot, or related intellectual property on fan merchandise such as apparel, home décor, memorabilia, or collectibles. Examples include ceiling fans featuring official team logos and colors.</t>
  </si>
  <si>
    <t>Products that carry the image, name, signature, or other intellectual property of a celebrity or public figure, produced under an official licensing agreement. Includes items endorsed by or co-created with celebrities.</t>
  </si>
  <si>
    <t>Merchandise featuring intellectual property from entertainment properties such as movies, TV shows, comic books, or video games, including characters, logos, or artwork, licensed by the property owner. Examples include superhero, film franchise, or cartoon character products.</t>
  </si>
  <si>
    <t>Products officially licensed by corporations or well-known commercial brands. This category covers merchandise using brand names, trademarks, or logos of established companies for product collaborations, extensions, or co-branding.</t>
  </si>
  <si>
    <t>Products that are officially licensed by fashion brands or designers, where the licensee has rights to use the brand’s identity, logo, or signature designs. This can include collaborations in apparel, footwear, accessories, and related merchandise.</t>
  </si>
  <si>
    <t>Tip Resistant</t>
  </si>
  <si>
    <t>Waterproof</t>
  </si>
  <si>
    <t>Shatter Resistant</t>
  </si>
  <si>
    <t>Weather Resistant</t>
  </si>
  <si>
    <t>Rust Resistant</t>
  </si>
  <si>
    <t>Anodic Protection</t>
  </si>
  <si>
    <t>Predator Resistant</t>
  </si>
  <si>
    <t>Drill Resistant</t>
  </si>
  <si>
    <t>Condensation Free</t>
  </si>
  <si>
    <t>Antimicrobial</t>
  </si>
  <si>
    <t>Pry Resistant</t>
  </si>
  <si>
    <t>Designed to minimize the risk of overturning when external force is applied, typically incorporating features like a low center of gravity, a broad base, or stabilizing hardware</t>
  </si>
  <si>
    <t>Constructed to be fully impervious to water, preventing all liquid penetration through the material or seams under both normal and prolonged exposure conditions.</t>
  </si>
  <si>
    <t>Designed to resist breaking or shattering upon impact, minimizing the formation of sharp or multiple hazardous fragments.</t>
  </si>
  <si>
    <t>Surface or finish that has been treated to reduce or resist visible smudges, fingerprints, and marks, helping to maintain a clean aesthetic with frequent handling.</t>
  </si>
  <si>
    <t>Constructed from materials or coatings that prevent or significantly delay the formation of rust (iron oxide) when exposed to moisture, maintaining appearance and structural integrity.</t>
  </si>
  <si>
    <t>A corrosion control method using an electrochemical process to create a passive oxide layer on a metal surface, which increases durability and resistance to wear.</t>
  </si>
  <si>
    <t>Constructed to deter or resist intrusion and damage from animal predators, wildlife, or pests.</t>
  </si>
  <si>
    <t>Constructed with hardened materials or reinforced features to prevent or significantly impede penetration or damage from common drilling tools. This characteristic is primarily used for security or tamper resistance.</t>
  </si>
  <si>
    <t>Designed and constructed to prevent or greatly minimize the formation of moisture condensation on interior or exterior surfaces, keeping the product and surrounding area dry.</t>
  </si>
  <si>
    <t>Incorporates materials, coatings, or treatments that inhibit the growth and spread of microorganisms, such as bacteria, fungi, and mold, on the product surface. This feature enhances hygiene, maintains cleanliness, and reduces potential odors and degradation.</t>
  </si>
  <si>
    <t>Engineered with robust construction and reinforced components to resist being forcibly opened, separated, or damaged by leveraging or prying tools.</t>
  </si>
  <si>
    <t>Removable</t>
  </si>
  <si>
    <t>Retractable</t>
  </si>
  <si>
    <t>Tilt</t>
  </si>
  <si>
    <t>Reversible</t>
  </si>
  <si>
    <t>Collapsible</t>
  </si>
  <si>
    <t>Extendable</t>
  </si>
  <si>
    <t>Configurable / Modular</t>
  </si>
  <si>
    <t>Swivel</t>
  </si>
  <si>
    <t>Trimmable</t>
  </si>
  <si>
    <t>Convertible</t>
  </si>
  <si>
    <t>Rotating</t>
  </si>
  <si>
    <t>Lift Assist</t>
  </si>
  <si>
    <t>Reclining</t>
  </si>
  <si>
    <t>Double Sided</t>
  </si>
  <si>
    <t>Glider</t>
  </si>
  <si>
    <t>Wall Recline</t>
  </si>
  <si>
    <t>Adjustable</t>
  </si>
  <si>
    <t>Swing Arm</t>
  </si>
  <si>
    <t>Temperature</t>
  </si>
  <si>
    <t>Stackable</t>
  </si>
  <si>
    <t>Tilt Lock</t>
  </si>
  <si>
    <t>Tilt Out</t>
  </si>
  <si>
    <t>Tilting</t>
  </si>
  <si>
    <t>No Adjustability Features</t>
  </si>
  <si>
    <t>Adjustability Features Definitions</t>
  </si>
  <si>
    <t>Components or parts of the product that can be detached or separated from the main item, often without specialized tools, for purposes like cleaning, replacement, or reconfiguration</t>
  </si>
  <si>
    <t>A feature where a component is designed to be extended out for use and subsequently withdrawn, pulled, or slid back into the main product body, typically to reduce footprint or conceal the component when not needed.</t>
  </si>
  <si>
    <t>A feature that allows a component or section of the product to tilt at various angles, offering customizable orientation or user comfort.</t>
  </si>
  <si>
    <t>Design feature that allows the entire product or a main component to be flipped, rotated, or turned over for use on either side, providing dual function, different aesthetics, or a change in orientation.</t>
  </si>
  <si>
    <t>Allows the product to be collapsed or compacted to a smaller size or flat configuration for ease of storage or transportation.</t>
  </si>
  <si>
    <t>A feature where a component or surface of the product can be mechanically increased in its effective length, width, or area by the user, typically via sliding, unfolding, or adding built-in sections.</t>
  </si>
  <si>
    <t>Allows the product or its components to be rearranged, added, or removed for different configurations or modular setups.</t>
  </si>
  <si>
    <t>A mechanism that allows the product or a component to rotate or pivot horizontally on a fixed axis or base, typically 360 degrees, without moving the main body.</t>
  </si>
  <si>
    <t>The product or its components are designed to be shortened, cut, or otherwise modified by the user to achieve a custom fit for a specific space or installation requirement.</t>
  </si>
  <si>
    <t>Designed to be physically transformed by the user from one primary form or function into another, enabling multi-purpose use.</t>
  </si>
  <si>
    <t>Allows a product or component to turn on a central axis, enabling variable orientation, positioning, or access.</t>
  </si>
  <si>
    <t>A mechanism, powered or spring-assisted, designed to reduce the physical effort required to lift, open, or adjust product components, or to assist a user in transitioning from a seated to a standing position.</t>
  </si>
  <si>
    <t>A feature where a part or surface of the product can be moved backward or tilted to an angled position for user comfort, support, or adjustment.</t>
  </si>
  <si>
    <t>Features two fully finished and functional sides, allowing the product to be used, displayed, or accessed from both the front and back.</t>
  </si>
  <si>
    <t>A mechanism that provides a smooth, controlled, linear movement along a fixed track or surface. This feature is used for either a gentle, soothing motion or for easily repositioning a component or the entire product.</t>
  </si>
  <si>
    <t>A reclining feature that enables the product to fully recline or adjust its position while maintaining minimal distance from a wall, typically using a forward-sliding or "wall-hugger" mechanism.</t>
  </si>
  <si>
    <t>A feature that allows the user to manually change the product's position, angle, height, dimension, or configuration.</t>
  </si>
  <si>
    <t>A component, extension, or arm attached by a pivot or hinge that allows it to swing outward, providing adjustable positioning, temporary support, or enhanced accessibility.</t>
  </si>
  <si>
    <t>A mechanism that provides direct, user-controlled adjustment of the product's temperature, including built-in heating, cooling, or climate control functions.</t>
  </si>
  <si>
    <t>Designed so that multiple, matching units can be securely placed atop or nested within one another for compact, vertical storage or space-saving use.</t>
  </si>
  <si>
    <t>A mechanical locking system that secures a tiltable component or platform at a desired angle or position, preventing unintended movement until manually or intentionally released.</t>
  </si>
  <si>
    <t>A design feature where a component, such as a panel, tray, or compartment, is mounted on a hinge or pivot allowing it to rotate or swing outward from its closed position to provide access, storage, or ventilation before returning to its original state.</t>
  </si>
  <si>
    <t>A feature enabling a portion of the product to be set or altered at an angle relative to its base or mounting surface, allowing for varied orientation, ergonomic adjustment, or improved access. This adjustment typically involves pivoting on an axis and may or may not be lockable.</t>
  </si>
  <si>
    <t>Handle(s)</t>
  </si>
  <si>
    <t>Paste</t>
  </si>
  <si>
    <t>Pieces Included Definitions</t>
  </si>
  <si>
    <t>A permanent or attached component (such as a strap, grip, or structure) that offers a secure handhold to facilitate the lifting, moving, maneuvering, or adjustment of the product.</t>
  </si>
  <si>
    <t>A thick, semi-solid adhesive substance included for the purpose of bonding two surfaces together. It is typically applied by spreading and provides a functional attachment once cured or dried.</t>
  </si>
  <si>
    <t>Animated</t>
  </si>
  <si>
    <t>Non-Wall Damaging</t>
  </si>
  <si>
    <t>Reusable</t>
  </si>
  <si>
    <t>Vintage</t>
  </si>
  <si>
    <t>Window Clinging</t>
  </si>
  <si>
    <t>Refers to a visual style characterized by the use of illustrations, drawings, or computer-generated imagery that depicts lifelike motion, whimsical characters, or exaggerated features. This aesthetic typically employs bold outlines, vibrant colors, and simplified or stylized proportions.</t>
  </si>
  <si>
    <t>Refers to an item that features two usable or functional surfaces. This may include materials with print, text, or adhesive on both sides, or fabrics and boards designed to be reversible or bilateral in application.</t>
  </si>
  <si>
    <t>Refers to items designed for installation or use without causing permanent alterations or harm to wall surfaces. This typically includes products utilizing specialized adhesives, suction, or tension systems that can be removed or repositioned without leaving residue, holes, or chipped paint.</t>
  </si>
  <si>
    <t>Refers to an item designed and manufactured to be used multiple times for its original purpose. It is constructed from durable materials capable of withstanding repeated cleaning or sanitizing without compromising its structural integrity or functionality.</t>
  </si>
  <si>
    <t>Refers to items that originate from a previous era, typically 20 to 100 years old, or new products designed to authentically imitate the high-quality craftsmanship, distinct silhouettes, and recognizable aesthetic characteristics of a specific historical time period.</t>
  </si>
  <si>
    <t>Refers to a product designed to adhere to smooth surfaces, such as glass, through the use of static electricity or a non-permanent micro-suction technology. This adhesive-free application allows for easy positioning, removal, and reuse without leaving a sticky residue.</t>
  </si>
  <si>
    <t>ISTA Certified Definitions</t>
  </si>
  <si>
    <t>Packaging has been certified by passing ISTA Procedure 1A. ISTA 1A is a non-simulation integrity performance test for individually packaged products weighing up to 150 lb (68 kg). It is a screening test that challenges the strength and robustness of the product and package combination using drop and vibration tests but does not simulate a defined transit environment.</t>
  </si>
  <si>
    <t>Packaging has been certified by passing either ISTA Procedure 3A or 6A. ISTA 3A is a general simulation performance test for single packaged-products (up to 150 lb/70 kg) shipped by parcel delivery systems and simulates hazards like drops, vibration, compression, and environmental conditions. ISTA 6A is a more advanced test protocol customized for specific retailer distribution systems (e.g., Amazon SIOC). Both confirm that the packaging can withstand typical shipping conditions as defined by those procedures.</t>
  </si>
  <si>
    <t>This Error Summary tab lists all errors and warnings in the spec sheet. Each entry includes a link to the specific cell and detailed information about the issue.</t>
  </si>
  <si>
    <t>Status</t>
  </si>
  <si>
    <t>Location</t>
  </si>
  <si>
    <t>Sheet Name</t>
  </si>
  <si>
    <t>Field</t>
  </si>
  <si>
    <t>Provided Answer</t>
  </si>
  <si>
    <t>Error Message</t>
  </si>
</sst>
</file>

<file path=xl/styles.xml><?xml version="1.0" encoding="utf-8"?>
<styleSheet xmlns="http://schemas.openxmlformats.org/spreadsheetml/2006/main">
  <fonts count="10">
    <font>
      <sz val="11"/>
      <color theme="1"/>
      <name val="Calibri"/>
      <family val="2"/>
      <scheme val="minor"/>
    </font>
    <font>
      <b/>
      <sz val="12"/>
      <color theme="1"/>
      <name val="Helvetica"/>
      <family val="2"/>
    </font>
    <font>
      <sz val="11"/>
      <color rgb="FF0000FF"/>
      <name val="Helvetica"/>
      <family val="2"/>
    </font>
    <font>
      <b/>
      <sz val="11"/>
      <color theme="1"/>
      <name val="Helvetica"/>
      <family val="2"/>
    </font>
    <font>
      <sz val="11"/>
      <color theme="1"/>
      <name val="Helvetica"/>
      <family val="2"/>
    </font>
    <font>
      <b/>
      <i/>
      <sz val="11"/>
      <color theme="1"/>
      <name val="Helvetica"/>
      <family val="2"/>
    </font>
    <font>
      <b/>
      <u/>
      <sz val="11"/>
      <color rgb="FF0000FF"/>
      <name val="Helvetica"/>
      <family val="2"/>
    </font>
    <font>
      <b/>
      <sz val="11"/>
      <color rgb="FFFFFFFF"/>
      <name val="Helvetica"/>
      <family val="2"/>
    </font>
    <font>
      <sz val="11"/>
      <color rgb="FFFFFFFF"/>
      <name val="Calibri"/>
      <family val="2"/>
      <scheme val="minor"/>
    </font>
    <font>
      <sz val="8"/>
      <color indexed="81"/>
      <name val="Tahoma"/>
      <family val="2"/>
    </font>
  </fonts>
  <fills count="21">
    <fill>
      <patternFill patternType="none"/>
    </fill>
    <fill>
      <patternFill patternType="gray125"/>
    </fill>
    <fill>
      <patternFill patternType="solid">
        <fgColor rgb="FFDAE9D3"/>
        <bgColor indexed="64"/>
      </patternFill>
    </fill>
    <fill>
      <patternFill patternType="solid">
        <fgColor rgb="FFD8D8D8"/>
        <bgColor indexed="64"/>
      </patternFill>
    </fill>
    <fill>
      <patternFill patternType="solid">
        <fgColor rgb="FFFFABA7"/>
        <bgColor indexed="64"/>
      </patternFill>
    </fill>
    <fill>
      <patternFill patternType="solid">
        <fgColor rgb="FFFF8080"/>
        <bgColor indexed="64"/>
      </patternFill>
    </fill>
    <fill>
      <patternFill patternType="solid">
        <fgColor rgb="FFD8E4F9"/>
        <bgColor indexed="64"/>
      </patternFill>
    </fill>
    <fill>
      <patternFill patternType="solid">
        <fgColor rgb="FFFFFFCC"/>
        <bgColor indexed="64"/>
      </patternFill>
    </fill>
    <fill>
      <patternFill patternType="solid">
        <fgColor rgb="FFC4BD97"/>
        <bgColor indexed="64"/>
      </patternFill>
    </fill>
    <fill>
      <patternFill patternType="solid">
        <fgColor rgb="FFF4CEEC"/>
        <bgColor indexed="64"/>
      </patternFill>
    </fill>
    <fill>
      <patternFill patternType="solid">
        <fgColor rgb="FFA3D571"/>
        <bgColor indexed="64"/>
      </patternFill>
    </fill>
    <fill>
      <patternFill patternType="solid">
        <fgColor rgb="FF0EF0AA"/>
        <bgColor indexed="64"/>
      </patternFill>
    </fill>
    <fill>
      <patternFill patternType="solid">
        <fgColor rgb="FFFFCCCC"/>
        <bgColor indexed="64"/>
      </patternFill>
    </fill>
    <fill>
      <patternFill patternType="solid">
        <fgColor rgb="FFFF6699"/>
        <bgColor indexed="64"/>
      </patternFill>
    </fill>
    <fill>
      <patternFill patternType="solid">
        <fgColor rgb="FFCCFF66"/>
        <bgColor indexed="64"/>
      </patternFill>
    </fill>
    <fill>
      <patternFill patternType="solid">
        <fgColor rgb="FFCC99FF"/>
        <bgColor indexed="64"/>
      </patternFill>
    </fill>
    <fill>
      <patternFill patternType="solid">
        <fgColor rgb="FF9D86FE"/>
        <bgColor indexed="64"/>
      </patternFill>
    </fill>
    <fill>
      <patternFill patternType="solid">
        <fgColor rgb="FFEFEFEF"/>
        <bgColor indexed="64"/>
      </patternFill>
    </fill>
    <fill>
      <patternFill patternType="solid">
        <fgColor rgb="FF684C7C"/>
        <bgColor indexed="64"/>
      </patternFill>
    </fill>
    <fill>
      <patternFill patternType="solid">
        <fgColor rgb="FFD0C4DC"/>
        <bgColor indexed="64"/>
      </patternFill>
    </fill>
    <fill>
      <patternFill patternType="solid">
        <fgColor rgb="FF000000"/>
        <bgColor indexed="64"/>
      </patternFill>
    </fill>
  </fills>
  <borders count="11">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style="medium">
        <color auto="1"/>
      </left>
      <right style="medium">
        <color auto="1"/>
      </right>
      <top style="medium">
        <color auto="1"/>
      </top>
      <bottom style="medium">
        <color auto="1"/>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3">
    <xf numFmtId="0" fontId="0" fillId="0" borderId="0" xfId="0"/>
    <xf numFmtId="0" fontId="1" fillId="2" borderId="0" xfId="0" applyFont="1" applyFill="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1" fillId="3" borderId="0" xfId="0" applyFont="1" applyFill="1" applyAlignment="1">
      <alignment wrapText="1"/>
    </xf>
    <xf numFmtId="0" fontId="3" fillId="3" borderId="1" xfId="0" applyFont="1" applyFill="1" applyBorder="1" applyAlignment="1">
      <alignment wrapText="1"/>
    </xf>
    <xf numFmtId="0" fontId="4" fillId="3" borderId="2" xfId="0" applyFont="1" applyFill="1" applyBorder="1" applyAlignment="1">
      <alignment wrapText="1"/>
    </xf>
    <xf numFmtId="0" fontId="4" fillId="4" borderId="3" xfId="0" applyFont="1" applyFill="1" applyBorder="1" applyAlignment="1">
      <alignment wrapText="1"/>
    </xf>
    <xf numFmtId="0" fontId="4" fillId="0" borderId="4" xfId="0" applyFont="1" applyBorder="1" applyAlignment="1">
      <alignment wrapText="1"/>
    </xf>
    <xf numFmtId="0" fontId="4" fillId="3" borderId="3" xfId="0" applyFont="1" applyFill="1" applyBorder="1" applyAlignment="1">
      <alignment wrapText="1"/>
    </xf>
    <xf numFmtId="0" fontId="4" fillId="5" borderId="3" xfId="0" applyFont="1" applyFill="1" applyBorder="1" applyAlignment="1">
      <alignment wrapText="1"/>
    </xf>
    <xf numFmtId="0" fontId="4" fillId="6" borderId="3" xfId="0" applyFont="1" applyFill="1" applyBorder="1" applyAlignment="1">
      <alignment wrapText="1"/>
    </xf>
    <xf numFmtId="0" fontId="4" fillId="7" borderId="3" xfId="0" applyFont="1" applyFill="1" applyBorder="1" applyAlignment="1">
      <alignment wrapText="1"/>
    </xf>
    <xf numFmtId="0" fontId="4" fillId="0" borderId="5" xfId="0"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5" fillId="0" borderId="0" xfId="0" applyFont="1" applyAlignment="1">
      <alignment wrapText="1"/>
    </xf>
    <xf numFmtId="0" fontId="3" fillId="0" borderId="8" xfId="0" applyFont="1" applyBorder="1" applyAlignment="1">
      <alignment horizontal="center" vertical="center" wrapText="1"/>
    </xf>
    <xf numFmtId="0" fontId="3" fillId="0" borderId="8" xfId="0" applyFont="1" applyBorder="1" applyAlignment="1">
      <alignment horizontal="center" vertical="center"/>
    </xf>
    <xf numFmtId="0" fontId="0" fillId="0" borderId="0" xfId="0" applyAlignment="1" applyProtection="1">
      <alignment vertical="center" wrapText="1"/>
      <protection hidden="1"/>
    </xf>
    <xf numFmtId="0" fontId="6" fillId="0" borderId="0" xfId="0" applyFont="1" applyAlignment="1" applyProtection="1">
      <alignment vertical="center" wrapText="1"/>
      <protection hidden="1"/>
    </xf>
    <xf numFmtId="0" fontId="0" fillId="0" borderId="0" xfId="0" applyProtection="1">
      <protection locked="0"/>
    </xf>
    <xf numFmtId="0" fontId="3" fillId="8" borderId="8" xfId="0" applyFont="1" applyFill="1" applyBorder="1"/>
    <xf numFmtId="0" fontId="3" fillId="9" borderId="8" xfId="0" applyFont="1" applyFill="1" applyBorder="1"/>
    <xf numFmtId="0" fontId="3" fillId="10" borderId="8" xfId="0" applyFont="1" applyFill="1" applyBorder="1"/>
    <xf numFmtId="0" fontId="3" fillId="11" borderId="8" xfId="0" applyFont="1" applyFill="1" applyBorder="1"/>
    <xf numFmtId="0" fontId="3" fillId="12" borderId="8" xfId="0" applyFont="1" applyFill="1" applyBorder="1"/>
    <xf numFmtId="0" fontId="3" fillId="13" borderId="8" xfId="0" applyFont="1" applyFill="1" applyBorder="1"/>
    <xf numFmtId="0" fontId="3" fillId="14" borderId="8" xfId="0" applyFont="1" applyFill="1" applyBorder="1"/>
    <xf numFmtId="0" fontId="3" fillId="15" borderId="8" xfId="0" applyFont="1" applyFill="1" applyBorder="1"/>
    <xf numFmtId="0" fontId="3" fillId="16" borderId="8" xfId="0" applyFont="1" applyFill="1" applyBorder="1"/>
    <xf numFmtId="0" fontId="0" fillId="17" borderId="9" xfId="0" applyFill="1" applyBorder="1" applyAlignment="1">
      <alignment horizontal="center" vertical="top" wrapText="1"/>
    </xf>
    <xf numFmtId="0" fontId="7" fillId="18" borderId="8" xfId="0" applyFont="1" applyFill="1" applyBorder="1" applyAlignment="1">
      <alignment horizontal="center" vertical="center"/>
    </xf>
    <xf numFmtId="0" fontId="3" fillId="19" borderId="8" xfId="0" applyFont="1" applyFill="1" applyBorder="1" applyAlignment="1">
      <alignment horizontal="center" vertical="center"/>
    </xf>
    <xf numFmtId="0" fontId="3" fillId="0" borderId="9" xfId="0" applyFont="1" applyBorder="1" applyAlignment="1">
      <alignment horizontal="center" vertical="top" wrapText="1"/>
    </xf>
    <xf numFmtId="0" fontId="6" fillId="0" borderId="9" xfId="0" applyFont="1" applyBorder="1" applyAlignment="1">
      <alignment horizontal="center" vertical="top" wrapText="1"/>
    </xf>
    <xf numFmtId="0" fontId="8" fillId="20" borderId="9" xfId="0" applyFont="1" applyFill="1" applyBorder="1" applyAlignment="1">
      <alignment horizontal="center"/>
    </xf>
    <xf numFmtId="0" fontId="0" fillId="3" borderId="10" xfId="0" applyFill="1" applyBorder="1" applyProtection="1">
      <protection locked="0"/>
    </xf>
    <xf numFmtId="0" fontId="0" fillId="0" borderId="0" xfId="0" applyProtection="1">
      <protection hidden="1"/>
    </xf>
    <xf numFmtId="0" fontId="6" fillId="19"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0" fillId="0" borderId="0" xfId="0" applyAlignment="1">
      <alignment horizontal="fill"/>
    </xf>
  </cellXfs>
  <cellStyles count="1">
    <cellStyle name="Normal" xfId="0" builtinId="0"/>
  </cellStyles>
  <dxfs count="12">
    <dxf>
      <fill>
        <patternFill>
          <bgColor rgb="FFFF484F"/>
        </patternFill>
      </fill>
    </dxf>
    <dxf>
      <fill>
        <patternFill>
          <bgColor rgb="FFFFABA7"/>
        </patternFill>
      </fill>
    </dxf>
    <dxf>
      <fill>
        <patternFill>
          <bgColor rgb="FFFFFFCC"/>
        </patternFill>
      </fill>
    </dxf>
    <dxf>
      <fill>
        <patternFill>
          <bgColor rgb="FFD9D9D9"/>
        </patternFill>
      </fill>
    </dxf>
    <dxf>
      <font>
        <color rgb="FF000000"/>
      </font>
      <fill>
        <patternFill>
          <bgColor rgb="FFB7E2CD"/>
        </patternFill>
      </fill>
    </dxf>
    <dxf>
      <font>
        <u/>
        <color rgb="FF0000FF"/>
      </font>
      <fill>
        <patternFill>
          <bgColor rgb="FFF4C7C3"/>
        </patternFill>
      </fill>
    </dxf>
    <dxf>
      <font>
        <u/>
        <color rgb="FF0000FF"/>
      </font>
      <fill>
        <patternFill>
          <bgColor rgb="FFFFFFCC"/>
        </patternFill>
      </fill>
    </dxf>
    <dxf>
      <fill>
        <patternFill>
          <bgColor rgb="FFD8D8D8"/>
        </patternFill>
      </fill>
      <border>
        <left style="thin">
          <color rgb="FF000000"/>
        </left>
        <right style="thin">
          <color rgb="FF000000"/>
        </right>
        <top style="thin">
          <color rgb="FF000000"/>
        </top>
        <bottom style="thin">
          <color rgb="FF000000"/>
        </bottom>
        <vertical/>
        <horizontal/>
      </border>
    </dxf>
    <dxf>
      <fill>
        <patternFill>
          <bgColor rgb="FFEEECE1"/>
        </patternFill>
      </fill>
      <border>
        <left style="thin">
          <color rgb="FF000000"/>
        </left>
        <right style="thin">
          <color rgb="FF000000"/>
        </right>
        <top style="thin">
          <color rgb="FF000000"/>
        </top>
        <bottom style="thin">
          <color rgb="FF000000"/>
        </bottom>
        <vertical/>
        <horizontal/>
      </border>
    </dxf>
    <dxf>
      <fill>
        <patternFill>
          <bgColor rgb="FFFF484F"/>
        </patternFill>
      </fill>
      <border>
        <left style="thin">
          <color rgb="FF808080"/>
        </left>
        <right style="thin">
          <color rgb="FF808080"/>
        </right>
        <top style="thin">
          <color rgb="FF808080"/>
        </top>
        <bottom style="thin">
          <color rgb="FF808080"/>
        </bottom>
        <vertical/>
        <horizontal/>
      </border>
    </dxf>
    <dxf>
      <fill>
        <patternFill>
          <bgColor rgb="FFFFFFCC"/>
        </patternFill>
      </fill>
      <border>
        <left style="thin">
          <color rgb="FF808080"/>
        </left>
        <right style="thin">
          <color rgb="FF808080"/>
        </right>
        <top style="thin">
          <color rgb="FF808080"/>
        </top>
        <bottom style="thin">
          <color rgb="FF808080"/>
        </bottom>
        <vertical/>
        <horizontal/>
      </border>
    </dxf>
    <dxf>
      <fill>
        <patternFill>
          <bgColor rgb="FFFFABA7"/>
        </patternFill>
      </fill>
      <border>
        <left style="thin">
          <color rgb="FF808080"/>
        </left>
        <right style="thin">
          <color rgb="FF808080"/>
        </right>
        <top style="thin">
          <color rgb="FF808080"/>
        </top>
        <bottom style="thin">
          <color rgb="FF808080"/>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theme" Target="theme/theme1.xml"/><Relationship Id="rId27" Type="http://schemas.openxmlformats.org/officeDocument/2006/relationships/styles" Target="styles.xml"/><Relationship Id="rId28" Type="http://schemas.openxmlformats.org/officeDocument/2006/relationships/sharedStrings" Target="sharedStrings.xml"/><Relationship Id="rId2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ayfair.com/help/2/article/3221" TargetMode="Externa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dimension ref="A1:D45"/>
  <sheetViews>
    <sheetView showGridLines="0" tabSelected="1" workbookViewId="0"/>
  </sheetViews>
  <sheetFormatPr defaultRowHeight="15"/>
  <cols>
    <col min="1" max="1" width="149.5703125" bestFit="1" customWidth="1"/>
    <col min="3" max="3" width="15.5703125" bestFit="1" customWidth="1"/>
    <col min="4" max="4" width="105" bestFit="1" customWidth="1"/>
  </cols>
  <sheetData>
    <row r="1" spans="1:4">
      <c r="A1" s="1" t="s">
        <v>0</v>
      </c>
      <c r="D1" s="2" t="s">
        <v>41</v>
      </c>
    </row>
    <row r="2" spans="1:4">
      <c r="A2" s="3" t="s">
        <v>1</v>
      </c>
    </row>
    <row r="3" spans="1:4">
      <c r="A3" s="4" t="s">
        <v>2</v>
      </c>
      <c r="C3" s="5" t="s">
        <v>42</v>
      </c>
      <c r="D3" s="5"/>
    </row>
    <row r="4" spans="1:4">
      <c r="A4" s="4" t="s">
        <v>3</v>
      </c>
      <c r="C4" s="6" t="s">
        <v>43</v>
      </c>
      <c r="D4" s="7"/>
    </row>
    <row r="5" spans="1:4">
      <c r="A5" s="4" t="s">
        <v>4</v>
      </c>
      <c r="C5" s="8" t="s">
        <v>44</v>
      </c>
      <c r="D5" s="9" t="s">
        <v>45</v>
      </c>
    </row>
    <row r="6" spans="1:4">
      <c r="A6" s="4" t="s">
        <v>5</v>
      </c>
      <c r="C6" s="10" t="s">
        <v>46</v>
      </c>
      <c r="D6" s="9" t="s">
        <v>47</v>
      </c>
    </row>
    <row r="7" spans="1:4">
      <c r="C7" s="11" t="s">
        <v>48</v>
      </c>
      <c r="D7" s="9" t="s">
        <v>49</v>
      </c>
    </row>
    <row r="8" spans="1:4">
      <c r="A8" s="5" t="s">
        <v>6</v>
      </c>
      <c r="C8" s="12" t="s">
        <v>50</v>
      </c>
      <c r="D8" s="9" t="s">
        <v>51</v>
      </c>
    </row>
    <row r="9" spans="1:4">
      <c r="A9" s="3" t="s">
        <v>7</v>
      </c>
      <c r="C9" s="13" t="s">
        <v>52</v>
      </c>
      <c r="D9" s="9" t="s">
        <v>53</v>
      </c>
    </row>
    <row r="10" spans="1:4">
      <c r="A10" s="4" t="s">
        <v>8</v>
      </c>
      <c r="C10" s="14" t="s">
        <v>54</v>
      </c>
      <c r="D10" s="15" t="s">
        <v>55</v>
      </c>
    </row>
    <row r="11" spans="1:4">
      <c r="A11" s="4" t="s">
        <v>9</v>
      </c>
      <c r="D11" s="4" t="s">
        <v>56</v>
      </c>
    </row>
    <row r="12" spans="1:4">
      <c r="A12" s="3" t="s">
        <v>10</v>
      </c>
    </row>
    <row r="13" spans="1:4">
      <c r="A13" s="4" t="s">
        <v>11</v>
      </c>
      <c r="C13" s="6" t="s">
        <v>57</v>
      </c>
      <c r="D13" s="7"/>
    </row>
    <row r="14" spans="1:4">
      <c r="A14" s="4" t="s">
        <v>12</v>
      </c>
      <c r="C14" s="16" t="s">
        <v>58</v>
      </c>
      <c r="D14" s="9" t="s">
        <v>59</v>
      </c>
    </row>
    <row r="15" spans="1:4">
      <c r="A15" s="4" t="s">
        <v>13</v>
      </c>
      <c r="C15" s="16" t="s">
        <v>60</v>
      </c>
      <c r="D15" s="9" t="s">
        <v>61</v>
      </c>
    </row>
    <row r="16" spans="1:4">
      <c r="C16" s="16" t="s">
        <v>62</v>
      </c>
      <c r="D16" s="9" t="s">
        <v>63</v>
      </c>
    </row>
    <row r="17" spans="1:4">
      <c r="A17" s="4" t="s">
        <v>14</v>
      </c>
      <c r="C17" s="14" t="s">
        <v>64</v>
      </c>
      <c r="D17" s="15" t="s">
        <v>65</v>
      </c>
    </row>
    <row r="18" spans="1:4">
      <c r="A18" s="4" t="s">
        <v>15</v>
      </c>
    </row>
    <row r="19" spans="1:4">
      <c r="A19" s="17" t="s">
        <v>16</v>
      </c>
      <c r="C19" s="6" t="s">
        <v>66</v>
      </c>
      <c r="D19" s="7"/>
    </row>
    <row r="20" spans="1:4">
      <c r="A20" s="4" t="s">
        <v>17</v>
      </c>
      <c r="C20" s="16" t="s">
        <v>67</v>
      </c>
      <c r="D20" s="9" t="s">
        <v>68</v>
      </c>
    </row>
    <row r="21" spans="1:4">
      <c r="A21" s="4" t="s">
        <v>18</v>
      </c>
      <c r="C21" s="16" t="s">
        <v>69</v>
      </c>
      <c r="D21" s="9" t="s">
        <v>70</v>
      </c>
    </row>
    <row r="22" spans="1:4">
      <c r="A22" s="4" t="s">
        <v>19</v>
      </c>
      <c r="C22" s="16" t="s">
        <v>71</v>
      </c>
      <c r="D22" s="9" t="s">
        <v>72</v>
      </c>
    </row>
    <row r="23" spans="1:4">
      <c r="A23" s="4" t="s">
        <v>20</v>
      </c>
      <c r="C23" s="16" t="s">
        <v>73</v>
      </c>
      <c r="D23" s="9" t="s">
        <v>74</v>
      </c>
    </row>
    <row r="24" spans="1:4">
      <c r="A24" s="4" t="s">
        <v>21</v>
      </c>
      <c r="C24" s="16" t="s">
        <v>75</v>
      </c>
      <c r="D24" s="9" t="s">
        <v>76</v>
      </c>
    </row>
    <row r="25" spans="1:4">
      <c r="A25" s="4" t="s">
        <v>22</v>
      </c>
      <c r="C25" s="14" t="s">
        <v>77</v>
      </c>
      <c r="D25" s="15" t="s">
        <v>78</v>
      </c>
    </row>
    <row r="26" spans="1:4">
      <c r="A26" s="4" t="s">
        <v>23</v>
      </c>
      <c r="D26" s="4" t="s">
        <v>79</v>
      </c>
    </row>
    <row r="27" spans="1:4">
      <c r="A27" s="4" t="s">
        <v>24</v>
      </c>
    </row>
    <row r="28" spans="1:4">
      <c r="A28" s="4" t="s">
        <v>25</v>
      </c>
    </row>
    <row r="29" spans="1:4">
      <c r="A29" s="4" t="s">
        <v>26</v>
      </c>
    </row>
    <row r="31" spans="1:4">
      <c r="A31" s="5" t="s">
        <v>27</v>
      </c>
    </row>
    <row r="32" spans="1:4">
      <c r="A32" s="3" t="s">
        <v>28</v>
      </c>
    </row>
    <row r="33" spans="1:1">
      <c r="A33" s="4" t="s">
        <v>29</v>
      </c>
    </row>
    <row r="34" spans="1:1">
      <c r="A34" s="4" t="s">
        <v>30</v>
      </c>
    </row>
    <row r="35" spans="1:1">
      <c r="A35" s="3" t="s">
        <v>31</v>
      </c>
    </row>
    <row r="36" spans="1:1">
      <c r="A36" s="4" t="s">
        <v>32</v>
      </c>
    </row>
    <row r="37" spans="1:1">
      <c r="A37" s="3" t="s">
        <v>33</v>
      </c>
    </row>
    <row r="38" spans="1:1">
      <c r="A38" s="4" t="s">
        <v>34</v>
      </c>
    </row>
    <row r="39" spans="1:1">
      <c r="A39" s="17" t="s">
        <v>16</v>
      </c>
    </row>
    <row r="40" spans="1:1">
      <c r="A40" s="4" t="s">
        <v>35</v>
      </c>
    </row>
    <row r="41" spans="1:1">
      <c r="A41" s="3" t="s">
        <v>36</v>
      </c>
    </row>
    <row r="42" spans="1:1">
      <c r="A42" s="4" t="s">
        <v>37</v>
      </c>
    </row>
    <row r="43" spans="1:1">
      <c r="A43" s="4" t="s">
        <v>38</v>
      </c>
    </row>
    <row r="44" spans="1:1">
      <c r="A44" s="3" t="s">
        <v>39</v>
      </c>
    </row>
    <row r="45" spans="1:1">
      <c r="A45" s="4" t="s">
        <v>40</v>
      </c>
    </row>
  </sheetData>
  <sheetProtection password="B33F" sheet="1" objects="1" scenarios="1"/>
  <hyperlinks>
    <hyperlink ref="D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6002"/>
  <sheetViews>
    <sheetView workbookViewId="0"/>
  </sheetViews>
  <sheetFormatPr defaultRowHeight="15"/>
  <cols>
    <col min="1" max="2" width="30.7109375" customWidth="1"/>
    <col min="3" max="3" width="20.7109375" customWidth="1"/>
    <col min="4" max="6" width="30.7109375" customWidth="1"/>
    <col min="7" max="8" width="50.7109375" customWidth="1"/>
    <col min="10" max="10" width="0" hidden="1" customWidth="1"/>
  </cols>
  <sheetData>
    <row r="1" spans="1:10" ht="50" customHeight="1">
      <c r="A1" s="18" t="s">
        <v>5815</v>
      </c>
      <c r="B1" s="18"/>
      <c r="C1" s="18"/>
      <c r="D1" s="18"/>
      <c r="E1" s="18"/>
      <c r="F1" s="18"/>
      <c r="G1" s="18"/>
      <c r="H1" s="18"/>
    </row>
    <row r="2" spans="1:10" ht="50" customHeight="1">
      <c r="A2" s="19" t="s">
        <v>5816</v>
      </c>
      <c r="B2" s="19" t="s">
        <v>5817</v>
      </c>
      <c r="C2" s="19" t="s">
        <v>5818</v>
      </c>
      <c r="D2" s="19" t="s">
        <v>2221</v>
      </c>
      <c r="E2" s="19" t="s">
        <v>2239</v>
      </c>
      <c r="F2" s="19" t="s">
        <v>5819</v>
      </c>
      <c r="G2" s="19" t="s">
        <v>5820</v>
      </c>
      <c r="H2" s="19" t="s">
        <v>5821</v>
      </c>
    </row>
    <row r="3" spans="1:10">
      <c r="A3" s="20" cm="1">
        <f t="array" ref="A3">_xlfn.LET(_xlpm.class6161Data, GetSheetStatusData(Class6161Tracker, Class6161Errors), _xlpm.class3757Data, GetSheetStatusData(Class3757Tracker, Class3757Errors), _xlpm.shippingAndFulfillment__cartonsData, GetSheetStatusData(shippingAndFulfillment__cartonsTracker, shippingAndFulfillment__cartonsErrors), _xlpm.media__imagesData, GetSheetStatusData(media__imagesTracker, media__imagesErrors), _xlpm.media__videosData, GetSheetStatusData(media__videosTracker, media__videosErrors), _xlpm.media__documentsData, GetSheetStatusData(media__documentsTracker, media__documentsErrors), _xlpm.propSixtyFive__chemicalsData, GetSheetStatusData(propSixtyFive__chemicalsTracker, propSixtyFive__chemicalsErrors), _xlpm.stackedData, _xlfn.VSTACK(_xlpm.class6161Data, _xlpm.class3757Data, _xlpm.shippingAndFulfillment__cartonsData, _xlpm.media__imagesData, _xlpm.media__videosData, _xlpm.media__documentsData, _xlpm.propSixtyFive__chemicalsData), _xlfn._xlws.FILTER(_xlpm.stackedData, _xlpm.stackedData&lt;&gt;"", ""))</f>
        <v>0</v>
      </c>
      <c r="B3" s="21">
        <f>IF(AND(C3&lt;&gt;"", J3&lt;&gt;""), HYPERLINK("#'" &amp; C3 &amp; "'!" &amp; J3, J3), "")</f>
        <v>0</v>
      </c>
      <c r="C3" s="20" cm="1">
        <f t="array" ref="C3">_xlfn.LET(_xlpm.class6161Data, GetSheetNameData(Class6161Tracker, Class6161Errors, "6161 - Wallpaper"), _xlpm.class3757Data, GetSheetNameData(Class3757Tracker, Class3757Errors, "3757 - Wall Stickers"), _xlpm.shippingAndFulfillment__cartonsData, GetSheetNameData(shippingAndFulfillment__cartonsTracker, shippingAndFulfillment__cartonsErrors, "Additional Cartons"), _xlpm.media__imagesData, GetSheetNameData(media__imagesTracker, media__imagesErrors, "Additional Images"), _xlpm.media__videosData, GetSheetNameData(media__videosTracker, media__videosErrors, "Additional Videos"), _xlpm.media__documentsData, GetSheetNameData(media__documentsTracker, media__documentsErrors, "Additional Documents"), _xlpm.propSixtyFive__chemicalsData, GetSheetNameData(propSixtyFive__chemicalsTracker, propSixtyFive__chemicalsErrors, "Additional Chemicals"), _xlpm.stackedData, _xlfn.VSTACK(_xlpm.class6161Data, _xlpm.class3757Data, _xlpm.shippingAndFulfillment__cartonsData, _xlpm.media__imagesData, _xlpm.media__videosData, _xlpm.media__documentsData, _xlpm.propSixtyFive__chemicalsData), _xlfn._xlws.FILTER(_xlpm.stackedData, _xlpm.stackedData&lt;&gt;"", ""))</f>
        <v>0</v>
      </c>
      <c r="D3" s="20" cm="1">
        <f t="array" ref="D3">_xlfn.LET(_xlpm.class6161PartNumbers, GetSheetSupplierPartNumbers(Class6161Tracker, Class6161Errors, '6161 - Wallpaper'!B:B), _xlpm.class3757PartNumbers, GetSheetSupplierPartNumbers(Class3757Tracker, Class3757Errors, '3757 - Wall Stickers'!B:B), _xlpm.shippingAndFulfillment__cartonsPartNumbers, GetSheetSupplierPartNumbers(shippingAndFulfillment__cartonsTracker, shippingAndFulfillment__cartonsErrors, 'Additional Cartons'!B:B), _xlpm.media__imagesPartNumbers, GetSheetSupplierPartNumbers(media__imagesTracker, media__imagesErrors, 'Additional Images'!B:B), _xlpm.media__videosPartNumbers, GetSheetSupplierPartNumbers(media__videosTracker, media__videosErrors, 'Additional Videos'!B:B), _xlpm.media__documentsPartNumbers, GetSheetSupplierPartNumbers(media__documentsTracker, media__documentsErrors, 'Additional Documents'!B:B), _xlpm.propSixtyFive__chemicalsPartNumbers, GetSheetSupplierPartNumbers(propSixtyFive__chemicalsTracker, propSixtyFive__chemicalsErrors, 'Additional Chemicals'!B:B), _xlpm.stackedPartNumbers, _xlfn.VSTACK(_xlpm.class6161PartNumbers, _xlpm.class3757PartNumbers, _xlpm.shippingAndFulfillment__cartonsPartNumbers, _xlpm.media__imagesPartNumbers, _xlpm.media__videosPartNumbers, _xlpm.media__documentsPartNumbers, _xlpm.propSixtyFive__chemicalsPartNumbers), _xlfn._xlws.FILTER(_xlpm.stackedPartNumbers, _xlpm.stackedPartNumbers&lt;&gt;"", ""))</f>
        <v>0</v>
      </c>
      <c r="E3" s="20" cm="1">
        <f t="array" ref="E3">_xlfn.LET(_xlpm.class6161ProductNames, GetSheetProductNames(Class6161Tracker, Class6161Errors, '6161 - Wallpaper'!G:G), _xlpm.class3757ProductNames, GetSheetProductNames(Class3757Tracker, Class3757Errors, '3757 - Wall Stickers'!G:G), _xlpm.shippingAndFulfillment__cartonsProductNames, GetSheetProductNames(shippingAndFulfillment__cartonsTracker, shippingAndFulfillment__cartonsErrors, 'Additional Cartons'!Z:Z), _xlpm.media__imagesProductNames, GetSheetProductNames(media__imagesTracker, media__imagesErrors, 'Additional Images'!Z:Z), _xlpm.media__videosProductNames, GetSheetProductNames(media__videosTracker, media__videosErrors, 'Additional Videos'!Z:Z), _xlpm.media__documentsProductNames, GetSheetProductNames(media__documentsTracker, media__documentsErrors, 'Additional Documents'!Z:Z), _xlpm.propSixtyFive__chemicalsProductNames, GetSheetProductNames(propSixtyFive__chemicalsTracker, propSixtyFive__chemicalsErrors, 'Additional Chemicals'!Z:Z), _xlpm.stackedProductNames, _xlfn.VSTACK(_xlpm.class6161ProductNames, _xlpm.class3757ProductNames, _xlpm.shippingAndFulfillment__cartonsProductNames, _xlpm.media__imagesProductNames, _xlpm.media__videosProductNames, _xlpm.media__documentsProductNames, _xlpm.propSixtyFive__chemicalsProductNames), _xlfn._xlws.FILTER(_xlpm.stackedProductNames, _xlpm.stackedProductNames&lt;&gt;"EMPTY_ERROR", ""))</f>
        <v>0</v>
      </c>
      <c r="F3" s="20" cm="1">
        <f t="array" ref="F3">_xlfn.LET(
                                     _xlpm.class6161QuestionDisplayNames, GetErrorQuestionDisplayNames(Class6161Headers, Class6161Tracker, Class6161Errors)
                , 
                                     _xlpm.class3757QuestionDisplayNames, GetErrorQuestionDisplayNames(Class3757Headers, Class3757Tracker, Class3757Errors)
                , 
                                     _xlpm.shippingAndFulfillment__cartonsQuestionDisplayNames, GetErrorQuestionDisplayNames(shippingAndFulfillment__cartonsHeaders, shippingAndFulfillment__cartonsTracker, shippingAndFulfillment__cartonsErrors)
                , 
                                     _xlpm.media__imagesQuestionDisplayNames, GetErrorQuestionDisplayNames(media__imagesHeaders, media__imagesTracker, media__imagesErrors)
                , 
                                     _xlpm.media__videosQuestionDisplayNames, GetErrorQuestionDisplayNames(media__videosHeaders, media__videosTracker, media__videosErrors)
                , 
                                     _xlpm.media__documentsQuestionDisplayNames, GetErrorQuestionDisplayNames(media__documentsHeaders, media__documentsTracker, media__documentsErrors)
                , 
                                     _xlpm.propSixtyFive__chemicalsQuestionDisplayNames, GetErrorQuestionDisplayNames(propSixtyFive__chemicalsHeaders, propSixtyFive__chemicalsTracker, propSixtyFive__chemicalsErrors)
                , _xlpm.stackedQuestionDisplayNames, _xlfn.VSTACK(_xlpm.class6161QuestionDisplayNames, _xlpm.class3757QuestionDisplayNames, _xlpm.shippingAndFulfillment__cartonsQuestionDisplayNames, _xlpm.media__imagesQuestionDisplayNames, _xlpm.media__videosQuestionDisplayNames, _xlpm.media__documentsQuestionDisplayNames, _xlpm.propSixtyFive__chemicalsQuestionDisplayNames), _xlfn._xlws.FILTER(_xlpm.stackedQuestionDisplayNames, _xlpm.stackedQuestionDisplayNames&lt;&gt;"", ""))</f>
        <v>0</v>
      </c>
      <c r="G3" s="20" cm="1">
        <f t="array" ref="G3">_xlfn.LET(
                         _xlpm.class6161ProvidedAnswers, GetFilteredProvidedAnswers(Class6161Answers, Class6161Errors, Class6161Tracker)
    , 
                         _xlpm.class3757ProvidedAnswers, GetFilteredProvidedAnswers(Class3757Answers, Class3757Errors, Class3757Tracker)
    , 
                         _xlpm.shippingAndFulfillment__cartonsProvidedAnswers, GetFilteredProvidedAnswers(shippingAndFulfillment__cartonsAnswers, shippingAndFulfillment__cartonsErrors, shippingAndFulfillment__cartonsTracker)
    , 
                         _xlpm.media__imagesProvidedAnswers, GetFilteredProvidedAnswers(media__imagesAnswers, media__imagesErrors, media__imagesTracker)
    , 
                         _xlpm.media__videosProvidedAnswers, GetFilteredProvidedAnswers(media__videosAnswers, media__videosErrors, media__videosTracker)
    , 
                         _xlpm.media__documentsProvidedAnswers, GetFilteredProvidedAnswers(media__documentsAnswers, media__documentsErrors, media__documentsTracker)
    , 
                         _xlpm.propSixtyFive__chemicalsProvidedAnswers, GetFilteredProvidedAnswers(propSixtyFive__chemicalsAnswers, propSixtyFive__chemicalsErrors, propSixtyFive__chemicalsTracker)
    , _xlpm.stackedProvidedAnswers, _xlfn.VSTACK(_xlpm.class6161ProvidedAnswers, _xlpm.class3757ProvidedAnswers, _xlpm.shippingAndFulfillment__cartonsProvidedAnswers, _xlpm.media__imagesProvidedAnswers, _xlpm.media__videosProvidedAnswers, _xlpm.media__documentsProvidedAnswers, _xlpm.propSixtyFive__chemicalsProvidedAnswers), _xlfn._xlws.FILTER(_xlpm.stackedProvidedAnswers, _xlpm.stackedProvidedAnswers&lt;&gt;"EMPTY_ERROR", ""))</f>
        <v>0</v>
      </c>
      <c r="H3" s="20" cm="1">
        <f t="array" ref="H3">_xlfn.LET(_xlpm.class6161ErrorMessages, _xlfn.FILTER(
                    _xlfn.TOCOL(Class6161Errors),
                    _xlfn.TOCOL((Class6161Errors &lt;&gt; "") * (Class6161Tracker &lt;&gt; "Valid") * (Class6161Tracker &lt;&gt; "Disabled")), ""
                ), _xlpm.class3757ErrorMessages, _xlfn.FILTER(
                    _xlfn.TOCOL(Class3757Errors),
                    _xlfn.TOCOL((Class3757Errors &lt;&gt; "") * (Class3757Tracker &lt;&gt; "Valid") * (Class3757Tracker &lt;&gt; "Disabled")), ""
                ), _xlpm.shippingAndFulfillment__cartonsErrorMessages, _xlfn.FILTER(
                    _xlfn.TOCOL(shippingAndFulfillment__cartonsErrors),
                    _xlfn.TOCOL((shippingAndFulfillment__cartonsErrors &lt;&gt; "") * (shippingAndFulfillment__cartonsTracker &lt;&gt; "Valid") * (shippingAndFulfillment__cartonsTracker &lt;&gt; "Disabled")), ""
                ), _xlpm.media__imagesErrorMessages, _xlfn.FILTER(
                    _xlfn.TOCOL(media__imagesErrors),
                    _xlfn.TOCOL((media__imagesErrors &lt;&gt; "") * (media__imagesTracker &lt;&gt; "Valid") * (media__imagesTracker &lt;&gt; "Disabled")), ""
                ), _xlpm.media__videosErrorMessages, _xlfn.FILTER(
                    _xlfn.TOCOL(media__videosErrors),
                    _xlfn.TOCOL((media__videosErrors &lt;&gt; "") * (media__videosTracker &lt;&gt; "Valid") * (media__videosTracker &lt;&gt; "Disabled")), ""
                ), _xlpm.media__documentsErrorMessages, _xlfn.FILTER(
                    _xlfn.TOCOL(media__documentsErrors),
                    _xlfn.TOCOL((media__documentsErrors &lt;&gt; "") * (media__documentsTracker &lt;&gt; "Valid") * (media__documentsTracker &lt;&gt; "Disabled")), ""
                ), _xlpm.propSixtyFive__chemicalsErrorMessages, _xlfn.FILTER(
                    _xlfn.TOCOL(propSixtyFive__chemicalsErrors),
                    _xlfn.TOCOL((propSixtyFive__chemicalsErrors &lt;&gt; "") * (propSixtyFive__chemicalsTracker &lt;&gt; "Valid") * (propSixtyFive__chemicalsTracker &lt;&gt; "Disabled")), ""
                ), _xlpm.stackedErrorMessages, _xlfn.VSTACK(_xlpm.class6161ErrorMessages, _xlpm.class3757ErrorMessages, _xlpm.shippingAndFulfillment__cartonsErrorMessages, _xlpm.media__imagesErrorMessages, _xlpm.media__videosErrorMessages, _xlpm.media__documentsErrorMessages, _xlpm.propSixtyFive__chemicalsErrorMessages), _xlpm.filteredMessages, _xlfn._xlws.FILTER(_xlpm.stackedErrorMessages, _xlpm.stackedErrorMessages&lt;&gt;"", ""), IFERROR(_xlfn.TEXTAFTER(_xlpm.filteredMessages, ":"), _xlpm.filteredMessages))</f>
        <v>0</v>
      </c>
      <c r="J3" cm="1">
        <f t="array" ref="J3">_xlfn.LET(_xlpm.class6161Addresses, GetSheetLocationAddresses(Class6161Tracker, Class6161Errors), _xlpm.class3757Addresses, GetSheetLocationAddresses(Class3757Tracker, Class3757Errors), _xlpm.shippingAndFulfillment__cartonsAddresses, GetSheetLocationAddresses(shippingAndFulfillment__cartonsTracker, shippingAndFulfillment__cartonsErrors), _xlpm.media__imagesAddresses, GetSheetLocationAddresses(media__imagesTracker, media__imagesErrors), _xlpm.media__videosAddresses, GetSheetLocationAddresses(media__videosTracker, media__videosErrors), _xlpm.media__documentsAddresses, GetSheetLocationAddresses(media__documentsTracker, media__documentsErrors), _xlpm.propSixtyFive__chemicalsAddresses, GetSheetLocationAddresses(propSixtyFive__chemicalsTracker, propSixtyFive__chemicalsErrors), _xlpm.stackedAddresses, _xlfn.VSTACK(_xlpm.class6161Addresses, _xlpm.class3757Addresses, _xlpm.shippingAndFulfillment__cartonsAddresses, _xlpm.media__imagesAddresses, _xlpm.media__videosAddresses, _xlpm.media__documentsAddresses, _xlpm.propSixtyFive__chemicalsAddresses), _xlfn._xlws.FILTER(_xlpm.stackedAddresses, _xlpm.stackedAddresses&lt;&gt;"", ""))</f>
        <v>0</v>
      </c>
    </row>
    <row r="4" spans="1:10">
      <c r="B4" s="21">
        <f>IF(AND(C4&lt;&gt;"", J4&lt;&gt;""), HYPERLINK("#'" &amp; C4 &amp; "'!" &amp; J4, J4), "")</f>
        <v>0</v>
      </c>
    </row>
    <row r="5" spans="1:10">
      <c r="B5" s="21">
        <f>IF(AND(C5&lt;&gt;"", J5&lt;&gt;""), HYPERLINK("#'" &amp; C5 &amp; "'!" &amp; J5, J5), "")</f>
        <v>0</v>
      </c>
    </row>
    <row r="6" spans="1:10">
      <c r="B6" s="21">
        <f>IF(AND(C6&lt;&gt;"", J6&lt;&gt;""), HYPERLINK("#'" &amp; C6 &amp; "'!" &amp; J6, J6), "")</f>
        <v>0</v>
      </c>
    </row>
    <row r="7" spans="1:10">
      <c r="B7" s="21">
        <f>IF(AND(C7&lt;&gt;"", J7&lt;&gt;""), HYPERLINK("#'" &amp; C7 &amp; "'!" &amp; J7, J7), "")</f>
        <v>0</v>
      </c>
    </row>
    <row r="8" spans="1:10">
      <c r="B8" s="21">
        <f>IF(AND(C8&lt;&gt;"", J8&lt;&gt;""), HYPERLINK("#'" &amp; C8 &amp; "'!" &amp; J8, J8), "")</f>
        <v>0</v>
      </c>
    </row>
    <row r="9" spans="1:10">
      <c r="B9" s="21">
        <f>IF(AND(C9&lt;&gt;"", J9&lt;&gt;""), HYPERLINK("#'" &amp; C9 &amp; "'!" &amp; J9, J9), "")</f>
        <v>0</v>
      </c>
    </row>
    <row r="10" spans="1:10">
      <c r="B10" s="21">
        <f>IF(AND(C10&lt;&gt;"", J10&lt;&gt;""), HYPERLINK("#'" &amp; C10 &amp; "'!" &amp; J10, J10), "")</f>
        <v>0</v>
      </c>
    </row>
    <row r="11" spans="1:10">
      <c r="B11" s="21">
        <f>IF(AND(C11&lt;&gt;"", J11&lt;&gt;""), HYPERLINK("#'" &amp; C11 &amp; "'!" &amp; J11, J11), "")</f>
        <v>0</v>
      </c>
    </row>
    <row r="12" spans="1:10">
      <c r="B12" s="21">
        <f>IF(AND(C12&lt;&gt;"", J12&lt;&gt;""), HYPERLINK("#'" &amp; C12 &amp; "'!" &amp; J12, J12), "")</f>
        <v>0</v>
      </c>
    </row>
    <row r="13" spans="1:10">
      <c r="B13" s="21">
        <f>IF(AND(C13&lt;&gt;"", J13&lt;&gt;""), HYPERLINK("#'" &amp; C13 &amp; "'!" &amp; J13, J13), "")</f>
        <v>0</v>
      </c>
    </row>
    <row r="14" spans="1:10">
      <c r="B14" s="21">
        <f>IF(AND(C14&lt;&gt;"", J14&lt;&gt;""), HYPERLINK("#'" &amp; C14 &amp; "'!" &amp; J14, J14), "")</f>
        <v>0</v>
      </c>
    </row>
    <row r="15" spans="1:10">
      <c r="B15" s="21">
        <f>IF(AND(C15&lt;&gt;"", J15&lt;&gt;""), HYPERLINK("#'" &amp; C15 &amp; "'!" &amp; J15, J15), "")</f>
        <v>0</v>
      </c>
    </row>
    <row r="16" spans="1:10">
      <c r="B16" s="21">
        <f>IF(AND(C16&lt;&gt;"", J16&lt;&gt;""), HYPERLINK("#'" &amp; C16 &amp; "'!" &amp; J16, J16), "")</f>
        <v>0</v>
      </c>
    </row>
    <row r="17" spans="2:2">
      <c r="B17" s="21">
        <f>IF(AND(C17&lt;&gt;"", J17&lt;&gt;""), HYPERLINK("#'" &amp; C17 &amp; "'!" &amp; J17, J17), "")</f>
        <v>0</v>
      </c>
    </row>
    <row r="18" spans="2:2">
      <c r="B18" s="21">
        <f>IF(AND(C18&lt;&gt;"", J18&lt;&gt;""), HYPERLINK("#'" &amp; C18 &amp; "'!" &amp; J18, J18), "")</f>
        <v>0</v>
      </c>
    </row>
    <row r="19" spans="2:2">
      <c r="B19" s="21">
        <f>IF(AND(C19&lt;&gt;"", J19&lt;&gt;""), HYPERLINK("#'" &amp; C19 &amp; "'!" &amp; J19, J19), "")</f>
        <v>0</v>
      </c>
    </row>
    <row r="20" spans="2:2">
      <c r="B20" s="21">
        <f>IF(AND(C20&lt;&gt;"", J20&lt;&gt;""), HYPERLINK("#'" &amp; C20 &amp; "'!" &amp; J20, J20), "")</f>
        <v>0</v>
      </c>
    </row>
    <row r="21" spans="2:2">
      <c r="B21" s="21">
        <f>IF(AND(C21&lt;&gt;"", J21&lt;&gt;""), HYPERLINK("#'" &amp; C21 &amp; "'!" &amp; J21, J21), "")</f>
        <v>0</v>
      </c>
    </row>
    <row r="22" spans="2:2">
      <c r="B22" s="21">
        <f>IF(AND(C22&lt;&gt;"", J22&lt;&gt;""), HYPERLINK("#'" &amp; C22 &amp; "'!" &amp; J22, J22), "")</f>
        <v>0</v>
      </c>
    </row>
    <row r="23" spans="2:2">
      <c r="B23" s="21">
        <f>IF(AND(C23&lt;&gt;"", J23&lt;&gt;""), HYPERLINK("#'" &amp; C23 &amp; "'!" &amp; J23, J23), "")</f>
        <v>0</v>
      </c>
    </row>
    <row r="24" spans="2:2">
      <c r="B24" s="21">
        <f>IF(AND(C24&lt;&gt;"", J24&lt;&gt;""), HYPERLINK("#'" &amp; C24 &amp; "'!" &amp; J24, J24), "")</f>
        <v>0</v>
      </c>
    </row>
    <row r="25" spans="2:2">
      <c r="B25" s="21">
        <f>IF(AND(C25&lt;&gt;"", J25&lt;&gt;""), HYPERLINK("#'" &amp; C25 &amp; "'!" &amp; J25, J25), "")</f>
        <v>0</v>
      </c>
    </row>
    <row r="26" spans="2:2">
      <c r="B26" s="21">
        <f>IF(AND(C26&lt;&gt;"", J26&lt;&gt;""), HYPERLINK("#'" &amp; C26 &amp; "'!" &amp; J26, J26), "")</f>
        <v>0</v>
      </c>
    </row>
    <row r="27" spans="2:2">
      <c r="B27" s="21">
        <f>IF(AND(C27&lt;&gt;"", J27&lt;&gt;""), HYPERLINK("#'" &amp; C27 &amp; "'!" &amp; J27, J27), "")</f>
        <v>0</v>
      </c>
    </row>
    <row r="28" spans="2:2">
      <c r="B28" s="21">
        <f>IF(AND(C28&lt;&gt;"", J28&lt;&gt;""), HYPERLINK("#'" &amp; C28 &amp; "'!" &amp; J28, J28), "")</f>
        <v>0</v>
      </c>
    </row>
    <row r="29" spans="2:2">
      <c r="B29" s="21">
        <f>IF(AND(C29&lt;&gt;"", J29&lt;&gt;""), HYPERLINK("#'" &amp; C29 &amp; "'!" &amp; J29, J29), "")</f>
        <v>0</v>
      </c>
    </row>
    <row r="30" spans="2:2">
      <c r="B30" s="21">
        <f>IF(AND(C30&lt;&gt;"", J30&lt;&gt;""), HYPERLINK("#'" &amp; C30 &amp; "'!" &amp; J30, J30), "")</f>
        <v>0</v>
      </c>
    </row>
    <row r="31" spans="2:2">
      <c r="B31" s="21">
        <f>IF(AND(C31&lt;&gt;"", J31&lt;&gt;""), HYPERLINK("#'" &amp; C31 &amp; "'!" &amp; J31, J31), "")</f>
        <v>0</v>
      </c>
    </row>
    <row r="32" spans="2:2">
      <c r="B32" s="21">
        <f>IF(AND(C32&lt;&gt;"", J32&lt;&gt;""), HYPERLINK("#'" &amp; C32 &amp; "'!" &amp; J32, J32), "")</f>
        <v>0</v>
      </c>
    </row>
    <row r="33" spans="2:2">
      <c r="B33" s="21">
        <f>IF(AND(C33&lt;&gt;"", J33&lt;&gt;""), HYPERLINK("#'" &amp; C33 &amp; "'!" &amp; J33, J33), "")</f>
        <v>0</v>
      </c>
    </row>
    <row r="34" spans="2:2">
      <c r="B34" s="21">
        <f>IF(AND(C34&lt;&gt;"", J34&lt;&gt;""), HYPERLINK("#'" &amp; C34 &amp; "'!" &amp; J34, J34), "")</f>
        <v>0</v>
      </c>
    </row>
    <row r="35" spans="2:2">
      <c r="B35" s="21">
        <f>IF(AND(C35&lt;&gt;"", J35&lt;&gt;""), HYPERLINK("#'" &amp; C35 &amp; "'!" &amp; J35, J35), "")</f>
        <v>0</v>
      </c>
    </row>
    <row r="36" spans="2:2">
      <c r="B36" s="21">
        <f>IF(AND(C36&lt;&gt;"", J36&lt;&gt;""), HYPERLINK("#'" &amp; C36 &amp; "'!" &amp; J36, J36), "")</f>
        <v>0</v>
      </c>
    </row>
    <row r="37" spans="2:2">
      <c r="B37" s="21">
        <f>IF(AND(C37&lt;&gt;"", J37&lt;&gt;""), HYPERLINK("#'" &amp; C37 &amp; "'!" &amp; J37, J37), "")</f>
        <v>0</v>
      </c>
    </row>
    <row r="38" spans="2:2">
      <c r="B38" s="21">
        <f>IF(AND(C38&lt;&gt;"", J38&lt;&gt;""), HYPERLINK("#'" &amp; C38 &amp; "'!" &amp; J38, J38), "")</f>
        <v>0</v>
      </c>
    </row>
    <row r="39" spans="2:2">
      <c r="B39" s="21">
        <f>IF(AND(C39&lt;&gt;"", J39&lt;&gt;""), HYPERLINK("#'" &amp; C39 &amp; "'!" &amp; J39, J39), "")</f>
        <v>0</v>
      </c>
    </row>
    <row r="40" spans="2:2">
      <c r="B40" s="21">
        <f>IF(AND(C40&lt;&gt;"", J40&lt;&gt;""), HYPERLINK("#'" &amp; C40 &amp; "'!" &amp; J40, J40), "")</f>
        <v>0</v>
      </c>
    </row>
    <row r="41" spans="2:2">
      <c r="B41" s="21">
        <f>IF(AND(C41&lt;&gt;"", J41&lt;&gt;""), HYPERLINK("#'" &amp; C41 &amp; "'!" &amp; J41, J41), "")</f>
        <v>0</v>
      </c>
    </row>
    <row r="42" spans="2:2">
      <c r="B42" s="21">
        <f>IF(AND(C42&lt;&gt;"", J42&lt;&gt;""), HYPERLINK("#'" &amp; C42 &amp; "'!" &amp; J42, J42), "")</f>
        <v>0</v>
      </c>
    </row>
    <row r="43" spans="2:2">
      <c r="B43" s="21">
        <f>IF(AND(C43&lt;&gt;"", J43&lt;&gt;""), HYPERLINK("#'" &amp; C43 &amp; "'!" &amp; J43, J43), "")</f>
        <v>0</v>
      </c>
    </row>
    <row r="44" spans="2:2">
      <c r="B44" s="21">
        <f>IF(AND(C44&lt;&gt;"", J44&lt;&gt;""), HYPERLINK("#'" &amp; C44 &amp; "'!" &amp; J44, J44), "")</f>
        <v>0</v>
      </c>
    </row>
    <row r="45" spans="2:2">
      <c r="B45" s="21">
        <f>IF(AND(C45&lt;&gt;"", J45&lt;&gt;""), HYPERLINK("#'" &amp; C45 &amp; "'!" &amp; J45, J45), "")</f>
        <v>0</v>
      </c>
    </row>
    <row r="46" spans="2:2">
      <c r="B46" s="21">
        <f>IF(AND(C46&lt;&gt;"", J46&lt;&gt;""), HYPERLINK("#'" &amp; C46 &amp; "'!" &amp; J46, J46), "")</f>
        <v>0</v>
      </c>
    </row>
    <row r="47" spans="2:2">
      <c r="B47" s="21">
        <f>IF(AND(C47&lt;&gt;"", J47&lt;&gt;""), HYPERLINK("#'" &amp; C47 &amp; "'!" &amp; J47, J47), "")</f>
        <v>0</v>
      </c>
    </row>
    <row r="48" spans="2:2">
      <c r="B48" s="21">
        <f>IF(AND(C48&lt;&gt;"", J48&lt;&gt;""), HYPERLINK("#'" &amp; C48 &amp; "'!" &amp; J48, J48), "")</f>
        <v>0</v>
      </c>
    </row>
    <row r="49" spans="2:2">
      <c r="B49" s="21">
        <f>IF(AND(C49&lt;&gt;"", J49&lt;&gt;""), HYPERLINK("#'" &amp; C49 &amp; "'!" &amp; J49, J49), "")</f>
        <v>0</v>
      </c>
    </row>
    <row r="50" spans="2:2">
      <c r="B50" s="21">
        <f>IF(AND(C50&lt;&gt;"", J50&lt;&gt;""), HYPERLINK("#'" &amp; C50 &amp; "'!" &amp; J50, J50), "")</f>
        <v>0</v>
      </c>
    </row>
    <row r="51" spans="2:2">
      <c r="B51" s="21">
        <f>IF(AND(C51&lt;&gt;"", J51&lt;&gt;""), HYPERLINK("#'" &amp; C51 &amp; "'!" &amp; J51, J51), "")</f>
        <v>0</v>
      </c>
    </row>
    <row r="52" spans="2:2">
      <c r="B52" s="21">
        <f>IF(AND(C52&lt;&gt;"", J52&lt;&gt;""), HYPERLINK("#'" &amp; C52 &amp; "'!" &amp; J52, J52), "")</f>
        <v>0</v>
      </c>
    </row>
    <row r="53" spans="2:2">
      <c r="B53" s="21">
        <f>IF(AND(C53&lt;&gt;"", J53&lt;&gt;""), HYPERLINK("#'" &amp; C53 &amp; "'!" &amp; J53, J53), "")</f>
        <v>0</v>
      </c>
    </row>
    <row r="54" spans="2:2">
      <c r="B54" s="21">
        <f>IF(AND(C54&lt;&gt;"", J54&lt;&gt;""), HYPERLINK("#'" &amp; C54 &amp; "'!" &amp; J54, J54), "")</f>
        <v>0</v>
      </c>
    </row>
    <row r="55" spans="2:2">
      <c r="B55" s="21">
        <f>IF(AND(C55&lt;&gt;"", J55&lt;&gt;""), HYPERLINK("#'" &amp; C55 &amp; "'!" &amp; J55, J55), "")</f>
        <v>0</v>
      </c>
    </row>
    <row r="56" spans="2:2">
      <c r="B56" s="21">
        <f>IF(AND(C56&lt;&gt;"", J56&lt;&gt;""), HYPERLINK("#'" &amp; C56 &amp; "'!" &amp; J56, J56), "")</f>
        <v>0</v>
      </c>
    </row>
    <row r="57" spans="2:2">
      <c r="B57" s="21">
        <f>IF(AND(C57&lt;&gt;"", J57&lt;&gt;""), HYPERLINK("#'" &amp; C57 &amp; "'!" &amp; J57, J57), "")</f>
        <v>0</v>
      </c>
    </row>
    <row r="58" spans="2:2">
      <c r="B58" s="21">
        <f>IF(AND(C58&lt;&gt;"", J58&lt;&gt;""), HYPERLINK("#'" &amp; C58 &amp; "'!" &amp; J58, J58), "")</f>
        <v>0</v>
      </c>
    </row>
    <row r="59" spans="2:2">
      <c r="B59" s="21">
        <f>IF(AND(C59&lt;&gt;"", J59&lt;&gt;""), HYPERLINK("#'" &amp; C59 &amp; "'!" &amp; J59, J59), "")</f>
        <v>0</v>
      </c>
    </row>
    <row r="60" spans="2:2">
      <c r="B60" s="21">
        <f>IF(AND(C60&lt;&gt;"", J60&lt;&gt;""), HYPERLINK("#'" &amp; C60 &amp; "'!" &amp; J60, J60), "")</f>
        <v>0</v>
      </c>
    </row>
    <row r="61" spans="2:2">
      <c r="B61" s="21">
        <f>IF(AND(C61&lt;&gt;"", J61&lt;&gt;""), HYPERLINK("#'" &amp; C61 &amp; "'!" &amp; J61, J61), "")</f>
        <v>0</v>
      </c>
    </row>
    <row r="62" spans="2:2">
      <c r="B62" s="21">
        <f>IF(AND(C62&lt;&gt;"", J62&lt;&gt;""), HYPERLINK("#'" &amp; C62 &amp; "'!" &amp; J62, J62), "")</f>
        <v>0</v>
      </c>
    </row>
    <row r="63" spans="2:2">
      <c r="B63" s="21">
        <f>IF(AND(C63&lt;&gt;"", J63&lt;&gt;""), HYPERLINK("#'" &amp; C63 &amp; "'!" &amp; J63, J63), "")</f>
        <v>0</v>
      </c>
    </row>
    <row r="64" spans="2:2">
      <c r="B64" s="21">
        <f>IF(AND(C64&lt;&gt;"", J64&lt;&gt;""), HYPERLINK("#'" &amp; C64 &amp; "'!" &amp; J64, J64), "")</f>
        <v>0</v>
      </c>
    </row>
    <row r="65" spans="2:2">
      <c r="B65" s="21">
        <f>IF(AND(C65&lt;&gt;"", J65&lt;&gt;""), HYPERLINK("#'" &amp; C65 &amp; "'!" &amp; J65, J65), "")</f>
        <v>0</v>
      </c>
    </row>
    <row r="66" spans="2:2">
      <c r="B66" s="21">
        <f>IF(AND(C66&lt;&gt;"", J66&lt;&gt;""), HYPERLINK("#'" &amp; C66 &amp; "'!" &amp; J66, J66), "")</f>
        <v>0</v>
      </c>
    </row>
    <row r="67" spans="2:2">
      <c r="B67" s="21">
        <f>IF(AND(C67&lt;&gt;"", J67&lt;&gt;""), HYPERLINK("#'" &amp; C67 &amp; "'!" &amp; J67, J67), "")</f>
        <v>0</v>
      </c>
    </row>
    <row r="68" spans="2:2">
      <c r="B68" s="21">
        <f>IF(AND(C68&lt;&gt;"", J68&lt;&gt;""), HYPERLINK("#'" &amp; C68 &amp; "'!" &amp; J68, J68), "")</f>
        <v>0</v>
      </c>
    </row>
    <row r="69" spans="2:2">
      <c r="B69" s="21">
        <f>IF(AND(C69&lt;&gt;"", J69&lt;&gt;""), HYPERLINK("#'" &amp; C69 &amp; "'!" &amp; J69, J69), "")</f>
        <v>0</v>
      </c>
    </row>
    <row r="70" spans="2:2">
      <c r="B70" s="21">
        <f>IF(AND(C70&lt;&gt;"", J70&lt;&gt;""), HYPERLINK("#'" &amp; C70 &amp; "'!" &amp; J70, J70), "")</f>
        <v>0</v>
      </c>
    </row>
    <row r="71" spans="2:2">
      <c r="B71" s="21">
        <f>IF(AND(C71&lt;&gt;"", J71&lt;&gt;""), HYPERLINK("#'" &amp; C71 &amp; "'!" &amp; J71, J71), "")</f>
        <v>0</v>
      </c>
    </row>
    <row r="72" spans="2:2">
      <c r="B72" s="21">
        <f>IF(AND(C72&lt;&gt;"", J72&lt;&gt;""), HYPERLINK("#'" &amp; C72 &amp; "'!" &amp; J72, J72), "")</f>
        <v>0</v>
      </c>
    </row>
    <row r="73" spans="2:2">
      <c r="B73" s="21">
        <f>IF(AND(C73&lt;&gt;"", J73&lt;&gt;""), HYPERLINK("#'" &amp; C73 &amp; "'!" &amp; J73, J73), "")</f>
        <v>0</v>
      </c>
    </row>
    <row r="74" spans="2:2">
      <c r="B74" s="21">
        <f>IF(AND(C74&lt;&gt;"", J74&lt;&gt;""), HYPERLINK("#'" &amp; C74 &amp; "'!" &amp; J74, J74), "")</f>
        <v>0</v>
      </c>
    </row>
    <row r="75" spans="2:2">
      <c r="B75" s="21">
        <f>IF(AND(C75&lt;&gt;"", J75&lt;&gt;""), HYPERLINK("#'" &amp; C75 &amp; "'!" &amp; J75, J75), "")</f>
        <v>0</v>
      </c>
    </row>
    <row r="76" spans="2:2">
      <c r="B76" s="21">
        <f>IF(AND(C76&lt;&gt;"", J76&lt;&gt;""), HYPERLINK("#'" &amp; C76 &amp; "'!" &amp; J76, J76), "")</f>
        <v>0</v>
      </c>
    </row>
    <row r="77" spans="2:2">
      <c r="B77" s="21">
        <f>IF(AND(C77&lt;&gt;"", J77&lt;&gt;""), HYPERLINK("#'" &amp; C77 &amp; "'!" &amp; J77, J77), "")</f>
        <v>0</v>
      </c>
    </row>
    <row r="78" spans="2:2">
      <c r="B78" s="21">
        <f>IF(AND(C78&lt;&gt;"", J78&lt;&gt;""), HYPERLINK("#'" &amp; C78 &amp; "'!" &amp; J78, J78), "")</f>
        <v>0</v>
      </c>
    </row>
    <row r="79" spans="2:2">
      <c r="B79" s="21">
        <f>IF(AND(C79&lt;&gt;"", J79&lt;&gt;""), HYPERLINK("#'" &amp; C79 &amp; "'!" &amp; J79, J79), "")</f>
        <v>0</v>
      </c>
    </row>
    <row r="80" spans="2:2">
      <c r="B80" s="21">
        <f>IF(AND(C80&lt;&gt;"", J80&lt;&gt;""), HYPERLINK("#'" &amp; C80 &amp; "'!" &amp; J80, J80), "")</f>
        <v>0</v>
      </c>
    </row>
    <row r="81" spans="2:2">
      <c r="B81" s="21">
        <f>IF(AND(C81&lt;&gt;"", J81&lt;&gt;""), HYPERLINK("#'" &amp; C81 &amp; "'!" &amp; J81, J81), "")</f>
        <v>0</v>
      </c>
    </row>
    <row r="82" spans="2:2">
      <c r="B82" s="21">
        <f>IF(AND(C82&lt;&gt;"", J82&lt;&gt;""), HYPERLINK("#'" &amp; C82 &amp; "'!" &amp; J82, J82), "")</f>
        <v>0</v>
      </c>
    </row>
    <row r="83" spans="2:2">
      <c r="B83" s="21">
        <f>IF(AND(C83&lt;&gt;"", J83&lt;&gt;""), HYPERLINK("#'" &amp; C83 &amp; "'!" &amp; J83, J83), "")</f>
        <v>0</v>
      </c>
    </row>
    <row r="84" spans="2:2">
      <c r="B84" s="21">
        <f>IF(AND(C84&lt;&gt;"", J84&lt;&gt;""), HYPERLINK("#'" &amp; C84 &amp; "'!" &amp; J84, J84), "")</f>
        <v>0</v>
      </c>
    </row>
    <row r="85" spans="2:2">
      <c r="B85" s="21">
        <f>IF(AND(C85&lt;&gt;"", J85&lt;&gt;""), HYPERLINK("#'" &amp; C85 &amp; "'!" &amp; J85, J85), "")</f>
        <v>0</v>
      </c>
    </row>
    <row r="86" spans="2:2">
      <c r="B86" s="21">
        <f>IF(AND(C86&lt;&gt;"", J86&lt;&gt;""), HYPERLINK("#'" &amp; C86 &amp; "'!" &amp; J86, J86), "")</f>
        <v>0</v>
      </c>
    </row>
    <row r="87" spans="2:2">
      <c r="B87" s="21">
        <f>IF(AND(C87&lt;&gt;"", J87&lt;&gt;""), HYPERLINK("#'" &amp; C87 &amp; "'!" &amp; J87, J87), "")</f>
        <v>0</v>
      </c>
    </row>
    <row r="88" spans="2:2">
      <c r="B88" s="21">
        <f>IF(AND(C88&lt;&gt;"", J88&lt;&gt;""), HYPERLINK("#'" &amp; C88 &amp; "'!" &amp; J88, J88), "")</f>
        <v>0</v>
      </c>
    </row>
    <row r="89" spans="2:2">
      <c r="B89" s="21">
        <f>IF(AND(C89&lt;&gt;"", J89&lt;&gt;""), HYPERLINK("#'" &amp; C89 &amp; "'!" &amp; J89, J89), "")</f>
        <v>0</v>
      </c>
    </row>
    <row r="90" spans="2:2">
      <c r="B90" s="21">
        <f>IF(AND(C90&lt;&gt;"", J90&lt;&gt;""), HYPERLINK("#'" &amp; C90 &amp; "'!" &amp; J90, J90), "")</f>
        <v>0</v>
      </c>
    </row>
    <row r="91" spans="2:2">
      <c r="B91" s="21">
        <f>IF(AND(C91&lt;&gt;"", J91&lt;&gt;""), HYPERLINK("#'" &amp; C91 &amp; "'!" &amp; J91, J91), "")</f>
        <v>0</v>
      </c>
    </row>
    <row r="92" spans="2:2">
      <c r="B92" s="21">
        <f>IF(AND(C92&lt;&gt;"", J92&lt;&gt;""), HYPERLINK("#'" &amp; C92 &amp; "'!" &amp; J92, J92), "")</f>
        <v>0</v>
      </c>
    </row>
    <row r="93" spans="2:2">
      <c r="B93" s="21">
        <f>IF(AND(C93&lt;&gt;"", J93&lt;&gt;""), HYPERLINK("#'" &amp; C93 &amp; "'!" &amp; J93, J93), "")</f>
        <v>0</v>
      </c>
    </row>
    <row r="94" spans="2:2">
      <c r="B94" s="21">
        <f>IF(AND(C94&lt;&gt;"", J94&lt;&gt;""), HYPERLINK("#'" &amp; C94 &amp; "'!" &amp; J94, J94), "")</f>
        <v>0</v>
      </c>
    </row>
    <row r="95" spans="2:2">
      <c r="B95" s="21">
        <f>IF(AND(C95&lt;&gt;"", J95&lt;&gt;""), HYPERLINK("#'" &amp; C95 &amp; "'!" &amp; J95, J95), "")</f>
        <v>0</v>
      </c>
    </row>
    <row r="96" spans="2:2">
      <c r="B96" s="21">
        <f>IF(AND(C96&lt;&gt;"", J96&lt;&gt;""), HYPERLINK("#'" &amp; C96 &amp; "'!" &amp; J96, J96), "")</f>
        <v>0</v>
      </c>
    </row>
    <row r="97" spans="2:2">
      <c r="B97" s="21">
        <f>IF(AND(C97&lt;&gt;"", J97&lt;&gt;""), HYPERLINK("#'" &amp; C97 &amp; "'!" &amp; J97, J97), "")</f>
        <v>0</v>
      </c>
    </row>
    <row r="98" spans="2:2">
      <c r="B98" s="21">
        <f>IF(AND(C98&lt;&gt;"", J98&lt;&gt;""), HYPERLINK("#'" &amp; C98 &amp; "'!" &amp; J98, J98), "")</f>
        <v>0</v>
      </c>
    </row>
    <row r="99" spans="2:2">
      <c r="B99" s="21">
        <f>IF(AND(C99&lt;&gt;"", J99&lt;&gt;""), HYPERLINK("#'" &amp; C99 &amp; "'!" &amp; J99, J99), "")</f>
        <v>0</v>
      </c>
    </row>
    <row r="100" spans="2:2">
      <c r="B100" s="21">
        <f>IF(AND(C100&lt;&gt;"", J100&lt;&gt;""), HYPERLINK("#'" &amp; C100 &amp; "'!" &amp; J100, J100), "")</f>
        <v>0</v>
      </c>
    </row>
    <row r="101" spans="2:2">
      <c r="B101" s="21">
        <f>IF(AND(C101&lt;&gt;"", J101&lt;&gt;""), HYPERLINK("#'" &amp; C101 &amp; "'!" &amp; J101, J101), "")</f>
        <v>0</v>
      </c>
    </row>
    <row r="102" spans="2:2">
      <c r="B102" s="21">
        <f>IF(AND(C102&lt;&gt;"", J102&lt;&gt;""), HYPERLINK("#'" &amp; C102 &amp; "'!" &amp; J102, J102), "")</f>
        <v>0</v>
      </c>
    </row>
    <row r="103" spans="2:2">
      <c r="B103" s="21">
        <f>IF(AND(C103&lt;&gt;"", J103&lt;&gt;""), HYPERLINK("#'" &amp; C103 &amp; "'!" &amp; J103, J103), "")</f>
        <v>0</v>
      </c>
    </row>
    <row r="104" spans="2:2">
      <c r="B104" s="21">
        <f>IF(AND(C104&lt;&gt;"", J104&lt;&gt;""), HYPERLINK("#'" &amp; C104 &amp; "'!" &amp; J104, J104), "")</f>
        <v>0</v>
      </c>
    </row>
    <row r="105" spans="2:2">
      <c r="B105" s="21">
        <f>IF(AND(C105&lt;&gt;"", J105&lt;&gt;""), HYPERLINK("#'" &amp; C105 &amp; "'!" &amp; J105, J105), "")</f>
        <v>0</v>
      </c>
    </row>
    <row r="106" spans="2:2">
      <c r="B106" s="21">
        <f>IF(AND(C106&lt;&gt;"", J106&lt;&gt;""), HYPERLINK("#'" &amp; C106 &amp; "'!" &amp; J106, J106), "")</f>
        <v>0</v>
      </c>
    </row>
    <row r="107" spans="2:2">
      <c r="B107" s="21">
        <f>IF(AND(C107&lt;&gt;"", J107&lt;&gt;""), HYPERLINK("#'" &amp; C107 &amp; "'!" &amp; J107, J107), "")</f>
        <v>0</v>
      </c>
    </row>
    <row r="108" spans="2:2">
      <c r="B108" s="21">
        <f>IF(AND(C108&lt;&gt;"", J108&lt;&gt;""), HYPERLINK("#'" &amp; C108 &amp; "'!" &amp; J108, J108), "")</f>
        <v>0</v>
      </c>
    </row>
    <row r="109" spans="2:2">
      <c r="B109" s="21">
        <f>IF(AND(C109&lt;&gt;"", J109&lt;&gt;""), HYPERLINK("#'" &amp; C109 &amp; "'!" &amp; J109, J109), "")</f>
        <v>0</v>
      </c>
    </row>
    <row r="110" spans="2:2">
      <c r="B110" s="21">
        <f>IF(AND(C110&lt;&gt;"", J110&lt;&gt;""), HYPERLINK("#'" &amp; C110 &amp; "'!" &amp; J110, J110), "")</f>
        <v>0</v>
      </c>
    </row>
    <row r="111" spans="2:2">
      <c r="B111" s="21">
        <f>IF(AND(C111&lt;&gt;"", J111&lt;&gt;""), HYPERLINK("#'" &amp; C111 &amp; "'!" &amp; J111, J111), "")</f>
        <v>0</v>
      </c>
    </row>
    <row r="112" spans="2:2">
      <c r="B112" s="21">
        <f>IF(AND(C112&lt;&gt;"", J112&lt;&gt;""), HYPERLINK("#'" &amp; C112 &amp; "'!" &amp; J112, J112), "")</f>
        <v>0</v>
      </c>
    </row>
    <row r="113" spans="2:2">
      <c r="B113" s="21">
        <f>IF(AND(C113&lt;&gt;"", J113&lt;&gt;""), HYPERLINK("#'" &amp; C113 &amp; "'!" &amp; J113, J113), "")</f>
        <v>0</v>
      </c>
    </row>
    <row r="114" spans="2:2">
      <c r="B114" s="21">
        <f>IF(AND(C114&lt;&gt;"", J114&lt;&gt;""), HYPERLINK("#'" &amp; C114 &amp; "'!" &amp; J114, J114), "")</f>
        <v>0</v>
      </c>
    </row>
    <row r="115" spans="2:2">
      <c r="B115" s="21">
        <f>IF(AND(C115&lt;&gt;"", J115&lt;&gt;""), HYPERLINK("#'" &amp; C115 &amp; "'!" &amp; J115, J115), "")</f>
        <v>0</v>
      </c>
    </row>
    <row r="116" spans="2:2">
      <c r="B116" s="21">
        <f>IF(AND(C116&lt;&gt;"", J116&lt;&gt;""), HYPERLINK("#'" &amp; C116 &amp; "'!" &amp; J116, J116), "")</f>
        <v>0</v>
      </c>
    </row>
    <row r="117" spans="2:2">
      <c r="B117" s="21">
        <f>IF(AND(C117&lt;&gt;"", J117&lt;&gt;""), HYPERLINK("#'" &amp; C117 &amp; "'!" &amp; J117, J117), "")</f>
        <v>0</v>
      </c>
    </row>
    <row r="118" spans="2:2">
      <c r="B118" s="21">
        <f>IF(AND(C118&lt;&gt;"", J118&lt;&gt;""), HYPERLINK("#'" &amp; C118 &amp; "'!" &amp; J118, J118), "")</f>
        <v>0</v>
      </c>
    </row>
    <row r="119" spans="2:2">
      <c r="B119" s="21">
        <f>IF(AND(C119&lt;&gt;"", J119&lt;&gt;""), HYPERLINK("#'" &amp; C119 &amp; "'!" &amp; J119, J119), "")</f>
        <v>0</v>
      </c>
    </row>
    <row r="120" spans="2:2">
      <c r="B120" s="21">
        <f>IF(AND(C120&lt;&gt;"", J120&lt;&gt;""), HYPERLINK("#'" &amp; C120 &amp; "'!" &amp; J120, J120), "")</f>
        <v>0</v>
      </c>
    </row>
    <row r="121" spans="2:2">
      <c r="B121" s="21">
        <f>IF(AND(C121&lt;&gt;"", J121&lt;&gt;""), HYPERLINK("#'" &amp; C121 &amp; "'!" &amp; J121, J121), "")</f>
        <v>0</v>
      </c>
    </row>
    <row r="122" spans="2:2">
      <c r="B122" s="21">
        <f>IF(AND(C122&lt;&gt;"", J122&lt;&gt;""), HYPERLINK("#'" &amp; C122 &amp; "'!" &amp; J122, J122), "")</f>
        <v>0</v>
      </c>
    </row>
    <row r="123" spans="2:2">
      <c r="B123" s="21">
        <f>IF(AND(C123&lt;&gt;"", J123&lt;&gt;""), HYPERLINK("#'" &amp; C123 &amp; "'!" &amp; J123, J123), "")</f>
        <v>0</v>
      </c>
    </row>
    <row r="124" spans="2:2">
      <c r="B124" s="21">
        <f>IF(AND(C124&lt;&gt;"", J124&lt;&gt;""), HYPERLINK("#'" &amp; C124 &amp; "'!" &amp; J124, J124), "")</f>
        <v>0</v>
      </c>
    </row>
    <row r="125" spans="2:2">
      <c r="B125" s="21">
        <f>IF(AND(C125&lt;&gt;"", J125&lt;&gt;""), HYPERLINK("#'" &amp; C125 &amp; "'!" &amp; J125, J125), "")</f>
        <v>0</v>
      </c>
    </row>
    <row r="126" spans="2:2">
      <c r="B126" s="21">
        <f>IF(AND(C126&lt;&gt;"", J126&lt;&gt;""), HYPERLINK("#'" &amp; C126 &amp; "'!" &amp; J126, J126), "")</f>
        <v>0</v>
      </c>
    </row>
    <row r="127" spans="2:2">
      <c r="B127" s="21">
        <f>IF(AND(C127&lt;&gt;"", J127&lt;&gt;""), HYPERLINK("#'" &amp; C127 &amp; "'!" &amp; J127, J127), "")</f>
        <v>0</v>
      </c>
    </row>
    <row r="128" spans="2:2">
      <c r="B128" s="21">
        <f>IF(AND(C128&lt;&gt;"", J128&lt;&gt;""), HYPERLINK("#'" &amp; C128 &amp; "'!" &amp; J128, J128), "")</f>
        <v>0</v>
      </c>
    </row>
    <row r="129" spans="2:2">
      <c r="B129" s="21">
        <f>IF(AND(C129&lt;&gt;"", J129&lt;&gt;""), HYPERLINK("#'" &amp; C129 &amp; "'!" &amp; J129, J129), "")</f>
        <v>0</v>
      </c>
    </row>
    <row r="130" spans="2:2">
      <c r="B130" s="21">
        <f>IF(AND(C130&lt;&gt;"", J130&lt;&gt;""), HYPERLINK("#'" &amp; C130 &amp; "'!" &amp; J130, J130), "")</f>
        <v>0</v>
      </c>
    </row>
    <row r="131" spans="2:2">
      <c r="B131" s="21">
        <f>IF(AND(C131&lt;&gt;"", J131&lt;&gt;""), HYPERLINK("#'" &amp; C131 &amp; "'!" &amp; J131, J131), "")</f>
        <v>0</v>
      </c>
    </row>
    <row r="132" spans="2:2">
      <c r="B132" s="21">
        <f>IF(AND(C132&lt;&gt;"", J132&lt;&gt;""), HYPERLINK("#'" &amp; C132 &amp; "'!" &amp; J132, J132), "")</f>
        <v>0</v>
      </c>
    </row>
    <row r="133" spans="2:2">
      <c r="B133" s="21">
        <f>IF(AND(C133&lt;&gt;"", J133&lt;&gt;""), HYPERLINK("#'" &amp; C133 &amp; "'!" &amp; J133, J133), "")</f>
        <v>0</v>
      </c>
    </row>
    <row r="134" spans="2:2">
      <c r="B134" s="21">
        <f>IF(AND(C134&lt;&gt;"", J134&lt;&gt;""), HYPERLINK("#'" &amp; C134 &amp; "'!" &amp; J134, J134), "")</f>
        <v>0</v>
      </c>
    </row>
    <row r="135" spans="2:2">
      <c r="B135" s="21">
        <f>IF(AND(C135&lt;&gt;"", J135&lt;&gt;""), HYPERLINK("#'" &amp; C135 &amp; "'!" &amp; J135, J135), "")</f>
        <v>0</v>
      </c>
    </row>
    <row r="136" spans="2:2">
      <c r="B136" s="21">
        <f>IF(AND(C136&lt;&gt;"", J136&lt;&gt;""), HYPERLINK("#'" &amp; C136 &amp; "'!" &amp; J136, J136), "")</f>
        <v>0</v>
      </c>
    </row>
    <row r="137" spans="2:2">
      <c r="B137" s="21">
        <f>IF(AND(C137&lt;&gt;"", J137&lt;&gt;""), HYPERLINK("#'" &amp; C137 &amp; "'!" &amp; J137, J137), "")</f>
        <v>0</v>
      </c>
    </row>
    <row r="138" spans="2:2">
      <c r="B138" s="21">
        <f>IF(AND(C138&lt;&gt;"", J138&lt;&gt;""), HYPERLINK("#'" &amp; C138 &amp; "'!" &amp; J138, J138), "")</f>
        <v>0</v>
      </c>
    </row>
    <row r="139" spans="2:2">
      <c r="B139" s="21">
        <f>IF(AND(C139&lt;&gt;"", J139&lt;&gt;""), HYPERLINK("#'" &amp; C139 &amp; "'!" &amp; J139, J139), "")</f>
        <v>0</v>
      </c>
    </row>
    <row r="140" spans="2:2">
      <c r="B140" s="21">
        <f>IF(AND(C140&lt;&gt;"", J140&lt;&gt;""), HYPERLINK("#'" &amp; C140 &amp; "'!" &amp; J140, J140), "")</f>
        <v>0</v>
      </c>
    </row>
    <row r="141" spans="2:2">
      <c r="B141" s="21">
        <f>IF(AND(C141&lt;&gt;"", J141&lt;&gt;""), HYPERLINK("#'" &amp; C141 &amp; "'!" &amp; J141, J141), "")</f>
        <v>0</v>
      </c>
    </row>
    <row r="142" spans="2:2">
      <c r="B142" s="21">
        <f>IF(AND(C142&lt;&gt;"", J142&lt;&gt;""), HYPERLINK("#'" &amp; C142 &amp; "'!" &amp; J142, J142), "")</f>
        <v>0</v>
      </c>
    </row>
    <row r="143" spans="2:2">
      <c r="B143" s="21">
        <f>IF(AND(C143&lt;&gt;"", J143&lt;&gt;""), HYPERLINK("#'" &amp; C143 &amp; "'!" &amp; J143, J143), "")</f>
        <v>0</v>
      </c>
    </row>
    <row r="144" spans="2:2">
      <c r="B144" s="21">
        <f>IF(AND(C144&lt;&gt;"", J144&lt;&gt;""), HYPERLINK("#'" &amp; C144 &amp; "'!" &amp; J144, J144), "")</f>
        <v>0</v>
      </c>
    </row>
    <row r="145" spans="2:2">
      <c r="B145" s="21">
        <f>IF(AND(C145&lt;&gt;"", J145&lt;&gt;""), HYPERLINK("#'" &amp; C145 &amp; "'!" &amp; J145, J145), "")</f>
        <v>0</v>
      </c>
    </row>
    <row r="146" spans="2:2">
      <c r="B146" s="21">
        <f>IF(AND(C146&lt;&gt;"", J146&lt;&gt;""), HYPERLINK("#'" &amp; C146 &amp; "'!" &amp; J146, J146), "")</f>
        <v>0</v>
      </c>
    </row>
    <row r="147" spans="2:2">
      <c r="B147" s="21">
        <f>IF(AND(C147&lt;&gt;"", J147&lt;&gt;""), HYPERLINK("#'" &amp; C147 &amp; "'!" &amp; J147, J147), "")</f>
        <v>0</v>
      </c>
    </row>
    <row r="148" spans="2:2">
      <c r="B148" s="21">
        <f>IF(AND(C148&lt;&gt;"", J148&lt;&gt;""), HYPERLINK("#'" &amp; C148 &amp; "'!" &amp; J148, J148), "")</f>
        <v>0</v>
      </c>
    </row>
    <row r="149" spans="2:2">
      <c r="B149" s="21">
        <f>IF(AND(C149&lt;&gt;"", J149&lt;&gt;""), HYPERLINK("#'" &amp; C149 &amp; "'!" &amp; J149, J149), "")</f>
        <v>0</v>
      </c>
    </row>
    <row r="150" spans="2:2">
      <c r="B150" s="21">
        <f>IF(AND(C150&lt;&gt;"", J150&lt;&gt;""), HYPERLINK("#'" &amp; C150 &amp; "'!" &amp; J150, J150), "")</f>
        <v>0</v>
      </c>
    </row>
    <row r="151" spans="2:2">
      <c r="B151" s="21">
        <f>IF(AND(C151&lt;&gt;"", J151&lt;&gt;""), HYPERLINK("#'" &amp; C151 &amp; "'!" &amp; J151, J151), "")</f>
        <v>0</v>
      </c>
    </row>
    <row r="152" spans="2:2">
      <c r="B152" s="21">
        <f>IF(AND(C152&lt;&gt;"", J152&lt;&gt;""), HYPERLINK("#'" &amp; C152 &amp; "'!" &amp; J152, J152), "")</f>
        <v>0</v>
      </c>
    </row>
    <row r="153" spans="2:2">
      <c r="B153" s="21">
        <f>IF(AND(C153&lt;&gt;"", J153&lt;&gt;""), HYPERLINK("#'" &amp; C153 &amp; "'!" &amp; J153, J153), "")</f>
        <v>0</v>
      </c>
    </row>
    <row r="154" spans="2:2">
      <c r="B154" s="21">
        <f>IF(AND(C154&lt;&gt;"", J154&lt;&gt;""), HYPERLINK("#'" &amp; C154 &amp; "'!" &amp; J154, J154), "")</f>
        <v>0</v>
      </c>
    </row>
    <row r="155" spans="2:2">
      <c r="B155" s="21">
        <f>IF(AND(C155&lt;&gt;"", J155&lt;&gt;""), HYPERLINK("#'" &amp; C155 &amp; "'!" &amp; J155, J155), "")</f>
        <v>0</v>
      </c>
    </row>
    <row r="156" spans="2:2">
      <c r="B156" s="21">
        <f>IF(AND(C156&lt;&gt;"", J156&lt;&gt;""), HYPERLINK("#'" &amp; C156 &amp; "'!" &amp; J156, J156), "")</f>
        <v>0</v>
      </c>
    </row>
    <row r="157" spans="2:2">
      <c r="B157" s="21">
        <f>IF(AND(C157&lt;&gt;"", J157&lt;&gt;""), HYPERLINK("#'" &amp; C157 &amp; "'!" &amp; J157, J157), "")</f>
        <v>0</v>
      </c>
    </row>
    <row r="158" spans="2:2">
      <c r="B158" s="21">
        <f>IF(AND(C158&lt;&gt;"", J158&lt;&gt;""), HYPERLINK("#'" &amp; C158 &amp; "'!" &amp; J158, J158), "")</f>
        <v>0</v>
      </c>
    </row>
    <row r="159" spans="2:2">
      <c r="B159" s="21">
        <f>IF(AND(C159&lt;&gt;"", J159&lt;&gt;""), HYPERLINK("#'" &amp; C159 &amp; "'!" &amp; J159, J159), "")</f>
        <v>0</v>
      </c>
    </row>
    <row r="160" spans="2:2">
      <c r="B160" s="21">
        <f>IF(AND(C160&lt;&gt;"", J160&lt;&gt;""), HYPERLINK("#'" &amp; C160 &amp; "'!" &amp; J160, J160), "")</f>
        <v>0</v>
      </c>
    </row>
    <row r="161" spans="2:2">
      <c r="B161" s="21">
        <f>IF(AND(C161&lt;&gt;"", J161&lt;&gt;""), HYPERLINK("#'" &amp; C161 &amp; "'!" &amp; J161, J161), "")</f>
        <v>0</v>
      </c>
    </row>
    <row r="162" spans="2:2">
      <c r="B162" s="21">
        <f>IF(AND(C162&lt;&gt;"", J162&lt;&gt;""), HYPERLINK("#'" &amp; C162 &amp; "'!" &amp; J162, J162), "")</f>
        <v>0</v>
      </c>
    </row>
    <row r="163" spans="2:2">
      <c r="B163" s="21">
        <f>IF(AND(C163&lt;&gt;"", J163&lt;&gt;""), HYPERLINK("#'" &amp; C163 &amp; "'!" &amp; J163, J163), "")</f>
        <v>0</v>
      </c>
    </row>
    <row r="164" spans="2:2">
      <c r="B164" s="21">
        <f>IF(AND(C164&lt;&gt;"", J164&lt;&gt;""), HYPERLINK("#'" &amp; C164 &amp; "'!" &amp; J164, J164), "")</f>
        <v>0</v>
      </c>
    </row>
    <row r="165" spans="2:2">
      <c r="B165" s="21">
        <f>IF(AND(C165&lt;&gt;"", J165&lt;&gt;""), HYPERLINK("#'" &amp; C165 &amp; "'!" &amp; J165, J165), "")</f>
        <v>0</v>
      </c>
    </row>
    <row r="166" spans="2:2">
      <c r="B166" s="21">
        <f>IF(AND(C166&lt;&gt;"", J166&lt;&gt;""), HYPERLINK("#'" &amp; C166 &amp; "'!" &amp; J166, J166), "")</f>
        <v>0</v>
      </c>
    </row>
    <row r="167" spans="2:2">
      <c r="B167" s="21">
        <f>IF(AND(C167&lt;&gt;"", J167&lt;&gt;""), HYPERLINK("#'" &amp; C167 &amp; "'!" &amp; J167, J167), "")</f>
        <v>0</v>
      </c>
    </row>
    <row r="168" spans="2:2">
      <c r="B168" s="21">
        <f>IF(AND(C168&lt;&gt;"", J168&lt;&gt;""), HYPERLINK("#'" &amp; C168 &amp; "'!" &amp; J168, J168), "")</f>
        <v>0</v>
      </c>
    </row>
    <row r="169" spans="2:2">
      <c r="B169" s="21">
        <f>IF(AND(C169&lt;&gt;"", J169&lt;&gt;""), HYPERLINK("#'" &amp; C169 &amp; "'!" &amp; J169, J169), "")</f>
        <v>0</v>
      </c>
    </row>
    <row r="170" spans="2:2">
      <c r="B170" s="21">
        <f>IF(AND(C170&lt;&gt;"", J170&lt;&gt;""), HYPERLINK("#'" &amp; C170 &amp; "'!" &amp; J170, J170), "")</f>
        <v>0</v>
      </c>
    </row>
    <row r="171" spans="2:2">
      <c r="B171" s="21">
        <f>IF(AND(C171&lt;&gt;"", J171&lt;&gt;""), HYPERLINK("#'" &amp; C171 &amp; "'!" &amp; J171, J171), "")</f>
        <v>0</v>
      </c>
    </row>
    <row r="172" spans="2:2">
      <c r="B172" s="21">
        <f>IF(AND(C172&lt;&gt;"", J172&lt;&gt;""), HYPERLINK("#'" &amp; C172 &amp; "'!" &amp; J172, J172), "")</f>
        <v>0</v>
      </c>
    </row>
    <row r="173" spans="2:2">
      <c r="B173" s="21">
        <f>IF(AND(C173&lt;&gt;"", J173&lt;&gt;""), HYPERLINK("#'" &amp; C173 &amp; "'!" &amp; J173, J173), "")</f>
        <v>0</v>
      </c>
    </row>
    <row r="174" spans="2:2">
      <c r="B174" s="21">
        <f>IF(AND(C174&lt;&gt;"", J174&lt;&gt;""), HYPERLINK("#'" &amp; C174 &amp; "'!" &amp; J174, J174), "")</f>
        <v>0</v>
      </c>
    </row>
    <row r="175" spans="2:2">
      <c r="B175" s="21">
        <f>IF(AND(C175&lt;&gt;"", J175&lt;&gt;""), HYPERLINK("#'" &amp; C175 &amp; "'!" &amp; J175, J175), "")</f>
        <v>0</v>
      </c>
    </row>
    <row r="176" spans="2:2">
      <c r="B176" s="21">
        <f>IF(AND(C176&lt;&gt;"", J176&lt;&gt;""), HYPERLINK("#'" &amp; C176 &amp; "'!" &amp; J176, J176), "")</f>
        <v>0</v>
      </c>
    </row>
    <row r="177" spans="2:2">
      <c r="B177" s="21">
        <f>IF(AND(C177&lt;&gt;"", J177&lt;&gt;""), HYPERLINK("#'" &amp; C177 &amp; "'!" &amp; J177, J177), "")</f>
        <v>0</v>
      </c>
    </row>
    <row r="178" spans="2:2">
      <c r="B178" s="21">
        <f>IF(AND(C178&lt;&gt;"", J178&lt;&gt;""), HYPERLINK("#'" &amp; C178 &amp; "'!" &amp; J178, J178), "")</f>
        <v>0</v>
      </c>
    </row>
    <row r="179" spans="2:2">
      <c r="B179" s="21">
        <f>IF(AND(C179&lt;&gt;"", J179&lt;&gt;""), HYPERLINK("#'" &amp; C179 &amp; "'!" &amp; J179, J179), "")</f>
        <v>0</v>
      </c>
    </row>
    <row r="180" spans="2:2">
      <c r="B180" s="21">
        <f>IF(AND(C180&lt;&gt;"", J180&lt;&gt;""), HYPERLINK("#'" &amp; C180 &amp; "'!" &amp; J180, J180), "")</f>
        <v>0</v>
      </c>
    </row>
    <row r="181" spans="2:2">
      <c r="B181" s="21">
        <f>IF(AND(C181&lt;&gt;"", J181&lt;&gt;""), HYPERLINK("#'" &amp; C181 &amp; "'!" &amp; J181, J181), "")</f>
        <v>0</v>
      </c>
    </row>
    <row r="182" spans="2:2">
      <c r="B182" s="21">
        <f>IF(AND(C182&lt;&gt;"", J182&lt;&gt;""), HYPERLINK("#'" &amp; C182 &amp; "'!" &amp; J182, J182), "")</f>
        <v>0</v>
      </c>
    </row>
    <row r="183" spans="2:2">
      <c r="B183" s="21">
        <f>IF(AND(C183&lt;&gt;"", J183&lt;&gt;""), HYPERLINK("#'" &amp; C183 &amp; "'!" &amp; J183, J183), "")</f>
        <v>0</v>
      </c>
    </row>
    <row r="184" spans="2:2">
      <c r="B184" s="21">
        <f>IF(AND(C184&lt;&gt;"", J184&lt;&gt;""), HYPERLINK("#'" &amp; C184 &amp; "'!" &amp; J184, J184), "")</f>
        <v>0</v>
      </c>
    </row>
    <row r="185" spans="2:2">
      <c r="B185" s="21">
        <f>IF(AND(C185&lt;&gt;"", J185&lt;&gt;""), HYPERLINK("#'" &amp; C185 &amp; "'!" &amp; J185, J185), "")</f>
        <v>0</v>
      </c>
    </row>
    <row r="186" spans="2:2">
      <c r="B186" s="21">
        <f>IF(AND(C186&lt;&gt;"", J186&lt;&gt;""), HYPERLINK("#'" &amp; C186 &amp; "'!" &amp; J186, J186), "")</f>
        <v>0</v>
      </c>
    </row>
    <row r="187" spans="2:2">
      <c r="B187" s="21">
        <f>IF(AND(C187&lt;&gt;"", J187&lt;&gt;""), HYPERLINK("#'" &amp; C187 &amp; "'!" &amp; J187, J187), "")</f>
        <v>0</v>
      </c>
    </row>
    <row r="188" spans="2:2">
      <c r="B188" s="21">
        <f>IF(AND(C188&lt;&gt;"", J188&lt;&gt;""), HYPERLINK("#'" &amp; C188 &amp; "'!" &amp; J188, J188), "")</f>
        <v>0</v>
      </c>
    </row>
    <row r="189" spans="2:2">
      <c r="B189" s="21">
        <f>IF(AND(C189&lt;&gt;"", J189&lt;&gt;""), HYPERLINK("#'" &amp; C189 &amp; "'!" &amp; J189, J189), "")</f>
        <v>0</v>
      </c>
    </row>
    <row r="190" spans="2:2">
      <c r="B190" s="21">
        <f>IF(AND(C190&lt;&gt;"", J190&lt;&gt;""), HYPERLINK("#'" &amp; C190 &amp; "'!" &amp; J190, J190), "")</f>
        <v>0</v>
      </c>
    </row>
    <row r="191" spans="2:2">
      <c r="B191" s="21">
        <f>IF(AND(C191&lt;&gt;"", J191&lt;&gt;""), HYPERLINK("#'" &amp; C191 &amp; "'!" &amp; J191, J191), "")</f>
        <v>0</v>
      </c>
    </row>
    <row r="192" spans="2:2">
      <c r="B192" s="21">
        <f>IF(AND(C192&lt;&gt;"", J192&lt;&gt;""), HYPERLINK("#'" &amp; C192 &amp; "'!" &amp; J192, J192), "")</f>
        <v>0</v>
      </c>
    </row>
    <row r="193" spans="2:2">
      <c r="B193" s="21">
        <f>IF(AND(C193&lt;&gt;"", J193&lt;&gt;""), HYPERLINK("#'" &amp; C193 &amp; "'!" &amp; J193, J193), "")</f>
        <v>0</v>
      </c>
    </row>
    <row r="194" spans="2:2">
      <c r="B194" s="21">
        <f>IF(AND(C194&lt;&gt;"", J194&lt;&gt;""), HYPERLINK("#'" &amp; C194 &amp; "'!" &amp; J194, J194), "")</f>
        <v>0</v>
      </c>
    </row>
    <row r="195" spans="2:2">
      <c r="B195" s="21">
        <f>IF(AND(C195&lt;&gt;"", J195&lt;&gt;""), HYPERLINK("#'" &amp; C195 &amp; "'!" &amp; J195, J195), "")</f>
        <v>0</v>
      </c>
    </row>
    <row r="196" spans="2:2">
      <c r="B196" s="21">
        <f>IF(AND(C196&lt;&gt;"", J196&lt;&gt;""), HYPERLINK("#'" &amp; C196 &amp; "'!" &amp; J196, J196), "")</f>
        <v>0</v>
      </c>
    </row>
    <row r="197" spans="2:2">
      <c r="B197" s="21">
        <f>IF(AND(C197&lt;&gt;"", J197&lt;&gt;""), HYPERLINK("#'" &amp; C197 &amp; "'!" &amp; J197, J197), "")</f>
        <v>0</v>
      </c>
    </row>
    <row r="198" spans="2:2">
      <c r="B198" s="21">
        <f>IF(AND(C198&lt;&gt;"", J198&lt;&gt;""), HYPERLINK("#'" &amp; C198 &amp; "'!" &amp; J198, J198), "")</f>
        <v>0</v>
      </c>
    </row>
    <row r="199" spans="2:2">
      <c r="B199" s="21">
        <f>IF(AND(C199&lt;&gt;"", J199&lt;&gt;""), HYPERLINK("#'" &amp; C199 &amp; "'!" &amp; J199, J199), "")</f>
        <v>0</v>
      </c>
    </row>
    <row r="200" spans="2:2">
      <c r="B200" s="21">
        <f>IF(AND(C200&lt;&gt;"", J200&lt;&gt;""), HYPERLINK("#'" &amp; C200 &amp; "'!" &amp; J200, J200), "")</f>
        <v>0</v>
      </c>
    </row>
    <row r="201" spans="2:2">
      <c r="B201" s="21">
        <f>IF(AND(C201&lt;&gt;"", J201&lt;&gt;""), HYPERLINK("#'" &amp; C201 &amp; "'!" &amp; J201, J201), "")</f>
        <v>0</v>
      </c>
    </row>
    <row r="202" spans="2:2">
      <c r="B202" s="21">
        <f>IF(AND(C202&lt;&gt;"", J202&lt;&gt;""), HYPERLINK("#'" &amp; C202 &amp; "'!" &amp; J202, J202), "")</f>
        <v>0</v>
      </c>
    </row>
    <row r="203" spans="2:2">
      <c r="B203" s="21">
        <f>IF(AND(C203&lt;&gt;"", J203&lt;&gt;""), HYPERLINK("#'" &amp; C203 &amp; "'!" &amp; J203, J203), "")</f>
        <v>0</v>
      </c>
    </row>
    <row r="204" spans="2:2">
      <c r="B204" s="21">
        <f>IF(AND(C204&lt;&gt;"", J204&lt;&gt;""), HYPERLINK("#'" &amp; C204 &amp; "'!" &amp; J204, J204), "")</f>
        <v>0</v>
      </c>
    </row>
    <row r="205" spans="2:2">
      <c r="B205" s="21">
        <f>IF(AND(C205&lt;&gt;"", J205&lt;&gt;""), HYPERLINK("#'" &amp; C205 &amp; "'!" &amp; J205, J205), "")</f>
        <v>0</v>
      </c>
    </row>
    <row r="206" spans="2:2">
      <c r="B206" s="21">
        <f>IF(AND(C206&lt;&gt;"", J206&lt;&gt;""), HYPERLINK("#'" &amp; C206 &amp; "'!" &amp; J206, J206), "")</f>
        <v>0</v>
      </c>
    </row>
    <row r="207" spans="2:2">
      <c r="B207" s="21">
        <f>IF(AND(C207&lt;&gt;"", J207&lt;&gt;""), HYPERLINK("#'" &amp; C207 &amp; "'!" &amp; J207, J207), "")</f>
        <v>0</v>
      </c>
    </row>
    <row r="208" spans="2:2">
      <c r="B208" s="21">
        <f>IF(AND(C208&lt;&gt;"", J208&lt;&gt;""), HYPERLINK("#'" &amp; C208 &amp; "'!" &amp; J208, J208), "")</f>
        <v>0</v>
      </c>
    </row>
    <row r="209" spans="2:2">
      <c r="B209" s="21">
        <f>IF(AND(C209&lt;&gt;"", J209&lt;&gt;""), HYPERLINK("#'" &amp; C209 &amp; "'!" &amp; J209, J209), "")</f>
        <v>0</v>
      </c>
    </row>
    <row r="210" spans="2:2">
      <c r="B210" s="21">
        <f>IF(AND(C210&lt;&gt;"", J210&lt;&gt;""), HYPERLINK("#'" &amp; C210 &amp; "'!" &amp; J210, J210), "")</f>
        <v>0</v>
      </c>
    </row>
    <row r="211" spans="2:2">
      <c r="B211" s="21">
        <f>IF(AND(C211&lt;&gt;"", J211&lt;&gt;""), HYPERLINK("#'" &amp; C211 &amp; "'!" &amp; J211, J211), "")</f>
        <v>0</v>
      </c>
    </row>
    <row r="212" spans="2:2">
      <c r="B212" s="21">
        <f>IF(AND(C212&lt;&gt;"", J212&lt;&gt;""), HYPERLINK("#'" &amp; C212 &amp; "'!" &amp; J212, J212), "")</f>
        <v>0</v>
      </c>
    </row>
    <row r="213" spans="2:2">
      <c r="B213" s="21">
        <f>IF(AND(C213&lt;&gt;"", J213&lt;&gt;""), HYPERLINK("#'" &amp; C213 &amp; "'!" &amp; J213, J213), "")</f>
        <v>0</v>
      </c>
    </row>
    <row r="214" spans="2:2">
      <c r="B214" s="21">
        <f>IF(AND(C214&lt;&gt;"", J214&lt;&gt;""), HYPERLINK("#'" &amp; C214 &amp; "'!" &amp; J214, J214), "")</f>
        <v>0</v>
      </c>
    </row>
    <row r="215" spans="2:2">
      <c r="B215" s="21">
        <f>IF(AND(C215&lt;&gt;"", J215&lt;&gt;""), HYPERLINK("#'" &amp; C215 &amp; "'!" &amp; J215, J215), "")</f>
        <v>0</v>
      </c>
    </row>
    <row r="216" spans="2:2">
      <c r="B216" s="21">
        <f>IF(AND(C216&lt;&gt;"", J216&lt;&gt;""), HYPERLINK("#'" &amp; C216 &amp; "'!" &amp; J216, J216), "")</f>
        <v>0</v>
      </c>
    </row>
    <row r="217" spans="2:2">
      <c r="B217" s="21">
        <f>IF(AND(C217&lt;&gt;"", J217&lt;&gt;""), HYPERLINK("#'" &amp; C217 &amp; "'!" &amp; J217, J217), "")</f>
        <v>0</v>
      </c>
    </row>
    <row r="218" spans="2:2">
      <c r="B218" s="21">
        <f>IF(AND(C218&lt;&gt;"", J218&lt;&gt;""), HYPERLINK("#'" &amp; C218 &amp; "'!" &amp; J218, J218), "")</f>
        <v>0</v>
      </c>
    </row>
    <row r="219" spans="2:2">
      <c r="B219" s="21">
        <f>IF(AND(C219&lt;&gt;"", J219&lt;&gt;""), HYPERLINK("#'" &amp; C219 &amp; "'!" &amp; J219, J219), "")</f>
        <v>0</v>
      </c>
    </row>
    <row r="220" spans="2:2">
      <c r="B220" s="21">
        <f>IF(AND(C220&lt;&gt;"", J220&lt;&gt;""), HYPERLINK("#'" &amp; C220 &amp; "'!" &amp; J220, J220), "")</f>
        <v>0</v>
      </c>
    </row>
    <row r="221" spans="2:2">
      <c r="B221" s="21">
        <f>IF(AND(C221&lt;&gt;"", J221&lt;&gt;""), HYPERLINK("#'" &amp; C221 &amp; "'!" &amp; J221, J221), "")</f>
        <v>0</v>
      </c>
    </row>
    <row r="222" spans="2:2">
      <c r="B222" s="21">
        <f>IF(AND(C222&lt;&gt;"", J222&lt;&gt;""), HYPERLINK("#'" &amp; C222 &amp; "'!" &amp; J222, J222), "")</f>
        <v>0</v>
      </c>
    </row>
    <row r="223" spans="2:2">
      <c r="B223" s="21">
        <f>IF(AND(C223&lt;&gt;"", J223&lt;&gt;""), HYPERLINK("#'" &amp; C223 &amp; "'!" &amp; J223, J223), "")</f>
        <v>0</v>
      </c>
    </row>
    <row r="224" spans="2:2">
      <c r="B224" s="21">
        <f>IF(AND(C224&lt;&gt;"", J224&lt;&gt;""), HYPERLINK("#'" &amp; C224 &amp; "'!" &amp; J224, J224), "")</f>
        <v>0</v>
      </c>
    </row>
    <row r="225" spans="2:2">
      <c r="B225" s="21">
        <f>IF(AND(C225&lt;&gt;"", J225&lt;&gt;""), HYPERLINK("#'" &amp; C225 &amp; "'!" &amp; J225, J225), "")</f>
        <v>0</v>
      </c>
    </row>
    <row r="226" spans="2:2">
      <c r="B226" s="21">
        <f>IF(AND(C226&lt;&gt;"", J226&lt;&gt;""), HYPERLINK("#'" &amp; C226 &amp; "'!" &amp; J226, J226), "")</f>
        <v>0</v>
      </c>
    </row>
    <row r="227" spans="2:2">
      <c r="B227" s="21">
        <f>IF(AND(C227&lt;&gt;"", J227&lt;&gt;""), HYPERLINK("#'" &amp; C227 &amp; "'!" &amp; J227, J227), "")</f>
        <v>0</v>
      </c>
    </row>
    <row r="228" spans="2:2">
      <c r="B228" s="21">
        <f>IF(AND(C228&lt;&gt;"", J228&lt;&gt;""), HYPERLINK("#'" &amp; C228 &amp; "'!" &amp; J228, J228), "")</f>
        <v>0</v>
      </c>
    </row>
    <row r="229" spans="2:2">
      <c r="B229" s="21">
        <f>IF(AND(C229&lt;&gt;"", J229&lt;&gt;""), HYPERLINK("#'" &amp; C229 &amp; "'!" &amp; J229, J229), "")</f>
        <v>0</v>
      </c>
    </row>
    <row r="230" spans="2:2">
      <c r="B230" s="21">
        <f>IF(AND(C230&lt;&gt;"", J230&lt;&gt;""), HYPERLINK("#'" &amp; C230 &amp; "'!" &amp; J230, J230), "")</f>
        <v>0</v>
      </c>
    </row>
    <row r="231" spans="2:2">
      <c r="B231" s="21">
        <f>IF(AND(C231&lt;&gt;"", J231&lt;&gt;""), HYPERLINK("#'" &amp; C231 &amp; "'!" &amp; J231, J231), "")</f>
        <v>0</v>
      </c>
    </row>
    <row r="232" spans="2:2">
      <c r="B232" s="21">
        <f>IF(AND(C232&lt;&gt;"", J232&lt;&gt;""), HYPERLINK("#'" &amp; C232 &amp; "'!" &amp; J232, J232), "")</f>
        <v>0</v>
      </c>
    </row>
    <row r="233" spans="2:2">
      <c r="B233" s="21">
        <f>IF(AND(C233&lt;&gt;"", J233&lt;&gt;""), HYPERLINK("#'" &amp; C233 &amp; "'!" &amp; J233, J233), "")</f>
        <v>0</v>
      </c>
    </row>
    <row r="234" spans="2:2">
      <c r="B234" s="21">
        <f>IF(AND(C234&lt;&gt;"", J234&lt;&gt;""), HYPERLINK("#'" &amp; C234 &amp; "'!" &amp; J234, J234), "")</f>
        <v>0</v>
      </c>
    </row>
    <row r="235" spans="2:2">
      <c r="B235" s="21">
        <f>IF(AND(C235&lt;&gt;"", J235&lt;&gt;""), HYPERLINK("#'" &amp; C235 &amp; "'!" &amp; J235, J235), "")</f>
        <v>0</v>
      </c>
    </row>
    <row r="236" spans="2:2">
      <c r="B236" s="21">
        <f>IF(AND(C236&lt;&gt;"", J236&lt;&gt;""), HYPERLINK("#'" &amp; C236 &amp; "'!" &amp; J236, J236), "")</f>
        <v>0</v>
      </c>
    </row>
    <row r="237" spans="2:2">
      <c r="B237" s="21">
        <f>IF(AND(C237&lt;&gt;"", J237&lt;&gt;""), HYPERLINK("#'" &amp; C237 &amp; "'!" &amp; J237, J237), "")</f>
        <v>0</v>
      </c>
    </row>
    <row r="238" spans="2:2">
      <c r="B238" s="21">
        <f>IF(AND(C238&lt;&gt;"", J238&lt;&gt;""), HYPERLINK("#'" &amp; C238 &amp; "'!" &amp; J238, J238), "")</f>
        <v>0</v>
      </c>
    </row>
    <row r="239" spans="2:2">
      <c r="B239" s="21">
        <f>IF(AND(C239&lt;&gt;"", J239&lt;&gt;""), HYPERLINK("#'" &amp; C239 &amp; "'!" &amp; J239, J239), "")</f>
        <v>0</v>
      </c>
    </row>
    <row r="240" spans="2:2">
      <c r="B240" s="21">
        <f>IF(AND(C240&lt;&gt;"", J240&lt;&gt;""), HYPERLINK("#'" &amp; C240 &amp; "'!" &amp; J240, J240), "")</f>
        <v>0</v>
      </c>
    </row>
    <row r="241" spans="2:2">
      <c r="B241" s="21">
        <f>IF(AND(C241&lt;&gt;"", J241&lt;&gt;""), HYPERLINK("#'" &amp; C241 &amp; "'!" &amp; J241, J241), "")</f>
        <v>0</v>
      </c>
    </row>
    <row r="242" spans="2:2">
      <c r="B242" s="21">
        <f>IF(AND(C242&lt;&gt;"", J242&lt;&gt;""), HYPERLINK("#'" &amp; C242 &amp; "'!" &amp; J242, J242), "")</f>
        <v>0</v>
      </c>
    </row>
    <row r="243" spans="2:2">
      <c r="B243" s="21">
        <f>IF(AND(C243&lt;&gt;"", J243&lt;&gt;""), HYPERLINK("#'" &amp; C243 &amp; "'!" &amp; J243, J243), "")</f>
        <v>0</v>
      </c>
    </row>
    <row r="244" spans="2:2">
      <c r="B244" s="21">
        <f>IF(AND(C244&lt;&gt;"", J244&lt;&gt;""), HYPERLINK("#'" &amp; C244 &amp; "'!" &amp; J244, J244), "")</f>
        <v>0</v>
      </c>
    </row>
    <row r="245" spans="2:2">
      <c r="B245" s="21">
        <f>IF(AND(C245&lt;&gt;"", J245&lt;&gt;""), HYPERLINK("#'" &amp; C245 &amp; "'!" &amp; J245, J245), "")</f>
        <v>0</v>
      </c>
    </row>
    <row r="246" spans="2:2">
      <c r="B246" s="21">
        <f>IF(AND(C246&lt;&gt;"", J246&lt;&gt;""), HYPERLINK("#'" &amp; C246 &amp; "'!" &amp; J246, J246), "")</f>
        <v>0</v>
      </c>
    </row>
    <row r="247" spans="2:2">
      <c r="B247" s="21">
        <f>IF(AND(C247&lt;&gt;"", J247&lt;&gt;""), HYPERLINK("#'" &amp; C247 &amp; "'!" &amp; J247, J247), "")</f>
        <v>0</v>
      </c>
    </row>
    <row r="248" spans="2:2">
      <c r="B248" s="21">
        <f>IF(AND(C248&lt;&gt;"", J248&lt;&gt;""), HYPERLINK("#'" &amp; C248 &amp; "'!" &amp; J248, J248), "")</f>
        <v>0</v>
      </c>
    </row>
    <row r="249" spans="2:2">
      <c r="B249" s="21">
        <f>IF(AND(C249&lt;&gt;"", J249&lt;&gt;""), HYPERLINK("#'" &amp; C249 &amp; "'!" &amp; J249, J249), "")</f>
        <v>0</v>
      </c>
    </row>
    <row r="250" spans="2:2">
      <c r="B250" s="21">
        <f>IF(AND(C250&lt;&gt;"", J250&lt;&gt;""), HYPERLINK("#'" &amp; C250 &amp; "'!" &amp; J250, J250), "")</f>
        <v>0</v>
      </c>
    </row>
    <row r="251" spans="2:2">
      <c r="B251" s="21">
        <f>IF(AND(C251&lt;&gt;"", J251&lt;&gt;""), HYPERLINK("#'" &amp; C251 &amp; "'!" &amp; J251, J251), "")</f>
        <v>0</v>
      </c>
    </row>
    <row r="252" spans="2:2">
      <c r="B252" s="21">
        <f>IF(AND(C252&lt;&gt;"", J252&lt;&gt;""), HYPERLINK("#'" &amp; C252 &amp; "'!" &amp; J252, J252), "")</f>
        <v>0</v>
      </c>
    </row>
    <row r="253" spans="2:2">
      <c r="B253" s="21">
        <f>IF(AND(C253&lt;&gt;"", J253&lt;&gt;""), HYPERLINK("#'" &amp; C253 &amp; "'!" &amp; J253, J253), "")</f>
        <v>0</v>
      </c>
    </row>
    <row r="254" spans="2:2">
      <c r="B254" s="21">
        <f>IF(AND(C254&lt;&gt;"", J254&lt;&gt;""), HYPERLINK("#'" &amp; C254 &amp; "'!" &amp; J254, J254), "")</f>
        <v>0</v>
      </c>
    </row>
    <row r="255" spans="2:2">
      <c r="B255" s="21">
        <f>IF(AND(C255&lt;&gt;"", J255&lt;&gt;""), HYPERLINK("#'" &amp; C255 &amp; "'!" &amp; J255, J255), "")</f>
        <v>0</v>
      </c>
    </row>
    <row r="256" spans="2:2">
      <c r="B256" s="21">
        <f>IF(AND(C256&lt;&gt;"", J256&lt;&gt;""), HYPERLINK("#'" &amp; C256 &amp; "'!" &amp; J256, J256), "")</f>
        <v>0</v>
      </c>
    </row>
    <row r="257" spans="2:2">
      <c r="B257" s="21">
        <f>IF(AND(C257&lt;&gt;"", J257&lt;&gt;""), HYPERLINK("#'" &amp; C257 &amp; "'!" &amp; J257, J257), "")</f>
        <v>0</v>
      </c>
    </row>
    <row r="258" spans="2:2">
      <c r="B258" s="21">
        <f>IF(AND(C258&lt;&gt;"", J258&lt;&gt;""), HYPERLINK("#'" &amp; C258 &amp; "'!" &amp; J258, J258), "")</f>
        <v>0</v>
      </c>
    </row>
    <row r="259" spans="2:2">
      <c r="B259" s="21">
        <f>IF(AND(C259&lt;&gt;"", J259&lt;&gt;""), HYPERLINK("#'" &amp; C259 &amp; "'!" &amp; J259, J259), "")</f>
        <v>0</v>
      </c>
    </row>
    <row r="260" spans="2:2">
      <c r="B260" s="21">
        <f>IF(AND(C260&lt;&gt;"", J260&lt;&gt;""), HYPERLINK("#'" &amp; C260 &amp; "'!" &amp; J260, J260), "")</f>
        <v>0</v>
      </c>
    </row>
    <row r="261" spans="2:2">
      <c r="B261" s="21">
        <f>IF(AND(C261&lt;&gt;"", J261&lt;&gt;""), HYPERLINK("#'" &amp; C261 &amp; "'!" &amp; J261, J261), "")</f>
        <v>0</v>
      </c>
    </row>
    <row r="262" spans="2:2">
      <c r="B262" s="21">
        <f>IF(AND(C262&lt;&gt;"", J262&lt;&gt;""), HYPERLINK("#'" &amp; C262 &amp; "'!" &amp; J262, J262), "")</f>
        <v>0</v>
      </c>
    </row>
    <row r="263" spans="2:2">
      <c r="B263" s="21">
        <f>IF(AND(C263&lt;&gt;"", J263&lt;&gt;""), HYPERLINK("#'" &amp; C263 &amp; "'!" &amp; J263, J263), "")</f>
        <v>0</v>
      </c>
    </row>
    <row r="264" spans="2:2">
      <c r="B264" s="21">
        <f>IF(AND(C264&lt;&gt;"", J264&lt;&gt;""), HYPERLINK("#'" &amp; C264 &amp; "'!" &amp; J264, J264), "")</f>
        <v>0</v>
      </c>
    </row>
    <row r="265" spans="2:2">
      <c r="B265" s="21">
        <f>IF(AND(C265&lt;&gt;"", J265&lt;&gt;""), HYPERLINK("#'" &amp; C265 &amp; "'!" &amp; J265, J265), "")</f>
        <v>0</v>
      </c>
    </row>
    <row r="266" spans="2:2">
      <c r="B266" s="21">
        <f>IF(AND(C266&lt;&gt;"", J266&lt;&gt;""), HYPERLINK("#'" &amp; C266 &amp; "'!" &amp; J266, J266), "")</f>
        <v>0</v>
      </c>
    </row>
    <row r="267" spans="2:2">
      <c r="B267" s="21">
        <f>IF(AND(C267&lt;&gt;"", J267&lt;&gt;""), HYPERLINK("#'" &amp; C267 &amp; "'!" &amp; J267, J267), "")</f>
        <v>0</v>
      </c>
    </row>
    <row r="268" spans="2:2">
      <c r="B268" s="21">
        <f>IF(AND(C268&lt;&gt;"", J268&lt;&gt;""), HYPERLINK("#'" &amp; C268 &amp; "'!" &amp; J268, J268), "")</f>
        <v>0</v>
      </c>
    </row>
    <row r="269" spans="2:2">
      <c r="B269" s="21">
        <f>IF(AND(C269&lt;&gt;"", J269&lt;&gt;""), HYPERLINK("#'" &amp; C269 &amp; "'!" &amp; J269, J269), "")</f>
        <v>0</v>
      </c>
    </row>
    <row r="270" spans="2:2">
      <c r="B270" s="21">
        <f>IF(AND(C270&lt;&gt;"", J270&lt;&gt;""), HYPERLINK("#'" &amp; C270 &amp; "'!" &amp; J270, J270), "")</f>
        <v>0</v>
      </c>
    </row>
    <row r="271" spans="2:2">
      <c r="B271" s="21">
        <f>IF(AND(C271&lt;&gt;"", J271&lt;&gt;""), HYPERLINK("#'" &amp; C271 &amp; "'!" &amp; J271, J271), "")</f>
        <v>0</v>
      </c>
    </row>
    <row r="272" spans="2:2">
      <c r="B272" s="21">
        <f>IF(AND(C272&lt;&gt;"", J272&lt;&gt;""), HYPERLINK("#'" &amp; C272 &amp; "'!" &amp; J272, J272), "")</f>
        <v>0</v>
      </c>
    </row>
    <row r="273" spans="2:2">
      <c r="B273" s="21">
        <f>IF(AND(C273&lt;&gt;"", J273&lt;&gt;""), HYPERLINK("#'" &amp; C273 &amp; "'!" &amp; J273, J273), "")</f>
        <v>0</v>
      </c>
    </row>
    <row r="274" spans="2:2">
      <c r="B274" s="21">
        <f>IF(AND(C274&lt;&gt;"", J274&lt;&gt;""), HYPERLINK("#'" &amp; C274 &amp; "'!" &amp; J274, J274), "")</f>
        <v>0</v>
      </c>
    </row>
    <row r="275" spans="2:2">
      <c r="B275" s="21">
        <f>IF(AND(C275&lt;&gt;"", J275&lt;&gt;""), HYPERLINK("#'" &amp; C275 &amp; "'!" &amp; J275, J275), "")</f>
        <v>0</v>
      </c>
    </row>
    <row r="276" spans="2:2">
      <c r="B276" s="21">
        <f>IF(AND(C276&lt;&gt;"", J276&lt;&gt;""), HYPERLINK("#'" &amp; C276 &amp; "'!" &amp; J276, J276), "")</f>
        <v>0</v>
      </c>
    </row>
    <row r="277" spans="2:2">
      <c r="B277" s="21">
        <f>IF(AND(C277&lt;&gt;"", J277&lt;&gt;""), HYPERLINK("#'" &amp; C277 &amp; "'!" &amp; J277, J277), "")</f>
        <v>0</v>
      </c>
    </row>
    <row r="278" spans="2:2">
      <c r="B278" s="21">
        <f>IF(AND(C278&lt;&gt;"", J278&lt;&gt;""), HYPERLINK("#'" &amp; C278 &amp; "'!" &amp; J278, J278), "")</f>
        <v>0</v>
      </c>
    </row>
    <row r="279" spans="2:2">
      <c r="B279" s="21">
        <f>IF(AND(C279&lt;&gt;"", J279&lt;&gt;""), HYPERLINK("#'" &amp; C279 &amp; "'!" &amp; J279, J279), "")</f>
        <v>0</v>
      </c>
    </row>
    <row r="280" spans="2:2">
      <c r="B280" s="21">
        <f>IF(AND(C280&lt;&gt;"", J280&lt;&gt;""), HYPERLINK("#'" &amp; C280 &amp; "'!" &amp; J280, J280), "")</f>
        <v>0</v>
      </c>
    </row>
    <row r="281" spans="2:2">
      <c r="B281" s="21">
        <f>IF(AND(C281&lt;&gt;"", J281&lt;&gt;""), HYPERLINK("#'" &amp; C281 &amp; "'!" &amp; J281, J281), "")</f>
        <v>0</v>
      </c>
    </row>
    <row r="282" spans="2:2">
      <c r="B282" s="21">
        <f>IF(AND(C282&lt;&gt;"", J282&lt;&gt;""), HYPERLINK("#'" &amp; C282 &amp; "'!" &amp; J282, J282), "")</f>
        <v>0</v>
      </c>
    </row>
    <row r="283" spans="2:2">
      <c r="B283" s="21">
        <f>IF(AND(C283&lt;&gt;"", J283&lt;&gt;""), HYPERLINK("#'" &amp; C283 &amp; "'!" &amp; J283, J283), "")</f>
        <v>0</v>
      </c>
    </row>
    <row r="284" spans="2:2">
      <c r="B284" s="21">
        <f>IF(AND(C284&lt;&gt;"", J284&lt;&gt;""), HYPERLINK("#'" &amp; C284 &amp; "'!" &amp; J284, J284), "")</f>
        <v>0</v>
      </c>
    </row>
    <row r="285" spans="2:2">
      <c r="B285" s="21">
        <f>IF(AND(C285&lt;&gt;"", J285&lt;&gt;""), HYPERLINK("#'" &amp; C285 &amp; "'!" &amp; J285, J285), "")</f>
        <v>0</v>
      </c>
    </row>
    <row r="286" spans="2:2">
      <c r="B286" s="21">
        <f>IF(AND(C286&lt;&gt;"", J286&lt;&gt;""), HYPERLINK("#'" &amp; C286 &amp; "'!" &amp; J286, J286), "")</f>
        <v>0</v>
      </c>
    </row>
    <row r="287" spans="2:2">
      <c r="B287" s="21">
        <f>IF(AND(C287&lt;&gt;"", J287&lt;&gt;""), HYPERLINK("#'" &amp; C287 &amp; "'!" &amp; J287, J287), "")</f>
        <v>0</v>
      </c>
    </row>
    <row r="288" spans="2:2">
      <c r="B288" s="21">
        <f>IF(AND(C288&lt;&gt;"", J288&lt;&gt;""), HYPERLINK("#'" &amp; C288 &amp; "'!" &amp; J288, J288), "")</f>
        <v>0</v>
      </c>
    </row>
    <row r="289" spans="2:2">
      <c r="B289" s="21">
        <f>IF(AND(C289&lt;&gt;"", J289&lt;&gt;""), HYPERLINK("#'" &amp; C289 &amp; "'!" &amp; J289, J289), "")</f>
        <v>0</v>
      </c>
    </row>
    <row r="290" spans="2:2">
      <c r="B290" s="21">
        <f>IF(AND(C290&lt;&gt;"", J290&lt;&gt;""), HYPERLINK("#'" &amp; C290 &amp; "'!" &amp; J290, J290), "")</f>
        <v>0</v>
      </c>
    </row>
    <row r="291" spans="2:2">
      <c r="B291" s="21">
        <f>IF(AND(C291&lt;&gt;"", J291&lt;&gt;""), HYPERLINK("#'" &amp; C291 &amp; "'!" &amp; J291, J291), "")</f>
        <v>0</v>
      </c>
    </row>
    <row r="292" spans="2:2">
      <c r="B292" s="21">
        <f>IF(AND(C292&lt;&gt;"", J292&lt;&gt;""), HYPERLINK("#'" &amp; C292 &amp; "'!" &amp; J292, J292), "")</f>
        <v>0</v>
      </c>
    </row>
    <row r="293" spans="2:2">
      <c r="B293" s="21">
        <f>IF(AND(C293&lt;&gt;"", J293&lt;&gt;""), HYPERLINK("#'" &amp; C293 &amp; "'!" &amp; J293, J293), "")</f>
        <v>0</v>
      </c>
    </row>
    <row r="294" spans="2:2">
      <c r="B294" s="21">
        <f>IF(AND(C294&lt;&gt;"", J294&lt;&gt;""), HYPERLINK("#'" &amp; C294 &amp; "'!" &amp; J294, J294), "")</f>
        <v>0</v>
      </c>
    </row>
    <row r="295" spans="2:2">
      <c r="B295" s="21">
        <f>IF(AND(C295&lt;&gt;"", J295&lt;&gt;""), HYPERLINK("#'" &amp; C295 &amp; "'!" &amp; J295, J295), "")</f>
        <v>0</v>
      </c>
    </row>
    <row r="296" spans="2:2">
      <c r="B296" s="21">
        <f>IF(AND(C296&lt;&gt;"", J296&lt;&gt;""), HYPERLINK("#'" &amp; C296 &amp; "'!" &amp; J296, J296), "")</f>
        <v>0</v>
      </c>
    </row>
    <row r="297" spans="2:2">
      <c r="B297" s="21">
        <f>IF(AND(C297&lt;&gt;"", J297&lt;&gt;""), HYPERLINK("#'" &amp; C297 &amp; "'!" &amp; J297, J297), "")</f>
        <v>0</v>
      </c>
    </row>
    <row r="298" spans="2:2">
      <c r="B298" s="21">
        <f>IF(AND(C298&lt;&gt;"", J298&lt;&gt;""), HYPERLINK("#'" &amp; C298 &amp; "'!" &amp; J298, J298), "")</f>
        <v>0</v>
      </c>
    </row>
    <row r="299" spans="2:2">
      <c r="B299" s="21">
        <f>IF(AND(C299&lt;&gt;"", J299&lt;&gt;""), HYPERLINK("#'" &amp; C299 &amp; "'!" &amp; J299, J299), "")</f>
        <v>0</v>
      </c>
    </row>
    <row r="300" spans="2:2">
      <c r="B300" s="21">
        <f>IF(AND(C300&lt;&gt;"", J300&lt;&gt;""), HYPERLINK("#'" &amp; C300 &amp; "'!" &amp; J300, J300), "")</f>
        <v>0</v>
      </c>
    </row>
    <row r="301" spans="2:2">
      <c r="B301" s="21">
        <f>IF(AND(C301&lt;&gt;"", J301&lt;&gt;""), HYPERLINK("#'" &amp; C301 &amp; "'!" &amp; J301, J301), "")</f>
        <v>0</v>
      </c>
    </row>
    <row r="302" spans="2:2">
      <c r="B302" s="21">
        <f>IF(AND(C302&lt;&gt;"", J302&lt;&gt;""), HYPERLINK("#'" &amp; C302 &amp; "'!" &amp; J302, J302), "")</f>
        <v>0</v>
      </c>
    </row>
    <row r="303" spans="2:2">
      <c r="B303" s="21">
        <f>IF(AND(C303&lt;&gt;"", J303&lt;&gt;""), HYPERLINK("#'" &amp; C303 &amp; "'!" &amp; J303, J303), "")</f>
        <v>0</v>
      </c>
    </row>
    <row r="304" spans="2:2">
      <c r="B304" s="21">
        <f>IF(AND(C304&lt;&gt;"", J304&lt;&gt;""), HYPERLINK("#'" &amp; C304 &amp; "'!" &amp; J304, J304), "")</f>
        <v>0</v>
      </c>
    </row>
    <row r="305" spans="2:2">
      <c r="B305" s="21">
        <f>IF(AND(C305&lt;&gt;"", J305&lt;&gt;""), HYPERLINK("#'" &amp; C305 &amp; "'!" &amp; J305, J305), "")</f>
        <v>0</v>
      </c>
    </row>
    <row r="306" spans="2:2">
      <c r="B306" s="21">
        <f>IF(AND(C306&lt;&gt;"", J306&lt;&gt;""), HYPERLINK("#'" &amp; C306 &amp; "'!" &amp; J306, J306), "")</f>
        <v>0</v>
      </c>
    </row>
    <row r="307" spans="2:2">
      <c r="B307" s="21">
        <f>IF(AND(C307&lt;&gt;"", J307&lt;&gt;""), HYPERLINK("#'" &amp; C307 &amp; "'!" &amp; J307, J307), "")</f>
        <v>0</v>
      </c>
    </row>
    <row r="308" spans="2:2">
      <c r="B308" s="21">
        <f>IF(AND(C308&lt;&gt;"", J308&lt;&gt;""), HYPERLINK("#'" &amp; C308 &amp; "'!" &amp; J308, J308), "")</f>
        <v>0</v>
      </c>
    </row>
    <row r="309" spans="2:2">
      <c r="B309" s="21">
        <f>IF(AND(C309&lt;&gt;"", J309&lt;&gt;""), HYPERLINK("#'" &amp; C309 &amp; "'!" &amp; J309, J309), "")</f>
        <v>0</v>
      </c>
    </row>
    <row r="310" spans="2:2">
      <c r="B310" s="21">
        <f>IF(AND(C310&lt;&gt;"", J310&lt;&gt;""), HYPERLINK("#'" &amp; C310 &amp; "'!" &amp; J310, J310), "")</f>
        <v>0</v>
      </c>
    </row>
    <row r="311" spans="2:2">
      <c r="B311" s="21">
        <f>IF(AND(C311&lt;&gt;"", J311&lt;&gt;""), HYPERLINK("#'" &amp; C311 &amp; "'!" &amp; J311, J311), "")</f>
        <v>0</v>
      </c>
    </row>
    <row r="312" spans="2:2">
      <c r="B312" s="21">
        <f>IF(AND(C312&lt;&gt;"", J312&lt;&gt;""), HYPERLINK("#'" &amp; C312 &amp; "'!" &amp; J312, J312), "")</f>
        <v>0</v>
      </c>
    </row>
    <row r="313" spans="2:2">
      <c r="B313" s="21">
        <f>IF(AND(C313&lt;&gt;"", J313&lt;&gt;""), HYPERLINK("#'" &amp; C313 &amp; "'!" &amp; J313, J313), "")</f>
        <v>0</v>
      </c>
    </row>
    <row r="314" spans="2:2">
      <c r="B314" s="21">
        <f>IF(AND(C314&lt;&gt;"", J314&lt;&gt;""), HYPERLINK("#'" &amp; C314 &amp; "'!" &amp; J314, J314), "")</f>
        <v>0</v>
      </c>
    </row>
    <row r="315" spans="2:2">
      <c r="B315" s="21">
        <f>IF(AND(C315&lt;&gt;"", J315&lt;&gt;""), HYPERLINK("#'" &amp; C315 &amp; "'!" &amp; J315, J315), "")</f>
        <v>0</v>
      </c>
    </row>
    <row r="316" spans="2:2">
      <c r="B316" s="21">
        <f>IF(AND(C316&lt;&gt;"", J316&lt;&gt;""), HYPERLINK("#'" &amp; C316 &amp; "'!" &amp; J316, J316), "")</f>
        <v>0</v>
      </c>
    </row>
    <row r="317" spans="2:2">
      <c r="B317" s="21">
        <f>IF(AND(C317&lt;&gt;"", J317&lt;&gt;""), HYPERLINK("#'" &amp; C317 &amp; "'!" &amp; J317, J317), "")</f>
        <v>0</v>
      </c>
    </row>
    <row r="318" spans="2:2">
      <c r="B318" s="21">
        <f>IF(AND(C318&lt;&gt;"", J318&lt;&gt;""), HYPERLINK("#'" &amp; C318 &amp; "'!" &amp; J318, J318), "")</f>
        <v>0</v>
      </c>
    </row>
    <row r="319" spans="2:2">
      <c r="B319" s="21">
        <f>IF(AND(C319&lt;&gt;"", J319&lt;&gt;""), HYPERLINK("#'" &amp; C319 &amp; "'!" &amp; J319, J319), "")</f>
        <v>0</v>
      </c>
    </row>
    <row r="320" spans="2:2">
      <c r="B320" s="21">
        <f>IF(AND(C320&lt;&gt;"", J320&lt;&gt;""), HYPERLINK("#'" &amp; C320 &amp; "'!" &amp; J320, J320), "")</f>
        <v>0</v>
      </c>
    </row>
    <row r="321" spans="2:2">
      <c r="B321" s="21">
        <f>IF(AND(C321&lt;&gt;"", J321&lt;&gt;""), HYPERLINK("#'" &amp; C321 &amp; "'!" &amp; J321, J321), "")</f>
        <v>0</v>
      </c>
    </row>
    <row r="322" spans="2:2">
      <c r="B322" s="21">
        <f>IF(AND(C322&lt;&gt;"", J322&lt;&gt;""), HYPERLINK("#'" &amp; C322 &amp; "'!" &amp; J322, J322), "")</f>
        <v>0</v>
      </c>
    </row>
    <row r="323" spans="2:2">
      <c r="B323" s="21">
        <f>IF(AND(C323&lt;&gt;"", J323&lt;&gt;""), HYPERLINK("#'" &amp; C323 &amp; "'!" &amp; J323, J323), "")</f>
        <v>0</v>
      </c>
    </row>
    <row r="324" spans="2:2">
      <c r="B324" s="21">
        <f>IF(AND(C324&lt;&gt;"", J324&lt;&gt;""), HYPERLINK("#'" &amp; C324 &amp; "'!" &amp; J324, J324), "")</f>
        <v>0</v>
      </c>
    </row>
    <row r="325" spans="2:2">
      <c r="B325" s="21">
        <f>IF(AND(C325&lt;&gt;"", J325&lt;&gt;""), HYPERLINK("#'" &amp; C325 &amp; "'!" &amp; J325, J325), "")</f>
        <v>0</v>
      </c>
    </row>
    <row r="326" spans="2:2">
      <c r="B326" s="21">
        <f>IF(AND(C326&lt;&gt;"", J326&lt;&gt;""), HYPERLINK("#'" &amp; C326 &amp; "'!" &amp; J326, J326), "")</f>
        <v>0</v>
      </c>
    </row>
    <row r="327" spans="2:2">
      <c r="B327" s="21">
        <f>IF(AND(C327&lt;&gt;"", J327&lt;&gt;""), HYPERLINK("#'" &amp; C327 &amp; "'!" &amp; J327, J327), "")</f>
        <v>0</v>
      </c>
    </row>
    <row r="328" spans="2:2">
      <c r="B328" s="21">
        <f>IF(AND(C328&lt;&gt;"", J328&lt;&gt;""), HYPERLINK("#'" &amp; C328 &amp; "'!" &amp; J328, J328), "")</f>
        <v>0</v>
      </c>
    </row>
    <row r="329" spans="2:2">
      <c r="B329" s="21">
        <f>IF(AND(C329&lt;&gt;"", J329&lt;&gt;""), HYPERLINK("#'" &amp; C329 &amp; "'!" &amp; J329, J329), "")</f>
        <v>0</v>
      </c>
    </row>
    <row r="330" spans="2:2">
      <c r="B330" s="21">
        <f>IF(AND(C330&lt;&gt;"", J330&lt;&gt;""), HYPERLINK("#'" &amp; C330 &amp; "'!" &amp; J330, J330), "")</f>
        <v>0</v>
      </c>
    </row>
    <row r="331" spans="2:2">
      <c r="B331" s="21">
        <f>IF(AND(C331&lt;&gt;"", J331&lt;&gt;""), HYPERLINK("#'" &amp; C331 &amp; "'!" &amp; J331, J331), "")</f>
        <v>0</v>
      </c>
    </row>
    <row r="332" spans="2:2">
      <c r="B332" s="21">
        <f>IF(AND(C332&lt;&gt;"", J332&lt;&gt;""), HYPERLINK("#'" &amp; C332 &amp; "'!" &amp; J332, J332), "")</f>
        <v>0</v>
      </c>
    </row>
    <row r="333" spans="2:2">
      <c r="B333" s="21">
        <f>IF(AND(C333&lt;&gt;"", J333&lt;&gt;""), HYPERLINK("#'" &amp; C333 &amp; "'!" &amp; J333, J333), "")</f>
        <v>0</v>
      </c>
    </row>
    <row r="334" spans="2:2">
      <c r="B334" s="21">
        <f>IF(AND(C334&lt;&gt;"", J334&lt;&gt;""), HYPERLINK("#'" &amp; C334 &amp; "'!" &amp; J334, J334), "")</f>
        <v>0</v>
      </c>
    </row>
    <row r="335" spans="2:2">
      <c r="B335" s="21">
        <f>IF(AND(C335&lt;&gt;"", J335&lt;&gt;""), HYPERLINK("#'" &amp; C335 &amp; "'!" &amp; J335, J335), "")</f>
        <v>0</v>
      </c>
    </row>
    <row r="336" spans="2:2">
      <c r="B336" s="21">
        <f>IF(AND(C336&lt;&gt;"", J336&lt;&gt;""), HYPERLINK("#'" &amp; C336 &amp; "'!" &amp; J336, J336), "")</f>
        <v>0</v>
      </c>
    </row>
    <row r="337" spans="2:2">
      <c r="B337" s="21">
        <f>IF(AND(C337&lt;&gt;"", J337&lt;&gt;""), HYPERLINK("#'" &amp; C337 &amp; "'!" &amp; J337, J337), "")</f>
        <v>0</v>
      </c>
    </row>
    <row r="338" spans="2:2">
      <c r="B338" s="21">
        <f>IF(AND(C338&lt;&gt;"", J338&lt;&gt;""), HYPERLINK("#'" &amp; C338 &amp; "'!" &amp; J338, J338), "")</f>
        <v>0</v>
      </c>
    </row>
    <row r="339" spans="2:2">
      <c r="B339" s="21">
        <f>IF(AND(C339&lt;&gt;"", J339&lt;&gt;""), HYPERLINK("#'" &amp; C339 &amp; "'!" &amp; J339, J339), "")</f>
        <v>0</v>
      </c>
    </row>
    <row r="340" spans="2:2">
      <c r="B340" s="21">
        <f>IF(AND(C340&lt;&gt;"", J340&lt;&gt;""), HYPERLINK("#'" &amp; C340 &amp; "'!" &amp; J340, J340), "")</f>
        <v>0</v>
      </c>
    </row>
    <row r="341" spans="2:2">
      <c r="B341" s="21">
        <f>IF(AND(C341&lt;&gt;"", J341&lt;&gt;""), HYPERLINK("#'" &amp; C341 &amp; "'!" &amp; J341, J341), "")</f>
        <v>0</v>
      </c>
    </row>
    <row r="342" spans="2:2">
      <c r="B342" s="21">
        <f>IF(AND(C342&lt;&gt;"", J342&lt;&gt;""), HYPERLINK("#'" &amp; C342 &amp; "'!" &amp; J342, J342), "")</f>
        <v>0</v>
      </c>
    </row>
    <row r="343" spans="2:2">
      <c r="B343" s="21">
        <f>IF(AND(C343&lt;&gt;"", J343&lt;&gt;""), HYPERLINK("#'" &amp; C343 &amp; "'!" &amp; J343, J343), "")</f>
        <v>0</v>
      </c>
    </row>
    <row r="344" spans="2:2">
      <c r="B344" s="21">
        <f>IF(AND(C344&lt;&gt;"", J344&lt;&gt;""), HYPERLINK("#'" &amp; C344 &amp; "'!" &amp; J344, J344), "")</f>
        <v>0</v>
      </c>
    </row>
    <row r="345" spans="2:2">
      <c r="B345" s="21">
        <f>IF(AND(C345&lt;&gt;"", J345&lt;&gt;""), HYPERLINK("#'" &amp; C345 &amp; "'!" &amp; J345, J345), "")</f>
        <v>0</v>
      </c>
    </row>
    <row r="346" spans="2:2">
      <c r="B346" s="21">
        <f>IF(AND(C346&lt;&gt;"", J346&lt;&gt;""), HYPERLINK("#'" &amp; C346 &amp; "'!" &amp; J346, J346), "")</f>
        <v>0</v>
      </c>
    </row>
    <row r="347" spans="2:2">
      <c r="B347" s="21">
        <f>IF(AND(C347&lt;&gt;"", J347&lt;&gt;""), HYPERLINK("#'" &amp; C347 &amp; "'!" &amp; J347, J347), "")</f>
        <v>0</v>
      </c>
    </row>
    <row r="348" spans="2:2">
      <c r="B348" s="21">
        <f>IF(AND(C348&lt;&gt;"", J348&lt;&gt;""), HYPERLINK("#'" &amp; C348 &amp; "'!" &amp; J348, J348), "")</f>
        <v>0</v>
      </c>
    </row>
    <row r="349" spans="2:2">
      <c r="B349" s="21">
        <f>IF(AND(C349&lt;&gt;"", J349&lt;&gt;""), HYPERLINK("#'" &amp; C349 &amp; "'!" &amp; J349, J349), "")</f>
        <v>0</v>
      </c>
    </row>
    <row r="350" spans="2:2">
      <c r="B350" s="21">
        <f>IF(AND(C350&lt;&gt;"", J350&lt;&gt;""), HYPERLINK("#'" &amp; C350 &amp; "'!" &amp; J350, J350), "")</f>
        <v>0</v>
      </c>
    </row>
    <row r="351" spans="2:2">
      <c r="B351" s="21">
        <f>IF(AND(C351&lt;&gt;"", J351&lt;&gt;""), HYPERLINK("#'" &amp; C351 &amp; "'!" &amp; J351, J351), "")</f>
        <v>0</v>
      </c>
    </row>
    <row r="352" spans="2:2">
      <c r="B352" s="21">
        <f>IF(AND(C352&lt;&gt;"", J352&lt;&gt;""), HYPERLINK("#'" &amp; C352 &amp; "'!" &amp; J352, J352), "")</f>
        <v>0</v>
      </c>
    </row>
    <row r="353" spans="2:2">
      <c r="B353" s="21">
        <f>IF(AND(C353&lt;&gt;"", J353&lt;&gt;""), HYPERLINK("#'" &amp; C353 &amp; "'!" &amp; J353, J353), "")</f>
        <v>0</v>
      </c>
    </row>
    <row r="354" spans="2:2">
      <c r="B354" s="21">
        <f>IF(AND(C354&lt;&gt;"", J354&lt;&gt;""), HYPERLINK("#'" &amp; C354 &amp; "'!" &amp; J354, J354), "")</f>
        <v>0</v>
      </c>
    </row>
    <row r="355" spans="2:2">
      <c r="B355" s="21">
        <f>IF(AND(C355&lt;&gt;"", J355&lt;&gt;""), HYPERLINK("#'" &amp; C355 &amp; "'!" &amp; J355, J355), "")</f>
        <v>0</v>
      </c>
    </row>
    <row r="356" spans="2:2">
      <c r="B356" s="21">
        <f>IF(AND(C356&lt;&gt;"", J356&lt;&gt;""), HYPERLINK("#'" &amp; C356 &amp; "'!" &amp; J356, J356), "")</f>
        <v>0</v>
      </c>
    </row>
    <row r="357" spans="2:2">
      <c r="B357" s="21">
        <f>IF(AND(C357&lt;&gt;"", J357&lt;&gt;""), HYPERLINK("#'" &amp; C357 &amp; "'!" &amp; J357, J357), "")</f>
        <v>0</v>
      </c>
    </row>
    <row r="358" spans="2:2">
      <c r="B358" s="21">
        <f>IF(AND(C358&lt;&gt;"", J358&lt;&gt;""), HYPERLINK("#'" &amp; C358 &amp; "'!" &amp; J358, J358), "")</f>
        <v>0</v>
      </c>
    </row>
    <row r="359" spans="2:2">
      <c r="B359" s="21">
        <f>IF(AND(C359&lt;&gt;"", J359&lt;&gt;""), HYPERLINK("#'" &amp; C359 &amp; "'!" &amp; J359, J359), "")</f>
        <v>0</v>
      </c>
    </row>
    <row r="360" spans="2:2">
      <c r="B360" s="21">
        <f>IF(AND(C360&lt;&gt;"", J360&lt;&gt;""), HYPERLINK("#'" &amp; C360 &amp; "'!" &amp; J360, J360), "")</f>
        <v>0</v>
      </c>
    </row>
    <row r="361" spans="2:2">
      <c r="B361" s="21">
        <f>IF(AND(C361&lt;&gt;"", J361&lt;&gt;""), HYPERLINK("#'" &amp; C361 &amp; "'!" &amp; J361, J361), "")</f>
        <v>0</v>
      </c>
    </row>
    <row r="362" spans="2:2">
      <c r="B362" s="21">
        <f>IF(AND(C362&lt;&gt;"", J362&lt;&gt;""), HYPERLINK("#'" &amp; C362 &amp; "'!" &amp; J362, J362), "")</f>
        <v>0</v>
      </c>
    </row>
    <row r="363" spans="2:2">
      <c r="B363" s="21">
        <f>IF(AND(C363&lt;&gt;"", J363&lt;&gt;""), HYPERLINK("#'" &amp; C363 &amp; "'!" &amp; J363, J363), "")</f>
        <v>0</v>
      </c>
    </row>
    <row r="364" spans="2:2">
      <c r="B364" s="21">
        <f>IF(AND(C364&lt;&gt;"", J364&lt;&gt;""), HYPERLINK("#'" &amp; C364 &amp; "'!" &amp; J364, J364), "")</f>
        <v>0</v>
      </c>
    </row>
    <row r="365" spans="2:2">
      <c r="B365" s="21">
        <f>IF(AND(C365&lt;&gt;"", J365&lt;&gt;""), HYPERLINK("#'" &amp; C365 &amp; "'!" &amp; J365, J365), "")</f>
        <v>0</v>
      </c>
    </row>
    <row r="366" spans="2:2">
      <c r="B366" s="21">
        <f>IF(AND(C366&lt;&gt;"", J366&lt;&gt;""), HYPERLINK("#'" &amp; C366 &amp; "'!" &amp; J366, J366), "")</f>
        <v>0</v>
      </c>
    </row>
    <row r="367" spans="2:2">
      <c r="B367" s="21">
        <f>IF(AND(C367&lt;&gt;"", J367&lt;&gt;""), HYPERLINK("#'" &amp; C367 &amp; "'!" &amp; J367, J367), "")</f>
        <v>0</v>
      </c>
    </row>
    <row r="368" spans="2:2">
      <c r="B368" s="21">
        <f>IF(AND(C368&lt;&gt;"", J368&lt;&gt;""), HYPERLINK("#'" &amp; C368 &amp; "'!" &amp; J368, J368), "")</f>
        <v>0</v>
      </c>
    </row>
    <row r="369" spans="2:2">
      <c r="B369" s="21">
        <f>IF(AND(C369&lt;&gt;"", J369&lt;&gt;""), HYPERLINK("#'" &amp; C369 &amp; "'!" &amp; J369, J369), "")</f>
        <v>0</v>
      </c>
    </row>
    <row r="370" spans="2:2">
      <c r="B370" s="21">
        <f>IF(AND(C370&lt;&gt;"", J370&lt;&gt;""), HYPERLINK("#'" &amp; C370 &amp; "'!" &amp; J370, J370), "")</f>
        <v>0</v>
      </c>
    </row>
    <row r="371" spans="2:2">
      <c r="B371" s="21">
        <f>IF(AND(C371&lt;&gt;"", J371&lt;&gt;""), HYPERLINK("#'" &amp; C371 &amp; "'!" &amp; J371, J371), "")</f>
        <v>0</v>
      </c>
    </row>
    <row r="372" spans="2:2">
      <c r="B372" s="21">
        <f>IF(AND(C372&lt;&gt;"", J372&lt;&gt;""), HYPERLINK("#'" &amp; C372 &amp; "'!" &amp; J372, J372), "")</f>
        <v>0</v>
      </c>
    </row>
    <row r="373" spans="2:2">
      <c r="B373" s="21">
        <f>IF(AND(C373&lt;&gt;"", J373&lt;&gt;""), HYPERLINK("#'" &amp; C373 &amp; "'!" &amp; J373, J373), "")</f>
        <v>0</v>
      </c>
    </row>
    <row r="374" spans="2:2">
      <c r="B374" s="21">
        <f>IF(AND(C374&lt;&gt;"", J374&lt;&gt;""), HYPERLINK("#'" &amp; C374 &amp; "'!" &amp; J374, J374), "")</f>
        <v>0</v>
      </c>
    </row>
    <row r="375" spans="2:2">
      <c r="B375" s="21">
        <f>IF(AND(C375&lt;&gt;"", J375&lt;&gt;""), HYPERLINK("#'" &amp; C375 &amp; "'!" &amp; J375, J375), "")</f>
        <v>0</v>
      </c>
    </row>
    <row r="376" spans="2:2">
      <c r="B376" s="21">
        <f>IF(AND(C376&lt;&gt;"", J376&lt;&gt;""), HYPERLINK("#'" &amp; C376 &amp; "'!" &amp; J376, J376), "")</f>
        <v>0</v>
      </c>
    </row>
    <row r="377" spans="2:2">
      <c r="B377" s="21">
        <f>IF(AND(C377&lt;&gt;"", J377&lt;&gt;""), HYPERLINK("#'" &amp; C377 &amp; "'!" &amp; J377, J377), "")</f>
        <v>0</v>
      </c>
    </row>
    <row r="378" spans="2:2">
      <c r="B378" s="21">
        <f>IF(AND(C378&lt;&gt;"", J378&lt;&gt;""), HYPERLINK("#'" &amp; C378 &amp; "'!" &amp; J378, J378), "")</f>
        <v>0</v>
      </c>
    </row>
    <row r="379" spans="2:2">
      <c r="B379" s="21">
        <f>IF(AND(C379&lt;&gt;"", J379&lt;&gt;""), HYPERLINK("#'" &amp; C379 &amp; "'!" &amp; J379, J379), "")</f>
        <v>0</v>
      </c>
    </row>
    <row r="380" spans="2:2">
      <c r="B380" s="21">
        <f>IF(AND(C380&lt;&gt;"", J380&lt;&gt;""), HYPERLINK("#'" &amp; C380 &amp; "'!" &amp; J380, J380), "")</f>
        <v>0</v>
      </c>
    </row>
    <row r="381" spans="2:2">
      <c r="B381" s="21">
        <f>IF(AND(C381&lt;&gt;"", J381&lt;&gt;""), HYPERLINK("#'" &amp; C381 &amp; "'!" &amp; J381, J381), "")</f>
        <v>0</v>
      </c>
    </row>
    <row r="382" spans="2:2">
      <c r="B382" s="21">
        <f>IF(AND(C382&lt;&gt;"", J382&lt;&gt;""), HYPERLINK("#'" &amp; C382 &amp; "'!" &amp; J382, J382), "")</f>
        <v>0</v>
      </c>
    </row>
    <row r="383" spans="2:2">
      <c r="B383" s="21">
        <f>IF(AND(C383&lt;&gt;"", J383&lt;&gt;""), HYPERLINK("#'" &amp; C383 &amp; "'!" &amp; J383, J383), "")</f>
        <v>0</v>
      </c>
    </row>
    <row r="384" spans="2:2">
      <c r="B384" s="21">
        <f>IF(AND(C384&lt;&gt;"", J384&lt;&gt;""), HYPERLINK("#'" &amp; C384 &amp; "'!" &amp; J384, J384), "")</f>
        <v>0</v>
      </c>
    </row>
    <row r="385" spans="2:2">
      <c r="B385" s="21">
        <f>IF(AND(C385&lt;&gt;"", J385&lt;&gt;""), HYPERLINK("#'" &amp; C385 &amp; "'!" &amp; J385, J385), "")</f>
        <v>0</v>
      </c>
    </row>
    <row r="386" spans="2:2">
      <c r="B386" s="21">
        <f>IF(AND(C386&lt;&gt;"", J386&lt;&gt;""), HYPERLINK("#'" &amp; C386 &amp; "'!" &amp; J386, J386), "")</f>
        <v>0</v>
      </c>
    </row>
    <row r="387" spans="2:2">
      <c r="B387" s="21">
        <f>IF(AND(C387&lt;&gt;"", J387&lt;&gt;""), HYPERLINK("#'" &amp; C387 &amp; "'!" &amp; J387, J387), "")</f>
        <v>0</v>
      </c>
    </row>
    <row r="388" spans="2:2">
      <c r="B388" s="21">
        <f>IF(AND(C388&lt;&gt;"", J388&lt;&gt;""), HYPERLINK("#'" &amp; C388 &amp; "'!" &amp; J388, J388), "")</f>
        <v>0</v>
      </c>
    </row>
    <row r="389" spans="2:2">
      <c r="B389" s="21">
        <f>IF(AND(C389&lt;&gt;"", J389&lt;&gt;""), HYPERLINK("#'" &amp; C389 &amp; "'!" &amp; J389, J389), "")</f>
        <v>0</v>
      </c>
    </row>
    <row r="390" spans="2:2">
      <c r="B390" s="21">
        <f>IF(AND(C390&lt;&gt;"", J390&lt;&gt;""), HYPERLINK("#'" &amp; C390 &amp; "'!" &amp; J390, J390), "")</f>
        <v>0</v>
      </c>
    </row>
    <row r="391" spans="2:2">
      <c r="B391" s="21">
        <f>IF(AND(C391&lt;&gt;"", J391&lt;&gt;""), HYPERLINK("#'" &amp; C391 &amp; "'!" &amp; J391, J391), "")</f>
        <v>0</v>
      </c>
    </row>
    <row r="392" spans="2:2">
      <c r="B392" s="21">
        <f>IF(AND(C392&lt;&gt;"", J392&lt;&gt;""), HYPERLINK("#'" &amp; C392 &amp; "'!" &amp; J392, J392), "")</f>
        <v>0</v>
      </c>
    </row>
    <row r="393" spans="2:2">
      <c r="B393" s="21">
        <f>IF(AND(C393&lt;&gt;"", J393&lt;&gt;""), HYPERLINK("#'" &amp; C393 &amp; "'!" &amp; J393, J393), "")</f>
        <v>0</v>
      </c>
    </row>
    <row r="394" spans="2:2">
      <c r="B394" s="21">
        <f>IF(AND(C394&lt;&gt;"", J394&lt;&gt;""), HYPERLINK("#'" &amp; C394 &amp; "'!" &amp; J394, J394), "")</f>
        <v>0</v>
      </c>
    </row>
    <row r="395" spans="2:2">
      <c r="B395" s="21">
        <f>IF(AND(C395&lt;&gt;"", J395&lt;&gt;""), HYPERLINK("#'" &amp; C395 &amp; "'!" &amp; J395, J395), "")</f>
        <v>0</v>
      </c>
    </row>
    <row r="396" spans="2:2">
      <c r="B396" s="21">
        <f>IF(AND(C396&lt;&gt;"", J396&lt;&gt;""), HYPERLINK("#'" &amp; C396 &amp; "'!" &amp; J396, J396), "")</f>
        <v>0</v>
      </c>
    </row>
    <row r="397" spans="2:2">
      <c r="B397" s="21">
        <f>IF(AND(C397&lt;&gt;"", J397&lt;&gt;""), HYPERLINK("#'" &amp; C397 &amp; "'!" &amp; J397, J397), "")</f>
        <v>0</v>
      </c>
    </row>
    <row r="398" spans="2:2">
      <c r="B398" s="21">
        <f>IF(AND(C398&lt;&gt;"", J398&lt;&gt;""), HYPERLINK("#'" &amp; C398 &amp; "'!" &amp; J398, J398), "")</f>
        <v>0</v>
      </c>
    </row>
    <row r="399" spans="2:2">
      <c r="B399" s="21">
        <f>IF(AND(C399&lt;&gt;"", J399&lt;&gt;""), HYPERLINK("#'" &amp; C399 &amp; "'!" &amp; J399, J399), "")</f>
        <v>0</v>
      </c>
    </row>
    <row r="400" spans="2:2">
      <c r="B400" s="21">
        <f>IF(AND(C400&lt;&gt;"", J400&lt;&gt;""), HYPERLINK("#'" &amp; C400 &amp; "'!" &amp; J400, J400), "")</f>
        <v>0</v>
      </c>
    </row>
    <row r="401" spans="2:2">
      <c r="B401" s="21">
        <f>IF(AND(C401&lt;&gt;"", J401&lt;&gt;""), HYPERLINK("#'" &amp; C401 &amp; "'!" &amp; J401, J401), "")</f>
        <v>0</v>
      </c>
    </row>
    <row r="402" spans="2:2">
      <c r="B402" s="21">
        <f>IF(AND(C402&lt;&gt;"", J402&lt;&gt;""), HYPERLINK("#'" &amp; C402 &amp; "'!" &amp; J402, J402), "")</f>
        <v>0</v>
      </c>
    </row>
    <row r="403" spans="2:2">
      <c r="B403" s="21">
        <f>IF(AND(C403&lt;&gt;"", J403&lt;&gt;""), HYPERLINK("#'" &amp; C403 &amp; "'!" &amp; J403, J403), "")</f>
        <v>0</v>
      </c>
    </row>
    <row r="404" spans="2:2">
      <c r="B404" s="21">
        <f>IF(AND(C404&lt;&gt;"", J404&lt;&gt;""), HYPERLINK("#'" &amp; C404 &amp; "'!" &amp; J404, J404), "")</f>
        <v>0</v>
      </c>
    </row>
    <row r="405" spans="2:2">
      <c r="B405" s="21">
        <f>IF(AND(C405&lt;&gt;"", J405&lt;&gt;""), HYPERLINK("#'" &amp; C405 &amp; "'!" &amp; J405, J405), "")</f>
        <v>0</v>
      </c>
    </row>
    <row r="406" spans="2:2">
      <c r="B406" s="21">
        <f>IF(AND(C406&lt;&gt;"", J406&lt;&gt;""), HYPERLINK("#'" &amp; C406 &amp; "'!" &amp; J406, J406), "")</f>
        <v>0</v>
      </c>
    </row>
    <row r="407" spans="2:2">
      <c r="B407" s="21">
        <f>IF(AND(C407&lt;&gt;"", J407&lt;&gt;""), HYPERLINK("#'" &amp; C407 &amp; "'!" &amp; J407, J407), "")</f>
        <v>0</v>
      </c>
    </row>
    <row r="408" spans="2:2">
      <c r="B408" s="21">
        <f>IF(AND(C408&lt;&gt;"", J408&lt;&gt;""), HYPERLINK("#'" &amp; C408 &amp; "'!" &amp; J408, J408), "")</f>
        <v>0</v>
      </c>
    </row>
    <row r="409" spans="2:2">
      <c r="B409" s="21">
        <f>IF(AND(C409&lt;&gt;"", J409&lt;&gt;""), HYPERLINK("#'" &amp; C409 &amp; "'!" &amp; J409, J409), "")</f>
        <v>0</v>
      </c>
    </row>
    <row r="410" spans="2:2">
      <c r="B410" s="21">
        <f>IF(AND(C410&lt;&gt;"", J410&lt;&gt;""), HYPERLINK("#'" &amp; C410 &amp; "'!" &amp; J410, J410), "")</f>
        <v>0</v>
      </c>
    </row>
    <row r="411" spans="2:2">
      <c r="B411" s="21">
        <f>IF(AND(C411&lt;&gt;"", J411&lt;&gt;""), HYPERLINK("#'" &amp; C411 &amp; "'!" &amp; J411, J411), "")</f>
        <v>0</v>
      </c>
    </row>
    <row r="412" spans="2:2">
      <c r="B412" s="21">
        <f>IF(AND(C412&lt;&gt;"", J412&lt;&gt;""), HYPERLINK("#'" &amp; C412 &amp; "'!" &amp; J412, J412), "")</f>
        <v>0</v>
      </c>
    </row>
    <row r="413" spans="2:2">
      <c r="B413" s="21">
        <f>IF(AND(C413&lt;&gt;"", J413&lt;&gt;""), HYPERLINK("#'" &amp; C413 &amp; "'!" &amp; J413, J413), "")</f>
        <v>0</v>
      </c>
    </row>
    <row r="414" spans="2:2">
      <c r="B414" s="21">
        <f>IF(AND(C414&lt;&gt;"", J414&lt;&gt;""), HYPERLINK("#'" &amp; C414 &amp; "'!" &amp; J414, J414), "")</f>
        <v>0</v>
      </c>
    </row>
    <row r="415" spans="2:2">
      <c r="B415" s="21">
        <f>IF(AND(C415&lt;&gt;"", J415&lt;&gt;""), HYPERLINK("#'" &amp; C415 &amp; "'!" &amp; J415, J415), "")</f>
        <v>0</v>
      </c>
    </row>
    <row r="416" spans="2:2">
      <c r="B416" s="21">
        <f>IF(AND(C416&lt;&gt;"", J416&lt;&gt;""), HYPERLINK("#'" &amp; C416 &amp; "'!" &amp; J416, J416), "")</f>
        <v>0</v>
      </c>
    </row>
    <row r="417" spans="2:2">
      <c r="B417" s="21">
        <f>IF(AND(C417&lt;&gt;"", J417&lt;&gt;""), HYPERLINK("#'" &amp; C417 &amp; "'!" &amp; J417, J417), "")</f>
        <v>0</v>
      </c>
    </row>
    <row r="418" spans="2:2">
      <c r="B418" s="21">
        <f>IF(AND(C418&lt;&gt;"", J418&lt;&gt;""), HYPERLINK("#'" &amp; C418 &amp; "'!" &amp; J418, J418), "")</f>
        <v>0</v>
      </c>
    </row>
    <row r="419" spans="2:2">
      <c r="B419" s="21">
        <f>IF(AND(C419&lt;&gt;"", J419&lt;&gt;""), HYPERLINK("#'" &amp; C419 &amp; "'!" &amp; J419, J419), "")</f>
        <v>0</v>
      </c>
    </row>
    <row r="420" spans="2:2">
      <c r="B420" s="21">
        <f>IF(AND(C420&lt;&gt;"", J420&lt;&gt;""), HYPERLINK("#'" &amp; C420 &amp; "'!" &amp; J420, J420), "")</f>
        <v>0</v>
      </c>
    </row>
    <row r="421" spans="2:2">
      <c r="B421" s="21">
        <f>IF(AND(C421&lt;&gt;"", J421&lt;&gt;""), HYPERLINK("#'" &amp; C421 &amp; "'!" &amp; J421, J421), "")</f>
        <v>0</v>
      </c>
    </row>
    <row r="422" spans="2:2">
      <c r="B422" s="21">
        <f>IF(AND(C422&lt;&gt;"", J422&lt;&gt;""), HYPERLINK("#'" &amp; C422 &amp; "'!" &amp; J422, J422), "")</f>
        <v>0</v>
      </c>
    </row>
    <row r="423" spans="2:2">
      <c r="B423" s="21">
        <f>IF(AND(C423&lt;&gt;"", J423&lt;&gt;""), HYPERLINK("#'" &amp; C423 &amp; "'!" &amp; J423, J423), "")</f>
        <v>0</v>
      </c>
    </row>
    <row r="424" spans="2:2">
      <c r="B424" s="21">
        <f>IF(AND(C424&lt;&gt;"", J424&lt;&gt;""), HYPERLINK("#'" &amp; C424 &amp; "'!" &amp; J424, J424), "")</f>
        <v>0</v>
      </c>
    </row>
    <row r="425" spans="2:2">
      <c r="B425" s="21">
        <f>IF(AND(C425&lt;&gt;"", J425&lt;&gt;""), HYPERLINK("#'" &amp; C425 &amp; "'!" &amp; J425, J425), "")</f>
        <v>0</v>
      </c>
    </row>
    <row r="426" spans="2:2">
      <c r="B426" s="21">
        <f>IF(AND(C426&lt;&gt;"", J426&lt;&gt;""), HYPERLINK("#'" &amp; C426 &amp; "'!" &amp; J426, J426), "")</f>
        <v>0</v>
      </c>
    </row>
    <row r="427" spans="2:2">
      <c r="B427" s="21">
        <f>IF(AND(C427&lt;&gt;"", J427&lt;&gt;""), HYPERLINK("#'" &amp; C427 &amp; "'!" &amp; J427, J427), "")</f>
        <v>0</v>
      </c>
    </row>
    <row r="428" spans="2:2">
      <c r="B428" s="21">
        <f>IF(AND(C428&lt;&gt;"", J428&lt;&gt;""), HYPERLINK("#'" &amp; C428 &amp; "'!" &amp; J428, J428), "")</f>
        <v>0</v>
      </c>
    </row>
    <row r="429" spans="2:2">
      <c r="B429" s="21">
        <f>IF(AND(C429&lt;&gt;"", J429&lt;&gt;""), HYPERLINK("#'" &amp; C429 &amp; "'!" &amp; J429, J429), "")</f>
        <v>0</v>
      </c>
    </row>
    <row r="430" spans="2:2">
      <c r="B430" s="21">
        <f>IF(AND(C430&lt;&gt;"", J430&lt;&gt;""), HYPERLINK("#'" &amp; C430 &amp; "'!" &amp; J430, J430), "")</f>
        <v>0</v>
      </c>
    </row>
    <row r="431" spans="2:2">
      <c r="B431" s="21">
        <f>IF(AND(C431&lt;&gt;"", J431&lt;&gt;""), HYPERLINK("#'" &amp; C431 &amp; "'!" &amp; J431, J431), "")</f>
        <v>0</v>
      </c>
    </row>
    <row r="432" spans="2:2">
      <c r="B432" s="21">
        <f>IF(AND(C432&lt;&gt;"", J432&lt;&gt;""), HYPERLINK("#'" &amp; C432 &amp; "'!" &amp; J432, J432), "")</f>
        <v>0</v>
      </c>
    </row>
    <row r="433" spans="2:2">
      <c r="B433" s="21">
        <f>IF(AND(C433&lt;&gt;"", J433&lt;&gt;""), HYPERLINK("#'" &amp; C433 &amp; "'!" &amp; J433, J433), "")</f>
        <v>0</v>
      </c>
    </row>
    <row r="434" spans="2:2">
      <c r="B434" s="21">
        <f>IF(AND(C434&lt;&gt;"", J434&lt;&gt;""), HYPERLINK("#'" &amp; C434 &amp; "'!" &amp; J434, J434), "")</f>
        <v>0</v>
      </c>
    </row>
    <row r="435" spans="2:2">
      <c r="B435" s="21">
        <f>IF(AND(C435&lt;&gt;"", J435&lt;&gt;""), HYPERLINK("#'" &amp; C435 &amp; "'!" &amp; J435, J435), "")</f>
        <v>0</v>
      </c>
    </row>
    <row r="436" spans="2:2">
      <c r="B436" s="21">
        <f>IF(AND(C436&lt;&gt;"", J436&lt;&gt;""), HYPERLINK("#'" &amp; C436 &amp; "'!" &amp; J436, J436), "")</f>
        <v>0</v>
      </c>
    </row>
    <row r="437" spans="2:2">
      <c r="B437" s="21">
        <f>IF(AND(C437&lt;&gt;"", J437&lt;&gt;""), HYPERLINK("#'" &amp; C437 &amp; "'!" &amp; J437, J437), "")</f>
        <v>0</v>
      </c>
    </row>
    <row r="438" spans="2:2">
      <c r="B438" s="21">
        <f>IF(AND(C438&lt;&gt;"", J438&lt;&gt;""), HYPERLINK("#'" &amp; C438 &amp; "'!" &amp; J438, J438), "")</f>
        <v>0</v>
      </c>
    </row>
    <row r="439" spans="2:2">
      <c r="B439" s="21">
        <f>IF(AND(C439&lt;&gt;"", J439&lt;&gt;""), HYPERLINK("#'" &amp; C439 &amp; "'!" &amp; J439, J439), "")</f>
        <v>0</v>
      </c>
    </row>
    <row r="440" spans="2:2">
      <c r="B440" s="21">
        <f>IF(AND(C440&lt;&gt;"", J440&lt;&gt;""), HYPERLINK("#'" &amp; C440 &amp; "'!" &amp; J440, J440), "")</f>
        <v>0</v>
      </c>
    </row>
    <row r="441" spans="2:2">
      <c r="B441" s="21">
        <f>IF(AND(C441&lt;&gt;"", J441&lt;&gt;""), HYPERLINK("#'" &amp; C441 &amp; "'!" &amp; J441, J441), "")</f>
        <v>0</v>
      </c>
    </row>
    <row r="442" spans="2:2">
      <c r="B442" s="21">
        <f>IF(AND(C442&lt;&gt;"", J442&lt;&gt;""), HYPERLINK("#'" &amp; C442 &amp; "'!" &amp; J442, J442), "")</f>
        <v>0</v>
      </c>
    </row>
    <row r="443" spans="2:2">
      <c r="B443" s="21">
        <f>IF(AND(C443&lt;&gt;"", J443&lt;&gt;""), HYPERLINK("#'" &amp; C443 &amp; "'!" &amp; J443, J443), "")</f>
        <v>0</v>
      </c>
    </row>
    <row r="444" spans="2:2">
      <c r="B444" s="21">
        <f>IF(AND(C444&lt;&gt;"", J444&lt;&gt;""), HYPERLINK("#'" &amp; C444 &amp; "'!" &amp; J444, J444), "")</f>
        <v>0</v>
      </c>
    </row>
    <row r="445" spans="2:2">
      <c r="B445" s="21">
        <f>IF(AND(C445&lt;&gt;"", J445&lt;&gt;""), HYPERLINK("#'" &amp; C445 &amp; "'!" &amp; J445, J445), "")</f>
        <v>0</v>
      </c>
    </row>
    <row r="446" spans="2:2">
      <c r="B446" s="21">
        <f>IF(AND(C446&lt;&gt;"", J446&lt;&gt;""), HYPERLINK("#'" &amp; C446 &amp; "'!" &amp; J446, J446), "")</f>
        <v>0</v>
      </c>
    </row>
    <row r="447" spans="2:2">
      <c r="B447" s="21">
        <f>IF(AND(C447&lt;&gt;"", J447&lt;&gt;""), HYPERLINK("#'" &amp; C447 &amp; "'!" &amp; J447, J447), "")</f>
        <v>0</v>
      </c>
    </row>
    <row r="448" spans="2:2">
      <c r="B448" s="21">
        <f>IF(AND(C448&lt;&gt;"", J448&lt;&gt;""), HYPERLINK("#'" &amp; C448 &amp; "'!" &amp; J448, J448), "")</f>
        <v>0</v>
      </c>
    </row>
    <row r="449" spans="2:2">
      <c r="B449" s="21">
        <f>IF(AND(C449&lt;&gt;"", J449&lt;&gt;""), HYPERLINK("#'" &amp; C449 &amp; "'!" &amp; J449, J449), "")</f>
        <v>0</v>
      </c>
    </row>
    <row r="450" spans="2:2">
      <c r="B450" s="21">
        <f>IF(AND(C450&lt;&gt;"", J450&lt;&gt;""), HYPERLINK("#'" &amp; C450 &amp; "'!" &amp; J450, J450), "")</f>
        <v>0</v>
      </c>
    </row>
    <row r="451" spans="2:2">
      <c r="B451" s="21">
        <f>IF(AND(C451&lt;&gt;"", J451&lt;&gt;""), HYPERLINK("#'" &amp; C451 &amp; "'!" &amp; J451, J451), "")</f>
        <v>0</v>
      </c>
    </row>
    <row r="452" spans="2:2">
      <c r="B452" s="21">
        <f>IF(AND(C452&lt;&gt;"", J452&lt;&gt;""), HYPERLINK("#'" &amp; C452 &amp; "'!" &amp; J452, J452), "")</f>
        <v>0</v>
      </c>
    </row>
    <row r="453" spans="2:2">
      <c r="B453" s="21">
        <f>IF(AND(C453&lt;&gt;"", J453&lt;&gt;""), HYPERLINK("#'" &amp; C453 &amp; "'!" &amp; J453, J453), "")</f>
        <v>0</v>
      </c>
    </row>
    <row r="454" spans="2:2">
      <c r="B454" s="21">
        <f>IF(AND(C454&lt;&gt;"", J454&lt;&gt;""), HYPERLINK("#'" &amp; C454 &amp; "'!" &amp; J454, J454), "")</f>
        <v>0</v>
      </c>
    </row>
    <row r="455" spans="2:2">
      <c r="B455" s="21">
        <f>IF(AND(C455&lt;&gt;"", J455&lt;&gt;""), HYPERLINK("#'" &amp; C455 &amp; "'!" &amp; J455, J455), "")</f>
        <v>0</v>
      </c>
    </row>
    <row r="456" spans="2:2">
      <c r="B456" s="21">
        <f>IF(AND(C456&lt;&gt;"", J456&lt;&gt;""), HYPERLINK("#'" &amp; C456 &amp; "'!" &amp; J456, J456), "")</f>
        <v>0</v>
      </c>
    </row>
    <row r="457" spans="2:2">
      <c r="B457" s="21">
        <f>IF(AND(C457&lt;&gt;"", J457&lt;&gt;""), HYPERLINK("#'" &amp; C457 &amp; "'!" &amp; J457, J457), "")</f>
        <v>0</v>
      </c>
    </row>
    <row r="458" spans="2:2">
      <c r="B458" s="21">
        <f>IF(AND(C458&lt;&gt;"", J458&lt;&gt;""), HYPERLINK("#'" &amp; C458 &amp; "'!" &amp; J458, J458), "")</f>
        <v>0</v>
      </c>
    </row>
    <row r="459" spans="2:2">
      <c r="B459" s="21">
        <f>IF(AND(C459&lt;&gt;"", J459&lt;&gt;""), HYPERLINK("#'" &amp; C459 &amp; "'!" &amp; J459, J459), "")</f>
        <v>0</v>
      </c>
    </row>
    <row r="460" spans="2:2">
      <c r="B460" s="21">
        <f>IF(AND(C460&lt;&gt;"", J460&lt;&gt;""), HYPERLINK("#'" &amp; C460 &amp; "'!" &amp; J460, J460), "")</f>
        <v>0</v>
      </c>
    </row>
    <row r="461" spans="2:2">
      <c r="B461" s="21">
        <f>IF(AND(C461&lt;&gt;"", J461&lt;&gt;""), HYPERLINK("#'" &amp; C461 &amp; "'!" &amp; J461, J461), "")</f>
        <v>0</v>
      </c>
    </row>
    <row r="462" spans="2:2">
      <c r="B462" s="21">
        <f>IF(AND(C462&lt;&gt;"", J462&lt;&gt;""), HYPERLINK("#'" &amp; C462 &amp; "'!" &amp; J462, J462), "")</f>
        <v>0</v>
      </c>
    </row>
    <row r="463" spans="2:2">
      <c r="B463" s="21">
        <f>IF(AND(C463&lt;&gt;"", J463&lt;&gt;""), HYPERLINK("#'" &amp; C463 &amp; "'!" &amp; J463, J463), "")</f>
        <v>0</v>
      </c>
    </row>
    <row r="464" spans="2:2">
      <c r="B464" s="21">
        <f>IF(AND(C464&lt;&gt;"", J464&lt;&gt;""), HYPERLINK("#'" &amp; C464 &amp; "'!" &amp; J464, J464), "")</f>
        <v>0</v>
      </c>
    </row>
    <row r="465" spans="2:2">
      <c r="B465" s="21">
        <f>IF(AND(C465&lt;&gt;"", J465&lt;&gt;""), HYPERLINK("#'" &amp; C465 &amp; "'!" &amp; J465, J465), "")</f>
        <v>0</v>
      </c>
    </row>
    <row r="466" spans="2:2">
      <c r="B466" s="21">
        <f>IF(AND(C466&lt;&gt;"", J466&lt;&gt;""), HYPERLINK("#'" &amp; C466 &amp; "'!" &amp; J466, J466), "")</f>
        <v>0</v>
      </c>
    </row>
    <row r="467" spans="2:2">
      <c r="B467" s="21">
        <f>IF(AND(C467&lt;&gt;"", J467&lt;&gt;""), HYPERLINK("#'" &amp; C467 &amp; "'!" &amp; J467, J467), "")</f>
        <v>0</v>
      </c>
    </row>
    <row r="468" spans="2:2">
      <c r="B468" s="21">
        <f>IF(AND(C468&lt;&gt;"", J468&lt;&gt;""), HYPERLINK("#'" &amp; C468 &amp; "'!" &amp; J468, J468), "")</f>
        <v>0</v>
      </c>
    </row>
    <row r="469" spans="2:2">
      <c r="B469" s="21">
        <f>IF(AND(C469&lt;&gt;"", J469&lt;&gt;""), HYPERLINK("#'" &amp; C469 &amp; "'!" &amp; J469, J469), "")</f>
        <v>0</v>
      </c>
    </row>
    <row r="470" spans="2:2">
      <c r="B470" s="21">
        <f>IF(AND(C470&lt;&gt;"", J470&lt;&gt;""), HYPERLINK("#'" &amp; C470 &amp; "'!" &amp; J470, J470), "")</f>
        <v>0</v>
      </c>
    </row>
    <row r="471" spans="2:2">
      <c r="B471" s="21">
        <f>IF(AND(C471&lt;&gt;"", J471&lt;&gt;""), HYPERLINK("#'" &amp; C471 &amp; "'!" &amp; J471, J471), "")</f>
        <v>0</v>
      </c>
    </row>
    <row r="472" spans="2:2">
      <c r="B472" s="21">
        <f>IF(AND(C472&lt;&gt;"", J472&lt;&gt;""), HYPERLINK("#'" &amp; C472 &amp; "'!" &amp; J472, J472), "")</f>
        <v>0</v>
      </c>
    </row>
    <row r="473" spans="2:2">
      <c r="B473" s="21">
        <f>IF(AND(C473&lt;&gt;"", J473&lt;&gt;""), HYPERLINK("#'" &amp; C473 &amp; "'!" &amp; J473, J473), "")</f>
        <v>0</v>
      </c>
    </row>
    <row r="474" spans="2:2">
      <c r="B474" s="21">
        <f>IF(AND(C474&lt;&gt;"", J474&lt;&gt;""), HYPERLINK("#'" &amp; C474 &amp; "'!" &amp; J474, J474), "")</f>
        <v>0</v>
      </c>
    </row>
    <row r="475" spans="2:2">
      <c r="B475" s="21">
        <f>IF(AND(C475&lt;&gt;"", J475&lt;&gt;""), HYPERLINK("#'" &amp; C475 &amp; "'!" &amp; J475, J475), "")</f>
        <v>0</v>
      </c>
    </row>
    <row r="476" spans="2:2">
      <c r="B476" s="21">
        <f>IF(AND(C476&lt;&gt;"", J476&lt;&gt;""), HYPERLINK("#'" &amp; C476 &amp; "'!" &amp; J476, J476), "")</f>
        <v>0</v>
      </c>
    </row>
    <row r="477" spans="2:2">
      <c r="B477" s="21">
        <f>IF(AND(C477&lt;&gt;"", J477&lt;&gt;""), HYPERLINK("#'" &amp; C477 &amp; "'!" &amp; J477, J477), "")</f>
        <v>0</v>
      </c>
    </row>
    <row r="478" spans="2:2">
      <c r="B478" s="21">
        <f>IF(AND(C478&lt;&gt;"", J478&lt;&gt;""), HYPERLINK("#'" &amp; C478 &amp; "'!" &amp; J478, J478), "")</f>
        <v>0</v>
      </c>
    </row>
    <row r="479" spans="2:2">
      <c r="B479" s="21">
        <f>IF(AND(C479&lt;&gt;"", J479&lt;&gt;""), HYPERLINK("#'" &amp; C479 &amp; "'!" &amp; J479, J479), "")</f>
        <v>0</v>
      </c>
    </row>
    <row r="480" spans="2:2">
      <c r="B480" s="21">
        <f>IF(AND(C480&lt;&gt;"", J480&lt;&gt;""), HYPERLINK("#'" &amp; C480 &amp; "'!" &amp; J480, J480), "")</f>
        <v>0</v>
      </c>
    </row>
    <row r="481" spans="2:2">
      <c r="B481" s="21">
        <f>IF(AND(C481&lt;&gt;"", J481&lt;&gt;""), HYPERLINK("#'" &amp; C481 &amp; "'!" &amp; J481, J481), "")</f>
        <v>0</v>
      </c>
    </row>
    <row r="482" spans="2:2">
      <c r="B482" s="21">
        <f>IF(AND(C482&lt;&gt;"", J482&lt;&gt;""), HYPERLINK("#'" &amp; C482 &amp; "'!" &amp; J482, J482), "")</f>
        <v>0</v>
      </c>
    </row>
    <row r="483" spans="2:2">
      <c r="B483" s="21">
        <f>IF(AND(C483&lt;&gt;"", J483&lt;&gt;""), HYPERLINK("#'" &amp; C483 &amp; "'!" &amp; J483, J483), "")</f>
        <v>0</v>
      </c>
    </row>
    <row r="484" spans="2:2">
      <c r="B484" s="21">
        <f>IF(AND(C484&lt;&gt;"", J484&lt;&gt;""), HYPERLINK("#'" &amp; C484 &amp; "'!" &amp; J484, J484), "")</f>
        <v>0</v>
      </c>
    </row>
    <row r="485" spans="2:2">
      <c r="B485" s="21">
        <f>IF(AND(C485&lt;&gt;"", J485&lt;&gt;""), HYPERLINK("#'" &amp; C485 &amp; "'!" &amp; J485, J485), "")</f>
        <v>0</v>
      </c>
    </row>
    <row r="486" spans="2:2">
      <c r="B486" s="21">
        <f>IF(AND(C486&lt;&gt;"", J486&lt;&gt;""), HYPERLINK("#'" &amp; C486 &amp; "'!" &amp; J486, J486), "")</f>
        <v>0</v>
      </c>
    </row>
    <row r="487" spans="2:2">
      <c r="B487" s="21">
        <f>IF(AND(C487&lt;&gt;"", J487&lt;&gt;""), HYPERLINK("#'" &amp; C487 &amp; "'!" &amp; J487, J487), "")</f>
        <v>0</v>
      </c>
    </row>
    <row r="488" spans="2:2">
      <c r="B488" s="21">
        <f>IF(AND(C488&lt;&gt;"", J488&lt;&gt;""), HYPERLINK("#'" &amp; C488 &amp; "'!" &amp; J488, J488), "")</f>
        <v>0</v>
      </c>
    </row>
    <row r="489" spans="2:2">
      <c r="B489" s="21">
        <f>IF(AND(C489&lt;&gt;"", J489&lt;&gt;""), HYPERLINK("#'" &amp; C489 &amp; "'!" &amp; J489, J489), "")</f>
        <v>0</v>
      </c>
    </row>
    <row r="490" spans="2:2">
      <c r="B490" s="21">
        <f>IF(AND(C490&lt;&gt;"", J490&lt;&gt;""), HYPERLINK("#'" &amp; C490 &amp; "'!" &amp; J490, J490), "")</f>
        <v>0</v>
      </c>
    </row>
    <row r="491" spans="2:2">
      <c r="B491" s="21">
        <f>IF(AND(C491&lt;&gt;"", J491&lt;&gt;""), HYPERLINK("#'" &amp; C491 &amp; "'!" &amp; J491, J491), "")</f>
        <v>0</v>
      </c>
    </row>
    <row r="492" spans="2:2">
      <c r="B492" s="21">
        <f>IF(AND(C492&lt;&gt;"", J492&lt;&gt;""), HYPERLINK("#'" &amp; C492 &amp; "'!" &amp; J492, J492), "")</f>
        <v>0</v>
      </c>
    </row>
    <row r="493" spans="2:2">
      <c r="B493" s="21">
        <f>IF(AND(C493&lt;&gt;"", J493&lt;&gt;""), HYPERLINK("#'" &amp; C493 &amp; "'!" &amp; J493, J493), "")</f>
        <v>0</v>
      </c>
    </row>
    <row r="494" spans="2:2">
      <c r="B494" s="21">
        <f>IF(AND(C494&lt;&gt;"", J494&lt;&gt;""), HYPERLINK("#'" &amp; C494 &amp; "'!" &amp; J494, J494), "")</f>
        <v>0</v>
      </c>
    </row>
    <row r="495" spans="2:2">
      <c r="B495" s="21">
        <f>IF(AND(C495&lt;&gt;"", J495&lt;&gt;""), HYPERLINK("#'" &amp; C495 &amp; "'!" &amp; J495, J495), "")</f>
        <v>0</v>
      </c>
    </row>
    <row r="496" spans="2:2">
      <c r="B496" s="21">
        <f>IF(AND(C496&lt;&gt;"", J496&lt;&gt;""), HYPERLINK("#'" &amp; C496 &amp; "'!" &amp; J496, J496), "")</f>
        <v>0</v>
      </c>
    </row>
    <row r="497" spans="2:2">
      <c r="B497" s="21">
        <f>IF(AND(C497&lt;&gt;"", J497&lt;&gt;""), HYPERLINK("#'" &amp; C497 &amp; "'!" &amp; J497, J497), "")</f>
        <v>0</v>
      </c>
    </row>
    <row r="498" spans="2:2">
      <c r="B498" s="21">
        <f>IF(AND(C498&lt;&gt;"", J498&lt;&gt;""), HYPERLINK("#'" &amp; C498 &amp; "'!" &amp; J498, J498), "")</f>
        <v>0</v>
      </c>
    </row>
    <row r="499" spans="2:2">
      <c r="B499" s="21">
        <f>IF(AND(C499&lt;&gt;"", J499&lt;&gt;""), HYPERLINK("#'" &amp; C499 &amp; "'!" &amp; J499, J499), "")</f>
        <v>0</v>
      </c>
    </row>
    <row r="500" spans="2:2">
      <c r="B500" s="21">
        <f>IF(AND(C500&lt;&gt;"", J500&lt;&gt;""), HYPERLINK("#'" &amp; C500 &amp; "'!" &amp; J500, J500), "")</f>
        <v>0</v>
      </c>
    </row>
    <row r="501" spans="2:2">
      <c r="B501" s="21">
        <f>IF(AND(C501&lt;&gt;"", J501&lt;&gt;""), HYPERLINK("#'" &amp; C501 &amp; "'!" &amp; J501, J501), "")</f>
        <v>0</v>
      </c>
    </row>
    <row r="502" spans="2:2">
      <c r="B502" s="21">
        <f>IF(AND(C502&lt;&gt;"", J502&lt;&gt;""), HYPERLINK("#'" &amp; C502 &amp; "'!" &amp; J502, J502), "")</f>
        <v>0</v>
      </c>
    </row>
    <row r="503" spans="2:2">
      <c r="B503" s="21">
        <f>IF(AND(C503&lt;&gt;"", J503&lt;&gt;""), HYPERLINK("#'" &amp; C503 &amp; "'!" &amp; J503, J503), "")</f>
        <v>0</v>
      </c>
    </row>
    <row r="504" spans="2:2">
      <c r="B504" s="21">
        <f>IF(AND(C504&lt;&gt;"", J504&lt;&gt;""), HYPERLINK("#'" &amp; C504 &amp; "'!" &amp; J504, J504), "")</f>
        <v>0</v>
      </c>
    </row>
    <row r="505" spans="2:2">
      <c r="B505" s="21">
        <f>IF(AND(C505&lt;&gt;"", J505&lt;&gt;""), HYPERLINK("#'" &amp; C505 &amp; "'!" &amp; J505, J505), "")</f>
        <v>0</v>
      </c>
    </row>
    <row r="506" spans="2:2">
      <c r="B506" s="21">
        <f>IF(AND(C506&lt;&gt;"", J506&lt;&gt;""), HYPERLINK("#'" &amp; C506 &amp; "'!" &amp; J506, J506), "")</f>
        <v>0</v>
      </c>
    </row>
    <row r="507" spans="2:2">
      <c r="B507" s="21">
        <f>IF(AND(C507&lt;&gt;"", J507&lt;&gt;""), HYPERLINK("#'" &amp; C507 &amp; "'!" &amp; J507, J507), "")</f>
        <v>0</v>
      </c>
    </row>
    <row r="508" spans="2:2">
      <c r="B508" s="21">
        <f>IF(AND(C508&lt;&gt;"", J508&lt;&gt;""), HYPERLINK("#'" &amp; C508 &amp; "'!" &amp; J508, J508), "")</f>
        <v>0</v>
      </c>
    </row>
    <row r="509" spans="2:2">
      <c r="B509" s="21">
        <f>IF(AND(C509&lt;&gt;"", J509&lt;&gt;""), HYPERLINK("#'" &amp; C509 &amp; "'!" &amp; J509, J509), "")</f>
        <v>0</v>
      </c>
    </row>
    <row r="510" spans="2:2">
      <c r="B510" s="21">
        <f>IF(AND(C510&lt;&gt;"", J510&lt;&gt;""), HYPERLINK("#'" &amp; C510 &amp; "'!" &amp; J510, J510), "")</f>
        <v>0</v>
      </c>
    </row>
    <row r="511" spans="2:2">
      <c r="B511" s="21">
        <f>IF(AND(C511&lt;&gt;"", J511&lt;&gt;""), HYPERLINK("#'" &amp; C511 &amp; "'!" &amp; J511, J511), "")</f>
        <v>0</v>
      </c>
    </row>
    <row r="512" spans="2:2">
      <c r="B512" s="21">
        <f>IF(AND(C512&lt;&gt;"", J512&lt;&gt;""), HYPERLINK("#'" &amp; C512 &amp; "'!" &amp; J512, J512), "")</f>
        <v>0</v>
      </c>
    </row>
    <row r="513" spans="2:2">
      <c r="B513" s="21">
        <f>IF(AND(C513&lt;&gt;"", J513&lt;&gt;""), HYPERLINK("#'" &amp; C513 &amp; "'!" &amp; J513, J513), "")</f>
        <v>0</v>
      </c>
    </row>
    <row r="514" spans="2:2">
      <c r="B514" s="21">
        <f>IF(AND(C514&lt;&gt;"", J514&lt;&gt;""), HYPERLINK("#'" &amp; C514 &amp; "'!" &amp; J514, J514), "")</f>
        <v>0</v>
      </c>
    </row>
    <row r="515" spans="2:2">
      <c r="B515" s="21">
        <f>IF(AND(C515&lt;&gt;"", J515&lt;&gt;""), HYPERLINK("#'" &amp; C515 &amp; "'!" &amp; J515, J515), "")</f>
        <v>0</v>
      </c>
    </row>
    <row r="516" spans="2:2">
      <c r="B516" s="21">
        <f>IF(AND(C516&lt;&gt;"", J516&lt;&gt;""), HYPERLINK("#'" &amp; C516 &amp; "'!" &amp; J516, J516), "")</f>
        <v>0</v>
      </c>
    </row>
    <row r="517" spans="2:2">
      <c r="B517" s="21">
        <f>IF(AND(C517&lt;&gt;"", J517&lt;&gt;""), HYPERLINK("#'" &amp; C517 &amp; "'!" &amp; J517, J517), "")</f>
        <v>0</v>
      </c>
    </row>
    <row r="518" spans="2:2">
      <c r="B518" s="21">
        <f>IF(AND(C518&lt;&gt;"", J518&lt;&gt;""), HYPERLINK("#'" &amp; C518 &amp; "'!" &amp; J518, J518), "")</f>
        <v>0</v>
      </c>
    </row>
    <row r="519" spans="2:2">
      <c r="B519" s="21">
        <f>IF(AND(C519&lt;&gt;"", J519&lt;&gt;""), HYPERLINK("#'" &amp; C519 &amp; "'!" &amp; J519, J519), "")</f>
        <v>0</v>
      </c>
    </row>
    <row r="520" spans="2:2">
      <c r="B520" s="21">
        <f>IF(AND(C520&lt;&gt;"", J520&lt;&gt;""), HYPERLINK("#'" &amp; C520 &amp; "'!" &amp; J520, J520), "")</f>
        <v>0</v>
      </c>
    </row>
    <row r="521" spans="2:2">
      <c r="B521" s="21">
        <f>IF(AND(C521&lt;&gt;"", J521&lt;&gt;""), HYPERLINK("#'" &amp; C521 &amp; "'!" &amp; J521, J521), "")</f>
        <v>0</v>
      </c>
    </row>
    <row r="522" spans="2:2">
      <c r="B522" s="21">
        <f>IF(AND(C522&lt;&gt;"", J522&lt;&gt;""), HYPERLINK("#'" &amp; C522 &amp; "'!" &amp; J522, J522), "")</f>
        <v>0</v>
      </c>
    </row>
    <row r="523" spans="2:2">
      <c r="B523" s="21">
        <f>IF(AND(C523&lt;&gt;"", J523&lt;&gt;""), HYPERLINK("#'" &amp; C523 &amp; "'!" &amp; J523, J523), "")</f>
        <v>0</v>
      </c>
    </row>
    <row r="524" spans="2:2">
      <c r="B524" s="21">
        <f>IF(AND(C524&lt;&gt;"", J524&lt;&gt;""), HYPERLINK("#'" &amp; C524 &amp; "'!" &amp; J524, J524), "")</f>
        <v>0</v>
      </c>
    </row>
    <row r="525" spans="2:2">
      <c r="B525" s="21">
        <f>IF(AND(C525&lt;&gt;"", J525&lt;&gt;""), HYPERLINK("#'" &amp; C525 &amp; "'!" &amp; J525, J525), "")</f>
        <v>0</v>
      </c>
    </row>
    <row r="526" spans="2:2">
      <c r="B526" s="21">
        <f>IF(AND(C526&lt;&gt;"", J526&lt;&gt;""), HYPERLINK("#'" &amp; C526 &amp; "'!" &amp; J526, J526), "")</f>
        <v>0</v>
      </c>
    </row>
    <row r="527" spans="2:2">
      <c r="B527" s="21">
        <f>IF(AND(C527&lt;&gt;"", J527&lt;&gt;""), HYPERLINK("#'" &amp; C527 &amp; "'!" &amp; J527, J527), "")</f>
        <v>0</v>
      </c>
    </row>
    <row r="528" spans="2:2">
      <c r="B528" s="21">
        <f>IF(AND(C528&lt;&gt;"", J528&lt;&gt;""), HYPERLINK("#'" &amp; C528 &amp; "'!" &amp; J528, J528), "")</f>
        <v>0</v>
      </c>
    </row>
    <row r="529" spans="2:2">
      <c r="B529" s="21">
        <f>IF(AND(C529&lt;&gt;"", J529&lt;&gt;""), HYPERLINK("#'" &amp; C529 &amp; "'!" &amp; J529, J529), "")</f>
        <v>0</v>
      </c>
    </row>
    <row r="530" spans="2:2">
      <c r="B530" s="21">
        <f>IF(AND(C530&lt;&gt;"", J530&lt;&gt;""), HYPERLINK("#'" &amp; C530 &amp; "'!" &amp; J530, J530), "")</f>
        <v>0</v>
      </c>
    </row>
    <row r="531" spans="2:2">
      <c r="B531" s="21">
        <f>IF(AND(C531&lt;&gt;"", J531&lt;&gt;""), HYPERLINK("#'" &amp; C531 &amp; "'!" &amp; J531, J531), "")</f>
        <v>0</v>
      </c>
    </row>
    <row r="532" spans="2:2">
      <c r="B532" s="21">
        <f>IF(AND(C532&lt;&gt;"", J532&lt;&gt;""), HYPERLINK("#'" &amp; C532 &amp; "'!" &amp; J532, J532), "")</f>
        <v>0</v>
      </c>
    </row>
    <row r="533" spans="2:2">
      <c r="B533" s="21">
        <f>IF(AND(C533&lt;&gt;"", J533&lt;&gt;""), HYPERLINK("#'" &amp; C533 &amp; "'!" &amp; J533, J533), "")</f>
        <v>0</v>
      </c>
    </row>
    <row r="534" spans="2:2">
      <c r="B534" s="21">
        <f>IF(AND(C534&lt;&gt;"", J534&lt;&gt;""), HYPERLINK("#'" &amp; C534 &amp; "'!" &amp; J534, J534), "")</f>
        <v>0</v>
      </c>
    </row>
    <row r="535" spans="2:2">
      <c r="B535" s="21">
        <f>IF(AND(C535&lt;&gt;"", J535&lt;&gt;""), HYPERLINK("#'" &amp; C535 &amp; "'!" &amp; J535, J535), "")</f>
        <v>0</v>
      </c>
    </row>
    <row r="536" spans="2:2">
      <c r="B536" s="21">
        <f>IF(AND(C536&lt;&gt;"", J536&lt;&gt;""), HYPERLINK("#'" &amp; C536 &amp; "'!" &amp; J536, J536), "")</f>
        <v>0</v>
      </c>
    </row>
    <row r="537" spans="2:2">
      <c r="B537" s="21">
        <f>IF(AND(C537&lt;&gt;"", J537&lt;&gt;""), HYPERLINK("#'" &amp; C537 &amp; "'!" &amp; J537, J537), "")</f>
        <v>0</v>
      </c>
    </row>
    <row r="538" spans="2:2">
      <c r="B538" s="21">
        <f>IF(AND(C538&lt;&gt;"", J538&lt;&gt;""), HYPERLINK("#'" &amp; C538 &amp; "'!" &amp; J538, J538), "")</f>
        <v>0</v>
      </c>
    </row>
    <row r="539" spans="2:2">
      <c r="B539" s="21">
        <f>IF(AND(C539&lt;&gt;"", J539&lt;&gt;""), HYPERLINK("#'" &amp; C539 &amp; "'!" &amp; J539, J539), "")</f>
        <v>0</v>
      </c>
    </row>
    <row r="540" spans="2:2">
      <c r="B540" s="21">
        <f>IF(AND(C540&lt;&gt;"", J540&lt;&gt;""), HYPERLINK("#'" &amp; C540 &amp; "'!" &amp; J540, J540), "")</f>
        <v>0</v>
      </c>
    </row>
    <row r="541" spans="2:2">
      <c r="B541" s="21">
        <f>IF(AND(C541&lt;&gt;"", J541&lt;&gt;""), HYPERLINK("#'" &amp; C541 &amp; "'!" &amp; J541, J541), "")</f>
        <v>0</v>
      </c>
    </row>
    <row r="542" spans="2:2">
      <c r="B542" s="21">
        <f>IF(AND(C542&lt;&gt;"", J542&lt;&gt;""), HYPERLINK("#'" &amp; C542 &amp; "'!" &amp; J542, J542), "")</f>
        <v>0</v>
      </c>
    </row>
    <row r="543" spans="2:2">
      <c r="B543" s="21">
        <f>IF(AND(C543&lt;&gt;"", J543&lt;&gt;""), HYPERLINK("#'" &amp; C543 &amp; "'!" &amp; J543, J543), "")</f>
        <v>0</v>
      </c>
    </row>
    <row r="544" spans="2:2">
      <c r="B544" s="21">
        <f>IF(AND(C544&lt;&gt;"", J544&lt;&gt;""), HYPERLINK("#'" &amp; C544 &amp; "'!" &amp; J544, J544), "")</f>
        <v>0</v>
      </c>
    </row>
    <row r="545" spans="2:2">
      <c r="B545" s="21">
        <f>IF(AND(C545&lt;&gt;"", J545&lt;&gt;""), HYPERLINK("#'" &amp; C545 &amp; "'!" &amp; J545, J545), "")</f>
        <v>0</v>
      </c>
    </row>
    <row r="546" spans="2:2">
      <c r="B546" s="21">
        <f>IF(AND(C546&lt;&gt;"", J546&lt;&gt;""), HYPERLINK("#'" &amp; C546 &amp; "'!" &amp; J546, J546), "")</f>
        <v>0</v>
      </c>
    </row>
    <row r="547" spans="2:2">
      <c r="B547" s="21">
        <f>IF(AND(C547&lt;&gt;"", J547&lt;&gt;""), HYPERLINK("#'" &amp; C547 &amp; "'!" &amp; J547, J547), "")</f>
        <v>0</v>
      </c>
    </row>
    <row r="548" spans="2:2">
      <c r="B548" s="21">
        <f>IF(AND(C548&lt;&gt;"", J548&lt;&gt;""), HYPERLINK("#'" &amp; C548 &amp; "'!" &amp; J548, J548), "")</f>
        <v>0</v>
      </c>
    </row>
    <row r="549" spans="2:2">
      <c r="B549" s="21">
        <f>IF(AND(C549&lt;&gt;"", J549&lt;&gt;""), HYPERLINK("#'" &amp; C549 &amp; "'!" &amp; J549, J549), "")</f>
        <v>0</v>
      </c>
    </row>
    <row r="550" spans="2:2">
      <c r="B550" s="21">
        <f>IF(AND(C550&lt;&gt;"", J550&lt;&gt;""), HYPERLINK("#'" &amp; C550 &amp; "'!" &amp; J550, J550), "")</f>
        <v>0</v>
      </c>
    </row>
    <row r="551" spans="2:2">
      <c r="B551" s="21">
        <f>IF(AND(C551&lt;&gt;"", J551&lt;&gt;""), HYPERLINK("#'" &amp; C551 &amp; "'!" &amp; J551, J551), "")</f>
        <v>0</v>
      </c>
    </row>
    <row r="552" spans="2:2">
      <c r="B552" s="21">
        <f>IF(AND(C552&lt;&gt;"", J552&lt;&gt;""), HYPERLINK("#'" &amp; C552 &amp; "'!" &amp; J552, J552), "")</f>
        <v>0</v>
      </c>
    </row>
    <row r="553" spans="2:2">
      <c r="B553" s="21">
        <f>IF(AND(C553&lt;&gt;"", J553&lt;&gt;""), HYPERLINK("#'" &amp; C553 &amp; "'!" &amp; J553, J553), "")</f>
        <v>0</v>
      </c>
    </row>
    <row r="554" spans="2:2">
      <c r="B554" s="21">
        <f>IF(AND(C554&lt;&gt;"", J554&lt;&gt;""), HYPERLINK("#'" &amp; C554 &amp; "'!" &amp; J554, J554), "")</f>
        <v>0</v>
      </c>
    </row>
    <row r="555" spans="2:2">
      <c r="B555" s="21">
        <f>IF(AND(C555&lt;&gt;"", J555&lt;&gt;""), HYPERLINK("#'" &amp; C555 &amp; "'!" &amp; J555, J555), "")</f>
        <v>0</v>
      </c>
    </row>
    <row r="556" spans="2:2">
      <c r="B556" s="21">
        <f>IF(AND(C556&lt;&gt;"", J556&lt;&gt;""), HYPERLINK("#'" &amp; C556 &amp; "'!" &amp; J556, J556), "")</f>
        <v>0</v>
      </c>
    </row>
    <row r="557" spans="2:2">
      <c r="B557" s="21">
        <f>IF(AND(C557&lt;&gt;"", J557&lt;&gt;""), HYPERLINK("#'" &amp; C557 &amp; "'!" &amp; J557, J557), "")</f>
        <v>0</v>
      </c>
    </row>
    <row r="558" spans="2:2">
      <c r="B558" s="21">
        <f>IF(AND(C558&lt;&gt;"", J558&lt;&gt;""), HYPERLINK("#'" &amp; C558 &amp; "'!" &amp; J558, J558), "")</f>
        <v>0</v>
      </c>
    </row>
    <row r="559" spans="2:2">
      <c r="B559" s="21">
        <f>IF(AND(C559&lt;&gt;"", J559&lt;&gt;""), HYPERLINK("#'" &amp; C559 &amp; "'!" &amp; J559, J559), "")</f>
        <v>0</v>
      </c>
    </row>
    <row r="560" spans="2:2">
      <c r="B560" s="21">
        <f>IF(AND(C560&lt;&gt;"", J560&lt;&gt;""), HYPERLINK("#'" &amp; C560 &amp; "'!" &amp; J560, J560), "")</f>
        <v>0</v>
      </c>
    </row>
    <row r="561" spans="2:2">
      <c r="B561" s="21">
        <f>IF(AND(C561&lt;&gt;"", J561&lt;&gt;""), HYPERLINK("#'" &amp; C561 &amp; "'!" &amp; J561, J561), "")</f>
        <v>0</v>
      </c>
    </row>
    <row r="562" spans="2:2">
      <c r="B562" s="21">
        <f>IF(AND(C562&lt;&gt;"", J562&lt;&gt;""), HYPERLINK("#'" &amp; C562 &amp; "'!" &amp; J562, J562), "")</f>
        <v>0</v>
      </c>
    </row>
    <row r="563" spans="2:2">
      <c r="B563" s="21">
        <f>IF(AND(C563&lt;&gt;"", J563&lt;&gt;""), HYPERLINK("#'" &amp; C563 &amp; "'!" &amp; J563, J563), "")</f>
        <v>0</v>
      </c>
    </row>
    <row r="564" spans="2:2">
      <c r="B564" s="21">
        <f>IF(AND(C564&lt;&gt;"", J564&lt;&gt;""), HYPERLINK("#'" &amp; C564 &amp; "'!" &amp; J564, J564), "")</f>
        <v>0</v>
      </c>
    </row>
    <row r="565" spans="2:2">
      <c r="B565" s="21">
        <f>IF(AND(C565&lt;&gt;"", J565&lt;&gt;""), HYPERLINK("#'" &amp; C565 &amp; "'!" &amp; J565, J565), "")</f>
        <v>0</v>
      </c>
    </row>
    <row r="566" spans="2:2">
      <c r="B566" s="21">
        <f>IF(AND(C566&lt;&gt;"", J566&lt;&gt;""), HYPERLINK("#'" &amp; C566 &amp; "'!" &amp; J566, J566), "")</f>
        <v>0</v>
      </c>
    </row>
    <row r="567" spans="2:2">
      <c r="B567" s="21">
        <f>IF(AND(C567&lt;&gt;"", J567&lt;&gt;""), HYPERLINK("#'" &amp; C567 &amp; "'!" &amp; J567, J567), "")</f>
        <v>0</v>
      </c>
    </row>
    <row r="568" spans="2:2">
      <c r="B568" s="21">
        <f>IF(AND(C568&lt;&gt;"", J568&lt;&gt;""), HYPERLINK("#'" &amp; C568 &amp; "'!" &amp; J568, J568), "")</f>
        <v>0</v>
      </c>
    </row>
    <row r="569" spans="2:2">
      <c r="B569" s="21">
        <f>IF(AND(C569&lt;&gt;"", J569&lt;&gt;""), HYPERLINK("#'" &amp; C569 &amp; "'!" &amp; J569, J569), "")</f>
        <v>0</v>
      </c>
    </row>
    <row r="570" spans="2:2">
      <c r="B570" s="21">
        <f>IF(AND(C570&lt;&gt;"", J570&lt;&gt;""), HYPERLINK("#'" &amp; C570 &amp; "'!" &amp; J570, J570), "")</f>
        <v>0</v>
      </c>
    </row>
    <row r="571" spans="2:2">
      <c r="B571" s="21">
        <f>IF(AND(C571&lt;&gt;"", J571&lt;&gt;""), HYPERLINK("#'" &amp; C571 &amp; "'!" &amp; J571, J571), "")</f>
        <v>0</v>
      </c>
    </row>
    <row r="572" spans="2:2">
      <c r="B572" s="21">
        <f>IF(AND(C572&lt;&gt;"", J572&lt;&gt;""), HYPERLINK("#'" &amp; C572 &amp; "'!" &amp; J572, J572), "")</f>
        <v>0</v>
      </c>
    </row>
    <row r="573" spans="2:2">
      <c r="B573" s="21">
        <f>IF(AND(C573&lt;&gt;"", J573&lt;&gt;""), HYPERLINK("#'" &amp; C573 &amp; "'!" &amp; J573, J573), "")</f>
        <v>0</v>
      </c>
    </row>
    <row r="574" spans="2:2">
      <c r="B574" s="21">
        <f>IF(AND(C574&lt;&gt;"", J574&lt;&gt;""), HYPERLINK("#'" &amp; C574 &amp; "'!" &amp; J574, J574), "")</f>
        <v>0</v>
      </c>
    </row>
    <row r="575" spans="2:2">
      <c r="B575" s="21">
        <f>IF(AND(C575&lt;&gt;"", J575&lt;&gt;""), HYPERLINK("#'" &amp; C575 &amp; "'!" &amp; J575, J575), "")</f>
        <v>0</v>
      </c>
    </row>
    <row r="576" spans="2:2">
      <c r="B576" s="21">
        <f>IF(AND(C576&lt;&gt;"", J576&lt;&gt;""), HYPERLINK("#'" &amp; C576 &amp; "'!" &amp; J576, J576), "")</f>
        <v>0</v>
      </c>
    </row>
    <row r="577" spans="2:2">
      <c r="B577" s="21">
        <f>IF(AND(C577&lt;&gt;"", J577&lt;&gt;""), HYPERLINK("#'" &amp; C577 &amp; "'!" &amp; J577, J577), "")</f>
        <v>0</v>
      </c>
    </row>
    <row r="578" spans="2:2">
      <c r="B578" s="21">
        <f>IF(AND(C578&lt;&gt;"", J578&lt;&gt;""), HYPERLINK("#'" &amp; C578 &amp; "'!" &amp; J578, J578), "")</f>
        <v>0</v>
      </c>
    </row>
    <row r="579" spans="2:2">
      <c r="B579" s="21">
        <f>IF(AND(C579&lt;&gt;"", J579&lt;&gt;""), HYPERLINK("#'" &amp; C579 &amp; "'!" &amp; J579, J579), "")</f>
        <v>0</v>
      </c>
    </row>
    <row r="580" spans="2:2">
      <c r="B580" s="21">
        <f>IF(AND(C580&lt;&gt;"", J580&lt;&gt;""), HYPERLINK("#'" &amp; C580 &amp; "'!" &amp; J580, J580), "")</f>
        <v>0</v>
      </c>
    </row>
    <row r="581" spans="2:2">
      <c r="B581" s="21">
        <f>IF(AND(C581&lt;&gt;"", J581&lt;&gt;""), HYPERLINK("#'" &amp; C581 &amp; "'!" &amp; J581, J581), "")</f>
        <v>0</v>
      </c>
    </row>
    <row r="582" spans="2:2">
      <c r="B582" s="21">
        <f>IF(AND(C582&lt;&gt;"", J582&lt;&gt;""), HYPERLINK("#'" &amp; C582 &amp; "'!" &amp; J582, J582), "")</f>
        <v>0</v>
      </c>
    </row>
    <row r="583" spans="2:2">
      <c r="B583" s="21">
        <f>IF(AND(C583&lt;&gt;"", J583&lt;&gt;""), HYPERLINK("#'" &amp; C583 &amp; "'!" &amp; J583, J583), "")</f>
        <v>0</v>
      </c>
    </row>
    <row r="584" spans="2:2">
      <c r="B584" s="21">
        <f>IF(AND(C584&lt;&gt;"", J584&lt;&gt;""), HYPERLINK("#'" &amp; C584 &amp; "'!" &amp; J584, J584), "")</f>
        <v>0</v>
      </c>
    </row>
    <row r="585" spans="2:2">
      <c r="B585" s="21">
        <f>IF(AND(C585&lt;&gt;"", J585&lt;&gt;""), HYPERLINK("#'" &amp; C585 &amp; "'!" &amp; J585, J585), "")</f>
        <v>0</v>
      </c>
    </row>
    <row r="586" spans="2:2">
      <c r="B586" s="21">
        <f>IF(AND(C586&lt;&gt;"", J586&lt;&gt;""), HYPERLINK("#'" &amp; C586 &amp; "'!" &amp; J586, J586), "")</f>
        <v>0</v>
      </c>
    </row>
    <row r="587" spans="2:2">
      <c r="B587" s="21">
        <f>IF(AND(C587&lt;&gt;"", J587&lt;&gt;""), HYPERLINK("#'" &amp; C587 &amp; "'!" &amp; J587, J587), "")</f>
        <v>0</v>
      </c>
    </row>
    <row r="588" spans="2:2">
      <c r="B588" s="21">
        <f>IF(AND(C588&lt;&gt;"", J588&lt;&gt;""), HYPERLINK("#'" &amp; C588 &amp; "'!" &amp; J588, J588), "")</f>
        <v>0</v>
      </c>
    </row>
    <row r="589" spans="2:2">
      <c r="B589" s="21">
        <f>IF(AND(C589&lt;&gt;"", J589&lt;&gt;""), HYPERLINK("#'" &amp; C589 &amp; "'!" &amp; J589, J589), "")</f>
        <v>0</v>
      </c>
    </row>
    <row r="590" spans="2:2">
      <c r="B590" s="21">
        <f>IF(AND(C590&lt;&gt;"", J590&lt;&gt;""), HYPERLINK("#'" &amp; C590 &amp; "'!" &amp; J590, J590), "")</f>
        <v>0</v>
      </c>
    </row>
    <row r="591" spans="2:2">
      <c r="B591" s="21">
        <f>IF(AND(C591&lt;&gt;"", J591&lt;&gt;""), HYPERLINK("#'" &amp; C591 &amp; "'!" &amp; J591, J591), "")</f>
        <v>0</v>
      </c>
    </row>
    <row r="592" spans="2:2">
      <c r="B592" s="21">
        <f>IF(AND(C592&lt;&gt;"", J592&lt;&gt;""), HYPERLINK("#'" &amp; C592 &amp; "'!" &amp; J592, J592), "")</f>
        <v>0</v>
      </c>
    </row>
    <row r="593" spans="2:2">
      <c r="B593" s="21">
        <f>IF(AND(C593&lt;&gt;"", J593&lt;&gt;""), HYPERLINK("#'" &amp; C593 &amp; "'!" &amp; J593, J593), "")</f>
        <v>0</v>
      </c>
    </row>
    <row r="594" spans="2:2">
      <c r="B594" s="21">
        <f>IF(AND(C594&lt;&gt;"", J594&lt;&gt;""), HYPERLINK("#'" &amp; C594 &amp; "'!" &amp; J594, J594), "")</f>
        <v>0</v>
      </c>
    </row>
    <row r="595" spans="2:2">
      <c r="B595" s="21">
        <f>IF(AND(C595&lt;&gt;"", J595&lt;&gt;""), HYPERLINK("#'" &amp; C595 &amp; "'!" &amp; J595, J595), "")</f>
        <v>0</v>
      </c>
    </row>
    <row r="596" spans="2:2">
      <c r="B596" s="21">
        <f>IF(AND(C596&lt;&gt;"", J596&lt;&gt;""), HYPERLINK("#'" &amp; C596 &amp; "'!" &amp; J596, J596), "")</f>
        <v>0</v>
      </c>
    </row>
    <row r="597" spans="2:2">
      <c r="B597" s="21">
        <f>IF(AND(C597&lt;&gt;"", J597&lt;&gt;""), HYPERLINK("#'" &amp; C597 &amp; "'!" &amp; J597, J597), "")</f>
        <v>0</v>
      </c>
    </row>
    <row r="598" spans="2:2">
      <c r="B598" s="21">
        <f>IF(AND(C598&lt;&gt;"", J598&lt;&gt;""), HYPERLINK("#'" &amp; C598 &amp; "'!" &amp; J598, J598), "")</f>
        <v>0</v>
      </c>
    </row>
    <row r="599" spans="2:2">
      <c r="B599" s="21">
        <f>IF(AND(C599&lt;&gt;"", J599&lt;&gt;""), HYPERLINK("#'" &amp; C599 &amp; "'!" &amp; J599, J599), "")</f>
        <v>0</v>
      </c>
    </row>
    <row r="600" spans="2:2">
      <c r="B600" s="21">
        <f>IF(AND(C600&lt;&gt;"", J600&lt;&gt;""), HYPERLINK("#'" &amp; C600 &amp; "'!" &amp; J600, J600), "")</f>
        <v>0</v>
      </c>
    </row>
    <row r="601" spans="2:2">
      <c r="B601" s="21">
        <f>IF(AND(C601&lt;&gt;"", J601&lt;&gt;""), HYPERLINK("#'" &amp; C601 &amp; "'!" &amp; J601, J601), "")</f>
        <v>0</v>
      </c>
    </row>
    <row r="602" spans="2:2">
      <c r="B602" s="21">
        <f>IF(AND(C602&lt;&gt;"", J602&lt;&gt;""), HYPERLINK("#'" &amp; C602 &amp; "'!" &amp; J602, J602), "")</f>
        <v>0</v>
      </c>
    </row>
    <row r="603" spans="2:2">
      <c r="B603" s="21">
        <f>IF(AND(C603&lt;&gt;"", J603&lt;&gt;""), HYPERLINK("#'" &amp; C603 &amp; "'!" &amp; J603, J603), "")</f>
        <v>0</v>
      </c>
    </row>
    <row r="604" spans="2:2">
      <c r="B604" s="21">
        <f>IF(AND(C604&lt;&gt;"", J604&lt;&gt;""), HYPERLINK("#'" &amp; C604 &amp; "'!" &amp; J604, J604), "")</f>
        <v>0</v>
      </c>
    </row>
    <row r="605" spans="2:2">
      <c r="B605" s="21">
        <f>IF(AND(C605&lt;&gt;"", J605&lt;&gt;""), HYPERLINK("#'" &amp; C605 &amp; "'!" &amp; J605, J605), "")</f>
        <v>0</v>
      </c>
    </row>
    <row r="606" spans="2:2">
      <c r="B606" s="21">
        <f>IF(AND(C606&lt;&gt;"", J606&lt;&gt;""), HYPERLINK("#'" &amp; C606 &amp; "'!" &amp; J606, J606), "")</f>
        <v>0</v>
      </c>
    </row>
    <row r="607" spans="2:2">
      <c r="B607" s="21">
        <f>IF(AND(C607&lt;&gt;"", J607&lt;&gt;""), HYPERLINK("#'" &amp; C607 &amp; "'!" &amp; J607, J607), "")</f>
        <v>0</v>
      </c>
    </row>
    <row r="608" spans="2:2">
      <c r="B608" s="21">
        <f>IF(AND(C608&lt;&gt;"", J608&lt;&gt;""), HYPERLINK("#'" &amp; C608 &amp; "'!" &amp; J608, J608), "")</f>
        <v>0</v>
      </c>
    </row>
    <row r="609" spans="2:2">
      <c r="B609" s="21">
        <f>IF(AND(C609&lt;&gt;"", J609&lt;&gt;""), HYPERLINK("#'" &amp; C609 &amp; "'!" &amp; J609, J609), "")</f>
        <v>0</v>
      </c>
    </row>
    <row r="610" spans="2:2">
      <c r="B610" s="21">
        <f>IF(AND(C610&lt;&gt;"", J610&lt;&gt;""), HYPERLINK("#'" &amp; C610 &amp; "'!" &amp; J610, J610), "")</f>
        <v>0</v>
      </c>
    </row>
    <row r="611" spans="2:2">
      <c r="B611" s="21">
        <f>IF(AND(C611&lt;&gt;"", J611&lt;&gt;""), HYPERLINK("#'" &amp; C611 &amp; "'!" &amp; J611, J611), "")</f>
        <v>0</v>
      </c>
    </row>
    <row r="612" spans="2:2">
      <c r="B612" s="21">
        <f>IF(AND(C612&lt;&gt;"", J612&lt;&gt;""), HYPERLINK("#'" &amp; C612 &amp; "'!" &amp; J612, J612), "")</f>
        <v>0</v>
      </c>
    </row>
    <row r="613" spans="2:2">
      <c r="B613" s="21">
        <f>IF(AND(C613&lt;&gt;"", J613&lt;&gt;""), HYPERLINK("#'" &amp; C613 &amp; "'!" &amp; J613, J613), "")</f>
        <v>0</v>
      </c>
    </row>
    <row r="614" spans="2:2">
      <c r="B614" s="21">
        <f>IF(AND(C614&lt;&gt;"", J614&lt;&gt;""), HYPERLINK("#'" &amp; C614 &amp; "'!" &amp; J614, J614), "")</f>
        <v>0</v>
      </c>
    </row>
    <row r="615" spans="2:2">
      <c r="B615" s="21">
        <f>IF(AND(C615&lt;&gt;"", J615&lt;&gt;""), HYPERLINK("#'" &amp; C615 &amp; "'!" &amp; J615, J615), "")</f>
        <v>0</v>
      </c>
    </row>
    <row r="616" spans="2:2">
      <c r="B616" s="21">
        <f>IF(AND(C616&lt;&gt;"", J616&lt;&gt;""), HYPERLINK("#'" &amp; C616 &amp; "'!" &amp; J616, J616), "")</f>
        <v>0</v>
      </c>
    </row>
    <row r="617" spans="2:2">
      <c r="B617" s="21">
        <f>IF(AND(C617&lt;&gt;"", J617&lt;&gt;""), HYPERLINK("#'" &amp; C617 &amp; "'!" &amp; J617, J617), "")</f>
        <v>0</v>
      </c>
    </row>
    <row r="618" spans="2:2">
      <c r="B618" s="21">
        <f>IF(AND(C618&lt;&gt;"", J618&lt;&gt;""), HYPERLINK("#'" &amp; C618 &amp; "'!" &amp; J618, J618), "")</f>
        <v>0</v>
      </c>
    </row>
    <row r="619" spans="2:2">
      <c r="B619" s="21">
        <f>IF(AND(C619&lt;&gt;"", J619&lt;&gt;""), HYPERLINK("#'" &amp; C619 &amp; "'!" &amp; J619, J619), "")</f>
        <v>0</v>
      </c>
    </row>
    <row r="620" spans="2:2">
      <c r="B620" s="21">
        <f>IF(AND(C620&lt;&gt;"", J620&lt;&gt;""), HYPERLINK("#'" &amp; C620 &amp; "'!" &amp; J620, J620), "")</f>
        <v>0</v>
      </c>
    </row>
    <row r="621" spans="2:2">
      <c r="B621" s="21">
        <f>IF(AND(C621&lt;&gt;"", J621&lt;&gt;""), HYPERLINK("#'" &amp; C621 &amp; "'!" &amp; J621, J621), "")</f>
        <v>0</v>
      </c>
    </row>
    <row r="622" spans="2:2">
      <c r="B622" s="21">
        <f>IF(AND(C622&lt;&gt;"", J622&lt;&gt;""), HYPERLINK("#'" &amp; C622 &amp; "'!" &amp; J622, J622), "")</f>
        <v>0</v>
      </c>
    </row>
    <row r="623" spans="2:2">
      <c r="B623" s="21">
        <f>IF(AND(C623&lt;&gt;"", J623&lt;&gt;""), HYPERLINK("#'" &amp; C623 &amp; "'!" &amp; J623, J623), "")</f>
        <v>0</v>
      </c>
    </row>
    <row r="624" spans="2:2">
      <c r="B624" s="21">
        <f>IF(AND(C624&lt;&gt;"", J624&lt;&gt;""), HYPERLINK("#'" &amp; C624 &amp; "'!" &amp; J624, J624), "")</f>
        <v>0</v>
      </c>
    </row>
    <row r="625" spans="2:2">
      <c r="B625" s="21">
        <f>IF(AND(C625&lt;&gt;"", J625&lt;&gt;""), HYPERLINK("#'" &amp; C625 &amp; "'!" &amp; J625, J625), "")</f>
        <v>0</v>
      </c>
    </row>
    <row r="626" spans="2:2">
      <c r="B626" s="21">
        <f>IF(AND(C626&lt;&gt;"", J626&lt;&gt;""), HYPERLINK("#'" &amp; C626 &amp; "'!" &amp; J626, J626), "")</f>
        <v>0</v>
      </c>
    </row>
    <row r="627" spans="2:2">
      <c r="B627" s="21">
        <f>IF(AND(C627&lt;&gt;"", J627&lt;&gt;""), HYPERLINK("#'" &amp; C627 &amp; "'!" &amp; J627, J627), "")</f>
        <v>0</v>
      </c>
    </row>
    <row r="628" spans="2:2">
      <c r="B628" s="21">
        <f>IF(AND(C628&lt;&gt;"", J628&lt;&gt;""), HYPERLINK("#'" &amp; C628 &amp; "'!" &amp; J628, J628), "")</f>
        <v>0</v>
      </c>
    </row>
    <row r="629" spans="2:2">
      <c r="B629" s="21">
        <f>IF(AND(C629&lt;&gt;"", J629&lt;&gt;""), HYPERLINK("#'" &amp; C629 &amp; "'!" &amp; J629, J629), "")</f>
        <v>0</v>
      </c>
    </row>
    <row r="630" spans="2:2">
      <c r="B630" s="21">
        <f>IF(AND(C630&lt;&gt;"", J630&lt;&gt;""), HYPERLINK("#'" &amp; C630 &amp; "'!" &amp; J630, J630), "")</f>
        <v>0</v>
      </c>
    </row>
    <row r="631" spans="2:2">
      <c r="B631" s="21">
        <f>IF(AND(C631&lt;&gt;"", J631&lt;&gt;""), HYPERLINK("#'" &amp; C631 &amp; "'!" &amp; J631, J631), "")</f>
        <v>0</v>
      </c>
    </row>
    <row r="632" spans="2:2">
      <c r="B632" s="21">
        <f>IF(AND(C632&lt;&gt;"", J632&lt;&gt;""), HYPERLINK("#'" &amp; C632 &amp; "'!" &amp; J632, J632), "")</f>
        <v>0</v>
      </c>
    </row>
    <row r="633" spans="2:2">
      <c r="B633" s="21">
        <f>IF(AND(C633&lt;&gt;"", J633&lt;&gt;""), HYPERLINK("#'" &amp; C633 &amp; "'!" &amp; J633, J633), "")</f>
        <v>0</v>
      </c>
    </row>
    <row r="634" spans="2:2">
      <c r="B634" s="21">
        <f>IF(AND(C634&lt;&gt;"", J634&lt;&gt;""), HYPERLINK("#'" &amp; C634 &amp; "'!" &amp; J634, J634), "")</f>
        <v>0</v>
      </c>
    </row>
    <row r="635" spans="2:2">
      <c r="B635" s="21">
        <f>IF(AND(C635&lt;&gt;"", J635&lt;&gt;""), HYPERLINK("#'" &amp; C635 &amp; "'!" &amp; J635, J635), "")</f>
        <v>0</v>
      </c>
    </row>
    <row r="636" spans="2:2">
      <c r="B636" s="21">
        <f>IF(AND(C636&lt;&gt;"", J636&lt;&gt;""), HYPERLINK("#'" &amp; C636 &amp; "'!" &amp; J636, J636), "")</f>
        <v>0</v>
      </c>
    </row>
    <row r="637" spans="2:2">
      <c r="B637" s="21">
        <f>IF(AND(C637&lt;&gt;"", J637&lt;&gt;""), HYPERLINK("#'" &amp; C637 &amp; "'!" &amp; J637, J637), "")</f>
        <v>0</v>
      </c>
    </row>
    <row r="638" spans="2:2">
      <c r="B638" s="21">
        <f>IF(AND(C638&lt;&gt;"", J638&lt;&gt;""), HYPERLINK("#'" &amp; C638 &amp; "'!" &amp; J638, J638), "")</f>
        <v>0</v>
      </c>
    </row>
    <row r="639" spans="2:2">
      <c r="B639" s="21">
        <f>IF(AND(C639&lt;&gt;"", J639&lt;&gt;""), HYPERLINK("#'" &amp; C639 &amp; "'!" &amp; J639, J639), "")</f>
        <v>0</v>
      </c>
    </row>
    <row r="640" spans="2:2">
      <c r="B640" s="21">
        <f>IF(AND(C640&lt;&gt;"", J640&lt;&gt;""), HYPERLINK("#'" &amp; C640 &amp; "'!" &amp; J640, J640), "")</f>
        <v>0</v>
      </c>
    </row>
    <row r="641" spans="2:2">
      <c r="B641" s="21">
        <f>IF(AND(C641&lt;&gt;"", J641&lt;&gt;""), HYPERLINK("#'" &amp; C641 &amp; "'!" &amp; J641, J641), "")</f>
        <v>0</v>
      </c>
    </row>
    <row r="642" spans="2:2">
      <c r="B642" s="21">
        <f>IF(AND(C642&lt;&gt;"", J642&lt;&gt;""), HYPERLINK("#'" &amp; C642 &amp; "'!" &amp; J642, J642), "")</f>
        <v>0</v>
      </c>
    </row>
    <row r="643" spans="2:2">
      <c r="B643" s="21">
        <f>IF(AND(C643&lt;&gt;"", J643&lt;&gt;""), HYPERLINK("#'" &amp; C643 &amp; "'!" &amp; J643, J643), "")</f>
        <v>0</v>
      </c>
    </row>
    <row r="644" spans="2:2">
      <c r="B644" s="21">
        <f>IF(AND(C644&lt;&gt;"", J644&lt;&gt;""), HYPERLINK("#'" &amp; C644 &amp; "'!" &amp; J644, J644), "")</f>
        <v>0</v>
      </c>
    </row>
    <row r="645" spans="2:2">
      <c r="B645" s="21">
        <f>IF(AND(C645&lt;&gt;"", J645&lt;&gt;""), HYPERLINK("#'" &amp; C645 &amp; "'!" &amp; J645, J645), "")</f>
        <v>0</v>
      </c>
    </row>
    <row r="646" spans="2:2">
      <c r="B646" s="21">
        <f>IF(AND(C646&lt;&gt;"", J646&lt;&gt;""), HYPERLINK("#'" &amp; C646 &amp; "'!" &amp; J646, J646), "")</f>
        <v>0</v>
      </c>
    </row>
    <row r="647" spans="2:2">
      <c r="B647" s="21">
        <f>IF(AND(C647&lt;&gt;"", J647&lt;&gt;""), HYPERLINK("#'" &amp; C647 &amp; "'!" &amp; J647, J647), "")</f>
        <v>0</v>
      </c>
    </row>
    <row r="648" spans="2:2">
      <c r="B648" s="21">
        <f>IF(AND(C648&lt;&gt;"", J648&lt;&gt;""), HYPERLINK("#'" &amp; C648 &amp; "'!" &amp; J648, J648), "")</f>
        <v>0</v>
      </c>
    </row>
    <row r="649" spans="2:2">
      <c r="B649" s="21">
        <f>IF(AND(C649&lt;&gt;"", J649&lt;&gt;""), HYPERLINK("#'" &amp; C649 &amp; "'!" &amp; J649, J649), "")</f>
        <v>0</v>
      </c>
    </row>
    <row r="650" spans="2:2">
      <c r="B650" s="21">
        <f>IF(AND(C650&lt;&gt;"", J650&lt;&gt;""), HYPERLINK("#'" &amp; C650 &amp; "'!" &amp; J650, J650), "")</f>
        <v>0</v>
      </c>
    </row>
    <row r="651" spans="2:2">
      <c r="B651" s="21">
        <f>IF(AND(C651&lt;&gt;"", J651&lt;&gt;""), HYPERLINK("#'" &amp; C651 &amp; "'!" &amp; J651, J651), "")</f>
        <v>0</v>
      </c>
    </row>
    <row r="652" spans="2:2">
      <c r="B652" s="21">
        <f>IF(AND(C652&lt;&gt;"", J652&lt;&gt;""), HYPERLINK("#'" &amp; C652 &amp; "'!" &amp; J652, J652), "")</f>
        <v>0</v>
      </c>
    </row>
    <row r="653" spans="2:2">
      <c r="B653" s="21">
        <f>IF(AND(C653&lt;&gt;"", J653&lt;&gt;""), HYPERLINK("#'" &amp; C653 &amp; "'!" &amp; J653, J653), "")</f>
        <v>0</v>
      </c>
    </row>
    <row r="654" spans="2:2">
      <c r="B654" s="21">
        <f>IF(AND(C654&lt;&gt;"", J654&lt;&gt;""), HYPERLINK("#'" &amp; C654 &amp; "'!" &amp; J654, J654), "")</f>
        <v>0</v>
      </c>
    </row>
    <row r="655" spans="2:2">
      <c r="B655" s="21">
        <f>IF(AND(C655&lt;&gt;"", J655&lt;&gt;""), HYPERLINK("#'" &amp; C655 &amp; "'!" &amp; J655, J655), "")</f>
        <v>0</v>
      </c>
    </row>
    <row r="656" spans="2:2">
      <c r="B656" s="21">
        <f>IF(AND(C656&lt;&gt;"", J656&lt;&gt;""), HYPERLINK("#'" &amp; C656 &amp; "'!" &amp; J656, J656), "")</f>
        <v>0</v>
      </c>
    </row>
    <row r="657" spans="2:2">
      <c r="B657" s="21">
        <f>IF(AND(C657&lt;&gt;"", J657&lt;&gt;""), HYPERLINK("#'" &amp; C657 &amp; "'!" &amp; J657, J657), "")</f>
        <v>0</v>
      </c>
    </row>
    <row r="658" spans="2:2">
      <c r="B658" s="21">
        <f>IF(AND(C658&lt;&gt;"", J658&lt;&gt;""), HYPERLINK("#'" &amp; C658 &amp; "'!" &amp; J658, J658), "")</f>
        <v>0</v>
      </c>
    </row>
    <row r="659" spans="2:2">
      <c r="B659" s="21">
        <f>IF(AND(C659&lt;&gt;"", J659&lt;&gt;""), HYPERLINK("#'" &amp; C659 &amp; "'!" &amp; J659, J659), "")</f>
        <v>0</v>
      </c>
    </row>
    <row r="660" spans="2:2">
      <c r="B660" s="21">
        <f>IF(AND(C660&lt;&gt;"", J660&lt;&gt;""), HYPERLINK("#'" &amp; C660 &amp; "'!" &amp; J660, J660), "")</f>
        <v>0</v>
      </c>
    </row>
    <row r="661" spans="2:2">
      <c r="B661" s="21">
        <f>IF(AND(C661&lt;&gt;"", J661&lt;&gt;""), HYPERLINK("#'" &amp; C661 &amp; "'!" &amp; J661, J661), "")</f>
        <v>0</v>
      </c>
    </row>
    <row r="662" spans="2:2">
      <c r="B662" s="21">
        <f>IF(AND(C662&lt;&gt;"", J662&lt;&gt;""), HYPERLINK("#'" &amp; C662 &amp; "'!" &amp; J662, J662), "")</f>
        <v>0</v>
      </c>
    </row>
    <row r="663" spans="2:2">
      <c r="B663" s="21">
        <f>IF(AND(C663&lt;&gt;"", J663&lt;&gt;""), HYPERLINK("#'" &amp; C663 &amp; "'!" &amp; J663, J663), "")</f>
        <v>0</v>
      </c>
    </row>
    <row r="664" spans="2:2">
      <c r="B664" s="21">
        <f>IF(AND(C664&lt;&gt;"", J664&lt;&gt;""), HYPERLINK("#'" &amp; C664 &amp; "'!" &amp; J664, J664), "")</f>
        <v>0</v>
      </c>
    </row>
    <row r="665" spans="2:2">
      <c r="B665" s="21">
        <f>IF(AND(C665&lt;&gt;"", J665&lt;&gt;""), HYPERLINK("#'" &amp; C665 &amp; "'!" &amp; J665, J665), "")</f>
        <v>0</v>
      </c>
    </row>
    <row r="666" spans="2:2">
      <c r="B666" s="21">
        <f>IF(AND(C666&lt;&gt;"", J666&lt;&gt;""), HYPERLINK("#'" &amp; C666 &amp; "'!" &amp; J666, J666), "")</f>
        <v>0</v>
      </c>
    </row>
    <row r="667" spans="2:2">
      <c r="B667" s="21">
        <f>IF(AND(C667&lt;&gt;"", J667&lt;&gt;""), HYPERLINK("#'" &amp; C667 &amp; "'!" &amp; J667, J667), "")</f>
        <v>0</v>
      </c>
    </row>
    <row r="668" spans="2:2">
      <c r="B668" s="21">
        <f>IF(AND(C668&lt;&gt;"", J668&lt;&gt;""), HYPERLINK("#'" &amp; C668 &amp; "'!" &amp; J668, J668), "")</f>
        <v>0</v>
      </c>
    </row>
    <row r="669" spans="2:2">
      <c r="B669" s="21">
        <f>IF(AND(C669&lt;&gt;"", J669&lt;&gt;""), HYPERLINK("#'" &amp; C669 &amp; "'!" &amp; J669, J669), "")</f>
        <v>0</v>
      </c>
    </row>
    <row r="670" spans="2:2">
      <c r="B670" s="21">
        <f>IF(AND(C670&lt;&gt;"", J670&lt;&gt;""), HYPERLINK("#'" &amp; C670 &amp; "'!" &amp; J670, J670), "")</f>
        <v>0</v>
      </c>
    </row>
    <row r="671" spans="2:2">
      <c r="B671" s="21">
        <f>IF(AND(C671&lt;&gt;"", J671&lt;&gt;""), HYPERLINK("#'" &amp; C671 &amp; "'!" &amp; J671, J671), "")</f>
        <v>0</v>
      </c>
    </row>
    <row r="672" spans="2:2">
      <c r="B672" s="21">
        <f>IF(AND(C672&lt;&gt;"", J672&lt;&gt;""), HYPERLINK("#'" &amp; C672 &amp; "'!" &amp; J672, J672), "")</f>
        <v>0</v>
      </c>
    </row>
    <row r="673" spans="2:2">
      <c r="B673" s="21">
        <f>IF(AND(C673&lt;&gt;"", J673&lt;&gt;""), HYPERLINK("#'" &amp; C673 &amp; "'!" &amp; J673, J673), "")</f>
        <v>0</v>
      </c>
    </row>
    <row r="674" spans="2:2">
      <c r="B674" s="21">
        <f>IF(AND(C674&lt;&gt;"", J674&lt;&gt;""), HYPERLINK("#'" &amp; C674 &amp; "'!" &amp; J674, J674), "")</f>
        <v>0</v>
      </c>
    </row>
    <row r="675" spans="2:2">
      <c r="B675" s="21">
        <f>IF(AND(C675&lt;&gt;"", J675&lt;&gt;""), HYPERLINK("#'" &amp; C675 &amp; "'!" &amp; J675, J675), "")</f>
        <v>0</v>
      </c>
    </row>
    <row r="676" spans="2:2">
      <c r="B676" s="21">
        <f>IF(AND(C676&lt;&gt;"", J676&lt;&gt;""), HYPERLINK("#'" &amp; C676 &amp; "'!" &amp; J676, J676), "")</f>
        <v>0</v>
      </c>
    </row>
    <row r="677" spans="2:2">
      <c r="B677" s="21">
        <f>IF(AND(C677&lt;&gt;"", J677&lt;&gt;""), HYPERLINK("#'" &amp; C677 &amp; "'!" &amp; J677, J677), "")</f>
        <v>0</v>
      </c>
    </row>
    <row r="678" spans="2:2">
      <c r="B678" s="21">
        <f>IF(AND(C678&lt;&gt;"", J678&lt;&gt;""), HYPERLINK("#'" &amp; C678 &amp; "'!" &amp; J678, J678), "")</f>
        <v>0</v>
      </c>
    </row>
    <row r="679" spans="2:2">
      <c r="B679" s="21">
        <f>IF(AND(C679&lt;&gt;"", J679&lt;&gt;""), HYPERLINK("#'" &amp; C679 &amp; "'!" &amp; J679, J679), "")</f>
        <v>0</v>
      </c>
    </row>
    <row r="680" spans="2:2">
      <c r="B680" s="21">
        <f>IF(AND(C680&lt;&gt;"", J680&lt;&gt;""), HYPERLINK("#'" &amp; C680 &amp; "'!" &amp; J680, J680), "")</f>
        <v>0</v>
      </c>
    </row>
    <row r="681" spans="2:2">
      <c r="B681" s="21">
        <f>IF(AND(C681&lt;&gt;"", J681&lt;&gt;""), HYPERLINK("#'" &amp; C681 &amp; "'!" &amp; J681, J681), "")</f>
        <v>0</v>
      </c>
    </row>
    <row r="682" spans="2:2">
      <c r="B682" s="21">
        <f>IF(AND(C682&lt;&gt;"", J682&lt;&gt;""), HYPERLINK("#'" &amp; C682 &amp; "'!" &amp; J682, J682), "")</f>
        <v>0</v>
      </c>
    </row>
    <row r="683" spans="2:2">
      <c r="B683" s="21">
        <f>IF(AND(C683&lt;&gt;"", J683&lt;&gt;""), HYPERLINK("#'" &amp; C683 &amp; "'!" &amp; J683, J683), "")</f>
        <v>0</v>
      </c>
    </row>
    <row r="684" spans="2:2">
      <c r="B684" s="21">
        <f>IF(AND(C684&lt;&gt;"", J684&lt;&gt;""), HYPERLINK("#'" &amp; C684 &amp; "'!" &amp; J684, J684), "")</f>
        <v>0</v>
      </c>
    </row>
    <row r="685" spans="2:2">
      <c r="B685" s="21">
        <f>IF(AND(C685&lt;&gt;"", J685&lt;&gt;""), HYPERLINK("#'" &amp; C685 &amp; "'!" &amp; J685, J685), "")</f>
        <v>0</v>
      </c>
    </row>
    <row r="686" spans="2:2">
      <c r="B686" s="21">
        <f>IF(AND(C686&lt;&gt;"", J686&lt;&gt;""), HYPERLINK("#'" &amp; C686 &amp; "'!" &amp; J686, J686), "")</f>
        <v>0</v>
      </c>
    </row>
    <row r="687" spans="2:2">
      <c r="B687" s="21">
        <f>IF(AND(C687&lt;&gt;"", J687&lt;&gt;""), HYPERLINK("#'" &amp; C687 &amp; "'!" &amp; J687, J687), "")</f>
        <v>0</v>
      </c>
    </row>
    <row r="688" spans="2:2">
      <c r="B688" s="21">
        <f>IF(AND(C688&lt;&gt;"", J688&lt;&gt;""), HYPERLINK("#'" &amp; C688 &amp; "'!" &amp; J688, J688), "")</f>
        <v>0</v>
      </c>
    </row>
    <row r="689" spans="2:2">
      <c r="B689" s="21">
        <f>IF(AND(C689&lt;&gt;"", J689&lt;&gt;""), HYPERLINK("#'" &amp; C689 &amp; "'!" &amp; J689, J689), "")</f>
        <v>0</v>
      </c>
    </row>
    <row r="690" spans="2:2">
      <c r="B690" s="21">
        <f>IF(AND(C690&lt;&gt;"", J690&lt;&gt;""), HYPERLINK("#'" &amp; C690 &amp; "'!" &amp; J690, J690), "")</f>
        <v>0</v>
      </c>
    </row>
    <row r="691" spans="2:2">
      <c r="B691" s="21">
        <f>IF(AND(C691&lt;&gt;"", J691&lt;&gt;""), HYPERLINK("#'" &amp; C691 &amp; "'!" &amp; J691, J691), "")</f>
        <v>0</v>
      </c>
    </row>
    <row r="692" spans="2:2">
      <c r="B692" s="21">
        <f>IF(AND(C692&lt;&gt;"", J692&lt;&gt;""), HYPERLINK("#'" &amp; C692 &amp; "'!" &amp; J692, J692), "")</f>
        <v>0</v>
      </c>
    </row>
    <row r="693" spans="2:2">
      <c r="B693" s="21">
        <f>IF(AND(C693&lt;&gt;"", J693&lt;&gt;""), HYPERLINK("#'" &amp; C693 &amp; "'!" &amp; J693, J693), "")</f>
        <v>0</v>
      </c>
    </row>
    <row r="694" spans="2:2">
      <c r="B694" s="21">
        <f>IF(AND(C694&lt;&gt;"", J694&lt;&gt;""), HYPERLINK("#'" &amp; C694 &amp; "'!" &amp; J694, J694), "")</f>
        <v>0</v>
      </c>
    </row>
    <row r="695" spans="2:2">
      <c r="B695" s="21">
        <f>IF(AND(C695&lt;&gt;"", J695&lt;&gt;""), HYPERLINK("#'" &amp; C695 &amp; "'!" &amp; J695, J695), "")</f>
        <v>0</v>
      </c>
    </row>
    <row r="696" spans="2:2">
      <c r="B696" s="21">
        <f>IF(AND(C696&lt;&gt;"", J696&lt;&gt;""), HYPERLINK("#'" &amp; C696 &amp; "'!" &amp; J696, J696), "")</f>
        <v>0</v>
      </c>
    </row>
    <row r="697" spans="2:2">
      <c r="B697" s="21">
        <f>IF(AND(C697&lt;&gt;"", J697&lt;&gt;""), HYPERLINK("#'" &amp; C697 &amp; "'!" &amp; J697, J697), "")</f>
        <v>0</v>
      </c>
    </row>
    <row r="698" spans="2:2">
      <c r="B698" s="21">
        <f>IF(AND(C698&lt;&gt;"", J698&lt;&gt;""), HYPERLINK("#'" &amp; C698 &amp; "'!" &amp; J698, J698), "")</f>
        <v>0</v>
      </c>
    </row>
    <row r="699" spans="2:2">
      <c r="B699" s="21">
        <f>IF(AND(C699&lt;&gt;"", J699&lt;&gt;""), HYPERLINK("#'" &amp; C699 &amp; "'!" &amp; J699, J699), "")</f>
        <v>0</v>
      </c>
    </row>
    <row r="700" spans="2:2">
      <c r="B700" s="21">
        <f>IF(AND(C700&lt;&gt;"", J700&lt;&gt;""), HYPERLINK("#'" &amp; C700 &amp; "'!" &amp; J700, J700), "")</f>
        <v>0</v>
      </c>
    </row>
    <row r="701" spans="2:2">
      <c r="B701" s="21">
        <f>IF(AND(C701&lt;&gt;"", J701&lt;&gt;""), HYPERLINK("#'" &amp; C701 &amp; "'!" &amp; J701, J701), "")</f>
        <v>0</v>
      </c>
    </row>
    <row r="702" spans="2:2">
      <c r="B702" s="21">
        <f>IF(AND(C702&lt;&gt;"", J702&lt;&gt;""), HYPERLINK("#'" &amp; C702 &amp; "'!" &amp; J702, J702), "")</f>
        <v>0</v>
      </c>
    </row>
    <row r="703" spans="2:2">
      <c r="B703" s="21">
        <f>IF(AND(C703&lt;&gt;"", J703&lt;&gt;""), HYPERLINK("#'" &amp; C703 &amp; "'!" &amp; J703, J703), "")</f>
        <v>0</v>
      </c>
    </row>
    <row r="704" spans="2:2">
      <c r="B704" s="21">
        <f>IF(AND(C704&lt;&gt;"", J704&lt;&gt;""), HYPERLINK("#'" &amp; C704 &amp; "'!" &amp; J704, J704), "")</f>
        <v>0</v>
      </c>
    </row>
    <row r="705" spans="2:2">
      <c r="B705" s="21">
        <f>IF(AND(C705&lt;&gt;"", J705&lt;&gt;""), HYPERLINK("#'" &amp; C705 &amp; "'!" &amp; J705, J705), "")</f>
        <v>0</v>
      </c>
    </row>
    <row r="706" spans="2:2">
      <c r="B706" s="21">
        <f>IF(AND(C706&lt;&gt;"", J706&lt;&gt;""), HYPERLINK("#'" &amp; C706 &amp; "'!" &amp; J706, J706), "")</f>
        <v>0</v>
      </c>
    </row>
    <row r="707" spans="2:2">
      <c r="B707" s="21">
        <f>IF(AND(C707&lt;&gt;"", J707&lt;&gt;""), HYPERLINK("#'" &amp; C707 &amp; "'!" &amp; J707, J707), "")</f>
        <v>0</v>
      </c>
    </row>
    <row r="708" spans="2:2">
      <c r="B708" s="21">
        <f>IF(AND(C708&lt;&gt;"", J708&lt;&gt;""), HYPERLINK("#'" &amp; C708 &amp; "'!" &amp; J708, J708), "")</f>
        <v>0</v>
      </c>
    </row>
    <row r="709" spans="2:2">
      <c r="B709" s="21">
        <f>IF(AND(C709&lt;&gt;"", J709&lt;&gt;""), HYPERLINK("#'" &amp; C709 &amp; "'!" &amp; J709, J709), "")</f>
        <v>0</v>
      </c>
    </row>
    <row r="710" spans="2:2">
      <c r="B710" s="21">
        <f>IF(AND(C710&lt;&gt;"", J710&lt;&gt;""), HYPERLINK("#'" &amp; C710 &amp; "'!" &amp; J710, J710), "")</f>
        <v>0</v>
      </c>
    </row>
    <row r="711" spans="2:2">
      <c r="B711" s="21">
        <f>IF(AND(C711&lt;&gt;"", J711&lt;&gt;""), HYPERLINK("#'" &amp; C711 &amp; "'!" &amp; J711, J711), "")</f>
        <v>0</v>
      </c>
    </row>
    <row r="712" spans="2:2">
      <c r="B712" s="21">
        <f>IF(AND(C712&lt;&gt;"", J712&lt;&gt;""), HYPERLINK("#'" &amp; C712 &amp; "'!" &amp; J712, J712), "")</f>
        <v>0</v>
      </c>
    </row>
    <row r="713" spans="2:2">
      <c r="B713" s="21">
        <f>IF(AND(C713&lt;&gt;"", J713&lt;&gt;""), HYPERLINK("#'" &amp; C713 &amp; "'!" &amp; J713, J713), "")</f>
        <v>0</v>
      </c>
    </row>
    <row r="714" spans="2:2">
      <c r="B714" s="21">
        <f>IF(AND(C714&lt;&gt;"", J714&lt;&gt;""), HYPERLINK("#'" &amp; C714 &amp; "'!" &amp; J714, J714), "")</f>
        <v>0</v>
      </c>
    </row>
    <row r="715" spans="2:2">
      <c r="B715" s="21">
        <f>IF(AND(C715&lt;&gt;"", J715&lt;&gt;""), HYPERLINK("#'" &amp; C715 &amp; "'!" &amp; J715, J715), "")</f>
        <v>0</v>
      </c>
    </row>
    <row r="716" spans="2:2">
      <c r="B716" s="21">
        <f>IF(AND(C716&lt;&gt;"", J716&lt;&gt;""), HYPERLINK("#'" &amp; C716 &amp; "'!" &amp; J716, J716), "")</f>
        <v>0</v>
      </c>
    </row>
    <row r="717" spans="2:2">
      <c r="B717" s="21">
        <f>IF(AND(C717&lt;&gt;"", J717&lt;&gt;""), HYPERLINK("#'" &amp; C717 &amp; "'!" &amp; J717, J717), "")</f>
        <v>0</v>
      </c>
    </row>
    <row r="718" spans="2:2">
      <c r="B718" s="21">
        <f>IF(AND(C718&lt;&gt;"", J718&lt;&gt;""), HYPERLINK("#'" &amp; C718 &amp; "'!" &amp; J718, J718), "")</f>
        <v>0</v>
      </c>
    </row>
    <row r="719" spans="2:2">
      <c r="B719" s="21">
        <f>IF(AND(C719&lt;&gt;"", J719&lt;&gt;""), HYPERLINK("#'" &amp; C719 &amp; "'!" &amp; J719, J719), "")</f>
        <v>0</v>
      </c>
    </row>
    <row r="720" spans="2:2">
      <c r="B720" s="21">
        <f>IF(AND(C720&lt;&gt;"", J720&lt;&gt;""), HYPERLINK("#'" &amp; C720 &amp; "'!" &amp; J720, J720), "")</f>
        <v>0</v>
      </c>
    </row>
    <row r="721" spans="2:2">
      <c r="B721" s="21">
        <f>IF(AND(C721&lt;&gt;"", J721&lt;&gt;""), HYPERLINK("#'" &amp; C721 &amp; "'!" &amp; J721, J721), "")</f>
        <v>0</v>
      </c>
    </row>
    <row r="722" spans="2:2">
      <c r="B722" s="21">
        <f>IF(AND(C722&lt;&gt;"", J722&lt;&gt;""), HYPERLINK("#'" &amp; C722 &amp; "'!" &amp; J722, J722), "")</f>
        <v>0</v>
      </c>
    </row>
    <row r="723" spans="2:2">
      <c r="B723" s="21">
        <f>IF(AND(C723&lt;&gt;"", J723&lt;&gt;""), HYPERLINK("#'" &amp; C723 &amp; "'!" &amp; J723, J723), "")</f>
        <v>0</v>
      </c>
    </row>
    <row r="724" spans="2:2">
      <c r="B724" s="21">
        <f>IF(AND(C724&lt;&gt;"", J724&lt;&gt;""), HYPERLINK("#'" &amp; C724 &amp; "'!" &amp; J724, J724), "")</f>
        <v>0</v>
      </c>
    </row>
    <row r="725" spans="2:2">
      <c r="B725" s="21">
        <f>IF(AND(C725&lt;&gt;"", J725&lt;&gt;""), HYPERLINK("#'" &amp; C725 &amp; "'!" &amp; J725, J725), "")</f>
        <v>0</v>
      </c>
    </row>
    <row r="726" spans="2:2">
      <c r="B726" s="21">
        <f>IF(AND(C726&lt;&gt;"", J726&lt;&gt;""), HYPERLINK("#'" &amp; C726 &amp; "'!" &amp; J726, J726), "")</f>
        <v>0</v>
      </c>
    </row>
    <row r="727" spans="2:2">
      <c r="B727" s="21">
        <f>IF(AND(C727&lt;&gt;"", J727&lt;&gt;""), HYPERLINK("#'" &amp; C727 &amp; "'!" &amp; J727, J727), "")</f>
        <v>0</v>
      </c>
    </row>
    <row r="728" spans="2:2">
      <c r="B728" s="21">
        <f>IF(AND(C728&lt;&gt;"", J728&lt;&gt;""), HYPERLINK("#'" &amp; C728 &amp; "'!" &amp; J728, J728), "")</f>
        <v>0</v>
      </c>
    </row>
    <row r="729" spans="2:2">
      <c r="B729" s="21">
        <f>IF(AND(C729&lt;&gt;"", J729&lt;&gt;""), HYPERLINK("#'" &amp; C729 &amp; "'!" &amp; J729, J729), "")</f>
        <v>0</v>
      </c>
    </row>
    <row r="730" spans="2:2">
      <c r="B730" s="21">
        <f>IF(AND(C730&lt;&gt;"", J730&lt;&gt;""), HYPERLINK("#'" &amp; C730 &amp; "'!" &amp; J730, J730), "")</f>
        <v>0</v>
      </c>
    </row>
    <row r="731" spans="2:2">
      <c r="B731" s="21">
        <f>IF(AND(C731&lt;&gt;"", J731&lt;&gt;""), HYPERLINK("#'" &amp; C731 &amp; "'!" &amp; J731, J731), "")</f>
        <v>0</v>
      </c>
    </row>
    <row r="732" spans="2:2">
      <c r="B732" s="21">
        <f>IF(AND(C732&lt;&gt;"", J732&lt;&gt;""), HYPERLINK("#'" &amp; C732 &amp; "'!" &amp; J732, J732), "")</f>
        <v>0</v>
      </c>
    </row>
    <row r="733" spans="2:2">
      <c r="B733" s="21">
        <f>IF(AND(C733&lt;&gt;"", J733&lt;&gt;""), HYPERLINK("#'" &amp; C733 &amp; "'!" &amp; J733, J733), "")</f>
        <v>0</v>
      </c>
    </row>
    <row r="734" spans="2:2">
      <c r="B734" s="21">
        <f>IF(AND(C734&lt;&gt;"", J734&lt;&gt;""), HYPERLINK("#'" &amp; C734 &amp; "'!" &amp; J734, J734), "")</f>
        <v>0</v>
      </c>
    </row>
    <row r="735" spans="2:2">
      <c r="B735" s="21">
        <f>IF(AND(C735&lt;&gt;"", J735&lt;&gt;""), HYPERLINK("#'" &amp; C735 &amp; "'!" &amp; J735, J735), "")</f>
        <v>0</v>
      </c>
    </row>
    <row r="736" spans="2:2">
      <c r="B736" s="21">
        <f>IF(AND(C736&lt;&gt;"", J736&lt;&gt;""), HYPERLINK("#'" &amp; C736 &amp; "'!" &amp; J736, J736), "")</f>
        <v>0</v>
      </c>
    </row>
    <row r="737" spans="2:2">
      <c r="B737" s="21">
        <f>IF(AND(C737&lt;&gt;"", J737&lt;&gt;""), HYPERLINK("#'" &amp; C737 &amp; "'!" &amp; J737, J737), "")</f>
        <v>0</v>
      </c>
    </row>
    <row r="738" spans="2:2">
      <c r="B738" s="21">
        <f>IF(AND(C738&lt;&gt;"", J738&lt;&gt;""), HYPERLINK("#'" &amp; C738 &amp; "'!" &amp; J738, J738), "")</f>
        <v>0</v>
      </c>
    </row>
    <row r="739" spans="2:2">
      <c r="B739" s="21">
        <f>IF(AND(C739&lt;&gt;"", J739&lt;&gt;""), HYPERLINK("#'" &amp; C739 &amp; "'!" &amp; J739, J739), "")</f>
        <v>0</v>
      </c>
    </row>
    <row r="740" spans="2:2">
      <c r="B740" s="21">
        <f>IF(AND(C740&lt;&gt;"", J740&lt;&gt;""), HYPERLINK("#'" &amp; C740 &amp; "'!" &amp; J740, J740), "")</f>
        <v>0</v>
      </c>
    </row>
    <row r="741" spans="2:2">
      <c r="B741" s="21">
        <f>IF(AND(C741&lt;&gt;"", J741&lt;&gt;""), HYPERLINK("#'" &amp; C741 &amp; "'!" &amp; J741, J741), "")</f>
        <v>0</v>
      </c>
    </row>
    <row r="742" spans="2:2">
      <c r="B742" s="21">
        <f>IF(AND(C742&lt;&gt;"", J742&lt;&gt;""), HYPERLINK("#'" &amp; C742 &amp; "'!" &amp; J742, J742), "")</f>
        <v>0</v>
      </c>
    </row>
    <row r="743" spans="2:2">
      <c r="B743" s="21">
        <f>IF(AND(C743&lt;&gt;"", J743&lt;&gt;""), HYPERLINK("#'" &amp; C743 &amp; "'!" &amp; J743, J743), "")</f>
        <v>0</v>
      </c>
    </row>
    <row r="744" spans="2:2">
      <c r="B744" s="21">
        <f>IF(AND(C744&lt;&gt;"", J744&lt;&gt;""), HYPERLINK("#'" &amp; C744 &amp; "'!" &amp; J744, J744), "")</f>
        <v>0</v>
      </c>
    </row>
    <row r="745" spans="2:2">
      <c r="B745" s="21">
        <f>IF(AND(C745&lt;&gt;"", J745&lt;&gt;""), HYPERLINK("#'" &amp; C745 &amp; "'!" &amp; J745, J745), "")</f>
        <v>0</v>
      </c>
    </row>
    <row r="746" spans="2:2">
      <c r="B746" s="21">
        <f>IF(AND(C746&lt;&gt;"", J746&lt;&gt;""), HYPERLINK("#'" &amp; C746 &amp; "'!" &amp; J746, J746), "")</f>
        <v>0</v>
      </c>
    </row>
    <row r="747" spans="2:2">
      <c r="B747" s="21">
        <f>IF(AND(C747&lt;&gt;"", J747&lt;&gt;""), HYPERLINK("#'" &amp; C747 &amp; "'!" &amp; J747, J747), "")</f>
        <v>0</v>
      </c>
    </row>
    <row r="748" spans="2:2">
      <c r="B748" s="21">
        <f>IF(AND(C748&lt;&gt;"", J748&lt;&gt;""), HYPERLINK("#'" &amp; C748 &amp; "'!" &amp; J748, J748), "")</f>
        <v>0</v>
      </c>
    </row>
    <row r="749" spans="2:2">
      <c r="B749" s="21">
        <f>IF(AND(C749&lt;&gt;"", J749&lt;&gt;""), HYPERLINK("#'" &amp; C749 &amp; "'!" &amp; J749, J749), "")</f>
        <v>0</v>
      </c>
    </row>
    <row r="750" spans="2:2">
      <c r="B750" s="21">
        <f>IF(AND(C750&lt;&gt;"", J750&lt;&gt;""), HYPERLINK("#'" &amp; C750 &amp; "'!" &amp; J750, J750), "")</f>
        <v>0</v>
      </c>
    </row>
    <row r="751" spans="2:2">
      <c r="B751" s="21">
        <f>IF(AND(C751&lt;&gt;"", J751&lt;&gt;""), HYPERLINK("#'" &amp; C751 &amp; "'!" &amp; J751, J751), "")</f>
        <v>0</v>
      </c>
    </row>
    <row r="752" spans="2:2">
      <c r="B752" s="21">
        <f>IF(AND(C752&lt;&gt;"", J752&lt;&gt;""), HYPERLINK("#'" &amp; C752 &amp; "'!" &amp; J752, J752), "")</f>
        <v>0</v>
      </c>
    </row>
    <row r="753" spans="2:2">
      <c r="B753" s="21">
        <f>IF(AND(C753&lt;&gt;"", J753&lt;&gt;""), HYPERLINK("#'" &amp; C753 &amp; "'!" &amp; J753, J753), "")</f>
        <v>0</v>
      </c>
    </row>
    <row r="754" spans="2:2">
      <c r="B754" s="21">
        <f>IF(AND(C754&lt;&gt;"", J754&lt;&gt;""), HYPERLINK("#'" &amp; C754 &amp; "'!" &amp; J754, J754), "")</f>
        <v>0</v>
      </c>
    </row>
    <row r="755" spans="2:2">
      <c r="B755" s="21">
        <f>IF(AND(C755&lt;&gt;"", J755&lt;&gt;""), HYPERLINK("#'" &amp; C755 &amp; "'!" &amp; J755, J755), "")</f>
        <v>0</v>
      </c>
    </row>
    <row r="756" spans="2:2">
      <c r="B756" s="21">
        <f>IF(AND(C756&lt;&gt;"", J756&lt;&gt;""), HYPERLINK("#'" &amp; C756 &amp; "'!" &amp; J756, J756), "")</f>
        <v>0</v>
      </c>
    </row>
    <row r="757" spans="2:2">
      <c r="B757" s="21">
        <f>IF(AND(C757&lt;&gt;"", J757&lt;&gt;""), HYPERLINK("#'" &amp; C757 &amp; "'!" &amp; J757, J757), "")</f>
        <v>0</v>
      </c>
    </row>
    <row r="758" spans="2:2">
      <c r="B758" s="21">
        <f>IF(AND(C758&lt;&gt;"", J758&lt;&gt;""), HYPERLINK("#'" &amp; C758 &amp; "'!" &amp; J758, J758), "")</f>
        <v>0</v>
      </c>
    </row>
    <row r="759" spans="2:2">
      <c r="B759" s="21">
        <f>IF(AND(C759&lt;&gt;"", J759&lt;&gt;""), HYPERLINK("#'" &amp; C759 &amp; "'!" &amp; J759, J759), "")</f>
        <v>0</v>
      </c>
    </row>
    <row r="760" spans="2:2">
      <c r="B760" s="21">
        <f>IF(AND(C760&lt;&gt;"", J760&lt;&gt;""), HYPERLINK("#'" &amp; C760 &amp; "'!" &amp; J760, J760), "")</f>
        <v>0</v>
      </c>
    </row>
    <row r="761" spans="2:2">
      <c r="B761" s="21">
        <f>IF(AND(C761&lt;&gt;"", J761&lt;&gt;""), HYPERLINK("#'" &amp; C761 &amp; "'!" &amp; J761, J761), "")</f>
        <v>0</v>
      </c>
    </row>
    <row r="762" spans="2:2">
      <c r="B762" s="21">
        <f>IF(AND(C762&lt;&gt;"", J762&lt;&gt;""), HYPERLINK("#'" &amp; C762 &amp; "'!" &amp; J762, J762), "")</f>
        <v>0</v>
      </c>
    </row>
    <row r="763" spans="2:2">
      <c r="B763" s="21">
        <f>IF(AND(C763&lt;&gt;"", J763&lt;&gt;""), HYPERLINK("#'" &amp; C763 &amp; "'!" &amp; J763, J763), "")</f>
        <v>0</v>
      </c>
    </row>
    <row r="764" spans="2:2">
      <c r="B764" s="21">
        <f>IF(AND(C764&lt;&gt;"", J764&lt;&gt;""), HYPERLINK("#'" &amp; C764 &amp; "'!" &amp; J764, J764), "")</f>
        <v>0</v>
      </c>
    </row>
    <row r="765" spans="2:2">
      <c r="B765" s="21">
        <f>IF(AND(C765&lt;&gt;"", J765&lt;&gt;""), HYPERLINK("#'" &amp; C765 &amp; "'!" &amp; J765, J765), "")</f>
        <v>0</v>
      </c>
    </row>
    <row r="766" spans="2:2">
      <c r="B766" s="21">
        <f>IF(AND(C766&lt;&gt;"", J766&lt;&gt;""), HYPERLINK("#'" &amp; C766 &amp; "'!" &amp; J766, J766), "")</f>
        <v>0</v>
      </c>
    </row>
    <row r="767" spans="2:2">
      <c r="B767" s="21">
        <f>IF(AND(C767&lt;&gt;"", J767&lt;&gt;""), HYPERLINK("#'" &amp; C767 &amp; "'!" &amp; J767, J767), "")</f>
        <v>0</v>
      </c>
    </row>
    <row r="768" spans="2:2">
      <c r="B768" s="21">
        <f>IF(AND(C768&lt;&gt;"", J768&lt;&gt;""), HYPERLINK("#'" &amp; C768 &amp; "'!" &amp; J768, J768), "")</f>
        <v>0</v>
      </c>
    </row>
    <row r="769" spans="2:2">
      <c r="B769" s="21">
        <f>IF(AND(C769&lt;&gt;"", J769&lt;&gt;""), HYPERLINK("#'" &amp; C769 &amp; "'!" &amp; J769, J769), "")</f>
        <v>0</v>
      </c>
    </row>
    <row r="770" spans="2:2">
      <c r="B770" s="21">
        <f>IF(AND(C770&lt;&gt;"", J770&lt;&gt;""), HYPERLINK("#'" &amp; C770 &amp; "'!" &amp; J770, J770), "")</f>
        <v>0</v>
      </c>
    </row>
    <row r="771" spans="2:2">
      <c r="B771" s="21">
        <f>IF(AND(C771&lt;&gt;"", J771&lt;&gt;""), HYPERLINK("#'" &amp; C771 &amp; "'!" &amp; J771, J771), "")</f>
        <v>0</v>
      </c>
    </row>
    <row r="772" spans="2:2">
      <c r="B772" s="21">
        <f>IF(AND(C772&lt;&gt;"", J772&lt;&gt;""), HYPERLINK("#'" &amp; C772 &amp; "'!" &amp; J772, J772), "")</f>
        <v>0</v>
      </c>
    </row>
    <row r="773" spans="2:2">
      <c r="B773" s="21">
        <f>IF(AND(C773&lt;&gt;"", J773&lt;&gt;""), HYPERLINK("#'" &amp; C773 &amp; "'!" &amp; J773, J773), "")</f>
        <v>0</v>
      </c>
    </row>
    <row r="774" spans="2:2">
      <c r="B774" s="21">
        <f>IF(AND(C774&lt;&gt;"", J774&lt;&gt;""), HYPERLINK("#'" &amp; C774 &amp; "'!" &amp; J774, J774), "")</f>
        <v>0</v>
      </c>
    </row>
    <row r="775" spans="2:2">
      <c r="B775" s="21">
        <f>IF(AND(C775&lt;&gt;"", J775&lt;&gt;""), HYPERLINK("#'" &amp; C775 &amp; "'!" &amp; J775, J775), "")</f>
        <v>0</v>
      </c>
    </row>
    <row r="776" spans="2:2">
      <c r="B776" s="21">
        <f>IF(AND(C776&lt;&gt;"", J776&lt;&gt;""), HYPERLINK("#'" &amp; C776 &amp; "'!" &amp; J776, J776), "")</f>
        <v>0</v>
      </c>
    </row>
    <row r="777" spans="2:2">
      <c r="B777" s="21">
        <f>IF(AND(C777&lt;&gt;"", J777&lt;&gt;""), HYPERLINK("#'" &amp; C777 &amp; "'!" &amp; J777, J777), "")</f>
        <v>0</v>
      </c>
    </row>
    <row r="778" spans="2:2">
      <c r="B778" s="21">
        <f>IF(AND(C778&lt;&gt;"", J778&lt;&gt;""), HYPERLINK("#'" &amp; C778 &amp; "'!" &amp; J778, J778), "")</f>
        <v>0</v>
      </c>
    </row>
    <row r="779" spans="2:2">
      <c r="B779" s="21">
        <f>IF(AND(C779&lt;&gt;"", J779&lt;&gt;""), HYPERLINK("#'" &amp; C779 &amp; "'!" &amp; J779, J779), "")</f>
        <v>0</v>
      </c>
    </row>
    <row r="780" spans="2:2">
      <c r="B780" s="21">
        <f>IF(AND(C780&lt;&gt;"", J780&lt;&gt;""), HYPERLINK("#'" &amp; C780 &amp; "'!" &amp; J780, J780), "")</f>
        <v>0</v>
      </c>
    </row>
    <row r="781" spans="2:2">
      <c r="B781" s="21">
        <f>IF(AND(C781&lt;&gt;"", J781&lt;&gt;""), HYPERLINK("#'" &amp; C781 &amp; "'!" &amp; J781, J781), "")</f>
        <v>0</v>
      </c>
    </row>
    <row r="782" spans="2:2">
      <c r="B782" s="21">
        <f>IF(AND(C782&lt;&gt;"", J782&lt;&gt;""), HYPERLINK("#'" &amp; C782 &amp; "'!" &amp; J782, J782), "")</f>
        <v>0</v>
      </c>
    </row>
    <row r="783" spans="2:2">
      <c r="B783" s="21">
        <f>IF(AND(C783&lt;&gt;"", J783&lt;&gt;""), HYPERLINK("#'" &amp; C783 &amp; "'!" &amp; J783, J783), "")</f>
        <v>0</v>
      </c>
    </row>
    <row r="784" spans="2:2">
      <c r="B784" s="21">
        <f>IF(AND(C784&lt;&gt;"", J784&lt;&gt;""), HYPERLINK("#'" &amp; C784 &amp; "'!" &amp; J784, J784), "")</f>
        <v>0</v>
      </c>
    </row>
    <row r="785" spans="2:2">
      <c r="B785" s="21">
        <f>IF(AND(C785&lt;&gt;"", J785&lt;&gt;""), HYPERLINK("#'" &amp; C785 &amp; "'!" &amp; J785, J785), "")</f>
        <v>0</v>
      </c>
    </row>
    <row r="786" spans="2:2">
      <c r="B786" s="21">
        <f>IF(AND(C786&lt;&gt;"", J786&lt;&gt;""), HYPERLINK("#'" &amp; C786 &amp; "'!" &amp; J786, J786), "")</f>
        <v>0</v>
      </c>
    </row>
    <row r="787" spans="2:2">
      <c r="B787" s="21">
        <f>IF(AND(C787&lt;&gt;"", J787&lt;&gt;""), HYPERLINK("#'" &amp; C787 &amp; "'!" &amp; J787, J787), "")</f>
        <v>0</v>
      </c>
    </row>
    <row r="788" spans="2:2">
      <c r="B788" s="21">
        <f>IF(AND(C788&lt;&gt;"", J788&lt;&gt;""), HYPERLINK("#'" &amp; C788 &amp; "'!" &amp; J788, J788), "")</f>
        <v>0</v>
      </c>
    </row>
    <row r="789" spans="2:2">
      <c r="B789" s="21">
        <f>IF(AND(C789&lt;&gt;"", J789&lt;&gt;""), HYPERLINK("#'" &amp; C789 &amp; "'!" &amp; J789, J789), "")</f>
        <v>0</v>
      </c>
    </row>
    <row r="790" spans="2:2">
      <c r="B790" s="21">
        <f>IF(AND(C790&lt;&gt;"", J790&lt;&gt;""), HYPERLINK("#'" &amp; C790 &amp; "'!" &amp; J790, J790), "")</f>
        <v>0</v>
      </c>
    </row>
    <row r="791" spans="2:2">
      <c r="B791" s="21">
        <f>IF(AND(C791&lt;&gt;"", J791&lt;&gt;""), HYPERLINK("#'" &amp; C791 &amp; "'!" &amp; J791, J791), "")</f>
        <v>0</v>
      </c>
    </row>
    <row r="792" spans="2:2">
      <c r="B792" s="21">
        <f>IF(AND(C792&lt;&gt;"", J792&lt;&gt;""), HYPERLINK("#'" &amp; C792 &amp; "'!" &amp; J792, J792), "")</f>
        <v>0</v>
      </c>
    </row>
    <row r="793" spans="2:2">
      <c r="B793" s="21">
        <f>IF(AND(C793&lt;&gt;"", J793&lt;&gt;""), HYPERLINK("#'" &amp; C793 &amp; "'!" &amp; J793, J793), "")</f>
        <v>0</v>
      </c>
    </row>
    <row r="794" spans="2:2">
      <c r="B794" s="21">
        <f>IF(AND(C794&lt;&gt;"", J794&lt;&gt;""), HYPERLINK("#'" &amp; C794 &amp; "'!" &amp; J794, J794), "")</f>
        <v>0</v>
      </c>
    </row>
    <row r="795" spans="2:2">
      <c r="B795" s="21">
        <f>IF(AND(C795&lt;&gt;"", J795&lt;&gt;""), HYPERLINK("#'" &amp; C795 &amp; "'!" &amp; J795, J795), "")</f>
        <v>0</v>
      </c>
    </row>
    <row r="796" spans="2:2">
      <c r="B796" s="21">
        <f>IF(AND(C796&lt;&gt;"", J796&lt;&gt;""), HYPERLINK("#'" &amp; C796 &amp; "'!" &amp; J796, J796), "")</f>
        <v>0</v>
      </c>
    </row>
    <row r="797" spans="2:2">
      <c r="B797" s="21">
        <f>IF(AND(C797&lt;&gt;"", J797&lt;&gt;""), HYPERLINK("#'" &amp; C797 &amp; "'!" &amp; J797, J797), "")</f>
        <v>0</v>
      </c>
    </row>
    <row r="798" spans="2:2">
      <c r="B798" s="21">
        <f>IF(AND(C798&lt;&gt;"", J798&lt;&gt;""), HYPERLINK("#'" &amp; C798 &amp; "'!" &amp; J798, J798), "")</f>
        <v>0</v>
      </c>
    </row>
    <row r="799" spans="2:2">
      <c r="B799" s="21">
        <f>IF(AND(C799&lt;&gt;"", J799&lt;&gt;""), HYPERLINK("#'" &amp; C799 &amp; "'!" &amp; J799, J799), "")</f>
        <v>0</v>
      </c>
    </row>
    <row r="800" spans="2:2">
      <c r="B800" s="21">
        <f>IF(AND(C800&lt;&gt;"", J800&lt;&gt;""), HYPERLINK("#'" &amp; C800 &amp; "'!" &amp; J800, J800), "")</f>
        <v>0</v>
      </c>
    </row>
    <row r="801" spans="2:2">
      <c r="B801" s="21">
        <f>IF(AND(C801&lt;&gt;"", J801&lt;&gt;""), HYPERLINK("#'" &amp; C801 &amp; "'!" &amp; J801, J801), "")</f>
        <v>0</v>
      </c>
    </row>
    <row r="802" spans="2:2">
      <c r="B802" s="21">
        <f>IF(AND(C802&lt;&gt;"", J802&lt;&gt;""), HYPERLINK("#'" &amp; C802 &amp; "'!" &amp; J802, J802), "")</f>
        <v>0</v>
      </c>
    </row>
    <row r="803" spans="2:2">
      <c r="B803" s="21">
        <f>IF(AND(C803&lt;&gt;"", J803&lt;&gt;""), HYPERLINK("#'" &amp; C803 &amp; "'!" &amp; J803, J803), "")</f>
        <v>0</v>
      </c>
    </row>
    <row r="804" spans="2:2">
      <c r="B804" s="21">
        <f>IF(AND(C804&lt;&gt;"", J804&lt;&gt;""), HYPERLINK("#'" &amp; C804 &amp; "'!" &amp; J804, J804), "")</f>
        <v>0</v>
      </c>
    </row>
    <row r="805" spans="2:2">
      <c r="B805" s="21">
        <f>IF(AND(C805&lt;&gt;"", J805&lt;&gt;""), HYPERLINK("#'" &amp; C805 &amp; "'!" &amp; J805, J805), "")</f>
        <v>0</v>
      </c>
    </row>
    <row r="806" spans="2:2">
      <c r="B806" s="21">
        <f>IF(AND(C806&lt;&gt;"", J806&lt;&gt;""), HYPERLINK("#'" &amp; C806 &amp; "'!" &amp; J806, J806), "")</f>
        <v>0</v>
      </c>
    </row>
    <row r="807" spans="2:2">
      <c r="B807" s="21">
        <f>IF(AND(C807&lt;&gt;"", J807&lt;&gt;""), HYPERLINK("#'" &amp; C807 &amp; "'!" &amp; J807, J807), "")</f>
        <v>0</v>
      </c>
    </row>
    <row r="808" spans="2:2">
      <c r="B808" s="21">
        <f>IF(AND(C808&lt;&gt;"", J808&lt;&gt;""), HYPERLINK("#'" &amp; C808 &amp; "'!" &amp; J808, J808), "")</f>
        <v>0</v>
      </c>
    </row>
    <row r="809" spans="2:2">
      <c r="B809" s="21">
        <f>IF(AND(C809&lt;&gt;"", J809&lt;&gt;""), HYPERLINK("#'" &amp; C809 &amp; "'!" &amp; J809, J809), "")</f>
        <v>0</v>
      </c>
    </row>
    <row r="810" spans="2:2">
      <c r="B810" s="21">
        <f>IF(AND(C810&lt;&gt;"", J810&lt;&gt;""), HYPERLINK("#'" &amp; C810 &amp; "'!" &amp; J810, J810), "")</f>
        <v>0</v>
      </c>
    </row>
    <row r="811" spans="2:2">
      <c r="B811" s="21">
        <f>IF(AND(C811&lt;&gt;"", J811&lt;&gt;""), HYPERLINK("#'" &amp; C811 &amp; "'!" &amp; J811, J811), "")</f>
        <v>0</v>
      </c>
    </row>
    <row r="812" spans="2:2">
      <c r="B812" s="21">
        <f>IF(AND(C812&lt;&gt;"", J812&lt;&gt;""), HYPERLINK("#'" &amp; C812 &amp; "'!" &amp; J812, J812), "")</f>
        <v>0</v>
      </c>
    </row>
    <row r="813" spans="2:2">
      <c r="B813" s="21">
        <f>IF(AND(C813&lt;&gt;"", J813&lt;&gt;""), HYPERLINK("#'" &amp; C813 &amp; "'!" &amp; J813, J813), "")</f>
        <v>0</v>
      </c>
    </row>
    <row r="814" spans="2:2">
      <c r="B814" s="21">
        <f>IF(AND(C814&lt;&gt;"", J814&lt;&gt;""), HYPERLINK("#'" &amp; C814 &amp; "'!" &amp; J814, J814), "")</f>
        <v>0</v>
      </c>
    </row>
    <row r="815" spans="2:2">
      <c r="B815" s="21">
        <f>IF(AND(C815&lt;&gt;"", J815&lt;&gt;""), HYPERLINK("#'" &amp; C815 &amp; "'!" &amp; J815, J815), "")</f>
        <v>0</v>
      </c>
    </row>
    <row r="816" spans="2:2">
      <c r="B816" s="21">
        <f>IF(AND(C816&lt;&gt;"", J816&lt;&gt;""), HYPERLINK("#'" &amp; C816 &amp; "'!" &amp; J816, J816), "")</f>
        <v>0</v>
      </c>
    </row>
    <row r="817" spans="2:2">
      <c r="B817" s="21">
        <f>IF(AND(C817&lt;&gt;"", J817&lt;&gt;""), HYPERLINK("#'" &amp; C817 &amp; "'!" &amp; J817, J817), "")</f>
        <v>0</v>
      </c>
    </row>
    <row r="818" spans="2:2">
      <c r="B818" s="21">
        <f>IF(AND(C818&lt;&gt;"", J818&lt;&gt;""), HYPERLINK("#'" &amp; C818 &amp; "'!" &amp; J818, J818), "")</f>
        <v>0</v>
      </c>
    </row>
    <row r="819" spans="2:2">
      <c r="B819" s="21">
        <f>IF(AND(C819&lt;&gt;"", J819&lt;&gt;""), HYPERLINK("#'" &amp; C819 &amp; "'!" &amp; J819, J819), "")</f>
        <v>0</v>
      </c>
    </row>
    <row r="820" spans="2:2">
      <c r="B820" s="21">
        <f>IF(AND(C820&lt;&gt;"", J820&lt;&gt;""), HYPERLINK("#'" &amp; C820 &amp; "'!" &amp; J820, J820), "")</f>
        <v>0</v>
      </c>
    </row>
    <row r="821" spans="2:2">
      <c r="B821" s="21">
        <f>IF(AND(C821&lt;&gt;"", J821&lt;&gt;""), HYPERLINK("#'" &amp; C821 &amp; "'!" &amp; J821, J821), "")</f>
        <v>0</v>
      </c>
    </row>
    <row r="822" spans="2:2">
      <c r="B822" s="21">
        <f>IF(AND(C822&lt;&gt;"", J822&lt;&gt;""), HYPERLINK("#'" &amp; C822 &amp; "'!" &amp; J822, J822), "")</f>
        <v>0</v>
      </c>
    </row>
    <row r="823" spans="2:2">
      <c r="B823" s="21">
        <f>IF(AND(C823&lt;&gt;"", J823&lt;&gt;""), HYPERLINK("#'" &amp; C823 &amp; "'!" &amp; J823, J823), "")</f>
        <v>0</v>
      </c>
    </row>
    <row r="824" spans="2:2">
      <c r="B824" s="21">
        <f>IF(AND(C824&lt;&gt;"", J824&lt;&gt;""), HYPERLINK("#'" &amp; C824 &amp; "'!" &amp; J824, J824), "")</f>
        <v>0</v>
      </c>
    </row>
    <row r="825" spans="2:2">
      <c r="B825" s="21">
        <f>IF(AND(C825&lt;&gt;"", J825&lt;&gt;""), HYPERLINK("#'" &amp; C825 &amp; "'!" &amp; J825, J825), "")</f>
        <v>0</v>
      </c>
    </row>
    <row r="826" spans="2:2">
      <c r="B826" s="21">
        <f>IF(AND(C826&lt;&gt;"", J826&lt;&gt;""), HYPERLINK("#'" &amp; C826 &amp; "'!" &amp; J826, J826), "")</f>
        <v>0</v>
      </c>
    </row>
    <row r="827" spans="2:2">
      <c r="B827" s="21">
        <f>IF(AND(C827&lt;&gt;"", J827&lt;&gt;""), HYPERLINK("#'" &amp; C827 &amp; "'!" &amp; J827, J827), "")</f>
        <v>0</v>
      </c>
    </row>
    <row r="828" spans="2:2">
      <c r="B828" s="21">
        <f>IF(AND(C828&lt;&gt;"", J828&lt;&gt;""), HYPERLINK("#'" &amp; C828 &amp; "'!" &amp; J828, J828), "")</f>
        <v>0</v>
      </c>
    </row>
    <row r="829" spans="2:2">
      <c r="B829" s="21">
        <f>IF(AND(C829&lt;&gt;"", J829&lt;&gt;""), HYPERLINK("#'" &amp; C829 &amp; "'!" &amp; J829, J829), "")</f>
        <v>0</v>
      </c>
    </row>
    <row r="830" spans="2:2">
      <c r="B830" s="21">
        <f>IF(AND(C830&lt;&gt;"", J830&lt;&gt;""), HYPERLINK("#'" &amp; C830 &amp; "'!" &amp; J830, J830), "")</f>
        <v>0</v>
      </c>
    </row>
    <row r="831" spans="2:2">
      <c r="B831" s="21">
        <f>IF(AND(C831&lt;&gt;"", J831&lt;&gt;""), HYPERLINK("#'" &amp; C831 &amp; "'!" &amp; J831, J831), "")</f>
        <v>0</v>
      </c>
    </row>
    <row r="832" spans="2:2">
      <c r="B832" s="21">
        <f>IF(AND(C832&lt;&gt;"", J832&lt;&gt;""), HYPERLINK("#'" &amp; C832 &amp; "'!" &amp; J832, J832), "")</f>
        <v>0</v>
      </c>
    </row>
    <row r="833" spans="2:2">
      <c r="B833" s="21">
        <f>IF(AND(C833&lt;&gt;"", J833&lt;&gt;""), HYPERLINK("#'" &amp; C833 &amp; "'!" &amp; J833, J833), "")</f>
        <v>0</v>
      </c>
    </row>
    <row r="834" spans="2:2">
      <c r="B834" s="21">
        <f>IF(AND(C834&lt;&gt;"", J834&lt;&gt;""), HYPERLINK("#'" &amp; C834 &amp; "'!" &amp; J834, J834), "")</f>
        <v>0</v>
      </c>
    </row>
    <row r="835" spans="2:2">
      <c r="B835" s="21">
        <f>IF(AND(C835&lt;&gt;"", J835&lt;&gt;""), HYPERLINK("#'" &amp; C835 &amp; "'!" &amp; J835, J835), "")</f>
        <v>0</v>
      </c>
    </row>
    <row r="836" spans="2:2">
      <c r="B836" s="21">
        <f>IF(AND(C836&lt;&gt;"", J836&lt;&gt;""), HYPERLINK("#'" &amp; C836 &amp; "'!" &amp; J836, J836), "")</f>
        <v>0</v>
      </c>
    </row>
    <row r="837" spans="2:2">
      <c r="B837" s="21">
        <f>IF(AND(C837&lt;&gt;"", J837&lt;&gt;""), HYPERLINK("#'" &amp; C837 &amp; "'!" &amp; J837, J837), "")</f>
        <v>0</v>
      </c>
    </row>
    <row r="838" spans="2:2">
      <c r="B838" s="21">
        <f>IF(AND(C838&lt;&gt;"", J838&lt;&gt;""), HYPERLINK("#'" &amp; C838 &amp; "'!" &amp; J838, J838), "")</f>
        <v>0</v>
      </c>
    </row>
    <row r="839" spans="2:2">
      <c r="B839" s="21">
        <f>IF(AND(C839&lt;&gt;"", J839&lt;&gt;""), HYPERLINK("#'" &amp; C839 &amp; "'!" &amp; J839, J839), "")</f>
        <v>0</v>
      </c>
    </row>
    <row r="840" spans="2:2">
      <c r="B840" s="21">
        <f>IF(AND(C840&lt;&gt;"", J840&lt;&gt;""), HYPERLINK("#'" &amp; C840 &amp; "'!" &amp; J840, J840), "")</f>
        <v>0</v>
      </c>
    </row>
    <row r="841" spans="2:2">
      <c r="B841" s="21">
        <f>IF(AND(C841&lt;&gt;"", J841&lt;&gt;""), HYPERLINK("#'" &amp; C841 &amp; "'!" &amp; J841, J841), "")</f>
        <v>0</v>
      </c>
    </row>
    <row r="842" spans="2:2">
      <c r="B842" s="21">
        <f>IF(AND(C842&lt;&gt;"", J842&lt;&gt;""), HYPERLINK("#'" &amp; C842 &amp; "'!" &amp; J842, J842), "")</f>
        <v>0</v>
      </c>
    </row>
    <row r="843" spans="2:2">
      <c r="B843" s="21">
        <f>IF(AND(C843&lt;&gt;"", J843&lt;&gt;""), HYPERLINK("#'" &amp; C843 &amp; "'!" &amp; J843, J843), "")</f>
        <v>0</v>
      </c>
    </row>
    <row r="844" spans="2:2">
      <c r="B844" s="21">
        <f>IF(AND(C844&lt;&gt;"", J844&lt;&gt;""), HYPERLINK("#'" &amp; C844 &amp; "'!" &amp; J844, J844), "")</f>
        <v>0</v>
      </c>
    </row>
    <row r="845" spans="2:2">
      <c r="B845" s="21">
        <f>IF(AND(C845&lt;&gt;"", J845&lt;&gt;""), HYPERLINK("#'" &amp; C845 &amp; "'!" &amp; J845, J845), "")</f>
        <v>0</v>
      </c>
    </row>
    <row r="846" spans="2:2">
      <c r="B846" s="21">
        <f>IF(AND(C846&lt;&gt;"", J846&lt;&gt;""), HYPERLINK("#'" &amp; C846 &amp; "'!" &amp; J846, J846), "")</f>
        <v>0</v>
      </c>
    </row>
    <row r="847" spans="2:2">
      <c r="B847" s="21">
        <f>IF(AND(C847&lt;&gt;"", J847&lt;&gt;""), HYPERLINK("#'" &amp; C847 &amp; "'!" &amp; J847, J847), "")</f>
        <v>0</v>
      </c>
    </row>
    <row r="848" spans="2:2">
      <c r="B848" s="21">
        <f>IF(AND(C848&lt;&gt;"", J848&lt;&gt;""), HYPERLINK("#'" &amp; C848 &amp; "'!" &amp; J848, J848), "")</f>
        <v>0</v>
      </c>
    </row>
    <row r="849" spans="2:2">
      <c r="B849" s="21">
        <f>IF(AND(C849&lt;&gt;"", J849&lt;&gt;""), HYPERLINK("#'" &amp; C849 &amp; "'!" &amp; J849, J849), "")</f>
        <v>0</v>
      </c>
    </row>
    <row r="850" spans="2:2">
      <c r="B850" s="21">
        <f>IF(AND(C850&lt;&gt;"", J850&lt;&gt;""), HYPERLINK("#'" &amp; C850 &amp; "'!" &amp; J850, J850), "")</f>
        <v>0</v>
      </c>
    </row>
    <row r="851" spans="2:2">
      <c r="B851" s="21">
        <f>IF(AND(C851&lt;&gt;"", J851&lt;&gt;""), HYPERLINK("#'" &amp; C851 &amp; "'!" &amp; J851, J851), "")</f>
        <v>0</v>
      </c>
    </row>
    <row r="852" spans="2:2">
      <c r="B852" s="21">
        <f>IF(AND(C852&lt;&gt;"", J852&lt;&gt;""), HYPERLINK("#'" &amp; C852 &amp; "'!" &amp; J852, J852), "")</f>
        <v>0</v>
      </c>
    </row>
    <row r="853" spans="2:2">
      <c r="B853" s="21">
        <f>IF(AND(C853&lt;&gt;"", J853&lt;&gt;""), HYPERLINK("#'" &amp; C853 &amp; "'!" &amp; J853, J853), "")</f>
        <v>0</v>
      </c>
    </row>
    <row r="854" spans="2:2">
      <c r="B854" s="21">
        <f>IF(AND(C854&lt;&gt;"", J854&lt;&gt;""), HYPERLINK("#'" &amp; C854 &amp; "'!" &amp; J854, J854), "")</f>
        <v>0</v>
      </c>
    </row>
    <row r="855" spans="2:2">
      <c r="B855" s="21">
        <f>IF(AND(C855&lt;&gt;"", J855&lt;&gt;""), HYPERLINK("#'" &amp; C855 &amp; "'!" &amp; J855, J855), "")</f>
        <v>0</v>
      </c>
    </row>
    <row r="856" spans="2:2">
      <c r="B856" s="21">
        <f>IF(AND(C856&lt;&gt;"", J856&lt;&gt;""), HYPERLINK("#'" &amp; C856 &amp; "'!" &amp; J856, J856), "")</f>
        <v>0</v>
      </c>
    </row>
    <row r="857" spans="2:2">
      <c r="B857" s="21">
        <f>IF(AND(C857&lt;&gt;"", J857&lt;&gt;""), HYPERLINK("#'" &amp; C857 &amp; "'!" &amp; J857, J857), "")</f>
        <v>0</v>
      </c>
    </row>
    <row r="858" spans="2:2">
      <c r="B858" s="21">
        <f>IF(AND(C858&lt;&gt;"", J858&lt;&gt;""), HYPERLINK("#'" &amp; C858 &amp; "'!" &amp; J858, J858), "")</f>
        <v>0</v>
      </c>
    </row>
    <row r="859" spans="2:2">
      <c r="B859" s="21">
        <f>IF(AND(C859&lt;&gt;"", J859&lt;&gt;""), HYPERLINK("#'" &amp; C859 &amp; "'!" &amp; J859, J859), "")</f>
        <v>0</v>
      </c>
    </row>
    <row r="860" spans="2:2">
      <c r="B860" s="21">
        <f>IF(AND(C860&lt;&gt;"", J860&lt;&gt;""), HYPERLINK("#'" &amp; C860 &amp; "'!" &amp; J860, J860), "")</f>
        <v>0</v>
      </c>
    </row>
    <row r="861" spans="2:2">
      <c r="B861" s="21">
        <f>IF(AND(C861&lt;&gt;"", J861&lt;&gt;""), HYPERLINK("#'" &amp; C861 &amp; "'!" &amp; J861, J861), "")</f>
        <v>0</v>
      </c>
    </row>
    <row r="862" spans="2:2">
      <c r="B862" s="21">
        <f>IF(AND(C862&lt;&gt;"", J862&lt;&gt;""), HYPERLINK("#'" &amp; C862 &amp; "'!" &amp; J862, J862), "")</f>
        <v>0</v>
      </c>
    </row>
    <row r="863" spans="2:2">
      <c r="B863" s="21">
        <f>IF(AND(C863&lt;&gt;"", J863&lt;&gt;""), HYPERLINK("#'" &amp; C863 &amp; "'!" &amp; J863, J863), "")</f>
        <v>0</v>
      </c>
    </row>
    <row r="864" spans="2:2">
      <c r="B864" s="21">
        <f>IF(AND(C864&lt;&gt;"", J864&lt;&gt;""), HYPERLINK("#'" &amp; C864 &amp; "'!" &amp; J864, J864), "")</f>
        <v>0</v>
      </c>
    </row>
    <row r="865" spans="2:2">
      <c r="B865" s="21">
        <f>IF(AND(C865&lt;&gt;"", J865&lt;&gt;""), HYPERLINK("#'" &amp; C865 &amp; "'!" &amp; J865, J865), "")</f>
        <v>0</v>
      </c>
    </row>
    <row r="866" spans="2:2">
      <c r="B866" s="21">
        <f>IF(AND(C866&lt;&gt;"", J866&lt;&gt;""), HYPERLINK("#'" &amp; C866 &amp; "'!" &amp; J866, J866), "")</f>
        <v>0</v>
      </c>
    </row>
    <row r="867" spans="2:2">
      <c r="B867" s="21">
        <f>IF(AND(C867&lt;&gt;"", J867&lt;&gt;""), HYPERLINK("#'" &amp; C867 &amp; "'!" &amp; J867, J867), "")</f>
        <v>0</v>
      </c>
    </row>
    <row r="868" spans="2:2">
      <c r="B868" s="21">
        <f>IF(AND(C868&lt;&gt;"", J868&lt;&gt;""), HYPERLINK("#'" &amp; C868 &amp; "'!" &amp; J868, J868), "")</f>
        <v>0</v>
      </c>
    </row>
    <row r="869" spans="2:2">
      <c r="B869" s="21">
        <f>IF(AND(C869&lt;&gt;"", J869&lt;&gt;""), HYPERLINK("#'" &amp; C869 &amp; "'!" &amp; J869, J869), "")</f>
        <v>0</v>
      </c>
    </row>
    <row r="870" spans="2:2">
      <c r="B870" s="21">
        <f>IF(AND(C870&lt;&gt;"", J870&lt;&gt;""), HYPERLINK("#'" &amp; C870 &amp; "'!" &amp; J870, J870), "")</f>
        <v>0</v>
      </c>
    </row>
    <row r="871" spans="2:2">
      <c r="B871" s="21">
        <f>IF(AND(C871&lt;&gt;"", J871&lt;&gt;""), HYPERLINK("#'" &amp; C871 &amp; "'!" &amp; J871, J871), "")</f>
        <v>0</v>
      </c>
    </row>
    <row r="872" spans="2:2">
      <c r="B872" s="21">
        <f>IF(AND(C872&lt;&gt;"", J872&lt;&gt;""), HYPERLINK("#'" &amp; C872 &amp; "'!" &amp; J872, J872), "")</f>
        <v>0</v>
      </c>
    </row>
    <row r="873" spans="2:2">
      <c r="B873" s="21">
        <f>IF(AND(C873&lt;&gt;"", J873&lt;&gt;""), HYPERLINK("#'" &amp; C873 &amp; "'!" &amp; J873, J873), "")</f>
        <v>0</v>
      </c>
    </row>
    <row r="874" spans="2:2">
      <c r="B874" s="21">
        <f>IF(AND(C874&lt;&gt;"", J874&lt;&gt;""), HYPERLINK("#'" &amp; C874 &amp; "'!" &amp; J874, J874), "")</f>
        <v>0</v>
      </c>
    </row>
    <row r="875" spans="2:2">
      <c r="B875" s="21">
        <f>IF(AND(C875&lt;&gt;"", J875&lt;&gt;""), HYPERLINK("#'" &amp; C875 &amp; "'!" &amp; J875, J875), "")</f>
        <v>0</v>
      </c>
    </row>
    <row r="876" spans="2:2">
      <c r="B876" s="21">
        <f>IF(AND(C876&lt;&gt;"", J876&lt;&gt;""), HYPERLINK("#'" &amp; C876 &amp; "'!" &amp; J876, J876), "")</f>
        <v>0</v>
      </c>
    </row>
    <row r="877" spans="2:2">
      <c r="B877" s="21">
        <f>IF(AND(C877&lt;&gt;"", J877&lt;&gt;""), HYPERLINK("#'" &amp; C877 &amp; "'!" &amp; J877, J877), "")</f>
        <v>0</v>
      </c>
    </row>
    <row r="878" spans="2:2">
      <c r="B878" s="21">
        <f>IF(AND(C878&lt;&gt;"", J878&lt;&gt;""), HYPERLINK("#'" &amp; C878 &amp; "'!" &amp; J878, J878), "")</f>
        <v>0</v>
      </c>
    </row>
    <row r="879" spans="2:2">
      <c r="B879" s="21">
        <f>IF(AND(C879&lt;&gt;"", J879&lt;&gt;""), HYPERLINK("#'" &amp; C879 &amp; "'!" &amp; J879, J879), "")</f>
        <v>0</v>
      </c>
    </row>
    <row r="880" spans="2:2">
      <c r="B880" s="21">
        <f>IF(AND(C880&lt;&gt;"", J880&lt;&gt;""), HYPERLINK("#'" &amp; C880 &amp; "'!" &amp; J880, J880), "")</f>
        <v>0</v>
      </c>
    </row>
    <row r="881" spans="2:2">
      <c r="B881" s="21">
        <f>IF(AND(C881&lt;&gt;"", J881&lt;&gt;""), HYPERLINK("#'" &amp; C881 &amp; "'!" &amp; J881, J881), "")</f>
        <v>0</v>
      </c>
    </row>
    <row r="882" spans="2:2">
      <c r="B882" s="21">
        <f>IF(AND(C882&lt;&gt;"", J882&lt;&gt;""), HYPERLINK("#'" &amp; C882 &amp; "'!" &amp; J882, J882), "")</f>
        <v>0</v>
      </c>
    </row>
    <row r="883" spans="2:2">
      <c r="B883" s="21">
        <f>IF(AND(C883&lt;&gt;"", J883&lt;&gt;""), HYPERLINK("#'" &amp; C883 &amp; "'!" &amp; J883, J883), "")</f>
        <v>0</v>
      </c>
    </row>
    <row r="884" spans="2:2">
      <c r="B884" s="21">
        <f>IF(AND(C884&lt;&gt;"", J884&lt;&gt;""), HYPERLINK("#'" &amp; C884 &amp; "'!" &amp; J884, J884), "")</f>
        <v>0</v>
      </c>
    </row>
    <row r="885" spans="2:2">
      <c r="B885" s="21">
        <f>IF(AND(C885&lt;&gt;"", J885&lt;&gt;""), HYPERLINK("#'" &amp; C885 &amp; "'!" &amp; J885, J885), "")</f>
        <v>0</v>
      </c>
    </row>
    <row r="886" spans="2:2">
      <c r="B886" s="21">
        <f>IF(AND(C886&lt;&gt;"", J886&lt;&gt;""), HYPERLINK("#'" &amp; C886 &amp; "'!" &amp; J886, J886), "")</f>
        <v>0</v>
      </c>
    </row>
    <row r="887" spans="2:2">
      <c r="B887" s="21">
        <f>IF(AND(C887&lt;&gt;"", J887&lt;&gt;""), HYPERLINK("#'" &amp; C887 &amp; "'!" &amp; J887, J887), "")</f>
        <v>0</v>
      </c>
    </row>
    <row r="888" spans="2:2">
      <c r="B888" s="21">
        <f>IF(AND(C888&lt;&gt;"", J888&lt;&gt;""), HYPERLINK("#'" &amp; C888 &amp; "'!" &amp; J888, J888), "")</f>
        <v>0</v>
      </c>
    </row>
    <row r="889" spans="2:2">
      <c r="B889" s="21">
        <f>IF(AND(C889&lt;&gt;"", J889&lt;&gt;""), HYPERLINK("#'" &amp; C889 &amp; "'!" &amp; J889, J889), "")</f>
        <v>0</v>
      </c>
    </row>
    <row r="890" spans="2:2">
      <c r="B890" s="21">
        <f>IF(AND(C890&lt;&gt;"", J890&lt;&gt;""), HYPERLINK("#'" &amp; C890 &amp; "'!" &amp; J890, J890), "")</f>
        <v>0</v>
      </c>
    </row>
    <row r="891" spans="2:2">
      <c r="B891" s="21">
        <f>IF(AND(C891&lt;&gt;"", J891&lt;&gt;""), HYPERLINK("#'" &amp; C891 &amp; "'!" &amp; J891, J891), "")</f>
        <v>0</v>
      </c>
    </row>
    <row r="892" spans="2:2">
      <c r="B892" s="21">
        <f>IF(AND(C892&lt;&gt;"", J892&lt;&gt;""), HYPERLINK("#'" &amp; C892 &amp; "'!" &amp; J892, J892), "")</f>
        <v>0</v>
      </c>
    </row>
    <row r="893" spans="2:2">
      <c r="B893" s="21">
        <f>IF(AND(C893&lt;&gt;"", J893&lt;&gt;""), HYPERLINK("#'" &amp; C893 &amp; "'!" &amp; J893, J893), "")</f>
        <v>0</v>
      </c>
    </row>
    <row r="894" spans="2:2">
      <c r="B894" s="21">
        <f>IF(AND(C894&lt;&gt;"", J894&lt;&gt;""), HYPERLINK("#'" &amp; C894 &amp; "'!" &amp; J894, J894), "")</f>
        <v>0</v>
      </c>
    </row>
    <row r="895" spans="2:2">
      <c r="B895" s="21">
        <f>IF(AND(C895&lt;&gt;"", J895&lt;&gt;""), HYPERLINK("#'" &amp; C895 &amp; "'!" &amp; J895, J895), "")</f>
        <v>0</v>
      </c>
    </row>
    <row r="896" spans="2:2">
      <c r="B896" s="21">
        <f>IF(AND(C896&lt;&gt;"", J896&lt;&gt;""), HYPERLINK("#'" &amp; C896 &amp; "'!" &amp; J896, J896), "")</f>
        <v>0</v>
      </c>
    </row>
    <row r="897" spans="2:2">
      <c r="B897" s="21">
        <f>IF(AND(C897&lt;&gt;"", J897&lt;&gt;""), HYPERLINK("#'" &amp; C897 &amp; "'!" &amp; J897, J897), "")</f>
        <v>0</v>
      </c>
    </row>
    <row r="898" spans="2:2">
      <c r="B898" s="21">
        <f>IF(AND(C898&lt;&gt;"", J898&lt;&gt;""), HYPERLINK("#'" &amp; C898 &amp; "'!" &amp; J898, J898), "")</f>
        <v>0</v>
      </c>
    </row>
    <row r="899" spans="2:2">
      <c r="B899" s="21">
        <f>IF(AND(C899&lt;&gt;"", J899&lt;&gt;""), HYPERLINK("#'" &amp; C899 &amp; "'!" &amp; J899, J899), "")</f>
        <v>0</v>
      </c>
    </row>
    <row r="900" spans="2:2">
      <c r="B900" s="21">
        <f>IF(AND(C900&lt;&gt;"", J900&lt;&gt;""), HYPERLINK("#'" &amp; C900 &amp; "'!" &amp; J900, J900), "")</f>
        <v>0</v>
      </c>
    </row>
    <row r="901" spans="2:2">
      <c r="B901" s="21">
        <f>IF(AND(C901&lt;&gt;"", J901&lt;&gt;""), HYPERLINK("#'" &amp; C901 &amp; "'!" &amp; J901, J901), "")</f>
        <v>0</v>
      </c>
    </row>
    <row r="902" spans="2:2">
      <c r="B902" s="21">
        <f>IF(AND(C902&lt;&gt;"", J902&lt;&gt;""), HYPERLINK("#'" &amp; C902 &amp; "'!" &amp; J902, J902), "")</f>
        <v>0</v>
      </c>
    </row>
    <row r="903" spans="2:2">
      <c r="B903" s="21">
        <f>IF(AND(C903&lt;&gt;"", J903&lt;&gt;""), HYPERLINK("#'" &amp; C903 &amp; "'!" &amp; J903, J903), "")</f>
        <v>0</v>
      </c>
    </row>
    <row r="904" spans="2:2">
      <c r="B904" s="21">
        <f>IF(AND(C904&lt;&gt;"", J904&lt;&gt;""), HYPERLINK("#'" &amp; C904 &amp; "'!" &amp; J904, J904), "")</f>
        <v>0</v>
      </c>
    </row>
    <row r="905" spans="2:2">
      <c r="B905" s="21">
        <f>IF(AND(C905&lt;&gt;"", J905&lt;&gt;""), HYPERLINK("#'" &amp; C905 &amp; "'!" &amp; J905, J905), "")</f>
        <v>0</v>
      </c>
    </row>
    <row r="906" spans="2:2">
      <c r="B906" s="21">
        <f>IF(AND(C906&lt;&gt;"", J906&lt;&gt;""), HYPERLINK("#'" &amp; C906 &amp; "'!" &amp; J906, J906), "")</f>
        <v>0</v>
      </c>
    </row>
    <row r="907" spans="2:2">
      <c r="B907" s="21">
        <f>IF(AND(C907&lt;&gt;"", J907&lt;&gt;""), HYPERLINK("#'" &amp; C907 &amp; "'!" &amp; J907, J907), "")</f>
        <v>0</v>
      </c>
    </row>
    <row r="908" spans="2:2">
      <c r="B908" s="21">
        <f>IF(AND(C908&lt;&gt;"", J908&lt;&gt;""), HYPERLINK("#'" &amp; C908 &amp; "'!" &amp; J908, J908), "")</f>
        <v>0</v>
      </c>
    </row>
    <row r="909" spans="2:2">
      <c r="B909" s="21">
        <f>IF(AND(C909&lt;&gt;"", J909&lt;&gt;""), HYPERLINK("#'" &amp; C909 &amp; "'!" &amp; J909, J909), "")</f>
        <v>0</v>
      </c>
    </row>
    <row r="910" spans="2:2">
      <c r="B910" s="21">
        <f>IF(AND(C910&lt;&gt;"", J910&lt;&gt;""), HYPERLINK("#'" &amp; C910 &amp; "'!" &amp; J910, J910), "")</f>
        <v>0</v>
      </c>
    </row>
    <row r="911" spans="2:2">
      <c r="B911" s="21">
        <f>IF(AND(C911&lt;&gt;"", J911&lt;&gt;""), HYPERLINK("#'" &amp; C911 &amp; "'!" &amp; J911, J911), "")</f>
        <v>0</v>
      </c>
    </row>
    <row r="912" spans="2:2">
      <c r="B912" s="21">
        <f>IF(AND(C912&lt;&gt;"", J912&lt;&gt;""), HYPERLINK("#'" &amp; C912 &amp; "'!" &amp; J912, J912), "")</f>
        <v>0</v>
      </c>
    </row>
    <row r="913" spans="2:2">
      <c r="B913" s="21">
        <f>IF(AND(C913&lt;&gt;"", J913&lt;&gt;""), HYPERLINK("#'" &amp; C913 &amp; "'!" &amp; J913, J913), "")</f>
        <v>0</v>
      </c>
    </row>
    <row r="914" spans="2:2">
      <c r="B914" s="21">
        <f>IF(AND(C914&lt;&gt;"", J914&lt;&gt;""), HYPERLINK("#'" &amp; C914 &amp; "'!" &amp; J914, J914), "")</f>
        <v>0</v>
      </c>
    </row>
    <row r="915" spans="2:2">
      <c r="B915" s="21">
        <f>IF(AND(C915&lt;&gt;"", J915&lt;&gt;""), HYPERLINK("#'" &amp; C915 &amp; "'!" &amp; J915, J915), "")</f>
        <v>0</v>
      </c>
    </row>
    <row r="916" spans="2:2">
      <c r="B916" s="21">
        <f>IF(AND(C916&lt;&gt;"", J916&lt;&gt;""), HYPERLINK("#'" &amp; C916 &amp; "'!" &amp; J916, J916), "")</f>
        <v>0</v>
      </c>
    </row>
    <row r="917" spans="2:2">
      <c r="B917" s="21">
        <f>IF(AND(C917&lt;&gt;"", J917&lt;&gt;""), HYPERLINK("#'" &amp; C917 &amp; "'!" &amp; J917, J917), "")</f>
        <v>0</v>
      </c>
    </row>
    <row r="918" spans="2:2">
      <c r="B918" s="21">
        <f>IF(AND(C918&lt;&gt;"", J918&lt;&gt;""), HYPERLINK("#'" &amp; C918 &amp; "'!" &amp; J918, J918), "")</f>
        <v>0</v>
      </c>
    </row>
    <row r="919" spans="2:2">
      <c r="B919" s="21">
        <f>IF(AND(C919&lt;&gt;"", J919&lt;&gt;""), HYPERLINK("#'" &amp; C919 &amp; "'!" &amp; J919, J919), "")</f>
        <v>0</v>
      </c>
    </row>
    <row r="920" spans="2:2">
      <c r="B920" s="21">
        <f>IF(AND(C920&lt;&gt;"", J920&lt;&gt;""), HYPERLINK("#'" &amp; C920 &amp; "'!" &amp; J920, J920), "")</f>
        <v>0</v>
      </c>
    </row>
    <row r="921" spans="2:2">
      <c r="B921" s="21">
        <f>IF(AND(C921&lt;&gt;"", J921&lt;&gt;""), HYPERLINK("#'" &amp; C921 &amp; "'!" &amp; J921, J921), "")</f>
        <v>0</v>
      </c>
    </row>
    <row r="922" spans="2:2">
      <c r="B922" s="21">
        <f>IF(AND(C922&lt;&gt;"", J922&lt;&gt;""), HYPERLINK("#'" &amp; C922 &amp; "'!" &amp; J922, J922), "")</f>
        <v>0</v>
      </c>
    </row>
    <row r="923" spans="2:2">
      <c r="B923" s="21">
        <f>IF(AND(C923&lt;&gt;"", J923&lt;&gt;""), HYPERLINK("#'" &amp; C923 &amp; "'!" &amp; J923, J923), "")</f>
        <v>0</v>
      </c>
    </row>
    <row r="924" spans="2:2">
      <c r="B924" s="21">
        <f>IF(AND(C924&lt;&gt;"", J924&lt;&gt;""), HYPERLINK("#'" &amp; C924 &amp; "'!" &amp; J924, J924), "")</f>
        <v>0</v>
      </c>
    </row>
    <row r="925" spans="2:2">
      <c r="B925" s="21">
        <f>IF(AND(C925&lt;&gt;"", J925&lt;&gt;""), HYPERLINK("#'" &amp; C925 &amp; "'!" &amp; J925, J925), "")</f>
        <v>0</v>
      </c>
    </row>
    <row r="926" spans="2:2">
      <c r="B926" s="21">
        <f>IF(AND(C926&lt;&gt;"", J926&lt;&gt;""), HYPERLINK("#'" &amp; C926 &amp; "'!" &amp; J926, J926), "")</f>
        <v>0</v>
      </c>
    </row>
    <row r="927" spans="2:2">
      <c r="B927" s="21">
        <f>IF(AND(C927&lt;&gt;"", J927&lt;&gt;""), HYPERLINK("#'" &amp; C927 &amp; "'!" &amp; J927, J927), "")</f>
        <v>0</v>
      </c>
    </row>
    <row r="928" spans="2:2">
      <c r="B928" s="21">
        <f>IF(AND(C928&lt;&gt;"", J928&lt;&gt;""), HYPERLINK("#'" &amp; C928 &amp; "'!" &amp; J928, J928), "")</f>
        <v>0</v>
      </c>
    </row>
    <row r="929" spans="2:2">
      <c r="B929" s="21">
        <f>IF(AND(C929&lt;&gt;"", J929&lt;&gt;""), HYPERLINK("#'" &amp; C929 &amp; "'!" &amp; J929, J929), "")</f>
        <v>0</v>
      </c>
    </row>
    <row r="930" spans="2:2">
      <c r="B930" s="21">
        <f>IF(AND(C930&lt;&gt;"", J930&lt;&gt;""), HYPERLINK("#'" &amp; C930 &amp; "'!" &amp; J930, J930), "")</f>
        <v>0</v>
      </c>
    </row>
    <row r="931" spans="2:2">
      <c r="B931" s="21">
        <f>IF(AND(C931&lt;&gt;"", J931&lt;&gt;""), HYPERLINK("#'" &amp; C931 &amp; "'!" &amp; J931, J931), "")</f>
        <v>0</v>
      </c>
    </row>
    <row r="932" spans="2:2">
      <c r="B932" s="21">
        <f>IF(AND(C932&lt;&gt;"", J932&lt;&gt;""), HYPERLINK("#'" &amp; C932 &amp; "'!" &amp; J932, J932), "")</f>
        <v>0</v>
      </c>
    </row>
    <row r="933" spans="2:2">
      <c r="B933" s="21">
        <f>IF(AND(C933&lt;&gt;"", J933&lt;&gt;""), HYPERLINK("#'" &amp; C933 &amp; "'!" &amp; J933, J933), "")</f>
        <v>0</v>
      </c>
    </row>
    <row r="934" spans="2:2">
      <c r="B934" s="21">
        <f>IF(AND(C934&lt;&gt;"", J934&lt;&gt;""), HYPERLINK("#'" &amp; C934 &amp; "'!" &amp; J934, J934), "")</f>
        <v>0</v>
      </c>
    </row>
    <row r="935" spans="2:2">
      <c r="B935" s="21">
        <f>IF(AND(C935&lt;&gt;"", J935&lt;&gt;""), HYPERLINK("#'" &amp; C935 &amp; "'!" &amp; J935, J935), "")</f>
        <v>0</v>
      </c>
    </row>
    <row r="936" spans="2:2">
      <c r="B936" s="21">
        <f>IF(AND(C936&lt;&gt;"", J936&lt;&gt;""), HYPERLINK("#'" &amp; C936 &amp; "'!" &amp; J936, J936), "")</f>
        <v>0</v>
      </c>
    </row>
    <row r="937" spans="2:2">
      <c r="B937" s="21">
        <f>IF(AND(C937&lt;&gt;"", J937&lt;&gt;""), HYPERLINK("#'" &amp; C937 &amp; "'!" &amp; J937, J937), "")</f>
        <v>0</v>
      </c>
    </row>
    <row r="938" spans="2:2">
      <c r="B938" s="21">
        <f>IF(AND(C938&lt;&gt;"", J938&lt;&gt;""), HYPERLINK("#'" &amp; C938 &amp; "'!" &amp; J938, J938), "")</f>
        <v>0</v>
      </c>
    </row>
    <row r="939" spans="2:2">
      <c r="B939" s="21">
        <f>IF(AND(C939&lt;&gt;"", J939&lt;&gt;""), HYPERLINK("#'" &amp; C939 &amp; "'!" &amp; J939, J939), "")</f>
        <v>0</v>
      </c>
    </row>
    <row r="940" spans="2:2">
      <c r="B940" s="21">
        <f>IF(AND(C940&lt;&gt;"", J940&lt;&gt;""), HYPERLINK("#'" &amp; C940 &amp; "'!" &amp; J940, J940), "")</f>
        <v>0</v>
      </c>
    </row>
    <row r="941" spans="2:2">
      <c r="B941" s="21">
        <f>IF(AND(C941&lt;&gt;"", J941&lt;&gt;""), HYPERLINK("#'" &amp; C941 &amp; "'!" &amp; J941, J941), "")</f>
        <v>0</v>
      </c>
    </row>
    <row r="942" spans="2:2">
      <c r="B942" s="21">
        <f>IF(AND(C942&lt;&gt;"", J942&lt;&gt;""), HYPERLINK("#'" &amp; C942 &amp; "'!" &amp; J942, J942), "")</f>
        <v>0</v>
      </c>
    </row>
    <row r="943" spans="2:2">
      <c r="B943" s="21">
        <f>IF(AND(C943&lt;&gt;"", J943&lt;&gt;""), HYPERLINK("#'" &amp; C943 &amp; "'!" &amp; J943, J943), "")</f>
        <v>0</v>
      </c>
    </row>
    <row r="944" spans="2:2">
      <c r="B944" s="21">
        <f>IF(AND(C944&lt;&gt;"", J944&lt;&gt;""), HYPERLINK("#'" &amp; C944 &amp; "'!" &amp; J944, J944), "")</f>
        <v>0</v>
      </c>
    </row>
    <row r="945" spans="2:2">
      <c r="B945" s="21">
        <f>IF(AND(C945&lt;&gt;"", J945&lt;&gt;""), HYPERLINK("#'" &amp; C945 &amp; "'!" &amp; J945, J945), "")</f>
        <v>0</v>
      </c>
    </row>
    <row r="946" spans="2:2">
      <c r="B946" s="21">
        <f>IF(AND(C946&lt;&gt;"", J946&lt;&gt;""), HYPERLINK("#'" &amp; C946 &amp; "'!" &amp; J946, J946), "")</f>
        <v>0</v>
      </c>
    </row>
    <row r="947" spans="2:2">
      <c r="B947" s="21">
        <f>IF(AND(C947&lt;&gt;"", J947&lt;&gt;""), HYPERLINK("#'" &amp; C947 &amp; "'!" &amp; J947, J947), "")</f>
        <v>0</v>
      </c>
    </row>
    <row r="948" spans="2:2">
      <c r="B948" s="21">
        <f>IF(AND(C948&lt;&gt;"", J948&lt;&gt;""), HYPERLINK("#'" &amp; C948 &amp; "'!" &amp; J948, J948), "")</f>
        <v>0</v>
      </c>
    </row>
    <row r="949" spans="2:2">
      <c r="B949" s="21">
        <f>IF(AND(C949&lt;&gt;"", J949&lt;&gt;""), HYPERLINK("#'" &amp; C949 &amp; "'!" &amp; J949, J949), "")</f>
        <v>0</v>
      </c>
    </row>
    <row r="950" spans="2:2">
      <c r="B950" s="21">
        <f>IF(AND(C950&lt;&gt;"", J950&lt;&gt;""), HYPERLINK("#'" &amp; C950 &amp; "'!" &amp; J950, J950), "")</f>
        <v>0</v>
      </c>
    </row>
    <row r="951" spans="2:2">
      <c r="B951" s="21">
        <f>IF(AND(C951&lt;&gt;"", J951&lt;&gt;""), HYPERLINK("#'" &amp; C951 &amp; "'!" &amp; J951, J951), "")</f>
        <v>0</v>
      </c>
    </row>
    <row r="952" spans="2:2">
      <c r="B952" s="21">
        <f>IF(AND(C952&lt;&gt;"", J952&lt;&gt;""), HYPERLINK("#'" &amp; C952 &amp; "'!" &amp; J952, J952), "")</f>
        <v>0</v>
      </c>
    </row>
    <row r="953" spans="2:2">
      <c r="B953" s="21">
        <f>IF(AND(C953&lt;&gt;"", J953&lt;&gt;""), HYPERLINK("#'" &amp; C953 &amp; "'!" &amp; J953, J953), "")</f>
        <v>0</v>
      </c>
    </row>
    <row r="954" spans="2:2">
      <c r="B954" s="21">
        <f>IF(AND(C954&lt;&gt;"", J954&lt;&gt;""), HYPERLINK("#'" &amp; C954 &amp; "'!" &amp; J954, J954), "")</f>
        <v>0</v>
      </c>
    </row>
    <row r="955" spans="2:2">
      <c r="B955" s="21">
        <f>IF(AND(C955&lt;&gt;"", J955&lt;&gt;""), HYPERLINK("#'" &amp; C955 &amp; "'!" &amp; J955, J955), "")</f>
        <v>0</v>
      </c>
    </row>
    <row r="956" spans="2:2">
      <c r="B956" s="21">
        <f>IF(AND(C956&lt;&gt;"", J956&lt;&gt;""), HYPERLINK("#'" &amp; C956 &amp; "'!" &amp; J956, J956), "")</f>
        <v>0</v>
      </c>
    </row>
    <row r="957" spans="2:2">
      <c r="B957" s="21">
        <f>IF(AND(C957&lt;&gt;"", J957&lt;&gt;""), HYPERLINK("#'" &amp; C957 &amp; "'!" &amp; J957, J957), "")</f>
        <v>0</v>
      </c>
    </row>
    <row r="958" spans="2:2">
      <c r="B958" s="21">
        <f>IF(AND(C958&lt;&gt;"", J958&lt;&gt;""), HYPERLINK("#'" &amp; C958 &amp; "'!" &amp; J958, J958), "")</f>
        <v>0</v>
      </c>
    </row>
    <row r="959" spans="2:2">
      <c r="B959" s="21">
        <f>IF(AND(C959&lt;&gt;"", J959&lt;&gt;""), HYPERLINK("#'" &amp; C959 &amp; "'!" &amp; J959, J959), "")</f>
        <v>0</v>
      </c>
    </row>
    <row r="960" spans="2:2">
      <c r="B960" s="21">
        <f>IF(AND(C960&lt;&gt;"", J960&lt;&gt;""), HYPERLINK("#'" &amp; C960 &amp; "'!" &amp; J960, J960), "")</f>
        <v>0</v>
      </c>
    </row>
    <row r="961" spans="2:2">
      <c r="B961" s="21">
        <f>IF(AND(C961&lt;&gt;"", J961&lt;&gt;""), HYPERLINK("#'" &amp; C961 &amp; "'!" &amp; J961, J961), "")</f>
        <v>0</v>
      </c>
    </row>
    <row r="962" spans="2:2">
      <c r="B962" s="21">
        <f>IF(AND(C962&lt;&gt;"", J962&lt;&gt;""), HYPERLINK("#'" &amp; C962 &amp; "'!" &amp; J962, J962), "")</f>
        <v>0</v>
      </c>
    </row>
    <row r="963" spans="2:2">
      <c r="B963" s="21">
        <f>IF(AND(C963&lt;&gt;"", J963&lt;&gt;""), HYPERLINK("#'" &amp; C963 &amp; "'!" &amp; J963, J963), "")</f>
        <v>0</v>
      </c>
    </row>
    <row r="964" spans="2:2">
      <c r="B964" s="21">
        <f>IF(AND(C964&lt;&gt;"", J964&lt;&gt;""), HYPERLINK("#'" &amp; C964 &amp; "'!" &amp; J964, J964), "")</f>
        <v>0</v>
      </c>
    </row>
    <row r="965" spans="2:2">
      <c r="B965" s="21">
        <f>IF(AND(C965&lt;&gt;"", J965&lt;&gt;""), HYPERLINK("#'" &amp; C965 &amp; "'!" &amp; J965, J965), "")</f>
        <v>0</v>
      </c>
    </row>
    <row r="966" spans="2:2">
      <c r="B966" s="21">
        <f>IF(AND(C966&lt;&gt;"", J966&lt;&gt;""), HYPERLINK("#'" &amp; C966 &amp; "'!" &amp; J966, J966), "")</f>
        <v>0</v>
      </c>
    </row>
    <row r="967" spans="2:2">
      <c r="B967" s="21">
        <f>IF(AND(C967&lt;&gt;"", J967&lt;&gt;""), HYPERLINK("#'" &amp; C967 &amp; "'!" &amp; J967, J967), "")</f>
        <v>0</v>
      </c>
    </row>
    <row r="968" spans="2:2">
      <c r="B968" s="21">
        <f>IF(AND(C968&lt;&gt;"", J968&lt;&gt;""), HYPERLINK("#'" &amp; C968 &amp; "'!" &amp; J968, J968), "")</f>
        <v>0</v>
      </c>
    </row>
    <row r="969" spans="2:2">
      <c r="B969" s="21">
        <f>IF(AND(C969&lt;&gt;"", J969&lt;&gt;""), HYPERLINK("#'" &amp; C969 &amp; "'!" &amp; J969, J969), "")</f>
        <v>0</v>
      </c>
    </row>
    <row r="970" spans="2:2">
      <c r="B970" s="21">
        <f>IF(AND(C970&lt;&gt;"", J970&lt;&gt;""), HYPERLINK("#'" &amp; C970 &amp; "'!" &amp; J970, J970), "")</f>
        <v>0</v>
      </c>
    </row>
    <row r="971" spans="2:2">
      <c r="B971" s="21">
        <f>IF(AND(C971&lt;&gt;"", J971&lt;&gt;""), HYPERLINK("#'" &amp; C971 &amp; "'!" &amp; J971, J971), "")</f>
        <v>0</v>
      </c>
    </row>
    <row r="972" spans="2:2">
      <c r="B972" s="21">
        <f>IF(AND(C972&lt;&gt;"", J972&lt;&gt;""), HYPERLINK("#'" &amp; C972 &amp; "'!" &amp; J972, J972), "")</f>
        <v>0</v>
      </c>
    </row>
    <row r="973" spans="2:2">
      <c r="B973" s="21">
        <f>IF(AND(C973&lt;&gt;"", J973&lt;&gt;""), HYPERLINK("#'" &amp; C973 &amp; "'!" &amp; J973, J973), "")</f>
        <v>0</v>
      </c>
    </row>
    <row r="974" spans="2:2">
      <c r="B974" s="21">
        <f>IF(AND(C974&lt;&gt;"", J974&lt;&gt;""), HYPERLINK("#'" &amp; C974 &amp; "'!" &amp; J974, J974), "")</f>
        <v>0</v>
      </c>
    </row>
    <row r="975" spans="2:2">
      <c r="B975" s="21">
        <f>IF(AND(C975&lt;&gt;"", J975&lt;&gt;""), HYPERLINK("#'" &amp; C975 &amp; "'!" &amp; J975, J975), "")</f>
        <v>0</v>
      </c>
    </row>
    <row r="976" spans="2:2">
      <c r="B976" s="21">
        <f>IF(AND(C976&lt;&gt;"", J976&lt;&gt;""), HYPERLINK("#'" &amp; C976 &amp; "'!" &amp; J976, J976), "")</f>
        <v>0</v>
      </c>
    </row>
    <row r="977" spans="2:2">
      <c r="B977" s="21">
        <f>IF(AND(C977&lt;&gt;"", J977&lt;&gt;""), HYPERLINK("#'" &amp; C977 &amp; "'!" &amp; J977, J977), "")</f>
        <v>0</v>
      </c>
    </row>
    <row r="978" spans="2:2">
      <c r="B978" s="21">
        <f>IF(AND(C978&lt;&gt;"", J978&lt;&gt;""), HYPERLINK("#'" &amp; C978 &amp; "'!" &amp; J978, J978), "")</f>
        <v>0</v>
      </c>
    </row>
    <row r="979" spans="2:2">
      <c r="B979" s="21">
        <f>IF(AND(C979&lt;&gt;"", J979&lt;&gt;""), HYPERLINK("#'" &amp; C979 &amp; "'!" &amp; J979, J979), "")</f>
        <v>0</v>
      </c>
    </row>
    <row r="980" spans="2:2">
      <c r="B980" s="21">
        <f>IF(AND(C980&lt;&gt;"", J980&lt;&gt;""), HYPERLINK("#'" &amp; C980 &amp; "'!" &amp; J980, J980), "")</f>
        <v>0</v>
      </c>
    </row>
    <row r="981" spans="2:2">
      <c r="B981" s="21">
        <f>IF(AND(C981&lt;&gt;"", J981&lt;&gt;""), HYPERLINK("#'" &amp; C981 &amp; "'!" &amp; J981, J981), "")</f>
        <v>0</v>
      </c>
    </row>
    <row r="982" spans="2:2">
      <c r="B982" s="21">
        <f>IF(AND(C982&lt;&gt;"", J982&lt;&gt;""), HYPERLINK("#'" &amp; C982 &amp; "'!" &amp; J982, J982), "")</f>
        <v>0</v>
      </c>
    </row>
    <row r="983" spans="2:2">
      <c r="B983" s="21">
        <f>IF(AND(C983&lt;&gt;"", J983&lt;&gt;""), HYPERLINK("#'" &amp; C983 &amp; "'!" &amp; J983, J983), "")</f>
        <v>0</v>
      </c>
    </row>
    <row r="984" spans="2:2">
      <c r="B984" s="21">
        <f>IF(AND(C984&lt;&gt;"", J984&lt;&gt;""), HYPERLINK("#'" &amp; C984 &amp; "'!" &amp; J984, J984), "")</f>
        <v>0</v>
      </c>
    </row>
    <row r="985" spans="2:2">
      <c r="B985" s="21">
        <f>IF(AND(C985&lt;&gt;"", J985&lt;&gt;""), HYPERLINK("#'" &amp; C985 &amp; "'!" &amp; J985, J985), "")</f>
        <v>0</v>
      </c>
    </row>
    <row r="986" spans="2:2">
      <c r="B986" s="21">
        <f>IF(AND(C986&lt;&gt;"", J986&lt;&gt;""), HYPERLINK("#'" &amp; C986 &amp; "'!" &amp; J986, J986), "")</f>
        <v>0</v>
      </c>
    </row>
    <row r="987" spans="2:2">
      <c r="B987" s="21">
        <f>IF(AND(C987&lt;&gt;"", J987&lt;&gt;""), HYPERLINK("#'" &amp; C987 &amp; "'!" &amp; J987, J987), "")</f>
        <v>0</v>
      </c>
    </row>
    <row r="988" spans="2:2">
      <c r="B988" s="21">
        <f>IF(AND(C988&lt;&gt;"", J988&lt;&gt;""), HYPERLINK("#'" &amp; C988 &amp; "'!" &amp; J988, J988), "")</f>
        <v>0</v>
      </c>
    </row>
    <row r="989" spans="2:2">
      <c r="B989" s="21">
        <f>IF(AND(C989&lt;&gt;"", J989&lt;&gt;""), HYPERLINK("#'" &amp; C989 &amp; "'!" &amp; J989, J989), "")</f>
        <v>0</v>
      </c>
    </row>
    <row r="990" spans="2:2">
      <c r="B990" s="21">
        <f>IF(AND(C990&lt;&gt;"", J990&lt;&gt;""), HYPERLINK("#'" &amp; C990 &amp; "'!" &amp; J990, J990), "")</f>
        <v>0</v>
      </c>
    </row>
    <row r="991" spans="2:2">
      <c r="B991" s="21">
        <f>IF(AND(C991&lt;&gt;"", J991&lt;&gt;""), HYPERLINK("#'" &amp; C991 &amp; "'!" &amp; J991, J991), "")</f>
        <v>0</v>
      </c>
    </row>
    <row r="992" spans="2:2">
      <c r="B992" s="21">
        <f>IF(AND(C992&lt;&gt;"", J992&lt;&gt;""), HYPERLINK("#'" &amp; C992 &amp; "'!" &amp; J992, J992), "")</f>
        <v>0</v>
      </c>
    </row>
    <row r="993" spans="2:2">
      <c r="B993" s="21">
        <f>IF(AND(C993&lt;&gt;"", J993&lt;&gt;""), HYPERLINK("#'" &amp; C993 &amp; "'!" &amp; J993, J993), "")</f>
        <v>0</v>
      </c>
    </row>
    <row r="994" spans="2:2">
      <c r="B994" s="21">
        <f>IF(AND(C994&lt;&gt;"", J994&lt;&gt;""), HYPERLINK("#'" &amp; C994 &amp; "'!" &amp; J994, J994), "")</f>
        <v>0</v>
      </c>
    </row>
    <row r="995" spans="2:2">
      <c r="B995" s="21">
        <f>IF(AND(C995&lt;&gt;"", J995&lt;&gt;""), HYPERLINK("#'" &amp; C995 &amp; "'!" &amp; J995, J995), "")</f>
        <v>0</v>
      </c>
    </row>
    <row r="996" spans="2:2">
      <c r="B996" s="21">
        <f>IF(AND(C996&lt;&gt;"", J996&lt;&gt;""), HYPERLINK("#'" &amp; C996 &amp; "'!" &amp; J996, J996), "")</f>
        <v>0</v>
      </c>
    </row>
    <row r="997" spans="2:2">
      <c r="B997" s="21">
        <f>IF(AND(C997&lt;&gt;"", J997&lt;&gt;""), HYPERLINK("#'" &amp; C997 &amp; "'!" &amp; J997, J997), "")</f>
        <v>0</v>
      </c>
    </row>
    <row r="998" spans="2:2">
      <c r="B998" s="21">
        <f>IF(AND(C998&lt;&gt;"", J998&lt;&gt;""), HYPERLINK("#'" &amp; C998 &amp; "'!" &amp; J998, J998), "")</f>
        <v>0</v>
      </c>
    </row>
    <row r="999" spans="2:2">
      <c r="B999" s="21">
        <f>IF(AND(C999&lt;&gt;"", J999&lt;&gt;""), HYPERLINK("#'" &amp; C999 &amp; "'!" &amp; J999, J999), "")</f>
        <v>0</v>
      </c>
    </row>
    <row r="1000" spans="2:2">
      <c r="B1000" s="21">
        <f>IF(AND(C1000&lt;&gt;"", J1000&lt;&gt;""), HYPERLINK("#'" &amp; C1000 &amp; "'!" &amp; J1000, J1000), "")</f>
        <v>0</v>
      </c>
    </row>
    <row r="1001" spans="2:2">
      <c r="B1001" s="21">
        <f>IF(AND(C1001&lt;&gt;"", J1001&lt;&gt;""), HYPERLINK("#'" &amp; C1001 &amp; "'!" &amp; J1001, J1001), "")</f>
        <v>0</v>
      </c>
    </row>
    <row r="1002" spans="2:2">
      <c r="B1002" s="21">
        <f>IF(AND(C1002&lt;&gt;"", J1002&lt;&gt;""), HYPERLINK("#'" &amp; C1002 &amp; "'!" &amp; J1002, J1002), "")</f>
        <v>0</v>
      </c>
    </row>
    <row r="1003" spans="2:2">
      <c r="B1003" s="21">
        <f>IF(AND(C1003&lt;&gt;"", J1003&lt;&gt;""), HYPERLINK("#'" &amp; C1003 &amp; "'!" &amp; J1003, J1003), "")</f>
        <v>0</v>
      </c>
    </row>
    <row r="1004" spans="2:2">
      <c r="B1004" s="21">
        <f>IF(AND(C1004&lt;&gt;"", J1004&lt;&gt;""), HYPERLINK("#'" &amp; C1004 &amp; "'!" &amp; J1004, J1004), "")</f>
        <v>0</v>
      </c>
    </row>
    <row r="1005" spans="2:2">
      <c r="B1005" s="21">
        <f>IF(AND(C1005&lt;&gt;"", J1005&lt;&gt;""), HYPERLINK("#'" &amp; C1005 &amp; "'!" &amp; J1005, J1005), "")</f>
        <v>0</v>
      </c>
    </row>
    <row r="1006" spans="2:2">
      <c r="B1006" s="21">
        <f>IF(AND(C1006&lt;&gt;"", J1006&lt;&gt;""), HYPERLINK("#'" &amp; C1006 &amp; "'!" &amp; J1006, J1006), "")</f>
        <v>0</v>
      </c>
    </row>
    <row r="1007" spans="2:2">
      <c r="B1007" s="21">
        <f>IF(AND(C1007&lt;&gt;"", J1007&lt;&gt;""), HYPERLINK("#'" &amp; C1007 &amp; "'!" &amp; J1007, J1007), "")</f>
        <v>0</v>
      </c>
    </row>
    <row r="1008" spans="2:2">
      <c r="B1008" s="21">
        <f>IF(AND(C1008&lt;&gt;"", J1008&lt;&gt;""), HYPERLINK("#'" &amp; C1008 &amp; "'!" &amp; J1008, J1008), "")</f>
        <v>0</v>
      </c>
    </row>
    <row r="1009" spans="2:2">
      <c r="B1009" s="21">
        <f>IF(AND(C1009&lt;&gt;"", J1009&lt;&gt;""), HYPERLINK("#'" &amp; C1009 &amp; "'!" &amp; J1009, J1009), "")</f>
        <v>0</v>
      </c>
    </row>
    <row r="1010" spans="2:2">
      <c r="B1010" s="21">
        <f>IF(AND(C1010&lt;&gt;"", J1010&lt;&gt;""), HYPERLINK("#'" &amp; C1010 &amp; "'!" &amp; J1010, J1010), "")</f>
        <v>0</v>
      </c>
    </row>
    <row r="1011" spans="2:2">
      <c r="B1011" s="21">
        <f>IF(AND(C1011&lt;&gt;"", J1011&lt;&gt;""), HYPERLINK("#'" &amp; C1011 &amp; "'!" &amp; J1011, J1011), "")</f>
        <v>0</v>
      </c>
    </row>
    <row r="1012" spans="2:2">
      <c r="B1012" s="21">
        <f>IF(AND(C1012&lt;&gt;"", J1012&lt;&gt;""), HYPERLINK("#'" &amp; C1012 &amp; "'!" &amp; J1012, J1012), "")</f>
        <v>0</v>
      </c>
    </row>
    <row r="1013" spans="2:2">
      <c r="B1013" s="21">
        <f>IF(AND(C1013&lt;&gt;"", J1013&lt;&gt;""), HYPERLINK("#'" &amp; C1013 &amp; "'!" &amp; J1013, J1013), "")</f>
        <v>0</v>
      </c>
    </row>
    <row r="1014" spans="2:2">
      <c r="B1014" s="21">
        <f>IF(AND(C1014&lt;&gt;"", J1014&lt;&gt;""), HYPERLINK("#'" &amp; C1014 &amp; "'!" &amp; J1014, J1014), "")</f>
        <v>0</v>
      </c>
    </row>
    <row r="1015" spans="2:2">
      <c r="B1015" s="21">
        <f>IF(AND(C1015&lt;&gt;"", J1015&lt;&gt;""), HYPERLINK("#'" &amp; C1015 &amp; "'!" &amp; J1015, J1015), "")</f>
        <v>0</v>
      </c>
    </row>
    <row r="1016" spans="2:2">
      <c r="B1016" s="21">
        <f>IF(AND(C1016&lt;&gt;"", J1016&lt;&gt;""), HYPERLINK("#'" &amp; C1016 &amp; "'!" &amp; J1016, J1016), "")</f>
        <v>0</v>
      </c>
    </row>
    <row r="1017" spans="2:2">
      <c r="B1017" s="21">
        <f>IF(AND(C1017&lt;&gt;"", J1017&lt;&gt;""), HYPERLINK("#'" &amp; C1017 &amp; "'!" &amp; J1017, J1017), "")</f>
        <v>0</v>
      </c>
    </row>
    <row r="1018" spans="2:2">
      <c r="B1018" s="21">
        <f>IF(AND(C1018&lt;&gt;"", J1018&lt;&gt;""), HYPERLINK("#'" &amp; C1018 &amp; "'!" &amp; J1018, J1018), "")</f>
        <v>0</v>
      </c>
    </row>
    <row r="1019" spans="2:2">
      <c r="B1019" s="21">
        <f>IF(AND(C1019&lt;&gt;"", J1019&lt;&gt;""), HYPERLINK("#'" &amp; C1019 &amp; "'!" &amp; J1019, J1019), "")</f>
        <v>0</v>
      </c>
    </row>
    <row r="1020" spans="2:2">
      <c r="B1020" s="21">
        <f>IF(AND(C1020&lt;&gt;"", J1020&lt;&gt;""), HYPERLINK("#'" &amp; C1020 &amp; "'!" &amp; J1020, J1020), "")</f>
        <v>0</v>
      </c>
    </row>
    <row r="1021" spans="2:2">
      <c r="B1021" s="21">
        <f>IF(AND(C1021&lt;&gt;"", J1021&lt;&gt;""), HYPERLINK("#'" &amp; C1021 &amp; "'!" &amp; J1021, J1021), "")</f>
        <v>0</v>
      </c>
    </row>
    <row r="1022" spans="2:2">
      <c r="B1022" s="21">
        <f>IF(AND(C1022&lt;&gt;"", J1022&lt;&gt;""), HYPERLINK("#'" &amp; C1022 &amp; "'!" &amp; J1022, J1022), "")</f>
        <v>0</v>
      </c>
    </row>
    <row r="1023" spans="2:2">
      <c r="B1023" s="21">
        <f>IF(AND(C1023&lt;&gt;"", J1023&lt;&gt;""), HYPERLINK("#'" &amp; C1023 &amp; "'!" &amp; J1023, J1023), "")</f>
        <v>0</v>
      </c>
    </row>
    <row r="1024" spans="2:2">
      <c r="B1024" s="21">
        <f>IF(AND(C1024&lt;&gt;"", J1024&lt;&gt;""), HYPERLINK("#'" &amp; C1024 &amp; "'!" &amp; J1024, J1024), "")</f>
        <v>0</v>
      </c>
    </row>
    <row r="1025" spans="2:2">
      <c r="B1025" s="21">
        <f>IF(AND(C1025&lt;&gt;"", J1025&lt;&gt;""), HYPERLINK("#'" &amp; C1025 &amp; "'!" &amp; J1025, J1025), "")</f>
        <v>0</v>
      </c>
    </row>
    <row r="1026" spans="2:2">
      <c r="B1026" s="21">
        <f>IF(AND(C1026&lt;&gt;"", J1026&lt;&gt;""), HYPERLINK("#'" &amp; C1026 &amp; "'!" &amp; J1026, J1026), "")</f>
        <v>0</v>
      </c>
    </row>
    <row r="1027" spans="2:2">
      <c r="B1027" s="21">
        <f>IF(AND(C1027&lt;&gt;"", J1027&lt;&gt;""), HYPERLINK("#'" &amp; C1027 &amp; "'!" &amp; J1027, J1027), "")</f>
        <v>0</v>
      </c>
    </row>
    <row r="1028" spans="2:2">
      <c r="B1028" s="21">
        <f>IF(AND(C1028&lt;&gt;"", J1028&lt;&gt;""), HYPERLINK("#'" &amp; C1028 &amp; "'!" &amp; J1028, J1028), "")</f>
        <v>0</v>
      </c>
    </row>
    <row r="1029" spans="2:2">
      <c r="B1029" s="21">
        <f>IF(AND(C1029&lt;&gt;"", J1029&lt;&gt;""), HYPERLINK("#'" &amp; C1029 &amp; "'!" &amp; J1029, J1029), "")</f>
        <v>0</v>
      </c>
    </row>
    <row r="1030" spans="2:2">
      <c r="B1030" s="21">
        <f>IF(AND(C1030&lt;&gt;"", J1030&lt;&gt;""), HYPERLINK("#'" &amp; C1030 &amp; "'!" &amp; J1030, J1030), "")</f>
        <v>0</v>
      </c>
    </row>
    <row r="1031" spans="2:2">
      <c r="B1031" s="21">
        <f>IF(AND(C1031&lt;&gt;"", J1031&lt;&gt;""), HYPERLINK("#'" &amp; C1031 &amp; "'!" &amp; J1031, J1031), "")</f>
        <v>0</v>
      </c>
    </row>
    <row r="1032" spans="2:2">
      <c r="B1032" s="21">
        <f>IF(AND(C1032&lt;&gt;"", J1032&lt;&gt;""), HYPERLINK("#'" &amp; C1032 &amp; "'!" &amp; J1032, J1032), "")</f>
        <v>0</v>
      </c>
    </row>
    <row r="1033" spans="2:2">
      <c r="B1033" s="21">
        <f>IF(AND(C1033&lt;&gt;"", J1033&lt;&gt;""), HYPERLINK("#'" &amp; C1033 &amp; "'!" &amp; J1033, J1033), "")</f>
        <v>0</v>
      </c>
    </row>
    <row r="1034" spans="2:2">
      <c r="B1034" s="21">
        <f>IF(AND(C1034&lt;&gt;"", J1034&lt;&gt;""), HYPERLINK("#'" &amp; C1034 &amp; "'!" &amp; J1034, J1034), "")</f>
        <v>0</v>
      </c>
    </row>
    <row r="1035" spans="2:2">
      <c r="B1035" s="21">
        <f>IF(AND(C1035&lt;&gt;"", J1035&lt;&gt;""), HYPERLINK("#'" &amp; C1035 &amp; "'!" &amp; J1035, J1035), "")</f>
        <v>0</v>
      </c>
    </row>
    <row r="1036" spans="2:2">
      <c r="B1036" s="21">
        <f>IF(AND(C1036&lt;&gt;"", J1036&lt;&gt;""), HYPERLINK("#'" &amp; C1036 &amp; "'!" &amp; J1036, J1036), "")</f>
        <v>0</v>
      </c>
    </row>
    <row r="1037" spans="2:2">
      <c r="B1037" s="21">
        <f>IF(AND(C1037&lt;&gt;"", J1037&lt;&gt;""), HYPERLINK("#'" &amp; C1037 &amp; "'!" &amp; J1037, J1037), "")</f>
        <v>0</v>
      </c>
    </row>
    <row r="1038" spans="2:2">
      <c r="B1038" s="21">
        <f>IF(AND(C1038&lt;&gt;"", J1038&lt;&gt;""), HYPERLINK("#'" &amp; C1038 &amp; "'!" &amp; J1038, J1038), "")</f>
        <v>0</v>
      </c>
    </row>
    <row r="1039" spans="2:2">
      <c r="B1039" s="21">
        <f>IF(AND(C1039&lt;&gt;"", J1039&lt;&gt;""), HYPERLINK("#'" &amp; C1039 &amp; "'!" &amp; J1039, J1039), "")</f>
        <v>0</v>
      </c>
    </row>
    <row r="1040" spans="2:2">
      <c r="B1040" s="21">
        <f>IF(AND(C1040&lt;&gt;"", J1040&lt;&gt;""), HYPERLINK("#'" &amp; C1040 &amp; "'!" &amp; J1040, J1040), "")</f>
        <v>0</v>
      </c>
    </row>
    <row r="1041" spans="2:2">
      <c r="B1041" s="21">
        <f>IF(AND(C1041&lt;&gt;"", J1041&lt;&gt;""), HYPERLINK("#'" &amp; C1041 &amp; "'!" &amp; J1041, J1041), "")</f>
        <v>0</v>
      </c>
    </row>
    <row r="1042" spans="2:2">
      <c r="B1042" s="21">
        <f>IF(AND(C1042&lt;&gt;"", J1042&lt;&gt;""), HYPERLINK("#'" &amp; C1042 &amp; "'!" &amp; J1042, J1042), "")</f>
        <v>0</v>
      </c>
    </row>
    <row r="1043" spans="2:2">
      <c r="B1043" s="21">
        <f>IF(AND(C1043&lt;&gt;"", J1043&lt;&gt;""), HYPERLINK("#'" &amp; C1043 &amp; "'!" &amp; J1043, J1043), "")</f>
        <v>0</v>
      </c>
    </row>
    <row r="1044" spans="2:2">
      <c r="B1044" s="21">
        <f>IF(AND(C1044&lt;&gt;"", J1044&lt;&gt;""), HYPERLINK("#'" &amp; C1044 &amp; "'!" &amp; J1044, J1044), "")</f>
        <v>0</v>
      </c>
    </row>
    <row r="1045" spans="2:2">
      <c r="B1045" s="21">
        <f>IF(AND(C1045&lt;&gt;"", J1045&lt;&gt;""), HYPERLINK("#'" &amp; C1045 &amp; "'!" &amp; J1045, J1045), "")</f>
        <v>0</v>
      </c>
    </row>
    <row r="1046" spans="2:2">
      <c r="B1046" s="21">
        <f>IF(AND(C1046&lt;&gt;"", J1046&lt;&gt;""), HYPERLINK("#'" &amp; C1046 &amp; "'!" &amp; J1046, J1046), "")</f>
        <v>0</v>
      </c>
    </row>
    <row r="1047" spans="2:2">
      <c r="B1047" s="21">
        <f>IF(AND(C1047&lt;&gt;"", J1047&lt;&gt;""), HYPERLINK("#'" &amp; C1047 &amp; "'!" &amp; J1047, J1047), "")</f>
        <v>0</v>
      </c>
    </row>
    <row r="1048" spans="2:2">
      <c r="B1048" s="21">
        <f>IF(AND(C1048&lt;&gt;"", J1048&lt;&gt;""), HYPERLINK("#'" &amp; C1048 &amp; "'!" &amp; J1048, J1048), "")</f>
        <v>0</v>
      </c>
    </row>
    <row r="1049" spans="2:2">
      <c r="B1049" s="21">
        <f>IF(AND(C1049&lt;&gt;"", J1049&lt;&gt;""), HYPERLINK("#'" &amp; C1049 &amp; "'!" &amp; J1049, J1049), "")</f>
        <v>0</v>
      </c>
    </row>
    <row r="1050" spans="2:2">
      <c r="B1050" s="21">
        <f>IF(AND(C1050&lt;&gt;"", J1050&lt;&gt;""), HYPERLINK("#'" &amp; C1050 &amp; "'!" &amp; J1050, J1050), "")</f>
        <v>0</v>
      </c>
    </row>
    <row r="1051" spans="2:2">
      <c r="B1051" s="21">
        <f>IF(AND(C1051&lt;&gt;"", J1051&lt;&gt;""), HYPERLINK("#'" &amp; C1051 &amp; "'!" &amp; J1051, J1051), "")</f>
        <v>0</v>
      </c>
    </row>
    <row r="1052" spans="2:2">
      <c r="B1052" s="21">
        <f>IF(AND(C1052&lt;&gt;"", J1052&lt;&gt;""), HYPERLINK("#'" &amp; C1052 &amp; "'!" &amp; J1052, J1052), "")</f>
        <v>0</v>
      </c>
    </row>
    <row r="1053" spans="2:2">
      <c r="B1053" s="21">
        <f>IF(AND(C1053&lt;&gt;"", J1053&lt;&gt;""), HYPERLINK("#'" &amp; C1053 &amp; "'!" &amp; J1053, J1053), "")</f>
        <v>0</v>
      </c>
    </row>
    <row r="1054" spans="2:2">
      <c r="B1054" s="21">
        <f>IF(AND(C1054&lt;&gt;"", J1054&lt;&gt;""), HYPERLINK("#'" &amp; C1054 &amp; "'!" &amp; J1054, J1054), "")</f>
        <v>0</v>
      </c>
    </row>
    <row r="1055" spans="2:2">
      <c r="B1055" s="21">
        <f>IF(AND(C1055&lt;&gt;"", J1055&lt;&gt;""), HYPERLINK("#'" &amp; C1055 &amp; "'!" &amp; J1055, J1055), "")</f>
        <v>0</v>
      </c>
    </row>
    <row r="1056" spans="2:2">
      <c r="B1056" s="21">
        <f>IF(AND(C1056&lt;&gt;"", J1056&lt;&gt;""), HYPERLINK("#'" &amp; C1056 &amp; "'!" &amp; J1056, J1056), "")</f>
        <v>0</v>
      </c>
    </row>
    <row r="1057" spans="2:2">
      <c r="B1057" s="21">
        <f>IF(AND(C1057&lt;&gt;"", J1057&lt;&gt;""), HYPERLINK("#'" &amp; C1057 &amp; "'!" &amp; J1057, J1057), "")</f>
        <v>0</v>
      </c>
    </row>
    <row r="1058" spans="2:2">
      <c r="B1058" s="21">
        <f>IF(AND(C1058&lt;&gt;"", J1058&lt;&gt;""), HYPERLINK("#'" &amp; C1058 &amp; "'!" &amp; J1058, J1058), "")</f>
        <v>0</v>
      </c>
    </row>
    <row r="1059" spans="2:2">
      <c r="B1059" s="21">
        <f>IF(AND(C1059&lt;&gt;"", J1059&lt;&gt;""), HYPERLINK("#'" &amp; C1059 &amp; "'!" &amp; J1059, J1059), "")</f>
        <v>0</v>
      </c>
    </row>
    <row r="1060" spans="2:2">
      <c r="B1060" s="21">
        <f>IF(AND(C1060&lt;&gt;"", J1060&lt;&gt;""), HYPERLINK("#'" &amp; C1060 &amp; "'!" &amp; J1060, J1060), "")</f>
        <v>0</v>
      </c>
    </row>
    <row r="1061" spans="2:2">
      <c r="B1061" s="21">
        <f>IF(AND(C1061&lt;&gt;"", J1061&lt;&gt;""), HYPERLINK("#'" &amp; C1061 &amp; "'!" &amp; J1061, J1061), "")</f>
        <v>0</v>
      </c>
    </row>
    <row r="1062" spans="2:2">
      <c r="B1062" s="21">
        <f>IF(AND(C1062&lt;&gt;"", J1062&lt;&gt;""), HYPERLINK("#'" &amp; C1062 &amp; "'!" &amp; J1062, J1062), "")</f>
        <v>0</v>
      </c>
    </row>
    <row r="1063" spans="2:2">
      <c r="B1063" s="21">
        <f>IF(AND(C1063&lt;&gt;"", J1063&lt;&gt;""), HYPERLINK("#'" &amp; C1063 &amp; "'!" &amp; J1063, J1063), "")</f>
        <v>0</v>
      </c>
    </row>
    <row r="1064" spans="2:2">
      <c r="B1064" s="21">
        <f>IF(AND(C1064&lt;&gt;"", J1064&lt;&gt;""), HYPERLINK("#'" &amp; C1064 &amp; "'!" &amp; J1064, J1064), "")</f>
        <v>0</v>
      </c>
    </row>
    <row r="1065" spans="2:2">
      <c r="B1065" s="21">
        <f>IF(AND(C1065&lt;&gt;"", J1065&lt;&gt;""), HYPERLINK("#'" &amp; C1065 &amp; "'!" &amp; J1065, J1065), "")</f>
        <v>0</v>
      </c>
    </row>
    <row r="1066" spans="2:2">
      <c r="B1066" s="21">
        <f>IF(AND(C1066&lt;&gt;"", J1066&lt;&gt;""), HYPERLINK("#'" &amp; C1066 &amp; "'!" &amp; J1066, J1066), "")</f>
        <v>0</v>
      </c>
    </row>
    <row r="1067" spans="2:2">
      <c r="B1067" s="21">
        <f>IF(AND(C1067&lt;&gt;"", J1067&lt;&gt;""), HYPERLINK("#'" &amp; C1067 &amp; "'!" &amp; J1067, J1067), "")</f>
        <v>0</v>
      </c>
    </row>
    <row r="1068" spans="2:2">
      <c r="B1068" s="21">
        <f>IF(AND(C1068&lt;&gt;"", J1068&lt;&gt;""), HYPERLINK("#'" &amp; C1068 &amp; "'!" &amp; J1068, J1068), "")</f>
        <v>0</v>
      </c>
    </row>
    <row r="1069" spans="2:2">
      <c r="B1069" s="21">
        <f>IF(AND(C1069&lt;&gt;"", J1069&lt;&gt;""), HYPERLINK("#'" &amp; C1069 &amp; "'!" &amp; J1069, J1069), "")</f>
        <v>0</v>
      </c>
    </row>
    <row r="1070" spans="2:2">
      <c r="B1070" s="21">
        <f>IF(AND(C1070&lt;&gt;"", J1070&lt;&gt;""), HYPERLINK("#'" &amp; C1070 &amp; "'!" &amp; J1070, J1070), "")</f>
        <v>0</v>
      </c>
    </row>
    <row r="1071" spans="2:2">
      <c r="B1071" s="21">
        <f>IF(AND(C1071&lt;&gt;"", J1071&lt;&gt;""), HYPERLINK("#'" &amp; C1071 &amp; "'!" &amp; J1071, J1071), "")</f>
        <v>0</v>
      </c>
    </row>
    <row r="1072" spans="2:2">
      <c r="B1072" s="21">
        <f>IF(AND(C1072&lt;&gt;"", J1072&lt;&gt;""), HYPERLINK("#'" &amp; C1072 &amp; "'!" &amp; J1072, J1072), "")</f>
        <v>0</v>
      </c>
    </row>
    <row r="1073" spans="2:2">
      <c r="B1073" s="21">
        <f>IF(AND(C1073&lt;&gt;"", J1073&lt;&gt;""), HYPERLINK("#'" &amp; C1073 &amp; "'!" &amp; J1073, J1073), "")</f>
        <v>0</v>
      </c>
    </row>
    <row r="1074" spans="2:2">
      <c r="B1074" s="21">
        <f>IF(AND(C1074&lt;&gt;"", J1074&lt;&gt;""), HYPERLINK("#'" &amp; C1074 &amp; "'!" &amp; J1074, J1074), "")</f>
        <v>0</v>
      </c>
    </row>
    <row r="1075" spans="2:2">
      <c r="B1075" s="21">
        <f>IF(AND(C1075&lt;&gt;"", J1075&lt;&gt;""), HYPERLINK("#'" &amp; C1075 &amp; "'!" &amp; J1075, J1075), "")</f>
        <v>0</v>
      </c>
    </row>
    <row r="1076" spans="2:2">
      <c r="B1076" s="21">
        <f>IF(AND(C1076&lt;&gt;"", J1076&lt;&gt;""), HYPERLINK("#'" &amp; C1076 &amp; "'!" &amp; J1076, J1076), "")</f>
        <v>0</v>
      </c>
    </row>
    <row r="1077" spans="2:2">
      <c r="B1077" s="21">
        <f>IF(AND(C1077&lt;&gt;"", J1077&lt;&gt;""), HYPERLINK("#'" &amp; C1077 &amp; "'!" &amp; J1077, J1077), "")</f>
        <v>0</v>
      </c>
    </row>
    <row r="1078" spans="2:2">
      <c r="B1078" s="21">
        <f>IF(AND(C1078&lt;&gt;"", J1078&lt;&gt;""), HYPERLINK("#'" &amp; C1078 &amp; "'!" &amp; J1078, J1078), "")</f>
        <v>0</v>
      </c>
    </row>
    <row r="1079" spans="2:2">
      <c r="B1079" s="21">
        <f>IF(AND(C1079&lt;&gt;"", J1079&lt;&gt;""), HYPERLINK("#'" &amp; C1079 &amp; "'!" &amp; J1079, J1079), "")</f>
        <v>0</v>
      </c>
    </row>
    <row r="1080" spans="2:2">
      <c r="B1080" s="21">
        <f>IF(AND(C1080&lt;&gt;"", J1080&lt;&gt;""), HYPERLINK("#'" &amp; C1080 &amp; "'!" &amp; J1080, J1080), "")</f>
        <v>0</v>
      </c>
    </row>
    <row r="1081" spans="2:2">
      <c r="B1081" s="21">
        <f>IF(AND(C1081&lt;&gt;"", J1081&lt;&gt;""), HYPERLINK("#'" &amp; C1081 &amp; "'!" &amp; J1081, J1081), "")</f>
        <v>0</v>
      </c>
    </row>
    <row r="1082" spans="2:2">
      <c r="B1082" s="21">
        <f>IF(AND(C1082&lt;&gt;"", J1082&lt;&gt;""), HYPERLINK("#'" &amp; C1082 &amp; "'!" &amp; J1082, J1082), "")</f>
        <v>0</v>
      </c>
    </row>
    <row r="1083" spans="2:2">
      <c r="B1083" s="21">
        <f>IF(AND(C1083&lt;&gt;"", J1083&lt;&gt;""), HYPERLINK("#'" &amp; C1083 &amp; "'!" &amp; J1083, J1083), "")</f>
        <v>0</v>
      </c>
    </row>
    <row r="1084" spans="2:2">
      <c r="B1084" s="21">
        <f>IF(AND(C1084&lt;&gt;"", J1084&lt;&gt;""), HYPERLINK("#'" &amp; C1084 &amp; "'!" &amp; J1084, J1084), "")</f>
        <v>0</v>
      </c>
    </row>
    <row r="1085" spans="2:2">
      <c r="B1085" s="21">
        <f>IF(AND(C1085&lt;&gt;"", J1085&lt;&gt;""), HYPERLINK("#'" &amp; C1085 &amp; "'!" &amp; J1085, J1085), "")</f>
        <v>0</v>
      </c>
    </row>
    <row r="1086" spans="2:2">
      <c r="B1086" s="21">
        <f>IF(AND(C1086&lt;&gt;"", J1086&lt;&gt;""), HYPERLINK("#'" &amp; C1086 &amp; "'!" &amp; J1086, J1086), "")</f>
        <v>0</v>
      </c>
    </row>
    <row r="1087" spans="2:2">
      <c r="B1087" s="21">
        <f>IF(AND(C1087&lt;&gt;"", J1087&lt;&gt;""), HYPERLINK("#'" &amp; C1087 &amp; "'!" &amp; J1087, J1087), "")</f>
        <v>0</v>
      </c>
    </row>
    <row r="1088" spans="2:2">
      <c r="B1088" s="21">
        <f>IF(AND(C1088&lt;&gt;"", J1088&lt;&gt;""), HYPERLINK("#'" &amp; C1088 &amp; "'!" &amp; J1088, J1088), "")</f>
        <v>0</v>
      </c>
    </row>
    <row r="1089" spans="2:2">
      <c r="B1089" s="21">
        <f>IF(AND(C1089&lt;&gt;"", J1089&lt;&gt;""), HYPERLINK("#'" &amp; C1089 &amp; "'!" &amp; J1089, J1089), "")</f>
        <v>0</v>
      </c>
    </row>
    <row r="1090" spans="2:2">
      <c r="B1090" s="21">
        <f>IF(AND(C1090&lt;&gt;"", J1090&lt;&gt;""), HYPERLINK("#'" &amp; C1090 &amp; "'!" &amp; J1090, J1090), "")</f>
        <v>0</v>
      </c>
    </row>
    <row r="1091" spans="2:2">
      <c r="B1091" s="21">
        <f>IF(AND(C1091&lt;&gt;"", J1091&lt;&gt;""), HYPERLINK("#'" &amp; C1091 &amp; "'!" &amp; J1091, J1091), "")</f>
        <v>0</v>
      </c>
    </row>
    <row r="1092" spans="2:2">
      <c r="B1092" s="21">
        <f>IF(AND(C1092&lt;&gt;"", J1092&lt;&gt;""), HYPERLINK("#'" &amp; C1092 &amp; "'!" &amp; J1092, J1092), "")</f>
        <v>0</v>
      </c>
    </row>
    <row r="1093" spans="2:2">
      <c r="B1093" s="21">
        <f>IF(AND(C1093&lt;&gt;"", J1093&lt;&gt;""), HYPERLINK("#'" &amp; C1093 &amp; "'!" &amp; J1093, J1093), "")</f>
        <v>0</v>
      </c>
    </row>
    <row r="1094" spans="2:2">
      <c r="B1094" s="21">
        <f>IF(AND(C1094&lt;&gt;"", J1094&lt;&gt;""), HYPERLINK("#'" &amp; C1094 &amp; "'!" &amp; J1094, J1094), "")</f>
        <v>0</v>
      </c>
    </row>
    <row r="1095" spans="2:2">
      <c r="B1095" s="21">
        <f>IF(AND(C1095&lt;&gt;"", J1095&lt;&gt;""), HYPERLINK("#'" &amp; C1095 &amp; "'!" &amp; J1095, J1095), "")</f>
        <v>0</v>
      </c>
    </row>
    <row r="1096" spans="2:2">
      <c r="B1096" s="21">
        <f>IF(AND(C1096&lt;&gt;"", J1096&lt;&gt;""), HYPERLINK("#'" &amp; C1096 &amp; "'!" &amp; J1096, J1096), "")</f>
        <v>0</v>
      </c>
    </row>
    <row r="1097" spans="2:2">
      <c r="B1097" s="21">
        <f>IF(AND(C1097&lt;&gt;"", J1097&lt;&gt;""), HYPERLINK("#'" &amp; C1097 &amp; "'!" &amp; J1097, J1097), "")</f>
        <v>0</v>
      </c>
    </row>
    <row r="1098" spans="2:2">
      <c r="B1098" s="21">
        <f>IF(AND(C1098&lt;&gt;"", J1098&lt;&gt;""), HYPERLINK("#'" &amp; C1098 &amp; "'!" &amp; J1098, J1098), "")</f>
        <v>0</v>
      </c>
    </row>
    <row r="1099" spans="2:2">
      <c r="B1099" s="21">
        <f>IF(AND(C1099&lt;&gt;"", J1099&lt;&gt;""), HYPERLINK("#'" &amp; C1099 &amp; "'!" &amp; J1099, J1099), "")</f>
        <v>0</v>
      </c>
    </row>
    <row r="1100" spans="2:2">
      <c r="B1100" s="21">
        <f>IF(AND(C1100&lt;&gt;"", J1100&lt;&gt;""), HYPERLINK("#'" &amp; C1100 &amp; "'!" &amp; J1100, J1100), "")</f>
        <v>0</v>
      </c>
    </row>
    <row r="1101" spans="2:2">
      <c r="B1101" s="21">
        <f>IF(AND(C1101&lt;&gt;"", J1101&lt;&gt;""), HYPERLINK("#'" &amp; C1101 &amp; "'!" &amp; J1101, J1101), "")</f>
        <v>0</v>
      </c>
    </row>
    <row r="1102" spans="2:2">
      <c r="B1102" s="21">
        <f>IF(AND(C1102&lt;&gt;"", J1102&lt;&gt;""), HYPERLINK("#'" &amp; C1102 &amp; "'!" &amp; J1102, J1102), "")</f>
        <v>0</v>
      </c>
    </row>
    <row r="1103" spans="2:2">
      <c r="B1103" s="21">
        <f>IF(AND(C1103&lt;&gt;"", J1103&lt;&gt;""), HYPERLINK("#'" &amp; C1103 &amp; "'!" &amp; J1103, J1103), "")</f>
        <v>0</v>
      </c>
    </row>
    <row r="1104" spans="2:2">
      <c r="B1104" s="21">
        <f>IF(AND(C1104&lt;&gt;"", J1104&lt;&gt;""), HYPERLINK("#'" &amp; C1104 &amp; "'!" &amp; J1104, J1104), "")</f>
        <v>0</v>
      </c>
    </row>
    <row r="1105" spans="2:2">
      <c r="B1105" s="21">
        <f>IF(AND(C1105&lt;&gt;"", J1105&lt;&gt;""), HYPERLINK("#'" &amp; C1105 &amp; "'!" &amp; J1105, J1105), "")</f>
        <v>0</v>
      </c>
    </row>
    <row r="1106" spans="2:2">
      <c r="B1106" s="21">
        <f>IF(AND(C1106&lt;&gt;"", J1106&lt;&gt;""), HYPERLINK("#'" &amp; C1106 &amp; "'!" &amp; J1106, J1106), "")</f>
        <v>0</v>
      </c>
    </row>
    <row r="1107" spans="2:2">
      <c r="B1107" s="21">
        <f>IF(AND(C1107&lt;&gt;"", J1107&lt;&gt;""), HYPERLINK("#'" &amp; C1107 &amp; "'!" &amp; J1107, J1107), "")</f>
        <v>0</v>
      </c>
    </row>
    <row r="1108" spans="2:2">
      <c r="B1108" s="21">
        <f>IF(AND(C1108&lt;&gt;"", J1108&lt;&gt;""), HYPERLINK("#'" &amp; C1108 &amp; "'!" &amp; J1108, J1108), "")</f>
        <v>0</v>
      </c>
    </row>
    <row r="1109" spans="2:2">
      <c r="B1109" s="21">
        <f>IF(AND(C1109&lt;&gt;"", J1109&lt;&gt;""), HYPERLINK("#'" &amp; C1109 &amp; "'!" &amp; J1109, J1109), "")</f>
        <v>0</v>
      </c>
    </row>
    <row r="1110" spans="2:2">
      <c r="B1110" s="21">
        <f>IF(AND(C1110&lt;&gt;"", J1110&lt;&gt;""), HYPERLINK("#'" &amp; C1110 &amp; "'!" &amp; J1110, J1110), "")</f>
        <v>0</v>
      </c>
    </row>
    <row r="1111" spans="2:2">
      <c r="B1111" s="21">
        <f>IF(AND(C1111&lt;&gt;"", J1111&lt;&gt;""), HYPERLINK("#'" &amp; C1111 &amp; "'!" &amp; J1111, J1111), "")</f>
        <v>0</v>
      </c>
    </row>
    <row r="1112" spans="2:2">
      <c r="B1112" s="21">
        <f>IF(AND(C1112&lt;&gt;"", J1112&lt;&gt;""), HYPERLINK("#'" &amp; C1112 &amp; "'!" &amp; J1112, J1112), "")</f>
        <v>0</v>
      </c>
    </row>
    <row r="1113" spans="2:2">
      <c r="B1113" s="21">
        <f>IF(AND(C1113&lt;&gt;"", J1113&lt;&gt;""), HYPERLINK("#'" &amp; C1113 &amp; "'!" &amp; J1113, J1113), "")</f>
        <v>0</v>
      </c>
    </row>
    <row r="1114" spans="2:2">
      <c r="B1114" s="21">
        <f>IF(AND(C1114&lt;&gt;"", J1114&lt;&gt;""), HYPERLINK("#'" &amp; C1114 &amp; "'!" &amp; J1114, J1114), "")</f>
        <v>0</v>
      </c>
    </row>
    <row r="1115" spans="2:2">
      <c r="B1115" s="21">
        <f>IF(AND(C1115&lt;&gt;"", J1115&lt;&gt;""), HYPERLINK("#'" &amp; C1115 &amp; "'!" &amp; J1115, J1115), "")</f>
        <v>0</v>
      </c>
    </row>
    <row r="1116" spans="2:2">
      <c r="B1116" s="21">
        <f>IF(AND(C1116&lt;&gt;"", J1116&lt;&gt;""), HYPERLINK("#'" &amp; C1116 &amp; "'!" &amp; J1116, J1116), "")</f>
        <v>0</v>
      </c>
    </row>
    <row r="1117" spans="2:2">
      <c r="B1117" s="21">
        <f>IF(AND(C1117&lt;&gt;"", J1117&lt;&gt;""), HYPERLINK("#'" &amp; C1117 &amp; "'!" &amp; J1117, J1117), "")</f>
        <v>0</v>
      </c>
    </row>
    <row r="1118" spans="2:2">
      <c r="B1118" s="21">
        <f>IF(AND(C1118&lt;&gt;"", J1118&lt;&gt;""), HYPERLINK("#'" &amp; C1118 &amp; "'!" &amp; J1118, J1118), "")</f>
        <v>0</v>
      </c>
    </row>
    <row r="1119" spans="2:2">
      <c r="B1119" s="21">
        <f>IF(AND(C1119&lt;&gt;"", J1119&lt;&gt;""), HYPERLINK("#'" &amp; C1119 &amp; "'!" &amp; J1119, J1119), "")</f>
        <v>0</v>
      </c>
    </row>
    <row r="1120" spans="2:2">
      <c r="B1120" s="21">
        <f>IF(AND(C1120&lt;&gt;"", J1120&lt;&gt;""), HYPERLINK("#'" &amp; C1120 &amp; "'!" &amp; J1120, J1120), "")</f>
        <v>0</v>
      </c>
    </row>
    <row r="1121" spans="2:2">
      <c r="B1121" s="21">
        <f>IF(AND(C1121&lt;&gt;"", J1121&lt;&gt;""), HYPERLINK("#'" &amp; C1121 &amp; "'!" &amp; J1121, J1121), "")</f>
        <v>0</v>
      </c>
    </row>
    <row r="1122" spans="2:2">
      <c r="B1122" s="21">
        <f>IF(AND(C1122&lt;&gt;"", J1122&lt;&gt;""), HYPERLINK("#'" &amp; C1122 &amp; "'!" &amp; J1122, J1122), "")</f>
        <v>0</v>
      </c>
    </row>
    <row r="1123" spans="2:2">
      <c r="B1123" s="21">
        <f>IF(AND(C1123&lt;&gt;"", J1123&lt;&gt;""), HYPERLINK("#'" &amp; C1123 &amp; "'!" &amp; J1123, J1123), "")</f>
        <v>0</v>
      </c>
    </row>
    <row r="1124" spans="2:2">
      <c r="B1124" s="21">
        <f>IF(AND(C1124&lt;&gt;"", J1124&lt;&gt;""), HYPERLINK("#'" &amp; C1124 &amp; "'!" &amp; J1124, J1124), "")</f>
        <v>0</v>
      </c>
    </row>
    <row r="1125" spans="2:2">
      <c r="B1125" s="21">
        <f>IF(AND(C1125&lt;&gt;"", J1125&lt;&gt;""), HYPERLINK("#'" &amp; C1125 &amp; "'!" &amp; J1125, J1125), "")</f>
        <v>0</v>
      </c>
    </row>
    <row r="1126" spans="2:2">
      <c r="B1126" s="21">
        <f>IF(AND(C1126&lt;&gt;"", J1126&lt;&gt;""), HYPERLINK("#'" &amp; C1126 &amp; "'!" &amp; J1126, J1126), "")</f>
        <v>0</v>
      </c>
    </row>
    <row r="1127" spans="2:2">
      <c r="B1127" s="21">
        <f>IF(AND(C1127&lt;&gt;"", J1127&lt;&gt;""), HYPERLINK("#'" &amp; C1127 &amp; "'!" &amp; J1127, J1127), "")</f>
        <v>0</v>
      </c>
    </row>
    <row r="1128" spans="2:2">
      <c r="B1128" s="21">
        <f>IF(AND(C1128&lt;&gt;"", J1128&lt;&gt;""), HYPERLINK("#'" &amp; C1128 &amp; "'!" &amp; J1128, J1128), "")</f>
        <v>0</v>
      </c>
    </row>
    <row r="1129" spans="2:2">
      <c r="B1129" s="21">
        <f>IF(AND(C1129&lt;&gt;"", J1129&lt;&gt;""), HYPERLINK("#'" &amp; C1129 &amp; "'!" &amp; J1129, J1129), "")</f>
        <v>0</v>
      </c>
    </row>
    <row r="1130" spans="2:2">
      <c r="B1130" s="21">
        <f>IF(AND(C1130&lt;&gt;"", J1130&lt;&gt;""), HYPERLINK("#'" &amp; C1130 &amp; "'!" &amp; J1130, J1130), "")</f>
        <v>0</v>
      </c>
    </row>
    <row r="1131" spans="2:2">
      <c r="B1131" s="21">
        <f>IF(AND(C1131&lt;&gt;"", J1131&lt;&gt;""), HYPERLINK("#'" &amp; C1131 &amp; "'!" &amp; J1131, J1131), "")</f>
        <v>0</v>
      </c>
    </row>
    <row r="1132" spans="2:2">
      <c r="B1132" s="21">
        <f>IF(AND(C1132&lt;&gt;"", J1132&lt;&gt;""), HYPERLINK("#'" &amp; C1132 &amp; "'!" &amp; J1132, J1132), "")</f>
        <v>0</v>
      </c>
    </row>
    <row r="1133" spans="2:2">
      <c r="B1133" s="21">
        <f>IF(AND(C1133&lt;&gt;"", J1133&lt;&gt;""), HYPERLINK("#'" &amp; C1133 &amp; "'!" &amp; J1133, J1133), "")</f>
        <v>0</v>
      </c>
    </row>
    <row r="1134" spans="2:2">
      <c r="B1134" s="21">
        <f>IF(AND(C1134&lt;&gt;"", J1134&lt;&gt;""), HYPERLINK("#'" &amp; C1134 &amp; "'!" &amp; J1134, J1134), "")</f>
        <v>0</v>
      </c>
    </row>
    <row r="1135" spans="2:2">
      <c r="B1135" s="21">
        <f>IF(AND(C1135&lt;&gt;"", J1135&lt;&gt;""), HYPERLINK("#'" &amp; C1135 &amp; "'!" &amp; J1135, J1135), "")</f>
        <v>0</v>
      </c>
    </row>
    <row r="1136" spans="2:2">
      <c r="B1136" s="21">
        <f>IF(AND(C1136&lt;&gt;"", J1136&lt;&gt;""), HYPERLINK("#'" &amp; C1136 &amp; "'!" &amp; J1136, J1136), "")</f>
        <v>0</v>
      </c>
    </row>
    <row r="1137" spans="2:2">
      <c r="B1137" s="21">
        <f>IF(AND(C1137&lt;&gt;"", J1137&lt;&gt;""), HYPERLINK("#'" &amp; C1137 &amp; "'!" &amp; J1137, J1137), "")</f>
        <v>0</v>
      </c>
    </row>
    <row r="1138" spans="2:2">
      <c r="B1138" s="21">
        <f>IF(AND(C1138&lt;&gt;"", J1138&lt;&gt;""), HYPERLINK("#'" &amp; C1138 &amp; "'!" &amp; J1138, J1138), "")</f>
        <v>0</v>
      </c>
    </row>
    <row r="1139" spans="2:2">
      <c r="B1139" s="21">
        <f>IF(AND(C1139&lt;&gt;"", J1139&lt;&gt;""), HYPERLINK("#'" &amp; C1139 &amp; "'!" &amp; J1139, J1139), "")</f>
        <v>0</v>
      </c>
    </row>
    <row r="1140" spans="2:2">
      <c r="B1140" s="21">
        <f>IF(AND(C1140&lt;&gt;"", J1140&lt;&gt;""), HYPERLINK("#'" &amp; C1140 &amp; "'!" &amp; J1140, J1140), "")</f>
        <v>0</v>
      </c>
    </row>
    <row r="1141" spans="2:2">
      <c r="B1141" s="21">
        <f>IF(AND(C1141&lt;&gt;"", J1141&lt;&gt;""), HYPERLINK("#'" &amp; C1141 &amp; "'!" &amp; J1141, J1141), "")</f>
        <v>0</v>
      </c>
    </row>
    <row r="1142" spans="2:2">
      <c r="B1142" s="21">
        <f>IF(AND(C1142&lt;&gt;"", J1142&lt;&gt;""), HYPERLINK("#'" &amp; C1142 &amp; "'!" &amp; J1142, J1142), "")</f>
        <v>0</v>
      </c>
    </row>
    <row r="1143" spans="2:2">
      <c r="B1143" s="21">
        <f>IF(AND(C1143&lt;&gt;"", J1143&lt;&gt;""), HYPERLINK("#'" &amp; C1143 &amp; "'!" &amp; J1143, J1143), "")</f>
        <v>0</v>
      </c>
    </row>
    <row r="1144" spans="2:2">
      <c r="B1144" s="21">
        <f>IF(AND(C1144&lt;&gt;"", J1144&lt;&gt;""), HYPERLINK("#'" &amp; C1144 &amp; "'!" &amp; J1144, J1144), "")</f>
        <v>0</v>
      </c>
    </row>
    <row r="1145" spans="2:2">
      <c r="B1145" s="21">
        <f>IF(AND(C1145&lt;&gt;"", J1145&lt;&gt;""), HYPERLINK("#'" &amp; C1145 &amp; "'!" &amp; J1145, J1145), "")</f>
        <v>0</v>
      </c>
    </row>
    <row r="1146" spans="2:2">
      <c r="B1146" s="21">
        <f>IF(AND(C1146&lt;&gt;"", J1146&lt;&gt;""), HYPERLINK("#'" &amp; C1146 &amp; "'!" &amp; J1146, J1146), "")</f>
        <v>0</v>
      </c>
    </row>
    <row r="1147" spans="2:2">
      <c r="B1147" s="21">
        <f>IF(AND(C1147&lt;&gt;"", J1147&lt;&gt;""), HYPERLINK("#'" &amp; C1147 &amp; "'!" &amp; J1147, J1147), "")</f>
        <v>0</v>
      </c>
    </row>
    <row r="1148" spans="2:2">
      <c r="B1148" s="21">
        <f>IF(AND(C1148&lt;&gt;"", J1148&lt;&gt;""), HYPERLINK("#'" &amp; C1148 &amp; "'!" &amp; J1148, J1148), "")</f>
        <v>0</v>
      </c>
    </row>
    <row r="1149" spans="2:2">
      <c r="B1149" s="21">
        <f>IF(AND(C1149&lt;&gt;"", J1149&lt;&gt;""), HYPERLINK("#'" &amp; C1149 &amp; "'!" &amp; J1149, J1149), "")</f>
        <v>0</v>
      </c>
    </row>
    <row r="1150" spans="2:2">
      <c r="B1150" s="21">
        <f>IF(AND(C1150&lt;&gt;"", J1150&lt;&gt;""), HYPERLINK("#'" &amp; C1150 &amp; "'!" &amp; J1150, J1150), "")</f>
        <v>0</v>
      </c>
    </row>
    <row r="1151" spans="2:2">
      <c r="B1151" s="21">
        <f>IF(AND(C1151&lt;&gt;"", J1151&lt;&gt;""), HYPERLINK("#'" &amp; C1151 &amp; "'!" &amp; J1151, J1151), "")</f>
        <v>0</v>
      </c>
    </row>
    <row r="1152" spans="2:2">
      <c r="B1152" s="21">
        <f>IF(AND(C1152&lt;&gt;"", J1152&lt;&gt;""), HYPERLINK("#'" &amp; C1152 &amp; "'!" &amp; J1152, J1152), "")</f>
        <v>0</v>
      </c>
    </row>
    <row r="1153" spans="2:2">
      <c r="B1153" s="21">
        <f>IF(AND(C1153&lt;&gt;"", J1153&lt;&gt;""), HYPERLINK("#'" &amp; C1153 &amp; "'!" &amp; J1153, J1153), "")</f>
        <v>0</v>
      </c>
    </row>
    <row r="1154" spans="2:2">
      <c r="B1154" s="21">
        <f>IF(AND(C1154&lt;&gt;"", J1154&lt;&gt;""), HYPERLINK("#'" &amp; C1154 &amp; "'!" &amp; J1154, J1154), "")</f>
        <v>0</v>
      </c>
    </row>
    <row r="1155" spans="2:2">
      <c r="B1155" s="21">
        <f>IF(AND(C1155&lt;&gt;"", J1155&lt;&gt;""), HYPERLINK("#'" &amp; C1155 &amp; "'!" &amp; J1155, J1155), "")</f>
        <v>0</v>
      </c>
    </row>
    <row r="1156" spans="2:2">
      <c r="B1156" s="21">
        <f>IF(AND(C1156&lt;&gt;"", J1156&lt;&gt;""), HYPERLINK("#'" &amp; C1156 &amp; "'!" &amp; J1156, J1156), "")</f>
        <v>0</v>
      </c>
    </row>
    <row r="1157" spans="2:2">
      <c r="B1157" s="21">
        <f>IF(AND(C1157&lt;&gt;"", J1157&lt;&gt;""), HYPERLINK("#'" &amp; C1157 &amp; "'!" &amp; J1157, J1157), "")</f>
        <v>0</v>
      </c>
    </row>
    <row r="1158" spans="2:2">
      <c r="B1158" s="21">
        <f>IF(AND(C1158&lt;&gt;"", J1158&lt;&gt;""), HYPERLINK("#'" &amp; C1158 &amp; "'!" &amp; J1158, J1158), "")</f>
        <v>0</v>
      </c>
    </row>
    <row r="1159" spans="2:2">
      <c r="B1159" s="21">
        <f>IF(AND(C1159&lt;&gt;"", J1159&lt;&gt;""), HYPERLINK("#'" &amp; C1159 &amp; "'!" &amp; J1159, J1159), "")</f>
        <v>0</v>
      </c>
    </row>
    <row r="1160" spans="2:2">
      <c r="B1160" s="21">
        <f>IF(AND(C1160&lt;&gt;"", J1160&lt;&gt;""), HYPERLINK("#'" &amp; C1160 &amp; "'!" &amp; J1160, J1160), "")</f>
        <v>0</v>
      </c>
    </row>
    <row r="1161" spans="2:2">
      <c r="B1161" s="21">
        <f>IF(AND(C1161&lt;&gt;"", J1161&lt;&gt;""), HYPERLINK("#'" &amp; C1161 &amp; "'!" &amp; J1161, J1161), "")</f>
        <v>0</v>
      </c>
    </row>
    <row r="1162" spans="2:2">
      <c r="B1162" s="21">
        <f>IF(AND(C1162&lt;&gt;"", J1162&lt;&gt;""), HYPERLINK("#'" &amp; C1162 &amp; "'!" &amp; J1162, J1162), "")</f>
        <v>0</v>
      </c>
    </row>
    <row r="1163" spans="2:2">
      <c r="B1163" s="21">
        <f>IF(AND(C1163&lt;&gt;"", J1163&lt;&gt;""), HYPERLINK("#'" &amp; C1163 &amp; "'!" &amp; J1163, J1163), "")</f>
        <v>0</v>
      </c>
    </row>
    <row r="1164" spans="2:2">
      <c r="B1164" s="21">
        <f>IF(AND(C1164&lt;&gt;"", J1164&lt;&gt;""), HYPERLINK("#'" &amp; C1164 &amp; "'!" &amp; J1164, J1164), "")</f>
        <v>0</v>
      </c>
    </row>
    <row r="1165" spans="2:2">
      <c r="B1165" s="21">
        <f>IF(AND(C1165&lt;&gt;"", J1165&lt;&gt;""), HYPERLINK("#'" &amp; C1165 &amp; "'!" &amp; J1165, J1165), "")</f>
        <v>0</v>
      </c>
    </row>
    <row r="1166" spans="2:2">
      <c r="B1166" s="21">
        <f>IF(AND(C1166&lt;&gt;"", J1166&lt;&gt;""), HYPERLINK("#'" &amp; C1166 &amp; "'!" &amp; J1166, J1166), "")</f>
        <v>0</v>
      </c>
    </row>
    <row r="1167" spans="2:2">
      <c r="B1167" s="21">
        <f>IF(AND(C1167&lt;&gt;"", J1167&lt;&gt;""), HYPERLINK("#'" &amp; C1167 &amp; "'!" &amp; J1167, J1167), "")</f>
        <v>0</v>
      </c>
    </row>
    <row r="1168" spans="2:2">
      <c r="B1168" s="21">
        <f>IF(AND(C1168&lt;&gt;"", J1168&lt;&gt;""), HYPERLINK("#'" &amp; C1168 &amp; "'!" &amp; J1168, J1168), "")</f>
        <v>0</v>
      </c>
    </row>
    <row r="1169" spans="2:2">
      <c r="B1169" s="21">
        <f>IF(AND(C1169&lt;&gt;"", J1169&lt;&gt;""), HYPERLINK("#'" &amp; C1169 &amp; "'!" &amp; J1169, J1169), "")</f>
        <v>0</v>
      </c>
    </row>
    <row r="1170" spans="2:2">
      <c r="B1170" s="21">
        <f>IF(AND(C1170&lt;&gt;"", J1170&lt;&gt;""), HYPERLINK("#'" &amp; C1170 &amp; "'!" &amp; J1170, J1170), "")</f>
        <v>0</v>
      </c>
    </row>
    <row r="1171" spans="2:2">
      <c r="B1171" s="21">
        <f>IF(AND(C1171&lt;&gt;"", J1171&lt;&gt;""), HYPERLINK("#'" &amp; C1171 &amp; "'!" &amp; J1171, J1171), "")</f>
        <v>0</v>
      </c>
    </row>
    <row r="1172" spans="2:2">
      <c r="B1172" s="21">
        <f>IF(AND(C1172&lt;&gt;"", J1172&lt;&gt;""), HYPERLINK("#'" &amp; C1172 &amp; "'!" &amp; J1172, J1172), "")</f>
        <v>0</v>
      </c>
    </row>
    <row r="1173" spans="2:2">
      <c r="B1173" s="21">
        <f>IF(AND(C1173&lt;&gt;"", J1173&lt;&gt;""), HYPERLINK("#'" &amp; C1173 &amp; "'!" &amp; J1173, J1173), "")</f>
        <v>0</v>
      </c>
    </row>
    <row r="1174" spans="2:2">
      <c r="B1174" s="21">
        <f>IF(AND(C1174&lt;&gt;"", J1174&lt;&gt;""), HYPERLINK("#'" &amp; C1174 &amp; "'!" &amp; J1174, J1174), "")</f>
        <v>0</v>
      </c>
    </row>
    <row r="1175" spans="2:2">
      <c r="B1175" s="21">
        <f>IF(AND(C1175&lt;&gt;"", J1175&lt;&gt;""), HYPERLINK("#'" &amp; C1175 &amp; "'!" &amp; J1175, J1175), "")</f>
        <v>0</v>
      </c>
    </row>
    <row r="1176" spans="2:2">
      <c r="B1176" s="21">
        <f>IF(AND(C1176&lt;&gt;"", J1176&lt;&gt;""), HYPERLINK("#'" &amp; C1176 &amp; "'!" &amp; J1176, J1176), "")</f>
        <v>0</v>
      </c>
    </row>
    <row r="1177" spans="2:2">
      <c r="B1177" s="21">
        <f>IF(AND(C1177&lt;&gt;"", J1177&lt;&gt;""), HYPERLINK("#'" &amp; C1177 &amp; "'!" &amp; J1177, J1177), "")</f>
        <v>0</v>
      </c>
    </row>
    <row r="1178" spans="2:2">
      <c r="B1178" s="21">
        <f>IF(AND(C1178&lt;&gt;"", J1178&lt;&gt;""), HYPERLINK("#'" &amp; C1178 &amp; "'!" &amp; J1178, J1178), "")</f>
        <v>0</v>
      </c>
    </row>
    <row r="1179" spans="2:2">
      <c r="B1179" s="21">
        <f>IF(AND(C1179&lt;&gt;"", J1179&lt;&gt;""), HYPERLINK("#'" &amp; C1179 &amp; "'!" &amp; J1179, J1179), "")</f>
        <v>0</v>
      </c>
    </row>
    <row r="1180" spans="2:2">
      <c r="B1180" s="21">
        <f>IF(AND(C1180&lt;&gt;"", J1180&lt;&gt;""), HYPERLINK("#'" &amp; C1180 &amp; "'!" &amp; J1180, J1180), "")</f>
        <v>0</v>
      </c>
    </row>
    <row r="1181" spans="2:2">
      <c r="B1181" s="21">
        <f>IF(AND(C1181&lt;&gt;"", J1181&lt;&gt;""), HYPERLINK("#'" &amp; C1181 &amp; "'!" &amp; J1181, J1181), "")</f>
        <v>0</v>
      </c>
    </row>
    <row r="1182" spans="2:2">
      <c r="B1182" s="21">
        <f>IF(AND(C1182&lt;&gt;"", J1182&lt;&gt;""), HYPERLINK("#'" &amp; C1182 &amp; "'!" &amp; J1182, J1182), "")</f>
        <v>0</v>
      </c>
    </row>
    <row r="1183" spans="2:2">
      <c r="B1183" s="21">
        <f>IF(AND(C1183&lt;&gt;"", J1183&lt;&gt;""), HYPERLINK("#'" &amp; C1183 &amp; "'!" &amp; J1183, J1183), "")</f>
        <v>0</v>
      </c>
    </row>
    <row r="1184" spans="2:2">
      <c r="B1184" s="21">
        <f>IF(AND(C1184&lt;&gt;"", J1184&lt;&gt;""), HYPERLINK("#'" &amp; C1184 &amp; "'!" &amp; J1184, J1184), "")</f>
        <v>0</v>
      </c>
    </row>
    <row r="1185" spans="2:2">
      <c r="B1185" s="21">
        <f>IF(AND(C1185&lt;&gt;"", J1185&lt;&gt;""), HYPERLINK("#'" &amp; C1185 &amp; "'!" &amp; J1185, J1185), "")</f>
        <v>0</v>
      </c>
    </row>
    <row r="1186" spans="2:2">
      <c r="B1186" s="21">
        <f>IF(AND(C1186&lt;&gt;"", J1186&lt;&gt;""), HYPERLINK("#'" &amp; C1186 &amp; "'!" &amp; J1186, J1186), "")</f>
        <v>0</v>
      </c>
    </row>
    <row r="1187" spans="2:2">
      <c r="B1187" s="21">
        <f>IF(AND(C1187&lt;&gt;"", J1187&lt;&gt;""), HYPERLINK("#'" &amp; C1187 &amp; "'!" &amp; J1187, J1187), "")</f>
        <v>0</v>
      </c>
    </row>
    <row r="1188" spans="2:2">
      <c r="B1188" s="21">
        <f>IF(AND(C1188&lt;&gt;"", J1188&lt;&gt;""), HYPERLINK("#'" &amp; C1188 &amp; "'!" &amp; J1188, J1188), "")</f>
        <v>0</v>
      </c>
    </row>
    <row r="1189" spans="2:2">
      <c r="B1189" s="21">
        <f>IF(AND(C1189&lt;&gt;"", J1189&lt;&gt;""), HYPERLINK("#'" &amp; C1189 &amp; "'!" &amp; J1189, J1189), "")</f>
        <v>0</v>
      </c>
    </row>
    <row r="1190" spans="2:2">
      <c r="B1190" s="21">
        <f>IF(AND(C1190&lt;&gt;"", J1190&lt;&gt;""), HYPERLINK("#'" &amp; C1190 &amp; "'!" &amp; J1190, J1190), "")</f>
        <v>0</v>
      </c>
    </row>
    <row r="1191" spans="2:2">
      <c r="B1191" s="21">
        <f>IF(AND(C1191&lt;&gt;"", J1191&lt;&gt;""), HYPERLINK("#'" &amp; C1191 &amp; "'!" &amp; J1191, J1191), "")</f>
        <v>0</v>
      </c>
    </row>
    <row r="1192" spans="2:2">
      <c r="B1192" s="21">
        <f>IF(AND(C1192&lt;&gt;"", J1192&lt;&gt;""), HYPERLINK("#'" &amp; C1192 &amp; "'!" &amp; J1192, J1192), "")</f>
        <v>0</v>
      </c>
    </row>
    <row r="1193" spans="2:2">
      <c r="B1193" s="21">
        <f>IF(AND(C1193&lt;&gt;"", J1193&lt;&gt;""), HYPERLINK("#'" &amp; C1193 &amp; "'!" &amp; J1193, J1193), "")</f>
        <v>0</v>
      </c>
    </row>
    <row r="1194" spans="2:2">
      <c r="B1194" s="21">
        <f>IF(AND(C1194&lt;&gt;"", J1194&lt;&gt;""), HYPERLINK("#'" &amp; C1194 &amp; "'!" &amp; J1194, J1194), "")</f>
        <v>0</v>
      </c>
    </row>
    <row r="1195" spans="2:2">
      <c r="B1195" s="21">
        <f>IF(AND(C1195&lt;&gt;"", J1195&lt;&gt;""), HYPERLINK("#'" &amp; C1195 &amp; "'!" &amp; J1195, J1195), "")</f>
        <v>0</v>
      </c>
    </row>
    <row r="1196" spans="2:2">
      <c r="B1196" s="21">
        <f>IF(AND(C1196&lt;&gt;"", J1196&lt;&gt;""), HYPERLINK("#'" &amp; C1196 &amp; "'!" &amp; J1196, J1196), "")</f>
        <v>0</v>
      </c>
    </row>
    <row r="1197" spans="2:2">
      <c r="B1197" s="21">
        <f>IF(AND(C1197&lt;&gt;"", J1197&lt;&gt;""), HYPERLINK("#'" &amp; C1197 &amp; "'!" &amp; J1197, J1197), "")</f>
        <v>0</v>
      </c>
    </row>
    <row r="1198" spans="2:2">
      <c r="B1198" s="21">
        <f>IF(AND(C1198&lt;&gt;"", J1198&lt;&gt;""), HYPERLINK("#'" &amp; C1198 &amp; "'!" &amp; J1198, J1198), "")</f>
        <v>0</v>
      </c>
    </row>
    <row r="1199" spans="2:2">
      <c r="B1199" s="21">
        <f>IF(AND(C1199&lt;&gt;"", J1199&lt;&gt;""), HYPERLINK("#'" &amp; C1199 &amp; "'!" &amp; J1199, J1199), "")</f>
        <v>0</v>
      </c>
    </row>
    <row r="1200" spans="2:2">
      <c r="B1200" s="21">
        <f>IF(AND(C1200&lt;&gt;"", J1200&lt;&gt;""), HYPERLINK("#'" &amp; C1200 &amp; "'!" &amp; J1200, J1200), "")</f>
        <v>0</v>
      </c>
    </row>
    <row r="1201" spans="2:2">
      <c r="B1201" s="21">
        <f>IF(AND(C1201&lt;&gt;"", J1201&lt;&gt;""), HYPERLINK("#'" &amp; C1201 &amp; "'!" &amp; J1201, J1201), "")</f>
        <v>0</v>
      </c>
    </row>
    <row r="1202" spans="2:2">
      <c r="B1202" s="21">
        <f>IF(AND(C1202&lt;&gt;"", J1202&lt;&gt;""), HYPERLINK("#'" &amp; C1202 &amp; "'!" &amp; J1202, J1202), "")</f>
        <v>0</v>
      </c>
    </row>
    <row r="1203" spans="2:2">
      <c r="B1203" s="21">
        <f>IF(AND(C1203&lt;&gt;"", J1203&lt;&gt;""), HYPERLINK("#'" &amp; C1203 &amp; "'!" &amp; J1203, J1203), "")</f>
        <v>0</v>
      </c>
    </row>
    <row r="1204" spans="2:2">
      <c r="B1204" s="21">
        <f>IF(AND(C1204&lt;&gt;"", J1204&lt;&gt;""), HYPERLINK("#'" &amp; C1204 &amp; "'!" &amp; J1204, J1204), "")</f>
        <v>0</v>
      </c>
    </row>
    <row r="1205" spans="2:2">
      <c r="B1205" s="21">
        <f>IF(AND(C1205&lt;&gt;"", J1205&lt;&gt;""), HYPERLINK("#'" &amp; C1205 &amp; "'!" &amp; J1205, J1205), "")</f>
        <v>0</v>
      </c>
    </row>
    <row r="1206" spans="2:2">
      <c r="B1206" s="21">
        <f>IF(AND(C1206&lt;&gt;"", J1206&lt;&gt;""), HYPERLINK("#'" &amp; C1206 &amp; "'!" &amp; J1206, J1206), "")</f>
        <v>0</v>
      </c>
    </row>
    <row r="1207" spans="2:2">
      <c r="B1207" s="21">
        <f>IF(AND(C1207&lt;&gt;"", J1207&lt;&gt;""), HYPERLINK("#'" &amp; C1207 &amp; "'!" &amp; J1207, J1207), "")</f>
        <v>0</v>
      </c>
    </row>
    <row r="1208" spans="2:2">
      <c r="B1208" s="21">
        <f>IF(AND(C1208&lt;&gt;"", J1208&lt;&gt;""), HYPERLINK("#'" &amp; C1208 &amp; "'!" &amp; J1208, J1208), "")</f>
        <v>0</v>
      </c>
    </row>
    <row r="1209" spans="2:2">
      <c r="B1209" s="21">
        <f>IF(AND(C1209&lt;&gt;"", J1209&lt;&gt;""), HYPERLINK("#'" &amp; C1209 &amp; "'!" &amp; J1209, J1209), "")</f>
        <v>0</v>
      </c>
    </row>
    <row r="1210" spans="2:2">
      <c r="B1210" s="21">
        <f>IF(AND(C1210&lt;&gt;"", J1210&lt;&gt;""), HYPERLINK("#'" &amp; C1210 &amp; "'!" &amp; J1210, J1210), "")</f>
        <v>0</v>
      </c>
    </row>
    <row r="1211" spans="2:2">
      <c r="B1211" s="21">
        <f>IF(AND(C1211&lt;&gt;"", J1211&lt;&gt;""), HYPERLINK("#'" &amp; C1211 &amp; "'!" &amp; J1211, J1211), "")</f>
        <v>0</v>
      </c>
    </row>
    <row r="1212" spans="2:2">
      <c r="B1212" s="21">
        <f>IF(AND(C1212&lt;&gt;"", J1212&lt;&gt;""), HYPERLINK("#'" &amp; C1212 &amp; "'!" &amp; J1212, J1212), "")</f>
        <v>0</v>
      </c>
    </row>
    <row r="1213" spans="2:2">
      <c r="B1213" s="21">
        <f>IF(AND(C1213&lt;&gt;"", J1213&lt;&gt;""), HYPERLINK("#'" &amp; C1213 &amp; "'!" &amp; J1213, J1213), "")</f>
        <v>0</v>
      </c>
    </row>
    <row r="1214" spans="2:2">
      <c r="B1214" s="21">
        <f>IF(AND(C1214&lt;&gt;"", J1214&lt;&gt;""), HYPERLINK("#'" &amp; C1214 &amp; "'!" &amp; J1214, J1214), "")</f>
        <v>0</v>
      </c>
    </row>
    <row r="1215" spans="2:2">
      <c r="B1215" s="21">
        <f>IF(AND(C1215&lt;&gt;"", J1215&lt;&gt;""), HYPERLINK("#'" &amp; C1215 &amp; "'!" &amp; J1215, J1215), "")</f>
        <v>0</v>
      </c>
    </row>
    <row r="1216" spans="2:2">
      <c r="B1216" s="21">
        <f>IF(AND(C1216&lt;&gt;"", J1216&lt;&gt;""), HYPERLINK("#'" &amp; C1216 &amp; "'!" &amp; J1216, J1216), "")</f>
        <v>0</v>
      </c>
    </row>
    <row r="1217" spans="2:2">
      <c r="B1217" s="21">
        <f>IF(AND(C1217&lt;&gt;"", J1217&lt;&gt;""), HYPERLINK("#'" &amp; C1217 &amp; "'!" &amp; J1217, J1217), "")</f>
        <v>0</v>
      </c>
    </row>
    <row r="1218" spans="2:2">
      <c r="B1218" s="21">
        <f>IF(AND(C1218&lt;&gt;"", J1218&lt;&gt;""), HYPERLINK("#'" &amp; C1218 &amp; "'!" &amp; J1218, J1218), "")</f>
        <v>0</v>
      </c>
    </row>
    <row r="1219" spans="2:2">
      <c r="B1219" s="21">
        <f>IF(AND(C1219&lt;&gt;"", J1219&lt;&gt;""), HYPERLINK("#'" &amp; C1219 &amp; "'!" &amp; J1219, J1219), "")</f>
        <v>0</v>
      </c>
    </row>
    <row r="1220" spans="2:2">
      <c r="B1220" s="21">
        <f>IF(AND(C1220&lt;&gt;"", J1220&lt;&gt;""), HYPERLINK("#'" &amp; C1220 &amp; "'!" &amp; J1220, J1220), "")</f>
        <v>0</v>
      </c>
    </row>
    <row r="1221" spans="2:2">
      <c r="B1221" s="21">
        <f>IF(AND(C1221&lt;&gt;"", J1221&lt;&gt;""), HYPERLINK("#'" &amp; C1221 &amp; "'!" &amp; J1221, J1221), "")</f>
        <v>0</v>
      </c>
    </row>
    <row r="1222" spans="2:2">
      <c r="B1222" s="21">
        <f>IF(AND(C1222&lt;&gt;"", J1222&lt;&gt;""), HYPERLINK("#'" &amp; C1222 &amp; "'!" &amp; J1222, J1222), "")</f>
        <v>0</v>
      </c>
    </row>
    <row r="1223" spans="2:2">
      <c r="B1223" s="21">
        <f>IF(AND(C1223&lt;&gt;"", J1223&lt;&gt;""), HYPERLINK("#'" &amp; C1223 &amp; "'!" &amp; J1223, J1223), "")</f>
        <v>0</v>
      </c>
    </row>
    <row r="1224" spans="2:2">
      <c r="B1224" s="21">
        <f>IF(AND(C1224&lt;&gt;"", J1224&lt;&gt;""), HYPERLINK("#'" &amp; C1224 &amp; "'!" &amp; J1224, J1224), "")</f>
        <v>0</v>
      </c>
    </row>
    <row r="1225" spans="2:2">
      <c r="B1225" s="21">
        <f>IF(AND(C1225&lt;&gt;"", J1225&lt;&gt;""), HYPERLINK("#'" &amp; C1225 &amp; "'!" &amp; J1225, J1225), "")</f>
        <v>0</v>
      </c>
    </row>
    <row r="1226" spans="2:2">
      <c r="B1226" s="21">
        <f>IF(AND(C1226&lt;&gt;"", J1226&lt;&gt;""), HYPERLINK("#'" &amp; C1226 &amp; "'!" &amp; J1226, J1226), "")</f>
        <v>0</v>
      </c>
    </row>
    <row r="1227" spans="2:2">
      <c r="B1227" s="21">
        <f>IF(AND(C1227&lt;&gt;"", J1227&lt;&gt;""), HYPERLINK("#'" &amp; C1227 &amp; "'!" &amp; J1227, J1227), "")</f>
        <v>0</v>
      </c>
    </row>
    <row r="1228" spans="2:2">
      <c r="B1228" s="21">
        <f>IF(AND(C1228&lt;&gt;"", J1228&lt;&gt;""), HYPERLINK("#'" &amp; C1228 &amp; "'!" &amp; J1228, J1228), "")</f>
        <v>0</v>
      </c>
    </row>
    <row r="1229" spans="2:2">
      <c r="B1229" s="21">
        <f>IF(AND(C1229&lt;&gt;"", J1229&lt;&gt;""), HYPERLINK("#'" &amp; C1229 &amp; "'!" &amp; J1229, J1229), "")</f>
        <v>0</v>
      </c>
    </row>
    <row r="1230" spans="2:2">
      <c r="B1230" s="21">
        <f>IF(AND(C1230&lt;&gt;"", J1230&lt;&gt;""), HYPERLINK("#'" &amp; C1230 &amp; "'!" &amp; J1230, J1230), "")</f>
        <v>0</v>
      </c>
    </row>
    <row r="1231" spans="2:2">
      <c r="B1231" s="21">
        <f>IF(AND(C1231&lt;&gt;"", J1231&lt;&gt;""), HYPERLINK("#'" &amp; C1231 &amp; "'!" &amp; J1231, J1231), "")</f>
        <v>0</v>
      </c>
    </row>
    <row r="1232" spans="2:2">
      <c r="B1232" s="21">
        <f>IF(AND(C1232&lt;&gt;"", J1232&lt;&gt;""), HYPERLINK("#'" &amp; C1232 &amp; "'!" &amp; J1232, J1232), "")</f>
        <v>0</v>
      </c>
    </row>
    <row r="1233" spans="2:2">
      <c r="B1233" s="21">
        <f>IF(AND(C1233&lt;&gt;"", J1233&lt;&gt;""), HYPERLINK("#'" &amp; C1233 &amp; "'!" &amp; J1233, J1233), "")</f>
        <v>0</v>
      </c>
    </row>
    <row r="1234" spans="2:2">
      <c r="B1234" s="21">
        <f>IF(AND(C1234&lt;&gt;"", J1234&lt;&gt;""), HYPERLINK("#'" &amp; C1234 &amp; "'!" &amp; J1234, J1234), "")</f>
        <v>0</v>
      </c>
    </row>
    <row r="1235" spans="2:2">
      <c r="B1235" s="21">
        <f>IF(AND(C1235&lt;&gt;"", J1235&lt;&gt;""), HYPERLINK("#'" &amp; C1235 &amp; "'!" &amp; J1235, J1235), "")</f>
        <v>0</v>
      </c>
    </row>
    <row r="1236" spans="2:2">
      <c r="B1236" s="21">
        <f>IF(AND(C1236&lt;&gt;"", J1236&lt;&gt;""), HYPERLINK("#'" &amp; C1236 &amp; "'!" &amp; J1236, J1236), "")</f>
        <v>0</v>
      </c>
    </row>
    <row r="1237" spans="2:2">
      <c r="B1237" s="21">
        <f>IF(AND(C1237&lt;&gt;"", J1237&lt;&gt;""), HYPERLINK("#'" &amp; C1237 &amp; "'!" &amp; J1237, J1237), "")</f>
        <v>0</v>
      </c>
    </row>
    <row r="1238" spans="2:2">
      <c r="B1238" s="21">
        <f>IF(AND(C1238&lt;&gt;"", J1238&lt;&gt;""), HYPERLINK("#'" &amp; C1238 &amp; "'!" &amp; J1238, J1238), "")</f>
        <v>0</v>
      </c>
    </row>
    <row r="1239" spans="2:2">
      <c r="B1239" s="21">
        <f>IF(AND(C1239&lt;&gt;"", J1239&lt;&gt;""), HYPERLINK("#'" &amp; C1239 &amp; "'!" &amp; J1239, J1239), "")</f>
        <v>0</v>
      </c>
    </row>
    <row r="1240" spans="2:2">
      <c r="B1240" s="21">
        <f>IF(AND(C1240&lt;&gt;"", J1240&lt;&gt;""), HYPERLINK("#'" &amp; C1240 &amp; "'!" &amp; J1240, J1240), "")</f>
        <v>0</v>
      </c>
    </row>
    <row r="1241" spans="2:2">
      <c r="B1241" s="21">
        <f>IF(AND(C1241&lt;&gt;"", J1241&lt;&gt;""), HYPERLINK("#'" &amp; C1241 &amp; "'!" &amp; J1241, J1241), "")</f>
        <v>0</v>
      </c>
    </row>
    <row r="1242" spans="2:2">
      <c r="B1242" s="21">
        <f>IF(AND(C1242&lt;&gt;"", J1242&lt;&gt;""), HYPERLINK("#'" &amp; C1242 &amp; "'!" &amp; J1242, J1242), "")</f>
        <v>0</v>
      </c>
    </row>
    <row r="1243" spans="2:2">
      <c r="B1243" s="21">
        <f>IF(AND(C1243&lt;&gt;"", J1243&lt;&gt;""), HYPERLINK("#'" &amp; C1243 &amp; "'!" &amp; J1243, J1243), "")</f>
        <v>0</v>
      </c>
    </row>
    <row r="1244" spans="2:2">
      <c r="B1244" s="21">
        <f>IF(AND(C1244&lt;&gt;"", J1244&lt;&gt;""), HYPERLINK("#'" &amp; C1244 &amp; "'!" &amp; J1244, J1244), "")</f>
        <v>0</v>
      </c>
    </row>
    <row r="1245" spans="2:2">
      <c r="B1245" s="21">
        <f>IF(AND(C1245&lt;&gt;"", J1245&lt;&gt;""), HYPERLINK("#'" &amp; C1245 &amp; "'!" &amp; J1245, J1245), "")</f>
        <v>0</v>
      </c>
    </row>
    <row r="1246" spans="2:2">
      <c r="B1246" s="21">
        <f>IF(AND(C1246&lt;&gt;"", J1246&lt;&gt;""), HYPERLINK("#'" &amp; C1246 &amp; "'!" &amp; J1246, J1246), "")</f>
        <v>0</v>
      </c>
    </row>
    <row r="1247" spans="2:2">
      <c r="B1247" s="21">
        <f>IF(AND(C1247&lt;&gt;"", J1247&lt;&gt;""), HYPERLINK("#'" &amp; C1247 &amp; "'!" &amp; J1247, J1247), "")</f>
        <v>0</v>
      </c>
    </row>
    <row r="1248" spans="2:2">
      <c r="B1248" s="21">
        <f>IF(AND(C1248&lt;&gt;"", J1248&lt;&gt;""), HYPERLINK("#'" &amp; C1248 &amp; "'!" &amp; J1248, J1248), "")</f>
        <v>0</v>
      </c>
    </row>
    <row r="1249" spans="2:2">
      <c r="B1249" s="21">
        <f>IF(AND(C1249&lt;&gt;"", J1249&lt;&gt;""), HYPERLINK("#'" &amp; C1249 &amp; "'!" &amp; J1249, J1249), "")</f>
        <v>0</v>
      </c>
    </row>
    <row r="1250" spans="2:2">
      <c r="B1250" s="21">
        <f>IF(AND(C1250&lt;&gt;"", J1250&lt;&gt;""), HYPERLINK("#'" &amp; C1250 &amp; "'!" &amp; J1250, J1250), "")</f>
        <v>0</v>
      </c>
    </row>
    <row r="1251" spans="2:2">
      <c r="B1251" s="21">
        <f>IF(AND(C1251&lt;&gt;"", J1251&lt;&gt;""), HYPERLINK("#'" &amp; C1251 &amp; "'!" &amp; J1251, J1251), "")</f>
        <v>0</v>
      </c>
    </row>
    <row r="1252" spans="2:2">
      <c r="B1252" s="21">
        <f>IF(AND(C1252&lt;&gt;"", J1252&lt;&gt;""), HYPERLINK("#'" &amp; C1252 &amp; "'!" &amp; J1252, J1252), "")</f>
        <v>0</v>
      </c>
    </row>
    <row r="1253" spans="2:2">
      <c r="B1253" s="21">
        <f>IF(AND(C1253&lt;&gt;"", J1253&lt;&gt;""), HYPERLINK("#'" &amp; C1253 &amp; "'!" &amp; J1253, J1253), "")</f>
        <v>0</v>
      </c>
    </row>
    <row r="1254" spans="2:2">
      <c r="B1254" s="21">
        <f>IF(AND(C1254&lt;&gt;"", J1254&lt;&gt;""), HYPERLINK("#'" &amp; C1254 &amp; "'!" &amp; J1254, J1254), "")</f>
        <v>0</v>
      </c>
    </row>
    <row r="1255" spans="2:2">
      <c r="B1255" s="21">
        <f>IF(AND(C1255&lt;&gt;"", J1255&lt;&gt;""), HYPERLINK("#'" &amp; C1255 &amp; "'!" &amp; J1255, J1255), "")</f>
        <v>0</v>
      </c>
    </row>
    <row r="1256" spans="2:2">
      <c r="B1256" s="21">
        <f>IF(AND(C1256&lt;&gt;"", J1256&lt;&gt;""), HYPERLINK("#'" &amp; C1256 &amp; "'!" &amp; J1256, J1256), "")</f>
        <v>0</v>
      </c>
    </row>
    <row r="1257" spans="2:2">
      <c r="B1257" s="21">
        <f>IF(AND(C1257&lt;&gt;"", J1257&lt;&gt;""), HYPERLINK("#'" &amp; C1257 &amp; "'!" &amp; J1257, J1257), "")</f>
        <v>0</v>
      </c>
    </row>
    <row r="1258" spans="2:2">
      <c r="B1258" s="21">
        <f>IF(AND(C1258&lt;&gt;"", J1258&lt;&gt;""), HYPERLINK("#'" &amp; C1258 &amp; "'!" &amp; J1258, J1258), "")</f>
        <v>0</v>
      </c>
    </row>
    <row r="1259" spans="2:2">
      <c r="B1259" s="21">
        <f>IF(AND(C1259&lt;&gt;"", J1259&lt;&gt;""), HYPERLINK("#'" &amp; C1259 &amp; "'!" &amp; J1259, J1259), "")</f>
        <v>0</v>
      </c>
    </row>
    <row r="1260" spans="2:2">
      <c r="B1260" s="21">
        <f>IF(AND(C1260&lt;&gt;"", J1260&lt;&gt;""), HYPERLINK("#'" &amp; C1260 &amp; "'!" &amp; J1260, J1260), "")</f>
        <v>0</v>
      </c>
    </row>
    <row r="1261" spans="2:2">
      <c r="B1261" s="21">
        <f>IF(AND(C1261&lt;&gt;"", J1261&lt;&gt;""), HYPERLINK("#'" &amp; C1261 &amp; "'!" &amp; J1261, J1261), "")</f>
        <v>0</v>
      </c>
    </row>
    <row r="1262" spans="2:2">
      <c r="B1262" s="21">
        <f>IF(AND(C1262&lt;&gt;"", J1262&lt;&gt;""), HYPERLINK("#'" &amp; C1262 &amp; "'!" &amp; J1262, J1262), "")</f>
        <v>0</v>
      </c>
    </row>
    <row r="1263" spans="2:2">
      <c r="B1263" s="21">
        <f>IF(AND(C1263&lt;&gt;"", J1263&lt;&gt;""), HYPERLINK("#'" &amp; C1263 &amp; "'!" &amp; J1263, J1263), "")</f>
        <v>0</v>
      </c>
    </row>
    <row r="1264" spans="2:2">
      <c r="B1264" s="21">
        <f>IF(AND(C1264&lt;&gt;"", J1264&lt;&gt;""), HYPERLINK("#'" &amp; C1264 &amp; "'!" &amp; J1264, J1264), "")</f>
        <v>0</v>
      </c>
    </row>
    <row r="1265" spans="2:2">
      <c r="B1265" s="21">
        <f>IF(AND(C1265&lt;&gt;"", J1265&lt;&gt;""), HYPERLINK("#'" &amp; C1265 &amp; "'!" &amp; J1265, J1265), "")</f>
        <v>0</v>
      </c>
    </row>
    <row r="1266" spans="2:2">
      <c r="B1266" s="21">
        <f>IF(AND(C1266&lt;&gt;"", J1266&lt;&gt;""), HYPERLINK("#'" &amp; C1266 &amp; "'!" &amp; J1266, J1266), "")</f>
        <v>0</v>
      </c>
    </row>
    <row r="1267" spans="2:2">
      <c r="B1267" s="21">
        <f>IF(AND(C1267&lt;&gt;"", J1267&lt;&gt;""), HYPERLINK("#'" &amp; C1267 &amp; "'!" &amp; J1267, J1267), "")</f>
        <v>0</v>
      </c>
    </row>
    <row r="1268" spans="2:2">
      <c r="B1268" s="21">
        <f>IF(AND(C1268&lt;&gt;"", J1268&lt;&gt;""), HYPERLINK("#'" &amp; C1268 &amp; "'!" &amp; J1268, J1268), "")</f>
        <v>0</v>
      </c>
    </row>
    <row r="1269" spans="2:2">
      <c r="B1269" s="21">
        <f>IF(AND(C1269&lt;&gt;"", J1269&lt;&gt;""), HYPERLINK("#'" &amp; C1269 &amp; "'!" &amp; J1269, J1269), "")</f>
        <v>0</v>
      </c>
    </row>
    <row r="1270" spans="2:2">
      <c r="B1270" s="21">
        <f>IF(AND(C1270&lt;&gt;"", J1270&lt;&gt;""), HYPERLINK("#'" &amp; C1270 &amp; "'!" &amp; J1270, J1270), "")</f>
        <v>0</v>
      </c>
    </row>
    <row r="1271" spans="2:2">
      <c r="B1271" s="21">
        <f>IF(AND(C1271&lt;&gt;"", J1271&lt;&gt;""), HYPERLINK("#'" &amp; C1271 &amp; "'!" &amp; J1271, J1271), "")</f>
        <v>0</v>
      </c>
    </row>
    <row r="1272" spans="2:2">
      <c r="B1272" s="21">
        <f>IF(AND(C1272&lt;&gt;"", J1272&lt;&gt;""), HYPERLINK("#'" &amp; C1272 &amp; "'!" &amp; J1272, J1272), "")</f>
        <v>0</v>
      </c>
    </row>
    <row r="1273" spans="2:2">
      <c r="B1273" s="21">
        <f>IF(AND(C1273&lt;&gt;"", J1273&lt;&gt;""), HYPERLINK("#'" &amp; C1273 &amp; "'!" &amp; J1273, J1273), "")</f>
        <v>0</v>
      </c>
    </row>
    <row r="1274" spans="2:2">
      <c r="B1274" s="21">
        <f>IF(AND(C1274&lt;&gt;"", J1274&lt;&gt;""), HYPERLINK("#'" &amp; C1274 &amp; "'!" &amp; J1274, J1274), "")</f>
        <v>0</v>
      </c>
    </row>
    <row r="1275" spans="2:2">
      <c r="B1275" s="21">
        <f>IF(AND(C1275&lt;&gt;"", J1275&lt;&gt;""), HYPERLINK("#'" &amp; C1275 &amp; "'!" &amp; J1275, J1275), "")</f>
        <v>0</v>
      </c>
    </row>
    <row r="1276" spans="2:2">
      <c r="B1276" s="21">
        <f>IF(AND(C1276&lt;&gt;"", J1276&lt;&gt;""), HYPERLINK("#'" &amp; C1276 &amp; "'!" &amp; J1276, J1276), "")</f>
        <v>0</v>
      </c>
    </row>
    <row r="1277" spans="2:2">
      <c r="B1277" s="21">
        <f>IF(AND(C1277&lt;&gt;"", J1277&lt;&gt;""), HYPERLINK("#'" &amp; C1277 &amp; "'!" &amp; J1277, J1277), "")</f>
        <v>0</v>
      </c>
    </row>
    <row r="1278" spans="2:2">
      <c r="B1278" s="21">
        <f>IF(AND(C1278&lt;&gt;"", J1278&lt;&gt;""), HYPERLINK("#'" &amp; C1278 &amp; "'!" &amp; J1278, J1278), "")</f>
        <v>0</v>
      </c>
    </row>
    <row r="1279" spans="2:2">
      <c r="B1279" s="21">
        <f>IF(AND(C1279&lt;&gt;"", J1279&lt;&gt;""), HYPERLINK("#'" &amp; C1279 &amp; "'!" &amp; J1279, J1279), "")</f>
        <v>0</v>
      </c>
    </row>
    <row r="1280" spans="2:2">
      <c r="B1280" s="21">
        <f>IF(AND(C1280&lt;&gt;"", J1280&lt;&gt;""), HYPERLINK("#'" &amp; C1280 &amp; "'!" &amp; J1280, J1280), "")</f>
        <v>0</v>
      </c>
    </row>
    <row r="1281" spans="2:2">
      <c r="B1281" s="21">
        <f>IF(AND(C1281&lt;&gt;"", J1281&lt;&gt;""), HYPERLINK("#'" &amp; C1281 &amp; "'!" &amp; J1281, J1281), "")</f>
        <v>0</v>
      </c>
    </row>
    <row r="1282" spans="2:2">
      <c r="B1282" s="21">
        <f>IF(AND(C1282&lt;&gt;"", J1282&lt;&gt;""), HYPERLINK("#'" &amp; C1282 &amp; "'!" &amp; J1282, J1282), "")</f>
        <v>0</v>
      </c>
    </row>
    <row r="1283" spans="2:2">
      <c r="B1283" s="21">
        <f>IF(AND(C1283&lt;&gt;"", J1283&lt;&gt;""), HYPERLINK("#'" &amp; C1283 &amp; "'!" &amp; J1283, J1283), "")</f>
        <v>0</v>
      </c>
    </row>
    <row r="1284" spans="2:2">
      <c r="B1284" s="21">
        <f>IF(AND(C1284&lt;&gt;"", J1284&lt;&gt;""), HYPERLINK("#'" &amp; C1284 &amp; "'!" &amp; J1284, J1284), "")</f>
        <v>0</v>
      </c>
    </row>
    <row r="1285" spans="2:2">
      <c r="B1285" s="21">
        <f>IF(AND(C1285&lt;&gt;"", J1285&lt;&gt;""), HYPERLINK("#'" &amp; C1285 &amp; "'!" &amp; J1285, J1285), "")</f>
        <v>0</v>
      </c>
    </row>
    <row r="1286" spans="2:2">
      <c r="B1286" s="21">
        <f>IF(AND(C1286&lt;&gt;"", J1286&lt;&gt;""), HYPERLINK("#'" &amp; C1286 &amp; "'!" &amp; J1286, J1286), "")</f>
        <v>0</v>
      </c>
    </row>
    <row r="1287" spans="2:2">
      <c r="B1287" s="21">
        <f>IF(AND(C1287&lt;&gt;"", J1287&lt;&gt;""), HYPERLINK("#'" &amp; C1287 &amp; "'!" &amp; J1287, J1287), "")</f>
        <v>0</v>
      </c>
    </row>
    <row r="1288" spans="2:2">
      <c r="B1288" s="21">
        <f>IF(AND(C1288&lt;&gt;"", J1288&lt;&gt;""), HYPERLINK("#'" &amp; C1288 &amp; "'!" &amp; J1288, J1288), "")</f>
        <v>0</v>
      </c>
    </row>
    <row r="1289" spans="2:2">
      <c r="B1289" s="21">
        <f>IF(AND(C1289&lt;&gt;"", J1289&lt;&gt;""), HYPERLINK("#'" &amp; C1289 &amp; "'!" &amp; J1289, J1289), "")</f>
        <v>0</v>
      </c>
    </row>
    <row r="1290" spans="2:2">
      <c r="B1290" s="21">
        <f>IF(AND(C1290&lt;&gt;"", J1290&lt;&gt;""), HYPERLINK("#'" &amp; C1290 &amp; "'!" &amp; J1290, J1290), "")</f>
        <v>0</v>
      </c>
    </row>
    <row r="1291" spans="2:2">
      <c r="B1291" s="21">
        <f>IF(AND(C1291&lt;&gt;"", J1291&lt;&gt;""), HYPERLINK("#'" &amp; C1291 &amp; "'!" &amp; J1291, J1291), "")</f>
        <v>0</v>
      </c>
    </row>
    <row r="1292" spans="2:2">
      <c r="B1292" s="21">
        <f>IF(AND(C1292&lt;&gt;"", J1292&lt;&gt;""), HYPERLINK("#'" &amp; C1292 &amp; "'!" &amp; J1292, J1292), "")</f>
        <v>0</v>
      </c>
    </row>
    <row r="1293" spans="2:2">
      <c r="B1293" s="21">
        <f>IF(AND(C1293&lt;&gt;"", J1293&lt;&gt;""), HYPERLINK("#'" &amp; C1293 &amp; "'!" &amp; J1293, J1293), "")</f>
        <v>0</v>
      </c>
    </row>
    <row r="1294" spans="2:2">
      <c r="B1294" s="21">
        <f>IF(AND(C1294&lt;&gt;"", J1294&lt;&gt;""), HYPERLINK("#'" &amp; C1294 &amp; "'!" &amp; J1294, J1294), "")</f>
        <v>0</v>
      </c>
    </row>
    <row r="1295" spans="2:2">
      <c r="B1295" s="21">
        <f>IF(AND(C1295&lt;&gt;"", J1295&lt;&gt;""), HYPERLINK("#'" &amp; C1295 &amp; "'!" &amp; J1295, J1295), "")</f>
        <v>0</v>
      </c>
    </row>
    <row r="1296" spans="2:2">
      <c r="B1296" s="21">
        <f>IF(AND(C1296&lt;&gt;"", J1296&lt;&gt;""), HYPERLINK("#'" &amp; C1296 &amp; "'!" &amp; J1296, J1296), "")</f>
        <v>0</v>
      </c>
    </row>
    <row r="1297" spans="2:2">
      <c r="B1297" s="21">
        <f>IF(AND(C1297&lt;&gt;"", J1297&lt;&gt;""), HYPERLINK("#'" &amp; C1297 &amp; "'!" &amp; J1297, J1297), "")</f>
        <v>0</v>
      </c>
    </row>
    <row r="1298" spans="2:2">
      <c r="B1298" s="21">
        <f>IF(AND(C1298&lt;&gt;"", J1298&lt;&gt;""), HYPERLINK("#'" &amp; C1298 &amp; "'!" &amp; J1298, J1298), "")</f>
        <v>0</v>
      </c>
    </row>
    <row r="1299" spans="2:2">
      <c r="B1299" s="21">
        <f>IF(AND(C1299&lt;&gt;"", J1299&lt;&gt;""), HYPERLINK("#'" &amp; C1299 &amp; "'!" &amp; J1299, J1299), "")</f>
        <v>0</v>
      </c>
    </row>
    <row r="1300" spans="2:2">
      <c r="B1300" s="21">
        <f>IF(AND(C1300&lt;&gt;"", J1300&lt;&gt;""), HYPERLINK("#'" &amp; C1300 &amp; "'!" &amp; J1300, J1300), "")</f>
        <v>0</v>
      </c>
    </row>
    <row r="1301" spans="2:2">
      <c r="B1301" s="21">
        <f>IF(AND(C1301&lt;&gt;"", J1301&lt;&gt;""), HYPERLINK("#'" &amp; C1301 &amp; "'!" &amp; J1301, J1301), "")</f>
        <v>0</v>
      </c>
    </row>
    <row r="1302" spans="2:2">
      <c r="B1302" s="21">
        <f>IF(AND(C1302&lt;&gt;"", J1302&lt;&gt;""), HYPERLINK("#'" &amp; C1302 &amp; "'!" &amp; J1302, J1302), "")</f>
        <v>0</v>
      </c>
    </row>
    <row r="1303" spans="2:2">
      <c r="B1303" s="21">
        <f>IF(AND(C1303&lt;&gt;"", J1303&lt;&gt;""), HYPERLINK("#'" &amp; C1303 &amp; "'!" &amp; J1303, J1303), "")</f>
        <v>0</v>
      </c>
    </row>
    <row r="1304" spans="2:2">
      <c r="B1304" s="21">
        <f>IF(AND(C1304&lt;&gt;"", J1304&lt;&gt;""), HYPERLINK("#'" &amp; C1304 &amp; "'!" &amp; J1304, J1304), "")</f>
        <v>0</v>
      </c>
    </row>
    <row r="1305" spans="2:2">
      <c r="B1305" s="21">
        <f>IF(AND(C1305&lt;&gt;"", J1305&lt;&gt;""), HYPERLINK("#'" &amp; C1305 &amp; "'!" &amp; J1305, J1305), "")</f>
        <v>0</v>
      </c>
    </row>
    <row r="1306" spans="2:2">
      <c r="B1306" s="21">
        <f>IF(AND(C1306&lt;&gt;"", J1306&lt;&gt;""), HYPERLINK("#'" &amp; C1306 &amp; "'!" &amp; J1306, J1306), "")</f>
        <v>0</v>
      </c>
    </row>
    <row r="1307" spans="2:2">
      <c r="B1307" s="21">
        <f>IF(AND(C1307&lt;&gt;"", J1307&lt;&gt;""), HYPERLINK("#'" &amp; C1307 &amp; "'!" &amp; J1307, J1307), "")</f>
        <v>0</v>
      </c>
    </row>
    <row r="1308" spans="2:2">
      <c r="B1308" s="21">
        <f>IF(AND(C1308&lt;&gt;"", J1308&lt;&gt;""), HYPERLINK("#'" &amp; C1308 &amp; "'!" &amp; J1308, J1308), "")</f>
        <v>0</v>
      </c>
    </row>
    <row r="1309" spans="2:2">
      <c r="B1309" s="21">
        <f>IF(AND(C1309&lt;&gt;"", J1309&lt;&gt;""), HYPERLINK("#'" &amp; C1309 &amp; "'!" &amp; J1309, J1309), "")</f>
        <v>0</v>
      </c>
    </row>
    <row r="1310" spans="2:2">
      <c r="B1310" s="21">
        <f>IF(AND(C1310&lt;&gt;"", J1310&lt;&gt;""), HYPERLINK("#'" &amp; C1310 &amp; "'!" &amp; J1310, J1310), "")</f>
        <v>0</v>
      </c>
    </row>
    <row r="1311" spans="2:2">
      <c r="B1311" s="21">
        <f>IF(AND(C1311&lt;&gt;"", J1311&lt;&gt;""), HYPERLINK("#'" &amp; C1311 &amp; "'!" &amp; J1311, J1311), "")</f>
        <v>0</v>
      </c>
    </row>
    <row r="1312" spans="2:2">
      <c r="B1312" s="21">
        <f>IF(AND(C1312&lt;&gt;"", J1312&lt;&gt;""), HYPERLINK("#'" &amp; C1312 &amp; "'!" &amp; J1312, J1312), "")</f>
        <v>0</v>
      </c>
    </row>
    <row r="1313" spans="2:2">
      <c r="B1313" s="21">
        <f>IF(AND(C1313&lt;&gt;"", J1313&lt;&gt;""), HYPERLINK("#'" &amp; C1313 &amp; "'!" &amp; J1313, J1313), "")</f>
        <v>0</v>
      </c>
    </row>
    <row r="1314" spans="2:2">
      <c r="B1314" s="21">
        <f>IF(AND(C1314&lt;&gt;"", J1314&lt;&gt;""), HYPERLINK("#'" &amp; C1314 &amp; "'!" &amp; J1314, J1314), "")</f>
        <v>0</v>
      </c>
    </row>
    <row r="1315" spans="2:2">
      <c r="B1315" s="21">
        <f>IF(AND(C1315&lt;&gt;"", J1315&lt;&gt;""), HYPERLINK("#'" &amp; C1315 &amp; "'!" &amp; J1315, J1315), "")</f>
        <v>0</v>
      </c>
    </row>
    <row r="1316" spans="2:2">
      <c r="B1316" s="21">
        <f>IF(AND(C1316&lt;&gt;"", J1316&lt;&gt;""), HYPERLINK("#'" &amp; C1316 &amp; "'!" &amp; J1316, J1316), "")</f>
        <v>0</v>
      </c>
    </row>
    <row r="1317" spans="2:2">
      <c r="B1317" s="21">
        <f>IF(AND(C1317&lt;&gt;"", J1317&lt;&gt;""), HYPERLINK("#'" &amp; C1317 &amp; "'!" &amp; J1317, J1317), "")</f>
        <v>0</v>
      </c>
    </row>
    <row r="1318" spans="2:2">
      <c r="B1318" s="21">
        <f>IF(AND(C1318&lt;&gt;"", J1318&lt;&gt;""), HYPERLINK("#'" &amp; C1318 &amp; "'!" &amp; J1318, J1318), "")</f>
        <v>0</v>
      </c>
    </row>
    <row r="1319" spans="2:2">
      <c r="B1319" s="21">
        <f>IF(AND(C1319&lt;&gt;"", J1319&lt;&gt;""), HYPERLINK("#'" &amp; C1319 &amp; "'!" &amp; J1319, J1319), "")</f>
        <v>0</v>
      </c>
    </row>
    <row r="1320" spans="2:2">
      <c r="B1320" s="21">
        <f>IF(AND(C1320&lt;&gt;"", J1320&lt;&gt;""), HYPERLINK("#'" &amp; C1320 &amp; "'!" &amp; J1320, J1320), "")</f>
        <v>0</v>
      </c>
    </row>
    <row r="1321" spans="2:2">
      <c r="B1321" s="21">
        <f>IF(AND(C1321&lt;&gt;"", J1321&lt;&gt;""), HYPERLINK("#'" &amp; C1321 &amp; "'!" &amp; J1321, J1321), "")</f>
        <v>0</v>
      </c>
    </row>
    <row r="1322" spans="2:2">
      <c r="B1322" s="21">
        <f>IF(AND(C1322&lt;&gt;"", J1322&lt;&gt;""), HYPERLINK("#'" &amp; C1322 &amp; "'!" &amp; J1322, J1322), "")</f>
        <v>0</v>
      </c>
    </row>
    <row r="1323" spans="2:2">
      <c r="B1323" s="21">
        <f>IF(AND(C1323&lt;&gt;"", J1323&lt;&gt;""), HYPERLINK("#'" &amp; C1323 &amp; "'!" &amp; J1323, J1323), "")</f>
        <v>0</v>
      </c>
    </row>
    <row r="1324" spans="2:2">
      <c r="B1324" s="21">
        <f>IF(AND(C1324&lt;&gt;"", J1324&lt;&gt;""), HYPERLINK("#'" &amp; C1324 &amp; "'!" &amp; J1324, J1324), "")</f>
        <v>0</v>
      </c>
    </row>
    <row r="1325" spans="2:2">
      <c r="B1325" s="21">
        <f>IF(AND(C1325&lt;&gt;"", J1325&lt;&gt;""), HYPERLINK("#'" &amp; C1325 &amp; "'!" &amp; J1325, J1325), "")</f>
        <v>0</v>
      </c>
    </row>
    <row r="1326" spans="2:2">
      <c r="B1326" s="21">
        <f>IF(AND(C1326&lt;&gt;"", J1326&lt;&gt;""), HYPERLINK("#'" &amp; C1326 &amp; "'!" &amp; J1326, J1326), "")</f>
        <v>0</v>
      </c>
    </row>
    <row r="1327" spans="2:2">
      <c r="B1327" s="21">
        <f>IF(AND(C1327&lt;&gt;"", J1327&lt;&gt;""), HYPERLINK("#'" &amp; C1327 &amp; "'!" &amp; J1327, J1327), "")</f>
        <v>0</v>
      </c>
    </row>
    <row r="1328" spans="2:2">
      <c r="B1328" s="21">
        <f>IF(AND(C1328&lt;&gt;"", J1328&lt;&gt;""), HYPERLINK("#'" &amp; C1328 &amp; "'!" &amp; J1328, J1328), "")</f>
        <v>0</v>
      </c>
    </row>
    <row r="1329" spans="2:2">
      <c r="B1329" s="21">
        <f>IF(AND(C1329&lt;&gt;"", J1329&lt;&gt;""), HYPERLINK("#'" &amp; C1329 &amp; "'!" &amp; J1329, J1329), "")</f>
        <v>0</v>
      </c>
    </row>
    <row r="1330" spans="2:2">
      <c r="B1330" s="21">
        <f>IF(AND(C1330&lt;&gt;"", J1330&lt;&gt;""), HYPERLINK("#'" &amp; C1330 &amp; "'!" &amp; J1330, J1330), "")</f>
        <v>0</v>
      </c>
    </row>
    <row r="1331" spans="2:2">
      <c r="B1331" s="21">
        <f>IF(AND(C1331&lt;&gt;"", J1331&lt;&gt;""), HYPERLINK("#'" &amp; C1331 &amp; "'!" &amp; J1331, J1331), "")</f>
        <v>0</v>
      </c>
    </row>
    <row r="1332" spans="2:2">
      <c r="B1332" s="21">
        <f>IF(AND(C1332&lt;&gt;"", J1332&lt;&gt;""), HYPERLINK("#'" &amp; C1332 &amp; "'!" &amp; J1332, J1332), "")</f>
        <v>0</v>
      </c>
    </row>
    <row r="1333" spans="2:2">
      <c r="B1333" s="21">
        <f>IF(AND(C1333&lt;&gt;"", J1333&lt;&gt;""), HYPERLINK("#'" &amp; C1333 &amp; "'!" &amp; J1333, J1333), "")</f>
        <v>0</v>
      </c>
    </row>
    <row r="1334" spans="2:2">
      <c r="B1334" s="21">
        <f>IF(AND(C1334&lt;&gt;"", J1334&lt;&gt;""), HYPERLINK("#'" &amp; C1334 &amp; "'!" &amp; J1334, J1334), "")</f>
        <v>0</v>
      </c>
    </row>
    <row r="1335" spans="2:2">
      <c r="B1335" s="21">
        <f>IF(AND(C1335&lt;&gt;"", J1335&lt;&gt;""), HYPERLINK("#'" &amp; C1335 &amp; "'!" &amp; J1335, J1335), "")</f>
        <v>0</v>
      </c>
    </row>
    <row r="1336" spans="2:2">
      <c r="B1336" s="21">
        <f>IF(AND(C1336&lt;&gt;"", J1336&lt;&gt;""), HYPERLINK("#'" &amp; C1336 &amp; "'!" &amp; J1336, J1336), "")</f>
        <v>0</v>
      </c>
    </row>
    <row r="1337" spans="2:2">
      <c r="B1337" s="21">
        <f>IF(AND(C1337&lt;&gt;"", J1337&lt;&gt;""), HYPERLINK("#'" &amp; C1337 &amp; "'!" &amp; J1337, J1337), "")</f>
        <v>0</v>
      </c>
    </row>
    <row r="1338" spans="2:2">
      <c r="B1338" s="21">
        <f>IF(AND(C1338&lt;&gt;"", J1338&lt;&gt;""), HYPERLINK("#'" &amp; C1338 &amp; "'!" &amp; J1338, J1338), "")</f>
        <v>0</v>
      </c>
    </row>
    <row r="1339" spans="2:2">
      <c r="B1339" s="21">
        <f>IF(AND(C1339&lt;&gt;"", J1339&lt;&gt;""), HYPERLINK("#'" &amp; C1339 &amp; "'!" &amp; J1339, J1339), "")</f>
        <v>0</v>
      </c>
    </row>
    <row r="1340" spans="2:2">
      <c r="B1340" s="21">
        <f>IF(AND(C1340&lt;&gt;"", J1340&lt;&gt;""), HYPERLINK("#'" &amp; C1340 &amp; "'!" &amp; J1340, J1340), "")</f>
        <v>0</v>
      </c>
    </row>
    <row r="1341" spans="2:2">
      <c r="B1341" s="21">
        <f>IF(AND(C1341&lt;&gt;"", J1341&lt;&gt;""), HYPERLINK("#'" &amp; C1341 &amp; "'!" &amp; J1341, J1341), "")</f>
        <v>0</v>
      </c>
    </row>
    <row r="1342" spans="2:2">
      <c r="B1342" s="21">
        <f>IF(AND(C1342&lt;&gt;"", J1342&lt;&gt;""), HYPERLINK("#'" &amp; C1342 &amp; "'!" &amp; J1342, J1342), "")</f>
        <v>0</v>
      </c>
    </row>
    <row r="1343" spans="2:2">
      <c r="B1343" s="21">
        <f>IF(AND(C1343&lt;&gt;"", J1343&lt;&gt;""), HYPERLINK("#'" &amp; C1343 &amp; "'!" &amp; J1343, J1343), "")</f>
        <v>0</v>
      </c>
    </row>
    <row r="1344" spans="2:2">
      <c r="B1344" s="21">
        <f>IF(AND(C1344&lt;&gt;"", J1344&lt;&gt;""), HYPERLINK("#'" &amp; C1344 &amp; "'!" &amp; J1344, J1344), "")</f>
        <v>0</v>
      </c>
    </row>
    <row r="1345" spans="2:2">
      <c r="B1345" s="21">
        <f>IF(AND(C1345&lt;&gt;"", J1345&lt;&gt;""), HYPERLINK("#'" &amp; C1345 &amp; "'!" &amp; J1345, J1345), "")</f>
        <v>0</v>
      </c>
    </row>
    <row r="1346" spans="2:2">
      <c r="B1346" s="21">
        <f>IF(AND(C1346&lt;&gt;"", J1346&lt;&gt;""), HYPERLINK("#'" &amp; C1346 &amp; "'!" &amp; J1346, J1346), "")</f>
        <v>0</v>
      </c>
    </row>
    <row r="1347" spans="2:2">
      <c r="B1347" s="21">
        <f>IF(AND(C1347&lt;&gt;"", J1347&lt;&gt;""), HYPERLINK("#'" &amp; C1347 &amp; "'!" &amp; J1347, J1347), "")</f>
        <v>0</v>
      </c>
    </row>
    <row r="1348" spans="2:2">
      <c r="B1348" s="21">
        <f>IF(AND(C1348&lt;&gt;"", J1348&lt;&gt;""), HYPERLINK("#'" &amp; C1348 &amp; "'!" &amp; J1348, J1348), "")</f>
        <v>0</v>
      </c>
    </row>
    <row r="1349" spans="2:2">
      <c r="B1349" s="21">
        <f>IF(AND(C1349&lt;&gt;"", J1349&lt;&gt;""), HYPERLINK("#'" &amp; C1349 &amp; "'!" &amp; J1349, J1349), "")</f>
        <v>0</v>
      </c>
    </row>
    <row r="1350" spans="2:2">
      <c r="B1350" s="21">
        <f>IF(AND(C1350&lt;&gt;"", J1350&lt;&gt;""), HYPERLINK("#'" &amp; C1350 &amp; "'!" &amp; J1350, J1350), "")</f>
        <v>0</v>
      </c>
    </row>
    <row r="1351" spans="2:2">
      <c r="B1351" s="21">
        <f>IF(AND(C1351&lt;&gt;"", J1351&lt;&gt;""), HYPERLINK("#'" &amp; C1351 &amp; "'!" &amp; J1351, J1351), "")</f>
        <v>0</v>
      </c>
    </row>
    <row r="1352" spans="2:2">
      <c r="B1352" s="21">
        <f>IF(AND(C1352&lt;&gt;"", J1352&lt;&gt;""), HYPERLINK("#'" &amp; C1352 &amp; "'!" &amp; J1352, J1352), "")</f>
        <v>0</v>
      </c>
    </row>
    <row r="1353" spans="2:2">
      <c r="B1353" s="21">
        <f>IF(AND(C1353&lt;&gt;"", J1353&lt;&gt;""), HYPERLINK("#'" &amp; C1353 &amp; "'!" &amp; J1353, J1353), "")</f>
        <v>0</v>
      </c>
    </row>
    <row r="1354" spans="2:2">
      <c r="B1354" s="21">
        <f>IF(AND(C1354&lt;&gt;"", J1354&lt;&gt;""), HYPERLINK("#'" &amp; C1354 &amp; "'!" &amp; J1354, J1354), "")</f>
        <v>0</v>
      </c>
    </row>
    <row r="1355" spans="2:2">
      <c r="B1355" s="21">
        <f>IF(AND(C1355&lt;&gt;"", J1355&lt;&gt;""), HYPERLINK("#'" &amp; C1355 &amp; "'!" &amp; J1355, J1355), "")</f>
        <v>0</v>
      </c>
    </row>
    <row r="1356" spans="2:2">
      <c r="B1356" s="21">
        <f>IF(AND(C1356&lt;&gt;"", J1356&lt;&gt;""), HYPERLINK("#'" &amp; C1356 &amp; "'!" &amp; J1356, J1356), "")</f>
        <v>0</v>
      </c>
    </row>
    <row r="1357" spans="2:2">
      <c r="B1357" s="21">
        <f>IF(AND(C1357&lt;&gt;"", J1357&lt;&gt;""), HYPERLINK("#'" &amp; C1357 &amp; "'!" &amp; J1357, J1357), "")</f>
        <v>0</v>
      </c>
    </row>
    <row r="1358" spans="2:2">
      <c r="B1358" s="21">
        <f>IF(AND(C1358&lt;&gt;"", J1358&lt;&gt;""), HYPERLINK("#'" &amp; C1358 &amp; "'!" &amp; J1358, J1358), "")</f>
        <v>0</v>
      </c>
    </row>
    <row r="1359" spans="2:2">
      <c r="B1359" s="21">
        <f>IF(AND(C1359&lt;&gt;"", J1359&lt;&gt;""), HYPERLINK("#'" &amp; C1359 &amp; "'!" &amp; J1359, J1359), "")</f>
        <v>0</v>
      </c>
    </row>
    <row r="1360" spans="2:2">
      <c r="B1360" s="21">
        <f>IF(AND(C1360&lt;&gt;"", J1360&lt;&gt;""), HYPERLINK("#'" &amp; C1360 &amp; "'!" &amp; J1360, J1360), "")</f>
        <v>0</v>
      </c>
    </row>
    <row r="1361" spans="2:2">
      <c r="B1361" s="21">
        <f>IF(AND(C1361&lt;&gt;"", J1361&lt;&gt;""), HYPERLINK("#'" &amp; C1361 &amp; "'!" &amp; J1361, J1361), "")</f>
        <v>0</v>
      </c>
    </row>
    <row r="1362" spans="2:2">
      <c r="B1362" s="21">
        <f>IF(AND(C1362&lt;&gt;"", J1362&lt;&gt;""), HYPERLINK("#'" &amp; C1362 &amp; "'!" &amp; J1362, J1362), "")</f>
        <v>0</v>
      </c>
    </row>
    <row r="1363" spans="2:2">
      <c r="B1363" s="21">
        <f>IF(AND(C1363&lt;&gt;"", J1363&lt;&gt;""), HYPERLINK("#'" &amp; C1363 &amp; "'!" &amp; J1363, J1363), "")</f>
        <v>0</v>
      </c>
    </row>
    <row r="1364" spans="2:2">
      <c r="B1364" s="21">
        <f>IF(AND(C1364&lt;&gt;"", J1364&lt;&gt;""), HYPERLINK("#'" &amp; C1364 &amp; "'!" &amp; J1364, J1364), "")</f>
        <v>0</v>
      </c>
    </row>
    <row r="1365" spans="2:2">
      <c r="B1365" s="21">
        <f>IF(AND(C1365&lt;&gt;"", J1365&lt;&gt;""), HYPERLINK("#'" &amp; C1365 &amp; "'!" &amp; J1365, J1365), "")</f>
        <v>0</v>
      </c>
    </row>
    <row r="1366" spans="2:2">
      <c r="B1366" s="21">
        <f>IF(AND(C1366&lt;&gt;"", J1366&lt;&gt;""), HYPERLINK("#'" &amp; C1366 &amp; "'!" &amp; J1366, J1366), "")</f>
        <v>0</v>
      </c>
    </row>
    <row r="1367" spans="2:2">
      <c r="B1367" s="21">
        <f>IF(AND(C1367&lt;&gt;"", J1367&lt;&gt;""), HYPERLINK("#'" &amp; C1367 &amp; "'!" &amp; J1367, J1367), "")</f>
        <v>0</v>
      </c>
    </row>
    <row r="1368" spans="2:2">
      <c r="B1368" s="21">
        <f>IF(AND(C1368&lt;&gt;"", J1368&lt;&gt;""), HYPERLINK("#'" &amp; C1368 &amp; "'!" &amp; J1368, J1368), "")</f>
        <v>0</v>
      </c>
    </row>
    <row r="1369" spans="2:2">
      <c r="B1369" s="21">
        <f>IF(AND(C1369&lt;&gt;"", J1369&lt;&gt;""), HYPERLINK("#'" &amp; C1369 &amp; "'!" &amp; J1369, J1369), "")</f>
        <v>0</v>
      </c>
    </row>
    <row r="1370" spans="2:2">
      <c r="B1370" s="21">
        <f>IF(AND(C1370&lt;&gt;"", J1370&lt;&gt;""), HYPERLINK("#'" &amp; C1370 &amp; "'!" &amp; J1370, J1370), "")</f>
        <v>0</v>
      </c>
    </row>
    <row r="1371" spans="2:2">
      <c r="B1371" s="21">
        <f>IF(AND(C1371&lt;&gt;"", J1371&lt;&gt;""), HYPERLINK("#'" &amp; C1371 &amp; "'!" &amp; J1371, J1371), "")</f>
        <v>0</v>
      </c>
    </row>
    <row r="1372" spans="2:2">
      <c r="B1372" s="21">
        <f>IF(AND(C1372&lt;&gt;"", J1372&lt;&gt;""), HYPERLINK("#'" &amp; C1372 &amp; "'!" &amp; J1372, J1372), "")</f>
        <v>0</v>
      </c>
    </row>
    <row r="1373" spans="2:2">
      <c r="B1373" s="21">
        <f>IF(AND(C1373&lt;&gt;"", J1373&lt;&gt;""), HYPERLINK("#'" &amp; C1373 &amp; "'!" &amp; J1373, J1373), "")</f>
        <v>0</v>
      </c>
    </row>
    <row r="1374" spans="2:2">
      <c r="B1374" s="21">
        <f>IF(AND(C1374&lt;&gt;"", J1374&lt;&gt;""), HYPERLINK("#'" &amp; C1374 &amp; "'!" &amp; J1374, J1374), "")</f>
        <v>0</v>
      </c>
    </row>
    <row r="1375" spans="2:2">
      <c r="B1375" s="21">
        <f>IF(AND(C1375&lt;&gt;"", J1375&lt;&gt;""), HYPERLINK("#'" &amp; C1375 &amp; "'!" &amp; J1375, J1375), "")</f>
        <v>0</v>
      </c>
    </row>
    <row r="1376" spans="2:2">
      <c r="B1376" s="21">
        <f>IF(AND(C1376&lt;&gt;"", J1376&lt;&gt;""), HYPERLINK("#'" &amp; C1376 &amp; "'!" &amp; J1376, J1376), "")</f>
        <v>0</v>
      </c>
    </row>
    <row r="1377" spans="2:2">
      <c r="B1377" s="21">
        <f>IF(AND(C1377&lt;&gt;"", J1377&lt;&gt;""), HYPERLINK("#'" &amp; C1377 &amp; "'!" &amp; J1377, J1377), "")</f>
        <v>0</v>
      </c>
    </row>
    <row r="1378" spans="2:2">
      <c r="B1378" s="21">
        <f>IF(AND(C1378&lt;&gt;"", J1378&lt;&gt;""), HYPERLINK("#'" &amp; C1378 &amp; "'!" &amp; J1378, J1378), "")</f>
        <v>0</v>
      </c>
    </row>
    <row r="1379" spans="2:2">
      <c r="B1379" s="21">
        <f>IF(AND(C1379&lt;&gt;"", J1379&lt;&gt;""), HYPERLINK("#'" &amp; C1379 &amp; "'!" &amp; J1379, J1379), "")</f>
        <v>0</v>
      </c>
    </row>
    <row r="1380" spans="2:2">
      <c r="B1380" s="21">
        <f>IF(AND(C1380&lt;&gt;"", J1380&lt;&gt;""), HYPERLINK("#'" &amp; C1380 &amp; "'!" &amp; J1380, J1380), "")</f>
        <v>0</v>
      </c>
    </row>
    <row r="1381" spans="2:2">
      <c r="B1381" s="21">
        <f>IF(AND(C1381&lt;&gt;"", J1381&lt;&gt;""), HYPERLINK("#'" &amp; C1381 &amp; "'!" &amp; J1381, J1381), "")</f>
        <v>0</v>
      </c>
    </row>
    <row r="1382" spans="2:2">
      <c r="B1382" s="21">
        <f>IF(AND(C1382&lt;&gt;"", J1382&lt;&gt;""), HYPERLINK("#'" &amp; C1382 &amp; "'!" &amp; J1382, J1382), "")</f>
        <v>0</v>
      </c>
    </row>
    <row r="1383" spans="2:2">
      <c r="B1383" s="21">
        <f>IF(AND(C1383&lt;&gt;"", J1383&lt;&gt;""), HYPERLINK("#'" &amp; C1383 &amp; "'!" &amp; J1383, J1383), "")</f>
        <v>0</v>
      </c>
    </row>
    <row r="1384" spans="2:2">
      <c r="B1384" s="21">
        <f>IF(AND(C1384&lt;&gt;"", J1384&lt;&gt;""), HYPERLINK("#'" &amp; C1384 &amp; "'!" &amp; J1384, J1384), "")</f>
        <v>0</v>
      </c>
    </row>
    <row r="1385" spans="2:2">
      <c r="B1385" s="21">
        <f>IF(AND(C1385&lt;&gt;"", J1385&lt;&gt;""), HYPERLINK("#'" &amp; C1385 &amp; "'!" &amp; J1385, J1385), "")</f>
        <v>0</v>
      </c>
    </row>
    <row r="1386" spans="2:2">
      <c r="B1386" s="21">
        <f>IF(AND(C1386&lt;&gt;"", J1386&lt;&gt;""), HYPERLINK("#'" &amp; C1386 &amp; "'!" &amp; J1386, J1386), "")</f>
        <v>0</v>
      </c>
    </row>
    <row r="1387" spans="2:2">
      <c r="B1387" s="21">
        <f>IF(AND(C1387&lt;&gt;"", J1387&lt;&gt;""), HYPERLINK("#'" &amp; C1387 &amp; "'!" &amp; J1387, J1387), "")</f>
        <v>0</v>
      </c>
    </row>
    <row r="1388" spans="2:2">
      <c r="B1388" s="21">
        <f>IF(AND(C1388&lt;&gt;"", J1388&lt;&gt;""), HYPERLINK("#'" &amp; C1388 &amp; "'!" &amp; J1388, J1388), "")</f>
        <v>0</v>
      </c>
    </row>
    <row r="1389" spans="2:2">
      <c r="B1389" s="21">
        <f>IF(AND(C1389&lt;&gt;"", J1389&lt;&gt;""), HYPERLINK("#'" &amp; C1389 &amp; "'!" &amp; J1389, J1389), "")</f>
        <v>0</v>
      </c>
    </row>
    <row r="1390" spans="2:2">
      <c r="B1390" s="21">
        <f>IF(AND(C1390&lt;&gt;"", J1390&lt;&gt;""), HYPERLINK("#'" &amp; C1390 &amp; "'!" &amp; J1390, J1390), "")</f>
        <v>0</v>
      </c>
    </row>
    <row r="1391" spans="2:2">
      <c r="B1391" s="21">
        <f>IF(AND(C1391&lt;&gt;"", J1391&lt;&gt;""), HYPERLINK("#'" &amp; C1391 &amp; "'!" &amp; J1391, J1391), "")</f>
        <v>0</v>
      </c>
    </row>
    <row r="1392" spans="2:2">
      <c r="B1392" s="21">
        <f>IF(AND(C1392&lt;&gt;"", J1392&lt;&gt;""), HYPERLINK("#'" &amp; C1392 &amp; "'!" &amp; J1392, J1392), "")</f>
        <v>0</v>
      </c>
    </row>
    <row r="1393" spans="2:2">
      <c r="B1393" s="21">
        <f>IF(AND(C1393&lt;&gt;"", J1393&lt;&gt;""), HYPERLINK("#'" &amp; C1393 &amp; "'!" &amp; J1393, J1393), "")</f>
        <v>0</v>
      </c>
    </row>
    <row r="1394" spans="2:2">
      <c r="B1394" s="21">
        <f>IF(AND(C1394&lt;&gt;"", J1394&lt;&gt;""), HYPERLINK("#'" &amp; C1394 &amp; "'!" &amp; J1394, J1394), "")</f>
        <v>0</v>
      </c>
    </row>
    <row r="1395" spans="2:2">
      <c r="B1395" s="21">
        <f>IF(AND(C1395&lt;&gt;"", J1395&lt;&gt;""), HYPERLINK("#'" &amp; C1395 &amp; "'!" &amp; J1395, J1395), "")</f>
        <v>0</v>
      </c>
    </row>
    <row r="1396" spans="2:2">
      <c r="B1396" s="21">
        <f>IF(AND(C1396&lt;&gt;"", J1396&lt;&gt;""), HYPERLINK("#'" &amp; C1396 &amp; "'!" &amp; J1396, J1396), "")</f>
        <v>0</v>
      </c>
    </row>
    <row r="1397" spans="2:2">
      <c r="B1397" s="21">
        <f>IF(AND(C1397&lt;&gt;"", J1397&lt;&gt;""), HYPERLINK("#'" &amp; C1397 &amp; "'!" &amp; J1397, J1397), "")</f>
        <v>0</v>
      </c>
    </row>
    <row r="1398" spans="2:2">
      <c r="B1398" s="21">
        <f>IF(AND(C1398&lt;&gt;"", J1398&lt;&gt;""), HYPERLINK("#'" &amp; C1398 &amp; "'!" &amp; J1398, J1398), "")</f>
        <v>0</v>
      </c>
    </row>
    <row r="1399" spans="2:2">
      <c r="B1399" s="21">
        <f>IF(AND(C1399&lt;&gt;"", J1399&lt;&gt;""), HYPERLINK("#'" &amp; C1399 &amp; "'!" &amp; J1399, J1399), "")</f>
        <v>0</v>
      </c>
    </row>
    <row r="1400" spans="2:2">
      <c r="B1400" s="21">
        <f>IF(AND(C1400&lt;&gt;"", J1400&lt;&gt;""), HYPERLINK("#'" &amp; C1400 &amp; "'!" &amp; J1400, J1400), "")</f>
        <v>0</v>
      </c>
    </row>
    <row r="1401" spans="2:2">
      <c r="B1401" s="21">
        <f>IF(AND(C1401&lt;&gt;"", J1401&lt;&gt;""), HYPERLINK("#'" &amp; C1401 &amp; "'!" &amp; J1401, J1401), "")</f>
        <v>0</v>
      </c>
    </row>
    <row r="1402" spans="2:2">
      <c r="B1402" s="21">
        <f>IF(AND(C1402&lt;&gt;"", J1402&lt;&gt;""), HYPERLINK("#'" &amp; C1402 &amp; "'!" &amp; J1402, J1402), "")</f>
        <v>0</v>
      </c>
    </row>
    <row r="1403" spans="2:2">
      <c r="B1403" s="21">
        <f>IF(AND(C1403&lt;&gt;"", J1403&lt;&gt;""), HYPERLINK("#'" &amp; C1403 &amp; "'!" &amp; J1403, J1403), "")</f>
        <v>0</v>
      </c>
    </row>
    <row r="1404" spans="2:2">
      <c r="B1404" s="21">
        <f>IF(AND(C1404&lt;&gt;"", J1404&lt;&gt;""), HYPERLINK("#'" &amp; C1404 &amp; "'!" &amp; J1404, J1404), "")</f>
        <v>0</v>
      </c>
    </row>
    <row r="1405" spans="2:2">
      <c r="B1405" s="21">
        <f>IF(AND(C1405&lt;&gt;"", J1405&lt;&gt;""), HYPERLINK("#'" &amp; C1405 &amp; "'!" &amp; J1405, J1405), "")</f>
        <v>0</v>
      </c>
    </row>
    <row r="1406" spans="2:2">
      <c r="B1406" s="21">
        <f>IF(AND(C1406&lt;&gt;"", J1406&lt;&gt;""), HYPERLINK("#'" &amp; C1406 &amp; "'!" &amp; J1406, J1406), "")</f>
        <v>0</v>
      </c>
    </row>
    <row r="1407" spans="2:2">
      <c r="B1407" s="21">
        <f>IF(AND(C1407&lt;&gt;"", J1407&lt;&gt;""), HYPERLINK("#'" &amp; C1407 &amp; "'!" &amp; J1407, J1407), "")</f>
        <v>0</v>
      </c>
    </row>
    <row r="1408" spans="2:2">
      <c r="B1408" s="21">
        <f>IF(AND(C1408&lt;&gt;"", J1408&lt;&gt;""), HYPERLINK("#'" &amp; C1408 &amp; "'!" &amp; J1408, J1408), "")</f>
        <v>0</v>
      </c>
    </row>
    <row r="1409" spans="2:2">
      <c r="B1409" s="21">
        <f>IF(AND(C1409&lt;&gt;"", J1409&lt;&gt;""), HYPERLINK("#'" &amp; C1409 &amp; "'!" &amp; J1409, J1409), "")</f>
        <v>0</v>
      </c>
    </row>
    <row r="1410" spans="2:2">
      <c r="B1410" s="21">
        <f>IF(AND(C1410&lt;&gt;"", J1410&lt;&gt;""), HYPERLINK("#'" &amp; C1410 &amp; "'!" &amp; J1410, J1410), "")</f>
        <v>0</v>
      </c>
    </row>
    <row r="1411" spans="2:2">
      <c r="B1411" s="21">
        <f>IF(AND(C1411&lt;&gt;"", J1411&lt;&gt;""), HYPERLINK("#'" &amp; C1411 &amp; "'!" &amp; J1411, J1411), "")</f>
        <v>0</v>
      </c>
    </row>
    <row r="1412" spans="2:2">
      <c r="B1412" s="21">
        <f>IF(AND(C1412&lt;&gt;"", J1412&lt;&gt;""), HYPERLINK("#'" &amp; C1412 &amp; "'!" &amp; J1412, J1412), "")</f>
        <v>0</v>
      </c>
    </row>
    <row r="1413" spans="2:2">
      <c r="B1413" s="21">
        <f>IF(AND(C1413&lt;&gt;"", J1413&lt;&gt;""), HYPERLINK("#'" &amp; C1413 &amp; "'!" &amp; J1413, J1413), "")</f>
        <v>0</v>
      </c>
    </row>
    <row r="1414" spans="2:2">
      <c r="B1414" s="21">
        <f>IF(AND(C1414&lt;&gt;"", J1414&lt;&gt;""), HYPERLINK("#'" &amp; C1414 &amp; "'!" &amp; J1414, J1414), "")</f>
        <v>0</v>
      </c>
    </row>
    <row r="1415" spans="2:2">
      <c r="B1415" s="21">
        <f>IF(AND(C1415&lt;&gt;"", J1415&lt;&gt;""), HYPERLINK("#'" &amp; C1415 &amp; "'!" &amp; J1415, J1415), "")</f>
        <v>0</v>
      </c>
    </row>
    <row r="1416" spans="2:2">
      <c r="B1416" s="21">
        <f>IF(AND(C1416&lt;&gt;"", J1416&lt;&gt;""), HYPERLINK("#'" &amp; C1416 &amp; "'!" &amp; J1416, J1416), "")</f>
        <v>0</v>
      </c>
    </row>
    <row r="1417" spans="2:2">
      <c r="B1417" s="21">
        <f>IF(AND(C1417&lt;&gt;"", J1417&lt;&gt;""), HYPERLINK("#'" &amp; C1417 &amp; "'!" &amp; J1417, J1417), "")</f>
        <v>0</v>
      </c>
    </row>
    <row r="1418" spans="2:2">
      <c r="B1418" s="21">
        <f>IF(AND(C1418&lt;&gt;"", J1418&lt;&gt;""), HYPERLINK("#'" &amp; C1418 &amp; "'!" &amp; J1418, J1418), "")</f>
        <v>0</v>
      </c>
    </row>
    <row r="1419" spans="2:2">
      <c r="B1419" s="21">
        <f>IF(AND(C1419&lt;&gt;"", J1419&lt;&gt;""), HYPERLINK("#'" &amp; C1419 &amp; "'!" &amp; J1419, J1419), "")</f>
        <v>0</v>
      </c>
    </row>
    <row r="1420" spans="2:2">
      <c r="B1420" s="21">
        <f>IF(AND(C1420&lt;&gt;"", J1420&lt;&gt;""), HYPERLINK("#'" &amp; C1420 &amp; "'!" &amp; J1420, J1420), "")</f>
        <v>0</v>
      </c>
    </row>
    <row r="1421" spans="2:2">
      <c r="B1421" s="21">
        <f>IF(AND(C1421&lt;&gt;"", J1421&lt;&gt;""), HYPERLINK("#'" &amp; C1421 &amp; "'!" &amp; J1421, J1421), "")</f>
        <v>0</v>
      </c>
    </row>
    <row r="1422" spans="2:2">
      <c r="B1422" s="21">
        <f>IF(AND(C1422&lt;&gt;"", J1422&lt;&gt;""), HYPERLINK("#'" &amp; C1422 &amp; "'!" &amp; J1422, J1422), "")</f>
        <v>0</v>
      </c>
    </row>
    <row r="1423" spans="2:2">
      <c r="B1423" s="21">
        <f>IF(AND(C1423&lt;&gt;"", J1423&lt;&gt;""), HYPERLINK("#'" &amp; C1423 &amp; "'!" &amp; J1423, J1423), "")</f>
        <v>0</v>
      </c>
    </row>
    <row r="1424" spans="2:2">
      <c r="B1424" s="21">
        <f>IF(AND(C1424&lt;&gt;"", J1424&lt;&gt;""), HYPERLINK("#'" &amp; C1424 &amp; "'!" &amp; J1424, J1424), "")</f>
        <v>0</v>
      </c>
    </row>
    <row r="1425" spans="2:2">
      <c r="B1425" s="21">
        <f>IF(AND(C1425&lt;&gt;"", J1425&lt;&gt;""), HYPERLINK("#'" &amp; C1425 &amp; "'!" &amp; J1425, J1425), "")</f>
        <v>0</v>
      </c>
    </row>
    <row r="1426" spans="2:2">
      <c r="B1426" s="21">
        <f>IF(AND(C1426&lt;&gt;"", J1426&lt;&gt;""), HYPERLINK("#'" &amp; C1426 &amp; "'!" &amp; J1426, J1426), "")</f>
        <v>0</v>
      </c>
    </row>
    <row r="1427" spans="2:2">
      <c r="B1427" s="21">
        <f>IF(AND(C1427&lt;&gt;"", J1427&lt;&gt;""), HYPERLINK("#'" &amp; C1427 &amp; "'!" &amp; J1427, J1427), "")</f>
        <v>0</v>
      </c>
    </row>
    <row r="1428" spans="2:2">
      <c r="B1428" s="21">
        <f>IF(AND(C1428&lt;&gt;"", J1428&lt;&gt;""), HYPERLINK("#'" &amp; C1428 &amp; "'!" &amp; J1428, J1428), "")</f>
        <v>0</v>
      </c>
    </row>
    <row r="1429" spans="2:2">
      <c r="B1429" s="21">
        <f>IF(AND(C1429&lt;&gt;"", J1429&lt;&gt;""), HYPERLINK("#'" &amp; C1429 &amp; "'!" &amp; J1429, J1429), "")</f>
        <v>0</v>
      </c>
    </row>
    <row r="1430" spans="2:2">
      <c r="B1430" s="21">
        <f>IF(AND(C1430&lt;&gt;"", J1430&lt;&gt;""), HYPERLINK("#'" &amp; C1430 &amp; "'!" &amp; J1430, J1430), "")</f>
        <v>0</v>
      </c>
    </row>
    <row r="1431" spans="2:2">
      <c r="B1431" s="21">
        <f>IF(AND(C1431&lt;&gt;"", J1431&lt;&gt;""), HYPERLINK("#'" &amp; C1431 &amp; "'!" &amp; J1431, J1431), "")</f>
        <v>0</v>
      </c>
    </row>
    <row r="1432" spans="2:2">
      <c r="B1432" s="21">
        <f>IF(AND(C1432&lt;&gt;"", J1432&lt;&gt;""), HYPERLINK("#'" &amp; C1432 &amp; "'!" &amp; J1432, J1432), "")</f>
        <v>0</v>
      </c>
    </row>
    <row r="1433" spans="2:2">
      <c r="B1433" s="21">
        <f>IF(AND(C1433&lt;&gt;"", J1433&lt;&gt;""), HYPERLINK("#'" &amp; C1433 &amp; "'!" &amp; J1433, J1433), "")</f>
        <v>0</v>
      </c>
    </row>
    <row r="1434" spans="2:2">
      <c r="B1434" s="21">
        <f>IF(AND(C1434&lt;&gt;"", J1434&lt;&gt;""), HYPERLINK("#'" &amp; C1434 &amp; "'!" &amp; J1434, J1434), "")</f>
        <v>0</v>
      </c>
    </row>
    <row r="1435" spans="2:2">
      <c r="B1435" s="21">
        <f>IF(AND(C1435&lt;&gt;"", J1435&lt;&gt;""), HYPERLINK("#'" &amp; C1435 &amp; "'!" &amp; J1435, J1435), "")</f>
        <v>0</v>
      </c>
    </row>
    <row r="1436" spans="2:2">
      <c r="B1436" s="21">
        <f>IF(AND(C1436&lt;&gt;"", J1436&lt;&gt;""), HYPERLINK("#'" &amp; C1436 &amp; "'!" &amp; J1436, J1436), "")</f>
        <v>0</v>
      </c>
    </row>
    <row r="1437" spans="2:2">
      <c r="B1437" s="21">
        <f>IF(AND(C1437&lt;&gt;"", J1437&lt;&gt;""), HYPERLINK("#'" &amp; C1437 &amp; "'!" &amp; J1437, J1437), "")</f>
        <v>0</v>
      </c>
    </row>
    <row r="1438" spans="2:2">
      <c r="B1438" s="21">
        <f>IF(AND(C1438&lt;&gt;"", J1438&lt;&gt;""), HYPERLINK("#'" &amp; C1438 &amp; "'!" &amp; J1438, J1438), "")</f>
        <v>0</v>
      </c>
    </row>
    <row r="1439" spans="2:2">
      <c r="B1439" s="21">
        <f>IF(AND(C1439&lt;&gt;"", J1439&lt;&gt;""), HYPERLINK("#'" &amp; C1439 &amp; "'!" &amp; J1439, J1439), "")</f>
        <v>0</v>
      </c>
    </row>
    <row r="1440" spans="2:2">
      <c r="B1440" s="21">
        <f>IF(AND(C1440&lt;&gt;"", J1440&lt;&gt;""), HYPERLINK("#'" &amp; C1440 &amp; "'!" &amp; J1440, J1440), "")</f>
        <v>0</v>
      </c>
    </row>
    <row r="1441" spans="2:2">
      <c r="B1441" s="21">
        <f>IF(AND(C1441&lt;&gt;"", J1441&lt;&gt;""), HYPERLINK("#'" &amp; C1441 &amp; "'!" &amp; J1441, J1441), "")</f>
        <v>0</v>
      </c>
    </row>
    <row r="1442" spans="2:2">
      <c r="B1442" s="21">
        <f>IF(AND(C1442&lt;&gt;"", J1442&lt;&gt;""), HYPERLINK("#'" &amp; C1442 &amp; "'!" &amp; J1442, J1442), "")</f>
        <v>0</v>
      </c>
    </row>
    <row r="1443" spans="2:2">
      <c r="B1443" s="21">
        <f>IF(AND(C1443&lt;&gt;"", J1443&lt;&gt;""), HYPERLINK("#'" &amp; C1443 &amp; "'!" &amp; J1443, J1443), "")</f>
        <v>0</v>
      </c>
    </row>
    <row r="1444" spans="2:2">
      <c r="B1444" s="21">
        <f>IF(AND(C1444&lt;&gt;"", J1444&lt;&gt;""), HYPERLINK("#'" &amp; C1444 &amp; "'!" &amp; J1444, J1444), "")</f>
        <v>0</v>
      </c>
    </row>
    <row r="1445" spans="2:2">
      <c r="B1445" s="21">
        <f>IF(AND(C1445&lt;&gt;"", J1445&lt;&gt;""), HYPERLINK("#'" &amp; C1445 &amp; "'!" &amp; J1445, J1445), "")</f>
        <v>0</v>
      </c>
    </row>
    <row r="1446" spans="2:2">
      <c r="B1446" s="21">
        <f>IF(AND(C1446&lt;&gt;"", J1446&lt;&gt;""), HYPERLINK("#'" &amp; C1446 &amp; "'!" &amp; J1446, J1446), "")</f>
        <v>0</v>
      </c>
    </row>
    <row r="1447" spans="2:2">
      <c r="B1447" s="21">
        <f>IF(AND(C1447&lt;&gt;"", J1447&lt;&gt;""), HYPERLINK("#'" &amp; C1447 &amp; "'!" &amp; J1447, J1447), "")</f>
        <v>0</v>
      </c>
    </row>
    <row r="1448" spans="2:2">
      <c r="B1448" s="21">
        <f>IF(AND(C1448&lt;&gt;"", J1448&lt;&gt;""), HYPERLINK("#'" &amp; C1448 &amp; "'!" &amp; J1448, J1448), "")</f>
        <v>0</v>
      </c>
    </row>
    <row r="1449" spans="2:2">
      <c r="B1449" s="21">
        <f>IF(AND(C1449&lt;&gt;"", J1449&lt;&gt;""), HYPERLINK("#'" &amp; C1449 &amp; "'!" &amp; J1449, J1449), "")</f>
        <v>0</v>
      </c>
    </row>
    <row r="1450" spans="2:2">
      <c r="B1450" s="21">
        <f>IF(AND(C1450&lt;&gt;"", J1450&lt;&gt;""), HYPERLINK("#'" &amp; C1450 &amp; "'!" &amp; J1450, J1450), "")</f>
        <v>0</v>
      </c>
    </row>
    <row r="1451" spans="2:2">
      <c r="B1451" s="21">
        <f>IF(AND(C1451&lt;&gt;"", J1451&lt;&gt;""), HYPERLINK("#'" &amp; C1451 &amp; "'!" &amp; J1451, J1451), "")</f>
        <v>0</v>
      </c>
    </row>
    <row r="1452" spans="2:2">
      <c r="B1452" s="21">
        <f>IF(AND(C1452&lt;&gt;"", J1452&lt;&gt;""), HYPERLINK("#'" &amp; C1452 &amp; "'!" &amp; J1452, J1452), "")</f>
        <v>0</v>
      </c>
    </row>
    <row r="1453" spans="2:2">
      <c r="B1453" s="21">
        <f>IF(AND(C1453&lt;&gt;"", J1453&lt;&gt;""), HYPERLINK("#'" &amp; C1453 &amp; "'!" &amp; J1453, J1453), "")</f>
        <v>0</v>
      </c>
    </row>
    <row r="1454" spans="2:2">
      <c r="B1454" s="21">
        <f>IF(AND(C1454&lt;&gt;"", J1454&lt;&gt;""), HYPERLINK("#'" &amp; C1454 &amp; "'!" &amp; J1454, J1454), "")</f>
        <v>0</v>
      </c>
    </row>
    <row r="1455" spans="2:2">
      <c r="B1455" s="21">
        <f>IF(AND(C1455&lt;&gt;"", J1455&lt;&gt;""), HYPERLINK("#'" &amp; C1455 &amp; "'!" &amp; J1455, J1455), "")</f>
        <v>0</v>
      </c>
    </row>
    <row r="1456" spans="2:2">
      <c r="B1456" s="21">
        <f>IF(AND(C1456&lt;&gt;"", J1456&lt;&gt;""), HYPERLINK("#'" &amp; C1456 &amp; "'!" &amp; J1456, J1456), "")</f>
        <v>0</v>
      </c>
    </row>
    <row r="1457" spans="2:2">
      <c r="B1457" s="21">
        <f>IF(AND(C1457&lt;&gt;"", J1457&lt;&gt;""), HYPERLINK("#'" &amp; C1457 &amp; "'!" &amp; J1457, J1457), "")</f>
        <v>0</v>
      </c>
    </row>
    <row r="1458" spans="2:2">
      <c r="B1458" s="21">
        <f>IF(AND(C1458&lt;&gt;"", J1458&lt;&gt;""), HYPERLINK("#'" &amp; C1458 &amp; "'!" &amp; J1458, J1458), "")</f>
        <v>0</v>
      </c>
    </row>
    <row r="1459" spans="2:2">
      <c r="B1459" s="21">
        <f>IF(AND(C1459&lt;&gt;"", J1459&lt;&gt;""), HYPERLINK("#'" &amp; C1459 &amp; "'!" &amp; J1459, J1459), "")</f>
        <v>0</v>
      </c>
    </row>
    <row r="1460" spans="2:2">
      <c r="B1460" s="21">
        <f>IF(AND(C1460&lt;&gt;"", J1460&lt;&gt;""), HYPERLINK("#'" &amp; C1460 &amp; "'!" &amp; J1460, J1460), "")</f>
        <v>0</v>
      </c>
    </row>
    <row r="1461" spans="2:2">
      <c r="B1461" s="21">
        <f>IF(AND(C1461&lt;&gt;"", J1461&lt;&gt;""), HYPERLINK("#'" &amp; C1461 &amp; "'!" &amp; J1461, J1461), "")</f>
        <v>0</v>
      </c>
    </row>
    <row r="1462" spans="2:2">
      <c r="B1462" s="21">
        <f>IF(AND(C1462&lt;&gt;"", J1462&lt;&gt;""), HYPERLINK("#'" &amp; C1462 &amp; "'!" &amp; J1462, J1462), "")</f>
        <v>0</v>
      </c>
    </row>
    <row r="1463" spans="2:2">
      <c r="B1463" s="21">
        <f>IF(AND(C1463&lt;&gt;"", J1463&lt;&gt;""), HYPERLINK("#'" &amp; C1463 &amp; "'!" &amp; J1463, J1463), "")</f>
        <v>0</v>
      </c>
    </row>
    <row r="1464" spans="2:2">
      <c r="B1464" s="21">
        <f>IF(AND(C1464&lt;&gt;"", J1464&lt;&gt;""), HYPERLINK("#'" &amp; C1464 &amp; "'!" &amp; J1464, J1464), "")</f>
        <v>0</v>
      </c>
    </row>
    <row r="1465" spans="2:2">
      <c r="B1465" s="21">
        <f>IF(AND(C1465&lt;&gt;"", J1465&lt;&gt;""), HYPERLINK("#'" &amp; C1465 &amp; "'!" &amp; J1465, J1465), "")</f>
        <v>0</v>
      </c>
    </row>
    <row r="1466" spans="2:2">
      <c r="B1466" s="21">
        <f>IF(AND(C1466&lt;&gt;"", J1466&lt;&gt;""), HYPERLINK("#'" &amp; C1466 &amp; "'!" &amp; J1466, J1466), "")</f>
        <v>0</v>
      </c>
    </row>
    <row r="1467" spans="2:2">
      <c r="B1467" s="21">
        <f>IF(AND(C1467&lt;&gt;"", J1467&lt;&gt;""), HYPERLINK("#'" &amp; C1467 &amp; "'!" &amp; J1467, J1467), "")</f>
        <v>0</v>
      </c>
    </row>
    <row r="1468" spans="2:2">
      <c r="B1468" s="21">
        <f>IF(AND(C1468&lt;&gt;"", J1468&lt;&gt;""), HYPERLINK("#'" &amp; C1468 &amp; "'!" &amp; J1468, J1468), "")</f>
        <v>0</v>
      </c>
    </row>
    <row r="1469" spans="2:2">
      <c r="B1469" s="21">
        <f>IF(AND(C1469&lt;&gt;"", J1469&lt;&gt;""), HYPERLINK("#'" &amp; C1469 &amp; "'!" &amp; J1469, J1469), "")</f>
        <v>0</v>
      </c>
    </row>
    <row r="1470" spans="2:2">
      <c r="B1470" s="21">
        <f>IF(AND(C1470&lt;&gt;"", J1470&lt;&gt;""), HYPERLINK("#'" &amp; C1470 &amp; "'!" &amp; J1470, J1470), "")</f>
        <v>0</v>
      </c>
    </row>
    <row r="1471" spans="2:2">
      <c r="B1471" s="21">
        <f>IF(AND(C1471&lt;&gt;"", J1471&lt;&gt;""), HYPERLINK("#'" &amp; C1471 &amp; "'!" &amp; J1471, J1471), "")</f>
        <v>0</v>
      </c>
    </row>
    <row r="1472" spans="2:2">
      <c r="B1472" s="21">
        <f>IF(AND(C1472&lt;&gt;"", J1472&lt;&gt;""), HYPERLINK("#'" &amp; C1472 &amp; "'!" &amp; J1472, J1472), "")</f>
        <v>0</v>
      </c>
    </row>
    <row r="1473" spans="2:2">
      <c r="B1473" s="21">
        <f>IF(AND(C1473&lt;&gt;"", J1473&lt;&gt;""), HYPERLINK("#'" &amp; C1473 &amp; "'!" &amp; J1473, J1473), "")</f>
        <v>0</v>
      </c>
    </row>
    <row r="1474" spans="2:2">
      <c r="B1474" s="21">
        <f>IF(AND(C1474&lt;&gt;"", J1474&lt;&gt;""), HYPERLINK("#'" &amp; C1474 &amp; "'!" &amp; J1474, J1474), "")</f>
        <v>0</v>
      </c>
    </row>
    <row r="1475" spans="2:2">
      <c r="B1475" s="21">
        <f>IF(AND(C1475&lt;&gt;"", J1475&lt;&gt;""), HYPERLINK("#'" &amp; C1475 &amp; "'!" &amp; J1475, J1475), "")</f>
        <v>0</v>
      </c>
    </row>
    <row r="1476" spans="2:2">
      <c r="B1476" s="21">
        <f>IF(AND(C1476&lt;&gt;"", J1476&lt;&gt;""), HYPERLINK("#'" &amp; C1476 &amp; "'!" &amp; J1476, J1476), "")</f>
        <v>0</v>
      </c>
    </row>
    <row r="1477" spans="2:2">
      <c r="B1477" s="21">
        <f>IF(AND(C1477&lt;&gt;"", J1477&lt;&gt;""), HYPERLINK("#'" &amp; C1477 &amp; "'!" &amp; J1477, J1477), "")</f>
        <v>0</v>
      </c>
    </row>
    <row r="1478" spans="2:2">
      <c r="B1478" s="21">
        <f>IF(AND(C1478&lt;&gt;"", J1478&lt;&gt;""), HYPERLINK("#'" &amp; C1478 &amp; "'!" &amp; J1478, J1478), "")</f>
        <v>0</v>
      </c>
    </row>
    <row r="1479" spans="2:2">
      <c r="B1479" s="21">
        <f>IF(AND(C1479&lt;&gt;"", J1479&lt;&gt;""), HYPERLINK("#'" &amp; C1479 &amp; "'!" &amp; J1479, J1479), "")</f>
        <v>0</v>
      </c>
    </row>
    <row r="1480" spans="2:2">
      <c r="B1480" s="21">
        <f>IF(AND(C1480&lt;&gt;"", J1480&lt;&gt;""), HYPERLINK("#'" &amp; C1480 &amp; "'!" &amp; J1480, J1480), "")</f>
        <v>0</v>
      </c>
    </row>
    <row r="1481" spans="2:2">
      <c r="B1481" s="21">
        <f>IF(AND(C1481&lt;&gt;"", J1481&lt;&gt;""), HYPERLINK("#'" &amp; C1481 &amp; "'!" &amp; J1481, J1481), "")</f>
        <v>0</v>
      </c>
    </row>
    <row r="1482" spans="2:2">
      <c r="B1482" s="21">
        <f>IF(AND(C1482&lt;&gt;"", J1482&lt;&gt;""), HYPERLINK("#'" &amp; C1482 &amp; "'!" &amp; J1482, J1482), "")</f>
        <v>0</v>
      </c>
    </row>
    <row r="1483" spans="2:2">
      <c r="B1483" s="21">
        <f>IF(AND(C1483&lt;&gt;"", J1483&lt;&gt;""), HYPERLINK("#'" &amp; C1483 &amp; "'!" &amp; J1483, J1483), "")</f>
        <v>0</v>
      </c>
    </row>
    <row r="1484" spans="2:2">
      <c r="B1484" s="21">
        <f>IF(AND(C1484&lt;&gt;"", J1484&lt;&gt;""), HYPERLINK("#'" &amp; C1484 &amp; "'!" &amp; J1484, J1484), "")</f>
        <v>0</v>
      </c>
    </row>
    <row r="1485" spans="2:2">
      <c r="B1485" s="21">
        <f>IF(AND(C1485&lt;&gt;"", J1485&lt;&gt;""), HYPERLINK("#'" &amp; C1485 &amp; "'!" &amp; J1485, J1485), "")</f>
        <v>0</v>
      </c>
    </row>
    <row r="1486" spans="2:2">
      <c r="B1486" s="21">
        <f>IF(AND(C1486&lt;&gt;"", J1486&lt;&gt;""), HYPERLINK("#'" &amp; C1486 &amp; "'!" &amp; J1486, J1486), "")</f>
        <v>0</v>
      </c>
    </row>
    <row r="1487" spans="2:2">
      <c r="B1487" s="21">
        <f>IF(AND(C1487&lt;&gt;"", J1487&lt;&gt;""), HYPERLINK("#'" &amp; C1487 &amp; "'!" &amp; J1487, J1487), "")</f>
        <v>0</v>
      </c>
    </row>
    <row r="1488" spans="2:2">
      <c r="B1488" s="21">
        <f>IF(AND(C1488&lt;&gt;"", J1488&lt;&gt;""), HYPERLINK("#'" &amp; C1488 &amp; "'!" &amp; J1488, J1488), "")</f>
        <v>0</v>
      </c>
    </row>
    <row r="1489" spans="2:2">
      <c r="B1489" s="21">
        <f>IF(AND(C1489&lt;&gt;"", J1489&lt;&gt;""), HYPERLINK("#'" &amp; C1489 &amp; "'!" &amp; J1489, J1489), "")</f>
        <v>0</v>
      </c>
    </row>
    <row r="1490" spans="2:2">
      <c r="B1490" s="21">
        <f>IF(AND(C1490&lt;&gt;"", J1490&lt;&gt;""), HYPERLINK("#'" &amp; C1490 &amp; "'!" &amp; J1490, J1490), "")</f>
        <v>0</v>
      </c>
    </row>
    <row r="1491" spans="2:2">
      <c r="B1491" s="21">
        <f>IF(AND(C1491&lt;&gt;"", J1491&lt;&gt;""), HYPERLINK("#'" &amp; C1491 &amp; "'!" &amp; J1491, J1491), "")</f>
        <v>0</v>
      </c>
    </row>
    <row r="1492" spans="2:2">
      <c r="B1492" s="21">
        <f>IF(AND(C1492&lt;&gt;"", J1492&lt;&gt;""), HYPERLINK("#'" &amp; C1492 &amp; "'!" &amp; J1492, J1492), "")</f>
        <v>0</v>
      </c>
    </row>
    <row r="1493" spans="2:2">
      <c r="B1493" s="21">
        <f>IF(AND(C1493&lt;&gt;"", J1493&lt;&gt;""), HYPERLINK("#'" &amp; C1493 &amp; "'!" &amp; J1493, J1493), "")</f>
        <v>0</v>
      </c>
    </row>
    <row r="1494" spans="2:2">
      <c r="B1494" s="21">
        <f>IF(AND(C1494&lt;&gt;"", J1494&lt;&gt;""), HYPERLINK("#'" &amp; C1494 &amp; "'!" &amp; J1494, J1494), "")</f>
        <v>0</v>
      </c>
    </row>
    <row r="1495" spans="2:2">
      <c r="B1495" s="21">
        <f>IF(AND(C1495&lt;&gt;"", J1495&lt;&gt;""), HYPERLINK("#'" &amp; C1495 &amp; "'!" &amp; J1495, J1495), "")</f>
        <v>0</v>
      </c>
    </row>
    <row r="1496" spans="2:2">
      <c r="B1496" s="21">
        <f>IF(AND(C1496&lt;&gt;"", J1496&lt;&gt;""), HYPERLINK("#'" &amp; C1496 &amp; "'!" &amp; J1496, J1496), "")</f>
        <v>0</v>
      </c>
    </row>
    <row r="1497" spans="2:2">
      <c r="B1497" s="21">
        <f>IF(AND(C1497&lt;&gt;"", J1497&lt;&gt;""), HYPERLINK("#'" &amp; C1497 &amp; "'!" &amp; J1497, J1497), "")</f>
        <v>0</v>
      </c>
    </row>
    <row r="1498" spans="2:2">
      <c r="B1498" s="21">
        <f>IF(AND(C1498&lt;&gt;"", J1498&lt;&gt;""), HYPERLINK("#'" &amp; C1498 &amp; "'!" &amp; J1498, J1498), "")</f>
        <v>0</v>
      </c>
    </row>
    <row r="1499" spans="2:2">
      <c r="B1499" s="21">
        <f>IF(AND(C1499&lt;&gt;"", J1499&lt;&gt;""), HYPERLINK("#'" &amp; C1499 &amp; "'!" &amp; J1499, J1499), "")</f>
        <v>0</v>
      </c>
    </row>
    <row r="1500" spans="2:2">
      <c r="B1500" s="21">
        <f>IF(AND(C1500&lt;&gt;"", J1500&lt;&gt;""), HYPERLINK("#'" &amp; C1500 &amp; "'!" &amp; J1500, J1500), "")</f>
        <v>0</v>
      </c>
    </row>
    <row r="1501" spans="2:2">
      <c r="B1501" s="21">
        <f>IF(AND(C1501&lt;&gt;"", J1501&lt;&gt;""), HYPERLINK("#'" &amp; C1501 &amp; "'!" &amp; J1501, J1501), "")</f>
        <v>0</v>
      </c>
    </row>
    <row r="1502" spans="2:2">
      <c r="B1502" s="21">
        <f>IF(AND(C1502&lt;&gt;"", J1502&lt;&gt;""), HYPERLINK("#'" &amp; C1502 &amp; "'!" &amp; J1502, J1502), "")</f>
        <v>0</v>
      </c>
    </row>
    <row r="1503" spans="2:2">
      <c r="B1503" s="21">
        <f>IF(AND(C1503&lt;&gt;"", J1503&lt;&gt;""), HYPERLINK("#'" &amp; C1503 &amp; "'!" &amp; J1503, J1503), "")</f>
        <v>0</v>
      </c>
    </row>
    <row r="1504" spans="2:2">
      <c r="B1504" s="21">
        <f>IF(AND(C1504&lt;&gt;"", J1504&lt;&gt;""), HYPERLINK("#'" &amp; C1504 &amp; "'!" &amp; J1504, J1504), "")</f>
        <v>0</v>
      </c>
    </row>
    <row r="1505" spans="2:2">
      <c r="B1505" s="21">
        <f>IF(AND(C1505&lt;&gt;"", J1505&lt;&gt;""), HYPERLINK("#'" &amp; C1505 &amp; "'!" &amp; J1505, J1505), "")</f>
        <v>0</v>
      </c>
    </row>
    <row r="1506" spans="2:2">
      <c r="B1506" s="21">
        <f>IF(AND(C1506&lt;&gt;"", J1506&lt;&gt;""), HYPERLINK("#'" &amp; C1506 &amp; "'!" &amp; J1506, J1506), "")</f>
        <v>0</v>
      </c>
    </row>
    <row r="1507" spans="2:2">
      <c r="B1507" s="21">
        <f>IF(AND(C1507&lt;&gt;"", J1507&lt;&gt;""), HYPERLINK("#'" &amp; C1507 &amp; "'!" &amp; J1507, J1507), "")</f>
        <v>0</v>
      </c>
    </row>
    <row r="1508" spans="2:2">
      <c r="B1508" s="21">
        <f>IF(AND(C1508&lt;&gt;"", J1508&lt;&gt;""), HYPERLINK("#'" &amp; C1508 &amp; "'!" &amp; J1508, J1508), "")</f>
        <v>0</v>
      </c>
    </row>
    <row r="1509" spans="2:2">
      <c r="B1509" s="21">
        <f>IF(AND(C1509&lt;&gt;"", J1509&lt;&gt;""), HYPERLINK("#'" &amp; C1509 &amp; "'!" &amp; J1509, J1509), "")</f>
        <v>0</v>
      </c>
    </row>
    <row r="1510" spans="2:2">
      <c r="B1510" s="21">
        <f>IF(AND(C1510&lt;&gt;"", J1510&lt;&gt;""), HYPERLINK("#'" &amp; C1510 &amp; "'!" &amp; J1510, J1510), "")</f>
        <v>0</v>
      </c>
    </row>
    <row r="1511" spans="2:2">
      <c r="B1511" s="21">
        <f>IF(AND(C1511&lt;&gt;"", J1511&lt;&gt;""), HYPERLINK("#'" &amp; C1511 &amp; "'!" &amp; J1511, J1511), "")</f>
        <v>0</v>
      </c>
    </row>
    <row r="1512" spans="2:2">
      <c r="B1512" s="21">
        <f>IF(AND(C1512&lt;&gt;"", J1512&lt;&gt;""), HYPERLINK("#'" &amp; C1512 &amp; "'!" &amp; J1512, J1512), "")</f>
        <v>0</v>
      </c>
    </row>
    <row r="1513" spans="2:2">
      <c r="B1513" s="21">
        <f>IF(AND(C1513&lt;&gt;"", J1513&lt;&gt;""), HYPERLINK("#'" &amp; C1513 &amp; "'!" &amp; J1513, J1513), "")</f>
        <v>0</v>
      </c>
    </row>
    <row r="1514" spans="2:2">
      <c r="B1514" s="21">
        <f>IF(AND(C1514&lt;&gt;"", J1514&lt;&gt;""), HYPERLINK("#'" &amp; C1514 &amp; "'!" &amp; J1514, J1514), "")</f>
        <v>0</v>
      </c>
    </row>
    <row r="1515" spans="2:2">
      <c r="B1515" s="21">
        <f>IF(AND(C1515&lt;&gt;"", J1515&lt;&gt;""), HYPERLINK("#'" &amp; C1515 &amp; "'!" &amp; J1515, J1515), "")</f>
        <v>0</v>
      </c>
    </row>
    <row r="1516" spans="2:2">
      <c r="B1516" s="21">
        <f>IF(AND(C1516&lt;&gt;"", J1516&lt;&gt;""), HYPERLINK("#'" &amp; C1516 &amp; "'!" &amp; J1516, J1516), "")</f>
        <v>0</v>
      </c>
    </row>
    <row r="1517" spans="2:2">
      <c r="B1517" s="21">
        <f>IF(AND(C1517&lt;&gt;"", J1517&lt;&gt;""), HYPERLINK("#'" &amp; C1517 &amp; "'!" &amp; J1517, J1517), "")</f>
        <v>0</v>
      </c>
    </row>
    <row r="1518" spans="2:2">
      <c r="B1518" s="21">
        <f>IF(AND(C1518&lt;&gt;"", J1518&lt;&gt;""), HYPERLINK("#'" &amp; C1518 &amp; "'!" &amp; J1518, J1518), "")</f>
        <v>0</v>
      </c>
    </row>
    <row r="1519" spans="2:2">
      <c r="B1519" s="21">
        <f>IF(AND(C1519&lt;&gt;"", J1519&lt;&gt;""), HYPERLINK("#'" &amp; C1519 &amp; "'!" &amp; J1519, J1519), "")</f>
        <v>0</v>
      </c>
    </row>
    <row r="1520" spans="2:2">
      <c r="B1520" s="21">
        <f>IF(AND(C1520&lt;&gt;"", J1520&lt;&gt;""), HYPERLINK("#'" &amp; C1520 &amp; "'!" &amp; J1520, J1520), "")</f>
        <v>0</v>
      </c>
    </row>
    <row r="1521" spans="2:2">
      <c r="B1521" s="21">
        <f>IF(AND(C1521&lt;&gt;"", J1521&lt;&gt;""), HYPERLINK("#'" &amp; C1521 &amp; "'!" &amp; J1521, J1521), "")</f>
        <v>0</v>
      </c>
    </row>
    <row r="1522" spans="2:2">
      <c r="B1522" s="21">
        <f>IF(AND(C1522&lt;&gt;"", J1522&lt;&gt;""), HYPERLINK("#'" &amp; C1522 &amp; "'!" &amp; J1522, J1522), "")</f>
        <v>0</v>
      </c>
    </row>
    <row r="1523" spans="2:2">
      <c r="B1523" s="21">
        <f>IF(AND(C1523&lt;&gt;"", J1523&lt;&gt;""), HYPERLINK("#'" &amp; C1523 &amp; "'!" &amp; J1523, J1523), "")</f>
        <v>0</v>
      </c>
    </row>
    <row r="1524" spans="2:2">
      <c r="B1524" s="21">
        <f>IF(AND(C1524&lt;&gt;"", J1524&lt;&gt;""), HYPERLINK("#'" &amp; C1524 &amp; "'!" &amp; J1524, J1524), "")</f>
        <v>0</v>
      </c>
    </row>
    <row r="1525" spans="2:2">
      <c r="B1525" s="21">
        <f>IF(AND(C1525&lt;&gt;"", J1525&lt;&gt;""), HYPERLINK("#'" &amp; C1525 &amp; "'!" &amp; J1525, J1525), "")</f>
        <v>0</v>
      </c>
    </row>
    <row r="1526" spans="2:2">
      <c r="B1526" s="21">
        <f>IF(AND(C1526&lt;&gt;"", J1526&lt;&gt;""), HYPERLINK("#'" &amp; C1526 &amp; "'!" &amp; J1526, J1526), "")</f>
        <v>0</v>
      </c>
    </row>
    <row r="1527" spans="2:2">
      <c r="B1527" s="21">
        <f>IF(AND(C1527&lt;&gt;"", J1527&lt;&gt;""), HYPERLINK("#'" &amp; C1527 &amp; "'!" &amp; J1527, J1527), "")</f>
        <v>0</v>
      </c>
    </row>
    <row r="1528" spans="2:2">
      <c r="B1528" s="21">
        <f>IF(AND(C1528&lt;&gt;"", J1528&lt;&gt;""), HYPERLINK("#'" &amp; C1528 &amp; "'!" &amp; J1528, J1528), "")</f>
        <v>0</v>
      </c>
    </row>
    <row r="1529" spans="2:2">
      <c r="B1529" s="21">
        <f>IF(AND(C1529&lt;&gt;"", J1529&lt;&gt;""), HYPERLINK("#'" &amp; C1529 &amp; "'!" &amp; J1529, J1529), "")</f>
        <v>0</v>
      </c>
    </row>
    <row r="1530" spans="2:2">
      <c r="B1530" s="21">
        <f>IF(AND(C1530&lt;&gt;"", J1530&lt;&gt;""), HYPERLINK("#'" &amp; C1530 &amp; "'!" &amp; J1530, J1530), "")</f>
        <v>0</v>
      </c>
    </row>
    <row r="1531" spans="2:2">
      <c r="B1531" s="21">
        <f>IF(AND(C1531&lt;&gt;"", J1531&lt;&gt;""), HYPERLINK("#'" &amp; C1531 &amp; "'!" &amp; J1531, J1531), "")</f>
        <v>0</v>
      </c>
    </row>
    <row r="1532" spans="2:2">
      <c r="B1532" s="21">
        <f>IF(AND(C1532&lt;&gt;"", J1532&lt;&gt;""), HYPERLINK("#'" &amp; C1532 &amp; "'!" &amp; J1532, J1532), "")</f>
        <v>0</v>
      </c>
    </row>
    <row r="1533" spans="2:2">
      <c r="B1533" s="21">
        <f>IF(AND(C1533&lt;&gt;"", J1533&lt;&gt;""), HYPERLINK("#'" &amp; C1533 &amp; "'!" &amp; J1533, J1533), "")</f>
        <v>0</v>
      </c>
    </row>
    <row r="1534" spans="2:2">
      <c r="B1534" s="21">
        <f>IF(AND(C1534&lt;&gt;"", J1534&lt;&gt;""), HYPERLINK("#'" &amp; C1534 &amp; "'!" &amp; J1534, J1534), "")</f>
        <v>0</v>
      </c>
    </row>
    <row r="1535" spans="2:2">
      <c r="B1535" s="21">
        <f>IF(AND(C1535&lt;&gt;"", J1535&lt;&gt;""), HYPERLINK("#'" &amp; C1535 &amp; "'!" &amp; J1535, J1535), "")</f>
        <v>0</v>
      </c>
    </row>
    <row r="1536" spans="2:2">
      <c r="B1536" s="21">
        <f>IF(AND(C1536&lt;&gt;"", J1536&lt;&gt;""), HYPERLINK("#'" &amp; C1536 &amp; "'!" &amp; J1536, J1536), "")</f>
        <v>0</v>
      </c>
    </row>
    <row r="1537" spans="2:2">
      <c r="B1537" s="21">
        <f>IF(AND(C1537&lt;&gt;"", J1537&lt;&gt;""), HYPERLINK("#'" &amp; C1537 &amp; "'!" &amp; J1537, J1537), "")</f>
        <v>0</v>
      </c>
    </row>
    <row r="1538" spans="2:2">
      <c r="B1538" s="21">
        <f>IF(AND(C1538&lt;&gt;"", J1538&lt;&gt;""), HYPERLINK("#'" &amp; C1538 &amp; "'!" &amp; J1538, J1538), "")</f>
        <v>0</v>
      </c>
    </row>
    <row r="1539" spans="2:2">
      <c r="B1539" s="21">
        <f>IF(AND(C1539&lt;&gt;"", J1539&lt;&gt;""), HYPERLINK("#'" &amp; C1539 &amp; "'!" &amp; J1539, J1539), "")</f>
        <v>0</v>
      </c>
    </row>
    <row r="1540" spans="2:2">
      <c r="B1540" s="21">
        <f>IF(AND(C1540&lt;&gt;"", J1540&lt;&gt;""), HYPERLINK("#'" &amp; C1540 &amp; "'!" &amp; J1540, J1540), "")</f>
        <v>0</v>
      </c>
    </row>
    <row r="1541" spans="2:2">
      <c r="B1541" s="21">
        <f>IF(AND(C1541&lt;&gt;"", J1541&lt;&gt;""), HYPERLINK("#'" &amp; C1541 &amp; "'!" &amp; J1541, J1541), "")</f>
        <v>0</v>
      </c>
    </row>
    <row r="1542" spans="2:2">
      <c r="B1542" s="21">
        <f>IF(AND(C1542&lt;&gt;"", J1542&lt;&gt;""), HYPERLINK("#'" &amp; C1542 &amp; "'!" &amp; J1542, J1542), "")</f>
        <v>0</v>
      </c>
    </row>
    <row r="1543" spans="2:2">
      <c r="B1543" s="21">
        <f>IF(AND(C1543&lt;&gt;"", J1543&lt;&gt;""), HYPERLINK("#'" &amp; C1543 &amp; "'!" &amp; J1543, J1543), "")</f>
        <v>0</v>
      </c>
    </row>
    <row r="1544" spans="2:2">
      <c r="B1544" s="21">
        <f>IF(AND(C1544&lt;&gt;"", J1544&lt;&gt;""), HYPERLINK("#'" &amp; C1544 &amp; "'!" &amp; J1544, J1544), "")</f>
        <v>0</v>
      </c>
    </row>
    <row r="1545" spans="2:2">
      <c r="B1545" s="21">
        <f>IF(AND(C1545&lt;&gt;"", J1545&lt;&gt;""), HYPERLINK("#'" &amp; C1545 &amp; "'!" &amp; J1545, J1545), "")</f>
        <v>0</v>
      </c>
    </row>
    <row r="1546" spans="2:2">
      <c r="B1546" s="21">
        <f>IF(AND(C1546&lt;&gt;"", J1546&lt;&gt;""), HYPERLINK("#'" &amp; C1546 &amp; "'!" &amp; J1546, J1546), "")</f>
        <v>0</v>
      </c>
    </row>
    <row r="1547" spans="2:2">
      <c r="B1547" s="21">
        <f>IF(AND(C1547&lt;&gt;"", J1547&lt;&gt;""), HYPERLINK("#'" &amp; C1547 &amp; "'!" &amp; J1547, J1547), "")</f>
        <v>0</v>
      </c>
    </row>
    <row r="1548" spans="2:2">
      <c r="B1548" s="21">
        <f>IF(AND(C1548&lt;&gt;"", J1548&lt;&gt;""), HYPERLINK("#'" &amp; C1548 &amp; "'!" &amp; J1548, J1548), "")</f>
        <v>0</v>
      </c>
    </row>
    <row r="1549" spans="2:2">
      <c r="B1549" s="21">
        <f>IF(AND(C1549&lt;&gt;"", J1549&lt;&gt;""), HYPERLINK("#'" &amp; C1549 &amp; "'!" &amp; J1549, J1549), "")</f>
        <v>0</v>
      </c>
    </row>
    <row r="1550" spans="2:2">
      <c r="B1550" s="21">
        <f>IF(AND(C1550&lt;&gt;"", J1550&lt;&gt;""), HYPERLINK("#'" &amp; C1550 &amp; "'!" &amp; J1550, J1550), "")</f>
        <v>0</v>
      </c>
    </row>
    <row r="1551" spans="2:2">
      <c r="B1551" s="21">
        <f>IF(AND(C1551&lt;&gt;"", J1551&lt;&gt;""), HYPERLINK("#'" &amp; C1551 &amp; "'!" &amp; J1551, J1551), "")</f>
        <v>0</v>
      </c>
    </row>
    <row r="1552" spans="2:2">
      <c r="B1552" s="21">
        <f>IF(AND(C1552&lt;&gt;"", J1552&lt;&gt;""), HYPERLINK("#'" &amp; C1552 &amp; "'!" &amp; J1552, J1552), "")</f>
        <v>0</v>
      </c>
    </row>
    <row r="1553" spans="2:2">
      <c r="B1553" s="21">
        <f>IF(AND(C1553&lt;&gt;"", J1553&lt;&gt;""), HYPERLINK("#'" &amp; C1553 &amp; "'!" &amp; J1553, J1553), "")</f>
        <v>0</v>
      </c>
    </row>
    <row r="1554" spans="2:2">
      <c r="B1554" s="21">
        <f>IF(AND(C1554&lt;&gt;"", J1554&lt;&gt;""), HYPERLINK("#'" &amp; C1554 &amp; "'!" &amp; J1554, J1554), "")</f>
        <v>0</v>
      </c>
    </row>
    <row r="1555" spans="2:2">
      <c r="B1555" s="21">
        <f>IF(AND(C1555&lt;&gt;"", J1555&lt;&gt;""), HYPERLINK("#'" &amp; C1555 &amp; "'!" &amp; J1555, J1555), "")</f>
        <v>0</v>
      </c>
    </row>
    <row r="1556" spans="2:2">
      <c r="B1556" s="21">
        <f>IF(AND(C1556&lt;&gt;"", J1556&lt;&gt;""), HYPERLINK("#'" &amp; C1556 &amp; "'!" &amp; J1556, J1556), "")</f>
        <v>0</v>
      </c>
    </row>
    <row r="1557" spans="2:2">
      <c r="B1557" s="21">
        <f>IF(AND(C1557&lt;&gt;"", J1557&lt;&gt;""), HYPERLINK("#'" &amp; C1557 &amp; "'!" &amp; J1557, J1557), "")</f>
        <v>0</v>
      </c>
    </row>
    <row r="1558" spans="2:2">
      <c r="B1558" s="21">
        <f>IF(AND(C1558&lt;&gt;"", J1558&lt;&gt;""), HYPERLINK("#'" &amp; C1558 &amp; "'!" &amp; J1558, J1558), "")</f>
        <v>0</v>
      </c>
    </row>
    <row r="1559" spans="2:2">
      <c r="B1559" s="21">
        <f>IF(AND(C1559&lt;&gt;"", J1559&lt;&gt;""), HYPERLINK("#'" &amp; C1559 &amp; "'!" &amp; J1559, J1559), "")</f>
        <v>0</v>
      </c>
    </row>
    <row r="1560" spans="2:2">
      <c r="B1560" s="21">
        <f>IF(AND(C1560&lt;&gt;"", J1560&lt;&gt;""), HYPERLINK("#'" &amp; C1560 &amp; "'!" &amp; J1560, J1560), "")</f>
        <v>0</v>
      </c>
    </row>
    <row r="1561" spans="2:2">
      <c r="B1561" s="21">
        <f>IF(AND(C1561&lt;&gt;"", J1561&lt;&gt;""), HYPERLINK("#'" &amp; C1561 &amp; "'!" &amp; J1561, J1561), "")</f>
        <v>0</v>
      </c>
    </row>
    <row r="1562" spans="2:2">
      <c r="B1562" s="21">
        <f>IF(AND(C1562&lt;&gt;"", J1562&lt;&gt;""), HYPERLINK("#'" &amp; C1562 &amp; "'!" &amp; J1562, J1562), "")</f>
        <v>0</v>
      </c>
    </row>
    <row r="1563" spans="2:2">
      <c r="B1563" s="21">
        <f>IF(AND(C1563&lt;&gt;"", J1563&lt;&gt;""), HYPERLINK("#'" &amp; C1563 &amp; "'!" &amp; J1563, J1563), "")</f>
        <v>0</v>
      </c>
    </row>
    <row r="1564" spans="2:2">
      <c r="B1564" s="21">
        <f>IF(AND(C1564&lt;&gt;"", J1564&lt;&gt;""), HYPERLINK("#'" &amp; C1564 &amp; "'!" &amp; J1564, J1564), "")</f>
        <v>0</v>
      </c>
    </row>
    <row r="1565" spans="2:2">
      <c r="B1565" s="21">
        <f>IF(AND(C1565&lt;&gt;"", J1565&lt;&gt;""), HYPERLINK("#'" &amp; C1565 &amp; "'!" &amp; J1565, J1565), "")</f>
        <v>0</v>
      </c>
    </row>
    <row r="1566" spans="2:2">
      <c r="B1566" s="21">
        <f>IF(AND(C1566&lt;&gt;"", J1566&lt;&gt;""), HYPERLINK("#'" &amp; C1566 &amp; "'!" &amp; J1566, J1566), "")</f>
        <v>0</v>
      </c>
    </row>
    <row r="1567" spans="2:2">
      <c r="B1567" s="21">
        <f>IF(AND(C1567&lt;&gt;"", J1567&lt;&gt;""), HYPERLINK("#'" &amp; C1567 &amp; "'!" &amp; J1567, J1567), "")</f>
        <v>0</v>
      </c>
    </row>
    <row r="1568" spans="2:2">
      <c r="B1568" s="21">
        <f>IF(AND(C1568&lt;&gt;"", J1568&lt;&gt;""), HYPERLINK("#'" &amp; C1568 &amp; "'!" &amp; J1568, J1568), "")</f>
        <v>0</v>
      </c>
    </row>
    <row r="1569" spans="2:2">
      <c r="B1569" s="21">
        <f>IF(AND(C1569&lt;&gt;"", J1569&lt;&gt;""), HYPERLINK("#'" &amp; C1569 &amp; "'!" &amp; J1569, J1569), "")</f>
        <v>0</v>
      </c>
    </row>
    <row r="1570" spans="2:2">
      <c r="B1570" s="21">
        <f>IF(AND(C1570&lt;&gt;"", J1570&lt;&gt;""), HYPERLINK("#'" &amp; C1570 &amp; "'!" &amp; J1570, J1570), "")</f>
        <v>0</v>
      </c>
    </row>
    <row r="1571" spans="2:2">
      <c r="B1571" s="21">
        <f>IF(AND(C1571&lt;&gt;"", J1571&lt;&gt;""), HYPERLINK("#'" &amp; C1571 &amp; "'!" &amp; J1571, J1571), "")</f>
        <v>0</v>
      </c>
    </row>
    <row r="1572" spans="2:2">
      <c r="B1572" s="21">
        <f>IF(AND(C1572&lt;&gt;"", J1572&lt;&gt;""), HYPERLINK("#'" &amp; C1572 &amp; "'!" &amp; J1572, J1572), "")</f>
        <v>0</v>
      </c>
    </row>
    <row r="1573" spans="2:2">
      <c r="B1573" s="21">
        <f>IF(AND(C1573&lt;&gt;"", J1573&lt;&gt;""), HYPERLINK("#'" &amp; C1573 &amp; "'!" &amp; J1573, J1573), "")</f>
        <v>0</v>
      </c>
    </row>
    <row r="1574" spans="2:2">
      <c r="B1574" s="21">
        <f>IF(AND(C1574&lt;&gt;"", J1574&lt;&gt;""), HYPERLINK("#'" &amp; C1574 &amp; "'!" &amp; J1574, J1574), "")</f>
        <v>0</v>
      </c>
    </row>
    <row r="1575" spans="2:2">
      <c r="B1575" s="21">
        <f>IF(AND(C1575&lt;&gt;"", J1575&lt;&gt;""), HYPERLINK("#'" &amp; C1575 &amp; "'!" &amp; J1575, J1575), "")</f>
        <v>0</v>
      </c>
    </row>
    <row r="1576" spans="2:2">
      <c r="B1576" s="21">
        <f>IF(AND(C1576&lt;&gt;"", J1576&lt;&gt;""), HYPERLINK("#'" &amp; C1576 &amp; "'!" &amp; J1576, J1576), "")</f>
        <v>0</v>
      </c>
    </row>
    <row r="1577" spans="2:2">
      <c r="B1577" s="21">
        <f>IF(AND(C1577&lt;&gt;"", J1577&lt;&gt;""), HYPERLINK("#'" &amp; C1577 &amp; "'!" &amp; J1577, J1577), "")</f>
        <v>0</v>
      </c>
    </row>
    <row r="1578" spans="2:2">
      <c r="B1578" s="21">
        <f>IF(AND(C1578&lt;&gt;"", J1578&lt;&gt;""), HYPERLINK("#'" &amp; C1578 &amp; "'!" &amp; J1578, J1578), "")</f>
        <v>0</v>
      </c>
    </row>
    <row r="1579" spans="2:2">
      <c r="B1579" s="21">
        <f>IF(AND(C1579&lt;&gt;"", J1579&lt;&gt;""), HYPERLINK("#'" &amp; C1579 &amp; "'!" &amp; J1579, J1579), "")</f>
        <v>0</v>
      </c>
    </row>
    <row r="1580" spans="2:2">
      <c r="B1580" s="21">
        <f>IF(AND(C1580&lt;&gt;"", J1580&lt;&gt;""), HYPERLINK("#'" &amp; C1580 &amp; "'!" &amp; J1580, J1580), "")</f>
        <v>0</v>
      </c>
    </row>
    <row r="1581" spans="2:2">
      <c r="B1581" s="21">
        <f>IF(AND(C1581&lt;&gt;"", J1581&lt;&gt;""), HYPERLINK("#'" &amp; C1581 &amp; "'!" &amp; J1581, J1581), "")</f>
        <v>0</v>
      </c>
    </row>
    <row r="1582" spans="2:2">
      <c r="B1582" s="21">
        <f>IF(AND(C1582&lt;&gt;"", J1582&lt;&gt;""), HYPERLINK("#'" &amp; C1582 &amp; "'!" &amp; J1582, J1582), "")</f>
        <v>0</v>
      </c>
    </row>
    <row r="1583" spans="2:2">
      <c r="B1583" s="21">
        <f>IF(AND(C1583&lt;&gt;"", J1583&lt;&gt;""), HYPERLINK("#'" &amp; C1583 &amp; "'!" &amp; J1583, J1583), "")</f>
        <v>0</v>
      </c>
    </row>
    <row r="1584" spans="2:2">
      <c r="B1584" s="21">
        <f>IF(AND(C1584&lt;&gt;"", J1584&lt;&gt;""), HYPERLINK("#'" &amp; C1584 &amp; "'!" &amp; J1584, J1584), "")</f>
        <v>0</v>
      </c>
    </row>
    <row r="1585" spans="2:2">
      <c r="B1585" s="21">
        <f>IF(AND(C1585&lt;&gt;"", J1585&lt;&gt;""), HYPERLINK("#'" &amp; C1585 &amp; "'!" &amp; J1585, J1585), "")</f>
        <v>0</v>
      </c>
    </row>
    <row r="1586" spans="2:2">
      <c r="B1586" s="21">
        <f>IF(AND(C1586&lt;&gt;"", J1586&lt;&gt;""), HYPERLINK("#'" &amp; C1586 &amp; "'!" &amp; J1586, J1586), "")</f>
        <v>0</v>
      </c>
    </row>
    <row r="1587" spans="2:2">
      <c r="B1587" s="21">
        <f>IF(AND(C1587&lt;&gt;"", J1587&lt;&gt;""), HYPERLINK("#'" &amp; C1587 &amp; "'!" &amp; J1587, J1587), "")</f>
        <v>0</v>
      </c>
    </row>
    <row r="1588" spans="2:2">
      <c r="B1588" s="21">
        <f>IF(AND(C1588&lt;&gt;"", J1588&lt;&gt;""), HYPERLINK("#'" &amp; C1588 &amp; "'!" &amp; J1588, J1588), "")</f>
        <v>0</v>
      </c>
    </row>
    <row r="1589" spans="2:2">
      <c r="B1589" s="21">
        <f>IF(AND(C1589&lt;&gt;"", J1589&lt;&gt;""), HYPERLINK("#'" &amp; C1589 &amp; "'!" &amp; J1589, J1589), "")</f>
        <v>0</v>
      </c>
    </row>
    <row r="1590" spans="2:2">
      <c r="B1590" s="21">
        <f>IF(AND(C1590&lt;&gt;"", J1590&lt;&gt;""), HYPERLINK("#'" &amp; C1590 &amp; "'!" &amp; J1590, J1590), "")</f>
        <v>0</v>
      </c>
    </row>
    <row r="1591" spans="2:2">
      <c r="B1591" s="21">
        <f>IF(AND(C1591&lt;&gt;"", J1591&lt;&gt;""), HYPERLINK("#'" &amp; C1591 &amp; "'!" &amp; J1591, J1591), "")</f>
        <v>0</v>
      </c>
    </row>
    <row r="1592" spans="2:2">
      <c r="B1592" s="21">
        <f>IF(AND(C1592&lt;&gt;"", J1592&lt;&gt;""), HYPERLINK("#'" &amp; C1592 &amp; "'!" &amp; J1592, J1592), "")</f>
        <v>0</v>
      </c>
    </row>
    <row r="1593" spans="2:2">
      <c r="B1593" s="21">
        <f>IF(AND(C1593&lt;&gt;"", J1593&lt;&gt;""), HYPERLINK("#'" &amp; C1593 &amp; "'!" &amp; J1593, J1593), "")</f>
        <v>0</v>
      </c>
    </row>
    <row r="1594" spans="2:2">
      <c r="B1594" s="21">
        <f>IF(AND(C1594&lt;&gt;"", J1594&lt;&gt;""), HYPERLINK("#'" &amp; C1594 &amp; "'!" &amp; J1594, J1594), "")</f>
        <v>0</v>
      </c>
    </row>
    <row r="1595" spans="2:2">
      <c r="B1595" s="21">
        <f>IF(AND(C1595&lt;&gt;"", J1595&lt;&gt;""), HYPERLINK("#'" &amp; C1595 &amp; "'!" &amp; J1595, J1595), "")</f>
        <v>0</v>
      </c>
    </row>
    <row r="1596" spans="2:2">
      <c r="B1596" s="21">
        <f>IF(AND(C1596&lt;&gt;"", J1596&lt;&gt;""), HYPERLINK("#'" &amp; C1596 &amp; "'!" &amp; J1596, J1596), "")</f>
        <v>0</v>
      </c>
    </row>
    <row r="1597" spans="2:2">
      <c r="B1597" s="21">
        <f>IF(AND(C1597&lt;&gt;"", J1597&lt;&gt;""), HYPERLINK("#'" &amp; C1597 &amp; "'!" &amp; J1597, J1597), "")</f>
        <v>0</v>
      </c>
    </row>
    <row r="1598" spans="2:2">
      <c r="B1598" s="21">
        <f>IF(AND(C1598&lt;&gt;"", J1598&lt;&gt;""), HYPERLINK("#'" &amp; C1598 &amp; "'!" &amp; J1598, J1598), "")</f>
        <v>0</v>
      </c>
    </row>
    <row r="1599" spans="2:2">
      <c r="B1599" s="21">
        <f>IF(AND(C1599&lt;&gt;"", J1599&lt;&gt;""), HYPERLINK("#'" &amp; C1599 &amp; "'!" &amp; J1599, J1599), "")</f>
        <v>0</v>
      </c>
    </row>
    <row r="1600" spans="2:2">
      <c r="B1600" s="21">
        <f>IF(AND(C1600&lt;&gt;"", J1600&lt;&gt;""), HYPERLINK("#'" &amp; C1600 &amp; "'!" &amp; J1600, J1600), "")</f>
        <v>0</v>
      </c>
    </row>
    <row r="1601" spans="2:2">
      <c r="B1601" s="21">
        <f>IF(AND(C1601&lt;&gt;"", J1601&lt;&gt;""), HYPERLINK("#'" &amp; C1601 &amp; "'!" &amp; J1601, J1601), "")</f>
        <v>0</v>
      </c>
    </row>
    <row r="1602" spans="2:2">
      <c r="B1602" s="21">
        <f>IF(AND(C1602&lt;&gt;"", J1602&lt;&gt;""), HYPERLINK("#'" &amp; C1602 &amp; "'!" &amp; J1602, J1602), "")</f>
        <v>0</v>
      </c>
    </row>
    <row r="1603" spans="2:2">
      <c r="B1603" s="21">
        <f>IF(AND(C1603&lt;&gt;"", J1603&lt;&gt;""), HYPERLINK("#'" &amp; C1603 &amp; "'!" &amp; J1603, J1603), "")</f>
        <v>0</v>
      </c>
    </row>
    <row r="1604" spans="2:2">
      <c r="B1604" s="21">
        <f>IF(AND(C1604&lt;&gt;"", J1604&lt;&gt;""), HYPERLINK("#'" &amp; C1604 &amp; "'!" &amp; J1604, J1604), "")</f>
        <v>0</v>
      </c>
    </row>
    <row r="1605" spans="2:2">
      <c r="B1605" s="21">
        <f>IF(AND(C1605&lt;&gt;"", J1605&lt;&gt;""), HYPERLINK("#'" &amp; C1605 &amp; "'!" &amp; J1605, J1605), "")</f>
        <v>0</v>
      </c>
    </row>
    <row r="1606" spans="2:2">
      <c r="B1606" s="21">
        <f>IF(AND(C1606&lt;&gt;"", J1606&lt;&gt;""), HYPERLINK("#'" &amp; C1606 &amp; "'!" &amp; J1606, J1606), "")</f>
        <v>0</v>
      </c>
    </row>
    <row r="1607" spans="2:2">
      <c r="B1607" s="21">
        <f>IF(AND(C1607&lt;&gt;"", J1607&lt;&gt;""), HYPERLINK("#'" &amp; C1607 &amp; "'!" &amp; J1607, J1607), "")</f>
        <v>0</v>
      </c>
    </row>
    <row r="1608" spans="2:2">
      <c r="B1608" s="21">
        <f>IF(AND(C1608&lt;&gt;"", J1608&lt;&gt;""), HYPERLINK("#'" &amp; C1608 &amp; "'!" &amp; J1608, J1608), "")</f>
        <v>0</v>
      </c>
    </row>
    <row r="1609" spans="2:2">
      <c r="B1609" s="21">
        <f>IF(AND(C1609&lt;&gt;"", J1609&lt;&gt;""), HYPERLINK("#'" &amp; C1609 &amp; "'!" &amp; J1609, J1609), "")</f>
        <v>0</v>
      </c>
    </row>
    <row r="1610" spans="2:2">
      <c r="B1610" s="21">
        <f>IF(AND(C1610&lt;&gt;"", J1610&lt;&gt;""), HYPERLINK("#'" &amp; C1610 &amp; "'!" &amp; J1610, J1610), "")</f>
        <v>0</v>
      </c>
    </row>
    <row r="1611" spans="2:2">
      <c r="B1611" s="21">
        <f>IF(AND(C1611&lt;&gt;"", J1611&lt;&gt;""), HYPERLINK("#'" &amp; C1611 &amp; "'!" &amp; J1611, J1611), "")</f>
        <v>0</v>
      </c>
    </row>
    <row r="1612" spans="2:2">
      <c r="B1612" s="21">
        <f>IF(AND(C1612&lt;&gt;"", J1612&lt;&gt;""), HYPERLINK("#'" &amp; C1612 &amp; "'!" &amp; J1612, J1612), "")</f>
        <v>0</v>
      </c>
    </row>
    <row r="1613" spans="2:2">
      <c r="B1613" s="21">
        <f>IF(AND(C1613&lt;&gt;"", J1613&lt;&gt;""), HYPERLINK("#'" &amp; C1613 &amp; "'!" &amp; J1613, J1613), "")</f>
        <v>0</v>
      </c>
    </row>
    <row r="1614" spans="2:2">
      <c r="B1614" s="21">
        <f>IF(AND(C1614&lt;&gt;"", J1614&lt;&gt;""), HYPERLINK("#'" &amp; C1614 &amp; "'!" &amp; J1614, J1614), "")</f>
        <v>0</v>
      </c>
    </row>
    <row r="1615" spans="2:2">
      <c r="B1615" s="21">
        <f>IF(AND(C1615&lt;&gt;"", J1615&lt;&gt;""), HYPERLINK("#'" &amp; C1615 &amp; "'!" &amp; J1615, J1615), "")</f>
        <v>0</v>
      </c>
    </row>
    <row r="1616" spans="2:2">
      <c r="B1616" s="21">
        <f>IF(AND(C1616&lt;&gt;"", J1616&lt;&gt;""), HYPERLINK("#'" &amp; C1616 &amp; "'!" &amp; J1616, J1616), "")</f>
        <v>0</v>
      </c>
    </row>
    <row r="1617" spans="2:2">
      <c r="B1617" s="21">
        <f>IF(AND(C1617&lt;&gt;"", J1617&lt;&gt;""), HYPERLINK("#'" &amp; C1617 &amp; "'!" &amp; J1617, J1617), "")</f>
        <v>0</v>
      </c>
    </row>
    <row r="1618" spans="2:2">
      <c r="B1618" s="21">
        <f>IF(AND(C1618&lt;&gt;"", J1618&lt;&gt;""), HYPERLINK("#'" &amp; C1618 &amp; "'!" &amp; J1618, J1618), "")</f>
        <v>0</v>
      </c>
    </row>
    <row r="1619" spans="2:2">
      <c r="B1619" s="21">
        <f>IF(AND(C1619&lt;&gt;"", J1619&lt;&gt;""), HYPERLINK("#'" &amp; C1619 &amp; "'!" &amp; J1619, J1619), "")</f>
        <v>0</v>
      </c>
    </row>
    <row r="1620" spans="2:2">
      <c r="B1620" s="21">
        <f>IF(AND(C1620&lt;&gt;"", J1620&lt;&gt;""), HYPERLINK("#'" &amp; C1620 &amp; "'!" &amp; J1620, J1620), "")</f>
        <v>0</v>
      </c>
    </row>
    <row r="1621" spans="2:2">
      <c r="B1621" s="21">
        <f>IF(AND(C1621&lt;&gt;"", J1621&lt;&gt;""), HYPERLINK("#'" &amp; C1621 &amp; "'!" &amp; J1621, J1621), "")</f>
        <v>0</v>
      </c>
    </row>
    <row r="1622" spans="2:2">
      <c r="B1622" s="21">
        <f>IF(AND(C1622&lt;&gt;"", J1622&lt;&gt;""), HYPERLINK("#'" &amp; C1622 &amp; "'!" &amp; J1622, J1622), "")</f>
        <v>0</v>
      </c>
    </row>
    <row r="1623" spans="2:2">
      <c r="B1623" s="21">
        <f>IF(AND(C1623&lt;&gt;"", J1623&lt;&gt;""), HYPERLINK("#'" &amp; C1623 &amp; "'!" &amp; J1623, J1623), "")</f>
        <v>0</v>
      </c>
    </row>
    <row r="1624" spans="2:2">
      <c r="B1624" s="21">
        <f>IF(AND(C1624&lt;&gt;"", J1624&lt;&gt;""), HYPERLINK("#'" &amp; C1624 &amp; "'!" &amp; J1624, J1624), "")</f>
        <v>0</v>
      </c>
    </row>
    <row r="1625" spans="2:2">
      <c r="B1625" s="21">
        <f>IF(AND(C1625&lt;&gt;"", J1625&lt;&gt;""), HYPERLINK("#'" &amp; C1625 &amp; "'!" &amp; J1625, J1625), "")</f>
        <v>0</v>
      </c>
    </row>
    <row r="1626" spans="2:2">
      <c r="B1626" s="21">
        <f>IF(AND(C1626&lt;&gt;"", J1626&lt;&gt;""), HYPERLINK("#'" &amp; C1626 &amp; "'!" &amp; J1626, J1626), "")</f>
        <v>0</v>
      </c>
    </row>
    <row r="1627" spans="2:2">
      <c r="B1627" s="21">
        <f>IF(AND(C1627&lt;&gt;"", J1627&lt;&gt;""), HYPERLINK("#'" &amp; C1627 &amp; "'!" &amp; J1627, J1627), "")</f>
        <v>0</v>
      </c>
    </row>
    <row r="1628" spans="2:2">
      <c r="B1628" s="21">
        <f>IF(AND(C1628&lt;&gt;"", J1628&lt;&gt;""), HYPERLINK("#'" &amp; C1628 &amp; "'!" &amp; J1628, J1628), "")</f>
        <v>0</v>
      </c>
    </row>
    <row r="1629" spans="2:2">
      <c r="B1629" s="21">
        <f>IF(AND(C1629&lt;&gt;"", J1629&lt;&gt;""), HYPERLINK("#'" &amp; C1629 &amp; "'!" &amp; J1629, J1629), "")</f>
        <v>0</v>
      </c>
    </row>
    <row r="1630" spans="2:2">
      <c r="B1630" s="21">
        <f>IF(AND(C1630&lt;&gt;"", J1630&lt;&gt;""), HYPERLINK("#'" &amp; C1630 &amp; "'!" &amp; J1630, J1630), "")</f>
        <v>0</v>
      </c>
    </row>
    <row r="1631" spans="2:2">
      <c r="B1631" s="21">
        <f>IF(AND(C1631&lt;&gt;"", J1631&lt;&gt;""), HYPERLINK("#'" &amp; C1631 &amp; "'!" &amp; J1631, J1631), "")</f>
        <v>0</v>
      </c>
    </row>
    <row r="1632" spans="2:2">
      <c r="B1632" s="21">
        <f>IF(AND(C1632&lt;&gt;"", J1632&lt;&gt;""), HYPERLINK("#'" &amp; C1632 &amp; "'!" &amp; J1632, J1632), "")</f>
        <v>0</v>
      </c>
    </row>
    <row r="1633" spans="2:2">
      <c r="B1633" s="21">
        <f>IF(AND(C1633&lt;&gt;"", J1633&lt;&gt;""), HYPERLINK("#'" &amp; C1633 &amp; "'!" &amp; J1633, J1633), "")</f>
        <v>0</v>
      </c>
    </row>
    <row r="1634" spans="2:2">
      <c r="B1634" s="21">
        <f>IF(AND(C1634&lt;&gt;"", J1634&lt;&gt;""), HYPERLINK("#'" &amp; C1634 &amp; "'!" &amp; J1634, J1634), "")</f>
        <v>0</v>
      </c>
    </row>
    <row r="1635" spans="2:2">
      <c r="B1635" s="21">
        <f>IF(AND(C1635&lt;&gt;"", J1635&lt;&gt;""), HYPERLINK("#'" &amp; C1635 &amp; "'!" &amp; J1635, J1635), "")</f>
        <v>0</v>
      </c>
    </row>
    <row r="1636" spans="2:2">
      <c r="B1636" s="21">
        <f>IF(AND(C1636&lt;&gt;"", J1636&lt;&gt;""), HYPERLINK("#'" &amp; C1636 &amp; "'!" &amp; J1636, J1636), "")</f>
        <v>0</v>
      </c>
    </row>
    <row r="1637" spans="2:2">
      <c r="B1637" s="21">
        <f>IF(AND(C1637&lt;&gt;"", J1637&lt;&gt;""), HYPERLINK("#'" &amp; C1637 &amp; "'!" &amp; J1637, J1637), "")</f>
        <v>0</v>
      </c>
    </row>
    <row r="1638" spans="2:2">
      <c r="B1638" s="21">
        <f>IF(AND(C1638&lt;&gt;"", J1638&lt;&gt;""), HYPERLINK("#'" &amp; C1638 &amp; "'!" &amp; J1638, J1638), "")</f>
        <v>0</v>
      </c>
    </row>
    <row r="1639" spans="2:2">
      <c r="B1639" s="21">
        <f>IF(AND(C1639&lt;&gt;"", J1639&lt;&gt;""), HYPERLINK("#'" &amp; C1639 &amp; "'!" &amp; J1639, J1639), "")</f>
        <v>0</v>
      </c>
    </row>
    <row r="1640" spans="2:2">
      <c r="B1640" s="21">
        <f>IF(AND(C1640&lt;&gt;"", J1640&lt;&gt;""), HYPERLINK("#'" &amp; C1640 &amp; "'!" &amp; J1640, J1640), "")</f>
        <v>0</v>
      </c>
    </row>
    <row r="1641" spans="2:2">
      <c r="B1641" s="21">
        <f>IF(AND(C1641&lt;&gt;"", J1641&lt;&gt;""), HYPERLINK("#'" &amp; C1641 &amp; "'!" &amp; J1641, J1641), "")</f>
        <v>0</v>
      </c>
    </row>
    <row r="1642" spans="2:2">
      <c r="B1642" s="21">
        <f>IF(AND(C1642&lt;&gt;"", J1642&lt;&gt;""), HYPERLINK("#'" &amp; C1642 &amp; "'!" &amp; J1642, J1642), "")</f>
        <v>0</v>
      </c>
    </row>
    <row r="1643" spans="2:2">
      <c r="B1643" s="21">
        <f>IF(AND(C1643&lt;&gt;"", J1643&lt;&gt;""), HYPERLINK("#'" &amp; C1643 &amp; "'!" &amp; J1643, J1643), "")</f>
        <v>0</v>
      </c>
    </row>
    <row r="1644" spans="2:2">
      <c r="B1644" s="21">
        <f>IF(AND(C1644&lt;&gt;"", J1644&lt;&gt;""), HYPERLINK("#'" &amp; C1644 &amp; "'!" &amp; J1644, J1644), "")</f>
        <v>0</v>
      </c>
    </row>
    <row r="1645" spans="2:2">
      <c r="B1645" s="21">
        <f>IF(AND(C1645&lt;&gt;"", J1645&lt;&gt;""), HYPERLINK("#'" &amp; C1645 &amp; "'!" &amp; J1645, J1645), "")</f>
        <v>0</v>
      </c>
    </row>
    <row r="1646" spans="2:2">
      <c r="B1646" s="21">
        <f>IF(AND(C1646&lt;&gt;"", J1646&lt;&gt;""), HYPERLINK("#'" &amp; C1646 &amp; "'!" &amp; J1646, J1646), "")</f>
        <v>0</v>
      </c>
    </row>
    <row r="1647" spans="2:2">
      <c r="B1647" s="21">
        <f>IF(AND(C1647&lt;&gt;"", J1647&lt;&gt;""), HYPERLINK("#'" &amp; C1647 &amp; "'!" &amp; J1647, J1647), "")</f>
        <v>0</v>
      </c>
    </row>
    <row r="1648" spans="2:2">
      <c r="B1648" s="21">
        <f>IF(AND(C1648&lt;&gt;"", J1648&lt;&gt;""), HYPERLINK("#'" &amp; C1648 &amp; "'!" &amp; J1648, J1648), "")</f>
        <v>0</v>
      </c>
    </row>
    <row r="1649" spans="2:2">
      <c r="B1649" s="21">
        <f>IF(AND(C1649&lt;&gt;"", J1649&lt;&gt;""), HYPERLINK("#'" &amp; C1649 &amp; "'!" &amp; J1649, J1649), "")</f>
        <v>0</v>
      </c>
    </row>
    <row r="1650" spans="2:2">
      <c r="B1650" s="21">
        <f>IF(AND(C1650&lt;&gt;"", J1650&lt;&gt;""), HYPERLINK("#'" &amp; C1650 &amp; "'!" &amp; J1650, J1650), "")</f>
        <v>0</v>
      </c>
    </row>
    <row r="1651" spans="2:2">
      <c r="B1651" s="21">
        <f>IF(AND(C1651&lt;&gt;"", J1651&lt;&gt;""), HYPERLINK("#'" &amp; C1651 &amp; "'!" &amp; J1651, J1651), "")</f>
        <v>0</v>
      </c>
    </row>
    <row r="1652" spans="2:2">
      <c r="B1652" s="21">
        <f>IF(AND(C1652&lt;&gt;"", J1652&lt;&gt;""), HYPERLINK("#'" &amp; C1652 &amp; "'!" &amp; J1652, J1652), "")</f>
        <v>0</v>
      </c>
    </row>
    <row r="1653" spans="2:2">
      <c r="B1653" s="21">
        <f>IF(AND(C1653&lt;&gt;"", J1653&lt;&gt;""), HYPERLINK("#'" &amp; C1653 &amp; "'!" &amp; J1653, J1653), "")</f>
        <v>0</v>
      </c>
    </row>
    <row r="1654" spans="2:2">
      <c r="B1654" s="21">
        <f>IF(AND(C1654&lt;&gt;"", J1654&lt;&gt;""), HYPERLINK("#'" &amp; C1654 &amp; "'!" &amp; J1654, J1654), "")</f>
        <v>0</v>
      </c>
    </row>
    <row r="1655" spans="2:2">
      <c r="B1655" s="21">
        <f>IF(AND(C1655&lt;&gt;"", J1655&lt;&gt;""), HYPERLINK("#'" &amp; C1655 &amp; "'!" &amp; J1655, J1655), "")</f>
        <v>0</v>
      </c>
    </row>
    <row r="1656" spans="2:2">
      <c r="B1656" s="21">
        <f>IF(AND(C1656&lt;&gt;"", J1656&lt;&gt;""), HYPERLINK("#'" &amp; C1656 &amp; "'!" &amp; J1656, J1656), "")</f>
        <v>0</v>
      </c>
    </row>
    <row r="1657" spans="2:2">
      <c r="B1657" s="21">
        <f>IF(AND(C1657&lt;&gt;"", J1657&lt;&gt;""), HYPERLINK("#'" &amp; C1657 &amp; "'!" &amp; J1657, J1657), "")</f>
        <v>0</v>
      </c>
    </row>
    <row r="1658" spans="2:2">
      <c r="B1658" s="21">
        <f>IF(AND(C1658&lt;&gt;"", J1658&lt;&gt;""), HYPERLINK("#'" &amp; C1658 &amp; "'!" &amp; J1658, J1658), "")</f>
        <v>0</v>
      </c>
    </row>
    <row r="1659" spans="2:2">
      <c r="B1659" s="21">
        <f>IF(AND(C1659&lt;&gt;"", J1659&lt;&gt;""), HYPERLINK("#'" &amp; C1659 &amp; "'!" &amp; J1659, J1659), "")</f>
        <v>0</v>
      </c>
    </row>
    <row r="1660" spans="2:2">
      <c r="B1660" s="21">
        <f>IF(AND(C1660&lt;&gt;"", J1660&lt;&gt;""), HYPERLINK("#'" &amp; C1660 &amp; "'!" &amp; J1660, J1660), "")</f>
        <v>0</v>
      </c>
    </row>
    <row r="1661" spans="2:2">
      <c r="B1661" s="21">
        <f>IF(AND(C1661&lt;&gt;"", J1661&lt;&gt;""), HYPERLINK("#'" &amp; C1661 &amp; "'!" &amp; J1661, J1661), "")</f>
        <v>0</v>
      </c>
    </row>
    <row r="1662" spans="2:2">
      <c r="B1662" s="21">
        <f>IF(AND(C1662&lt;&gt;"", J1662&lt;&gt;""), HYPERLINK("#'" &amp; C1662 &amp; "'!" &amp; J1662, J1662), "")</f>
        <v>0</v>
      </c>
    </row>
    <row r="1663" spans="2:2">
      <c r="B1663" s="21">
        <f>IF(AND(C1663&lt;&gt;"", J1663&lt;&gt;""), HYPERLINK("#'" &amp; C1663 &amp; "'!" &amp; J1663, J1663), "")</f>
        <v>0</v>
      </c>
    </row>
    <row r="1664" spans="2:2">
      <c r="B1664" s="21">
        <f>IF(AND(C1664&lt;&gt;"", J1664&lt;&gt;""), HYPERLINK("#'" &amp; C1664 &amp; "'!" &amp; J1664, J1664), "")</f>
        <v>0</v>
      </c>
    </row>
    <row r="1665" spans="2:2">
      <c r="B1665" s="21">
        <f>IF(AND(C1665&lt;&gt;"", J1665&lt;&gt;""), HYPERLINK("#'" &amp; C1665 &amp; "'!" &amp; J1665, J1665), "")</f>
        <v>0</v>
      </c>
    </row>
    <row r="1666" spans="2:2">
      <c r="B1666" s="21">
        <f>IF(AND(C1666&lt;&gt;"", J1666&lt;&gt;""), HYPERLINK("#'" &amp; C1666 &amp; "'!" &amp; J1666, J1666), "")</f>
        <v>0</v>
      </c>
    </row>
    <row r="1667" spans="2:2">
      <c r="B1667" s="21">
        <f>IF(AND(C1667&lt;&gt;"", J1667&lt;&gt;""), HYPERLINK("#'" &amp; C1667 &amp; "'!" &amp; J1667, J1667), "")</f>
        <v>0</v>
      </c>
    </row>
    <row r="1668" spans="2:2">
      <c r="B1668" s="21">
        <f>IF(AND(C1668&lt;&gt;"", J1668&lt;&gt;""), HYPERLINK("#'" &amp; C1668 &amp; "'!" &amp; J1668, J1668), "")</f>
        <v>0</v>
      </c>
    </row>
    <row r="1669" spans="2:2">
      <c r="B1669" s="21">
        <f>IF(AND(C1669&lt;&gt;"", J1669&lt;&gt;""), HYPERLINK("#'" &amp; C1669 &amp; "'!" &amp; J1669, J1669), "")</f>
        <v>0</v>
      </c>
    </row>
    <row r="1670" spans="2:2">
      <c r="B1670" s="21">
        <f>IF(AND(C1670&lt;&gt;"", J1670&lt;&gt;""), HYPERLINK("#'" &amp; C1670 &amp; "'!" &amp; J1670, J1670), "")</f>
        <v>0</v>
      </c>
    </row>
    <row r="1671" spans="2:2">
      <c r="B1671" s="21">
        <f>IF(AND(C1671&lt;&gt;"", J1671&lt;&gt;""), HYPERLINK("#'" &amp; C1671 &amp; "'!" &amp; J1671, J1671), "")</f>
        <v>0</v>
      </c>
    </row>
    <row r="1672" spans="2:2">
      <c r="B1672" s="21">
        <f>IF(AND(C1672&lt;&gt;"", J1672&lt;&gt;""), HYPERLINK("#'" &amp; C1672 &amp; "'!" &amp; J1672, J1672), "")</f>
        <v>0</v>
      </c>
    </row>
    <row r="1673" spans="2:2">
      <c r="B1673" s="21">
        <f>IF(AND(C1673&lt;&gt;"", J1673&lt;&gt;""), HYPERLINK("#'" &amp; C1673 &amp; "'!" &amp; J1673, J1673), "")</f>
        <v>0</v>
      </c>
    </row>
    <row r="1674" spans="2:2">
      <c r="B1674" s="21">
        <f>IF(AND(C1674&lt;&gt;"", J1674&lt;&gt;""), HYPERLINK("#'" &amp; C1674 &amp; "'!" &amp; J1674, J1674), "")</f>
        <v>0</v>
      </c>
    </row>
    <row r="1675" spans="2:2">
      <c r="B1675" s="21">
        <f>IF(AND(C1675&lt;&gt;"", J1675&lt;&gt;""), HYPERLINK("#'" &amp; C1675 &amp; "'!" &amp; J1675, J1675), "")</f>
        <v>0</v>
      </c>
    </row>
    <row r="1676" spans="2:2">
      <c r="B1676" s="21">
        <f>IF(AND(C1676&lt;&gt;"", J1676&lt;&gt;""), HYPERLINK("#'" &amp; C1676 &amp; "'!" &amp; J1676, J1676), "")</f>
        <v>0</v>
      </c>
    </row>
    <row r="1677" spans="2:2">
      <c r="B1677" s="21">
        <f>IF(AND(C1677&lt;&gt;"", J1677&lt;&gt;""), HYPERLINK("#'" &amp; C1677 &amp; "'!" &amp; J1677, J1677), "")</f>
        <v>0</v>
      </c>
    </row>
    <row r="1678" spans="2:2">
      <c r="B1678" s="21">
        <f>IF(AND(C1678&lt;&gt;"", J1678&lt;&gt;""), HYPERLINK("#'" &amp; C1678 &amp; "'!" &amp; J1678, J1678), "")</f>
        <v>0</v>
      </c>
    </row>
    <row r="1679" spans="2:2">
      <c r="B1679" s="21">
        <f>IF(AND(C1679&lt;&gt;"", J1679&lt;&gt;""), HYPERLINK("#'" &amp; C1679 &amp; "'!" &amp; J1679, J1679), "")</f>
        <v>0</v>
      </c>
    </row>
    <row r="1680" spans="2:2">
      <c r="B1680" s="21">
        <f>IF(AND(C1680&lt;&gt;"", J1680&lt;&gt;""), HYPERLINK("#'" &amp; C1680 &amp; "'!" &amp; J1680, J1680), "")</f>
        <v>0</v>
      </c>
    </row>
    <row r="1681" spans="2:2">
      <c r="B1681" s="21">
        <f>IF(AND(C1681&lt;&gt;"", J1681&lt;&gt;""), HYPERLINK("#'" &amp; C1681 &amp; "'!" &amp; J1681, J1681), "")</f>
        <v>0</v>
      </c>
    </row>
    <row r="1682" spans="2:2">
      <c r="B1682" s="21">
        <f>IF(AND(C1682&lt;&gt;"", J1682&lt;&gt;""), HYPERLINK("#'" &amp; C1682 &amp; "'!" &amp; J1682, J1682), "")</f>
        <v>0</v>
      </c>
    </row>
    <row r="1683" spans="2:2">
      <c r="B1683" s="21">
        <f>IF(AND(C1683&lt;&gt;"", J1683&lt;&gt;""), HYPERLINK("#'" &amp; C1683 &amp; "'!" &amp; J1683, J1683), "")</f>
        <v>0</v>
      </c>
    </row>
    <row r="1684" spans="2:2">
      <c r="B1684" s="21">
        <f>IF(AND(C1684&lt;&gt;"", J1684&lt;&gt;""), HYPERLINK("#'" &amp; C1684 &amp; "'!" &amp; J1684, J1684), "")</f>
        <v>0</v>
      </c>
    </row>
    <row r="1685" spans="2:2">
      <c r="B1685" s="21">
        <f>IF(AND(C1685&lt;&gt;"", J1685&lt;&gt;""), HYPERLINK("#'" &amp; C1685 &amp; "'!" &amp; J1685, J1685), "")</f>
        <v>0</v>
      </c>
    </row>
    <row r="1686" spans="2:2">
      <c r="B1686" s="21">
        <f>IF(AND(C1686&lt;&gt;"", J1686&lt;&gt;""), HYPERLINK("#'" &amp; C1686 &amp; "'!" &amp; J1686, J1686), "")</f>
        <v>0</v>
      </c>
    </row>
    <row r="1687" spans="2:2">
      <c r="B1687" s="21">
        <f>IF(AND(C1687&lt;&gt;"", J1687&lt;&gt;""), HYPERLINK("#'" &amp; C1687 &amp; "'!" &amp; J1687, J1687), "")</f>
        <v>0</v>
      </c>
    </row>
    <row r="1688" spans="2:2">
      <c r="B1688" s="21">
        <f>IF(AND(C1688&lt;&gt;"", J1688&lt;&gt;""), HYPERLINK("#'" &amp; C1688 &amp; "'!" &amp; J1688, J1688), "")</f>
        <v>0</v>
      </c>
    </row>
    <row r="1689" spans="2:2">
      <c r="B1689" s="21">
        <f>IF(AND(C1689&lt;&gt;"", J1689&lt;&gt;""), HYPERLINK("#'" &amp; C1689 &amp; "'!" &amp; J1689, J1689), "")</f>
        <v>0</v>
      </c>
    </row>
    <row r="1690" spans="2:2">
      <c r="B1690" s="21">
        <f>IF(AND(C1690&lt;&gt;"", J1690&lt;&gt;""), HYPERLINK("#'" &amp; C1690 &amp; "'!" &amp; J1690, J1690), "")</f>
        <v>0</v>
      </c>
    </row>
    <row r="1691" spans="2:2">
      <c r="B1691" s="21">
        <f>IF(AND(C1691&lt;&gt;"", J1691&lt;&gt;""), HYPERLINK("#'" &amp; C1691 &amp; "'!" &amp; J1691, J1691), "")</f>
        <v>0</v>
      </c>
    </row>
    <row r="1692" spans="2:2">
      <c r="B1692" s="21">
        <f>IF(AND(C1692&lt;&gt;"", J1692&lt;&gt;""), HYPERLINK("#'" &amp; C1692 &amp; "'!" &amp; J1692, J1692), "")</f>
        <v>0</v>
      </c>
    </row>
    <row r="1693" spans="2:2">
      <c r="B1693" s="21">
        <f>IF(AND(C1693&lt;&gt;"", J1693&lt;&gt;""), HYPERLINK("#'" &amp; C1693 &amp; "'!" &amp; J1693, J1693), "")</f>
        <v>0</v>
      </c>
    </row>
    <row r="1694" spans="2:2">
      <c r="B1694" s="21">
        <f>IF(AND(C1694&lt;&gt;"", J1694&lt;&gt;""), HYPERLINK("#'" &amp; C1694 &amp; "'!" &amp; J1694, J1694), "")</f>
        <v>0</v>
      </c>
    </row>
    <row r="1695" spans="2:2">
      <c r="B1695" s="21">
        <f>IF(AND(C1695&lt;&gt;"", J1695&lt;&gt;""), HYPERLINK("#'" &amp; C1695 &amp; "'!" &amp; J1695, J1695), "")</f>
        <v>0</v>
      </c>
    </row>
    <row r="1696" spans="2:2">
      <c r="B1696" s="21">
        <f>IF(AND(C1696&lt;&gt;"", J1696&lt;&gt;""), HYPERLINK("#'" &amp; C1696 &amp; "'!" &amp; J1696, J1696), "")</f>
        <v>0</v>
      </c>
    </row>
    <row r="1697" spans="2:2">
      <c r="B1697" s="21">
        <f>IF(AND(C1697&lt;&gt;"", J1697&lt;&gt;""), HYPERLINK("#'" &amp; C1697 &amp; "'!" &amp; J1697, J1697), "")</f>
        <v>0</v>
      </c>
    </row>
    <row r="1698" spans="2:2">
      <c r="B1698" s="21">
        <f>IF(AND(C1698&lt;&gt;"", J1698&lt;&gt;""), HYPERLINK("#'" &amp; C1698 &amp; "'!" &amp; J1698, J1698), "")</f>
        <v>0</v>
      </c>
    </row>
    <row r="1699" spans="2:2">
      <c r="B1699" s="21">
        <f>IF(AND(C1699&lt;&gt;"", J1699&lt;&gt;""), HYPERLINK("#'" &amp; C1699 &amp; "'!" &amp; J1699, J1699), "")</f>
        <v>0</v>
      </c>
    </row>
    <row r="1700" spans="2:2">
      <c r="B1700" s="21">
        <f>IF(AND(C1700&lt;&gt;"", J1700&lt;&gt;""), HYPERLINK("#'" &amp; C1700 &amp; "'!" &amp; J1700, J1700), "")</f>
        <v>0</v>
      </c>
    </row>
    <row r="1701" spans="2:2">
      <c r="B1701" s="21">
        <f>IF(AND(C1701&lt;&gt;"", J1701&lt;&gt;""), HYPERLINK("#'" &amp; C1701 &amp; "'!" &amp; J1701, J1701), "")</f>
        <v>0</v>
      </c>
    </row>
    <row r="1702" spans="2:2">
      <c r="B1702" s="21">
        <f>IF(AND(C1702&lt;&gt;"", J1702&lt;&gt;""), HYPERLINK("#'" &amp; C1702 &amp; "'!" &amp; J1702, J1702), "")</f>
        <v>0</v>
      </c>
    </row>
    <row r="1703" spans="2:2">
      <c r="B1703" s="21">
        <f>IF(AND(C1703&lt;&gt;"", J1703&lt;&gt;""), HYPERLINK("#'" &amp; C1703 &amp; "'!" &amp; J1703, J1703), "")</f>
        <v>0</v>
      </c>
    </row>
    <row r="1704" spans="2:2">
      <c r="B1704" s="21">
        <f>IF(AND(C1704&lt;&gt;"", J1704&lt;&gt;""), HYPERLINK("#'" &amp; C1704 &amp; "'!" &amp; J1704, J1704), "")</f>
        <v>0</v>
      </c>
    </row>
    <row r="1705" spans="2:2">
      <c r="B1705" s="21">
        <f>IF(AND(C1705&lt;&gt;"", J1705&lt;&gt;""), HYPERLINK("#'" &amp; C1705 &amp; "'!" &amp; J1705, J1705), "")</f>
        <v>0</v>
      </c>
    </row>
    <row r="1706" spans="2:2">
      <c r="B1706" s="21">
        <f>IF(AND(C1706&lt;&gt;"", J1706&lt;&gt;""), HYPERLINK("#'" &amp; C1706 &amp; "'!" &amp; J1706, J1706), "")</f>
        <v>0</v>
      </c>
    </row>
    <row r="1707" spans="2:2">
      <c r="B1707" s="21">
        <f>IF(AND(C1707&lt;&gt;"", J1707&lt;&gt;""), HYPERLINK("#'" &amp; C1707 &amp; "'!" &amp; J1707, J1707), "")</f>
        <v>0</v>
      </c>
    </row>
    <row r="1708" spans="2:2">
      <c r="B1708" s="21">
        <f>IF(AND(C1708&lt;&gt;"", J1708&lt;&gt;""), HYPERLINK("#'" &amp; C1708 &amp; "'!" &amp; J1708, J1708), "")</f>
        <v>0</v>
      </c>
    </row>
    <row r="1709" spans="2:2">
      <c r="B1709" s="21">
        <f>IF(AND(C1709&lt;&gt;"", J1709&lt;&gt;""), HYPERLINK("#'" &amp; C1709 &amp; "'!" &amp; J1709, J1709), "")</f>
        <v>0</v>
      </c>
    </row>
    <row r="1710" spans="2:2">
      <c r="B1710" s="21">
        <f>IF(AND(C1710&lt;&gt;"", J1710&lt;&gt;""), HYPERLINK("#'" &amp; C1710 &amp; "'!" &amp; J1710, J1710), "")</f>
        <v>0</v>
      </c>
    </row>
    <row r="1711" spans="2:2">
      <c r="B1711" s="21">
        <f>IF(AND(C1711&lt;&gt;"", J1711&lt;&gt;""), HYPERLINK("#'" &amp; C1711 &amp; "'!" &amp; J1711, J1711), "")</f>
        <v>0</v>
      </c>
    </row>
    <row r="1712" spans="2:2">
      <c r="B1712" s="21">
        <f>IF(AND(C1712&lt;&gt;"", J1712&lt;&gt;""), HYPERLINK("#'" &amp; C1712 &amp; "'!" &amp; J1712, J1712), "")</f>
        <v>0</v>
      </c>
    </row>
    <row r="1713" spans="2:2">
      <c r="B1713" s="21">
        <f>IF(AND(C1713&lt;&gt;"", J1713&lt;&gt;""), HYPERLINK("#'" &amp; C1713 &amp; "'!" &amp; J1713, J1713), "")</f>
        <v>0</v>
      </c>
    </row>
    <row r="1714" spans="2:2">
      <c r="B1714" s="21">
        <f>IF(AND(C1714&lt;&gt;"", J1714&lt;&gt;""), HYPERLINK("#'" &amp; C1714 &amp; "'!" &amp; J1714, J1714), "")</f>
        <v>0</v>
      </c>
    </row>
    <row r="1715" spans="2:2">
      <c r="B1715" s="21">
        <f>IF(AND(C1715&lt;&gt;"", J1715&lt;&gt;""), HYPERLINK("#'" &amp; C1715 &amp; "'!" &amp; J1715, J1715), "")</f>
        <v>0</v>
      </c>
    </row>
    <row r="1716" spans="2:2">
      <c r="B1716" s="21">
        <f>IF(AND(C1716&lt;&gt;"", J1716&lt;&gt;""), HYPERLINK("#'" &amp; C1716 &amp; "'!" &amp; J1716, J1716), "")</f>
        <v>0</v>
      </c>
    </row>
    <row r="1717" spans="2:2">
      <c r="B1717" s="21">
        <f>IF(AND(C1717&lt;&gt;"", J1717&lt;&gt;""), HYPERLINK("#'" &amp; C1717 &amp; "'!" &amp; J1717, J1717), "")</f>
        <v>0</v>
      </c>
    </row>
    <row r="1718" spans="2:2">
      <c r="B1718" s="21">
        <f>IF(AND(C1718&lt;&gt;"", J1718&lt;&gt;""), HYPERLINK("#'" &amp; C1718 &amp; "'!" &amp; J1718, J1718), "")</f>
        <v>0</v>
      </c>
    </row>
    <row r="1719" spans="2:2">
      <c r="B1719" s="21">
        <f>IF(AND(C1719&lt;&gt;"", J1719&lt;&gt;""), HYPERLINK("#'" &amp; C1719 &amp; "'!" &amp; J1719, J1719), "")</f>
        <v>0</v>
      </c>
    </row>
    <row r="1720" spans="2:2">
      <c r="B1720" s="21">
        <f>IF(AND(C1720&lt;&gt;"", J1720&lt;&gt;""), HYPERLINK("#'" &amp; C1720 &amp; "'!" &amp; J1720, J1720), "")</f>
        <v>0</v>
      </c>
    </row>
    <row r="1721" spans="2:2">
      <c r="B1721" s="21">
        <f>IF(AND(C1721&lt;&gt;"", J1721&lt;&gt;""), HYPERLINK("#'" &amp; C1721 &amp; "'!" &amp; J1721, J1721), "")</f>
        <v>0</v>
      </c>
    </row>
    <row r="1722" spans="2:2">
      <c r="B1722" s="21">
        <f>IF(AND(C1722&lt;&gt;"", J1722&lt;&gt;""), HYPERLINK("#'" &amp; C1722 &amp; "'!" &amp; J1722, J1722), "")</f>
        <v>0</v>
      </c>
    </row>
    <row r="1723" spans="2:2">
      <c r="B1723" s="21">
        <f>IF(AND(C1723&lt;&gt;"", J1723&lt;&gt;""), HYPERLINK("#'" &amp; C1723 &amp; "'!" &amp; J1723, J1723), "")</f>
        <v>0</v>
      </c>
    </row>
    <row r="1724" spans="2:2">
      <c r="B1724" s="21">
        <f>IF(AND(C1724&lt;&gt;"", J1724&lt;&gt;""), HYPERLINK("#'" &amp; C1724 &amp; "'!" &amp; J1724, J1724), "")</f>
        <v>0</v>
      </c>
    </row>
    <row r="1725" spans="2:2">
      <c r="B1725" s="21">
        <f>IF(AND(C1725&lt;&gt;"", J1725&lt;&gt;""), HYPERLINK("#'" &amp; C1725 &amp; "'!" &amp; J1725, J1725), "")</f>
        <v>0</v>
      </c>
    </row>
    <row r="1726" spans="2:2">
      <c r="B1726" s="21">
        <f>IF(AND(C1726&lt;&gt;"", J1726&lt;&gt;""), HYPERLINK("#'" &amp; C1726 &amp; "'!" &amp; J1726, J1726), "")</f>
        <v>0</v>
      </c>
    </row>
    <row r="1727" spans="2:2">
      <c r="B1727" s="21">
        <f>IF(AND(C1727&lt;&gt;"", J1727&lt;&gt;""), HYPERLINK("#'" &amp; C1727 &amp; "'!" &amp; J1727, J1727), "")</f>
        <v>0</v>
      </c>
    </row>
    <row r="1728" spans="2:2">
      <c r="B1728" s="21">
        <f>IF(AND(C1728&lt;&gt;"", J1728&lt;&gt;""), HYPERLINK("#'" &amp; C1728 &amp; "'!" &amp; J1728, J1728), "")</f>
        <v>0</v>
      </c>
    </row>
    <row r="1729" spans="2:2">
      <c r="B1729" s="21">
        <f>IF(AND(C1729&lt;&gt;"", J1729&lt;&gt;""), HYPERLINK("#'" &amp; C1729 &amp; "'!" &amp; J1729, J1729), "")</f>
        <v>0</v>
      </c>
    </row>
    <row r="1730" spans="2:2">
      <c r="B1730" s="21">
        <f>IF(AND(C1730&lt;&gt;"", J1730&lt;&gt;""), HYPERLINK("#'" &amp; C1730 &amp; "'!" &amp; J1730, J1730), "")</f>
        <v>0</v>
      </c>
    </row>
    <row r="1731" spans="2:2">
      <c r="B1731" s="21">
        <f>IF(AND(C1731&lt;&gt;"", J1731&lt;&gt;""), HYPERLINK("#'" &amp; C1731 &amp; "'!" &amp; J1731, J1731), "")</f>
        <v>0</v>
      </c>
    </row>
    <row r="1732" spans="2:2">
      <c r="B1732" s="21">
        <f>IF(AND(C1732&lt;&gt;"", J1732&lt;&gt;""), HYPERLINK("#'" &amp; C1732 &amp; "'!" &amp; J1732, J1732), "")</f>
        <v>0</v>
      </c>
    </row>
    <row r="1733" spans="2:2">
      <c r="B1733" s="21">
        <f>IF(AND(C1733&lt;&gt;"", J1733&lt;&gt;""), HYPERLINK("#'" &amp; C1733 &amp; "'!" &amp; J1733, J1733), "")</f>
        <v>0</v>
      </c>
    </row>
    <row r="1734" spans="2:2">
      <c r="B1734" s="21">
        <f>IF(AND(C1734&lt;&gt;"", J1734&lt;&gt;""), HYPERLINK("#'" &amp; C1734 &amp; "'!" &amp; J1734, J1734), "")</f>
        <v>0</v>
      </c>
    </row>
    <row r="1735" spans="2:2">
      <c r="B1735" s="21">
        <f>IF(AND(C1735&lt;&gt;"", J1735&lt;&gt;""), HYPERLINK("#'" &amp; C1735 &amp; "'!" &amp; J1735, J1735), "")</f>
        <v>0</v>
      </c>
    </row>
    <row r="1736" spans="2:2">
      <c r="B1736" s="21">
        <f>IF(AND(C1736&lt;&gt;"", J1736&lt;&gt;""), HYPERLINK("#'" &amp; C1736 &amp; "'!" &amp; J1736, J1736), "")</f>
        <v>0</v>
      </c>
    </row>
    <row r="1737" spans="2:2">
      <c r="B1737" s="21">
        <f>IF(AND(C1737&lt;&gt;"", J1737&lt;&gt;""), HYPERLINK("#'" &amp; C1737 &amp; "'!" &amp; J1737, J1737), "")</f>
        <v>0</v>
      </c>
    </row>
    <row r="1738" spans="2:2">
      <c r="B1738" s="21">
        <f>IF(AND(C1738&lt;&gt;"", J1738&lt;&gt;""), HYPERLINK("#'" &amp; C1738 &amp; "'!" &amp; J1738, J1738), "")</f>
        <v>0</v>
      </c>
    </row>
    <row r="1739" spans="2:2">
      <c r="B1739" s="21">
        <f>IF(AND(C1739&lt;&gt;"", J1739&lt;&gt;""), HYPERLINK("#'" &amp; C1739 &amp; "'!" &amp; J1739, J1739), "")</f>
        <v>0</v>
      </c>
    </row>
    <row r="1740" spans="2:2">
      <c r="B1740" s="21">
        <f>IF(AND(C1740&lt;&gt;"", J1740&lt;&gt;""), HYPERLINK("#'" &amp; C1740 &amp; "'!" &amp; J1740, J1740), "")</f>
        <v>0</v>
      </c>
    </row>
    <row r="1741" spans="2:2">
      <c r="B1741" s="21">
        <f>IF(AND(C1741&lt;&gt;"", J1741&lt;&gt;""), HYPERLINK("#'" &amp; C1741 &amp; "'!" &amp; J1741, J1741), "")</f>
        <v>0</v>
      </c>
    </row>
    <row r="1742" spans="2:2">
      <c r="B1742" s="21">
        <f>IF(AND(C1742&lt;&gt;"", J1742&lt;&gt;""), HYPERLINK("#'" &amp; C1742 &amp; "'!" &amp; J1742, J1742), "")</f>
        <v>0</v>
      </c>
    </row>
    <row r="1743" spans="2:2">
      <c r="B1743" s="21">
        <f>IF(AND(C1743&lt;&gt;"", J1743&lt;&gt;""), HYPERLINK("#'" &amp; C1743 &amp; "'!" &amp; J1743, J1743), "")</f>
        <v>0</v>
      </c>
    </row>
    <row r="1744" spans="2:2">
      <c r="B1744" s="21">
        <f>IF(AND(C1744&lt;&gt;"", J1744&lt;&gt;""), HYPERLINK("#'" &amp; C1744 &amp; "'!" &amp; J1744, J1744), "")</f>
        <v>0</v>
      </c>
    </row>
    <row r="1745" spans="2:2">
      <c r="B1745" s="21">
        <f>IF(AND(C1745&lt;&gt;"", J1745&lt;&gt;""), HYPERLINK("#'" &amp; C1745 &amp; "'!" &amp; J1745, J1745), "")</f>
        <v>0</v>
      </c>
    </row>
    <row r="1746" spans="2:2">
      <c r="B1746" s="21">
        <f>IF(AND(C1746&lt;&gt;"", J1746&lt;&gt;""), HYPERLINK("#'" &amp; C1746 &amp; "'!" &amp; J1746, J1746), "")</f>
        <v>0</v>
      </c>
    </row>
    <row r="1747" spans="2:2">
      <c r="B1747" s="21">
        <f>IF(AND(C1747&lt;&gt;"", J1747&lt;&gt;""), HYPERLINK("#'" &amp; C1747 &amp; "'!" &amp; J1747, J1747), "")</f>
        <v>0</v>
      </c>
    </row>
    <row r="1748" spans="2:2">
      <c r="B1748" s="21">
        <f>IF(AND(C1748&lt;&gt;"", J1748&lt;&gt;""), HYPERLINK("#'" &amp; C1748 &amp; "'!" &amp; J1748, J1748), "")</f>
        <v>0</v>
      </c>
    </row>
    <row r="1749" spans="2:2">
      <c r="B1749" s="21">
        <f>IF(AND(C1749&lt;&gt;"", J1749&lt;&gt;""), HYPERLINK("#'" &amp; C1749 &amp; "'!" &amp; J1749, J1749), "")</f>
        <v>0</v>
      </c>
    </row>
    <row r="1750" spans="2:2">
      <c r="B1750" s="21">
        <f>IF(AND(C1750&lt;&gt;"", J1750&lt;&gt;""), HYPERLINK("#'" &amp; C1750 &amp; "'!" &amp; J1750, J1750), "")</f>
        <v>0</v>
      </c>
    </row>
    <row r="1751" spans="2:2">
      <c r="B1751" s="21">
        <f>IF(AND(C1751&lt;&gt;"", J1751&lt;&gt;""), HYPERLINK("#'" &amp; C1751 &amp; "'!" &amp; J1751, J1751), "")</f>
        <v>0</v>
      </c>
    </row>
    <row r="1752" spans="2:2">
      <c r="B1752" s="21">
        <f>IF(AND(C1752&lt;&gt;"", J1752&lt;&gt;""), HYPERLINK("#'" &amp; C1752 &amp; "'!" &amp; J1752, J1752), "")</f>
        <v>0</v>
      </c>
    </row>
    <row r="1753" spans="2:2">
      <c r="B1753" s="21">
        <f>IF(AND(C1753&lt;&gt;"", J1753&lt;&gt;""), HYPERLINK("#'" &amp; C1753 &amp; "'!" &amp; J1753, J1753), "")</f>
        <v>0</v>
      </c>
    </row>
    <row r="1754" spans="2:2">
      <c r="B1754" s="21">
        <f>IF(AND(C1754&lt;&gt;"", J1754&lt;&gt;""), HYPERLINK("#'" &amp; C1754 &amp; "'!" &amp; J1754, J1754), "")</f>
        <v>0</v>
      </c>
    </row>
    <row r="1755" spans="2:2">
      <c r="B1755" s="21">
        <f>IF(AND(C1755&lt;&gt;"", J1755&lt;&gt;""), HYPERLINK("#'" &amp; C1755 &amp; "'!" &amp; J1755, J1755), "")</f>
        <v>0</v>
      </c>
    </row>
    <row r="1756" spans="2:2">
      <c r="B1756" s="21">
        <f>IF(AND(C1756&lt;&gt;"", J1756&lt;&gt;""), HYPERLINK("#'" &amp; C1756 &amp; "'!" &amp; J1756, J1756), "")</f>
        <v>0</v>
      </c>
    </row>
    <row r="1757" spans="2:2">
      <c r="B1757" s="21">
        <f>IF(AND(C1757&lt;&gt;"", J1757&lt;&gt;""), HYPERLINK("#'" &amp; C1757 &amp; "'!" &amp; J1757, J1757), "")</f>
        <v>0</v>
      </c>
    </row>
    <row r="1758" spans="2:2">
      <c r="B1758" s="21">
        <f>IF(AND(C1758&lt;&gt;"", J1758&lt;&gt;""), HYPERLINK("#'" &amp; C1758 &amp; "'!" &amp; J1758, J1758), "")</f>
        <v>0</v>
      </c>
    </row>
    <row r="1759" spans="2:2">
      <c r="B1759" s="21">
        <f>IF(AND(C1759&lt;&gt;"", J1759&lt;&gt;""), HYPERLINK("#'" &amp; C1759 &amp; "'!" &amp; J1759, J1759), "")</f>
        <v>0</v>
      </c>
    </row>
    <row r="1760" spans="2:2">
      <c r="B1760" s="21">
        <f>IF(AND(C1760&lt;&gt;"", J1760&lt;&gt;""), HYPERLINK("#'" &amp; C1760 &amp; "'!" &amp; J1760, J1760), "")</f>
        <v>0</v>
      </c>
    </row>
    <row r="1761" spans="2:2">
      <c r="B1761" s="21">
        <f>IF(AND(C1761&lt;&gt;"", J1761&lt;&gt;""), HYPERLINK("#'" &amp; C1761 &amp; "'!" &amp; J1761, J1761), "")</f>
        <v>0</v>
      </c>
    </row>
    <row r="1762" spans="2:2">
      <c r="B1762" s="21">
        <f>IF(AND(C1762&lt;&gt;"", J1762&lt;&gt;""), HYPERLINK("#'" &amp; C1762 &amp; "'!" &amp; J1762, J1762), "")</f>
        <v>0</v>
      </c>
    </row>
    <row r="1763" spans="2:2">
      <c r="B1763" s="21">
        <f>IF(AND(C1763&lt;&gt;"", J1763&lt;&gt;""), HYPERLINK("#'" &amp; C1763 &amp; "'!" &amp; J1763, J1763), "")</f>
        <v>0</v>
      </c>
    </row>
    <row r="1764" spans="2:2">
      <c r="B1764" s="21">
        <f>IF(AND(C1764&lt;&gt;"", J1764&lt;&gt;""), HYPERLINK("#'" &amp; C1764 &amp; "'!" &amp; J1764, J1764), "")</f>
        <v>0</v>
      </c>
    </row>
    <row r="1765" spans="2:2">
      <c r="B1765" s="21">
        <f>IF(AND(C1765&lt;&gt;"", J1765&lt;&gt;""), HYPERLINK("#'" &amp; C1765 &amp; "'!" &amp; J1765, J1765), "")</f>
        <v>0</v>
      </c>
    </row>
    <row r="1766" spans="2:2">
      <c r="B1766" s="21">
        <f>IF(AND(C1766&lt;&gt;"", J1766&lt;&gt;""), HYPERLINK("#'" &amp; C1766 &amp; "'!" &amp; J1766, J1766), "")</f>
        <v>0</v>
      </c>
    </row>
    <row r="1767" spans="2:2">
      <c r="B1767" s="21">
        <f>IF(AND(C1767&lt;&gt;"", J1767&lt;&gt;""), HYPERLINK("#'" &amp; C1767 &amp; "'!" &amp; J1767, J1767), "")</f>
        <v>0</v>
      </c>
    </row>
    <row r="1768" spans="2:2">
      <c r="B1768" s="21">
        <f>IF(AND(C1768&lt;&gt;"", J1768&lt;&gt;""), HYPERLINK("#'" &amp; C1768 &amp; "'!" &amp; J1768, J1768), "")</f>
        <v>0</v>
      </c>
    </row>
    <row r="1769" spans="2:2">
      <c r="B1769" s="21">
        <f>IF(AND(C1769&lt;&gt;"", J1769&lt;&gt;""), HYPERLINK("#'" &amp; C1769 &amp; "'!" &amp; J1769, J1769), "")</f>
        <v>0</v>
      </c>
    </row>
    <row r="1770" spans="2:2">
      <c r="B1770" s="21">
        <f>IF(AND(C1770&lt;&gt;"", J1770&lt;&gt;""), HYPERLINK("#'" &amp; C1770 &amp; "'!" &amp; J1770, J1770), "")</f>
        <v>0</v>
      </c>
    </row>
    <row r="1771" spans="2:2">
      <c r="B1771" s="21">
        <f>IF(AND(C1771&lt;&gt;"", J1771&lt;&gt;""), HYPERLINK("#'" &amp; C1771 &amp; "'!" &amp; J1771, J1771), "")</f>
        <v>0</v>
      </c>
    </row>
    <row r="1772" spans="2:2">
      <c r="B1772" s="21">
        <f>IF(AND(C1772&lt;&gt;"", J1772&lt;&gt;""), HYPERLINK("#'" &amp; C1772 &amp; "'!" &amp; J1772, J1772), "")</f>
        <v>0</v>
      </c>
    </row>
    <row r="1773" spans="2:2">
      <c r="B1773" s="21">
        <f>IF(AND(C1773&lt;&gt;"", J1773&lt;&gt;""), HYPERLINK("#'" &amp; C1773 &amp; "'!" &amp; J1773, J1773), "")</f>
        <v>0</v>
      </c>
    </row>
    <row r="1774" spans="2:2">
      <c r="B1774" s="21">
        <f>IF(AND(C1774&lt;&gt;"", J1774&lt;&gt;""), HYPERLINK("#'" &amp; C1774 &amp; "'!" &amp; J1774, J1774), "")</f>
        <v>0</v>
      </c>
    </row>
    <row r="1775" spans="2:2">
      <c r="B1775" s="21">
        <f>IF(AND(C1775&lt;&gt;"", J1775&lt;&gt;""), HYPERLINK("#'" &amp; C1775 &amp; "'!" &amp; J1775, J1775), "")</f>
        <v>0</v>
      </c>
    </row>
    <row r="1776" spans="2:2">
      <c r="B1776" s="21">
        <f>IF(AND(C1776&lt;&gt;"", J1776&lt;&gt;""), HYPERLINK("#'" &amp; C1776 &amp; "'!" &amp; J1776, J1776), "")</f>
        <v>0</v>
      </c>
    </row>
    <row r="1777" spans="2:2">
      <c r="B1777" s="21">
        <f>IF(AND(C1777&lt;&gt;"", J1777&lt;&gt;""), HYPERLINK("#'" &amp; C1777 &amp; "'!" &amp; J1777, J1777), "")</f>
        <v>0</v>
      </c>
    </row>
    <row r="1778" spans="2:2">
      <c r="B1778" s="21">
        <f>IF(AND(C1778&lt;&gt;"", J1778&lt;&gt;""), HYPERLINK("#'" &amp; C1778 &amp; "'!" &amp; J1778, J1778), "")</f>
        <v>0</v>
      </c>
    </row>
    <row r="1779" spans="2:2">
      <c r="B1779" s="21">
        <f>IF(AND(C1779&lt;&gt;"", J1779&lt;&gt;""), HYPERLINK("#'" &amp; C1779 &amp; "'!" &amp; J1779, J1779), "")</f>
        <v>0</v>
      </c>
    </row>
    <row r="1780" spans="2:2">
      <c r="B1780" s="21">
        <f>IF(AND(C1780&lt;&gt;"", J1780&lt;&gt;""), HYPERLINK("#'" &amp; C1780 &amp; "'!" &amp; J1780, J1780), "")</f>
        <v>0</v>
      </c>
    </row>
    <row r="1781" spans="2:2">
      <c r="B1781" s="21">
        <f>IF(AND(C1781&lt;&gt;"", J1781&lt;&gt;""), HYPERLINK("#'" &amp; C1781 &amp; "'!" &amp; J1781, J1781), "")</f>
        <v>0</v>
      </c>
    </row>
    <row r="1782" spans="2:2">
      <c r="B1782" s="21">
        <f>IF(AND(C1782&lt;&gt;"", J1782&lt;&gt;""), HYPERLINK("#'" &amp; C1782 &amp; "'!" &amp; J1782, J1782), "")</f>
        <v>0</v>
      </c>
    </row>
    <row r="1783" spans="2:2">
      <c r="B1783" s="21">
        <f>IF(AND(C1783&lt;&gt;"", J1783&lt;&gt;""), HYPERLINK("#'" &amp; C1783 &amp; "'!" &amp; J1783, J1783), "")</f>
        <v>0</v>
      </c>
    </row>
    <row r="1784" spans="2:2">
      <c r="B1784" s="21">
        <f>IF(AND(C1784&lt;&gt;"", J1784&lt;&gt;""), HYPERLINK("#'" &amp; C1784 &amp; "'!" &amp; J1784, J1784), "")</f>
        <v>0</v>
      </c>
    </row>
    <row r="1785" spans="2:2">
      <c r="B1785" s="21">
        <f>IF(AND(C1785&lt;&gt;"", J1785&lt;&gt;""), HYPERLINK("#'" &amp; C1785 &amp; "'!" &amp; J1785, J1785), "")</f>
        <v>0</v>
      </c>
    </row>
    <row r="1786" spans="2:2">
      <c r="B1786" s="21">
        <f>IF(AND(C1786&lt;&gt;"", J1786&lt;&gt;""), HYPERLINK("#'" &amp; C1786 &amp; "'!" &amp; J1786, J1786), "")</f>
        <v>0</v>
      </c>
    </row>
    <row r="1787" spans="2:2">
      <c r="B1787" s="21">
        <f>IF(AND(C1787&lt;&gt;"", J1787&lt;&gt;""), HYPERLINK("#'" &amp; C1787 &amp; "'!" &amp; J1787, J1787), "")</f>
        <v>0</v>
      </c>
    </row>
    <row r="1788" spans="2:2">
      <c r="B1788" s="21">
        <f>IF(AND(C1788&lt;&gt;"", J1788&lt;&gt;""), HYPERLINK("#'" &amp; C1788 &amp; "'!" &amp; J1788, J1788), "")</f>
        <v>0</v>
      </c>
    </row>
    <row r="1789" spans="2:2">
      <c r="B1789" s="21">
        <f>IF(AND(C1789&lt;&gt;"", J1789&lt;&gt;""), HYPERLINK("#'" &amp; C1789 &amp; "'!" &amp; J1789, J1789), "")</f>
        <v>0</v>
      </c>
    </row>
    <row r="1790" spans="2:2">
      <c r="B1790" s="21">
        <f>IF(AND(C1790&lt;&gt;"", J1790&lt;&gt;""), HYPERLINK("#'" &amp; C1790 &amp; "'!" &amp; J1790, J1790), "")</f>
        <v>0</v>
      </c>
    </row>
    <row r="1791" spans="2:2">
      <c r="B1791" s="21">
        <f>IF(AND(C1791&lt;&gt;"", J1791&lt;&gt;""), HYPERLINK("#'" &amp; C1791 &amp; "'!" &amp; J1791, J1791), "")</f>
        <v>0</v>
      </c>
    </row>
    <row r="1792" spans="2:2">
      <c r="B1792" s="21">
        <f>IF(AND(C1792&lt;&gt;"", J1792&lt;&gt;""), HYPERLINK("#'" &amp; C1792 &amp; "'!" &amp; J1792, J1792), "")</f>
        <v>0</v>
      </c>
    </row>
    <row r="1793" spans="2:2">
      <c r="B1793" s="21">
        <f>IF(AND(C1793&lt;&gt;"", J1793&lt;&gt;""), HYPERLINK("#'" &amp; C1793 &amp; "'!" &amp; J1793, J1793), "")</f>
        <v>0</v>
      </c>
    </row>
    <row r="1794" spans="2:2">
      <c r="B1794" s="21">
        <f>IF(AND(C1794&lt;&gt;"", J1794&lt;&gt;""), HYPERLINK("#'" &amp; C1794 &amp; "'!" &amp; J1794, J1794), "")</f>
        <v>0</v>
      </c>
    </row>
    <row r="1795" spans="2:2">
      <c r="B1795" s="21">
        <f>IF(AND(C1795&lt;&gt;"", J1795&lt;&gt;""), HYPERLINK("#'" &amp; C1795 &amp; "'!" &amp; J1795, J1795), "")</f>
        <v>0</v>
      </c>
    </row>
    <row r="1796" spans="2:2">
      <c r="B1796" s="21">
        <f>IF(AND(C1796&lt;&gt;"", J1796&lt;&gt;""), HYPERLINK("#'" &amp; C1796 &amp; "'!" &amp; J1796, J1796), "")</f>
        <v>0</v>
      </c>
    </row>
    <row r="1797" spans="2:2">
      <c r="B1797" s="21">
        <f>IF(AND(C1797&lt;&gt;"", J1797&lt;&gt;""), HYPERLINK("#'" &amp; C1797 &amp; "'!" &amp; J1797, J1797), "")</f>
        <v>0</v>
      </c>
    </row>
    <row r="1798" spans="2:2">
      <c r="B1798" s="21">
        <f>IF(AND(C1798&lt;&gt;"", J1798&lt;&gt;""), HYPERLINK("#'" &amp; C1798 &amp; "'!" &amp; J1798, J1798), "")</f>
        <v>0</v>
      </c>
    </row>
    <row r="1799" spans="2:2">
      <c r="B1799" s="21">
        <f>IF(AND(C1799&lt;&gt;"", J1799&lt;&gt;""), HYPERLINK("#'" &amp; C1799 &amp; "'!" &amp; J1799, J1799), "")</f>
        <v>0</v>
      </c>
    </row>
    <row r="1800" spans="2:2">
      <c r="B1800" s="21">
        <f>IF(AND(C1800&lt;&gt;"", J1800&lt;&gt;""), HYPERLINK("#'" &amp; C1800 &amp; "'!" &amp; J1800, J1800), "")</f>
        <v>0</v>
      </c>
    </row>
    <row r="1801" spans="2:2">
      <c r="B1801" s="21">
        <f>IF(AND(C1801&lt;&gt;"", J1801&lt;&gt;""), HYPERLINK("#'" &amp; C1801 &amp; "'!" &amp; J1801, J1801), "")</f>
        <v>0</v>
      </c>
    </row>
    <row r="1802" spans="2:2">
      <c r="B1802" s="21">
        <f>IF(AND(C1802&lt;&gt;"", J1802&lt;&gt;""), HYPERLINK("#'" &amp; C1802 &amp; "'!" &amp; J1802, J1802), "")</f>
        <v>0</v>
      </c>
    </row>
    <row r="1803" spans="2:2">
      <c r="B1803" s="21">
        <f>IF(AND(C1803&lt;&gt;"", J1803&lt;&gt;""), HYPERLINK("#'" &amp; C1803 &amp; "'!" &amp; J1803, J1803), "")</f>
        <v>0</v>
      </c>
    </row>
    <row r="1804" spans="2:2">
      <c r="B1804" s="21">
        <f>IF(AND(C1804&lt;&gt;"", J1804&lt;&gt;""), HYPERLINK("#'" &amp; C1804 &amp; "'!" &amp; J1804, J1804), "")</f>
        <v>0</v>
      </c>
    </row>
    <row r="1805" spans="2:2">
      <c r="B1805" s="21">
        <f>IF(AND(C1805&lt;&gt;"", J1805&lt;&gt;""), HYPERLINK("#'" &amp; C1805 &amp; "'!" &amp; J1805, J1805), "")</f>
        <v>0</v>
      </c>
    </row>
    <row r="1806" spans="2:2">
      <c r="B1806" s="21">
        <f>IF(AND(C1806&lt;&gt;"", J1806&lt;&gt;""), HYPERLINK("#'" &amp; C1806 &amp; "'!" &amp; J1806, J1806), "")</f>
        <v>0</v>
      </c>
    </row>
    <row r="1807" spans="2:2">
      <c r="B1807" s="21">
        <f>IF(AND(C1807&lt;&gt;"", J1807&lt;&gt;""), HYPERLINK("#'" &amp; C1807 &amp; "'!" &amp; J1807, J1807), "")</f>
        <v>0</v>
      </c>
    </row>
    <row r="1808" spans="2:2">
      <c r="B1808" s="21">
        <f>IF(AND(C1808&lt;&gt;"", J1808&lt;&gt;""), HYPERLINK("#'" &amp; C1808 &amp; "'!" &amp; J1808, J1808), "")</f>
        <v>0</v>
      </c>
    </row>
    <row r="1809" spans="2:2">
      <c r="B1809" s="21">
        <f>IF(AND(C1809&lt;&gt;"", J1809&lt;&gt;""), HYPERLINK("#'" &amp; C1809 &amp; "'!" &amp; J1809, J1809), "")</f>
        <v>0</v>
      </c>
    </row>
    <row r="1810" spans="2:2">
      <c r="B1810" s="21">
        <f>IF(AND(C1810&lt;&gt;"", J1810&lt;&gt;""), HYPERLINK("#'" &amp; C1810 &amp; "'!" &amp; J1810, J1810), "")</f>
        <v>0</v>
      </c>
    </row>
    <row r="1811" spans="2:2">
      <c r="B1811" s="21">
        <f>IF(AND(C1811&lt;&gt;"", J1811&lt;&gt;""), HYPERLINK("#'" &amp; C1811 &amp; "'!" &amp; J1811, J1811), "")</f>
        <v>0</v>
      </c>
    </row>
    <row r="1812" spans="2:2">
      <c r="B1812" s="21">
        <f>IF(AND(C1812&lt;&gt;"", J1812&lt;&gt;""), HYPERLINK("#'" &amp; C1812 &amp; "'!" &amp; J1812, J1812), "")</f>
        <v>0</v>
      </c>
    </row>
    <row r="1813" spans="2:2">
      <c r="B1813" s="21">
        <f>IF(AND(C1813&lt;&gt;"", J1813&lt;&gt;""), HYPERLINK("#'" &amp; C1813 &amp; "'!" &amp; J1813, J1813), "")</f>
        <v>0</v>
      </c>
    </row>
    <row r="1814" spans="2:2">
      <c r="B1814" s="21">
        <f>IF(AND(C1814&lt;&gt;"", J1814&lt;&gt;""), HYPERLINK("#'" &amp; C1814 &amp; "'!" &amp; J1814, J1814), "")</f>
        <v>0</v>
      </c>
    </row>
    <row r="1815" spans="2:2">
      <c r="B1815" s="21">
        <f>IF(AND(C1815&lt;&gt;"", J1815&lt;&gt;""), HYPERLINK("#'" &amp; C1815 &amp; "'!" &amp; J1815, J1815), "")</f>
        <v>0</v>
      </c>
    </row>
    <row r="1816" spans="2:2">
      <c r="B1816" s="21">
        <f>IF(AND(C1816&lt;&gt;"", J1816&lt;&gt;""), HYPERLINK("#'" &amp; C1816 &amp; "'!" &amp; J1816, J1816), "")</f>
        <v>0</v>
      </c>
    </row>
    <row r="1817" spans="2:2">
      <c r="B1817" s="21">
        <f>IF(AND(C1817&lt;&gt;"", J1817&lt;&gt;""), HYPERLINK("#'" &amp; C1817 &amp; "'!" &amp; J1817, J1817), "")</f>
        <v>0</v>
      </c>
    </row>
    <row r="1818" spans="2:2">
      <c r="B1818" s="21">
        <f>IF(AND(C1818&lt;&gt;"", J1818&lt;&gt;""), HYPERLINK("#'" &amp; C1818 &amp; "'!" &amp; J1818, J1818), "")</f>
        <v>0</v>
      </c>
    </row>
    <row r="1819" spans="2:2">
      <c r="B1819" s="21">
        <f>IF(AND(C1819&lt;&gt;"", J1819&lt;&gt;""), HYPERLINK("#'" &amp; C1819 &amp; "'!" &amp; J1819, J1819), "")</f>
        <v>0</v>
      </c>
    </row>
    <row r="1820" spans="2:2">
      <c r="B1820" s="21">
        <f>IF(AND(C1820&lt;&gt;"", J1820&lt;&gt;""), HYPERLINK("#'" &amp; C1820 &amp; "'!" &amp; J1820, J1820), "")</f>
        <v>0</v>
      </c>
    </row>
    <row r="1821" spans="2:2">
      <c r="B1821" s="21">
        <f>IF(AND(C1821&lt;&gt;"", J1821&lt;&gt;""), HYPERLINK("#'" &amp; C1821 &amp; "'!" &amp; J1821, J1821), "")</f>
        <v>0</v>
      </c>
    </row>
    <row r="1822" spans="2:2">
      <c r="B1822" s="21">
        <f>IF(AND(C1822&lt;&gt;"", J1822&lt;&gt;""), HYPERLINK("#'" &amp; C1822 &amp; "'!" &amp; J1822, J1822), "")</f>
        <v>0</v>
      </c>
    </row>
    <row r="1823" spans="2:2">
      <c r="B1823" s="21">
        <f>IF(AND(C1823&lt;&gt;"", J1823&lt;&gt;""), HYPERLINK("#'" &amp; C1823 &amp; "'!" &amp; J1823, J1823), "")</f>
        <v>0</v>
      </c>
    </row>
    <row r="1824" spans="2:2">
      <c r="B1824" s="21">
        <f>IF(AND(C1824&lt;&gt;"", J1824&lt;&gt;""), HYPERLINK("#'" &amp; C1824 &amp; "'!" &amp; J1824, J1824), "")</f>
        <v>0</v>
      </c>
    </row>
    <row r="1825" spans="2:2">
      <c r="B1825" s="21">
        <f>IF(AND(C1825&lt;&gt;"", J1825&lt;&gt;""), HYPERLINK("#'" &amp; C1825 &amp; "'!" &amp; J1825, J1825), "")</f>
        <v>0</v>
      </c>
    </row>
    <row r="1826" spans="2:2">
      <c r="B1826" s="21">
        <f>IF(AND(C1826&lt;&gt;"", J1826&lt;&gt;""), HYPERLINK("#'" &amp; C1826 &amp; "'!" &amp; J1826, J1826), "")</f>
        <v>0</v>
      </c>
    </row>
    <row r="1827" spans="2:2">
      <c r="B1827" s="21">
        <f>IF(AND(C1827&lt;&gt;"", J1827&lt;&gt;""), HYPERLINK("#'" &amp; C1827 &amp; "'!" &amp; J1827, J1827), "")</f>
        <v>0</v>
      </c>
    </row>
    <row r="1828" spans="2:2">
      <c r="B1828" s="21">
        <f>IF(AND(C1828&lt;&gt;"", J1828&lt;&gt;""), HYPERLINK("#'" &amp; C1828 &amp; "'!" &amp; J1828, J1828), "")</f>
        <v>0</v>
      </c>
    </row>
    <row r="1829" spans="2:2">
      <c r="B1829" s="21">
        <f>IF(AND(C1829&lt;&gt;"", J1829&lt;&gt;""), HYPERLINK("#'" &amp; C1829 &amp; "'!" &amp; J1829, J1829), "")</f>
        <v>0</v>
      </c>
    </row>
    <row r="1830" spans="2:2">
      <c r="B1830" s="21">
        <f>IF(AND(C1830&lt;&gt;"", J1830&lt;&gt;""), HYPERLINK("#'" &amp; C1830 &amp; "'!" &amp; J1830, J1830), "")</f>
        <v>0</v>
      </c>
    </row>
    <row r="1831" spans="2:2">
      <c r="B1831" s="21">
        <f>IF(AND(C1831&lt;&gt;"", J1831&lt;&gt;""), HYPERLINK("#'" &amp; C1831 &amp; "'!" &amp; J1831, J1831), "")</f>
        <v>0</v>
      </c>
    </row>
    <row r="1832" spans="2:2">
      <c r="B1832" s="21">
        <f>IF(AND(C1832&lt;&gt;"", J1832&lt;&gt;""), HYPERLINK("#'" &amp; C1832 &amp; "'!" &amp; J1832, J1832), "")</f>
        <v>0</v>
      </c>
    </row>
    <row r="1833" spans="2:2">
      <c r="B1833" s="21">
        <f>IF(AND(C1833&lt;&gt;"", J1833&lt;&gt;""), HYPERLINK("#'" &amp; C1833 &amp; "'!" &amp; J1833, J1833), "")</f>
        <v>0</v>
      </c>
    </row>
    <row r="1834" spans="2:2">
      <c r="B1834" s="21">
        <f>IF(AND(C1834&lt;&gt;"", J1834&lt;&gt;""), HYPERLINK("#'" &amp; C1834 &amp; "'!" &amp; J1834, J1834), "")</f>
        <v>0</v>
      </c>
    </row>
    <row r="1835" spans="2:2">
      <c r="B1835" s="21">
        <f>IF(AND(C1835&lt;&gt;"", J1835&lt;&gt;""), HYPERLINK("#'" &amp; C1835 &amp; "'!" &amp; J1835, J1835), "")</f>
        <v>0</v>
      </c>
    </row>
    <row r="1836" spans="2:2">
      <c r="B1836" s="21">
        <f>IF(AND(C1836&lt;&gt;"", J1836&lt;&gt;""), HYPERLINK("#'" &amp; C1836 &amp; "'!" &amp; J1836, J1836), "")</f>
        <v>0</v>
      </c>
    </row>
    <row r="1837" spans="2:2">
      <c r="B1837" s="21">
        <f>IF(AND(C1837&lt;&gt;"", J1837&lt;&gt;""), HYPERLINK("#'" &amp; C1837 &amp; "'!" &amp; J1837, J1837), "")</f>
        <v>0</v>
      </c>
    </row>
    <row r="1838" spans="2:2">
      <c r="B1838" s="21">
        <f>IF(AND(C1838&lt;&gt;"", J1838&lt;&gt;""), HYPERLINK("#'" &amp; C1838 &amp; "'!" &amp; J1838, J1838), "")</f>
        <v>0</v>
      </c>
    </row>
    <row r="1839" spans="2:2">
      <c r="B1839" s="21">
        <f>IF(AND(C1839&lt;&gt;"", J1839&lt;&gt;""), HYPERLINK("#'" &amp; C1839 &amp; "'!" &amp; J1839, J1839), "")</f>
        <v>0</v>
      </c>
    </row>
    <row r="1840" spans="2:2">
      <c r="B1840" s="21">
        <f>IF(AND(C1840&lt;&gt;"", J1840&lt;&gt;""), HYPERLINK("#'" &amp; C1840 &amp; "'!" &amp; J1840, J1840), "")</f>
        <v>0</v>
      </c>
    </row>
    <row r="1841" spans="2:2">
      <c r="B1841" s="21">
        <f>IF(AND(C1841&lt;&gt;"", J1841&lt;&gt;""), HYPERLINK("#'" &amp; C1841 &amp; "'!" &amp; J1841, J1841), "")</f>
        <v>0</v>
      </c>
    </row>
    <row r="1842" spans="2:2">
      <c r="B1842" s="21">
        <f>IF(AND(C1842&lt;&gt;"", J1842&lt;&gt;""), HYPERLINK("#'" &amp; C1842 &amp; "'!" &amp; J1842, J1842), "")</f>
        <v>0</v>
      </c>
    </row>
    <row r="1843" spans="2:2">
      <c r="B1843" s="21">
        <f>IF(AND(C1843&lt;&gt;"", J1843&lt;&gt;""), HYPERLINK("#'" &amp; C1843 &amp; "'!" &amp; J1843, J1843), "")</f>
        <v>0</v>
      </c>
    </row>
    <row r="1844" spans="2:2">
      <c r="B1844" s="21">
        <f>IF(AND(C1844&lt;&gt;"", J1844&lt;&gt;""), HYPERLINK("#'" &amp; C1844 &amp; "'!" &amp; J1844, J1844), "")</f>
        <v>0</v>
      </c>
    </row>
    <row r="1845" spans="2:2">
      <c r="B1845" s="21">
        <f>IF(AND(C1845&lt;&gt;"", J1845&lt;&gt;""), HYPERLINK("#'" &amp; C1845 &amp; "'!" &amp; J1845, J1845), "")</f>
        <v>0</v>
      </c>
    </row>
    <row r="1846" spans="2:2">
      <c r="B1846" s="21">
        <f>IF(AND(C1846&lt;&gt;"", J1846&lt;&gt;""), HYPERLINK("#'" &amp; C1846 &amp; "'!" &amp; J1846, J1846), "")</f>
        <v>0</v>
      </c>
    </row>
    <row r="1847" spans="2:2">
      <c r="B1847" s="21">
        <f>IF(AND(C1847&lt;&gt;"", J1847&lt;&gt;""), HYPERLINK("#'" &amp; C1847 &amp; "'!" &amp; J1847, J1847), "")</f>
        <v>0</v>
      </c>
    </row>
    <row r="1848" spans="2:2">
      <c r="B1848" s="21">
        <f>IF(AND(C1848&lt;&gt;"", J1848&lt;&gt;""), HYPERLINK("#'" &amp; C1848 &amp; "'!" &amp; J1848, J1848), "")</f>
        <v>0</v>
      </c>
    </row>
    <row r="1849" spans="2:2">
      <c r="B1849" s="21">
        <f>IF(AND(C1849&lt;&gt;"", J1849&lt;&gt;""), HYPERLINK("#'" &amp; C1849 &amp; "'!" &amp; J1849, J1849), "")</f>
        <v>0</v>
      </c>
    </row>
    <row r="1850" spans="2:2">
      <c r="B1850" s="21">
        <f>IF(AND(C1850&lt;&gt;"", J1850&lt;&gt;""), HYPERLINK("#'" &amp; C1850 &amp; "'!" &amp; J1850, J1850), "")</f>
        <v>0</v>
      </c>
    </row>
    <row r="1851" spans="2:2">
      <c r="B1851" s="21">
        <f>IF(AND(C1851&lt;&gt;"", J1851&lt;&gt;""), HYPERLINK("#'" &amp; C1851 &amp; "'!" &amp; J1851, J1851), "")</f>
        <v>0</v>
      </c>
    </row>
    <row r="1852" spans="2:2">
      <c r="B1852" s="21">
        <f>IF(AND(C1852&lt;&gt;"", J1852&lt;&gt;""), HYPERLINK("#'" &amp; C1852 &amp; "'!" &amp; J1852, J1852), "")</f>
        <v>0</v>
      </c>
    </row>
    <row r="1853" spans="2:2">
      <c r="B1853" s="21">
        <f>IF(AND(C1853&lt;&gt;"", J1853&lt;&gt;""), HYPERLINK("#'" &amp; C1853 &amp; "'!" &amp; J1853, J1853), "")</f>
        <v>0</v>
      </c>
    </row>
    <row r="1854" spans="2:2">
      <c r="B1854" s="21">
        <f>IF(AND(C1854&lt;&gt;"", J1854&lt;&gt;""), HYPERLINK("#'" &amp; C1854 &amp; "'!" &amp; J1854, J1854), "")</f>
        <v>0</v>
      </c>
    </row>
    <row r="1855" spans="2:2">
      <c r="B1855" s="21">
        <f>IF(AND(C1855&lt;&gt;"", J1855&lt;&gt;""), HYPERLINK("#'" &amp; C1855 &amp; "'!" &amp; J1855, J1855), "")</f>
        <v>0</v>
      </c>
    </row>
    <row r="1856" spans="2:2">
      <c r="B1856" s="21">
        <f>IF(AND(C1856&lt;&gt;"", J1856&lt;&gt;""), HYPERLINK("#'" &amp; C1856 &amp; "'!" &amp; J1856, J1856), "")</f>
        <v>0</v>
      </c>
    </row>
    <row r="1857" spans="2:2">
      <c r="B1857" s="21">
        <f>IF(AND(C1857&lt;&gt;"", J1857&lt;&gt;""), HYPERLINK("#'" &amp; C1857 &amp; "'!" &amp; J1857, J1857), "")</f>
        <v>0</v>
      </c>
    </row>
    <row r="1858" spans="2:2">
      <c r="B1858" s="21">
        <f>IF(AND(C1858&lt;&gt;"", J1858&lt;&gt;""), HYPERLINK("#'" &amp; C1858 &amp; "'!" &amp; J1858, J1858), "")</f>
        <v>0</v>
      </c>
    </row>
    <row r="1859" spans="2:2">
      <c r="B1859" s="21">
        <f>IF(AND(C1859&lt;&gt;"", J1859&lt;&gt;""), HYPERLINK("#'" &amp; C1859 &amp; "'!" &amp; J1859, J1859), "")</f>
        <v>0</v>
      </c>
    </row>
    <row r="1860" spans="2:2">
      <c r="B1860" s="21">
        <f>IF(AND(C1860&lt;&gt;"", J1860&lt;&gt;""), HYPERLINK("#'" &amp; C1860 &amp; "'!" &amp; J1860, J1860), "")</f>
        <v>0</v>
      </c>
    </row>
    <row r="1861" spans="2:2">
      <c r="B1861" s="21">
        <f>IF(AND(C1861&lt;&gt;"", J1861&lt;&gt;""), HYPERLINK("#'" &amp; C1861 &amp; "'!" &amp; J1861, J1861), "")</f>
        <v>0</v>
      </c>
    </row>
    <row r="1862" spans="2:2">
      <c r="B1862" s="21">
        <f>IF(AND(C1862&lt;&gt;"", J1862&lt;&gt;""), HYPERLINK("#'" &amp; C1862 &amp; "'!" &amp; J1862, J1862), "")</f>
        <v>0</v>
      </c>
    </row>
    <row r="1863" spans="2:2">
      <c r="B1863" s="21">
        <f>IF(AND(C1863&lt;&gt;"", J1863&lt;&gt;""), HYPERLINK("#'" &amp; C1863 &amp; "'!" &amp; J1863, J1863), "")</f>
        <v>0</v>
      </c>
    </row>
    <row r="1864" spans="2:2">
      <c r="B1864" s="21">
        <f>IF(AND(C1864&lt;&gt;"", J1864&lt;&gt;""), HYPERLINK("#'" &amp; C1864 &amp; "'!" &amp; J1864, J1864), "")</f>
        <v>0</v>
      </c>
    </row>
    <row r="1865" spans="2:2">
      <c r="B1865" s="21">
        <f>IF(AND(C1865&lt;&gt;"", J1865&lt;&gt;""), HYPERLINK("#'" &amp; C1865 &amp; "'!" &amp; J1865, J1865), "")</f>
        <v>0</v>
      </c>
    </row>
    <row r="1866" spans="2:2">
      <c r="B1866" s="21">
        <f>IF(AND(C1866&lt;&gt;"", J1866&lt;&gt;""), HYPERLINK("#'" &amp; C1866 &amp; "'!" &amp; J1866, J1866), "")</f>
        <v>0</v>
      </c>
    </row>
    <row r="1867" spans="2:2">
      <c r="B1867" s="21">
        <f>IF(AND(C1867&lt;&gt;"", J1867&lt;&gt;""), HYPERLINK("#'" &amp; C1867 &amp; "'!" &amp; J1867, J1867), "")</f>
        <v>0</v>
      </c>
    </row>
    <row r="1868" spans="2:2">
      <c r="B1868" s="21">
        <f>IF(AND(C1868&lt;&gt;"", J1868&lt;&gt;""), HYPERLINK("#'" &amp; C1868 &amp; "'!" &amp; J1868, J1868), "")</f>
        <v>0</v>
      </c>
    </row>
    <row r="1869" spans="2:2">
      <c r="B1869" s="21">
        <f>IF(AND(C1869&lt;&gt;"", J1869&lt;&gt;""), HYPERLINK("#'" &amp; C1869 &amp; "'!" &amp; J1869, J1869), "")</f>
        <v>0</v>
      </c>
    </row>
    <row r="1870" spans="2:2">
      <c r="B1870" s="21">
        <f>IF(AND(C1870&lt;&gt;"", J1870&lt;&gt;""), HYPERLINK("#'" &amp; C1870 &amp; "'!" &amp; J1870, J1870), "")</f>
        <v>0</v>
      </c>
    </row>
    <row r="1871" spans="2:2">
      <c r="B1871" s="21">
        <f>IF(AND(C1871&lt;&gt;"", J1871&lt;&gt;""), HYPERLINK("#'" &amp; C1871 &amp; "'!" &amp; J1871, J1871), "")</f>
        <v>0</v>
      </c>
    </row>
    <row r="1872" spans="2:2">
      <c r="B1872" s="21">
        <f>IF(AND(C1872&lt;&gt;"", J1872&lt;&gt;""), HYPERLINK("#'" &amp; C1872 &amp; "'!" &amp; J1872, J1872), "")</f>
        <v>0</v>
      </c>
    </row>
    <row r="1873" spans="2:2">
      <c r="B1873" s="21">
        <f>IF(AND(C1873&lt;&gt;"", J1873&lt;&gt;""), HYPERLINK("#'" &amp; C1873 &amp; "'!" &amp; J1873, J1873), "")</f>
        <v>0</v>
      </c>
    </row>
    <row r="1874" spans="2:2">
      <c r="B1874" s="21">
        <f>IF(AND(C1874&lt;&gt;"", J1874&lt;&gt;""), HYPERLINK("#'" &amp; C1874 &amp; "'!" &amp; J1874, J1874), "")</f>
        <v>0</v>
      </c>
    </row>
    <row r="1875" spans="2:2">
      <c r="B1875" s="21">
        <f>IF(AND(C1875&lt;&gt;"", J1875&lt;&gt;""), HYPERLINK("#'" &amp; C1875 &amp; "'!" &amp; J1875, J1875), "")</f>
        <v>0</v>
      </c>
    </row>
    <row r="1876" spans="2:2">
      <c r="B1876" s="21">
        <f>IF(AND(C1876&lt;&gt;"", J1876&lt;&gt;""), HYPERLINK("#'" &amp; C1876 &amp; "'!" &amp; J1876, J1876), "")</f>
        <v>0</v>
      </c>
    </row>
    <row r="1877" spans="2:2">
      <c r="B1877" s="21">
        <f>IF(AND(C1877&lt;&gt;"", J1877&lt;&gt;""), HYPERLINK("#'" &amp; C1877 &amp; "'!" &amp; J1877, J1877), "")</f>
        <v>0</v>
      </c>
    </row>
    <row r="1878" spans="2:2">
      <c r="B1878" s="21">
        <f>IF(AND(C1878&lt;&gt;"", J1878&lt;&gt;""), HYPERLINK("#'" &amp; C1878 &amp; "'!" &amp; J1878, J1878), "")</f>
        <v>0</v>
      </c>
    </row>
    <row r="1879" spans="2:2">
      <c r="B1879" s="21">
        <f>IF(AND(C1879&lt;&gt;"", J1879&lt;&gt;""), HYPERLINK("#'" &amp; C1879 &amp; "'!" &amp; J1879, J1879), "")</f>
        <v>0</v>
      </c>
    </row>
    <row r="1880" spans="2:2">
      <c r="B1880" s="21">
        <f>IF(AND(C1880&lt;&gt;"", J1880&lt;&gt;""), HYPERLINK("#'" &amp; C1880 &amp; "'!" &amp; J1880, J1880), "")</f>
        <v>0</v>
      </c>
    </row>
    <row r="1881" spans="2:2">
      <c r="B1881" s="21">
        <f>IF(AND(C1881&lt;&gt;"", J1881&lt;&gt;""), HYPERLINK("#'" &amp; C1881 &amp; "'!" &amp; J1881, J1881), "")</f>
        <v>0</v>
      </c>
    </row>
    <row r="1882" spans="2:2">
      <c r="B1882" s="21">
        <f>IF(AND(C1882&lt;&gt;"", J1882&lt;&gt;""), HYPERLINK("#'" &amp; C1882 &amp; "'!" &amp; J1882, J1882), "")</f>
        <v>0</v>
      </c>
    </row>
    <row r="1883" spans="2:2">
      <c r="B1883" s="21">
        <f>IF(AND(C1883&lt;&gt;"", J1883&lt;&gt;""), HYPERLINK("#'" &amp; C1883 &amp; "'!" &amp; J1883, J1883), "")</f>
        <v>0</v>
      </c>
    </row>
    <row r="1884" spans="2:2">
      <c r="B1884" s="21">
        <f>IF(AND(C1884&lt;&gt;"", J1884&lt;&gt;""), HYPERLINK("#'" &amp; C1884 &amp; "'!" &amp; J1884, J1884), "")</f>
        <v>0</v>
      </c>
    </row>
    <row r="1885" spans="2:2">
      <c r="B1885" s="21">
        <f>IF(AND(C1885&lt;&gt;"", J1885&lt;&gt;""), HYPERLINK("#'" &amp; C1885 &amp; "'!" &amp; J1885, J1885), "")</f>
        <v>0</v>
      </c>
    </row>
    <row r="1886" spans="2:2">
      <c r="B1886" s="21">
        <f>IF(AND(C1886&lt;&gt;"", J1886&lt;&gt;""), HYPERLINK("#'" &amp; C1886 &amp; "'!" &amp; J1886, J1886), "")</f>
        <v>0</v>
      </c>
    </row>
    <row r="1887" spans="2:2">
      <c r="B1887" s="21">
        <f>IF(AND(C1887&lt;&gt;"", J1887&lt;&gt;""), HYPERLINK("#'" &amp; C1887 &amp; "'!" &amp; J1887, J1887), "")</f>
        <v>0</v>
      </c>
    </row>
    <row r="1888" spans="2:2">
      <c r="B1888" s="21">
        <f>IF(AND(C1888&lt;&gt;"", J1888&lt;&gt;""), HYPERLINK("#'" &amp; C1888 &amp; "'!" &amp; J1888, J1888), "")</f>
        <v>0</v>
      </c>
    </row>
    <row r="1889" spans="2:2">
      <c r="B1889" s="21">
        <f>IF(AND(C1889&lt;&gt;"", J1889&lt;&gt;""), HYPERLINK("#'" &amp; C1889 &amp; "'!" &amp; J1889, J1889), "")</f>
        <v>0</v>
      </c>
    </row>
    <row r="1890" spans="2:2">
      <c r="B1890" s="21">
        <f>IF(AND(C1890&lt;&gt;"", J1890&lt;&gt;""), HYPERLINK("#'" &amp; C1890 &amp; "'!" &amp; J1890, J1890), "")</f>
        <v>0</v>
      </c>
    </row>
    <row r="1891" spans="2:2">
      <c r="B1891" s="21">
        <f>IF(AND(C1891&lt;&gt;"", J1891&lt;&gt;""), HYPERLINK("#'" &amp; C1891 &amp; "'!" &amp; J1891, J1891), "")</f>
        <v>0</v>
      </c>
    </row>
    <row r="1892" spans="2:2">
      <c r="B1892" s="21">
        <f>IF(AND(C1892&lt;&gt;"", J1892&lt;&gt;""), HYPERLINK("#'" &amp; C1892 &amp; "'!" &amp; J1892, J1892), "")</f>
        <v>0</v>
      </c>
    </row>
    <row r="1893" spans="2:2">
      <c r="B1893" s="21">
        <f>IF(AND(C1893&lt;&gt;"", J1893&lt;&gt;""), HYPERLINK("#'" &amp; C1893 &amp; "'!" &amp; J1893, J1893), "")</f>
        <v>0</v>
      </c>
    </row>
    <row r="1894" spans="2:2">
      <c r="B1894" s="21">
        <f>IF(AND(C1894&lt;&gt;"", J1894&lt;&gt;""), HYPERLINK("#'" &amp; C1894 &amp; "'!" &amp; J1894, J1894), "")</f>
        <v>0</v>
      </c>
    </row>
    <row r="1895" spans="2:2">
      <c r="B1895" s="21">
        <f>IF(AND(C1895&lt;&gt;"", J1895&lt;&gt;""), HYPERLINK("#'" &amp; C1895 &amp; "'!" &amp; J1895, J1895), "")</f>
        <v>0</v>
      </c>
    </row>
    <row r="1896" spans="2:2">
      <c r="B1896" s="21">
        <f>IF(AND(C1896&lt;&gt;"", J1896&lt;&gt;""), HYPERLINK("#'" &amp; C1896 &amp; "'!" &amp; J1896, J1896), "")</f>
        <v>0</v>
      </c>
    </row>
    <row r="1897" spans="2:2">
      <c r="B1897" s="21">
        <f>IF(AND(C1897&lt;&gt;"", J1897&lt;&gt;""), HYPERLINK("#'" &amp; C1897 &amp; "'!" &amp; J1897, J1897), "")</f>
        <v>0</v>
      </c>
    </row>
    <row r="1898" spans="2:2">
      <c r="B1898" s="21">
        <f>IF(AND(C1898&lt;&gt;"", J1898&lt;&gt;""), HYPERLINK("#'" &amp; C1898 &amp; "'!" &amp; J1898, J1898), "")</f>
        <v>0</v>
      </c>
    </row>
    <row r="1899" spans="2:2">
      <c r="B1899" s="21">
        <f>IF(AND(C1899&lt;&gt;"", J1899&lt;&gt;""), HYPERLINK("#'" &amp; C1899 &amp; "'!" &amp; J1899, J1899), "")</f>
        <v>0</v>
      </c>
    </row>
    <row r="1900" spans="2:2">
      <c r="B1900" s="21">
        <f>IF(AND(C1900&lt;&gt;"", J1900&lt;&gt;""), HYPERLINK("#'" &amp; C1900 &amp; "'!" &amp; J1900, J1900), "")</f>
        <v>0</v>
      </c>
    </row>
    <row r="1901" spans="2:2">
      <c r="B1901" s="21">
        <f>IF(AND(C1901&lt;&gt;"", J1901&lt;&gt;""), HYPERLINK("#'" &amp; C1901 &amp; "'!" &amp; J1901, J1901), "")</f>
        <v>0</v>
      </c>
    </row>
    <row r="1902" spans="2:2">
      <c r="B1902" s="21">
        <f>IF(AND(C1902&lt;&gt;"", J1902&lt;&gt;""), HYPERLINK("#'" &amp; C1902 &amp; "'!" &amp; J1902, J1902), "")</f>
        <v>0</v>
      </c>
    </row>
    <row r="1903" spans="2:2">
      <c r="B1903" s="21">
        <f>IF(AND(C1903&lt;&gt;"", J1903&lt;&gt;""), HYPERLINK("#'" &amp; C1903 &amp; "'!" &amp; J1903, J1903), "")</f>
        <v>0</v>
      </c>
    </row>
    <row r="1904" spans="2:2">
      <c r="B1904" s="21">
        <f>IF(AND(C1904&lt;&gt;"", J1904&lt;&gt;""), HYPERLINK("#'" &amp; C1904 &amp; "'!" &amp; J1904, J1904), "")</f>
        <v>0</v>
      </c>
    </row>
    <row r="1905" spans="2:2">
      <c r="B1905" s="21">
        <f>IF(AND(C1905&lt;&gt;"", J1905&lt;&gt;""), HYPERLINK("#'" &amp; C1905 &amp; "'!" &amp; J1905, J1905), "")</f>
        <v>0</v>
      </c>
    </row>
    <row r="1906" spans="2:2">
      <c r="B1906" s="21">
        <f>IF(AND(C1906&lt;&gt;"", J1906&lt;&gt;""), HYPERLINK("#'" &amp; C1906 &amp; "'!" &amp; J1906, J1906), "")</f>
        <v>0</v>
      </c>
    </row>
    <row r="1907" spans="2:2">
      <c r="B1907" s="21">
        <f>IF(AND(C1907&lt;&gt;"", J1907&lt;&gt;""), HYPERLINK("#'" &amp; C1907 &amp; "'!" &amp; J1907, J1907), "")</f>
        <v>0</v>
      </c>
    </row>
    <row r="1908" spans="2:2">
      <c r="B1908" s="21">
        <f>IF(AND(C1908&lt;&gt;"", J1908&lt;&gt;""), HYPERLINK("#'" &amp; C1908 &amp; "'!" &amp; J1908, J1908), "")</f>
        <v>0</v>
      </c>
    </row>
    <row r="1909" spans="2:2">
      <c r="B1909" s="21">
        <f>IF(AND(C1909&lt;&gt;"", J1909&lt;&gt;""), HYPERLINK("#'" &amp; C1909 &amp; "'!" &amp; J1909, J1909), "")</f>
        <v>0</v>
      </c>
    </row>
    <row r="1910" spans="2:2">
      <c r="B1910" s="21">
        <f>IF(AND(C1910&lt;&gt;"", J1910&lt;&gt;""), HYPERLINK("#'" &amp; C1910 &amp; "'!" &amp; J1910, J1910), "")</f>
        <v>0</v>
      </c>
    </row>
    <row r="1911" spans="2:2">
      <c r="B1911" s="21">
        <f>IF(AND(C1911&lt;&gt;"", J1911&lt;&gt;""), HYPERLINK("#'" &amp; C1911 &amp; "'!" &amp; J1911, J1911), "")</f>
        <v>0</v>
      </c>
    </row>
    <row r="1912" spans="2:2">
      <c r="B1912" s="21">
        <f>IF(AND(C1912&lt;&gt;"", J1912&lt;&gt;""), HYPERLINK("#'" &amp; C1912 &amp; "'!" &amp; J1912, J1912), "")</f>
        <v>0</v>
      </c>
    </row>
    <row r="1913" spans="2:2">
      <c r="B1913" s="21">
        <f>IF(AND(C1913&lt;&gt;"", J1913&lt;&gt;""), HYPERLINK("#'" &amp; C1913 &amp; "'!" &amp; J1913, J1913), "")</f>
        <v>0</v>
      </c>
    </row>
    <row r="1914" spans="2:2">
      <c r="B1914" s="21">
        <f>IF(AND(C1914&lt;&gt;"", J1914&lt;&gt;""), HYPERLINK("#'" &amp; C1914 &amp; "'!" &amp; J1914, J1914), "")</f>
        <v>0</v>
      </c>
    </row>
    <row r="1915" spans="2:2">
      <c r="B1915" s="21">
        <f>IF(AND(C1915&lt;&gt;"", J1915&lt;&gt;""), HYPERLINK("#'" &amp; C1915 &amp; "'!" &amp; J1915, J1915), "")</f>
        <v>0</v>
      </c>
    </row>
    <row r="1916" spans="2:2">
      <c r="B1916" s="21">
        <f>IF(AND(C1916&lt;&gt;"", J1916&lt;&gt;""), HYPERLINK("#'" &amp; C1916 &amp; "'!" &amp; J1916, J1916), "")</f>
        <v>0</v>
      </c>
    </row>
    <row r="1917" spans="2:2">
      <c r="B1917" s="21">
        <f>IF(AND(C1917&lt;&gt;"", J1917&lt;&gt;""), HYPERLINK("#'" &amp; C1917 &amp; "'!" &amp; J1917, J1917), "")</f>
        <v>0</v>
      </c>
    </row>
    <row r="1918" spans="2:2">
      <c r="B1918" s="21">
        <f>IF(AND(C1918&lt;&gt;"", J1918&lt;&gt;""), HYPERLINK("#'" &amp; C1918 &amp; "'!" &amp; J1918, J1918), "")</f>
        <v>0</v>
      </c>
    </row>
    <row r="1919" spans="2:2">
      <c r="B1919" s="21">
        <f>IF(AND(C1919&lt;&gt;"", J1919&lt;&gt;""), HYPERLINK("#'" &amp; C1919 &amp; "'!" &amp; J1919, J1919), "")</f>
        <v>0</v>
      </c>
    </row>
    <row r="1920" spans="2:2">
      <c r="B1920" s="21">
        <f>IF(AND(C1920&lt;&gt;"", J1920&lt;&gt;""), HYPERLINK("#'" &amp; C1920 &amp; "'!" &amp; J1920, J1920), "")</f>
        <v>0</v>
      </c>
    </row>
    <row r="1921" spans="2:2">
      <c r="B1921" s="21">
        <f>IF(AND(C1921&lt;&gt;"", J1921&lt;&gt;""), HYPERLINK("#'" &amp; C1921 &amp; "'!" &amp; J1921, J1921), "")</f>
        <v>0</v>
      </c>
    </row>
    <row r="1922" spans="2:2">
      <c r="B1922" s="21">
        <f>IF(AND(C1922&lt;&gt;"", J1922&lt;&gt;""), HYPERLINK("#'" &amp; C1922 &amp; "'!" &amp; J1922, J1922), "")</f>
        <v>0</v>
      </c>
    </row>
    <row r="1923" spans="2:2">
      <c r="B1923" s="21">
        <f>IF(AND(C1923&lt;&gt;"", J1923&lt;&gt;""), HYPERLINK("#'" &amp; C1923 &amp; "'!" &amp; J1923, J1923), "")</f>
        <v>0</v>
      </c>
    </row>
    <row r="1924" spans="2:2">
      <c r="B1924" s="21">
        <f>IF(AND(C1924&lt;&gt;"", J1924&lt;&gt;""), HYPERLINK("#'" &amp; C1924 &amp; "'!" &amp; J1924, J1924), "")</f>
        <v>0</v>
      </c>
    </row>
    <row r="1925" spans="2:2">
      <c r="B1925" s="21">
        <f>IF(AND(C1925&lt;&gt;"", J1925&lt;&gt;""), HYPERLINK("#'" &amp; C1925 &amp; "'!" &amp; J1925, J1925), "")</f>
        <v>0</v>
      </c>
    </row>
    <row r="1926" spans="2:2">
      <c r="B1926" s="21">
        <f>IF(AND(C1926&lt;&gt;"", J1926&lt;&gt;""), HYPERLINK("#'" &amp; C1926 &amp; "'!" &amp; J1926, J1926), "")</f>
        <v>0</v>
      </c>
    </row>
    <row r="1927" spans="2:2">
      <c r="B1927" s="21">
        <f>IF(AND(C1927&lt;&gt;"", J1927&lt;&gt;""), HYPERLINK("#'" &amp; C1927 &amp; "'!" &amp; J1927, J1927), "")</f>
        <v>0</v>
      </c>
    </row>
    <row r="1928" spans="2:2">
      <c r="B1928" s="21">
        <f>IF(AND(C1928&lt;&gt;"", J1928&lt;&gt;""), HYPERLINK("#'" &amp; C1928 &amp; "'!" &amp; J1928, J1928), "")</f>
        <v>0</v>
      </c>
    </row>
    <row r="1929" spans="2:2">
      <c r="B1929" s="21">
        <f>IF(AND(C1929&lt;&gt;"", J1929&lt;&gt;""), HYPERLINK("#'" &amp; C1929 &amp; "'!" &amp; J1929, J1929), "")</f>
        <v>0</v>
      </c>
    </row>
    <row r="1930" spans="2:2">
      <c r="B1930" s="21">
        <f>IF(AND(C1930&lt;&gt;"", J1930&lt;&gt;""), HYPERLINK("#'" &amp; C1930 &amp; "'!" &amp; J1930, J1930), "")</f>
        <v>0</v>
      </c>
    </row>
    <row r="1931" spans="2:2">
      <c r="B1931" s="21">
        <f>IF(AND(C1931&lt;&gt;"", J1931&lt;&gt;""), HYPERLINK("#'" &amp; C1931 &amp; "'!" &amp; J1931, J1931), "")</f>
        <v>0</v>
      </c>
    </row>
    <row r="1932" spans="2:2">
      <c r="B1932" s="21">
        <f>IF(AND(C1932&lt;&gt;"", J1932&lt;&gt;""), HYPERLINK("#'" &amp; C1932 &amp; "'!" &amp; J1932, J1932), "")</f>
        <v>0</v>
      </c>
    </row>
    <row r="1933" spans="2:2">
      <c r="B1933" s="21">
        <f>IF(AND(C1933&lt;&gt;"", J1933&lt;&gt;""), HYPERLINK("#'" &amp; C1933 &amp; "'!" &amp; J1933, J1933), "")</f>
        <v>0</v>
      </c>
    </row>
    <row r="1934" spans="2:2">
      <c r="B1934" s="21">
        <f>IF(AND(C1934&lt;&gt;"", J1934&lt;&gt;""), HYPERLINK("#'" &amp; C1934 &amp; "'!" &amp; J1934, J1934), "")</f>
        <v>0</v>
      </c>
    </row>
    <row r="1935" spans="2:2">
      <c r="B1935" s="21">
        <f>IF(AND(C1935&lt;&gt;"", J1935&lt;&gt;""), HYPERLINK("#'" &amp; C1935 &amp; "'!" &amp; J1935, J1935), "")</f>
        <v>0</v>
      </c>
    </row>
    <row r="1936" spans="2:2">
      <c r="B1936" s="21">
        <f>IF(AND(C1936&lt;&gt;"", J1936&lt;&gt;""), HYPERLINK("#'" &amp; C1936 &amp; "'!" &amp; J1936, J1936), "")</f>
        <v>0</v>
      </c>
    </row>
    <row r="1937" spans="2:2">
      <c r="B1937" s="21">
        <f>IF(AND(C1937&lt;&gt;"", J1937&lt;&gt;""), HYPERLINK("#'" &amp; C1937 &amp; "'!" &amp; J1937, J1937), "")</f>
        <v>0</v>
      </c>
    </row>
    <row r="1938" spans="2:2">
      <c r="B1938" s="21">
        <f>IF(AND(C1938&lt;&gt;"", J1938&lt;&gt;""), HYPERLINK("#'" &amp; C1938 &amp; "'!" &amp; J1938, J1938), "")</f>
        <v>0</v>
      </c>
    </row>
    <row r="1939" spans="2:2">
      <c r="B1939" s="21">
        <f>IF(AND(C1939&lt;&gt;"", J1939&lt;&gt;""), HYPERLINK("#'" &amp; C1939 &amp; "'!" &amp; J1939, J1939), "")</f>
        <v>0</v>
      </c>
    </row>
    <row r="1940" spans="2:2">
      <c r="B1940" s="21">
        <f>IF(AND(C1940&lt;&gt;"", J1940&lt;&gt;""), HYPERLINK("#'" &amp; C1940 &amp; "'!" &amp; J1940, J1940), "")</f>
        <v>0</v>
      </c>
    </row>
    <row r="1941" spans="2:2">
      <c r="B1941" s="21">
        <f>IF(AND(C1941&lt;&gt;"", J1941&lt;&gt;""), HYPERLINK("#'" &amp; C1941 &amp; "'!" &amp; J1941, J1941), "")</f>
        <v>0</v>
      </c>
    </row>
    <row r="1942" spans="2:2">
      <c r="B1942" s="21">
        <f>IF(AND(C1942&lt;&gt;"", J1942&lt;&gt;""), HYPERLINK("#'" &amp; C1942 &amp; "'!" &amp; J1942, J1942), "")</f>
        <v>0</v>
      </c>
    </row>
    <row r="1943" spans="2:2">
      <c r="B1943" s="21">
        <f>IF(AND(C1943&lt;&gt;"", J1943&lt;&gt;""), HYPERLINK("#'" &amp; C1943 &amp; "'!" &amp; J1943, J1943), "")</f>
        <v>0</v>
      </c>
    </row>
    <row r="1944" spans="2:2">
      <c r="B1944" s="21">
        <f>IF(AND(C1944&lt;&gt;"", J1944&lt;&gt;""), HYPERLINK("#'" &amp; C1944 &amp; "'!" &amp; J1944, J1944), "")</f>
        <v>0</v>
      </c>
    </row>
    <row r="1945" spans="2:2">
      <c r="B1945" s="21">
        <f>IF(AND(C1945&lt;&gt;"", J1945&lt;&gt;""), HYPERLINK("#'" &amp; C1945 &amp; "'!" &amp; J1945, J1945), "")</f>
        <v>0</v>
      </c>
    </row>
    <row r="1946" spans="2:2">
      <c r="B1946" s="21">
        <f>IF(AND(C1946&lt;&gt;"", J1946&lt;&gt;""), HYPERLINK("#'" &amp; C1946 &amp; "'!" &amp; J1946, J1946), "")</f>
        <v>0</v>
      </c>
    </row>
    <row r="1947" spans="2:2">
      <c r="B1947" s="21">
        <f>IF(AND(C1947&lt;&gt;"", J1947&lt;&gt;""), HYPERLINK("#'" &amp; C1947 &amp; "'!" &amp; J1947, J1947), "")</f>
        <v>0</v>
      </c>
    </row>
    <row r="1948" spans="2:2">
      <c r="B1948" s="21">
        <f>IF(AND(C1948&lt;&gt;"", J1948&lt;&gt;""), HYPERLINK("#'" &amp; C1948 &amp; "'!" &amp; J1948, J1948), "")</f>
        <v>0</v>
      </c>
    </row>
    <row r="1949" spans="2:2">
      <c r="B1949" s="21">
        <f>IF(AND(C1949&lt;&gt;"", J1949&lt;&gt;""), HYPERLINK("#'" &amp; C1949 &amp; "'!" &amp; J1949, J1949), "")</f>
        <v>0</v>
      </c>
    </row>
    <row r="1950" spans="2:2">
      <c r="B1950" s="21">
        <f>IF(AND(C1950&lt;&gt;"", J1950&lt;&gt;""), HYPERLINK("#'" &amp; C1950 &amp; "'!" &amp; J1950, J1950), "")</f>
        <v>0</v>
      </c>
    </row>
    <row r="1951" spans="2:2">
      <c r="B1951" s="21">
        <f>IF(AND(C1951&lt;&gt;"", J1951&lt;&gt;""), HYPERLINK("#'" &amp; C1951 &amp; "'!" &amp; J1951, J1951), "")</f>
        <v>0</v>
      </c>
    </row>
    <row r="1952" spans="2:2">
      <c r="B1952" s="21">
        <f>IF(AND(C1952&lt;&gt;"", J1952&lt;&gt;""), HYPERLINK("#'" &amp; C1952 &amp; "'!" &amp; J1952, J1952), "")</f>
        <v>0</v>
      </c>
    </row>
    <row r="1953" spans="2:2">
      <c r="B1953" s="21">
        <f>IF(AND(C1953&lt;&gt;"", J1953&lt;&gt;""), HYPERLINK("#'" &amp; C1953 &amp; "'!" &amp; J1953, J1953), "")</f>
        <v>0</v>
      </c>
    </row>
    <row r="1954" spans="2:2">
      <c r="B1954" s="21">
        <f>IF(AND(C1954&lt;&gt;"", J1954&lt;&gt;""), HYPERLINK("#'" &amp; C1954 &amp; "'!" &amp; J1954, J1954), "")</f>
        <v>0</v>
      </c>
    </row>
    <row r="1955" spans="2:2">
      <c r="B1955" s="21">
        <f>IF(AND(C1955&lt;&gt;"", J1955&lt;&gt;""), HYPERLINK("#'" &amp; C1955 &amp; "'!" &amp; J1955, J1955), "")</f>
        <v>0</v>
      </c>
    </row>
    <row r="1956" spans="2:2">
      <c r="B1956" s="21">
        <f>IF(AND(C1956&lt;&gt;"", J1956&lt;&gt;""), HYPERLINK("#'" &amp; C1956 &amp; "'!" &amp; J1956, J1956), "")</f>
        <v>0</v>
      </c>
    </row>
    <row r="1957" spans="2:2">
      <c r="B1957" s="21">
        <f>IF(AND(C1957&lt;&gt;"", J1957&lt;&gt;""), HYPERLINK("#'" &amp; C1957 &amp; "'!" &amp; J1957, J1957), "")</f>
        <v>0</v>
      </c>
    </row>
    <row r="1958" spans="2:2">
      <c r="B1958" s="21">
        <f>IF(AND(C1958&lt;&gt;"", J1958&lt;&gt;""), HYPERLINK("#'" &amp; C1958 &amp; "'!" &amp; J1958, J1958), "")</f>
        <v>0</v>
      </c>
    </row>
    <row r="1959" spans="2:2">
      <c r="B1959" s="21">
        <f>IF(AND(C1959&lt;&gt;"", J1959&lt;&gt;""), HYPERLINK("#'" &amp; C1959 &amp; "'!" &amp; J1959, J1959), "")</f>
        <v>0</v>
      </c>
    </row>
    <row r="1960" spans="2:2">
      <c r="B1960" s="21">
        <f>IF(AND(C1960&lt;&gt;"", J1960&lt;&gt;""), HYPERLINK("#'" &amp; C1960 &amp; "'!" &amp; J1960, J1960), "")</f>
        <v>0</v>
      </c>
    </row>
    <row r="1961" spans="2:2">
      <c r="B1961" s="21">
        <f>IF(AND(C1961&lt;&gt;"", J1961&lt;&gt;""), HYPERLINK("#'" &amp; C1961 &amp; "'!" &amp; J1961, J1961), "")</f>
        <v>0</v>
      </c>
    </row>
    <row r="1962" spans="2:2">
      <c r="B1962" s="21">
        <f>IF(AND(C1962&lt;&gt;"", J1962&lt;&gt;""), HYPERLINK("#'" &amp; C1962 &amp; "'!" &amp; J1962, J1962), "")</f>
        <v>0</v>
      </c>
    </row>
    <row r="1963" spans="2:2">
      <c r="B1963" s="21">
        <f>IF(AND(C1963&lt;&gt;"", J1963&lt;&gt;""), HYPERLINK("#'" &amp; C1963 &amp; "'!" &amp; J1963, J1963), "")</f>
        <v>0</v>
      </c>
    </row>
    <row r="1964" spans="2:2">
      <c r="B1964" s="21">
        <f>IF(AND(C1964&lt;&gt;"", J1964&lt;&gt;""), HYPERLINK("#'" &amp; C1964 &amp; "'!" &amp; J1964, J1964), "")</f>
        <v>0</v>
      </c>
    </row>
    <row r="1965" spans="2:2">
      <c r="B1965" s="21">
        <f>IF(AND(C1965&lt;&gt;"", J1965&lt;&gt;""), HYPERLINK("#'" &amp; C1965 &amp; "'!" &amp; J1965, J1965), "")</f>
        <v>0</v>
      </c>
    </row>
    <row r="1966" spans="2:2">
      <c r="B1966" s="21">
        <f>IF(AND(C1966&lt;&gt;"", J1966&lt;&gt;""), HYPERLINK("#'" &amp; C1966 &amp; "'!" &amp; J1966, J1966), "")</f>
        <v>0</v>
      </c>
    </row>
    <row r="1967" spans="2:2">
      <c r="B1967" s="21">
        <f>IF(AND(C1967&lt;&gt;"", J1967&lt;&gt;""), HYPERLINK("#'" &amp; C1967 &amp; "'!" &amp; J1967, J1967), "")</f>
        <v>0</v>
      </c>
    </row>
    <row r="1968" spans="2:2">
      <c r="B1968" s="21">
        <f>IF(AND(C1968&lt;&gt;"", J1968&lt;&gt;""), HYPERLINK("#'" &amp; C1968 &amp; "'!" &amp; J1968, J1968), "")</f>
        <v>0</v>
      </c>
    </row>
    <row r="1969" spans="2:2">
      <c r="B1969" s="21">
        <f>IF(AND(C1969&lt;&gt;"", J1969&lt;&gt;""), HYPERLINK("#'" &amp; C1969 &amp; "'!" &amp; J1969, J1969), "")</f>
        <v>0</v>
      </c>
    </row>
    <row r="1970" spans="2:2">
      <c r="B1970" s="21">
        <f>IF(AND(C1970&lt;&gt;"", J1970&lt;&gt;""), HYPERLINK("#'" &amp; C1970 &amp; "'!" &amp; J1970, J1970), "")</f>
        <v>0</v>
      </c>
    </row>
    <row r="1971" spans="2:2">
      <c r="B1971" s="21">
        <f>IF(AND(C1971&lt;&gt;"", J1971&lt;&gt;""), HYPERLINK("#'" &amp; C1971 &amp; "'!" &amp; J1971, J1971), "")</f>
        <v>0</v>
      </c>
    </row>
    <row r="1972" spans="2:2">
      <c r="B1972" s="21">
        <f>IF(AND(C1972&lt;&gt;"", J1972&lt;&gt;""), HYPERLINK("#'" &amp; C1972 &amp; "'!" &amp; J1972, J1972), "")</f>
        <v>0</v>
      </c>
    </row>
    <row r="1973" spans="2:2">
      <c r="B1973" s="21">
        <f>IF(AND(C1973&lt;&gt;"", J1973&lt;&gt;""), HYPERLINK("#'" &amp; C1973 &amp; "'!" &amp; J1973, J1973), "")</f>
        <v>0</v>
      </c>
    </row>
    <row r="1974" spans="2:2">
      <c r="B1974" s="21">
        <f>IF(AND(C1974&lt;&gt;"", J1974&lt;&gt;""), HYPERLINK("#'" &amp; C1974 &amp; "'!" &amp; J1974, J1974), "")</f>
        <v>0</v>
      </c>
    </row>
    <row r="1975" spans="2:2">
      <c r="B1975" s="21">
        <f>IF(AND(C1975&lt;&gt;"", J1975&lt;&gt;""), HYPERLINK("#'" &amp; C1975 &amp; "'!" &amp; J1975, J1975), "")</f>
        <v>0</v>
      </c>
    </row>
    <row r="1976" spans="2:2">
      <c r="B1976" s="21">
        <f>IF(AND(C1976&lt;&gt;"", J1976&lt;&gt;""), HYPERLINK("#'" &amp; C1976 &amp; "'!" &amp; J1976, J1976), "")</f>
        <v>0</v>
      </c>
    </row>
    <row r="1977" spans="2:2">
      <c r="B1977" s="21">
        <f>IF(AND(C1977&lt;&gt;"", J1977&lt;&gt;""), HYPERLINK("#'" &amp; C1977 &amp; "'!" &amp; J1977, J1977), "")</f>
        <v>0</v>
      </c>
    </row>
    <row r="1978" spans="2:2">
      <c r="B1978" s="21">
        <f>IF(AND(C1978&lt;&gt;"", J1978&lt;&gt;""), HYPERLINK("#'" &amp; C1978 &amp; "'!" &amp; J1978, J1978), "")</f>
        <v>0</v>
      </c>
    </row>
    <row r="1979" spans="2:2">
      <c r="B1979" s="21">
        <f>IF(AND(C1979&lt;&gt;"", J1979&lt;&gt;""), HYPERLINK("#'" &amp; C1979 &amp; "'!" &amp; J1979, J1979), "")</f>
        <v>0</v>
      </c>
    </row>
    <row r="1980" spans="2:2">
      <c r="B1980" s="21">
        <f>IF(AND(C1980&lt;&gt;"", J1980&lt;&gt;""), HYPERLINK("#'" &amp; C1980 &amp; "'!" &amp; J1980, J1980), "")</f>
        <v>0</v>
      </c>
    </row>
    <row r="1981" spans="2:2">
      <c r="B1981" s="21">
        <f>IF(AND(C1981&lt;&gt;"", J1981&lt;&gt;""), HYPERLINK("#'" &amp; C1981 &amp; "'!" &amp; J1981, J1981), "")</f>
        <v>0</v>
      </c>
    </row>
    <row r="1982" spans="2:2">
      <c r="B1982" s="21">
        <f>IF(AND(C1982&lt;&gt;"", J1982&lt;&gt;""), HYPERLINK("#'" &amp; C1982 &amp; "'!" &amp; J1982, J1982), "")</f>
        <v>0</v>
      </c>
    </row>
    <row r="1983" spans="2:2">
      <c r="B1983" s="21">
        <f>IF(AND(C1983&lt;&gt;"", J1983&lt;&gt;""), HYPERLINK("#'" &amp; C1983 &amp; "'!" &amp; J1983, J1983), "")</f>
        <v>0</v>
      </c>
    </row>
    <row r="1984" spans="2:2">
      <c r="B1984" s="21">
        <f>IF(AND(C1984&lt;&gt;"", J1984&lt;&gt;""), HYPERLINK("#'" &amp; C1984 &amp; "'!" &amp; J1984, J1984), "")</f>
        <v>0</v>
      </c>
    </row>
    <row r="1985" spans="2:2">
      <c r="B1985" s="21">
        <f>IF(AND(C1985&lt;&gt;"", J1985&lt;&gt;""), HYPERLINK("#'" &amp; C1985 &amp; "'!" &amp; J1985, J1985), "")</f>
        <v>0</v>
      </c>
    </row>
    <row r="1986" spans="2:2">
      <c r="B1986" s="21">
        <f>IF(AND(C1986&lt;&gt;"", J1986&lt;&gt;""), HYPERLINK("#'" &amp; C1986 &amp; "'!" &amp; J1986, J1986), "")</f>
        <v>0</v>
      </c>
    </row>
    <row r="1987" spans="2:2">
      <c r="B1987" s="21">
        <f>IF(AND(C1987&lt;&gt;"", J1987&lt;&gt;""), HYPERLINK("#'" &amp; C1987 &amp; "'!" &amp; J1987, J1987), "")</f>
        <v>0</v>
      </c>
    </row>
    <row r="1988" spans="2:2">
      <c r="B1988" s="21">
        <f>IF(AND(C1988&lt;&gt;"", J1988&lt;&gt;""), HYPERLINK("#'" &amp; C1988 &amp; "'!" &amp; J1988, J1988), "")</f>
        <v>0</v>
      </c>
    </row>
    <row r="1989" spans="2:2">
      <c r="B1989" s="21">
        <f>IF(AND(C1989&lt;&gt;"", J1989&lt;&gt;""), HYPERLINK("#'" &amp; C1989 &amp; "'!" &amp; J1989, J1989), "")</f>
        <v>0</v>
      </c>
    </row>
    <row r="1990" spans="2:2">
      <c r="B1990" s="21">
        <f>IF(AND(C1990&lt;&gt;"", J1990&lt;&gt;""), HYPERLINK("#'" &amp; C1990 &amp; "'!" &amp; J1990, J1990), "")</f>
        <v>0</v>
      </c>
    </row>
    <row r="1991" spans="2:2">
      <c r="B1991" s="21">
        <f>IF(AND(C1991&lt;&gt;"", J1991&lt;&gt;""), HYPERLINK("#'" &amp; C1991 &amp; "'!" &amp; J1991, J1991), "")</f>
        <v>0</v>
      </c>
    </row>
    <row r="1992" spans="2:2">
      <c r="B1992" s="21">
        <f>IF(AND(C1992&lt;&gt;"", J1992&lt;&gt;""), HYPERLINK("#'" &amp; C1992 &amp; "'!" &amp; J1992, J1992), "")</f>
        <v>0</v>
      </c>
    </row>
    <row r="1993" spans="2:2">
      <c r="B1993" s="21">
        <f>IF(AND(C1993&lt;&gt;"", J1993&lt;&gt;""), HYPERLINK("#'" &amp; C1993 &amp; "'!" &amp; J1993, J1993), "")</f>
        <v>0</v>
      </c>
    </row>
    <row r="1994" spans="2:2">
      <c r="B1994" s="21">
        <f>IF(AND(C1994&lt;&gt;"", J1994&lt;&gt;""), HYPERLINK("#'" &amp; C1994 &amp; "'!" &amp; J1994, J1994), "")</f>
        <v>0</v>
      </c>
    </row>
    <row r="1995" spans="2:2">
      <c r="B1995" s="21">
        <f>IF(AND(C1995&lt;&gt;"", J1995&lt;&gt;""), HYPERLINK("#'" &amp; C1995 &amp; "'!" &amp; J1995, J1995), "")</f>
        <v>0</v>
      </c>
    </row>
    <row r="1996" spans="2:2">
      <c r="B1996" s="21">
        <f>IF(AND(C1996&lt;&gt;"", J1996&lt;&gt;""), HYPERLINK("#'" &amp; C1996 &amp; "'!" &amp; J1996, J1996), "")</f>
        <v>0</v>
      </c>
    </row>
    <row r="1997" spans="2:2">
      <c r="B1997" s="21">
        <f>IF(AND(C1997&lt;&gt;"", J1997&lt;&gt;""), HYPERLINK("#'" &amp; C1997 &amp; "'!" &amp; J1997, J1997), "")</f>
        <v>0</v>
      </c>
    </row>
    <row r="1998" spans="2:2">
      <c r="B1998" s="21">
        <f>IF(AND(C1998&lt;&gt;"", J1998&lt;&gt;""), HYPERLINK("#'" &amp; C1998 &amp; "'!" &amp; J1998, J1998), "")</f>
        <v>0</v>
      </c>
    </row>
    <row r="1999" spans="2:2">
      <c r="B1999" s="21">
        <f>IF(AND(C1999&lt;&gt;"", J1999&lt;&gt;""), HYPERLINK("#'" &amp; C1999 &amp; "'!" &amp; J1999, J1999), "")</f>
        <v>0</v>
      </c>
    </row>
    <row r="2000" spans="2:2">
      <c r="B2000" s="21">
        <f>IF(AND(C2000&lt;&gt;"", J2000&lt;&gt;""), HYPERLINK("#'" &amp; C2000 &amp; "'!" &amp; J2000, J2000), "")</f>
        <v>0</v>
      </c>
    </row>
    <row r="2001" spans="2:2">
      <c r="B2001" s="21">
        <f>IF(AND(C2001&lt;&gt;"", J2001&lt;&gt;""), HYPERLINK("#'" &amp; C2001 &amp; "'!" &amp; J2001, J2001), "")</f>
        <v>0</v>
      </c>
    </row>
    <row r="2002" spans="2:2">
      <c r="B2002" s="21">
        <f>IF(AND(C2002&lt;&gt;"", J2002&lt;&gt;""), HYPERLINK("#'" &amp; C2002 &amp; "'!" &amp; J2002, J2002), "")</f>
        <v>0</v>
      </c>
    </row>
    <row r="2003" spans="2:2">
      <c r="B2003" s="21">
        <f>IF(AND(C2003&lt;&gt;"", J2003&lt;&gt;""), HYPERLINK("#'" &amp; C2003 &amp; "'!" &amp; J2003, J2003), "")</f>
        <v>0</v>
      </c>
    </row>
    <row r="2004" spans="2:2">
      <c r="B2004" s="21">
        <f>IF(AND(C2004&lt;&gt;"", J2004&lt;&gt;""), HYPERLINK("#'" &amp; C2004 &amp; "'!" &amp; J2004, J2004), "")</f>
        <v>0</v>
      </c>
    </row>
    <row r="2005" spans="2:2">
      <c r="B2005" s="21">
        <f>IF(AND(C2005&lt;&gt;"", J2005&lt;&gt;""), HYPERLINK("#'" &amp; C2005 &amp; "'!" &amp; J2005, J2005), "")</f>
        <v>0</v>
      </c>
    </row>
    <row r="2006" spans="2:2">
      <c r="B2006" s="21">
        <f>IF(AND(C2006&lt;&gt;"", J2006&lt;&gt;""), HYPERLINK("#'" &amp; C2006 &amp; "'!" &amp; J2006, J2006), "")</f>
        <v>0</v>
      </c>
    </row>
    <row r="2007" spans="2:2">
      <c r="B2007" s="21">
        <f>IF(AND(C2007&lt;&gt;"", J2007&lt;&gt;""), HYPERLINK("#'" &amp; C2007 &amp; "'!" &amp; J2007, J2007), "")</f>
        <v>0</v>
      </c>
    </row>
    <row r="2008" spans="2:2">
      <c r="B2008" s="21">
        <f>IF(AND(C2008&lt;&gt;"", J2008&lt;&gt;""), HYPERLINK("#'" &amp; C2008 &amp; "'!" &amp; J2008, J2008), "")</f>
        <v>0</v>
      </c>
    </row>
    <row r="2009" spans="2:2">
      <c r="B2009" s="21">
        <f>IF(AND(C2009&lt;&gt;"", J2009&lt;&gt;""), HYPERLINK("#'" &amp; C2009 &amp; "'!" &amp; J2009, J2009), "")</f>
        <v>0</v>
      </c>
    </row>
    <row r="2010" spans="2:2">
      <c r="B2010" s="21">
        <f>IF(AND(C2010&lt;&gt;"", J2010&lt;&gt;""), HYPERLINK("#'" &amp; C2010 &amp; "'!" &amp; J2010, J2010), "")</f>
        <v>0</v>
      </c>
    </row>
    <row r="2011" spans="2:2">
      <c r="B2011" s="21">
        <f>IF(AND(C2011&lt;&gt;"", J2011&lt;&gt;""), HYPERLINK("#'" &amp; C2011 &amp; "'!" &amp; J2011, J2011), "")</f>
        <v>0</v>
      </c>
    </row>
    <row r="2012" spans="2:2">
      <c r="B2012" s="21">
        <f>IF(AND(C2012&lt;&gt;"", J2012&lt;&gt;""), HYPERLINK("#'" &amp; C2012 &amp; "'!" &amp; J2012, J2012), "")</f>
        <v>0</v>
      </c>
    </row>
    <row r="2013" spans="2:2">
      <c r="B2013" s="21">
        <f>IF(AND(C2013&lt;&gt;"", J2013&lt;&gt;""), HYPERLINK("#'" &amp; C2013 &amp; "'!" &amp; J2013, J2013), "")</f>
        <v>0</v>
      </c>
    </row>
    <row r="2014" spans="2:2">
      <c r="B2014" s="21">
        <f>IF(AND(C2014&lt;&gt;"", J2014&lt;&gt;""), HYPERLINK("#'" &amp; C2014 &amp; "'!" &amp; J2014, J2014), "")</f>
        <v>0</v>
      </c>
    </row>
    <row r="2015" spans="2:2">
      <c r="B2015" s="21">
        <f>IF(AND(C2015&lt;&gt;"", J2015&lt;&gt;""), HYPERLINK("#'" &amp; C2015 &amp; "'!" &amp; J2015, J2015), "")</f>
        <v>0</v>
      </c>
    </row>
    <row r="2016" spans="2:2">
      <c r="B2016" s="21">
        <f>IF(AND(C2016&lt;&gt;"", J2016&lt;&gt;""), HYPERLINK("#'" &amp; C2016 &amp; "'!" &amp; J2016, J2016), "")</f>
        <v>0</v>
      </c>
    </row>
    <row r="2017" spans="2:2">
      <c r="B2017" s="21">
        <f>IF(AND(C2017&lt;&gt;"", J2017&lt;&gt;""), HYPERLINK("#'" &amp; C2017 &amp; "'!" &amp; J2017, J2017), "")</f>
        <v>0</v>
      </c>
    </row>
    <row r="2018" spans="2:2">
      <c r="B2018" s="21">
        <f>IF(AND(C2018&lt;&gt;"", J2018&lt;&gt;""), HYPERLINK("#'" &amp; C2018 &amp; "'!" &amp; J2018, J2018), "")</f>
        <v>0</v>
      </c>
    </row>
    <row r="2019" spans="2:2">
      <c r="B2019" s="21">
        <f>IF(AND(C2019&lt;&gt;"", J2019&lt;&gt;""), HYPERLINK("#'" &amp; C2019 &amp; "'!" &amp; J2019, J2019), "")</f>
        <v>0</v>
      </c>
    </row>
    <row r="2020" spans="2:2">
      <c r="B2020" s="21">
        <f>IF(AND(C2020&lt;&gt;"", J2020&lt;&gt;""), HYPERLINK("#'" &amp; C2020 &amp; "'!" &amp; J2020, J2020), "")</f>
        <v>0</v>
      </c>
    </row>
    <row r="2021" spans="2:2">
      <c r="B2021" s="21">
        <f>IF(AND(C2021&lt;&gt;"", J2021&lt;&gt;""), HYPERLINK("#'" &amp; C2021 &amp; "'!" &amp; J2021, J2021), "")</f>
        <v>0</v>
      </c>
    </row>
    <row r="2022" spans="2:2">
      <c r="B2022" s="21">
        <f>IF(AND(C2022&lt;&gt;"", J2022&lt;&gt;""), HYPERLINK("#'" &amp; C2022 &amp; "'!" &amp; J2022, J2022), "")</f>
        <v>0</v>
      </c>
    </row>
    <row r="2023" spans="2:2">
      <c r="B2023" s="21">
        <f>IF(AND(C2023&lt;&gt;"", J2023&lt;&gt;""), HYPERLINK("#'" &amp; C2023 &amp; "'!" &amp; J2023, J2023), "")</f>
        <v>0</v>
      </c>
    </row>
    <row r="2024" spans="2:2">
      <c r="B2024" s="21">
        <f>IF(AND(C2024&lt;&gt;"", J2024&lt;&gt;""), HYPERLINK("#'" &amp; C2024 &amp; "'!" &amp; J2024, J2024), "")</f>
        <v>0</v>
      </c>
    </row>
    <row r="2025" spans="2:2">
      <c r="B2025" s="21">
        <f>IF(AND(C2025&lt;&gt;"", J2025&lt;&gt;""), HYPERLINK("#'" &amp; C2025 &amp; "'!" &amp; J2025, J2025), "")</f>
        <v>0</v>
      </c>
    </row>
    <row r="2026" spans="2:2">
      <c r="B2026" s="21">
        <f>IF(AND(C2026&lt;&gt;"", J2026&lt;&gt;""), HYPERLINK("#'" &amp; C2026 &amp; "'!" &amp; J2026, J2026), "")</f>
        <v>0</v>
      </c>
    </row>
    <row r="2027" spans="2:2">
      <c r="B2027" s="21">
        <f>IF(AND(C2027&lt;&gt;"", J2027&lt;&gt;""), HYPERLINK("#'" &amp; C2027 &amp; "'!" &amp; J2027, J2027), "")</f>
        <v>0</v>
      </c>
    </row>
    <row r="2028" spans="2:2">
      <c r="B2028" s="21">
        <f>IF(AND(C2028&lt;&gt;"", J2028&lt;&gt;""), HYPERLINK("#'" &amp; C2028 &amp; "'!" &amp; J2028, J2028), "")</f>
        <v>0</v>
      </c>
    </row>
    <row r="2029" spans="2:2">
      <c r="B2029" s="21">
        <f>IF(AND(C2029&lt;&gt;"", J2029&lt;&gt;""), HYPERLINK("#'" &amp; C2029 &amp; "'!" &amp; J2029, J2029), "")</f>
        <v>0</v>
      </c>
    </row>
    <row r="2030" spans="2:2">
      <c r="B2030" s="21">
        <f>IF(AND(C2030&lt;&gt;"", J2030&lt;&gt;""), HYPERLINK("#'" &amp; C2030 &amp; "'!" &amp; J2030, J2030), "")</f>
        <v>0</v>
      </c>
    </row>
    <row r="2031" spans="2:2">
      <c r="B2031" s="21">
        <f>IF(AND(C2031&lt;&gt;"", J2031&lt;&gt;""), HYPERLINK("#'" &amp; C2031 &amp; "'!" &amp; J2031, J2031), "")</f>
        <v>0</v>
      </c>
    </row>
    <row r="2032" spans="2:2">
      <c r="B2032" s="21">
        <f>IF(AND(C2032&lt;&gt;"", J2032&lt;&gt;""), HYPERLINK("#'" &amp; C2032 &amp; "'!" &amp; J2032, J2032), "")</f>
        <v>0</v>
      </c>
    </row>
    <row r="2033" spans="2:2">
      <c r="B2033" s="21">
        <f>IF(AND(C2033&lt;&gt;"", J2033&lt;&gt;""), HYPERLINK("#'" &amp; C2033 &amp; "'!" &amp; J2033, J2033), "")</f>
        <v>0</v>
      </c>
    </row>
    <row r="2034" spans="2:2">
      <c r="B2034" s="21">
        <f>IF(AND(C2034&lt;&gt;"", J2034&lt;&gt;""), HYPERLINK("#'" &amp; C2034 &amp; "'!" &amp; J2034, J2034), "")</f>
        <v>0</v>
      </c>
    </row>
    <row r="2035" spans="2:2">
      <c r="B2035" s="21">
        <f>IF(AND(C2035&lt;&gt;"", J2035&lt;&gt;""), HYPERLINK("#'" &amp; C2035 &amp; "'!" &amp; J2035, J2035), "")</f>
        <v>0</v>
      </c>
    </row>
    <row r="2036" spans="2:2">
      <c r="B2036" s="21">
        <f>IF(AND(C2036&lt;&gt;"", J2036&lt;&gt;""), HYPERLINK("#'" &amp; C2036 &amp; "'!" &amp; J2036, J2036), "")</f>
        <v>0</v>
      </c>
    </row>
    <row r="2037" spans="2:2">
      <c r="B2037" s="21">
        <f>IF(AND(C2037&lt;&gt;"", J2037&lt;&gt;""), HYPERLINK("#'" &amp; C2037 &amp; "'!" &amp; J2037, J2037), "")</f>
        <v>0</v>
      </c>
    </row>
    <row r="2038" spans="2:2">
      <c r="B2038" s="21">
        <f>IF(AND(C2038&lt;&gt;"", J2038&lt;&gt;""), HYPERLINK("#'" &amp; C2038 &amp; "'!" &amp; J2038, J2038), "")</f>
        <v>0</v>
      </c>
    </row>
    <row r="2039" spans="2:2">
      <c r="B2039" s="21">
        <f>IF(AND(C2039&lt;&gt;"", J2039&lt;&gt;""), HYPERLINK("#'" &amp; C2039 &amp; "'!" &amp; J2039, J2039), "")</f>
        <v>0</v>
      </c>
    </row>
    <row r="2040" spans="2:2">
      <c r="B2040" s="21">
        <f>IF(AND(C2040&lt;&gt;"", J2040&lt;&gt;""), HYPERLINK("#'" &amp; C2040 &amp; "'!" &amp; J2040, J2040), "")</f>
        <v>0</v>
      </c>
    </row>
    <row r="2041" spans="2:2">
      <c r="B2041" s="21">
        <f>IF(AND(C2041&lt;&gt;"", J2041&lt;&gt;""), HYPERLINK("#'" &amp; C2041 &amp; "'!" &amp; J2041, J2041), "")</f>
        <v>0</v>
      </c>
    </row>
    <row r="2042" spans="2:2">
      <c r="B2042" s="21">
        <f>IF(AND(C2042&lt;&gt;"", J2042&lt;&gt;""), HYPERLINK("#'" &amp; C2042 &amp; "'!" &amp; J2042, J2042), "")</f>
        <v>0</v>
      </c>
    </row>
    <row r="2043" spans="2:2">
      <c r="B2043" s="21">
        <f>IF(AND(C2043&lt;&gt;"", J2043&lt;&gt;""), HYPERLINK("#'" &amp; C2043 &amp; "'!" &amp; J2043, J2043), "")</f>
        <v>0</v>
      </c>
    </row>
    <row r="2044" spans="2:2">
      <c r="B2044" s="21">
        <f>IF(AND(C2044&lt;&gt;"", J2044&lt;&gt;""), HYPERLINK("#'" &amp; C2044 &amp; "'!" &amp; J2044, J2044), "")</f>
        <v>0</v>
      </c>
    </row>
    <row r="2045" spans="2:2">
      <c r="B2045" s="21">
        <f>IF(AND(C2045&lt;&gt;"", J2045&lt;&gt;""), HYPERLINK("#'" &amp; C2045 &amp; "'!" &amp; J2045, J2045), "")</f>
        <v>0</v>
      </c>
    </row>
    <row r="2046" spans="2:2">
      <c r="B2046" s="21">
        <f>IF(AND(C2046&lt;&gt;"", J2046&lt;&gt;""), HYPERLINK("#'" &amp; C2046 &amp; "'!" &amp; J2046, J2046), "")</f>
        <v>0</v>
      </c>
    </row>
    <row r="2047" spans="2:2">
      <c r="B2047" s="21">
        <f>IF(AND(C2047&lt;&gt;"", J2047&lt;&gt;""), HYPERLINK("#'" &amp; C2047 &amp; "'!" &amp; J2047, J2047), "")</f>
        <v>0</v>
      </c>
    </row>
    <row r="2048" spans="2:2">
      <c r="B2048" s="21">
        <f>IF(AND(C2048&lt;&gt;"", J2048&lt;&gt;""), HYPERLINK("#'" &amp; C2048 &amp; "'!" &amp; J2048, J2048), "")</f>
        <v>0</v>
      </c>
    </row>
    <row r="2049" spans="2:2">
      <c r="B2049" s="21">
        <f>IF(AND(C2049&lt;&gt;"", J2049&lt;&gt;""), HYPERLINK("#'" &amp; C2049 &amp; "'!" &amp; J2049, J2049), "")</f>
        <v>0</v>
      </c>
    </row>
    <row r="2050" spans="2:2">
      <c r="B2050" s="21">
        <f>IF(AND(C2050&lt;&gt;"", J2050&lt;&gt;""), HYPERLINK("#'" &amp; C2050 &amp; "'!" &amp; J2050, J2050), "")</f>
        <v>0</v>
      </c>
    </row>
    <row r="2051" spans="2:2">
      <c r="B2051" s="21">
        <f>IF(AND(C2051&lt;&gt;"", J2051&lt;&gt;""), HYPERLINK("#'" &amp; C2051 &amp; "'!" &amp; J2051, J2051), "")</f>
        <v>0</v>
      </c>
    </row>
    <row r="2052" spans="2:2">
      <c r="B2052" s="21">
        <f>IF(AND(C2052&lt;&gt;"", J2052&lt;&gt;""), HYPERLINK("#'" &amp; C2052 &amp; "'!" &amp; J2052, J2052), "")</f>
        <v>0</v>
      </c>
    </row>
    <row r="2053" spans="2:2">
      <c r="B2053" s="21">
        <f>IF(AND(C2053&lt;&gt;"", J2053&lt;&gt;""), HYPERLINK("#'" &amp; C2053 &amp; "'!" &amp; J2053, J2053), "")</f>
        <v>0</v>
      </c>
    </row>
    <row r="2054" spans="2:2">
      <c r="B2054" s="21">
        <f>IF(AND(C2054&lt;&gt;"", J2054&lt;&gt;""), HYPERLINK("#'" &amp; C2054 &amp; "'!" &amp; J2054, J2054), "")</f>
        <v>0</v>
      </c>
    </row>
    <row r="2055" spans="2:2">
      <c r="B2055" s="21">
        <f>IF(AND(C2055&lt;&gt;"", J2055&lt;&gt;""), HYPERLINK("#'" &amp; C2055 &amp; "'!" &amp; J2055, J2055), "")</f>
        <v>0</v>
      </c>
    </row>
    <row r="2056" spans="2:2">
      <c r="B2056" s="21">
        <f>IF(AND(C2056&lt;&gt;"", J2056&lt;&gt;""), HYPERLINK("#'" &amp; C2056 &amp; "'!" &amp; J2056, J2056), "")</f>
        <v>0</v>
      </c>
    </row>
    <row r="2057" spans="2:2">
      <c r="B2057" s="21">
        <f>IF(AND(C2057&lt;&gt;"", J2057&lt;&gt;""), HYPERLINK("#'" &amp; C2057 &amp; "'!" &amp; J2057, J2057), "")</f>
        <v>0</v>
      </c>
    </row>
    <row r="2058" spans="2:2">
      <c r="B2058" s="21">
        <f>IF(AND(C2058&lt;&gt;"", J2058&lt;&gt;""), HYPERLINK("#'" &amp; C2058 &amp; "'!" &amp; J2058, J2058), "")</f>
        <v>0</v>
      </c>
    </row>
    <row r="2059" spans="2:2">
      <c r="B2059" s="21">
        <f>IF(AND(C2059&lt;&gt;"", J2059&lt;&gt;""), HYPERLINK("#'" &amp; C2059 &amp; "'!" &amp; J2059, J2059), "")</f>
        <v>0</v>
      </c>
    </row>
    <row r="2060" spans="2:2">
      <c r="B2060" s="21">
        <f>IF(AND(C2060&lt;&gt;"", J2060&lt;&gt;""), HYPERLINK("#'" &amp; C2060 &amp; "'!" &amp; J2060, J2060), "")</f>
        <v>0</v>
      </c>
    </row>
    <row r="2061" spans="2:2">
      <c r="B2061" s="21">
        <f>IF(AND(C2061&lt;&gt;"", J2061&lt;&gt;""), HYPERLINK("#'" &amp; C2061 &amp; "'!" &amp; J2061, J2061), "")</f>
        <v>0</v>
      </c>
    </row>
    <row r="2062" spans="2:2">
      <c r="B2062" s="21">
        <f>IF(AND(C2062&lt;&gt;"", J2062&lt;&gt;""), HYPERLINK("#'" &amp; C2062 &amp; "'!" &amp; J2062, J2062), "")</f>
        <v>0</v>
      </c>
    </row>
    <row r="2063" spans="2:2">
      <c r="B2063" s="21">
        <f>IF(AND(C2063&lt;&gt;"", J2063&lt;&gt;""), HYPERLINK("#'" &amp; C2063 &amp; "'!" &amp; J2063, J2063), "")</f>
        <v>0</v>
      </c>
    </row>
    <row r="2064" spans="2:2">
      <c r="B2064" s="21">
        <f>IF(AND(C2064&lt;&gt;"", J2064&lt;&gt;""), HYPERLINK("#'" &amp; C2064 &amp; "'!" &amp; J2064, J2064), "")</f>
        <v>0</v>
      </c>
    </row>
    <row r="2065" spans="2:2">
      <c r="B2065" s="21">
        <f>IF(AND(C2065&lt;&gt;"", J2065&lt;&gt;""), HYPERLINK("#'" &amp; C2065 &amp; "'!" &amp; J2065, J2065), "")</f>
        <v>0</v>
      </c>
    </row>
    <row r="2066" spans="2:2">
      <c r="B2066" s="21">
        <f>IF(AND(C2066&lt;&gt;"", J2066&lt;&gt;""), HYPERLINK("#'" &amp; C2066 &amp; "'!" &amp; J2066, J2066), "")</f>
        <v>0</v>
      </c>
    </row>
    <row r="2067" spans="2:2">
      <c r="B2067" s="21">
        <f>IF(AND(C2067&lt;&gt;"", J2067&lt;&gt;""), HYPERLINK("#'" &amp; C2067 &amp; "'!" &amp; J2067, J2067), "")</f>
        <v>0</v>
      </c>
    </row>
    <row r="2068" spans="2:2">
      <c r="B2068" s="21">
        <f>IF(AND(C2068&lt;&gt;"", J2068&lt;&gt;""), HYPERLINK("#'" &amp; C2068 &amp; "'!" &amp; J2068, J2068), "")</f>
        <v>0</v>
      </c>
    </row>
    <row r="2069" spans="2:2">
      <c r="B2069" s="21">
        <f>IF(AND(C2069&lt;&gt;"", J2069&lt;&gt;""), HYPERLINK("#'" &amp; C2069 &amp; "'!" &amp; J2069, J2069), "")</f>
        <v>0</v>
      </c>
    </row>
    <row r="2070" spans="2:2">
      <c r="B2070" s="21">
        <f>IF(AND(C2070&lt;&gt;"", J2070&lt;&gt;""), HYPERLINK("#'" &amp; C2070 &amp; "'!" &amp; J2070, J2070), "")</f>
        <v>0</v>
      </c>
    </row>
    <row r="2071" spans="2:2">
      <c r="B2071" s="21">
        <f>IF(AND(C2071&lt;&gt;"", J2071&lt;&gt;""), HYPERLINK("#'" &amp; C2071 &amp; "'!" &amp; J2071, J2071), "")</f>
        <v>0</v>
      </c>
    </row>
    <row r="2072" spans="2:2">
      <c r="B2072" s="21">
        <f>IF(AND(C2072&lt;&gt;"", J2072&lt;&gt;""), HYPERLINK("#'" &amp; C2072 &amp; "'!" &amp; J2072, J2072), "")</f>
        <v>0</v>
      </c>
    </row>
    <row r="2073" spans="2:2">
      <c r="B2073" s="21">
        <f>IF(AND(C2073&lt;&gt;"", J2073&lt;&gt;""), HYPERLINK("#'" &amp; C2073 &amp; "'!" &amp; J2073, J2073), "")</f>
        <v>0</v>
      </c>
    </row>
    <row r="2074" spans="2:2">
      <c r="B2074" s="21">
        <f>IF(AND(C2074&lt;&gt;"", J2074&lt;&gt;""), HYPERLINK("#'" &amp; C2074 &amp; "'!" &amp; J2074, J2074), "")</f>
        <v>0</v>
      </c>
    </row>
    <row r="2075" spans="2:2">
      <c r="B2075" s="21">
        <f>IF(AND(C2075&lt;&gt;"", J2075&lt;&gt;""), HYPERLINK("#'" &amp; C2075 &amp; "'!" &amp; J2075, J2075), "")</f>
        <v>0</v>
      </c>
    </row>
    <row r="2076" spans="2:2">
      <c r="B2076" s="21">
        <f>IF(AND(C2076&lt;&gt;"", J2076&lt;&gt;""), HYPERLINK("#'" &amp; C2076 &amp; "'!" &amp; J2076, J2076), "")</f>
        <v>0</v>
      </c>
    </row>
    <row r="2077" spans="2:2">
      <c r="B2077" s="21">
        <f>IF(AND(C2077&lt;&gt;"", J2077&lt;&gt;""), HYPERLINK("#'" &amp; C2077 &amp; "'!" &amp; J2077, J2077), "")</f>
        <v>0</v>
      </c>
    </row>
    <row r="2078" spans="2:2">
      <c r="B2078" s="21">
        <f>IF(AND(C2078&lt;&gt;"", J2078&lt;&gt;""), HYPERLINK("#'" &amp; C2078 &amp; "'!" &amp; J2078, J2078), "")</f>
        <v>0</v>
      </c>
    </row>
    <row r="2079" spans="2:2">
      <c r="B2079" s="21">
        <f>IF(AND(C2079&lt;&gt;"", J2079&lt;&gt;""), HYPERLINK("#'" &amp; C2079 &amp; "'!" &amp; J2079, J2079), "")</f>
        <v>0</v>
      </c>
    </row>
    <row r="2080" spans="2:2">
      <c r="B2080" s="21">
        <f>IF(AND(C2080&lt;&gt;"", J2080&lt;&gt;""), HYPERLINK("#'" &amp; C2080 &amp; "'!" &amp; J2080, J2080), "")</f>
        <v>0</v>
      </c>
    </row>
    <row r="2081" spans="2:2">
      <c r="B2081" s="21">
        <f>IF(AND(C2081&lt;&gt;"", J2081&lt;&gt;""), HYPERLINK("#'" &amp; C2081 &amp; "'!" &amp; J2081, J2081), "")</f>
        <v>0</v>
      </c>
    </row>
    <row r="2082" spans="2:2">
      <c r="B2082" s="21">
        <f>IF(AND(C2082&lt;&gt;"", J2082&lt;&gt;""), HYPERLINK("#'" &amp; C2082 &amp; "'!" &amp; J2082, J2082), "")</f>
        <v>0</v>
      </c>
    </row>
    <row r="2083" spans="2:2">
      <c r="B2083" s="21">
        <f>IF(AND(C2083&lt;&gt;"", J2083&lt;&gt;""), HYPERLINK("#'" &amp; C2083 &amp; "'!" &amp; J2083, J2083), "")</f>
        <v>0</v>
      </c>
    </row>
    <row r="2084" spans="2:2">
      <c r="B2084" s="21">
        <f>IF(AND(C2084&lt;&gt;"", J2084&lt;&gt;""), HYPERLINK("#'" &amp; C2084 &amp; "'!" &amp; J2084, J2084), "")</f>
        <v>0</v>
      </c>
    </row>
    <row r="2085" spans="2:2">
      <c r="B2085" s="21">
        <f>IF(AND(C2085&lt;&gt;"", J2085&lt;&gt;""), HYPERLINK("#'" &amp; C2085 &amp; "'!" &amp; J2085, J2085), "")</f>
        <v>0</v>
      </c>
    </row>
    <row r="2086" spans="2:2">
      <c r="B2086" s="21">
        <f>IF(AND(C2086&lt;&gt;"", J2086&lt;&gt;""), HYPERLINK("#'" &amp; C2086 &amp; "'!" &amp; J2086, J2086), "")</f>
        <v>0</v>
      </c>
    </row>
    <row r="2087" spans="2:2">
      <c r="B2087" s="21">
        <f>IF(AND(C2087&lt;&gt;"", J2087&lt;&gt;""), HYPERLINK("#'" &amp; C2087 &amp; "'!" &amp; J2087, J2087), "")</f>
        <v>0</v>
      </c>
    </row>
    <row r="2088" spans="2:2">
      <c r="B2088" s="21">
        <f>IF(AND(C2088&lt;&gt;"", J2088&lt;&gt;""), HYPERLINK("#'" &amp; C2088 &amp; "'!" &amp; J2088, J2088), "")</f>
        <v>0</v>
      </c>
    </row>
    <row r="2089" spans="2:2">
      <c r="B2089" s="21">
        <f>IF(AND(C2089&lt;&gt;"", J2089&lt;&gt;""), HYPERLINK("#'" &amp; C2089 &amp; "'!" &amp; J2089, J2089), "")</f>
        <v>0</v>
      </c>
    </row>
    <row r="2090" spans="2:2">
      <c r="B2090" s="21">
        <f>IF(AND(C2090&lt;&gt;"", J2090&lt;&gt;""), HYPERLINK("#'" &amp; C2090 &amp; "'!" &amp; J2090, J2090), "")</f>
        <v>0</v>
      </c>
    </row>
    <row r="2091" spans="2:2">
      <c r="B2091" s="21">
        <f>IF(AND(C2091&lt;&gt;"", J2091&lt;&gt;""), HYPERLINK("#'" &amp; C2091 &amp; "'!" &amp; J2091, J2091), "")</f>
        <v>0</v>
      </c>
    </row>
    <row r="2092" spans="2:2">
      <c r="B2092" s="21">
        <f>IF(AND(C2092&lt;&gt;"", J2092&lt;&gt;""), HYPERLINK("#'" &amp; C2092 &amp; "'!" &amp; J2092, J2092), "")</f>
        <v>0</v>
      </c>
    </row>
    <row r="2093" spans="2:2">
      <c r="B2093" s="21">
        <f>IF(AND(C2093&lt;&gt;"", J2093&lt;&gt;""), HYPERLINK("#'" &amp; C2093 &amp; "'!" &amp; J2093, J2093), "")</f>
        <v>0</v>
      </c>
    </row>
    <row r="2094" spans="2:2">
      <c r="B2094" s="21">
        <f>IF(AND(C2094&lt;&gt;"", J2094&lt;&gt;""), HYPERLINK("#'" &amp; C2094 &amp; "'!" &amp; J2094, J2094), "")</f>
        <v>0</v>
      </c>
    </row>
    <row r="2095" spans="2:2">
      <c r="B2095" s="21">
        <f>IF(AND(C2095&lt;&gt;"", J2095&lt;&gt;""), HYPERLINK("#'" &amp; C2095 &amp; "'!" &amp; J2095, J2095), "")</f>
        <v>0</v>
      </c>
    </row>
    <row r="2096" spans="2:2">
      <c r="B2096" s="21">
        <f>IF(AND(C2096&lt;&gt;"", J2096&lt;&gt;""), HYPERLINK("#'" &amp; C2096 &amp; "'!" &amp; J2096, J2096), "")</f>
        <v>0</v>
      </c>
    </row>
    <row r="2097" spans="2:2">
      <c r="B2097" s="21">
        <f>IF(AND(C2097&lt;&gt;"", J2097&lt;&gt;""), HYPERLINK("#'" &amp; C2097 &amp; "'!" &amp; J2097, J2097), "")</f>
        <v>0</v>
      </c>
    </row>
    <row r="2098" spans="2:2">
      <c r="B2098" s="21">
        <f>IF(AND(C2098&lt;&gt;"", J2098&lt;&gt;""), HYPERLINK("#'" &amp; C2098 &amp; "'!" &amp; J2098, J2098), "")</f>
        <v>0</v>
      </c>
    </row>
    <row r="2099" spans="2:2">
      <c r="B2099" s="21">
        <f>IF(AND(C2099&lt;&gt;"", J2099&lt;&gt;""), HYPERLINK("#'" &amp; C2099 &amp; "'!" &amp; J2099, J2099), "")</f>
        <v>0</v>
      </c>
    </row>
    <row r="2100" spans="2:2">
      <c r="B2100" s="21">
        <f>IF(AND(C2100&lt;&gt;"", J2100&lt;&gt;""), HYPERLINK("#'" &amp; C2100 &amp; "'!" &amp; J2100, J2100), "")</f>
        <v>0</v>
      </c>
    </row>
    <row r="2101" spans="2:2">
      <c r="B2101" s="21">
        <f>IF(AND(C2101&lt;&gt;"", J2101&lt;&gt;""), HYPERLINK("#'" &amp; C2101 &amp; "'!" &amp; J2101, J2101), "")</f>
        <v>0</v>
      </c>
    </row>
    <row r="2102" spans="2:2">
      <c r="B2102" s="21">
        <f>IF(AND(C2102&lt;&gt;"", J2102&lt;&gt;""), HYPERLINK("#'" &amp; C2102 &amp; "'!" &amp; J2102, J2102), "")</f>
        <v>0</v>
      </c>
    </row>
    <row r="2103" spans="2:2">
      <c r="B2103" s="21">
        <f>IF(AND(C2103&lt;&gt;"", J2103&lt;&gt;""), HYPERLINK("#'" &amp; C2103 &amp; "'!" &amp; J2103, J2103), "")</f>
        <v>0</v>
      </c>
    </row>
    <row r="2104" spans="2:2">
      <c r="B2104" s="21">
        <f>IF(AND(C2104&lt;&gt;"", J2104&lt;&gt;""), HYPERLINK("#'" &amp; C2104 &amp; "'!" &amp; J2104, J2104), "")</f>
        <v>0</v>
      </c>
    </row>
    <row r="2105" spans="2:2">
      <c r="B2105" s="21">
        <f>IF(AND(C2105&lt;&gt;"", J2105&lt;&gt;""), HYPERLINK("#'" &amp; C2105 &amp; "'!" &amp; J2105, J2105), "")</f>
        <v>0</v>
      </c>
    </row>
    <row r="2106" spans="2:2">
      <c r="B2106" s="21">
        <f>IF(AND(C2106&lt;&gt;"", J2106&lt;&gt;""), HYPERLINK("#'" &amp; C2106 &amp; "'!" &amp; J2106, J2106), "")</f>
        <v>0</v>
      </c>
    </row>
    <row r="2107" spans="2:2">
      <c r="B2107" s="21">
        <f>IF(AND(C2107&lt;&gt;"", J2107&lt;&gt;""), HYPERLINK("#'" &amp; C2107 &amp; "'!" &amp; J2107, J2107), "")</f>
        <v>0</v>
      </c>
    </row>
    <row r="2108" spans="2:2">
      <c r="B2108" s="21">
        <f>IF(AND(C2108&lt;&gt;"", J2108&lt;&gt;""), HYPERLINK("#'" &amp; C2108 &amp; "'!" &amp; J2108, J2108), "")</f>
        <v>0</v>
      </c>
    </row>
    <row r="2109" spans="2:2">
      <c r="B2109" s="21">
        <f>IF(AND(C2109&lt;&gt;"", J2109&lt;&gt;""), HYPERLINK("#'" &amp; C2109 &amp; "'!" &amp; J2109, J2109), "")</f>
        <v>0</v>
      </c>
    </row>
    <row r="2110" spans="2:2">
      <c r="B2110" s="21">
        <f>IF(AND(C2110&lt;&gt;"", J2110&lt;&gt;""), HYPERLINK("#'" &amp; C2110 &amp; "'!" &amp; J2110, J2110), "")</f>
        <v>0</v>
      </c>
    </row>
    <row r="2111" spans="2:2">
      <c r="B2111" s="21">
        <f>IF(AND(C2111&lt;&gt;"", J2111&lt;&gt;""), HYPERLINK("#'" &amp; C2111 &amp; "'!" &amp; J2111, J2111), "")</f>
        <v>0</v>
      </c>
    </row>
    <row r="2112" spans="2:2">
      <c r="B2112" s="21">
        <f>IF(AND(C2112&lt;&gt;"", J2112&lt;&gt;""), HYPERLINK("#'" &amp; C2112 &amp; "'!" &amp; J2112, J2112), "")</f>
        <v>0</v>
      </c>
    </row>
    <row r="2113" spans="2:2">
      <c r="B2113" s="21">
        <f>IF(AND(C2113&lt;&gt;"", J2113&lt;&gt;""), HYPERLINK("#'" &amp; C2113 &amp; "'!" &amp; J2113, J2113), "")</f>
        <v>0</v>
      </c>
    </row>
    <row r="2114" spans="2:2">
      <c r="B2114" s="21">
        <f>IF(AND(C2114&lt;&gt;"", J2114&lt;&gt;""), HYPERLINK("#'" &amp; C2114 &amp; "'!" &amp; J2114, J2114), "")</f>
        <v>0</v>
      </c>
    </row>
    <row r="2115" spans="2:2">
      <c r="B2115" s="21">
        <f>IF(AND(C2115&lt;&gt;"", J2115&lt;&gt;""), HYPERLINK("#'" &amp; C2115 &amp; "'!" &amp; J2115, J2115), "")</f>
        <v>0</v>
      </c>
    </row>
    <row r="2116" spans="2:2">
      <c r="B2116" s="21">
        <f>IF(AND(C2116&lt;&gt;"", J2116&lt;&gt;""), HYPERLINK("#'" &amp; C2116 &amp; "'!" &amp; J2116, J2116), "")</f>
        <v>0</v>
      </c>
    </row>
    <row r="2117" spans="2:2">
      <c r="B2117" s="21">
        <f>IF(AND(C2117&lt;&gt;"", J2117&lt;&gt;""), HYPERLINK("#'" &amp; C2117 &amp; "'!" &amp; J2117, J2117), "")</f>
        <v>0</v>
      </c>
    </row>
    <row r="2118" spans="2:2">
      <c r="B2118" s="21">
        <f>IF(AND(C2118&lt;&gt;"", J2118&lt;&gt;""), HYPERLINK("#'" &amp; C2118 &amp; "'!" &amp; J2118, J2118), "")</f>
        <v>0</v>
      </c>
    </row>
    <row r="2119" spans="2:2">
      <c r="B2119" s="21">
        <f>IF(AND(C2119&lt;&gt;"", J2119&lt;&gt;""), HYPERLINK("#'" &amp; C2119 &amp; "'!" &amp; J2119, J2119), "")</f>
        <v>0</v>
      </c>
    </row>
    <row r="2120" spans="2:2">
      <c r="B2120" s="21">
        <f>IF(AND(C2120&lt;&gt;"", J2120&lt;&gt;""), HYPERLINK("#'" &amp; C2120 &amp; "'!" &amp; J2120, J2120), "")</f>
        <v>0</v>
      </c>
    </row>
    <row r="2121" spans="2:2">
      <c r="B2121" s="21">
        <f>IF(AND(C2121&lt;&gt;"", J2121&lt;&gt;""), HYPERLINK("#'" &amp; C2121 &amp; "'!" &amp; J2121, J2121), "")</f>
        <v>0</v>
      </c>
    </row>
    <row r="2122" spans="2:2">
      <c r="B2122" s="21">
        <f>IF(AND(C2122&lt;&gt;"", J2122&lt;&gt;""), HYPERLINK("#'" &amp; C2122 &amp; "'!" &amp; J2122, J2122), "")</f>
        <v>0</v>
      </c>
    </row>
    <row r="2123" spans="2:2">
      <c r="B2123" s="21">
        <f>IF(AND(C2123&lt;&gt;"", J2123&lt;&gt;""), HYPERLINK("#'" &amp; C2123 &amp; "'!" &amp; J2123, J2123), "")</f>
        <v>0</v>
      </c>
    </row>
    <row r="2124" spans="2:2">
      <c r="B2124" s="21">
        <f>IF(AND(C2124&lt;&gt;"", J2124&lt;&gt;""), HYPERLINK("#'" &amp; C2124 &amp; "'!" &amp; J2124, J2124), "")</f>
        <v>0</v>
      </c>
    </row>
    <row r="2125" spans="2:2">
      <c r="B2125" s="21">
        <f>IF(AND(C2125&lt;&gt;"", J2125&lt;&gt;""), HYPERLINK("#'" &amp; C2125 &amp; "'!" &amp; J2125, J2125), "")</f>
        <v>0</v>
      </c>
    </row>
    <row r="2126" spans="2:2">
      <c r="B2126" s="21">
        <f>IF(AND(C2126&lt;&gt;"", J2126&lt;&gt;""), HYPERLINK("#'" &amp; C2126 &amp; "'!" &amp; J2126, J2126), "")</f>
        <v>0</v>
      </c>
    </row>
    <row r="2127" spans="2:2">
      <c r="B2127" s="21">
        <f>IF(AND(C2127&lt;&gt;"", J2127&lt;&gt;""), HYPERLINK("#'" &amp; C2127 &amp; "'!" &amp; J2127, J2127), "")</f>
        <v>0</v>
      </c>
    </row>
    <row r="2128" spans="2:2">
      <c r="B2128" s="21">
        <f>IF(AND(C2128&lt;&gt;"", J2128&lt;&gt;""), HYPERLINK("#'" &amp; C2128 &amp; "'!" &amp; J2128, J2128), "")</f>
        <v>0</v>
      </c>
    </row>
    <row r="2129" spans="2:2">
      <c r="B2129" s="21">
        <f>IF(AND(C2129&lt;&gt;"", J2129&lt;&gt;""), HYPERLINK("#'" &amp; C2129 &amp; "'!" &amp; J2129, J2129), "")</f>
        <v>0</v>
      </c>
    </row>
    <row r="2130" spans="2:2">
      <c r="B2130" s="21">
        <f>IF(AND(C2130&lt;&gt;"", J2130&lt;&gt;""), HYPERLINK("#'" &amp; C2130 &amp; "'!" &amp; J2130, J2130), "")</f>
        <v>0</v>
      </c>
    </row>
    <row r="2131" spans="2:2">
      <c r="B2131" s="21">
        <f>IF(AND(C2131&lt;&gt;"", J2131&lt;&gt;""), HYPERLINK("#'" &amp; C2131 &amp; "'!" &amp; J2131, J2131), "")</f>
        <v>0</v>
      </c>
    </row>
    <row r="2132" spans="2:2">
      <c r="B2132" s="21">
        <f>IF(AND(C2132&lt;&gt;"", J2132&lt;&gt;""), HYPERLINK("#'" &amp; C2132 &amp; "'!" &amp; J2132, J2132), "")</f>
        <v>0</v>
      </c>
    </row>
    <row r="2133" spans="2:2">
      <c r="B2133" s="21">
        <f>IF(AND(C2133&lt;&gt;"", J2133&lt;&gt;""), HYPERLINK("#'" &amp; C2133 &amp; "'!" &amp; J2133, J2133), "")</f>
        <v>0</v>
      </c>
    </row>
    <row r="2134" spans="2:2">
      <c r="B2134" s="21">
        <f>IF(AND(C2134&lt;&gt;"", J2134&lt;&gt;""), HYPERLINK("#'" &amp; C2134 &amp; "'!" &amp; J2134, J2134), "")</f>
        <v>0</v>
      </c>
    </row>
    <row r="2135" spans="2:2">
      <c r="B2135" s="21">
        <f>IF(AND(C2135&lt;&gt;"", J2135&lt;&gt;""), HYPERLINK("#'" &amp; C2135 &amp; "'!" &amp; J2135, J2135), "")</f>
        <v>0</v>
      </c>
    </row>
    <row r="2136" spans="2:2">
      <c r="B2136" s="21">
        <f>IF(AND(C2136&lt;&gt;"", J2136&lt;&gt;""), HYPERLINK("#'" &amp; C2136 &amp; "'!" &amp; J2136, J2136), "")</f>
        <v>0</v>
      </c>
    </row>
    <row r="2137" spans="2:2">
      <c r="B2137" s="21">
        <f>IF(AND(C2137&lt;&gt;"", J2137&lt;&gt;""), HYPERLINK("#'" &amp; C2137 &amp; "'!" &amp; J2137, J2137), "")</f>
        <v>0</v>
      </c>
    </row>
    <row r="2138" spans="2:2">
      <c r="B2138" s="21">
        <f>IF(AND(C2138&lt;&gt;"", J2138&lt;&gt;""), HYPERLINK("#'" &amp; C2138 &amp; "'!" &amp; J2138, J2138), "")</f>
        <v>0</v>
      </c>
    </row>
    <row r="2139" spans="2:2">
      <c r="B2139" s="21">
        <f>IF(AND(C2139&lt;&gt;"", J2139&lt;&gt;""), HYPERLINK("#'" &amp; C2139 &amp; "'!" &amp; J2139, J2139), "")</f>
        <v>0</v>
      </c>
    </row>
    <row r="2140" spans="2:2">
      <c r="B2140" s="21">
        <f>IF(AND(C2140&lt;&gt;"", J2140&lt;&gt;""), HYPERLINK("#'" &amp; C2140 &amp; "'!" &amp; J2140, J2140), "")</f>
        <v>0</v>
      </c>
    </row>
    <row r="2141" spans="2:2">
      <c r="B2141" s="21">
        <f>IF(AND(C2141&lt;&gt;"", J2141&lt;&gt;""), HYPERLINK("#'" &amp; C2141 &amp; "'!" &amp; J2141, J2141), "")</f>
        <v>0</v>
      </c>
    </row>
    <row r="2142" spans="2:2">
      <c r="B2142" s="21">
        <f>IF(AND(C2142&lt;&gt;"", J2142&lt;&gt;""), HYPERLINK("#'" &amp; C2142 &amp; "'!" &amp; J2142, J2142), "")</f>
        <v>0</v>
      </c>
    </row>
    <row r="2143" spans="2:2">
      <c r="B2143" s="21">
        <f>IF(AND(C2143&lt;&gt;"", J2143&lt;&gt;""), HYPERLINK("#'" &amp; C2143 &amp; "'!" &amp; J2143, J2143), "")</f>
        <v>0</v>
      </c>
    </row>
    <row r="2144" spans="2:2">
      <c r="B2144" s="21">
        <f>IF(AND(C2144&lt;&gt;"", J2144&lt;&gt;""), HYPERLINK("#'" &amp; C2144 &amp; "'!" &amp; J2144, J2144), "")</f>
        <v>0</v>
      </c>
    </row>
    <row r="2145" spans="2:2">
      <c r="B2145" s="21">
        <f>IF(AND(C2145&lt;&gt;"", J2145&lt;&gt;""), HYPERLINK("#'" &amp; C2145 &amp; "'!" &amp; J2145, J2145), "")</f>
        <v>0</v>
      </c>
    </row>
    <row r="2146" spans="2:2">
      <c r="B2146" s="21">
        <f>IF(AND(C2146&lt;&gt;"", J2146&lt;&gt;""), HYPERLINK("#'" &amp; C2146 &amp; "'!" &amp; J2146, J2146), "")</f>
        <v>0</v>
      </c>
    </row>
    <row r="2147" spans="2:2">
      <c r="B2147" s="21">
        <f>IF(AND(C2147&lt;&gt;"", J2147&lt;&gt;""), HYPERLINK("#'" &amp; C2147 &amp; "'!" &amp; J2147, J2147), "")</f>
        <v>0</v>
      </c>
    </row>
    <row r="2148" spans="2:2">
      <c r="B2148" s="21">
        <f>IF(AND(C2148&lt;&gt;"", J2148&lt;&gt;""), HYPERLINK("#'" &amp; C2148 &amp; "'!" &amp; J2148, J2148), "")</f>
        <v>0</v>
      </c>
    </row>
    <row r="2149" spans="2:2">
      <c r="B2149" s="21">
        <f>IF(AND(C2149&lt;&gt;"", J2149&lt;&gt;""), HYPERLINK("#'" &amp; C2149 &amp; "'!" &amp; J2149, J2149), "")</f>
        <v>0</v>
      </c>
    </row>
    <row r="2150" spans="2:2">
      <c r="B2150" s="21">
        <f>IF(AND(C2150&lt;&gt;"", J2150&lt;&gt;""), HYPERLINK("#'" &amp; C2150 &amp; "'!" &amp; J2150, J2150), "")</f>
        <v>0</v>
      </c>
    </row>
    <row r="2151" spans="2:2">
      <c r="B2151" s="21">
        <f>IF(AND(C2151&lt;&gt;"", J2151&lt;&gt;""), HYPERLINK("#'" &amp; C2151 &amp; "'!" &amp; J2151, J2151), "")</f>
        <v>0</v>
      </c>
    </row>
    <row r="2152" spans="2:2">
      <c r="B2152" s="21">
        <f>IF(AND(C2152&lt;&gt;"", J2152&lt;&gt;""), HYPERLINK("#'" &amp; C2152 &amp; "'!" &amp; J2152, J2152), "")</f>
        <v>0</v>
      </c>
    </row>
    <row r="2153" spans="2:2">
      <c r="B2153" s="21">
        <f>IF(AND(C2153&lt;&gt;"", J2153&lt;&gt;""), HYPERLINK("#'" &amp; C2153 &amp; "'!" &amp; J2153, J2153), "")</f>
        <v>0</v>
      </c>
    </row>
    <row r="2154" spans="2:2">
      <c r="B2154" s="21">
        <f>IF(AND(C2154&lt;&gt;"", J2154&lt;&gt;""), HYPERLINK("#'" &amp; C2154 &amp; "'!" &amp; J2154, J2154), "")</f>
        <v>0</v>
      </c>
    </row>
    <row r="2155" spans="2:2">
      <c r="B2155" s="21">
        <f>IF(AND(C2155&lt;&gt;"", J2155&lt;&gt;""), HYPERLINK("#'" &amp; C2155 &amp; "'!" &amp; J2155, J2155), "")</f>
        <v>0</v>
      </c>
    </row>
    <row r="2156" spans="2:2">
      <c r="B2156" s="21">
        <f>IF(AND(C2156&lt;&gt;"", J2156&lt;&gt;""), HYPERLINK("#'" &amp; C2156 &amp; "'!" &amp; J2156, J2156), "")</f>
        <v>0</v>
      </c>
    </row>
    <row r="2157" spans="2:2">
      <c r="B2157" s="21">
        <f>IF(AND(C2157&lt;&gt;"", J2157&lt;&gt;""), HYPERLINK("#'" &amp; C2157 &amp; "'!" &amp; J2157, J2157), "")</f>
        <v>0</v>
      </c>
    </row>
    <row r="2158" spans="2:2">
      <c r="B2158" s="21">
        <f>IF(AND(C2158&lt;&gt;"", J2158&lt;&gt;""), HYPERLINK("#'" &amp; C2158 &amp; "'!" &amp; J2158, J2158), "")</f>
        <v>0</v>
      </c>
    </row>
    <row r="2159" spans="2:2">
      <c r="B2159" s="21">
        <f>IF(AND(C2159&lt;&gt;"", J2159&lt;&gt;""), HYPERLINK("#'" &amp; C2159 &amp; "'!" &amp; J2159, J2159), "")</f>
        <v>0</v>
      </c>
    </row>
    <row r="2160" spans="2:2">
      <c r="B2160" s="21">
        <f>IF(AND(C2160&lt;&gt;"", J2160&lt;&gt;""), HYPERLINK("#'" &amp; C2160 &amp; "'!" &amp; J2160, J2160), "")</f>
        <v>0</v>
      </c>
    </row>
    <row r="2161" spans="2:2">
      <c r="B2161" s="21">
        <f>IF(AND(C2161&lt;&gt;"", J2161&lt;&gt;""), HYPERLINK("#'" &amp; C2161 &amp; "'!" &amp; J2161, J2161), "")</f>
        <v>0</v>
      </c>
    </row>
    <row r="2162" spans="2:2">
      <c r="B2162" s="21">
        <f>IF(AND(C2162&lt;&gt;"", J2162&lt;&gt;""), HYPERLINK("#'" &amp; C2162 &amp; "'!" &amp; J2162, J2162), "")</f>
        <v>0</v>
      </c>
    </row>
    <row r="2163" spans="2:2">
      <c r="B2163" s="21">
        <f>IF(AND(C2163&lt;&gt;"", J2163&lt;&gt;""), HYPERLINK("#'" &amp; C2163 &amp; "'!" &amp; J2163, J2163), "")</f>
        <v>0</v>
      </c>
    </row>
    <row r="2164" spans="2:2">
      <c r="B2164" s="21">
        <f>IF(AND(C2164&lt;&gt;"", J2164&lt;&gt;""), HYPERLINK("#'" &amp; C2164 &amp; "'!" &amp; J2164, J2164), "")</f>
        <v>0</v>
      </c>
    </row>
    <row r="2165" spans="2:2">
      <c r="B2165" s="21">
        <f>IF(AND(C2165&lt;&gt;"", J2165&lt;&gt;""), HYPERLINK("#'" &amp; C2165 &amp; "'!" &amp; J2165, J2165), "")</f>
        <v>0</v>
      </c>
    </row>
    <row r="2166" spans="2:2">
      <c r="B2166" s="21">
        <f>IF(AND(C2166&lt;&gt;"", J2166&lt;&gt;""), HYPERLINK("#'" &amp; C2166 &amp; "'!" &amp; J2166, J2166), "")</f>
        <v>0</v>
      </c>
    </row>
    <row r="2167" spans="2:2">
      <c r="B2167" s="21">
        <f>IF(AND(C2167&lt;&gt;"", J2167&lt;&gt;""), HYPERLINK("#'" &amp; C2167 &amp; "'!" &amp; J2167, J2167), "")</f>
        <v>0</v>
      </c>
    </row>
    <row r="2168" spans="2:2">
      <c r="B2168" s="21">
        <f>IF(AND(C2168&lt;&gt;"", J2168&lt;&gt;""), HYPERLINK("#'" &amp; C2168 &amp; "'!" &amp; J2168, J2168), "")</f>
        <v>0</v>
      </c>
    </row>
    <row r="2169" spans="2:2">
      <c r="B2169" s="21">
        <f>IF(AND(C2169&lt;&gt;"", J2169&lt;&gt;""), HYPERLINK("#'" &amp; C2169 &amp; "'!" &amp; J2169, J2169), "")</f>
        <v>0</v>
      </c>
    </row>
    <row r="2170" spans="2:2">
      <c r="B2170" s="21">
        <f>IF(AND(C2170&lt;&gt;"", J2170&lt;&gt;""), HYPERLINK("#'" &amp; C2170 &amp; "'!" &amp; J2170, J2170), "")</f>
        <v>0</v>
      </c>
    </row>
    <row r="2171" spans="2:2">
      <c r="B2171" s="21">
        <f>IF(AND(C2171&lt;&gt;"", J2171&lt;&gt;""), HYPERLINK("#'" &amp; C2171 &amp; "'!" &amp; J2171, J2171), "")</f>
        <v>0</v>
      </c>
    </row>
    <row r="2172" spans="2:2">
      <c r="B2172" s="21">
        <f>IF(AND(C2172&lt;&gt;"", J2172&lt;&gt;""), HYPERLINK("#'" &amp; C2172 &amp; "'!" &amp; J2172, J2172), "")</f>
        <v>0</v>
      </c>
    </row>
    <row r="2173" spans="2:2">
      <c r="B2173" s="21">
        <f>IF(AND(C2173&lt;&gt;"", J2173&lt;&gt;""), HYPERLINK("#'" &amp; C2173 &amp; "'!" &amp; J2173, J2173), "")</f>
        <v>0</v>
      </c>
    </row>
    <row r="2174" spans="2:2">
      <c r="B2174" s="21">
        <f>IF(AND(C2174&lt;&gt;"", J2174&lt;&gt;""), HYPERLINK("#'" &amp; C2174 &amp; "'!" &amp; J2174, J2174), "")</f>
        <v>0</v>
      </c>
    </row>
    <row r="2175" spans="2:2">
      <c r="B2175" s="21">
        <f>IF(AND(C2175&lt;&gt;"", J2175&lt;&gt;""), HYPERLINK("#'" &amp; C2175 &amp; "'!" &amp; J2175, J2175), "")</f>
        <v>0</v>
      </c>
    </row>
    <row r="2176" spans="2:2">
      <c r="B2176" s="21">
        <f>IF(AND(C2176&lt;&gt;"", J2176&lt;&gt;""), HYPERLINK("#'" &amp; C2176 &amp; "'!" &amp; J2176, J2176), "")</f>
        <v>0</v>
      </c>
    </row>
    <row r="2177" spans="2:2">
      <c r="B2177" s="21">
        <f>IF(AND(C2177&lt;&gt;"", J2177&lt;&gt;""), HYPERLINK("#'" &amp; C2177 &amp; "'!" &amp; J2177, J2177), "")</f>
        <v>0</v>
      </c>
    </row>
    <row r="2178" spans="2:2">
      <c r="B2178" s="21">
        <f>IF(AND(C2178&lt;&gt;"", J2178&lt;&gt;""), HYPERLINK("#'" &amp; C2178 &amp; "'!" &amp; J2178, J2178), "")</f>
        <v>0</v>
      </c>
    </row>
    <row r="2179" spans="2:2">
      <c r="B2179" s="21">
        <f>IF(AND(C2179&lt;&gt;"", J2179&lt;&gt;""), HYPERLINK("#'" &amp; C2179 &amp; "'!" &amp; J2179, J2179), "")</f>
        <v>0</v>
      </c>
    </row>
    <row r="2180" spans="2:2">
      <c r="B2180" s="21">
        <f>IF(AND(C2180&lt;&gt;"", J2180&lt;&gt;""), HYPERLINK("#'" &amp; C2180 &amp; "'!" &amp; J2180, J2180), "")</f>
        <v>0</v>
      </c>
    </row>
    <row r="2181" spans="2:2">
      <c r="B2181" s="21">
        <f>IF(AND(C2181&lt;&gt;"", J2181&lt;&gt;""), HYPERLINK("#'" &amp; C2181 &amp; "'!" &amp; J2181, J2181), "")</f>
        <v>0</v>
      </c>
    </row>
    <row r="2182" spans="2:2">
      <c r="B2182" s="21">
        <f>IF(AND(C2182&lt;&gt;"", J2182&lt;&gt;""), HYPERLINK("#'" &amp; C2182 &amp; "'!" &amp; J2182, J2182), "")</f>
        <v>0</v>
      </c>
    </row>
    <row r="2183" spans="2:2">
      <c r="B2183" s="21">
        <f>IF(AND(C2183&lt;&gt;"", J2183&lt;&gt;""), HYPERLINK("#'" &amp; C2183 &amp; "'!" &amp; J2183, J2183), "")</f>
        <v>0</v>
      </c>
    </row>
    <row r="2184" spans="2:2">
      <c r="B2184" s="21">
        <f>IF(AND(C2184&lt;&gt;"", J2184&lt;&gt;""), HYPERLINK("#'" &amp; C2184 &amp; "'!" &amp; J2184, J2184), "")</f>
        <v>0</v>
      </c>
    </row>
    <row r="2185" spans="2:2">
      <c r="B2185" s="21">
        <f>IF(AND(C2185&lt;&gt;"", J2185&lt;&gt;""), HYPERLINK("#'" &amp; C2185 &amp; "'!" &amp; J2185, J2185), "")</f>
        <v>0</v>
      </c>
    </row>
    <row r="2186" spans="2:2">
      <c r="B2186" s="21">
        <f>IF(AND(C2186&lt;&gt;"", J2186&lt;&gt;""), HYPERLINK("#'" &amp; C2186 &amp; "'!" &amp; J2186, J2186), "")</f>
        <v>0</v>
      </c>
    </row>
    <row r="2187" spans="2:2">
      <c r="B2187" s="21">
        <f>IF(AND(C2187&lt;&gt;"", J2187&lt;&gt;""), HYPERLINK("#'" &amp; C2187 &amp; "'!" &amp; J2187, J2187), "")</f>
        <v>0</v>
      </c>
    </row>
    <row r="2188" spans="2:2">
      <c r="B2188" s="21">
        <f>IF(AND(C2188&lt;&gt;"", J2188&lt;&gt;""), HYPERLINK("#'" &amp; C2188 &amp; "'!" &amp; J2188, J2188), "")</f>
        <v>0</v>
      </c>
    </row>
    <row r="2189" spans="2:2">
      <c r="B2189" s="21">
        <f>IF(AND(C2189&lt;&gt;"", J2189&lt;&gt;""), HYPERLINK("#'" &amp; C2189 &amp; "'!" &amp; J2189, J2189), "")</f>
        <v>0</v>
      </c>
    </row>
    <row r="2190" spans="2:2">
      <c r="B2190" s="21">
        <f>IF(AND(C2190&lt;&gt;"", J2190&lt;&gt;""), HYPERLINK("#'" &amp; C2190 &amp; "'!" &amp; J2190, J2190), "")</f>
        <v>0</v>
      </c>
    </row>
    <row r="2191" spans="2:2">
      <c r="B2191" s="21">
        <f>IF(AND(C2191&lt;&gt;"", J2191&lt;&gt;""), HYPERLINK("#'" &amp; C2191 &amp; "'!" &amp; J2191, J2191), "")</f>
        <v>0</v>
      </c>
    </row>
    <row r="2192" spans="2:2">
      <c r="B2192" s="21">
        <f>IF(AND(C2192&lt;&gt;"", J2192&lt;&gt;""), HYPERLINK("#'" &amp; C2192 &amp; "'!" &amp; J2192, J2192), "")</f>
        <v>0</v>
      </c>
    </row>
    <row r="2193" spans="2:2">
      <c r="B2193" s="21">
        <f>IF(AND(C2193&lt;&gt;"", J2193&lt;&gt;""), HYPERLINK("#'" &amp; C2193 &amp; "'!" &amp; J2193, J2193), "")</f>
        <v>0</v>
      </c>
    </row>
    <row r="2194" spans="2:2">
      <c r="B2194" s="21">
        <f>IF(AND(C2194&lt;&gt;"", J2194&lt;&gt;""), HYPERLINK("#'" &amp; C2194 &amp; "'!" &amp; J2194, J2194), "")</f>
        <v>0</v>
      </c>
    </row>
    <row r="2195" spans="2:2">
      <c r="B2195" s="21">
        <f>IF(AND(C2195&lt;&gt;"", J2195&lt;&gt;""), HYPERLINK("#'" &amp; C2195 &amp; "'!" &amp; J2195, J2195), "")</f>
        <v>0</v>
      </c>
    </row>
    <row r="2196" spans="2:2">
      <c r="B2196" s="21">
        <f>IF(AND(C2196&lt;&gt;"", J2196&lt;&gt;""), HYPERLINK("#'" &amp; C2196 &amp; "'!" &amp; J2196, J2196), "")</f>
        <v>0</v>
      </c>
    </row>
    <row r="2197" spans="2:2">
      <c r="B2197" s="21">
        <f>IF(AND(C2197&lt;&gt;"", J2197&lt;&gt;""), HYPERLINK("#'" &amp; C2197 &amp; "'!" &amp; J2197, J2197), "")</f>
        <v>0</v>
      </c>
    </row>
    <row r="2198" spans="2:2">
      <c r="B2198" s="21">
        <f>IF(AND(C2198&lt;&gt;"", J2198&lt;&gt;""), HYPERLINK("#'" &amp; C2198 &amp; "'!" &amp; J2198, J2198), "")</f>
        <v>0</v>
      </c>
    </row>
    <row r="2199" spans="2:2">
      <c r="B2199" s="21">
        <f>IF(AND(C2199&lt;&gt;"", J2199&lt;&gt;""), HYPERLINK("#'" &amp; C2199 &amp; "'!" &amp; J2199, J2199), "")</f>
        <v>0</v>
      </c>
    </row>
    <row r="2200" spans="2:2">
      <c r="B2200" s="21">
        <f>IF(AND(C2200&lt;&gt;"", J2200&lt;&gt;""), HYPERLINK("#'" &amp; C2200 &amp; "'!" &amp; J2200, J2200), "")</f>
        <v>0</v>
      </c>
    </row>
    <row r="2201" spans="2:2">
      <c r="B2201" s="21">
        <f>IF(AND(C2201&lt;&gt;"", J2201&lt;&gt;""), HYPERLINK("#'" &amp; C2201 &amp; "'!" &amp; J2201, J2201), "")</f>
        <v>0</v>
      </c>
    </row>
    <row r="2202" spans="2:2">
      <c r="B2202" s="21">
        <f>IF(AND(C2202&lt;&gt;"", J2202&lt;&gt;""), HYPERLINK("#'" &amp; C2202 &amp; "'!" &amp; J2202, J2202), "")</f>
        <v>0</v>
      </c>
    </row>
    <row r="2203" spans="2:2">
      <c r="B2203" s="21">
        <f>IF(AND(C2203&lt;&gt;"", J2203&lt;&gt;""), HYPERLINK("#'" &amp; C2203 &amp; "'!" &amp; J2203, J2203), "")</f>
        <v>0</v>
      </c>
    </row>
    <row r="2204" spans="2:2">
      <c r="B2204" s="21">
        <f>IF(AND(C2204&lt;&gt;"", J2204&lt;&gt;""), HYPERLINK("#'" &amp; C2204 &amp; "'!" &amp; J2204, J2204), "")</f>
        <v>0</v>
      </c>
    </row>
    <row r="2205" spans="2:2">
      <c r="B2205" s="21">
        <f>IF(AND(C2205&lt;&gt;"", J2205&lt;&gt;""), HYPERLINK("#'" &amp; C2205 &amp; "'!" &amp; J2205, J2205), "")</f>
        <v>0</v>
      </c>
    </row>
    <row r="2206" spans="2:2">
      <c r="B2206" s="21">
        <f>IF(AND(C2206&lt;&gt;"", J2206&lt;&gt;""), HYPERLINK("#'" &amp; C2206 &amp; "'!" &amp; J2206, J2206), "")</f>
        <v>0</v>
      </c>
    </row>
    <row r="2207" spans="2:2">
      <c r="B2207" s="21">
        <f>IF(AND(C2207&lt;&gt;"", J2207&lt;&gt;""), HYPERLINK("#'" &amp; C2207 &amp; "'!" &amp; J2207, J2207), "")</f>
        <v>0</v>
      </c>
    </row>
    <row r="2208" spans="2:2">
      <c r="B2208" s="21">
        <f>IF(AND(C2208&lt;&gt;"", J2208&lt;&gt;""), HYPERLINK("#'" &amp; C2208 &amp; "'!" &amp; J2208, J2208), "")</f>
        <v>0</v>
      </c>
    </row>
    <row r="2209" spans="2:2">
      <c r="B2209" s="21">
        <f>IF(AND(C2209&lt;&gt;"", J2209&lt;&gt;""), HYPERLINK("#'" &amp; C2209 &amp; "'!" &amp; J2209, J2209), "")</f>
        <v>0</v>
      </c>
    </row>
    <row r="2210" spans="2:2">
      <c r="B2210" s="21">
        <f>IF(AND(C2210&lt;&gt;"", J2210&lt;&gt;""), HYPERLINK("#'" &amp; C2210 &amp; "'!" &amp; J2210, J2210), "")</f>
        <v>0</v>
      </c>
    </row>
    <row r="2211" spans="2:2">
      <c r="B2211" s="21">
        <f>IF(AND(C2211&lt;&gt;"", J2211&lt;&gt;""), HYPERLINK("#'" &amp; C2211 &amp; "'!" &amp; J2211, J2211), "")</f>
        <v>0</v>
      </c>
    </row>
    <row r="2212" spans="2:2">
      <c r="B2212" s="21">
        <f>IF(AND(C2212&lt;&gt;"", J2212&lt;&gt;""), HYPERLINK("#'" &amp; C2212 &amp; "'!" &amp; J2212, J2212), "")</f>
        <v>0</v>
      </c>
    </row>
    <row r="2213" spans="2:2">
      <c r="B2213" s="21">
        <f>IF(AND(C2213&lt;&gt;"", J2213&lt;&gt;""), HYPERLINK("#'" &amp; C2213 &amp; "'!" &amp; J2213, J2213), "")</f>
        <v>0</v>
      </c>
    </row>
    <row r="2214" spans="2:2">
      <c r="B2214" s="21">
        <f>IF(AND(C2214&lt;&gt;"", J2214&lt;&gt;""), HYPERLINK("#'" &amp; C2214 &amp; "'!" &amp; J2214, J2214), "")</f>
        <v>0</v>
      </c>
    </row>
    <row r="2215" spans="2:2">
      <c r="B2215" s="21">
        <f>IF(AND(C2215&lt;&gt;"", J2215&lt;&gt;""), HYPERLINK("#'" &amp; C2215 &amp; "'!" &amp; J2215, J2215), "")</f>
        <v>0</v>
      </c>
    </row>
    <row r="2216" spans="2:2">
      <c r="B2216" s="21">
        <f>IF(AND(C2216&lt;&gt;"", J2216&lt;&gt;""), HYPERLINK("#'" &amp; C2216 &amp; "'!" &amp; J2216, J2216), "")</f>
        <v>0</v>
      </c>
    </row>
    <row r="2217" spans="2:2">
      <c r="B2217" s="21">
        <f>IF(AND(C2217&lt;&gt;"", J2217&lt;&gt;""), HYPERLINK("#'" &amp; C2217 &amp; "'!" &amp; J2217, J2217), "")</f>
        <v>0</v>
      </c>
    </row>
    <row r="2218" spans="2:2">
      <c r="B2218" s="21">
        <f>IF(AND(C2218&lt;&gt;"", J2218&lt;&gt;""), HYPERLINK("#'" &amp; C2218 &amp; "'!" &amp; J2218, J2218), "")</f>
        <v>0</v>
      </c>
    </row>
    <row r="2219" spans="2:2">
      <c r="B2219" s="21">
        <f>IF(AND(C2219&lt;&gt;"", J2219&lt;&gt;""), HYPERLINK("#'" &amp; C2219 &amp; "'!" &amp; J2219, J2219), "")</f>
        <v>0</v>
      </c>
    </row>
    <row r="2220" spans="2:2">
      <c r="B2220" s="21">
        <f>IF(AND(C2220&lt;&gt;"", J2220&lt;&gt;""), HYPERLINK("#'" &amp; C2220 &amp; "'!" &amp; J2220, J2220), "")</f>
        <v>0</v>
      </c>
    </row>
    <row r="2221" spans="2:2">
      <c r="B2221" s="21">
        <f>IF(AND(C2221&lt;&gt;"", J2221&lt;&gt;""), HYPERLINK("#'" &amp; C2221 &amp; "'!" &amp; J2221, J2221), "")</f>
        <v>0</v>
      </c>
    </row>
    <row r="2222" spans="2:2">
      <c r="B2222" s="21">
        <f>IF(AND(C2222&lt;&gt;"", J2222&lt;&gt;""), HYPERLINK("#'" &amp; C2222 &amp; "'!" &amp; J2222, J2222), "")</f>
        <v>0</v>
      </c>
    </row>
    <row r="2223" spans="2:2">
      <c r="B2223" s="21">
        <f>IF(AND(C2223&lt;&gt;"", J2223&lt;&gt;""), HYPERLINK("#'" &amp; C2223 &amp; "'!" &amp; J2223, J2223), "")</f>
        <v>0</v>
      </c>
    </row>
    <row r="2224" spans="2:2">
      <c r="B2224" s="21">
        <f>IF(AND(C2224&lt;&gt;"", J2224&lt;&gt;""), HYPERLINK("#'" &amp; C2224 &amp; "'!" &amp; J2224, J2224), "")</f>
        <v>0</v>
      </c>
    </row>
    <row r="2225" spans="2:2">
      <c r="B2225" s="21">
        <f>IF(AND(C2225&lt;&gt;"", J2225&lt;&gt;""), HYPERLINK("#'" &amp; C2225 &amp; "'!" &amp; J2225, J2225), "")</f>
        <v>0</v>
      </c>
    </row>
    <row r="2226" spans="2:2">
      <c r="B2226" s="21">
        <f>IF(AND(C2226&lt;&gt;"", J2226&lt;&gt;""), HYPERLINK("#'" &amp; C2226 &amp; "'!" &amp; J2226, J2226), "")</f>
        <v>0</v>
      </c>
    </row>
    <row r="2227" spans="2:2">
      <c r="B2227" s="21">
        <f>IF(AND(C2227&lt;&gt;"", J2227&lt;&gt;""), HYPERLINK("#'" &amp; C2227 &amp; "'!" &amp; J2227, J2227), "")</f>
        <v>0</v>
      </c>
    </row>
    <row r="2228" spans="2:2">
      <c r="B2228" s="21">
        <f>IF(AND(C2228&lt;&gt;"", J2228&lt;&gt;""), HYPERLINK("#'" &amp; C2228 &amp; "'!" &amp; J2228, J2228), "")</f>
        <v>0</v>
      </c>
    </row>
    <row r="2229" spans="2:2">
      <c r="B2229" s="21">
        <f>IF(AND(C2229&lt;&gt;"", J2229&lt;&gt;""), HYPERLINK("#'" &amp; C2229 &amp; "'!" &amp; J2229, J2229), "")</f>
        <v>0</v>
      </c>
    </row>
    <row r="2230" spans="2:2">
      <c r="B2230" s="21">
        <f>IF(AND(C2230&lt;&gt;"", J2230&lt;&gt;""), HYPERLINK("#'" &amp; C2230 &amp; "'!" &amp; J2230, J2230), "")</f>
        <v>0</v>
      </c>
    </row>
    <row r="2231" spans="2:2">
      <c r="B2231" s="21">
        <f>IF(AND(C2231&lt;&gt;"", J2231&lt;&gt;""), HYPERLINK("#'" &amp; C2231 &amp; "'!" &amp; J2231, J2231), "")</f>
        <v>0</v>
      </c>
    </row>
    <row r="2232" spans="2:2">
      <c r="B2232" s="21">
        <f>IF(AND(C2232&lt;&gt;"", J2232&lt;&gt;""), HYPERLINK("#'" &amp; C2232 &amp; "'!" &amp; J2232, J2232), "")</f>
        <v>0</v>
      </c>
    </row>
    <row r="2233" spans="2:2">
      <c r="B2233" s="21">
        <f>IF(AND(C2233&lt;&gt;"", J2233&lt;&gt;""), HYPERLINK("#'" &amp; C2233 &amp; "'!" &amp; J2233, J2233), "")</f>
        <v>0</v>
      </c>
    </row>
    <row r="2234" spans="2:2">
      <c r="B2234" s="21">
        <f>IF(AND(C2234&lt;&gt;"", J2234&lt;&gt;""), HYPERLINK("#'" &amp; C2234 &amp; "'!" &amp; J2234, J2234), "")</f>
        <v>0</v>
      </c>
    </row>
    <row r="2235" spans="2:2">
      <c r="B2235" s="21">
        <f>IF(AND(C2235&lt;&gt;"", J2235&lt;&gt;""), HYPERLINK("#'" &amp; C2235 &amp; "'!" &amp; J2235, J2235), "")</f>
        <v>0</v>
      </c>
    </row>
    <row r="2236" spans="2:2">
      <c r="B2236" s="21">
        <f>IF(AND(C2236&lt;&gt;"", J2236&lt;&gt;""), HYPERLINK("#'" &amp; C2236 &amp; "'!" &amp; J2236, J2236), "")</f>
        <v>0</v>
      </c>
    </row>
    <row r="2237" spans="2:2">
      <c r="B2237" s="21">
        <f>IF(AND(C2237&lt;&gt;"", J2237&lt;&gt;""), HYPERLINK("#'" &amp; C2237 &amp; "'!" &amp; J2237, J2237), "")</f>
        <v>0</v>
      </c>
    </row>
    <row r="2238" spans="2:2">
      <c r="B2238" s="21">
        <f>IF(AND(C2238&lt;&gt;"", J2238&lt;&gt;""), HYPERLINK("#'" &amp; C2238 &amp; "'!" &amp; J2238, J2238), "")</f>
        <v>0</v>
      </c>
    </row>
    <row r="2239" spans="2:2">
      <c r="B2239" s="21">
        <f>IF(AND(C2239&lt;&gt;"", J2239&lt;&gt;""), HYPERLINK("#'" &amp; C2239 &amp; "'!" &amp; J2239, J2239), "")</f>
        <v>0</v>
      </c>
    </row>
    <row r="2240" spans="2:2">
      <c r="B2240" s="21">
        <f>IF(AND(C2240&lt;&gt;"", J2240&lt;&gt;""), HYPERLINK("#'" &amp; C2240 &amp; "'!" &amp; J2240, J2240), "")</f>
        <v>0</v>
      </c>
    </row>
    <row r="2241" spans="2:2">
      <c r="B2241" s="21">
        <f>IF(AND(C2241&lt;&gt;"", J2241&lt;&gt;""), HYPERLINK("#'" &amp; C2241 &amp; "'!" &amp; J2241, J2241), "")</f>
        <v>0</v>
      </c>
    </row>
    <row r="2242" spans="2:2">
      <c r="B2242" s="21">
        <f>IF(AND(C2242&lt;&gt;"", J2242&lt;&gt;""), HYPERLINK("#'" &amp; C2242 &amp; "'!" &amp; J2242, J2242), "")</f>
        <v>0</v>
      </c>
    </row>
    <row r="2243" spans="2:2">
      <c r="B2243" s="21">
        <f>IF(AND(C2243&lt;&gt;"", J2243&lt;&gt;""), HYPERLINK("#'" &amp; C2243 &amp; "'!" &amp; J2243, J2243), "")</f>
        <v>0</v>
      </c>
    </row>
    <row r="2244" spans="2:2">
      <c r="B2244" s="21">
        <f>IF(AND(C2244&lt;&gt;"", J2244&lt;&gt;""), HYPERLINK("#'" &amp; C2244 &amp; "'!" &amp; J2244, J2244), "")</f>
        <v>0</v>
      </c>
    </row>
    <row r="2245" spans="2:2">
      <c r="B2245" s="21">
        <f>IF(AND(C2245&lt;&gt;"", J2245&lt;&gt;""), HYPERLINK("#'" &amp; C2245 &amp; "'!" &amp; J2245, J2245), "")</f>
        <v>0</v>
      </c>
    </row>
    <row r="2246" spans="2:2">
      <c r="B2246" s="21">
        <f>IF(AND(C2246&lt;&gt;"", J2246&lt;&gt;""), HYPERLINK("#'" &amp; C2246 &amp; "'!" &amp; J2246, J2246), "")</f>
        <v>0</v>
      </c>
    </row>
    <row r="2247" spans="2:2">
      <c r="B2247" s="21">
        <f>IF(AND(C2247&lt;&gt;"", J2247&lt;&gt;""), HYPERLINK("#'" &amp; C2247 &amp; "'!" &amp; J2247, J2247), "")</f>
        <v>0</v>
      </c>
    </row>
    <row r="2248" spans="2:2">
      <c r="B2248" s="21">
        <f>IF(AND(C2248&lt;&gt;"", J2248&lt;&gt;""), HYPERLINK("#'" &amp; C2248 &amp; "'!" &amp; J2248, J2248), "")</f>
        <v>0</v>
      </c>
    </row>
    <row r="2249" spans="2:2">
      <c r="B2249" s="21">
        <f>IF(AND(C2249&lt;&gt;"", J2249&lt;&gt;""), HYPERLINK("#'" &amp; C2249 &amp; "'!" &amp; J2249, J2249), "")</f>
        <v>0</v>
      </c>
    </row>
    <row r="2250" spans="2:2">
      <c r="B2250" s="21">
        <f>IF(AND(C2250&lt;&gt;"", J2250&lt;&gt;""), HYPERLINK("#'" &amp; C2250 &amp; "'!" &amp; J2250, J2250), "")</f>
        <v>0</v>
      </c>
    </row>
    <row r="2251" spans="2:2">
      <c r="B2251" s="21">
        <f>IF(AND(C2251&lt;&gt;"", J2251&lt;&gt;""), HYPERLINK("#'" &amp; C2251 &amp; "'!" &amp; J2251, J2251), "")</f>
        <v>0</v>
      </c>
    </row>
    <row r="2252" spans="2:2">
      <c r="B2252" s="21">
        <f>IF(AND(C2252&lt;&gt;"", J2252&lt;&gt;""), HYPERLINK("#'" &amp; C2252 &amp; "'!" &amp; J2252, J2252), "")</f>
        <v>0</v>
      </c>
    </row>
    <row r="2253" spans="2:2">
      <c r="B2253" s="21">
        <f>IF(AND(C2253&lt;&gt;"", J2253&lt;&gt;""), HYPERLINK("#'" &amp; C2253 &amp; "'!" &amp; J2253, J2253), "")</f>
        <v>0</v>
      </c>
    </row>
    <row r="2254" spans="2:2">
      <c r="B2254" s="21">
        <f>IF(AND(C2254&lt;&gt;"", J2254&lt;&gt;""), HYPERLINK("#'" &amp; C2254 &amp; "'!" &amp; J2254, J2254), "")</f>
        <v>0</v>
      </c>
    </row>
    <row r="2255" spans="2:2">
      <c r="B2255" s="21">
        <f>IF(AND(C2255&lt;&gt;"", J2255&lt;&gt;""), HYPERLINK("#'" &amp; C2255 &amp; "'!" &amp; J2255, J2255), "")</f>
        <v>0</v>
      </c>
    </row>
    <row r="2256" spans="2:2">
      <c r="B2256" s="21">
        <f>IF(AND(C2256&lt;&gt;"", J2256&lt;&gt;""), HYPERLINK("#'" &amp; C2256 &amp; "'!" &amp; J2256, J2256), "")</f>
        <v>0</v>
      </c>
    </row>
    <row r="2257" spans="2:2">
      <c r="B2257" s="21">
        <f>IF(AND(C2257&lt;&gt;"", J2257&lt;&gt;""), HYPERLINK("#'" &amp; C2257 &amp; "'!" &amp; J2257, J2257), "")</f>
        <v>0</v>
      </c>
    </row>
    <row r="2258" spans="2:2">
      <c r="B2258" s="21">
        <f>IF(AND(C2258&lt;&gt;"", J2258&lt;&gt;""), HYPERLINK("#'" &amp; C2258 &amp; "'!" &amp; J2258, J2258), "")</f>
        <v>0</v>
      </c>
    </row>
    <row r="2259" spans="2:2">
      <c r="B2259" s="21">
        <f>IF(AND(C2259&lt;&gt;"", J2259&lt;&gt;""), HYPERLINK("#'" &amp; C2259 &amp; "'!" &amp; J2259, J2259), "")</f>
        <v>0</v>
      </c>
    </row>
    <row r="2260" spans="2:2">
      <c r="B2260" s="21">
        <f>IF(AND(C2260&lt;&gt;"", J2260&lt;&gt;""), HYPERLINK("#'" &amp; C2260 &amp; "'!" &amp; J2260, J2260), "")</f>
        <v>0</v>
      </c>
    </row>
    <row r="2261" spans="2:2">
      <c r="B2261" s="21">
        <f>IF(AND(C2261&lt;&gt;"", J2261&lt;&gt;""), HYPERLINK("#'" &amp; C2261 &amp; "'!" &amp; J2261, J2261), "")</f>
        <v>0</v>
      </c>
    </row>
    <row r="2262" spans="2:2">
      <c r="B2262" s="21">
        <f>IF(AND(C2262&lt;&gt;"", J2262&lt;&gt;""), HYPERLINK("#'" &amp; C2262 &amp; "'!" &amp; J2262, J2262), "")</f>
        <v>0</v>
      </c>
    </row>
    <row r="2263" spans="2:2">
      <c r="B2263" s="21">
        <f>IF(AND(C2263&lt;&gt;"", J2263&lt;&gt;""), HYPERLINK("#'" &amp; C2263 &amp; "'!" &amp; J2263, J2263), "")</f>
        <v>0</v>
      </c>
    </row>
    <row r="2264" spans="2:2">
      <c r="B2264" s="21">
        <f>IF(AND(C2264&lt;&gt;"", J2264&lt;&gt;""), HYPERLINK("#'" &amp; C2264 &amp; "'!" &amp; J2264, J2264), "")</f>
        <v>0</v>
      </c>
    </row>
    <row r="2265" spans="2:2">
      <c r="B2265" s="21">
        <f>IF(AND(C2265&lt;&gt;"", J2265&lt;&gt;""), HYPERLINK("#'" &amp; C2265 &amp; "'!" &amp; J2265, J2265), "")</f>
        <v>0</v>
      </c>
    </row>
    <row r="2266" spans="2:2">
      <c r="B2266" s="21">
        <f>IF(AND(C2266&lt;&gt;"", J2266&lt;&gt;""), HYPERLINK("#'" &amp; C2266 &amp; "'!" &amp; J2266, J2266), "")</f>
        <v>0</v>
      </c>
    </row>
    <row r="2267" spans="2:2">
      <c r="B2267" s="21">
        <f>IF(AND(C2267&lt;&gt;"", J2267&lt;&gt;""), HYPERLINK("#'" &amp; C2267 &amp; "'!" &amp; J2267, J2267), "")</f>
        <v>0</v>
      </c>
    </row>
    <row r="2268" spans="2:2">
      <c r="B2268" s="21">
        <f>IF(AND(C2268&lt;&gt;"", J2268&lt;&gt;""), HYPERLINK("#'" &amp; C2268 &amp; "'!" &amp; J2268, J2268), "")</f>
        <v>0</v>
      </c>
    </row>
    <row r="2269" spans="2:2">
      <c r="B2269" s="21">
        <f>IF(AND(C2269&lt;&gt;"", J2269&lt;&gt;""), HYPERLINK("#'" &amp; C2269 &amp; "'!" &amp; J2269, J2269), "")</f>
        <v>0</v>
      </c>
    </row>
    <row r="2270" spans="2:2">
      <c r="B2270" s="21">
        <f>IF(AND(C2270&lt;&gt;"", J2270&lt;&gt;""), HYPERLINK("#'" &amp; C2270 &amp; "'!" &amp; J2270, J2270), "")</f>
        <v>0</v>
      </c>
    </row>
    <row r="2271" spans="2:2">
      <c r="B2271" s="21">
        <f>IF(AND(C2271&lt;&gt;"", J2271&lt;&gt;""), HYPERLINK("#'" &amp; C2271 &amp; "'!" &amp; J2271, J2271), "")</f>
        <v>0</v>
      </c>
    </row>
    <row r="2272" spans="2:2">
      <c r="B2272" s="21">
        <f>IF(AND(C2272&lt;&gt;"", J2272&lt;&gt;""), HYPERLINK("#'" &amp; C2272 &amp; "'!" &amp; J2272, J2272), "")</f>
        <v>0</v>
      </c>
    </row>
    <row r="2273" spans="2:2">
      <c r="B2273" s="21">
        <f>IF(AND(C2273&lt;&gt;"", J2273&lt;&gt;""), HYPERLINK("#'" &amp; C2273 &amp; "'!" &amp; J2273, J2273), "")</f>
        <v>0</v>
      </c>
    </row>
    <row r="2274" spans="2:2">
      <c r="B2274" s="21">
        <f>IF(AND(C2274&lt;&gt;"", J2274&lt;&gt;""), HYPERLINK("#'" &amp; C2274 &amp; "'!" &amp; J2274, J2274), "")</f>
        <v>0</v>
      </c>
    </row>
    <row r="2275" spans="2:2">
      <c r="B2275" s="21">
        <f>IF(AND(C2275&lt;&gt;"", J2275&lt;&gt;""), HYPERLINK("#'" &amp; C2275 &amp; "'!" &amp; J2275, J2275), "")</f>
        <v>0</v>
      </c>
    </row>
    <row r="2276" spans="2:2">
      <c r="B2276" s="21">
        <f>IF(AND(C2276&lt;&gt;"", J2276&lt;&gt;""), HYPERLINK("#'" &amp; C2276 &amp; "'!" &amp; J2276, J2276), "")</f>
        <v>0</v>
      </c>
    </row>
    <row r="2277" spans="2:2">
      <c r="B2277" s="21">
        <f>IF(AND(C2277&lt;&gt;"", J2277&lt;&gt;""), HYPERLINK("#'" &amp; C2277 &amp; "'!" &amp; J2277, J2277), "")</f>
        <v>0</v>
      </c>
    </row>
    <row r="2278" spans="2:2">
      <c r="B2278" s="21">
        <f>IF(AND(C2278&lt;&gt;"", J2278&lt;&gt;""), HYPERLINK("#'" &amp; C2278 &amp; "'!" &amp; J2278, J2278), "")</f>
        <v>0</v>
      </c>
    </row>
    <row r="2279" spans="2:2">
      <c r="B2279" s="21">
        <f>IF(AND(C2279&lt;&gt;"", J2279&lt;&gt;""), HYPERLINK("#'" &amp; C2279 &amp; "'!" &amp; J2279, J2279), "")</f>
        <v>0</v>
      </c>
    </row>
    <row r="2280" spans="2:2">
      <c r="B2280" s="21">
        <f>IF(AND(C2280&lt;&gt;"", J2280&lt;&gt;""), HYPERLINK("#'" &amp; C2280 &amp; "'!" &amp; J2280, J2280), "")</f>
        <v>0</v>
      </c>
    </row>
    <row r="2281" spans="2:2">
      <c r="B2281" s="21">
        <f>IF(AND(C2281&lt;&gt;"", J2281&lt;&gt;""), HYPERLINK("#'" &amp; C2281 &amp; "'!" &amp; J2281, J2281), "")</f>
        <v>0</v>
      </c>
    </row>
    <row r="2282" spans="2:2">
      <c r="B2282" s="21">
        <f>IF(AND(C2282&lt;&gt;"", J2282&lt;&gt;""), HYPERLINK("#'" &amp; C2282 &amp; "'!" &amp; J2282, J2282), "")</f>
        <v>0</v>
      </c>
    </row>
    <row r="2283" spans="2:2">
      <c r="B2283" s="21">
        <f>IF(AND(C2283&lt;&gt;"", J2283&lt;&gt;""), HYPERLINK("#'" &amp; C2283 &amp; "'!" &amp; J2283, J2283), "")</f>
        <v>0</v>
      </c>
    </row>
    <row r="2284" spans="2:2">
      <c r="B2284" s="21">
        <f>IF(AND(C2284&lt;&gt;"", J2284&lt;&gt;""), HYPERLINK("#'" &amp; C2284 &amp; "'!" &amp; J2284, J2284), "")</f>
        <v>0</v>
      </c>
    </row>
    <row r="2285" spans="2:2">
      <c r="B2285" s="21">
        <f>IF(AND(C2285&lt;&gt;"", J2285&lt;&gt;""), HYPERLINK("#'" &amp; C2285 &amp; "'!" &amp; J2285, J2285), "")</f>
        <v>0</v>
      </c>
    </row>
    <row r="2286" spans="2:2">
      <c r="B2286" s="21">
        <f>IF(AND(C2286&lt;&gt;"", J2286&lt;&gt;""), HYPERLINK("#'" &amp; C2286 &amp; "'!" &amp; J2286, J2286), "")</f>
        <v>0</v>
      </c>
    </row>
    <row r="2287" spans="2:2">
      <c r="B2287" s="21">
        <f>IF(AND(C2287&lt;&gt;"", J2287&lt;&gt;""), HYPERLINK("#'" &amp; C2287 &amp; "'!" &amp; J2287, J2287), "")</f>
        <v>0</v>
      </c>
    </row>
    <row r="2288" spans="2:2">
      <c r="B2288" s="21">
        <f>IF(AND(C2288&lt;&gt;"", J2288&lt;&gt;""), HYPERLINK("#'" &amp; C2288 &amp; "'!" &amp; J2288, J2288), "")</f>
        <v>0</v>
      </c>
    </row>
    <row r="2289" spans="2:2">
      <c r="B2289" s="21">
        <f>IF(AND(C2289&lt;&gt;"", J2289&lt;&gt;""), HYPERLINK("#'" &amp; C2289 &amp; "'!" &amp; J2289, J2289), "")</f>
        <v>0</v>
      </c>
    </row>
    <row r="2290" spans="2:2">
      <c r="B2290" s="21">
        <f>IF(AND(C2290&lt;&gt;"", J2290&lt;&gt;""), HYPERLINK("#'" &amp; C2290 &amp; "'!" &amp; J2290, J2290), "")</f>
        <v>0</v>
      </c>
    </row>
    <row r="2291" spans="2:2">
      <c r="B2291" s="21">
        <f>IF(AND(C2291&lt;&gt;"", J2291&lt;&gt;""), HYPERLINK("#'" &amp; C2291 &amp; "'!" &amp; J2291, J2291), "")</f>
        <v>0</v>
      </c>
    </row>
    <row r="2292" spans="2:2">
      <c r="B2292" s="21">
        <f>IF(AND(C2292&lt;&gt;"", J2292&lt;&gt;""), HYPERLINK("#'" &amp; C2292 &amp; "'!" &amp; J2292, J2292), "")</f>
        <v>0</v>
      </c>
    </row>
    <row r="2293" spans="2:2">
      <c r="B2293" s="21">
        <f>IF(AND(C2293&lt;&gt;"", J2293&lt;&gt;""), HYPERLINK("#'" &amp; C2293 &amp; "'!" &amp; J2293, J2293), "")</f>
        <v>0</v>
      </c>
    </row>
    <row r="2294" spans="2:2">
      <c r="B2294" s="21">
        <f>IF(AND(C2294&lt;&gt;"", J2294&lt;&gt;""), HYPERLINK("#'" &amp; C2294 &amp; "'!" &amp; J2294, J2294), "")</f>
        <v>0</v>
      </c>
    </row>
    <row r="2295" spans="2:2">
      <c r="B2295" s="21">
        <f>IF(AND(C2295&lt;&gt;"", J2295&lt;&gt;""), HYPERLINK("#'" &amp; C2295 &amp; "'!" &amp; J2295, J2295), "")</f>
        <v>0</v>
      </c>
    </row>
    <row r="2296" spans="2:2">
      <c r="B2296" s="21">
        <f>IF(AND(C2296&lt;&gt;"", J2296&lt;&gt;""), HYPERLINK("#'" &amp; C2296 &amp; "'!" &amp; J2296, J2296), "")</f>
        <v>0</v>
      </c>
    </row>
    <row r="2297" spans="2:2">
      <c r="B2297" s="21">
        <f>IF(AND(C2297&lt;&gt;"", J2297&lt;&gt;""), HYPERLINK("#'" &amp; C2297 &amp; "'!" &amp; J2297, J2297), "")</f>
        <v>0</v>
      </c>
    </row>
    <row r="2298" spans="2:2">
      <c r="B2298" s="21">
        <f>IF(AND(C2298&lt;&gt;"", J2298&lt;&gt;""), HYPERLINK("#'" &amp; C2298 &amp; "'!" &amp; J2298, J2298), "")</f>
        <v>0</v>
      </c>
    </row>
    <row r="2299" spans="2:2">
      <c r="B2299" s="21">
        <f>IF(AND(C2299&lt;&gt;"", J2299&lt;&gt;""), HYPERLINK("#'" &amp; C2299 &amp; "'!" &amp; J2299, J2299), "")</f>
        <v>0</v>
      </c>
    </row>
    <row r="2300" spans="2:2">
      <c r="B2300" s="21">
        <f>IF(AND(C2300&lt;&gt;"", J2300&lt;&gt;""), HYPERLINK("#'" &amp; C2300 &amp; "'!" &amp; J2300, J2300), "")</f>
        <v>0</v>
      </c>
    </row>
    <row r="2301" spans="2:2">
      <c r="B2301" s="21">
        <f>IF(AND(C2301&lt;&gt;"", J2301&lt;&gt;""), HYPERLINK("#'" &amp; C2301 &amp; "'!" &amp; J2301, J2301), "")</f>
        <v>0</v>
      </c>
    </row>
    <row r="2302" spans="2:2">
      <c r="B2302" s="21">
        <f>IF(AND(C2302&lt;&gt;"", J2302&lt;&gt;""), HYPERLINK("#'" &amp; C2302 &amp; "'!" &amp; J2302, J2302), "")</f>
        <v>0</v>
      </c>
    </row>
    <row r="2303" spans="2:2">
      <c r="B2303" s="21">
        <f>IF(AND(C2303&lt;&gt;"", J2303&lt;&gt;""), HYPERLINK("#'" &amp; C2303 &amp; "'!" &amp; J2303, J2303), "")</f>
        <v>0</v>
      </c>
    </row>
    <row r="2304" spans="2:2">
      <c r="B2304" s="21">
        <f>IF(AND(C2304&lt;&gt;"", J2304&lt;&gt;""), HYPERLINK("#'" &amp; C2304 &amp; "'!" &amp; J2304, J2304), "")</f>
        <v>0</v>
      </c>
    </row>
    <row r="2305" spans="2:2">
      <c r="B2305" s="21">
        <f>IF(AND(C2305&lt;&gt;"", J2305&lt;&gt;""), HYPERLINK("#'" &amp; C2305 &amp; "'!" &amp; J2305, J2305), "")</f>
        <v>0</v>
      </c>
    </row>
    <row r="2306" spans="2:2">
      <c r="B2306" s="21">
        <f>IF(AND(C2306&lt;&gt;"", J2306&lt;&gt;""), HYPERLINK("#'" &amp; C2306 &amp; "'!" &amp; J2306, J2306), "")</f>
        <v>0</v>
      </c>
    </row>
    <row r="2307" spans="2:2">
      <c r="B2307" s="21">
        <f>IF(AND(C2307&lt;&gt;"", J2307&lt;&gt;""), HYPERLINK("#'" &amp; C2307 &amp; "'!" &amp; J2307, J2307), "")</f>
        <v>0</v>
      </c>
    </row>
    <row r="2308" spans="2:2">
      <c r="B2308" s="21">
        <f>IF(AND(C2308&lt;&gt;"", J2308&lt;&gt;""), HYPERLINK("#'" &amp; C2308 &amp; "'!" &amp; J2308, J2308), "")</f>
        <v>0</v>
      </c>
    </row>
    <row r="2309" spans="2:2">
      <c r="B2309" s="21">
        <f>IF(AND(C2309&lt;&gt;"", J2309&lt;&gt;""), HYPERLINK("#'" &amp; C2309 &amp; "'!" &amp; J2309, J2309), "")</f>
        <v>0</v>
      </c>
    </row>
    <row r="2310" spans="2:2">
      <c r="B2310" s="21">
        <f>IF(AND(C2310&lt;&gt;"", J2310&lt;&gt;""), HYPERLINK("#'" &amp; C2310 &amp; "'!" &amp; J2310, J2310), "")</f>
        <v>0</v>
      </c>
    </row>
    <row r="2311" spans="2:2">
      <c r="B2311" s="21">
        <f>IF(AND(C2311&lt;&gt;"", J2311&lt;&gt;""), HYPERLINK("#'" &amp; C2311 &amp; "'!" &amp; J2311, J2311), "")</f>
        <v>0</v>
      </c>
    </row>
    <row r="2312" spans="2:2">
      <c r="B2312" s="21">
        <f>IF(AND(C2312&lt;&gt;"", J2312&lt;&gt;""), HYPERLINK("#'" &amp; C2312 &amp; "'!" &amp; J2312, J2312), "")</f>
        <v>0</v>
      </c>
    </row>
    <row r="2313" spans="2:2">
      <c r="B2313" s="21">
        <f>IF(AND(C2313&lt;&gt;"", J2313&lt;&gt;""), HYPERLINK("#'" &amp; C2313 &amp; "'!" &amp; J2313, J2313), "")</f>
        <v>0</v>
      </c>
    </row>
    <row r="2314" spans="2:2">
      <c r="B2314" s="21">
        <f>IF(AND(C2314&lt;&gt;"", J2314&lt;&gt;""), HYPERLINK("#'" &amp; C2314 &amp; "'!" &amp; J2314, J2314), "")</f>
        <v>0</v>
      </c>
    </row>
    <row r="2315" spans="2:2">
      <c r="B2315" s="21">
        <f>IF(AND(C2315&lt;&gt;"", J2315&lt;&gt;""), HYPERLINK("#'" &amp; C2315 &amp; "'!" &amp; J2315, J2315), "")</f>
        <v>0</v>
      </c>
    </row>
    <row r="2316" spans="2:2">
      <c r="B2316" s="21">
        <f>IF(AND(C2316&lt;&gt;"", J2316&lt;&gt;""), HYPERLINK("#'" &amp; C2316 &amp; "'!" &amp; J2316, J2316), "")</f>
        <v>0</v>
      </c>
    </row>
    <row r="2317" spans="2:2">
      <c r="B2317" s="21">
        <f>IF(AND(C2317&lt;&gt;"", J2317&lt;&gt;""), HYPERLINK("#'" &amp; C2317 &amp; "'!" &amp; J2317, J2317), "")</f>
        <v>0</v>
      </c>
    </row>
    <row r="2318" spans="2:2">
      <c r="B2318" s="21">
        <f>IF(AND(C2318&lt;&gt;"", J2318&lt;&gt;""), HYPERLINK("#'" &amp; C2318 &amp; "'!" &amp; J2318, J2318), "")</f>
        <v>0</v>
      </c>
    </row>
    <row r="2319" spans="2:2">
      <c r="B2319" s="21">
        <f>IF(AND(C2319&lt;&gt;"", J2319&lt;&gt;""), HYPERLINK("#'" &amp; C2319 &amp; "'!" &amp; J2319, J2319), "")</f>
        <v>0</v>
      </c>
    </row>
    <row r="2320" spans="2:2">
      <c r="B2320" s="21">
        <f>IF(AND(C2320&lt;&gt;"", J2320&lt;&gt;""), HYPERLINK("#'" &amp; C2320 &amp; "'!" &amp; J2320, J2320), "")</f>
        <v>0</v>
      </c>
    </row>
    <row r="2321" spans="2:2">
      <c r="B2321" s="21">
        <f>IF(AND(C2321&lt;&gt;"", J2321&lt;&gt;""), HYPERLINK("#'" &amp; C2321 &amp; "'!" &amp; J2321, J2321), "")</f>
        <v>0</v>
      </c>
    </row>
    <row r="2322" spans="2:2">
      <c r="B2322" s="21">
        <f>IF(AND(C2322&lt;&gt;"", J2322&lt;&gt;""), HYPERLINK("#'" &amp; C2322 &amp; "'!" &amp; J2322, J2322), "")</f>
        <v>0</v>
      </c>
    </row>
    <row r="2323" spans="2:2">
      <c r="B2323" s="21">
        <f>IF(AND(C2323&lt;&gt;"", J2323&lt;&gt;""), HYPERLINK("#'" &amp; C2323 &amp; "'!" &amp; J2323, J2323), "")</f>
        <v>0</v>
      </c>
    </row>
    <row r="2324" spans="2:2">
      <c r="B2324" s="21">
        <f>IF(AND(C2324&lt;&gt;"", J2324&lt;&gt;""), HYPERLINK("#'" &amp; C2324 &amp; "'!" &amp; J2324, J2324), "")</f>
        <v>0</v>
      </c>
    </row>
    <row r="2325" spans="2:2">
      <c r="B2325" s="21">
        <f>IF(AND(C2325&lt;&gt;"", J2325&lt;&gt;""), HYPERLINK("#'" &amp; C2325 &amp; "'!" &amp; J2325, J2325), "")</f>
        <v>0</v>
      </c>
    </row>
    <row r="2326" spans="2:2">
      <c r="B2326" s="21">
        <f>IF(AND(C2326&lt;&gt;"", J2326&lt;&gt;""), HYPERLINK("#'" &amp; C2326 &amp; "'!" &amp; J2326, J2326), "")</f>
        <v>0</v>
      </c>
    </row>
    <row r="2327" spans="2:2">
      <c r="B2327" s="21">
        <f>IF(AND(C2327&lt;&gt;"", J2327&lt;&gt;""), HYPERLINK("#'" &amp; C2327 &amp; "'!" &amp; J2327, J2327), "")</f>
        <v>0</v>
      </c>
    </row>
    <row r="2328" spans="2:2">
      <c r="B2328" s="21">
        <f>IF(AND(C2328&lt;&gt;"", J2328&lt;&gt;""), HYPERLINK("#'" &amp; C2328 &amp; "'!" &amp; J2328, J2328), "")</f>
        <v>0</v>
      </c>
    </row>
    <row r="2329" spans="2:2">
      <c r="B2329" s="21">
        <f>IF(AND(C2329&lt;&gt;"", J2329&lt;&gt;""), HYPERLINK("#'" &amp; C2329 &amp; "'!" &amp; J2329, J2329), "")</f>
        <v>0</v>
      </c>
    </row>
    <row r="2330" spans="2:2">
      <c r="B2330" s="21">
        <f>IF(AND(C2330&lt;&gt;"", J2330&lt;&gt;""), HYPERLINK("#'" &amp; C2330 &amp; "'!" &amp; J2330, J2330), "")</f>
        <v>0</v>
      </c>
    </row>
    <row r="2331" spans="2:2">
      <c r="B2331" s="21">
        <f>IF(AND(C2331&lt;&gt;"", J2331&lt;&gt;""), HYPERLINK("#'" &amp; C2331 &amp; "'!" &amp; J2331, J2331), "")</f>
        <v>0</v>
      </c>
    </row>
    <row r="2332" spans="2:2">
      <c r="B2332" s="21">
        <f>IF(AND(C2332&lt;&gt;"", J2332&lt;&gt;""), HYPERLINK("#'" &amp; C2332 &amp; "'!" &amp; J2332, J2332), "")</f>
        <v>0</v>
      </c>
    </row>
    <row r="2333" spans="2:2">
      <c r="B2333" s="21">
        <f>IF(AND(C2333&lt;&gt;"", J2333&lt;&gt;""), HYPERLINK("#'" &amp; C2333 &amp; "'!" &amp; J2333, J2333), "")</f>
        <v>0</v>
      </c>
    </row>
    <row r="2334" spans="2:2">
      <c r="B2334" s="21">
        <f>IF(AND(C2334&lt;&gt;"", J2334&lt;&gt;""), HYPERLINK("#'" &amp; C2334 &amp; "'!" &amp; J2334, J2334), "")</f>
        <v>0</v>
      </c>
    </row>
    <row r="2335" spans="2:2">
      <c r="B2335" s="21">
        <f>IF(AND(C2335&lt;&gt;"", J2335&lt;&gt;""), HYPERLINK("#'" &amp; C2335 &amp; "'!" &amp; J2335, J2335), "")</f>
        <v>0</v>
      </c>
    </row>
    <row r="2336" spans="2:2">
      <c r="B2336" s="21">
        <f>IF(AND(C2336&lt;&gt;"", J2336&lt;&gt;""), HYPERLINK("#'" &amp; C2336 &amp; "'!" &amp; J2336, J2336), "")</f>
        <v>0</v>
      </c>
    </row>
    <row r="2337" spans="2:2">
      <c r="B2337" s="21">
        <f>IF(AND(C2337&lt;&gt;"", J2337&lt;&gt;""), HYPERLINK("#'" &amp; C2337 &amp; "'!" &amp; J2337, J2337), "")</f>
        <v>0</v>
      </c>
    </row>
    <row r="2338" spans="2:2">
      <c r="B2338" s="21">
        <f>IF(AND(C2338&lt;&gt;"", J2338&lt;&gt;""), HYPERLINK("#'" &amp; C2338 &amp; "'!" &amp; J2338, J2338), "")</f>
        <v>0</v>
      </c>
    </row>
    <row r="2339" spans="2:2">
      <c r="B2339" s="21">
        <f>IF(AND(C2339&lt;&gt;"", J2339&lt;&gt;""), HYPERLINK("#'" &amp; C2339 &amp; "'!" &amp; J2339, J2339), "")</f>
        <v>0</v>
      </c>
    </row>
    <row r="2340" spans="2:2">
      <c r="B2340" s="21">
        <f>IF(AND(C2340&lt;&gt;"", J2340&lt;&gt;""), HYPERLINK("#'" &amp; C2340 &amp; "'!" &amp; J2340, J2340), "")</f>
        <v>0</v>
      </c>
    </row>
    <row r="2341" spans="2:2">
      <c r="B2341" s="21">
        <f>IF(AND(C2341&lt;&gt;"", J2341&lt;&gt;""), HYPERLINK("#'" &amp; C2341 &amp; "'!" &amp; J2341, J2341), "")</f>
        <v>0</v>
      </c>
    </row>
    <row r="2342" spans="2:2">
      <c r="B2342" s="21">
        <f>IF(AND(C2342&lt;&gt;"", J2342&lt;&gt;""), HYPERLINK("#'" &amp; C2342 &amp; "'!" &amp; J2342, J2342), "")</f>
        <v>0</v>
      </c>
    </row>
    <row r="2343" spans="2:2">
      <c r="B2343" s="21">
        <f>IF(AND(C2343&lt;&gt;"", J2343&lt;&gt;""), HYPERLINK("#'" &amp; C2343 &amp; "'!" &amp; J2343, J2343), "")</f>
        <v>0</v>
      </c>
    </row>
    <row r="2344" spans="2:2">
      <c r="B2344" s="21">
        <f>IF(AND(C2344&lt;&gt;"", J2344&lt;&gt;""), HYPERLINK("#'" &amp; C2344 &amp; "'!" &amp; J2344, J2344), "")</f>
        <v>0</v>
      </c>
    </row>
    <row r="2345" spans="2:2">
      <c r="B2345" s="21">
        <f>IF(AND(C2345&lt;&gt;"", J2345&lt;&gt;""), HYPERLINK("#'" &amp; C2345 &amp; "'!" &amp; J2345, J2345), "")</f>
        <v>0</v>
      </c>
    </row>
    <row r="2346" spans="2:2">
      <c r="B2346" s="21">
        <f>IF(AND(C2346&lt;&gt;"", J2346&lt;&gt;""), HYPERLINK("#'" &amp; C2346 &amp; "'!" &amp; J2346, J2346), "")</f>
        <v>0</v>
      </c>
    </row>
    <row r="2347" spans="2:2">
      <c r="B2347" s="21">
        <f>IF(AND(C2347&lt;&gt;"", J2347&lt;&gt;""), HYPERLINK("#'" &amp; C2347 &amp; "'!" &amp; J2347, J2347), "")</f>
        <v>0</v>
      </c>
    </row>
    <row r="2348" spans="2:2">
      <c r="B2348" s="21">
        <f>IF(AND(C2348&lt;&gt;"", J2348&lt;&gt;""), HYPERLINK("#'" &amp; C2348 &amp; "'!" &amp; J2348, J2348), "")</f>
        <v>0</v>
      </c>
    </row>
    <row r="2349" spans="2:2">
      <c r="B2349" s="21">
        <f>IF(AND(C2349&lt;&gt;"", J2349&lt;&gt;""), HYPERLINK("#'" &amp; C2349 &amp; "'!" &amp; J2349, J2349), "")</f>
        <v>0</v>
      </c>
    </row>
    <row r="2350" spans="2:2">
      <c r="B2350" s="21">
        <f>IF(AND(C2350&lt;&gt;"", J2350&lt;&gt;""), HYPERLINK("#'" &amp; C2350 &amp; "'!" &amp; J2350, J2350), "")</f>
        <v>0</v>
      </c>
    </row>
    <row r="2351" spans="2:2">
      <c r="B2351" s="21">
        <f>IF(AND(C2351&lt;&gt;"", J2351&lt;&gt;""), HYPERLINK("#'" &amp; C2351 &amp; "'!" &amp; J2351, J2351), "")</f>
        <v>0</v>
      </c>
    </row>
    <row r="2352" spans="2:2">
      <c r="B2352" s="21">
        <f>IF(AND(C2352&lt;&gt;"", J2352&lt;&gt;""), HYPERLINK("#'" &amp; C2352 &amp; "'!" &amp; J2352, J2352), "")</f>
        <v>0</v>
      </c>
    </row>
    <row r="2353" spans="2:2">
      <c r="B2353" s="21">
        <f>IF(AND(C2353&lt;&gt;"", J2353&lt;&gt;""), HYPERLINK("#'" &amp; C2353 &amp; "'!" &amp; J2353, J2353), "")</f>
        <v>0</v>
      </c>
    </row>
    <row r="2354" spans="2:2">
      <c r="B2354" s="21">
        <f>IF(AND(C2354&lt;&gt;"", J2354&lt;&gt;""), HYPERLINK("#'" &amp; C2354 &amp; "'!" &amp; J2354, J2354), "")</f>
        <v>0</v>
      </c>
    </row>
    <row r="2355" spans="2:2">
      <c r="B2355" s="21">
        <f>IF(AND(C2355&lt;&gt;"", J2355&lt;&gt;""), HYPERLINK("#'" &amp; C2355 &amp; "'!" &amp; J2355, J2355), "")</f>
        <v>0</v>
      </c>
    </row>
    <row r="2356" spans="2:2">
      <c r="B2356" s="21">
        <f>IF(AND(C2356&lt;&gt;"", J2356&lt;&gt;""), HYPERLINK("#'" &amp; C2356 &amp; "'!" &amp; J2356, J2356), "")</f>
        <v>0</v>
      </c>
    </row>
    <row r="2357" spans="2:2">
      <c r="B2357" s="21">
        <f>IF(AND(C2357&lt;&gt;"", J2357&lt;&gt;""), HYPERLINK("#'" &amp; C2357 &amp; "'!" &amp; J2357, J2357), "")</f>
        <v>0</v>
      </c>
    </row>
    <row r="2358" spans="2:2">
      <c r="B2358" s="21">
        <f>IF(AND(C2358&lt;&gt;"", J2358&lt;&gt;""), HYPERLINK("#'" &amp; C2358 &amp; "'!" &amp; J2358, J2358), "")</f>
        <v>0</v>
      </c>
    </row>
    <row r="2359" spans="2:2">
      <c r="B2359" s="21">
        <f>IF(AND(C2359&lt;&gt;"", J2359&lt;&gt;""), HYPERLINK("#'" &amp; C2359 &amp; "'!" &amp; J2359, J2359), "")</f>
        <v>0</v>
      </c>
    </row>
    <row r="2360" spans="2:2">
      <c r="B2360" s="21">
        <f>IF(AND(C2360&lt;&gt;"", J2360&lt;&gt;""), HYPERLINK("#'" &amp; C2360 &amp; "'!" &amp; J2360, J2360), "")</f>
        <v>0</v>
      </c>
    </row>
    <row r="2361" spans="2:2">
      <c r="B2361" s="21">
        <f>IF(AND(C2361&lt;&gt;"", J2361&lt;&gt;""), HYPERLINK("#'" &amp; C2361 &amp; "'!" &amp; J2361, J2361), "")</f>
        <v>0</v>
      </c>
    </row>
    <row r="2362" spans="2:2">
      <c r="B2362" s="21">
        <f>IF(AND(C2362&lt;&gt;"", J2362&lt;&gt;""), HYPERLINK("#'" &amp; C2362 &amp; "'!" &amp; J2362, J2362), "")</f>
        <v>0</v>
      </c>
    </row>
    <row r="2363" spans="2:2">
      <c r="B2363" s="21">
        <f>IF(AND(C2363&lt;&gt;"", J2363&lt;&gt;""), HYPERLINK("#'" &amp; C2363 &amp; "'!" &amp; J2363, J2363), "")</f>
        <v>0</v>
      </c>
    </row>
    <row r="2364" spans="2:2">
      <c r="B2364" s="21">
        <f>IF(AND(C2364&lt;&gt;"", J2364&lt;&gt;""), HYPERLINK("#'" &amp; C2364 &amp; "'!" &amp; J2364, J2364), "")</f>
        <v>0</v>
      </c>
    </row>
    <row r="2365" spans="2:2">
      <c r="B2365" s="21">
        <f>IF(AND(C2365&lt;&gt;"", J2365&lt;&gt;""), HYPERLINK("#'" &amp; C2365 &amp; "'!" &amp; J2365, J2365), "")</f>
        <v>0</v>
      </c>
    </row>
    <row r="2366" spans="2:2">
      <c r="B2366" s="21">
        <f>IF(AND(C2366&lt;&gt;"", J2366&lt;&gt;""), HYPERLINK("#'" &amp; C2366 &amp; "'!" &amp; J2366, J2366), "")</f>
        <v>0</v>
      </c>
    </row>
    <row r="2367" spans="2:2">
      <c r="B2367" s="21">
        <f>IF(AND(C2367&lt;&gt;"", J2367&lt;&gt;""), HYPERLINK("#'" &amp; C2367 &amp; "'!" &amp; J2367, J2367), "")</f>
        <v>0</v>
      </c>
    </row>
    <row r="2368" spans="2:2">
      <c r="B2368" s="21">
        <f>IF(AND(C2368&lt;&gt;"", J2368&lt;&gt;""), HYPERLINK("#'" &amp; C2368 &amp; "'!" &amp; J2368, J2368), "")</f>
        <v>0</v>
      </c>
    </row>
    <row r="2369" spans="2:2">
      <c r="B2369" s="21">
        <f>IF(AND(C2369&lt;&gt;"", J2369&lt;&gt;""), HYPERLINK("#'" &amp; C2369 &amp; "'!" &amp; J2369, J2369), "")</f>
        <v>0</v>
      </c>
    </row>
    <row r="2370" spans="2:2">
      <c r="B2370" s="21">
        <f>IF(AND(C2370&lt;&gt;"", J2370&lt;&gt;""), HYPERLINK("#'" &amp; C2370 &amp; "'!" &amp; J2370, J2370), "")</f>
        <v>0</v>
      </c>
    </row>
    <row r="2371" spans="2:2">
      <c r="B2371" s="21">
        <f>IF(AND(C2371&lt;&gt;"", J2371&lt;&gt;""), HYPERLINK("#'" &amp; C2371 &amp; "'!" &amp; J2371, J2371), "")</f>
        <v>0</v>
      </c>
    </row>
    <row r="2372" spans="2:2">
      <c r="B2372" s="21">
        <f>IF(AND(C2372&lt;&gt;"", J2372&lt;&gt;""), HYPERLINK("#'" &amp; C2372 &amp; "'!" &amp; J2372, J2372), "")</f>
        <v>0</v>
      </c>
    </row>
    <row r="2373" spans="2:2">
      <c r="B2373" s="21">
        <f>IF(AND(C2373&lt;&gt;"", J2373&lt;&gt;""), HYPERLINK("#'" &amp; C2373 &amp; "'!" &amp; J2373, J2373), "")</f>
        <v>0</v>
      </c>
    </row>
    <row r="2374" spans="2:2">
      <c r="B2374" s="21">
        <f>IF(AND(C2374&lt;&gt;"", J2374&lt;&gt;""), HYPERLINK("#'" &amp; C2374 &amp; "'!" &amp; J2374, J2374), "")</f>
        <v>0</v>
      </c>
    </row>
    <row r="2375" spans="2:2">
      <c r="B2375" s="21">
        <f>IF(AND(C2375&lt;&gt;"", J2375&lt;&gt;""), HYPERLINK("#'" &amp; C2375 &amp; "'!" &amp; J2375, J2375), "")</f>
        <v>0</v>
      </c>
    </row>
    <row r="2376" spans="2:2">
      <c r="B2376" s="21">
        <f>IF(AND(C2376&lt;&gt;"", J2376&lt;&gt;""), HYPERLINK("#'" &amp; C2376 &amp; "'!" &amp; J2376, J2376), "")</f>
        <v>0</v>
      </c>
    </row>
    <row r="2377" spans="2:2">
      <c r="B2377" s="21">
        <f>IF(AND(C2377&lt;&gt;"", J2377&lt;&gt;""), HYPERLINK("#'" &amp; C2377 &amp; "'!" &amp; J2377, J2377), "")</f>
        <v>0</v>
      </c>
    </row>
    <row r="2378" spans="2:2">
      <c r="B2378" s="21">
        <f>IF(AND(C2378&lt;&gt;"", J2378&lt;&gt;""), HYPERLINK("#'" &amp; C2378 &amp; "'!" &amp; J2378, J2378), "")</f>
        <v>0</v>
      </c>
    </row>
    <row r="2379" spans="2:2">
      <c r="B2379" s="21">
        <f>IF(AND(C2379&lt;&gt;"", J2379&lt;&gt;""), HYPERLINK("#'" &amp; C2379 &amp; "'!" &amp; J2379, J2379), "")</f>
        <v>0</v>
      </c>
    </row>
    <row r="2380" spans="2:2">
      <c r="B2380" s="21">
        <f>IF(AND(C2380&lt;&gt;"", J2380&lt;&gt;""), HYPERLINK("#'" &amp; C2380 &amp; "'!" &amp; J2380, J2380), "")</f>
        <v>0</v>
      </c>
    </row>
    <row r="2381" spans="2:2">
      <c r="B2381" s="21">
        <f>IF(AND(C2381&lt;&gt;"", J2381&lt;&gt;""), HYPERLINK("#'" &amp; C2381 &amp; "'!" &amp; J2381, J2381), "")</f>
        <v>0</v>
      </c>
    </row>
    <row r="2382" spans="2:2">
      <c r="B2382" s="21">
        <f>IF(AND(C2382&lt;&gt;"", J2382&lt;&gt;""), HYPERLINK("#'" &amp; C2382 &amp; "'!" &amp; J2382, J2382), "")</f>
        <v>0</v>
      </c>
    </row>
    <row r="2383" spans="2:2">
      <c r="B2383" s="21">
        <f>IF(AND(C2383&lt;&gt;"", J2383&lt;&gt;""), HYPERLINK("#'" &amp; C2383 &amp; "'!" &amp; J2383, J2383), "")</f>
        <v>0</v>
      </c>
    </row>
    <row r="2384" spans="2:2">
      <c r="B2384" s="21">
        <f>IF(AND(C2384&lt;&gt;"", J2384&lt;&gt;""), HYPERLINK("#'" &amp; C2384 &amp; "'!" &amp; J2384, J2384), "")</f>
        <v>0</v>
      </c>
    </row>
    <row r="2385" spans="2:2">
      <c r="B2385" s="21">
        <f>IF(AND(C2385&lt;&gt;"", J2385&lt;&gt;""), HYPERLINK("#'" &amp; C2385 &amp; "'!" &amp; J2385, J2385), "")</f>
        <v>0</v>
      </c>
    </row>
    <row r="2386" spans="2:2">
      <c r="B2386" s="21">
        <f>IF(AND(C2386&lt;&gt;"", J2386&lt;&gt;""), HYPERLINK("#'" &amp; C2386 &amp; "'!" &amp; J2386, J2386), "")</f>
        <v>0</v>
      </c>
    </row>
    <row r="2387" spans="2:2">
      <c r="B2387" s="21">
        <f>IF(AND(C2387&lt;&gt;"", J2387&lt;&gt;""), HYPERLINK("#'" &amp; C2387 &amp; "'!" &amp; J2387, J2387), "")</f>
        <v>0</v>
      </c>
    </row>
    <row r="2388" spans="2:2">
      <c r="B2388" s="21">
        <f>IF(AND(C2388&lt;&gt;"", J2388&lt;&gt;""), HYPERLINK("#'" &amp; C2388 &amp; "'!" &amp; J2388, J2388), "")</f>
        <v>0</v>
      </c>
    </row>
    <row r="2389" spans="2:2">
      <c r="B2389" s="21">
        <f>IF(AND(C2389&lt;&gt;"", J2389&lt;&gt;""), HYPERLINK("#'" &amp; C2389 &amp; "'!" &amp; J2389, J2389), "")</f>
        <v>0</v>
      </c>
    </row>
    <row r="2390" spans="2:2">
      <c r="B2390" s="21">
        <f>IF(AND(C2390&lt;&gt;"", J2390&lt;&gt;""), HYPERLINK("#'" &amp; C2390 &amp; "'!" &amp; J2390, J2390), "")</f>
        <v>0</v>
      </c>
    </row>
    <row r="2391" spans="2:2">
      <c r="B2391" s="21">
        <f>IF(AND(C2391&lt;&gt;"", J2391&lt;&gt;""), HYPERLINK("#'" &amp; C2391 &amp; "'!" &amp; J2391, J2391), "")</f>
        <v>0</v>
      </c>
    </row>
    <row r="2392" spans="2:2">
      <c r="B2392" s="21">
        <f>IF(AND(C2392&lt;&gt;"", J2392&lt;&gt;""), HYPERLINK("#'" &amp; C2392 &amp; "'!" &amp; J2392, J2392), "")</f>
        <v>0</v>
      </c>
    </row>
    <row r="2393" spans="2:2">
      <c r="B2393" s="21">
        <f>IF(AND(C2393&lt;&gt;"", J2393&lt;&gt;""), HYPERLINK("#'" &amp; C2393 &amp; "'!" &amp; J2393, J2393), "")</f>
        <v>0</v>
      </c>
    </row>
    <row r="2394" spans="2:2">
      <c r="B2394" s="21">
        <f>IF(AND(C2394&lt;&gt;"", J2394&lt;&gt;""), HYPERLINK("#'" &amp; C2394 &amp; "'!" &amp; J2394, J2394), "")</f>
        <v>0</v>
      </c>
    </row>
    <row r="2395" spans="2:2">
      <c r="B2395" s="21">
        <f>IF(AND(C2395&lt;&gt;"", J2395&lt;&gt;""), HYPERLINK("#'" &amp; C2395 &amp; "'!" &amp; J2395, J2395), "")</f>
        <v>0</v>
      </c>
    </row>
    <row r="2396" spans="2:2">
      <c r="B2396" s="21">
        <f>IF(AND(C2396&lt;&gt;"", J2396&lt;&gt;""), HYPERLINK("#'" &amp; C2396 &amp; "'!" &amp; J2396, J2396), "")</f>
        <v>0</v>
      </c>
    </row>
    <row r="2397" spans="2:2">
      <c r="B2397" s="21">
        <f>IF(AND(C2397&lt;&gt;"", J2397&lt;&gt;""), HYPERLINK("#'" &amp; C2397 &amp; "'!" &amp; J2397, J2397), "")</f>
        <v>0</v>
      </c>
    </row>
    <row r="2398" spans="2:2">
      <c r="B2398" s="21">
        <f>IF(AND(C2398&lt;&gt;"", J2398&lt;&gt;""), HYPERLINK("#'" &amp; C2398 &amp; "'!" &amp; J2398, J2398), "")</f>
        <v>0</v>
      </c>
    </row>
    <row r="2399" spans="2:2">
      <c r="B2399" s="21">
        <f>IF(AND(C2399&lt;&gt;"", J2399&lt;&gt;""), HYPERLINK("#'" &amp; C2399 &amp; "'!" &amp; J2399, J2399), "")</f>
        <v>0</v>
      </c>
    </row>
    <row r="2400" spans="2:2">
      <c r="B2400" s="21">
        <f>IF(AND(C2400&lt;&gt;"", J2400&lt;&gt;""), HYPERLINK("#'" &amp; C2400 &amp; "'!" &amp; J2400, J2400), "")</f>
        <v>0</v>
      </c>
    </row>
    <row r="2401" spans="2:2">
      <c r="B2401" s="21">
        <f>IF(AND(C2401&lt;&gt;"", J2401&lt;&gt;""), HYPERLINK("#'" &amp; C2401 &amp; "'!" &amp; J2401, J2401), "")</f>
        <v>0</v>
      </c>
    </row>
    <row r="2402" spans="2:2">
      <c r="B2402" s="21">
        <f>IF(AND(C2402&lt;&gt;"", J2402&lt;&gt;""), HYPERLINK("#'" &amp; C2402 &amp; "'!" &amp; J2402, J2402), "")</f>
        <v>0</v>
      </c>
    </row>
    <row r="2403" spans="2:2">
      <c r="B2403" s="21">
        <f>IF(AND(C2403&lt;&gt;"", J2403&lt;&gt;""), HYPERLINK("#'" &amp; C2403 &amp; "'!" &amp; J2403, J2403), "")</f>
        <v>0</v>
      </c>
    </row>
    <row r="2404" spans="2:2">
      <c r="B2404" s="21">
        <f>IF(AND(C2404&lt;&gt;"", J2404&lt;&gt;""), HYPERLINK("#'" &amp; C2404 &amp; "'!" &amp; J2404, J2404), "")</f>
        <v>0</v>
      </c>
    </row>
    <row r="2405" spans="2:2">
      <c r="B2405" s="21">
        <f>IF(AND(C2405&lt;&gt;"", J2405&lt;&gt;""), HYPERLINK("#'" &amp; C2405 &amp; "'!" &amp; J2405, J2405), "")</f>
        <v>0</v>
      </c>
    </row>
    <row r="2406" spans="2:2">
      <c r="B2406" s="21">
        <f>IF(AND(C2406&lt;&gt;"", J2406&lt;&gt;""), HYPERLINK("#'" &amp; C2406 &amp; "'!" &amp; J2406, J2406), "")</f>
        <v>0</v>
      </c>
    </row>
    <row r="2407" spans="2:2">
      <c r="B2407" s="21">
        <f>IF(AND(C2407&lt;&gt;"", J2407&lt;&gt;""), HYPERLINK("#'" &amp; C2407 &amp; "'!" &amp; J2407, J2407), "")</f>
        <v>0</v>
      </c>
    </row>
    <row r="2408" spans="2:2">
      <c r="B2408" s="21">
        <f>IF(AND(C2408&lt;&gt;"", J2408&lt;&gt;""), HYPERLINK("#'" &amp; C2408 &amp; "'!" &amp; J2408, J2408), "")</f>
        <v>0</v>
      </c>
    </row>
    <row r="2409" spans="2:2">
      <c r="B2409" s="21">
        <f>IF(AND(C2409&lt;&gt;"", J2409&lt;&gt;""), HYPERLINK("#'" &amp; C2409 &amp; "'!" &amp; J2409, J2409), "")</f>
        <v>0</v>
      </c>
    </row>
    <row r="2410" spans="2:2">
      <c r="B2410" s="21">
        <f>IF(AND(C2410&lt;&gt;"", J2410&lt;&gt;""), HYPERLINK("#'" &amp; C2410 &amp; "'!" &amp; J2410, J2410), "")</f>
        <v>0</v>
      </c>
    </row>
    <row r="2411" spans="2:2">
      <c r="B2411" s="21">
        <f>IF(AND(C2411&lt;&gt;"", J2411&lt;&gt;""), HYPERLINK("#'" &amp; C2411 &amp; "'!" &amp; J2411, J2411), "")</f>
        <v>0</v>
      </c>
    </row>
    <row r="2412" spans="2:2">
      <c r="B2412" s="21">
        <f>IF(AND(C2412&lt;&gt;"", J2412&lt;&gt;""), HYPERLINK("#'" &amp; C2412 &amp; "'!" &amp; J2412, J2412), "")</f>
        <v>0</v>
      </c>
    </row>
    <row r="2413" spans="2:2">
      <c r="B2413" s="21">
        <f>IF(AND(C2413&lt;&gt;"", J2413&lt;&gt;""), HYPERLINK("#'" &amp; C2413 &amp; "'!" &amp; J2413, J2413), "")</f>
        <v>0</v>
      </c>
    </row>
    <row r="2414" spans="2:2">
      <c r="B2414" s="21">
        <f>IF(AND(C2414&lt;&gt;"", J2414&lt;&gt;""), HYPERLINK("#'" &amp; C2414 &amp; "'!" &amp; J2414, J2414), "")</f>
        <v>0</v>
      </c>
    </row>
    <row r="2415" spans="2:2">
      <c r="B2415" s="21">
        <f>IF(AND(C2415&lt;&gt;"", J2415&lt;&gt;""), HYPERLINK("#'" &amp; C2415 &amp; "'!" &amp; J2415, J2415), "")</f>
        <v>0</v>
      </c>
    </row>
    <row r="2416" spans="2:2">
      <c r="B2416" s="21">
        <f>IF(AND(C2416&lt;&gt;"", J2416&lt;&gt;""), HYPERLINK("#'" &amp; C2416 &amp; "'!" &amp; J2416, J2416), "")</f>
        <v>0</v>
      </c>
    </row>
    <row r="2417" spans="2:2">
      <c r="B2417" s="21">
        <f>IF(AND(C2417&lt;&gt;"", J2417&lt;&gt;""), HYPERLINK("#'" &amp; C2417 &amp; "'!" &amp; J2417, J2417), "")</f>
        <v>0</v>
      </c>
    </row>
    <row r="2418" spans="2:2">
      <c r="B2418" s="21">
        <f>IF(AND(C2418&lt;&gt;"", J2418&lt;&gt;""), HYPERLINK("#'" &amp; C2418 &amp; "'!" &amp; J2418, J2418), "")</f>
        <v>0</v>
      </c>
    </row>
    <row r="2419" spans="2:2">
      <c r="B2419" s="21">
        <f>IF(AND(C2419&lt;&gt;"", J2419&lt;&gt;""), HYPERLINK("#'" &amp; C2419 &amp; "'!" &amp; J2419, J2419), "")</f>
        <v>0</v>
      </c>
    </row>
    <row r="2420" spans="2:2">
      <c r="B2420" s="21">
        <f>IF(AND(C2420&lt;&gt;"", J2420&lt;&gt;""), HYPERLINK("#'" &amp; C2420 &amp; "'!" &amp; J2420, J2420), "")</f>
        <v>0</v>
      </c>
    </row>
    <row r="2421" spans="2:2">
      <c r="B2421" s="21">
        <f>IF(AND(C2421&lt;&gt;"", J2421&lt;&gt;""), HYPERLINK("#'" &amp; C2421 &amp; "'!" &amp; J2421, J2421), "")</f>
        <v>0</v>
      </c>
    </row>
    <row r="2422" spans="2:2">
      <c r="B2422" s="21">
        <f>IF(AND(C2422&lt;&gt;"", J2422&lt;&gt;""), HYPERLINK("#'" &amp; C2422 &amp; "'!" &amp; J2422, J2422), "")</f>
        <v>0</v>
      </c>
    </row>
    <row r="2423" spans="2:2">
      <c r="B2423" s="21">
        <f>IF(AND(C2423&lt;&gt;"", J2423&lt;&gt;""), HYPERLINK("#'" &amp; C2423 &amp; "'!" &amp; J2423, J2423), "")</f>
        <v>0</v>
      </c>
    </row>
    <row r="2424" spans="2:2">
      <c r="B2424" s="21">
        <f>IF(AND(C2424&lt;&gt;"", J2424&lt;&gt;""), HYPERLINK("#'" &amp; C2424 &amp; "'!" &amp; J2424, J2424), "")</f>
        <v>0</v>
      </c>
    </row>
    <row r="2425" spans="2:2">
      <c r="B2425" s="21">
        <f>IF(AND(C2425&lt;&gt;"", J2425&lt;&gt;""), HYPERLINK("#'" &amp; C2425 &amp; "'!" &amp; J2425, J2425), "")</f>
        <v>0</v>
      </c>
    </row>
    <row r="2426" spans="2:2">
      <c r="B2426" s="21">
        <f>IF(AND(C2426&lt;&gt;"", J2426&lt;&gt;""), HYPERLINK("#'" &amp; C2426 &amp; "'!" &amp; J2426, J2426), "")</f>
        <v>0</v>
      </c>
    </row>
    <row r="2427" spans="2:2">
      <c r="B2427" s="21">
        <f>IF(AND(C2427&lt;&gt;"", J2427&lt;&gt;""), HYPERLINK("#'" &amp; C2427 &amp; "'!" &amp; J2427, J2427), "")</f>
        <v>0</v>
      </c>
    </row>
    <row r="2428" spans="2:2">
      <c r="B2428" s="21">
        <f>IF(AND(C2428&lt;&gt;"", J2428&lt;&gt;""), HYPERLINK("#'" &amp; C2428 &amp; "'!" &amp; J2428, J2428), "")</f>
        <v>0</v>
      </c>
    </row>
    <row r="2429" spans="2:2">
      <c r="B2429" s="21">
        <f>IF(AND(C2429&lt;&gt;"", J2429&lt;&gt;""), HYPERLINK("#'" &amp; C2429 &amp; "'!" &amp; J2429, J2429), "")</f>
        <v>0</v>
      </c>
    </row>
    <row r="2430" spans="2:2">
      <c r="B2430" s="21">
        <f>IF(AND(C2430&lt;&gt;"", J2430&lt;&gt;""), HYPERLINK("#'" &amp; C2430 &amp; "'!" &amp; J2430, J2430), "")</f>
        <v>0</v>
      </c>
    </row>
    <row r="2431" spans="2:2">
      <c r="B2431" s="21">
        <f>IF(AND(C2431&lt;&gt;"", J2431&lt;&gt;""), HYPERLINK("#'" &amp; C2431 &amp; "'!" &amp; J2431, J2431), "")</f>
        <v>0</v>
      </c>
    </row>
    <row r="2432" spans="2:2">
      <c r="B2432" s="21">
        <f>IF(AND(C2432&lt;&gt;"", J2432&lt;&gt;""), HYPERLINK("#'" &amp; C2432 &amp; "'!" &amp; J2432, J2432), "")</f>
        <v>0</v>
      </c>
    </row>
    <row r="2433" spans="2:2">
      <c r="B2433" s="21">
        <f>IF(AND(C2433&lt;&gt;"", J2433&lt;&gt;""), HYPERLINK("#'" &amp; C2433 &amp; "'!" &amp; J2433, J2433), "")</f>
        <v>0</v>
      </c>
    </row>
    <row r="2434" spans="2:2">
      <c r="B2434" s="21">
        <f>IF(AND(C2434&lt;&gt;"", J2434&lt;&gt;""), HYPERLINK("#'" &amp; C2434 &amp; "'!" &amp; J2434, J2434), "")</f>
        <v>0</v>
      </c>
    </row>
    <row r="2435" spans="2:2">
      <c r="B2435" s="21">
        <f>IF(AND(C2435&lt;&gt;"", J2435&lt;&gt;""), HYPERLINK("#'" &amp; C2435 &amp; "'!" &amp; J2435, J2435), "")</f>
        <v>0</v>
      </c>
    </row>
    <row r="2436" spans="2:2">
      <c r="B2436" s="21">
        <f>IF(AND(C2436&lt;&gt;"", J2436&lt;&gt;""), HYPERLINK("#'" &amp; C2436 &amp; "'!" &amp; J2436, J2436), "")</f>
        <v>0</v>
      </c>
    </row>
    <row r="2437" spans="2:2">
      <c r="B2437" s="21">
        <f>IF(AND(C2437&lt;&gt;"", J2437&lt;&gt;""), HYPERLINK("#'" &amp; C2437 &amp; "'!" &amp; J2437, J2437), "")</f>
        <v>0</v>
      </c>
    </row>
    <row r="2438" spans="2:2">
      <c r="B2438" s="21">
        <f>IF(AND(C2438&lt;&gt;"", J2438&lt;&gt;""), HYPERLINK("#'" &amp; C2438 &amp; "'!" &amp; J2438, J2438), "")</f>
        <v>0</v>
      </c>
    </row>
    <row r="2439" spans="2:2">
      <c r="B2439" s="21">
        <f>IF(AND(C2439&lt;&gt;"", J2439&lt;&gt;""), HYPERLINK("#'" &amp; C2439 &amp; "'!" &amp; J2439, J2439), "")</f>
        <v>0</v>
      </c>
    </row>
    <row r="2440" spans="2:2">
      <c r="B2440" s="21">
        <f>IF(AND(C2440&lt;&gt;"", J2440&lt;&gt;""), HYPERLINK("#'" &amp; C2440 &amp; "'!" &amp; J2440, J2440), "")</f>
        <v>0</v>
      </c>
    </row>
    <row r="2441" spans="2:2">
      <c r="B2441" s="21">
        <f>IF(AND(C2441&lt;&gt;"", J2441&lt;&gt;""), HYPERLINK("#'" &amp; C2441 &amp; "'!" &amp; J2441, J2441), "")</f>
        <v>0</v>
      </c>
    </row>
    <row r="2442" spans="2:2">
      <c r="B2442" s="21">
        <f>IF(AND(C2442&lt;&gt;"", J2442&lt;&gt;""), HYPERLINK("#'" &amp; C2442 &amp; "'!" &amp; J2442, J2442), "")</f>
        <v>0</v>
      </c>
    </row>
    <row r="2443" spans="2:2">
      <c r="B2443" s="21">
        <f>IF(AND(C2443&lt;&gt;"", J2443&lt;&gt;""), HYPERLINK("#'" &amp; C2443 &amp; "'!" &amp; J2443, J2443), "")</f>
        <v>0</v>
      </c>
    </row>
    <row r="2444" spans="2:2">
      <c r="B2444" s="21">
        <f>IF(AND(C2444&lt;&gt;"", J2444&lt;&gt;""), HYPERLINK("#'" &amp; C2444 &amp; "'!" &amp; J2444, J2444), "")</f>
        <v>0</v>
      </c>
    </row>
    <row r="2445" spans="2:2">
      <c r="B2445" s="21">
        <f>IF(AND(C2445&lt;&gt;"", J2445&lt;&gt;""), HYPERLINK("#'" &amp; C2445 &amp; "'!" &amp; J2445, J2445), "")</f>
        <v>0</v>
      </c>
    </row>
    <row r="2446" spans="2:2">
      <c r="B2446" s="21">
        <f>IF(AND(C2446&lt;&gt;"", J2446&lt;&gt;""), HYPERLINK("#'" &amp; C2446 &amp; "'!" &amp; J2446, J2446), "")</f>
        <v>0</v>
      </c>
    </row>
    <row r="2447" spans="2:2">
      <c r="B2447" s="21">
        <f>IF(AND(C2447&lt;&gt;"", J2447&lt;&gt;""), HYPERLINK("#'" &amp; C2447 &amp; "'!" &amp; J2447, J2447), "")</f>
        <v>0</v>
      </c>
    </row>
    <row r="2448" spans="2:2">
      <c r="B2448" s="21">
        <f>IF(AND(C2448&lt;&gt;"", J2448&lt;&gt;""), HYPERLINK("#'" &amp; C2448 &amp; "'!" &amp; J2448, J2448), "")</f>
        <v>0</v>
      </c>
    </row>
    <row r="2449" spans="2:2">
      <c r="B2449" s="21">
        <f>IF(AND(C2449&lt;&gt;"", J2449&lt;&gt;""), HYPERLINK("#'" &amp; C2449 &amp; "'!" &amp; J2449, J2449), "")</f>
        <v>0</v>
      </c>
    </row>
    <row r="2450" spans="2:2">
      <c r="B2450" s="21">
        <f>IF(AND(C2450&lt;&gt;"", J2450&lt;&gt;""), HYPERLINK("#'" &amp; C2450 &amp; "'!" &amp; J2450, J2450), "")</f>
        <v>0</v>
      </c>
    </row>
    <row r="2451" spans="2:2">
      <c r="B2451" s="21">
        <f>IF(AND(C2451&lt;&gt;"", J2451&lt;&gt;""), HYPERLINK("#'" &amp; C2451 &amp; "'!" &amp; J2451, J2451), "")</f>
        <v>0</v>
      </c>
    </row>
    <row r="2452" spans="2:2">
      <c r="B2452" s="21">
        <f>IF(AND(C2452&lt;&gt;"", J2452&lt;&gt;""), HYPERLINK("#'" &amp; C2452 &amp; "'!" &amp; J2452, J2452), "")</f>
        <v>0</v>
      </c>
    </row>
    <row r="2453" spans="2:2">
      <c r="B2453" s="21">
        <f>IF(AND(C2453&lt;&gt;"", J2453&lt;&gt;""), HYPERLINK("#'" &amp; C2453 &amp; "'!" &amp; J2453, J2453), "")</f>
        <v>0</v>
      </c>
    </row>
    <row r="2454" spans="2:2">
      <c r="B2454" s="21">
        <f>IF(AND(C2454&lt;&gt;"", J2454&lt;&gt;""), HYPERLINK("#'" &amp; C2454 &amp; "'!" &amp; J2454, J2454), "")</f>
        <v>0</v>
      </c>
    </row>
    <row r="2455" spans="2:2">
      <c r="B2455" s="21">
        <f>IF(AND(C2455&lt;&gt;"", J2455&lt;&gt;""), HYPERLINK("#'" &amp; C2455 &amp; "'!" &amp; J2455, J2455), "")</f>
        <v>0</v>
      </c>
    </row>
    <row r="2456" spans="2:2">
      <c r="B2456" s="21">
        <f>IF(AND(C2456&lt;&gt;"", J2456&lt;&gt;""), HYPERLINK("#'" &amp; C2456 &amp; "'!" &amp; J2456, J2456), "")</f>
        <v>0</v>
      </c>
    </row>
    <row r="2457" spans="2:2">
      <c r="B2457" s="21">
        <f>IF(AND(C2457&lt;&gt;"", J2457&lt;&gt;""), HYPERLINK("#'" &amp; C2457 &amp; "'!" &amp; J2457, J2457), "")</f>
        <v>0</v>
      </c>
    </row>
    <row r="2458" spans="2:2">
      <c r="B2458" s="21">
        <f>IF(AND(C2458&lt;&gt;"", J2458&lt;&gt;""), HYPERLINK("#'" &amp; C2458 &amp; "'!" &amp; J2458, J2458), "")</f>
        <v>0</v>
      </c>
    </row>
    <row r="2459" spans="2:2">
      <c r="B2459" s="21">
        <f>IF(AND(C2459&lt;&gt;"", J2459&lt;&gt;""), HYPERLINK("#'" &amp; C2459 &amp; "'!" &amp; J2459, J2459), "")</f>
        <v>0</v>
      </c>
    </row>
    <row r="2460" spans="2:2">
      <c r="B2460" s="21">
        <f>IF(AND(C2460&lt;&gt;"", J2460&lt;&gt;""), HYPERLINK("#'" &amp; C2460 &amp; "'!" &amp; J2460, J2460), "")</f>
        <v>0</v>
      </c>
    </row>
    <row r="2461" spans="2:2">
      <c r="B2461" s="21">
        <f>IF(AND(C2461&lt;&gt;"", J2461&lt;&gt;""), HYPERLINK("#'" &amp; C2461 &amp; "'!" &amp; J2461, J2461), "")</f>
        <v>0</v>
      </c>
    </row>
    <row r="2462" spans="2:2">
      <c r="B2462" s="21">
        <f>IF(AND(C2462&lt;&gt;"", J2462&lt;&gt;""), HYPERLINK("#'" &amp; C2462 &amp; "'!" &amp; J2462, J2462), "")</f>
        <v>0</v>
      </c>
    </row>
    <row r="2463" spans="2:2">
      <c r="B2463" s="21">
        <f>IF(AND(C2463&lt;&gt;"", J2463&lt;&gt;""), HYPERLINK("#'" &amp; C2463 &amp; "'!" &amp; J2463, J2463), "")</f>
        <v>0</v>
      </c>
    </row>
    <row r="2464" spans="2:2">
      <c r="B2464" s="21">
        <f>IF(AND(C2464&lt;&gt;"", J2464&lt;&gt;""), HYPERLINK("#'" &amp; C2464 &amp; "'!" &amp; J2464, J2464), "")</f>
        <v>0</v>
      </c>
    </row>
    <row r="2465" spans="2:2">
      <c r="B2465" s="21">
        <f>IF(AND(C2465&lt;&gt;"", J2465&lt;&gt;""), HYPERLINK("#'" &amp; C2465 &amp; "'!" &amp; J2465, J2465), "")</f>
        <v>0</v>
      </c>
    </row>
    <row r="2466" spans="2:2">
      <c r="B2466" s="21">
        <f>IF(AND(C2466&lt;&gt;"", J2466&lt;&gt;""), HYPERLINK("#'" &amp; C2466 &amp; "'!" &amp; J2466, J2466), "")</f>
        <v>0</v>
      </c>
    </row>
    <row r="2467" spans="2:2">
      <c r="B2467" s="21">
        <f>IF(AND(C2467&lt;&gt;"", J2467&lt;&gt;""), HYPERLINK("#'" &amp; C2467 &amp; "'!" &amp; J2467, J2467), "")</f>
        <v>0</v>
      </c>
    </row>
    <row r="2468" spans="2:2">
      <c r="B2468" s="21">
        <f>IF(AND(C2468&lt;&gt;"", J2468&lt;&gt;""), HYPERLINK("#'" &amp; C2468 &amp; "'!" &amp; J2468, J2468), "")</f>
        <v>0</v>
      </c>
    </row>
    <row r="2469" spans="2:2">
      <c r="B2469" s="21">
        <f>IF(AND(C2469&lt;&gt;"", J2469&lt;&gt;""), HYPERLINK("#'" &amp; C2469 &amp; "'!" &amp; J2469, J2469), "")</f>
        <v>0</v>
      </c>
    </row>
    <row r="2470" spans="2:2">
      <c r="B2470" s="21">
        <f>IF(AND(C2470&lt;&gt;"", J2470&lt;&gt;""), HYPERLINK("#'" &amp; C2470 &amp; "'!" &amp; J2470, J2470), "")</f>
        <v>0</v>
      </c>
    </row>
    <row r="2471" spans="2:2">
      <c r="B2471" s="21">
        <f>IF(AND(C2471&lt;&gt;"", J2471&lt;&gt;""), HYPERLINK("#'" &amp; C2471 &amp; "'!" &amp; J2471, J2471), "")</f>
        <v>0</v>
      </c>
    </row>
    <row r="2472" spans="2:2">
      <c r="B2472" s="21">
        <f>IF(AND(C2472&lt;&gt;"", J2472&lt;&gt;""), HYPERLINK("#'" &amp; C2472 &amp; "'!" &amp; J2472, J2472), "")</f>
        <v>0</v>
      </c>
    </row>
    <row r="2473" spans="2:2">
      <c r="B2473" s="21">
        <f>IF(AND(C2473&lt;&gt;"", J2473&lt;&gt;""), HYPERLINK("#'" &amp; C2473 &amp; "'!" &amp; J2473, J2473), "")</f>
        <v>0</v>
      </c>
    </row>
    <row r="2474" spans="2:2">
      <c r="B2474" s="21">
        <f>IF(AND(C2474&lt;&gt;"", J2474&lt;&gt;""), HYPERLINK("#'" &amp; C2474 &amp; "'!" &amp; J2474, J2474), "")</f>
        <v>0</v>
      </c>
    </row>
    <row r="2475" spans="2:2">
      <c r="B2475" s="21">
        <f>IF(AND(C2475&lt;&gt;"", J2475&lt;&gt;""), HYPERLINK("#'" &amp; C2475 &amp; "'!" &amp; J2475, J2475), "")</f>
        <v>0</v>
      </c>
    </row>
    <row r="2476" spans="2:2">
      <c r="B2476" s="21">
        <f>IF(AND(C2476&lt;&gt;"", J2476&lt;&gt;""), HYPERLINK("#'" &amp; C2476 &amp; "'!" &amp; J2476, J2476), "")</f>
        <v>0</v>
      </c>
    </row>
    <row r="2477" spans="2:2">
      <c r="B2477" s="21">
        <f>IF(AND(C2477&lt;&gt;"", J2477&lt;&gt;""), HYPERLINK("#'" &amp; C2477 &amp; "'!" &amp; J2477, J2477), "")</f>
        <v>0</v>
      </c>
    </row>
    <row r="2478" spans="2:2">
      <c r="B2478" s="21">
        <f>IF(AND(C2478&lt;&gt;"", J2478&lt;&gt;""), HYPERLINK("#'" &amp; C2478 &amp; "'!" &amp; J2478, J2478), "")</f>
        <v>0</v>
      </c>
    </row>
    <row r="2479" spans="2:2">
      <c r="B2479" s="21">
        <f>IF(AND(C2479&lt;&gt;"", J2479&lt;&gt;""), HYPERLINK("#'" &amp; C2479 &amp; "'!" &amp; J2479, J2479), "")</f>
        <v>0</v>
      </c>
    </row>
    <row r="2480" spans="2:2">
      <c r="B2480" s="21">
        <f>IF(AND(C2480&lt;&gt;"", J2480&lt;&gt;""), HYPERLINK("#'" &amp; C2480 &amp; "'!" &amp; J2480, J2480), "")</f>
        <v>0</v>
      </c>
    </row>
    <row r="2481" spans="2:2">
      <c r="B2481" s="21">
        <f>IF(AND(C2481&lt;&gt;"", J2481&lt;&gt;""), HYPERLINK("#'" &amp; C2481 &amp; "'!" &amp; J2481, J2481), "")</f>
        <v>0</v>
      </c>
    </row>
    <row r="2482" spans="2:2">
      <c r="B2482" s="21">
        <f>IF(AND(C2482&lt;&gt;"", J2482&lt;&gt;""), HYPERLINK("#'" &amp; C2482 &amp; "'!" &amp; J2482, J2482), "")</f>
        <v>0</v>
      </c>
    </row>
    <row r="2483" spans="2:2">
      <c r="B2483" s="21">
        <f>IF(AND(C2483&lt;&gt;"", J2483&lt;&gt;""), HYPERLINK("#'" &amp; C2483 &amp; "'!" &amp; J2483, J2483), "")</f>
        <v>0</v>
      </c>
    </row>
    <row r="2484" spans="2:2">
      <c r="B2484" s="21">
        <f>IF(AND(C2484&lt;&gt;"", J2484&lt;&gt;""), HYPERLINK("#'" &amp; C2484 &amp; "'!" &amp; J2484, J2484), "")</f>
        <v>0</v>
      </c>
    </row>
    <row r="2485" spans="2:2">
      <c r="B2485" s="21">
        <f>IF(AND(C2485&lt;&gt;"", J2485&lt;&gt;""), HYPERLINK("#'" &amp; C2485 &amp; "'!" &amp; J2485, J2485), "")</f>
        <v>0</v>
      </c>
    </row>
    <row r="2486" spans="2:2">
      <c r="B2486" s="21">
        <f>IF(AND(C2486&lt;&gt;"", J2486&lt;&gt;""), HYPERLINK("#'" &amp; C2486 &amp; "'!" &amp; J2486, J2486), "")</f>
        <v>0</v>
      </c>
    </row>
    <row r="2487" spans="2:2">
      <c r="B2487" s="21">
        <f>IF(AND(C2487&lt;&gt;"", J2487&lt;&gt;""), HYPERLINK("#'" &amp; C2487 &amp; "'!" &amp; J2487, J2487), "")</f>
        <v>0</v>
      </c>
    </row>
    <row r="2488" spans="2:2">
      <c r="B2488" s="21">
        <f>IF(AND(C2488&lt;&gt;"", J2488&lt;&gt;""), HYPERLINK("#'" &amp; C2488 &amp; "'!" &amp; J2488, J2488), "")</f>
        <v>0</v>
      </c>
    </row>
    <row r="2489" spans="2:2">
      <c r="B2489" s="21">
        <f>IF(AND(C2489&lt;&gt;"", J2489&lt;&gt;""), HYPERLINK("#'" &amp; C2489 &amp; "'!" &amp; J2489, J2489), "")</f>
        <v>0</v>
      </c>
    </row>
    <row r="2490" spans="2:2">
      <c r="B2490" s="21">
        <f>IF(AND(C2490&lt;&gt;"", J2490&lt;&gt;""), HYPERLINK("#'" &amp; C2490 &amp; "'!" &amp; J2490, J2490), "")</f>
        <v>0</v>
      </c>
    </row>
    <row r="2491" spans="2:2">
      <c r="B2491" s="21">
        <f>IF(AND(C2491&lt;&gt;"", J2491&lt;&gt;""), HYPERLINK("#'" &amp; C2491 &amp; "'!" &amp; J2491, J2491), "")</f>
        <v>0</v>
      </c>
    </row>
    <row r="2492" spans="2:2">
      <c r="B2492" s="21">
        <f>IF(AND(C2492&lt;&gt;"", J2492&lt;&gt;""), HYPERLINK("#'" &amp; C2492 &amp; "'!" &amp; J2492, J2492), "")</f>
        <v>0</v>
      </c>
    </row>
    <row r="2493" spans="2:2">
      <c r="B2493" s="21">
        <f>IF(AND(C2493&lt;&gt;"", J2493&lt;&gt;""), HYPERLINK("#'" &amp; C2493 &amp; "'!" &amp; J2493, J2493), "")</f>
        <v>0</v>
      </c>
    </row>
    <row r="2494" spans="2:2">
      <c r="B2494" s="21">
        <f>IF(AND(C2494&lt;&gt;"", J2494&lt;&gt;""), HYPERLINK("#'" &amp; C2494 &amp; "'!" &amp; J2494, J2494), "")</f>
        <v>0</v>
      </c>
    </row>
    <row r="2495" spans="2:2">
      <c r="B2495" s="21">
        <f>IF(AND(C2495&lt;&gt;"", J2495&lt;&gt;""), HYPERLINK("#'" &amp; C2495 &amp; "'!" &amp; J2495, J2495), "")</f>
        <v>0</v>
      </c>
    </row>
    <row r="2496" spans="2:2">
      <c r="B2496" s="21">
        <f>IF(AND(C2496&lt;&gt;"", J2496&lt;&gt;""), HYPERLINK("#'" &amp; C2496 &amp; "'!" &amp; J2496, J2496), "")</f>
        <v>0</v>
      </c>
    </row>
    <row r="2497" spans="2:2">
      <c r="B2497" s="21">
        <f>IF(AND(C2497&lt;&gt;"", J2497&lt;&gt;""), HYPERLINK("#'" &amp; C2497 &amp; "'!" &amp; J2497, J2497), "")</f>
        <v>0</v>
      </c>
    </row>
    <row r="2498" spans="2:2">
      <c r="B2498" s="21">
        <f>IF(AND(C2498&lt;&gt;"", J2498&lt;&gt;""), HYPERLINK("#'" &amp; C2498 &amp; "'!" &amp; J2498, J2498), "")</f>
        <v>0</v>
      </c>
    </row>
    <row r="2499" spans="2:2">
      <c r="B2499" s="21">
        <f>IF(AND(C2499&lt;&gt;"", J2499&lt;&gt;""), HYPERLINK("#'" &amp; C2499 &amp; "'!" &amp; J2499, J2499), "")</f>
        <v>0</v>
      </c>
    </row>
    <row r="2500" spans="2:2">
      <c r="B2500" s="21">
        <f>IF(AND(C2500&lt;&gt;"", J2500&lt;&gt;""), HYPERLINK("#'" &amp; C2500 &amp; "'!" &amp; J2500, J2500), "")</f>
        <v>0</v>
      </c>
    </row>
    <row r="2501" spans="2:2">
      <c r="B2501" s="21">
        <f>IF(AND(C2501&lt;&gt;"", J2501&lt;&gt;""), HYPERLINK("#'" &amp; C2501 &amp; "'!" &amp; J2501, J2501), "")</f>
        <v>0</v>
      </c>
    </row>
    <row r="2502" spans="2:2">
      <c r="B2502" s="21">
        <f>IF(AND(C2502&lt;&gt;"", J2502&lt;&gt;""), HYPERLINK("#'" &amp; C2502 &amp; "'!" &amp; J2502, J2502), "")</f>
        <v>0</v>
      </c>
    </row>
    <row r="2503" spans="2:2">
      <c r="B2503" s="21">
        <f>IF(AND(C2503&lt;&gt;"", J2503&lt;&gt;""), HYPERLINK("#'" &amp; C2503 &amp; "'!" &amp; J2503, J2503), "")</f>
        <v>0</v>
      </c>
    </row>
    <row r="2504" spans="2:2">
      <c r="B2504" s="21">
        <f>IF(AND(C2504&lt;&gt;"", J2504&lt;&gt;""), HYPERLINK("#'" &amp; C2504 &amp; "'!" &amp; J2504, J2504), "")</f>
        <v>0</v>
      </c>
    </row>
    <row r="2505" spans="2:2">
      <c r="B2505" s="21">
        <f>IF(AND(C2505&lt;&gt;"", J2505&lt;&gt;""), HYPERLINK("#'" &amp; C2505 &amp; "'!" &amp; J2505, J2505), "")</f>
        <v>0</v>
      </c>
    </row>
    <row r="2506" spans="2:2">
      <c r="B2506" s="21">
        <f>IF(AND(C2506&lt;&gt;"", J2506&lt;&gt;""), HYPERLINK("#'" &amp; C2506 &amp; "'!" &amp; J2506, J2506), "")</f>
        <v>0</v>
      </c>
    </row>
    <row r="2507" spans="2:2">
      <c r="B2507" s="21">
        <f>IF(AND(C2507&lt;&gt;"", J2507&lt;&gt;""), HYPERLINK("#'" &amp; C2507 &amp; "'!" &amp; J2507, J2507), "")</f>
        <v>0</v>
      </c>
    </row>
    <row r="2508" spans="2:2">
      <c r="B2508" s="21">
        <f>IF(AND(C2508&lt;&gt;"", J2508&lt;&gt;""), HYPERLINK("#'" &amp; C2508 &amp; "'!" &amp; J2508, J2508), "")</f>
        <v>0</v>
      </c>
    </row>
    <row r="2509" spans="2:2">
      <c r="B2509" s="21">
        <f>IF(AND(C2509&lt;&gt;"", J2509&lt;&gt;""), HYPERLINK("#'" &amp; C2509 &amp; "'!" &amp; J2509, J2509), "")</f>
        <v>0</v>
      </c>
    </row>
    <row r="2510" spans="2:2">
      <c r="B2510" s="21">
        <f>IF(AND(C2510&lt;&gt;"", J2510&lt;&gt;""), HYPERLINK("#'" &amp; C2510 &amp; "'!" &amp; J2510, J2510), "")</f>
        <v>0</v>
      </c>
    </row>
    <row r="2511" spans="2:2">
      <c r="B2511" s="21">
        <f>IF(AND(C2511&lt;&gt;"", J2511&lt;&gt;""), HYPERLINK("#'" &amp; C2511 &amp; "'!" &amp; J2511, J2511), "")</f>
        <v>0</v>
      </c>
    </row>
    <row r="2512" spans="2:2">
      <c r="B2512" s="21">
        <f>IF(AND(C2512&lt;&gt;"", J2512&lt;&gt;""), HYPERLINK("#'" &amp; C2512 &amp; "'!" &amp; J2512, J2512), "")</f>
        <v>0</v>
      </c>
    </row>
    <row r="2513" spans="2:2">
      <c r="B2513" s="21">
        <f>IF(AND(C2513&lt;&gt;"", J2513&lt;&gt;""), HYPERLINK("#'" &amp; C2513 &amp; "'!" &amp; J2513, J2513), "")</f>
        <v>0</v>
      </c>
    </row>
    <row r="2514" spans="2:2">
      <c r="B2514" s="21">
        <f>IF(AND(C2514&lt;&gt;"", J2514&lt;&gt;""), HYPERLINK("#'" &amp; C2514 &amp; "'!" &amp; J2514, J2514), "")</f>
        <v>0</v>
      </c>
    </row>
    <row r="2515" spans="2:2">
      <c r="B2515" s="21">
        <f>IF(AND(C2515&lt;&gt;"", J2515&lt;&gt;""), HYPERLINK("#'" &amp; C2515 &amp; "'!" &amp; J2515, J2515), "")</f>
        <v>0</v>
      </c>
    </row>
    <row r="2516" spans="2:2">
      <c r="B2516" s="21">
        <f>IF(AND(C2516&lt;&gt;"", J2516&lt;&gt;""), HYPERLINK("#'" &amp; C2516 &amp; "'!" &amp; J2516, J2516), "")</f>
        <v>0</v>
      </c>
    </row>
    <row r="2517" spans="2:2">
      <c r="B2517" s="21">
        <f>IF(AND(C2517&lt;&gt;"", J2517&lt;&gt;""), HYPERLINK("#'" &amp; C2517 &amp; "'!" &amp; J2517, J2517), "")</f>
        <v>0</v>
      </c>
    </row>
    <row r="2518" spans="2:2">
      <c r="B2518" s="21">
        <f>IF(AND(C2518&lt;&gt;"", J2518&lt;&gt;""), HYPERLINK("#'" &amp; C2518 &amp; "'!" &amp; J2518, J2518), "")</f>
        <v>0</v>
      </c>
    </row>
    <row r="2519" spans="2:2">
      <c r="B2519" s="21">
        <f>IF(AND(C2519&lt;&gt;"", J2519&lt;&gt;""), HYPERLINK("#'" &amp; C2519 &amp; "'!" &amp; J2519, J2519), "")</f>
        <v>0</v>
      </c>
    </row>
    <row r="2520" spans="2:2">
      <c r="B2520" s="21">
        <f>IF(AND(C2520&lt;&gt;"", J2520&lt;&gt;""), HYPERLINK("#'" &amp; C2520 &amp; "'!" &amp; J2520, J2520), "")</f>
        <v>0</v>
      </c>
    </row>
    <row r="2521" spans="2:2">
      <c r="B2521" s="21">
        <f>IF(AND(C2521&lt;&gt;"", J2521&lt;&gt;""), HYPERLINK("#'" &amp; C2521 &amp; "'!" &amp; J2521, J2521), "")</f>
        <v>0</v>
      </c>
    </row>
    <row r="2522" spans="2:2">
      <c r="B2522" s="21">
        <f>IF(AND(C2522&lt;&gt;"", J2522&lt;&gt;""), HYPERLINK("#'" &amp; C2522 &amp; "'!" &amp; J2522, J2522), "")</f>
        <v>0</v>
      </c>
    </row>
    <row r="2523" spans="2:2">
      <c r="B2523" s="21">
        <f>IF(AND(C2523&lt;&gt;"", J2523&lt;&gt;""), HYPERLINK("#'" &amp; C2523 &amp; "'!" &amp; J2523, J2523), "")</f>
        <v>0</v>
      </c>
    </row>
    <row r="2524" spans="2:2">
      <c r="B2524" s="21">
        <f>IF(AND(C2524&lt;&gt;"", J2524&lt;&gt;""), HYPERLINK("#'" &amp; C2524 &amp; "'!" &amp; J2524, J2524), "")</f>
        <v>0</v>
      </c>
    </row>
    <row r="2525" spans="2:2">
      <c r="B2525" s="21">
        <f>IF(AND(C2525&lt;&gt;"", J2525&lt;&gt;""), HYPERLINK("#'" &amp; C2525 &amp; "'!" &amp; J2525, J2525), "")</f>
        <v>0</v>
      </c>
    </row>
    <row r="2526" spans="2:2">
      <c r="B2526" s="21">
        <f>IF(AND(C2526&lt;&gt;"", J2526&lt;&gt;""), HYPERLINK("#'" &amp; C2526 &amp; "'!" &amp; J2526, J2526), "")</f>
        <v>0</v>
      </c>
    </row>
    <row r="2527" spans="2:2">
      <c r="B2527" s="21">
        <f>IF(AND(C2527&lt;&gt;"", J2527&lt;&gt;""), HYPERLINK("#'" &amp; C2527 &amp; "'!" &amp; J2527, J2527), "")</f>
        <v>0</v>
      </c>
    </row>
    <row r="2528" spans="2:2">
      <c r="B2528" s="21">
        <f>IF(AND(C2528&lt;&gt;"", J2528&lt;&gt;""), HYPERLINK("#'" &amp; C2528 &amp; "'!" &amp; J2528, J2528), "")</f>
        <v>0</v>
      </c>
    </row>
    <row r="2529" spans="2:2">
      <c r="B2529" s="21">
        <f>IF(AND(C2529&lt;&gt;"", J2529&lt;&gt;""), HYPERLINK("#'" &amp; C2529 &amp; "'!" &amp; J2529, J2529), "")</f>
        <v>0</v>
      </c>
    </row>
    <row r="2530" spans="2:2">
      <c r="B2530" s="21">
        <f>IF(AND(C2530&lt;&gt;"", J2530&lt;&gt;""), HYPERLINK("#'" &amp; C2530 &amp; "'!" &amp; J2530, J2530), "")</f>
        <v>0</v>
      </c>
    </row>
    <row r="2531" spans="2:2">
      <c r="B2531" s="21">
        <f>IF(AND(C2531&lt;&gt;"", J2531&lt;&gt;""), HYPERLINK("#'" &amp; C2531 &amp; "'!" &amp; J2531, J2531), "")</f>
        <v>0</v>
      </c>
    </row>
    <row r="2532" spans="2:2">
      <c r="B2532" s="21">
        <f>IF(AND(C2532&lt;&gt;"", J2532&lt;&gt;""), HYPERLINK("#'" &amp; C2532 &amp; "'!" &amp; J2532, J2532), "")</f>
        <v>0</v>
      </c>
    </row>
    <row r="2533" spans="2:2">
      <c r="B2533" s="21">
        <f>IF(AND(C2533&lt;&gt;"", J2533&lt;&gt;""), HYPERLINK("#'" &amp; C2533 &amp; "'!" &amp; J2533, J2533), "")</f>
        <v>0</v>
      </c>
    </row>
    <row r="2534" spans="2:2">
      <c r="B2534" s="21">
        <f>IF(AND(C2534&lt;&gt;"", J2534&lt;&gt;""), HYPERLINK("#'" &amp; C2534 &amp; "'!" &amp; J2534, J2534), "")</f>
        <v>0</v>
      </c>
    </row>
    <row r="2535" spans="2:2">
      <c r="B2535" s="21">
        <f>IF(AND(C2535&lt;&gt;"", J2535&lt;&gt;""), HYPERLINK("#'" &amp; C2535 &amp; "'!" &amp; J2535, J2535), "")</f>
        <v>0</v>
      </c>
    </row>
    <row r="2536" spans="2:2">
      <c r="B2536" s="21">
        <f>IF(AND(C2536&lt;&gt;"", J2536&lt;&gt;""), HYPERLINK("#'" &amp; C2536 &amp; "'!" &amp; J2536, J2536), "")</f>
        <v>0</v>
      </c>
    </row>
    <row r="2537" spans="2:2">
      <c r="B2537" s="21">
        <f>IF(AND(C2537&lt;&gt;"", J2537&lt;&gt;""), HYPERLINK("#'" &amp; C2537 &amp; "'!" &amp; J2537, J2537), "")</f>
        <v>0</v>
      </c>
    </row>
    <row r="2538" spans="2:2">
      <c r="B2538" s="21">
        <f>IF(AND(C2538&lt;&gt;"", J2538&lt;&gt;""), HYPERLINK("#'" &amp; C2538 &amp; "'!" &amp; J2538, J2538), "")</f>
        <v>0</v>
      </c>
    </row>
    <row r="2539" spans="2:2">
      <c r="B2539" s="21">
        <f>IF(AND(C2539&lt;&gt;"", J2539&lt;&gt;""), HYPERLINK("#'" &amp; C2539 &amp; "'!" &amp; J2539, J2539), "")</f>
        <v>0</v>
      </c>
    </row>
    <row r="2540" spans="2:2">
      <c r="B2540" s="21">
        <f>IF(AND(C2540&lt;&gt;"", J2540&lt;&gt;""), HYPERLINK("#'" &amp; C2540 &amp; "'!" &amp; J2540, J2540), "")</f>
        <v>0</v>
      </c>
    </row>
    <row r="2541" spans="2:2">
      <c r="B2541" s="21">
        <f>IF(AND(C2541&lt;&gt;"", J2541&lt;&gt;""), HYPERLINK("#'" &amp; C2541 &amp; "'!" &amp; J2541, J2541), "")</f>
        <v>0</v>
      </c>
    </row>
    <row r="2542" spans="2:2">
      <c r="B2542" s="21">
        <f>IF(AND(C2542&lt;&gt;"", J2542&lt;&gt;""), HYPERLINK("#'" &amp; C2542 &amp; "'!" &amp; J2542, J2542), "")</f>
        <v>0</v>
      </c>
    </row>
    <row r="2543" spans="2:2">
      <c r="B2543" s="21">
        <f>IF(AND(C2543&lt;&gt;"", J2543&lt;&gt;""), HYPERLINK("#'" &amp; C2543 &amp; "'!" &amp; J2543, J2543), "")</f>
        <v>0</v>
      </c>
    </row>
    <row r="2544" spans="2:2">
      <c r="B2544" s="21">
        <f>IF(AND(C2544&lt;&gt;"", J2544&lt;&gt;""), HYPERLINK("#'" &amp; C2544 &amp; "'!" &amp; J2544, J2544), "")</f>
        <v>0</v>
      </c>
    </row>
    <row r="2545" spans="2:2">
      <c r="B2545" s="21">
        <f>IF(AND(C2545&lt;&gt;"", J2545&lt;&gt;""), HYPERLINK("#'" &amp; C2545 &amp; "'!" &amp; J2545, J2545), "")</f>
        <v>0</v>
      </c>
    </row>
    <row r="2546" spans="2:2">
      <c r="B2546" s="21">
        <f>IF(AND(C2546&lt;&gt;"", J2546&lt;&gt;""), HYPERLINK("#'" &amp; C2546 &amp; "'!" &amp; J2546, J2546), "")</f>
        <v>0</v>
      </c>
    </row>
    <row r="2547" spans="2:2">
      <c r="B2547" s="21">
        <f>IF(AND(C2547&lt;&gt;"", J2547&lt;&gt;""), HYPERLINK("#'" &amp; C2547 &amp; "'!" &amp; J2547, J2547), "")</f>
        <v>0</v>
      </c>
    </row>
    <row r="2548" spans="2:2">
      <c r="B2548" s="21">
        <f>IF(AND(C2548&lt;&gt;"", J2548&lt;&gt;""), HYPERLINK("#'" &amp; C2548 &amp; "'!" &amp; J2548, J2548), "")</f>
        <v>0</v>
      </c>
    </row>
    <row r="2549" spans="2:2">
      <c r="B2549" s="21">
        <f>IF(AND(C2549&lt;&gt;"", J2549&lt;&gt;""), HYPERLINK("#'" &amp; C2549 &amp; "'!" &amp; J2549, J2549), "")</f>
        <v>0</v>
      </c>
    </row>
    <row r="2550" spans="2:2">
      <c r="B2550" s="21">
        <f>IF(AND(C2550&lt;&gt;"", J2550&lt;&gt;""), HYPERLINK("#'" &amp; C2550 &amp; "'!" &amp; J2550, J2550), "")</f>
        <v>0</v>
      </c>
    </row>
    <row r="2551" spans="2:2">
      <c r="B2551" s="21">
        <f>IF(AND(C2551&lt;&gt;"", J2551&lt;&gt;""), HYPERLINK("#'" &amp; C2551 &amp; "'!" &amp; J2551, J2551), "")</f>
        <v>0</v>
      </c>
    </row>
    <row r="2552" spans="2:2">
      <c r="B2552" s="21">
        <f>IF(AND(C2552&lt;&gt;"", J2552&lt;&gt;""), HYPERLINK("#'" &amp; C2552 &amp; "'!" &amp; J2552, J2552), "")</f>
        <v>0</v>
      </c>
    </row>
    <row r="2553" spans="2:2">
      <c r="B2553" s="21">
        <f>IF(AND(C2553&lt;&gt;"", J2553&lt;&gt;""), HYPERLINK("#'" &amp; C2553 &amp; "'!" &amp; J2553, J2553), "")</f>
        <v>0</v>
      </c>
    </row>
    <row r="2554" spans="2:2">
      <c r="B2554" s="21">
        <f>IF(AND(C2554&lt;&gt;"", J2554&lt;&gt;""), HYPERLINK("#'" &amp; C2554 &amp; "'!" &amp; J2554, J2554), "")</f>
        <v>0</v>
      </c>
    </row>
    <row r="2555" spans="2:2">
      <c r="B2555" s="21">
        <f>IF(AND(C2555&lt;&gt;"", J2555&lt;&gt;""), HYPERLINK("#'" &amp; C2555 &amp; "'!" &amp; J2555, J2555), "")</f>
        <v>0</v>
      </c>
    </row>
    <row r="2556" spans="2:2">
      <c r="B2556" s="21">
        <f>IF(AND(C2556&lt;&gt;"", J2556&lt;&gt;""), HYPERLINK("#'" &amp; C2556 &amp; "'!" &amp; J2556, J2556), "")</f>
        <v>0</v>
      </c>
    </row>
    <row r="2557" spans="2:2">
      <c r="B2557" s="21">
        <f>IF(AND(C2557&lt;&gt;"", J2557&lt;&gt;""), HYPERLINK("#'" &amp; C2557 &amp; "'!" &amp; J2557, J2557), "")</f>
        <v>0</v>
      </c>
    </row>
    <row r="2558" spans="2:2">
      <c r="B2558" s="21">
        <f>IF(AND(C2558&lt;&gt;"", J2558&lt;&gt;""), HYPERLINK("#'" &amp; C2558 &amp; "'!" &amp; J2558, J2558), "")</f>
        <v>0</v>
      </c>
    </row>
    <row r="2559" spans="2:2">
      <c r="B2559" s="21">
        <f>IF(AND(C2559&lt;&gt;"", J2559&lt;&gt;""), HYPERLINK("#'" &amp; C2559 &amp; "'!" &amp; J2559, J2559), "")</f>
        <v>0</v>
      </c>
    </row>
    <row r="2560" spans="2:2">
      <c r="B2560" s="21">
        <f>IF(AND(C2560&lt;&gt;"", J2560&lt;&gt;""), HYPERLINK("#'" &amp; C2560 &amp; "'!" &amp; J2560, J2560), "")</f>
        <v>0</v>
      </c>
    </row>
    <row r="2561" spans="2:2">
      <c r="B2561" s="21">
        <f>IF(AND(C2561&lt;&gt;"", J2561&lt;&gt;""), HYPERLINK("#'" &amp; C2561 &amp; "'!" &amp; J2561, J2561), "")</f>
        <v>0</v>
      </c>
    </row>
    <row r="2562" spans="2:2">
      <c r="B2562" s="21">
        <f>IF(AND(C2562&lt;&gt;"", J2562&lt;&gt;""), HYPERLINK("#'" &amp; C2562 &amp; "'!" &amp; J2562, J2562), "")</f>
        <v>0</v>
      </c>
    </row>
    <row r="2563" spans="2:2">
      <c r="B2563" s="21">
        <f>IF(AND(C2563&lt;&gt;"", J2563&lt;&gt;""), HYPERLINK("#'" &amp; C2563 &amp; "'!" &amp; J2563, J2563), "")</f>
        <v>0</v>
      </c>
    </row>
    <row r="2564" spans="2:2">
      <c r="B2564" s="21">
        <f>IF(AND(C2564&lt;&gt;"", J2564&lt;&gt;""), HYPERLINK("#'" &amp; C2564 &amp; "'!" &amp; J2564, J2564), "")</f>
        <v>0</v>
      </c>
    </row>
    <row r="2565" spans="2:2">
      <c r="B2565" s="21">
        <f>IF(AND(C2565&lt;&gt;"", J2565&lt;&gt;""), HYPERLINK("#'" &amp; C2565 &amp; "'!" &amp; J2565, J2565), "")</f>
        <v>0</v>
      </c>
    </row>
    <row r="2566" spans="2:2">
      <c r="B2566" s="21">
        <f>IF(AND(C2566&lt;&gt;"", J2566&lt;&gt;""), HYPERLINK("#'" &amp; C2566 &amp; "'!" &amp; J2566, J2566), "")</f>
        <v>0</v>
      </c>
    </row>
    <row r="2567" spans="2:2">
      <c r="B2567" s="21">
        <f>IF(AND(C2567&lt;&gt;"", J2567&lt;&gt;""), HYPERLINK("#'" &amp; C2567 &amp; "'!" &amp; J2567, J2567), "")</f>
        <v>0</v>
      </c>
    </row>
    <row r="2568" spans="2:2">
      <c r="B2568" s="21">
        <f>IF(AND(C2568&lt;&gt;"", J2568&lt;&gt;""), HYPERLINK("#'" &amp; C2568 &amp; "'!" &amp; J2568, J2568), "")</f>
        <v>0</v>
      </c>
    </row>
    <row r="2569" spans="2:2">
      <c r="B2569" s="21">
        <f>IF(AND(C2569&lt;&gt;"", J2569&lt;&gt;""), HYPERLINK("#'" &amp; C2569 &amp; "'!" &amp; J2569, J2569), "")</f>
        <v>0</v>
      </c>
    </row>
    <row r="2570" spans="2:2">
      <c r="B2570" s="21">
        <f>IF(AND(C2570&lt;&gt;"", J2570&lt;&gt;""), HYPERLINK("#'" &amp; C2570 &amp; "'!" &amp; J2570, J2570), "")</f>
        <v>0</v>
      </c>
    </row>
    <row r="2571" spans="2:2">
      <c r="B2571" s="21">
        <f>IF(AND(C2571&lt;&gt;"", J2571&lt;&gt;""), HYPERLINK("#'" &amp; C2571 &amp; "'!" &amp; J2571, J2571), "")</f>
        <v>0</v>
      </c>
    </row>
    <row r="2572" spans="2:2">
      <c r="B2572" s="21">
        <f>IF(AND(C2572&lt;&gt;"", J2572&lt;&gt;""), HYPERLINK("#'" &amp; C2572 &amp; "'!" &amp; J2572, J2572), "")</f>
        <v>0</v>
      </c>
    </row>
    <row r="2573" spans="2:2">
      <c r="B2573" s="21">
        <f>IF(AND(C2573&lt;&gt;"", J2573&lt;&gt;""), HYPERLINK("#'" &amp; C2573 &amp; "'!" &amp; J2573, J2573), "")</f>
        <v>0</v>
      </c>
    </row>
    <row r="2574" spans="2:2">
      <c r="B2574" s="21">
        <f>IF(AND(C2574&lt;&gt;"", J2574&lt;&gt;""), HYPERLINK("#'" &amp; C2574 &amp; "'!" &amp; J2574, J2574), "")</f>
        <v>0</v>
      </c>
    </row>
    <row r="2575" spans="2:2">
      <c r="B2575" s="21">
        <f>IF(AND(C2575&lt;&gt;"", J2575&lt;&gt;""), HYPERLINK("#'" &amp; C2575 &amp; "'!" &amp; J2575, J2575), "")</f>
        <v>0</v>
      </c>
    </row>
    <row r="2576" spans="2:2">
      <c r="B2576" s="21">
        <f>IF(AND(C2576&lt;&gt;"", J2576&lt;&gt;""), HYPERLINK("#'" &amp; C2576 &amp; "'!" &amp; J2576, J2576), "")</f>
        <v>0</v>
      </c>
    </row>
    <row r="2577" spans="2:2">
      <c r="B2577" s="21">
        <f>IF(AND(C2577&lt;&gt;"", J2577&lt;&gt;""), HYPERLINK("#'" &amp; C2577 &amp; "'!" &amp; J2577, J2577), "")</f>
        <v>0</v>
      </c>
    </row>
    <row r="2578" spans="2:2">
      <c r="B2578" s="21">
        <f>IF(AND(C2578&lt;&gt;"", J2578&lt;&gt;""), HYPERLINK("#'" &amp; C2578 &amp; "'!" &amp; J2578, J2578), "")</f>
        <v>0</v>
      </c>
    </row>
    <row r="2579" spans="2:2">
      <c r="B2579" s="21">
        <f>IF(AND(C2579&lt;&gt;"", J2579&lt;&gt;""), HYPERLINK("#'" &amp; C2579 &amp; "'!" &amp; J2579, J2579), "")</f>
        <v>0</v>
      </c>
    </row>
    <row r="2580" spans="2:2">
      <c r="B2580" s="21">
        <f>IF(AND(C2580&lt;&gt;"", J2580&lt;&gt;""), HYPERLINK("#'" &amp; C2580 &amp; "'!" &amp; J2580, J2580), "")</f>
        <v>0</v>
      </c>
    </row>
    <row r="2581" spans="2:2">
      <c r="B2581" s="21">
        <f>IF(AND(C2581&lt;&gt;"", J2581&lt;&gt;""), HYPERLINK("#'" &amp; C2581 &amp; "'!" &amp; J2581, J2581), "")</f>
        <v>0</v>
      </c>
    </row>
    <row r="2582" spans="2:2">
      <c r="B2582" s="21">
        <f>IF(AND(C2582&lt;&gt;"", J2582&lt;&gt;""), HYPERLINK("#'" &amp; C2582 &amp; "'!" &amp; J2582, J2582), "")</f>
        <v>0</v>
      </c>
    </row>
    <row r="2583" spans="2:2">
      <c r="B2583" s="21">
        <f>IF(AND(C2583&lt;&gt;"", J2583&lt;&gt;""), HYPERLINK("#'" &amp; C2583 &amp; "'!" &amp; J2583, J2583), "")</f>
        <v>0</v>
      </c>
    </row>
    <row r="2584" spans="2:2">
      <c r="B2584" s="21">
        <f>IF(AND(C2584&lt;&gt;"", J2584&lt;&gt;""), HYPERLINK("#'" &amp; C2584 &amp; "'!" &amp; J2584, J2584), "")</f>
        <v>0</v>
      </c>
    </row>
    <row r="2585" spans="2:2">
      <c r="B2585" s="21">
        <f>IF(AND(C2585&lt;&gt;"", J2585&lt;&gt;""), HYPERLINK("#'" &amp; C2585 &amp; "'!" &amp; J2585, J2585), "")</f>
        <v>0</v>
      </c>
    </row>
    <row r="2586" spans="2:2">
      <c r="B2586" s="21">
        <f>IF(AND(C2586&lt;&gt;"", J2586&lt;&gt;""), HYPERLINK("#'" &amp; C2586 &amp; "'!" &amp; J2586, J2586), "")</f>
        <v>0</v>
      </c>
    </row>
    <row r="2587" spans="2:2">
      <c r="B2587" s="21">
        <f>IF(AND(C2587&lt;&gt;"", J2587&lt;&gt;""), HYPERLINK("#'" &amp; C2587 &amp; "'!" &amp; J2587, J2587), "")</f>
        <v>0</v>
      </c>
    </row>
    <row r="2588" spans="2:2">
      <c r="B2588" s="21">
        <f>IF(AND(C2588&lt;&gt;"", J2588&lt;&gt;""), HYPERLINK("#'" &amp; C2588 &amp; "'!" &amp; J2588, J2588), "")</f>
        <v>0</v>
      </c>
    </row>
    <row r="2589" spans="2:2">
      <c r="B2589" s="21">
        <f>IF(AND(C2589&lt;&gt;"", J2589&lt;&gt;""), HYPERLINK("#'" &amp; C2589 &amp; "'!" &amp; J2589, J2589), "")</f>
        <v>0</v>
      </c>
    </row>
    <row r="2590" spans="2:2">
      <c r="B2590" s="21">
        <f>IF(AND(C2590&lt;&gt;"", J2590&lt;&gt;""), HYPERLINK("#'" &amp; C2590 &amp; "'!" &amp; J2590, J2590), "")</f>
        <v>0</v>
      </c>
    </row>
    <row r="2591" spans="2:2">
      <c r="B2591" s="21">
        <f>IF(AND(C2591&lt;&gt;"", J2591&lt;&gt;""), HYPERLINK("#'" &amp; C2591 &amp; "'!" &amp; J2591, J2591), "")</f>
        <v>0</v>
      </c>
    </row>
    <row r="2592" spans="2:2">
      <c r="B2592" s="21">
        <f>IF(AND(C2592&lt;&gt;"", J2592&lt;&gt;""), HYPERLINK("#'" &amp; C2592 &amp; "'!" &amp; J2592, J2592), "")</f>
        <v>0</v>
      </c>
    </row>
    <row r="2593" spans="2:2">
      <c r="B2593" s="21">
        <f>IF(AND(C2593&lt;&gt;"", J2593&lt;&gt;""), HYPERLINK("#'" &amp; C2593 &amp; "'!" &amp; J2593, J2593), "")</f>
        <v>0</v>
      </c>
    </row>
    <row r="2594" spans="2:2">
      <c r="B2594" s="21">
        <f>IF(AND(C2594&lt;&gt;"", J2594&lt;&gt;""), HYPERLINK("#'" &amp; C2594 &amp; "'!" &amp; J2594, J2594), "")</f>
        <v>0</v>
      </c>
    </row>
    <row r="2595" spans="2:2">
      <c r="B2595" s="21">
        <f>IF(AND(C2595&lt;&gt;"", J2595&lt;&gt;""), HYPERLINK("#'" &amp; C2595 &amp; "'!" &amp; J2595, J2595), "")</f>
        <v>0</v>
      </c>
    </row>
    <row r="2596" spans="2:2">
      <c r="B2596" s="21">
        <f>IF(AND(C2596&lt;&gt;"", J2596&lt;&gt;""), HYPERLINK("#'" &amp; C2596 &amp; "'!" &amp; J2596, J2596), "")</f>
        <v>0</v>
      </c>
    </row>
    <row r="2597" spans="2:2">
      <c r="B2597" s="21">
        <f>IF(AND(C2597&lt;&gt;"", J2597&lt;&gt;""), HYPERLINK("#'" &amp; C2597 &amp; "'!" &amp; J2597, J2597), "")</f>
        <v>0</v>
      </c>
    </row>
    <row r="2598" spans="2:2">
      <c r="B2598" s="21">
        <f>IF(AND(C2598&lt;&gt;"", J2598&lt;&gt;""), HYPERLINK("#'" &amp; C2598 &amp; "'!" &amp; J2598, J2598), "")</f>
        <v>0</v>
      </c>
    </row>
    <row r="2599" spans="2:2">
      <c r="B2599" s="21">
        <f>IF(AND(C2599&lt;&gt;"", J2599&lt;&gt;""), HYPERLINK("#'" &amp; C2599 &amp; "'!" &amp; J2599, J2599), "")</f>
        <v>0</v>
      </c>
    </row>
    <row r="2600" spans="2:2">
      <c r="B2600" s="21">
        <f>IF(AND(C2600&lt;&gt;"", J2600&lt;&gt;""), HYPERLINK("#'" &amp; C2600 &amp; "'!" &amp; J2600, J2600), "")</f>
        <v>0</v>
      </c>
    </row>
    <row r="2601" spans="2:2">
      <c r="B2601" s="21">
        <f>IF(AND(C2601&lt;&gt;"", J2601&lt;&gt;""), HYPERLINK("#'" &amp; C2601 &amp; "'!" &amp; J2601, J2601), "")</f>
        <v>0</v>
      </c>
    </row>
    <row r="2602" spans="2:2">
      <c r="B2602" s="21">
        <f>IF(AND(C2602&lt;&gt;"", J2602&lt;&gt;""), HYPERLINK("#'" &amp; C2602 &amp; "'!" &amp; J2602, J2602), "")</f>
        <v>0</v>
      </c>
    </row>
    <row r="2603" spans="2:2">
      <c r="B2603" s="21">
        <f>IF(AND(C2603&lt;&gt;"", J2603&lt;&gt;""), HYPERLINK("#'" &amp; C2603 &amp; "'!" &amp; J2603, J2603), "")</f>
        <v>0</v>
      </c>
    </row>
    <row r="2604" spans="2:2">
      <c r="B2604" s="21">
        <f>IF(AND(C2604&lt;&gt;"", J2604&lt;&gt;""), HYPERLINK("#'" &amp; C2604 &amp; "'!" &amp; J2604, J2604), "")</f>
        <v>0</v>
      </c>
    </row>
    <row r="2605" spans="2:2">
      <c r="B2605" s="21">
        <f>IF(AND(C2605&lt;&gt;"", J2605&lt;&gt;""), HYPERLINK("#'" &amp; C2605 &amp; "'!" &amp; J2605, J2605), "")</f>
        <v>0</v>
      </c>
    </row>
    <row r="2606" spans="2:2">
      <c r="B2606" s="21">
        <f>IF(AND(C2606&lt;&gt;"", J2606&lt;&gt;""), HYPERLINK("#'" &amp; C2606 &amp; "'!" &amp; J2606, J2606), "")</f>
        <v>0</v>
      </c>
    </row>
    <row r="2607" spans="2:2">
      <c r="B2607" s="21">
        <f>IF(AND(C2607&lt;&gt;"", J2607&lt;&gt;""), HYPERLINK("#'" &amp; C2607 &amp; "'!" &amp; J2607, J2607), "")</f>
        <v>0</v>
      </c>
    </row>
    <row r="2608" spans="2:2">
      <c r="B2608" s="21">
        <f>IF(AND(C2608&lt;&gt;"", J2608&lt;&gt;""), HYPERLINK("#'" &amp; C2608 &amp; "'!" &amp; J2608, J2608), "")</f>
        <v>0</v>
      </c>
    </row>
    <row r="2609" spans="2:2">
      <c r="B2609" s="21">
        <f>IF(AND(C2609&lt;&gt;"", J2609&lt;&gt;""), HYPERLINK("#'" &amp; C2609 &amp; "'!" &amp; J2609, J2609), "")</f>
        <v>0</v>
      </c>
    </row>
    <row r="2610" spans="2:2">
      <c r="B2610" s="21">
        <f>IF(AND(C2610&lt;&gt;"", J2610&lt;&gt;""), HYPERLINK("#'" &amp; C2610 &amp; "'!" &amp; J2610, J2610), "")</f>
        <v>0</v>
      </c>
    </row>
    <row r="2611" spans="2:2">
      <c r="B2611" s="21">
        <f>IF(AND(C2611&lt;&gt;"", J2611&lt;&gt;""), HYPERLINK("#'" &amp; C2611 &amp; "'!" &amp; J2611, J2611), "")</f>
        <v>0</v>
      </c>
    </row>
    <row r="2612" spans="2:2">
      <c r="B2612" s="21">
        <f>IF(AND(C2612&lt;&gt;"", J2612&lt;&gt;""), HYPERLINK("#'" &amp; C2612 &amp; "'!" &amp; J2612, J2612), "")</f>
        <v>0</v>
      </c>
    </row>
    <row r="2613" spans="2:2">
      <c r="B2613" s="21">
        <f>IF(AND(C2613&lt;&gt;"", J2613&lt;&gt;""), HYPERLINK("#'" &amp; C2613 &amp; "'!" &amp; J2613, J2613), "")</f>
        <v>0</v>
      </c>
    </row>
    <row r="2614" spans="2:2">
      <c r="B2614" s="21">
        <f>IF(AND(C2614&lt;&gt;"", J2614&lt;&gt;""), HYPERLINK("#'" &amp; C2614 &amp; "'!" &amp; J2614, J2614), "")</f>
        <v>0</v>
      </c>
    </row>
    <row r="2615" spans="2:2">
      <c r="B2615" s="21">
        <f>IF(AND(C2615&lt;&gt;"", J2615&lt;&gt;""), HYPERLINK("#'" &amp; C2615 &amp; "'!" &amp; J2615, J2615), "")</f>
        <v>0</v>
      </c>
    </row>
    <row r="2616" spans="2:2">
      <c r="B2616" s="21">
        <f>IF(AND(C2616&lt;&gt;"", J2616&lt;&gt;""), HYPERLINK("#'" &amp; C2616 &amp; "'!" &amp; J2616, J2616), "")</f>
        <v>0</v>
      </c>
    </row>
    <row r="2617" spans="2:2">
      <c r="B2617" s="21">
        <f>IF(AND(C2617&lt;&gt;"", J2617&lt;&gt;""), HYPERLINK("#'" &amp; C2617 &amp; "'!" &amp; J2617, J2617), "")</f>
        <v>0</v>
      </c>
    </row>
    <row r="2618" spans="2:2">
      <c r="B2618" s="21">
        <f>IF(AND(C2618&lt;&gt;"", J2618&lt;&gt;""), HYPERLINK("#'" &amp; C2618 &amp; "'!" &amp; J2618, J2618), "")</f>
        <v>0</v>
      </c>
    </row>
    <row r="2619" spans="2:2">
      <c r="B2619" s="21">
        <f>IF(AND(C2619&lt;&gt;"", J2619&lt;&gt;""), HYPERLINK("#'" &amp; C2619 &amp; "'!" &amp; J2619, J2619), "")</f>
        <v>0</v>
      </c>
    </row>
    <row r="2620" spans="2:2">
      <c r="B2620" s="21">
        <f>IF(AND(C2620&lt;&gt;"", J2620&lt;&gt;""), HYPERLINK("#'" &amp; C2620 &amp; "'!" &amp; J2620, J2620), "")</f>
        <v>0</v>
      </c>
    </row>
    <row r="2621" spans="2:2">
      <c r="B2621" s="21">
        <f>IF(AND(C2621&lt;&gt;"", J2621&lt;&gt;""), HYPERLINK("#'" &amp; C2621 &amp; "'!" &amp; J2621, J2621), "")</f>
        <v>0</v>
      </c>
    </row>
    <row r="2622" spans="2:2">
      <c r="B2622" s="21">
        <f>IF(AND(C2622&lt;&gt;"", J2622&lt;&gt;""), HYPERLINK("#'" &amp; C2622 &amp; "'!" &amp; J2622, J2622), "")</f>
        <v>0</v>
      </c>
    </row>
    <row r="2623" spans="2:2">
      <c r="B2623" s="21">
        <f>IF(AND(C2623&lt;&gt;"", J2623&lt;&gt;""), HYPERLINK("#'" &amp; C2623 &amp; "'!" &amp; J2623, J2623), "")</f>
        <v>0</v>
      </c>
    </row>
    <row r="2624" spans="2:2">
      <c r="B2624" s="21">
        <f>IF(AND(C2624&lt;&gt;"", J2624&lt;&gt;""), HYPERLINK("#'" &amp; C2624 &amp; "'!" &amp; J2624, J2624), "")</f>
        <v>0</v>
      </c>
    </row>
    <row r="2625" spans="2:2">
      <c r="B2625" s="21">
        <f>IF(AND(C2625&lt;&gt;"", J2625&lt;&gt;""), HYPERLINK("#'" &amp; C2625 &amp; "'!" &amp; J2625, J2625), "")</f>
        <v>0</v>
      </c>
    </row>
    <row r="2626" spans="2:2">
      <c r="B2626" s="21">
        <f>IF(AND(C2626&lt;&gt;"", J2626&lt;&gt;""), HYPERLINK("#'" &amp; C2626 &amp; "'!" &amp; J2626, J2626), "")</f>
        <v>0</v>
      </c>
    </row>
    <row r="2627" spans="2:2">
      <c r="B2627" s="21">
        <f>IF(AND(C2627&lt;&gt;"", J2627&lt;&gt;""), HYPERLINK("#'" &amp; C2627 &amp; "'!" &amp; J2627, J2627), "")</f>
        <v>0</v>
      </c>
    </row>
    <row r="2628" spans="2:2">
      <c r="B2628" s="21">
        <f>IF(AND(C2628&lt;&gt;"", J2628&lt;&gt;""), HYPERLINK("#'" &amp; C2628 &amp; "'!" &amp; J2628, J2628), "")</f>
        <v>0</v>
      </c>
    </row>
    <row r="2629" spans="2:2">
      <c r="B2629" s="21">
        <f>IF(AND(C2629&lt;&gt;"", J2629&lt;&gt;""), HYPERLINK("#'" &amp; C2629 &amp; "'!" &amp; J2629, J2629), "")</f>
        <v>0</v>
      </c>
    </row>
    <row r="2630" spans="2:2">
      <c r="B2630" s="21">
        <f>IF(AND(C2630&lt;&gt;"", J2630&lt;&gt;""), HYPERLINK("#'" &amp; C2630 &amp; "'!" &amp; J2630, J2630), "")</f>
        <v>0</v>
      </c>
    </row>
    <row r="2631" spans="2:2">
      <c r="B2631" s="21">
        <f>IF(AND(C2631&lt;&gt;"", J2631&lt;&gt;""), HYPERLINK("#'" &amp; C2631 &amp; "'!" &amp; J2631, J2631), "")</f>
        <v>0</v>
      </c>
    </row>
    <row r="2632" spans="2:2">
      <c r="B2632" s="21">
        <f>IF(AND(C2632&lt;&gt;"", J2632&lt;&gt;""), HYPERLINK("#'" &amp; C2632 &amp; "'!" &amp; J2632, J2632), "")</f>
        <v>0</v>
      </c>
    </row>
    <row r="2633" spans="2:2">
      <c r="B2633" s="21">
        <f>IF(AND(C2633&lt;&gt;"", J2633&lt;&gt;""), HYPERLINK("#'" &amp; C2633 &amp; "'!" &amp; J2633, J2633), "")</f>
        <v>0</v>
      </c>
    </row>
    <row r="2634" spans="2:2">
      <c r="B2634" s="21">
        <f>IF(AND(C2634&lt;&gt;"", J2634&lt;&gt;""), HYPERLINK("#'" &amp; C2634 &amp; "'!" &amp; J2634, J2634), "")</f>
        <v>0</v>
      </c>
    </row>
    <row r="2635" spans="2:2">
      <c r="B2635" s="21">
        <f>IF(AND(C2635&lt;&gt;"", J2635&lt;&gt;""), HYPERLINK("#'" &amp; C2635 &amp; "'!" &amp; J2635, J2635), "")</f>
        <v>0</v>
      </c>
    </row>
    <row r="2636" spans="2:2">
      <c r="B2636" s="21">
        <f>IF(AND(C2636&lt;&gt;"", J2636&lt;&gt;""), HYPERLINK("#'" &amp; C2636 &amp; "'!" &amp; J2636, J2636), "")</f>
        <v>0</v>
      </c>
    </row>
    <row r="2637" spans="2:2">
      <c r="B2637" s="21">
        <f>IF(AND(C2637&lt;&gt;"", J2637&lt;&gt;""), HYPERLINK("#'" &amp; C2637 &amp; "'!" &amp; J2637, J2637), "")</f>
        <v>0</v>
      </c>
    </row>
    <row r="2638" spans="2:2">
      <c r="B2638" s="21">
        <f>IF(AND(C2638&lt;&gt;"", J2638&lt;&gt;""), HYPERLINK("#'" &amp; C2638 &amp; "'!" &amp; J2638, J2638), "")</f>
        <v>0</v>
      </c>
    </row>
    <row r="2639" spans="2:2">
      <c r="B2639" s="21">
        <f>IF(AND(C2639&lt;&gt;"", J2639&lt;&gt;""), HYPERLINK("#'" &amp; C2639 &amp; "'!" &amp; J2639, J2639), "")</f>
        <v>0</v>
      </c>
    </row>
    <row r="2640" spans="2:2">
      <c r="B2640" s="21">
        <f>IF(AND(C2640&lt;&gt;"", J2640&lt;&gt;""), HYPERLINK("#'" &amp; C2640 &amp; "'!" &amp; J2640, J2640), "")</f>
        <v>0</v>
      </c>
    </row>
    <row r="2641" spans="2:2">
      <c r="B2641" s="21">
        <f>IF(AND(C2641&lt;&gt;"", J2641&lt;&gt;""), HYPERLINK("#'" &amp; C2641 &amp; "'!" &amp; J2641, J2641), "")</f>
        <v>0</v>
      </c>
    </row>
    <row r="2642" spans="2:2">
      <c r="B2642" s="21">
        <f>IF(AND(C2642&lt;&gt;"", J2642&lt;&gt;""), HYPERLINK("#'" &amp; C2642 &amp; "'!" &amp; J2642, J2642), "")</f>
        <v>0</v>
      </c>
    </row>
    <row r="2643" spans="2:2">
      <c r="B2643" s="21">
        <f>IF(AND(C2643&lt;&gt;"", J2643&lt;&gt;""), HYPERLINK("#'" &amp; C2643 &amp; "'!" &amp; J2643, J2643), "")</f>
        <v>0</v>
      </c>
    </row>
    <row r="2644" spans="2:2">
      <c r="B2644" s="21">
        <f>IF(AND(C2644&lt;&gt;"", J2644&lt;&gt;""), HYPERLINK("#'" &amp; C2644 &amp; "'!" &amp; J2644, J2644), "")</f>
        <v>0</v>
      </c>
    </row>
    <row r="2645" spans="2:2">
      <c r="B2645" s="21">
        <f>IF(AND(C2645&lt;&gt;"", J2645&lt;&gt;""), HYPERLINK("#'" &amp; C2645 &amp; "'!" &amp; J2645, J2645), "")</f>
        <v>0</v>
      </c>
    </row>
    <row r="2646" spans="2:2">
      <c r="B2646" s="21">
        <f>IF(AND(C2646&lt;&gt;"", J2646&lt;&gt;""), HYPERLINK("#'" &amp; C2646 &amp; "'!" &amp; J2646, J2646), "")</f>
        <v>0</v>
      </c>
    </row>
    <row r="2647" spans="2:2">
      <c r="B2647" s="21">
        <f>IF(AND(C2647&lt;&gt;"", J2647&lt;&gt;""), HYPERLINK("#'" &amp; C2647 &amp; "'!" &amp; J2647, J2647), "")</f>
        <v>0</v>
      </c>
    </row>
    <row r="2648" spans="2:2">
      <c r="B2648" s="21">
        <f>IF(AND(C2648&lt;&gt;"", J2648&lt;&gt;""), HYPERLINK("#'" &amp; C2648 &amp; "'!" &amp; J2648, J2648), "")</f>
        <v>0</v>
      </c>
    </row>
    <row r="2649" spans="2:2">
      <c r="B2649" s="21">
        <f>IF(AND(C2649&lt;&gt;"", J2649&lt;&gt;""), HYPERLINK("#'" &amp; C2649 &amp; "'!" &amp; J2649, J2649), "")</f>
        <v>0</v>
      </c>
    </row>
    <row r="2650" spans="2:2">
      <c r="B2650" s="21">
        <f>IF(AND(C2650&lt;&gt;"", J2650&lt;&gt;""), HYPERLINK("#'" &amp; C2650 &amp; "'!" &amp; J2650, J2650), "")</f>
        <v>0</v>
      </c>
    </row>
    <row r="2651" spans="2:2">
      <c r="B2651" s="21">
        <f>IF(AND(C2651&lt;&gt;"", J2651&lt;&gt;""), HYPERLINK("#'" &amp; C2651 &amp; "'!" &amp; J2651, J2651), "")</f>
        <v>0</v>
      </c>
    </row>
    <row r="2652" spans="2:2">
      <c r="B2652" s="21">
        <f>IF(AND(C2652&lt;&gt;"", J2652&lt;&gt;""), HYPERLINK("#'" &amp; C2652 &amp; "'!" &amp; J2652, J2652), "")</f>
        <v>0</v>
      </c>
    </row>
    <row r="2653" spans="2:2">
      <c r="B2653" s="21">
        <f>IF(AND(C2653&lt;&gt;"", J2653&lt;&gt;""), HYPERLINK("#'" &amp; C2653 &amp; "'!" &amp; J2653, J2653), "")</f>
        <v>0</v>
      </c>
    </row>
    <row r="2654" spans="2:2">
      <c r="B2654" s="21">
        <f>IF(AND(C2654&lt;&gt;"", J2654&lt;&gt;""), HYPERLINK("#'" &amp; C2654 &amp; "'!" &amp; J2654, J2654), "")</f>
        <v>0</v>
      </c>
    </row>
    <row r="2655" spans="2:2">
      <c r="B2655" s="21">
        <f>IF(AND(C2655&lt;&gt;"", J2655&lt;&gt;""), HYPERLINK("#'" &amp; C2655 &amp; "'!" &amp; J2655, J2655), "")</f>
        <v>0</v>
      </c>
    </row>
    <row r="2656" spans="2:2">
      <c r="B2656" s="21">
        <f>IF(AND(C2656&lt;&gt;"", J2656&lt;&gt;""), HYPERLINK("#'" &amp; C2656 &amp; "'!" &amp; J2656, J2656), "")</f>
        <v>0</v>
      </c>
    </row>
    <row r="2657" spans="2:2">
      <c r="B2657" s="21">
        <f>IF(AND(C2657&lt;&gt;"", J2657&lt;&gt;""), HYPERLINK("#'" &amp; C2657 &amp; "'!" &amp; J2657, J2657), "")</f>
        <v>0</v>
      </c>
    </row>
    <row r="2658" spans="2:2">
      <c r="B2658" s="21">
        <f>IF(AND(C2658&lt;&gt;"", J2658&lt;&gt;""), HYPERLINK("#'" &amp; C2658 &amp; "'!" &amp; J2658, J2658), "")</f>
        <v>0</v>
      </c>
    </row>
    <row r="2659" spans="2:2">
      <c r="B2659" s="21">
        <f>IF(AND(C2659&lt;&gt;"", J2659&lt;&gt;""), HYPERLINK("#'" &amp; C2659 &amp; "'!" &amp; J2659, J2659), "")</f>
        <v>0</v>
      </c>
    </row>
    <row r="2660" spans="2:2">
      <c r="B2660" s="21">
        <f>IF(AND(C2660&lt;&gt;"", J2660&lt;&gt;""), HYPERLINK("#'" &amp; C2660 &amp; "'!" &amp; J2660, J2660), "")</f>
        <v>0</v>
      </c>
    </row>
    <row r="2661" spans="2:2">
      <c r="B2661" s="21">
        <f>IF(AND(C2661&lt;&gt;"", J2661&lt;&gt;""), HYPERLINK("#'" &amp; C2661 &amp; "'!" &amp; J2661, J2661), "")</f>
        <v>0</v>
      </c>
    </row>
    <row r="2662" spans="2:2">
      <c r="B2662" s="21">
        <f>IF(AND(C2662&lt;&gt;"", J2662&lt;&gt;""), HYPERLINK("#'" &amp; C2662 &amp; "'!" &amp; J2662, J2662), "")</f>
        <v>0</v>
      </c>
    </row>
    <row r="2663" spans="2:2">
      <c r="B2663" s="21">
        <f>IF(AND(C2663&lt;&gt;"", J2663&lt;&gt;""), HYPERLINK("#'" &amp; C2663 &amp; "'!" &amp; J2663, J2663), "")</f>
        <v>0</v>
      </c>
    </row>
    <row r="2664" spans="2:2">
      <c r="B2664" s="21">
        <f>IF(AND(C2664&lt;&gt;"", J2664&lt;&gt;""), HYPERLINK("#'" &amp; C2664 &amp; "'!" &amp; J2664, J2664), "")</f>
        <v>0</v>
      </c>
    </row>
    <row r="2665" spans="2:2">
      <c r="B2665" s="21">
        <f>IF(AND(C2665&lt;&gt;"", J2665&lt;&gt;""), HYPERLINK("#'" &amp; C2665 &amp; "'!" &amp; J2665, J2665), "")</f>
        <v>0</v>
      </c>
    </row>
    <row r="2666" spans="2:2">
      <c r="B2666" s="21">
        <f>IF(AND(C2666&lt;&gt;"", J2666&lt;&gt;""), HYPERLINK("#'" &amp; C2666 &amp; "'!" &amp; J2666, J2666), "")</f>
        <v>0</v>
      </c>
    </row>
    <row r="2667" spans="2:2">
      <c r="B2667" s="21">
        <f>IF(AND(C2667&lt;&gt;"", J2667&lt;&gt;""), HYPERLINK("#'" &amp; C2667 &amp; "'!" &amp; J2667, J2667), "")</f>
        <v>0</v>
      </c>
    </row>
    <row r="2668" spans="2:2">
      <c r="B2668" s="21">
        <f>IF(AND(C2668&lt;&gt;"", J2668&lt;&gt;""), HYPERLINK("#'" &amp; C2668 &amp; "'!" &amp; J2668, J2668), "")</f>
        <v>0</v>
      </c>
    </row>
    <row r="2669" spans="2:2">
      <c r="B2669" s="21">
        <f>IF(AND(C2669&lt;&gt;"", J2669&lt;&gt;""), HYPERLINK("#'" &amp; C2669 &amp; "'!" &amp; J2669, J2669), "")</f>
        <v>0</v>
      </c>
    </row>
    <row r="2670" spans="2:2">
      <c r="B2670" s="21">
        <f>IF(AND(C2670&lt;&gt;"", J2670&lt;&gt;""), HYPERLINK("#'" &amp; C2670 &amp; "'!" &amp; J2670, J2670), "")</f>
        <v>0</v>
      </c>
    </row>
    <row r="2671" spans="2:2">
      <c r="B2671" s="21">
        <f>IF(AND(C2671&lt;&gt;"", J2671&lt;&gt;""), HYPERLINK("#'" &amp; C2671 &amp; "'!" &amp; J2671, J2671), "")</f>
        <v>0</v>
      </c>
    </row>
    <row r="2672" spans="2:2">
      <c r="B2672" s="21">
        <f>IF(AND(C2672&lt;&gt;"", J2672&lt;&gt;""), HYPERLINK("#'" &amp; C2672 &amp; "'!" &amp; J2672, J2672), "")</f>
        <v>0</v>
      </c>
    </row>
    <row r="2673" spans="2:2">
      <c r="B2673" s="21">
        <f>IF(AND(C2673&lt;&gt;"", J2673&lt;&gt;""), HYPERLINK("#'" &amp; C2673 &amp; "'!" &amp; J2673, J2673), "")</f>
        <v>0</v>
      </c>
    </row>
    <row r="2674" spans="2:2">
      <c r="B2674" s="21">
        <f>IF(AND(C2674&lt;&gt;"", J2674&lt;&gt;""), HYPERLINK("#'" &amp; C2674 &amp; "'!" &amp; J2674, J2674), "")</f>
        <v>0</v>
      </c>
    </row>
    <row r="2675" spans="2:2">
      <c r="B2675" s="21">
        <f>IF(AND(C2675&lt;&gt;"", J2675&lt;&gt;""), HYPERLINK("#'" &amp; C2675 &amp; "'!" &amp; J2675, J2675), "")</f>
        <v>0</v>
      </c>
    </row>
    <row r="2676" spans="2:2">
      <c r="B2676" s="21">
        <f>IF(AND(C2676&lt;&gt;"", J2676&lt;&gt;""), HYPERLINK("#'" &amp; C2676 &amp; "'!" &amp; J2676, J2676), "")</f>
        <v>0</v>
      </c>
    </row>
    <row r="2677" spans="2:2">
      <c r="B2677" s="21">
        <f>IF(AND(C2677&lt;&gt;"", J2677&lt;&gt;""), HYPERLINK("#'" &amp; C2677 &amp; "'!" &amp; J2677, J2677), "")</f>
        <v>0</v>
      </c>
    </row>
    <row r="2678" spans="2:2">
      <c r="B2678" s="21">
        <f>IF(AND(C2678&lt;&gt;"", J2678&lt;&gt;""), HYPERLINK("#'" &amp; C2678 &amp; "'!" &amp; J2678, J2678), "")</f>
        <v>0</v>
      </c>
    </row>
    <row r="2679" spans="2:2">
      <c r="B2679" s="21">
        <f>IF(AND(C2679&lt;&gt;"", J2679&lt;&gt;""), HYPERLINK("#'" &amp; C2679 &amp; "'!" &amp; J2679, J2679), "")</f>
        <v>0</v>
      </c>
    </row>
    <row r="2680" spans="2:2">
      <c r="B2680" s="21">
        <f>IF(AND(C2680&lt;&gt;"", J2680&lt;&gt;""), HYPERLINK("#'" &amp; C2680 &amp; "'!" &amp; J2680, J2680), "")</f>
        <v>0</v>
      </c>
    </row>
    <row r="2681" spans="2:2">
      <c r="B2681" s="21">
        <f>IF(AND(C2681&lt;&gt;"", J2681&lt;&gt;""), HYPERLINK("#'" &amp; C2681 &amp; "'!" &amp; J2681, J2681), "")</f>
        <v>0</v>
      </c>
    </row>
    <row r="2682" spans="2:2">
      <c r="B2682" s="21">
        <f>IF(AND(C2682&lt;&gt;"", J2682&lt;&gt;""), HYPERLINK("#'" &amp; C2682 &amp; "'!" &amp; J2682, J2682), "")</f>
        <v>0</v>
      </c>
    </row>
    <row r="2683" spans="2:2">
      <c r="B2683" s="21">
        <f>IF(AND(C2683&lt;&gt;"", J2683&lt;&gt;""), HYPERLINK("#'" &amp; C2683 &amp; "'!" &amp; J2683, J2683), "")</f>
        <v>0</v>
      </c>
    </row>
    <row r="2684" spans="2:2">
      <c r="B2684" s="21">
        <f>IF(AND(C2684&lt;&gt;"", J2684&lt;&gt;""), HYPERLINK("#'" &amp; C2684 &amp; "'!" &amp; J2684, J2684), "")</f>
        <v>0</v>
      </c>
    </row>
    <row r="2685" spans="2:2">
      <c r="B2685" s="21">
        <f>IF(AND(C2685&lt;&gt;"", J2685&lt;&gt;""), HYPERLINK("#'" &amp; C2685 &amp; "'!" &amp; J2685, J2685), "")</f>
        <v>0</v>
      </c>
    </row>
    <row r="2686" spans="2:2">
      <c r="B2686" s="21">
        <f>IF(AND(C2686&lt;&gt;"", J2686&lt;&gt;""), HYPERLINK("#'" &amp; C2686 &amp; "'!" &amp; J2686, J2686), "")</f>
        <v>0</v>
      </c>
    </row>
    <row r="2687" spans="2:2">
      <c r="B2687" s="21">
        <f>IF(AND(C2687&lt;&gt;"", J2687&lt;&gt;""), HYPERLINK("#'" &amp; C2687 &amp; "'!" &amp; J2687, J2687), "")</f>
        <v>0</v>
      </c>
    </row>
    <row r="2688" spans="2:2">
      <c r="B2688" s="21">
        <f>IF(AND(C2688&lt;&gt;"", J2688&lt;&gt;""), HYPERLINK("#'" &amp; C2688 &amp; "'!" &amp; J2688, J2688), "")</f>
        <v>0</v>
      </c>
    </row>
    <row r="2689" spans="2:2">
      <c r="B2689" s="21">
        <f>IF(AND(C2689&lt;&gt;"", J2689&lt;&gt;""), HYPERLINK("#'" &amp; C2689 &amp; "'!" &amp; J2689, J2689), "")</f>
        <v>0</v>
      </c>
    </row>
    <row r="2690" spans="2:2">
      <c r="B2690" s="21">
        <f>IF(AND(C2690&lt;&gt;"", J2690&lt;&gt;""), HYPERLINK("#'" &amp; C2690 &amp; "'!" &amp; J2690, J2690), "")</f>
        <v>0</v>
      </c>
    </row>
    <row r="2691" spans="2:2">
      <c r="B2691" s="21">
        <f>IF(AND(C2691&lt;&gt;"", J2691&lt;&gt;""), HYPERLINK("#'" &amp; C2691 &amp; "'!" &amp; J2691, J2691), "")</f>
        <v>0</v>
      </c>
    </row>
    <row r="2692" spans="2:2">
      <c r="B2692" s="21">
        <f>IF(AND(C2692&lt;&gt;"", J2692&lt;&gt;""), HYPERLINK("#'" &amp; C2692 &amp; "'!" &amp; J2692, J2692), "")</f>
        <v>0</v>
      </c>
    </row>
    <row r="2693" spans="2:2">
      <c r="B2693" s="21">
        <f>IF(AND(C2693&lt;&gt;"", J2693&lt;&gt;""), HYPERLINK("#'" &amp; C2693 &amp; "'!" &amp; J2693, J2693), "")</f>
        <v>0</v>
      </c>
    </row>
    <row r="2694" spans="2:2">
      <c r="B2694" s="21">
        <f>IF(AND(C2694&lt;&gt;"", J2694&lt;&gt;""), HYPERLINK("#'" &amp; C2694 &amp; "'!" &amp; J2694, J2694), "")</f>
        <v>0</v>
      </c>
    </row>
    <row r="2695" spans="2:2">
      <c r="B2695" s="21">
        <f>IF(AND(C2695&lt;&gt;"", J2695&lt;&gt;""), HYPERLINK("#'" &amp; C2695 &amp; "'!" &amp; J2695, J2695), "")</f>
        <v>0</v>
      </c>
    </row>
    <row r="2696" spans="2:2">
      <c r="B2696" s="21">
        <f>IF(AND(C2696&lt;&gt;"", J2696&lt;&gt;""), HYPERLINK("#'" &amp; C2696 &amp; "'!" &amp; J2696, J2696), "")</f>
        <v>0</v>
      </c>
    </row>
    <row r="2697" spans="2:2">
      <c r="B2697" s="21">
        <f>IF(AND(C2697&lt;&gt;"", J2697&lt;&gt;""), HYPERLINK("#'" &amp; C2697 &amp; "'!" &amp; J2697, J2697), "")</f>
        <v>0</v>
      </c>
    </row>
    <row r="2698" spans="2:2">
      <c r="B2698" s="21">
        <f>IF(AND(C2698&lt;&gt;"", J2698&lt;&gt;""), HYPERLINK("#'" &amp; C2698 &amp; "'!" &amp; J2698, J2698), "")</f>
        <v>0</v>
      </c>
    </row>
    <row r="2699" spans="2:2">
      <c r="B2699" s="21">
        <f>IF(AND(C2699&lt;&gt;"", J2699&lt;&gt;""), HYPERLINK("#'" &amp; C2699 &amp; "'!" &amp; J2699, J2699), "")</f>
        <v>0</v>
      </c>
    </row>
    <row r="2700" spans="2:2">
      <c r="B2700" s="21">
        <f>IF(AND(C2700&lt;&gt;"", J2700&lt;&gt;""), HYPERLINK("#'" &amp; C2700 &amp; "'!" &amp; J2700, J2700), "")</f>
        <v>0</v>
      </c>
    </row>
    <row r="2701" spans="2:2">
      <c r="B2701" s="21">
        <f>IF(AND(C2701&lt;&gt;"", J2701&lt;&gt;""), HYPERLINK("#'" &amp; C2701 &amp; "'!" &amp; J2701, J2701), "")</f>
        <v>0</v>
      </c>
    </row>
    <row r="2702" spans="2:2">
      <c r="B2702" s="21">
        <f>IF(AND(C2702&lt;&gt;"", J2702&lt;&gt;""), HYPERLINK("#'" &amp; C2702 &amp; "'!" &amp; J2702, J2702), "")</f>
        <v>0</v>
      </c>
    </row>
    <row r="2703" spans="2:2">
      <c r="B2703" s="21">
        <f>IF(AND(C2703&lt;&gt;"", J2703&lt;&gt;""), HYPERLINK("#'" &amp; C2703 &amp; "'!" &amp; J2703, J2703), "")</f>
        <v>0</v>
      </c>
    </row>
    <row r="2704" spans="2:2">
      <c r="B2704" s="21">
        <f>IF(AND(C2704&lt;&gt;"", J2704&lt;&gt;""), HYPERLINK("#'" &amp; C2704 &amp; "'!" &amp; J2704, J2704), "")</f>
        <v>0</v>
      </c>
    </row>
    <row r="2705" spans="2:2">
      <c r="B2705" s="21">
        <f>IF(AND(C2705&lt;&gt;"", J2705&lt;&gt;""), HYPERLINK("#'" &amp; C2705 &amp; "'!" &amp; J2705, J2705), "")</f>
        <v>0</v>
      </c>
    </row>
    <row r="2706" spans="2:2">
      <c r="B2706" s="21">
        <f>IF(AND(C2706&lt;&gt;"", J2706&lt;&gt;""), HYPERLINK("#'" &amp; C2706 &amp; "'!" &amp; J2706, J2706), "")</f>
        <v>0</v>
      </c>
    </row>
    <row r="2707" spans="2:2">
      <c r="B2707" s="21">
        <f>IF(AND(C2707&lt;&gt;"", J2707&lt;&gt;""), HYPERLINK("#'" &amp; C2707 &amp; "'!" &amp; J2707, J2707), "")</f>
        <v>0</v>
      </c>
    </row>
    <row r="2708" spans="2:2">
      <c r="B2708" s="21">
        <f>IF(AND(C2708&lt;&gt;"", J2708&lt;&gt;""), HYPERLINK("#'" &amp; C2708 &amp; "'!" &amp; J2708, J2708), "")</f>
        <v>0</v>
      </c>
    </row>
    <row r="2709" spans="2:2">
      <c r="B2709" s="21">
        <f>IF(AND(C2709&lt;&gt;"", J2709&lt;&gt;""), HYPERLINK("#'" &amp; C2709 &amp; "'!" &amp; J2709, J2709), "")</f>
        <v>0</v>
      </c>
    </row>
    <row r="2710" spans="2:2">
      <c r="B2710" s="21">
        <f>IF(AND(C2710&lt;&gt;"", J2710&lt;&gt;""), HYPERLINK("#'" &amp; C2710 &amp; "'!" &amp; J2710, J2710), "")</f>
        <v>0</v>
      </c>
    </row>
    <row r="2711" spans="2:2">
      <c r="B2711" s="21">
        <f>IF(AND(C2711&lt;&gt;"", J2711&lt;&gt;""), HYPERLINK("#'" &amp; C2711 &amp; "'!" &amp; J2711, J2711), "")</f>
        <v>0</v>
      </c>
    </row>
    <row r="2712" spans="2:2">
      <c r="B2712" s="21">
        <f>IF(AND(C2712&lt;&gt;"", J2712&lt;&gt;""), HYPERLINK("#'" &amp; C2712 &amp; "'!" &amp; J2712, J2712), "")</f>
        <v>0</v>
      </c>
    </row>
    <row r="2713" spans="2:2">
      <c r="B2713" s="21">
        <f>IF(AND(C2713&lt;&gt;"", J2713&lt;&gt;""), HYPERLINK("#'" &amp; C2713 &amp; "'!" &amp; J2713, J2713), "")</f>
        <v>0</v>
      </c>
    </row>
    <row r="2714" spans="2:2">
      <c r="B2714" s="21">
        <f>IF(AND(C2714&lt;&gt;"", J2714&lt;&gt;""), HYPERLINK("#'" &amp; C2714 &amp; "'!" &amp; J2714, J2714), "")</f>
        <v>0</v>
      </c>
    </row>
    <row r="2715" spans="2:2">
      <c r="B2715" s="21">
        <f>IF(AND(C2715&lt;&gt;"", J2715&lt;&gt;""), HYPERLINK("#'" &amp; C2715 &amp; "'!" &amp; J2715, J2715), "")</f>
        <v>0</v>
      </c>
    </row>
    <row r="2716" spans="2:2">
      <c r="B2716" s="21">
        <f>IF(AND(C2716&lt;&gt;"", J2716&lt;&gt;""), HYPERLINK("#'" &amp; C2716 &amp; "'!" &amp; J2716, J2716), "")</f>
        <v>0</v>
      </c>
    </row>
    <row r="2717" spans="2:2">
      <c r="B2717" s="21">
        <f>IF(AND(C2717&lt;&gt;"", J2717&lt;&gt;""), HYPERLINK("#'" &amp; C2717 &amp; "'!" &amp; J2717, J2717), "")</f>
        <v>0</v>
      </c>
    </row>
    <row r="2718" spans="2:2">
      <c r="B2718" s="21">
        <f>IF(AND(C2718&lt;&gt;"", J2718&lt;&gt;""), HYPERLINK("#'" &amp; C2718 &amp; "'!" &amp; J2718, J2718), "")</f>
        <v>0</v>
      </c>
    </row>
    <row r="2719" spans="2:2">
      <c r="B2719" s="21">
        <f>IF(AND(C2719&lt;&gt;"", J2719&lt;&gt;""), HYPERLINK("#'" &amp; C2719 &amp; "'!" &amp; J2719, J2719), "")</f>
        <v>0</v>
      </c>
    </row>
    <row r="2720" spans="2:2">
      <c r="B2720" s="21">
        <f>IF(AND(C2720&lt;&gt;"", J2720&lt;&gt;""), HYPERLINK("#'" &amp; C2720 &amp; "'!" &amp; J2720, J2720), "")</f>
        <v>0</v>
      </c>
    </row>
    <row r="2721" spans="2:2">
      <c r="B2721" s="21">
        <f>IF(AND(C2721&lt;&gt;"", J2721&lt;&gt;""), HYPERLINK("#'" &amp; C2721 &amp; "'!" &amp; J2721, J2721), "")</f>
        <v>0</v>
      </c>
    </row>
    <row r="2722" spans="2:2">
      <c r="B2722" s="21">
        <f>IF(AND(C2722&lt;&gt;"", J2722&lt;&gt;""), HYPERLINK("#'" &amp; C2722 &amp; "'!" &amp; J2722, J2722), "")</f>
        <v>0</v>
      </c>
    </row>
    <row r="2723" spans="2:2">
      <c r="B2723" s="21">
        <f>IF(AND(C2723&lt;&gt;"", J2723&lt;&gt;""), HYPERLINK("#'" &amp; C2723 &amp; "'!" &amp; J2723, J2723), "")</f>
        <v>0</v>
      </c>
    </row>
    <row r="2724" spans="2:2">
      <c r="B2724" s="21">
        <f>IF(AND(C2724&lt;&gt;"", J2724&lt;&gt;""), HYPERLINK("#'" &amp; C2724 &amp; "'!" &amp; J2724, J2724), "")</f>
        <v>0</v>
      </c>
    </row>
    <row r="2725" spans="2:2">
      <c r="B2725" s="21">
        <f>IF(AND(C2725&lt;&gt;"", J2725&lt;&gt;""), HYPERLINK("#'" &amp; C2725 &amp; "'!" &amp; J2725, J2725), "")</f>
        <v>0</v>
      </c>
    </row>
    <row r="2726" spans="2:2">
      <c r="B2726" s="21">
        <f>IF(AND(C2726&lt;&gt;"", J2726&lt;&gt;""), HYPERLINK("#'" &amp; C2726 &amp; "'!" &amp; J2726, J2726), "")</f>
        <v>0</v>
      </c>
    </row>
    <row r="2727" spans="2:2">
      <c r="B2727" s="21">
        <f>IF(AND(C2727&lt;&gt;"", J2727&lt;&gt;""), HYPERLINK("#'" &amp; C2727 &amp; "'!" &amp; J2727, J2727), "")</f>
        <v>0</v>
      </c>
    </row>
    <row r="2728" spans="2:2">
      <c r="B2728" s="21">
        <f>IF(AND(C2728&lt;&gt;"", J2728&lt;&gt;""), HYPERLINK("#'" &amp; C2728 &amp; "'!" &amp; J2728, J2728), "")</f>
        <v>0</v>
      </c>
    </row>
    <row r="2729" spans="2:2">
      <c r="B2729" s="21">
        <f>IF(AND(C2729&lt;&gt;"", J2729&lt;&gt;""), HYPERLINK("#'" &amp; C2729 &amp; "'!" &amp; J2729, J2729), "")</f>
        <v>0</v>
      </c>
    </row>
    <row r="2730" spans="2:2">
      <c r="B2730" s="21">
        <f>IF(AND(C2730&lt;&gt;"", J2730&lt;&gt;""), HYPERLINK("#'" &amp; C2730 &amp; "'!" &amp; J2730, J2730), "")</f>
        <v>0</v>
      </c>
    </row>
    <row r="2731" spans="2:2">
      <c r="B2731" s="21">
        <f>IF(AND(C2731&lt;&gt;"", J2731&lt;&gt;""), HYPERLINK("#'" &amp; C2731 &amp; "'!" &amp; J2731, J2731), "")</f>
        <v>0</v>
      </c>
    </row>
    <row r="2732" spans="2:2">
      <c r="B2732" s="21">
        <f>IF(AND(C2732&lt;&gt;"", J2732&lt;&gt;""), HYPERLINK("#'" &amp; C2732 &amp; "'!" &amp; J2732, J2732), "")</f>
        <v>0</v>
      </c>
    </row>
    <row r="2733" spans="2:2">
      <c r="B2733" s="21">
        <f>IF(AND(C2733&lt;&gt;"", J2733&lt;&gt;""), HYPERLINK("#'" &amp; C2733 &amp; "'!" &amp; J2733, J2733), "")</f>
        <v>0</v>
      </c>
    </row>
    <row r="2734" spans="2:2">
      <c r="B2734" s="21">
        <f>IF(AND(C2734&lt;&gt;"", J2734&lt;&gt;""), HYPERLINK("#'" &amp; C2734 &amp; "'!" &amp; J2734, J2734), "")</f>
        <v>0</v>
      </c>
    </row>
    <row r="2735" spans="2:2">
      <c r="B2735" s="21">
        <f>IF(AND(C2735&lt;&gt;"", J2735&lt;&gt;""), HYPERLINK("#'" &amp; C2735 &amp; "'!" &amp; J2735, J2735), "")</f>
        <v>0</v>
      </c>
    </row>
    <row r="2736" spans="2:2">
      <c r="B2736" s="21">
        <f>IF(AND(C2736&lt;&gt;"", J2736&lt;&gt;""), HYPERLINK("#'" &amp; C2736 &amp; "'!" &amp; J2736, J2736), "")</f>
        <v>0</v>
      </c>
    </row>
    <row r="2737" spans="2:2">
      <c r="B2737" s="21">
        <f>IF(AND(C2737&lt;&gt;"", J2737&lt;&gt;""), HYPERLINK("#'" &amp; C2737 &amp; "'!" &amp; J2737, J2737), "")</f>
        <v>0</v>
      </c>
    </row>
    <row r="2738" spans="2:2">
      <c r="B2738" s="21">
        <f>IF(AND(C2738&lt;&gt;"", J2738&lt;&gt;""), HYPERLINK("#'" &amp; C2738 &amp; "'!" &amp; J2738, J2738), "")</f>
        <v>0</v>
      </c>
    </row>
    <row r="2739" spans="2:2">
      <c r="B2739" s="21">
        <f>IF(AND(C2739&lt;&gt;"", J2739&lt;&gt;""), HYPERLINK("#'" &amp; C2739 &amp; "'!" &amp; J2739, J2739), "")</f>
        <v>0</v>
      </c>
    </row>
    <row r="2740" spans="2:2">
      <c r="B2740" s="21">
        <f>IF(AND(C2740&lt;&gt;"", J2740&lt;&gt;""), HYPERLINK("#'" &amp; C2740 &amp; "'!" &amp; J2740, J2740), "")</f>
        <v>0</v>
      </c>
    </row>
    <row r="2741" spans="2:2">
      <c r="B2741" s="21">
        <f>IF(AND(C2741&lt;&gt;"", J2741&lt;&gt;""), HYPERLINK("#'" &amp; C2741 &amp; "'!" &amp; J2741, J2741), "")</f>
        <v>0</v>
      </c>
    </row>
    <row r="2742" spans="2:2">
      <c r="B2742" s="21">
        <f>IF(AND(C2742&lt;&gt;"", J2742&lt;&gt;""), HYPERLINK("#'" &amp; C2742 &amp; "'!" &amp; J2742, J2742), "")</f>
        <v>0</v>
      </c>
    </row>
    <row r="2743" spans="2:2">
      <c r="B2743" s="21">
        <f>IF(AND(C2743&lt;&gt;"", J2743&lt;&gt;""), HYPERLINK("#'" &amp; C2743 &amp; "'!" &amp; J2743, J2743), "")</f>
        <v>0</v>
      </c>
    </row>
    <row r="2744" spans="2:2">
      <c r="B2744" s="21">
        <f>IF(AND(C2744&lt;&gt;"", J2744&lt;&gt;""), HYPERLINK("#'" &amp; C2744 &amp; "'!" &amp; J2744, J2744), "")</f>
        <v>0</v>
      </c>
    </row>
    <row r="2745" spans="2:2">
      <c r="B2745" s="21">
        <f>IF(AND(C2745&lt;&gt;"", J2745&lt;&gt;""), HYPERLINK("#'" &amp; C2745 &amp; "'!" &amp; J2745, J2745), "")</f>
        <v>0</v>
      </c>
    </row>
    <row r="2746" spans="2:2">
      <c r="B2746" s="21">
        <f>IF(AND(C2746&lt;&gt;"", J2746&lt;&gt;""), HYPERLINK("#'" &amp; C2746 &amp; "'!" &amp; J2746, J2746), "")</f>
        <v>0</v>
      </c>
    </row>
    <row r="2747" spans="2:2">
      <c r="B2747" s="21">
        <f>IF(AND(C2747&lt;&gt;"", J2747&lt;&gt;""), HYPERLINK("#'" &amp; C2747 &amp; "'!" &amp; J2747, J2747), "")</f>
        <v>0</v>
      </c>
    </row>
    <row r="2748" spans="2:2">
      <c r="B2748" s="21">
        <f>IF(AND(C2748&lt;&gt;"", J2748&lt;&gt;""), HYPERLINK("#'" &amp; C2748 &amp; "'!" &amp; J2748, J2748), "")</f>
        <v>0</v>
      </c>
    </row>
    <row r="2749" spans="2:2">
      <c r="B2749" s="21">
        <f>IF(AND(C2749&lt;&gt;"", J2749&lt;&gt;""), HYPERLINK("#'" &amp; C2749 &amp; "'!" &amp; J2749, J2749), "")</f>
        <v>0</v>
      </c>
    </row>
    <row r="2750" spans="2:2">
      <c r="B2750" s="21">
        <f>IF(AND(C2750&lt;&gt;"", J2750&lt;&gt;""), HYPERLINK("#'" &amp; C2750 &amp; "'!" &amp; J2750, J2750), "")</f>
        <v>0</v>
      </c>
    </row>
    <row r="2751" spans="2:2">
      <c r="B2751" s="21">
        <f>IF(AND(C2751&lt;&gt;"", J2751&lt;&gt;""), HYPERLINK("#'" &amp; C2751 &amp; "'!" &amp; J2751, J2751), "")</f>
        <v>0</v>
      </c>
    </row>
    <row r="2752" spans="2:2">
      <c r="B2752" s="21">
        <f>IF(AND(C2752&lt;&gt;"", J2752&lt;&gt;""), HYPERLINK("#'" &amp; C2752 &amp; "'!" &amp; J2752, J2752), "")</f>
        <v>0</v>
      </c>
    </row>
    <row r="2753" spans="2:2">
      <c r="B2753" s="21">
        <f>IF(AND(C2753&lt;&gt;"", J2753&lt;&gt;""), HYPERLINK("#'" &amp; C2753 &amp; "'!" &amp; J2753, J2753), "")</f>
        <v>0</v>
      </c>
    </row>
    <row r="2754" spans="2:2">
      <c r="B2754" s="21">
        <f>IF(AND(C2754&lt;&gt;"", J2754&lt;&gt;""), HYPERLINK("#'" &amp; C2754 &amp; "'!" &amp; J2754, J2754), "")</f>
        <v>0</v>
      </c>
    </row>
    <row r="2755" spans="2:2">
      <c r="B2755" s="21">
        <f>IF(AND(C2755&lt;&gt;"", J2755&lt;&gt;""), HYPERLINK("#'" &amp; C2755 &amp; "'!" &amp; J2755, J2755), "")</f>
        <v>0</v>
      </c>
    </row>
    <row r="2756" spans="2:2">
      <c r="B2756" s="21">
        <f>IF(AND(C2756&lt;&gt;"", J2756&lt;&gt;""), HYPERLINK("#'" &amp; C2756 &amp; "'!" &amp; J2756, J2756), "")</f>
        <v>0</v>
      </c>
    </row>
    <row r="2757" spans="2:2">
      <c r="B2757" s="21">
        <f>IF(AND(C2757&lt;&gt;"", J2757&lt;&gt;""), HYPERLINK("#'" &amp; C2757 &amp; "'!" &amp; J2757, J2757), "")</f>
        <v>0</v>
      </c>
    </row>
    <row r="2758" spans="2:2">
      <c r="B2758" s="21">
        <f>IF(AND(C2758&lt;&gt;"", J2758&lt;&gt;""), HYPERLINK("#'" &amp; C2758 &amp; "'!" &amp; J2758, J2758), "")</f>
        <v>0</v>
      </c>
    </row>
    <row r="2759" spans="2:2">
      <c r="B2759" s="21">
        <f>IF(AND(C2759&lt;&gt;"", J2759&lt;&gt;""), HYPERLINK("#'" &amp; C2759 &amp; "'!" &amp; J2759, J2759), "")</f>
        <v>0</v>
      </c>
    </row>
    <row r="2760" spans="2:2">
      <c r="B2760" s="21">
        <f>IF(AND(C2760&lt;&gt;"", J2760&lt;&gt;""), HYPERLINK("#'" &amp; C2760 &amp; "'!" &amp; J2760, J2760), "")</f>
        <v>0</v>
      </c>
    </row>
    <row r="2761" spans="2:2">
      <c r="B2761" s="21">
        <f>IF(AND(C2761&lt;&gt;"", J2761&lt;&gt;""), HYPERLINK("#'" &amp; C2761 &amp; "'!" &amp; J2761, J2761), "")</f>
        <v>0</v>
      </c>
    </row>
    <row r="2762" spans="2:2">
      <c r="B2762" s="21">
        <f>IF(AND(C2762&lt;&gt;"", J2762&lt;&gt;""), HYPERLINK("#'" &amp; C2762 &amp; "'!" &amp; J2762, J2762), "")</f>
        <v>0</v>
      </c>
    </row>
    <row r="2763" spans="2:2">
      <c r="B2763" s="21">
        <f>IF(AND(C2763&lt;&gt;"", J2763&lt;&gt;""), HYPERLINK("#'" &amp; C2763 &amp; "'!" &amp; J2763, J2763), "")</f>
        <v>0</v>
      </c>
    </row>
    <row r="2764" spans="2:2">
      <c r="B2764" s="21">
        <f>IF(AND(C2764&lt;&gt;"", J2764&lt;&gt;""), HYPERLINK("#'" &amp; C2764 &amp; "'!" &amp; J2764, J2764), "")</f>
        <v>0</v>
      </c>
    </row>
    <row r="2765" spans="2:2">
      <c r="B2765" s="21">
        <f>IF(AND(C2765&lt;&gt;"", J2765&lt;&gt;""), HYPERLINK("#'" &amp; C2765 &amp; "'!" &amp; J2765, J2765), "")</f>
        <v>0</v>
      </c>
    </row>
    <row r="2766" spans="2:2">
      <c r="B2766" s="21">
        <f>IF(AND(C2766&lt;&gt;"", J2766&lt;&gt;""), HYPERLINK("#'" &amp; C2766 &amp; "'!" &amp; J2766, J2766), "")</f>
        <v>0</v>
      </c>
    </row>
    <row r="2767" spans="2:2">
      <c r="B2767" s="21">
        <f>IF(AND(C2767&lt;&gt;"", J2767&lt;&gt;""), HYPERLINK("#'" &amp; C2767 &amp; "'!" &amp; J2767, J2767), "")</f>
        <v>0</v>
      </c>
    </row>
    <row r="2768" spans="2:2">
      <c r="B2768" s="21">
        <f>IF(AND(C2768&lt;&gt;"", J2768&lt;&gt;""), HYPERLINK("#'" &amp; C2768 &amp; "'!" &amp; J2768, J2768), "")</f>
        <v>0</v>
      </c>
    </row>
    <row r="2769" spans="2:2">
      <c r="B2769" s="21">
        <f>IF(AND(C2769&lt;&gt;"", J2769&lt;&gt;""), HYPERLINK("#'" &amp; C2769 &amp; "'!" &amp; J2769, J2769), "")</f>
        <v>0</v>
      </c>
    </row>
    <row r="2770" spans="2:2">
      <c r="B2770" s="21">
        <f>IF(AND(C2770&lt;&gt;"", J2770&lt;&gt;""), HYPERLINK("#'" &amp; C2770 &amp; "'!" &amp; J2770, J2770), "")</f>
        <v>0</v>
      </c>
    </row>
    <row r="2771" spans="2:2">
      <c r="B2771" s="21">
        <f>IF(AND(C2771&lt;&gt;"", J2771&lt;&gt;""), HYPERLINK("#'" &amp; C2771 &amp; "'!" &amp; J2771, J2771), "")</f>
        <v>0</v>
      </c>
    </row>
    <row r="2772" spans="2:2">
      <c r="B2772" s="21">
        <f>IF(AND(C2772&lt;&gt;"", J2772&lt;&gt;""), HYPERLINK("#'" &amp; C2772 &amp; "'!" &amp; J2772, J2772), "")</f>
        <v>0</v>
      </c>
    </row>
    <row r="2773" spans="2:2">
      <c r="B2773" s="21">
        <f>IF(AND(C2773&lt;&gt;"", J2773&lt;&gt;""), HYPERLINK("#'" &amp; C2773 &amp; "'!" &amp; J2773, J2773), "")</f>
        <v>0</v>
      </c>
    </row>
    <row r="2774" spans="2:2">
      <c r="B2774" s="21">
        <f>IF(AND(C2774&lt;&gt;"", J2774&lt;&gt;""), HYPERLINK("#'" &amp; C2774 &amp; "'!" &amp; J2774, J2774), "")</f>
        <v>0</v>
      </c>
    </row>
    <row r="2775" spans="2:2">
      <c r="B2775" s="21">
        <f>IF(AND(C2775&lt;&gt;"", J2775&lt;&gt;""), HYPERLINK("#'" &amp; C2775 &amp; "'!" &amp; J2775, J2775), "")</f>
        <v>0</v>
      </c>
    </row>
    <row r="2776" spans="2:2">
      <c r="B2776" s="21">
        <f>IF(AND(C2776&lt;&gt;"", J2776&lt;&gt;""), HYPERLINK("#'" &amp; C2776 &amp; "'!" &amp; J2776, J2776), "")</f>
        <v>0</v>
      </c>
    </row>
    <row r="2777" spans="2:2">
      <c r="B2777" s="21">
        <f>IF(AND(C2777&lt;&gt;"", J2777&lt;&gt;""), HYPERLINK("#'" &amp; C2777 &amp; "'!" &amp; J2777, J2777), "")</f>
        <v>0</v>
      </c>
    </row>
    <row r="2778" spans="2:2">
      <c r="B2778" s="21">
        <f>IF(AND(C2778&lt;&gt;"", J2778&lt;&gt;""), HYPERLINK("#'" &amp; C2778 &amp; "'!" &amp; J2778, J2778), "")</f>
        <v>0</v>
      </c>
    </row>
    <row r="2779" spans="2:2">
      <c r="B2779" s="21">
        <f>IF(AND(C2779&lt;&gt;"", J2779&lt;&gt;""), HYPERLINK("#'" &amp; C2779 &amp; "'!" &amp; J2779, J2779), "")</f>
        <v>0</v>
      </c>
    </row>
    <row r="2780" spans="2:2">
      <c r="B2780" s="21">
        <f>IF(AND(C2780&lt;&gt;"", J2780&lt;&gt;""), HYPERLINK("#'" &amp; C2780 &amp; "'!" &amp; J2780, J2780), "")</f>
        <v>0</v>
      </c>
    </row>
    <row r="2781" spans="2:2">
      <c r="B2781" s="21">
        <f>IF(AND(C2781&lt;&gt;"", J2781&lt;&gt;""), HYPERLINK("#'" &amp; C2781 &amp; "'!" &amp; J2781, J2781), "")</f>
        <v>0</v>
      </c>
    </row>
    <row r="2782" spans="2:2">
      <c r="B2782" s="21">
        <f>IF(AND(C2782&lt;&gt;"", J2782&lt;&gt;""), HYPERLINK("#'" &amp; C2782 &amp; "'!" &amp; J2782, J2782), "")</f>
        <v>0</v>
      </c>
    </row>
    <row r="2783" spans="2:2">
      <c r="B2783" s="21">
        <f>IF(AND(C2783&lt;&gt;"", J2783&lt;&gt;""), HYPERLINK("#'" &amp; C2783 &amp; "'!" &amp; J2783, J2783), "")</f>
        <v>0</v>
      </c>
    </row>
    <row r="2784" spans="2:2">
      <c r="B2784" s="21">
        <f>IF(AND(C2784&lt;&gt;"", J2784&lt;&gt;""), HYPERLINK("#'" &amp; C2784 &amp; "'!" &amp; J2784, J2784), "")</f>
        <v>0</v>
      </c>
    </row>
    <row r="2785" spans="2:2">
      <c r="B2785" s="21">
        <f>IF(AND(C2785&lt;&gt;"", J2785&lt;&gt;""), HYPERLINK("#'" &amp; C2785 &amp; "'!" &amp; J2785, J2785), "")</f>
        <v>0</v>
      </c>
    </row>
    <row r="2786" spans="2:2">
      <c r="B2786" s="21">
        <f>IF(AND(C2786&lt;&gt;"", J2786&lt;&gt;""), HYPERLINK("#'" &amp; C2786 &amp; "'!" &amp; J2786, J2786), "")</f>
        <v>0</v>
      </c>
    </row>
    <row r="2787" spans="2:2">
      <c r="B2787" s="21">
        <f>IF(AND(C2787&lt;&gt;"", J2787&lt;&gt;""), HYPERLINK("#'" &amp; C2787 &amp; "'!" &amp; J2787, J2787), "")</f>
        <v>0</v>
      </c>
    </row>
    <row r="2788" spans="2:2">
      <c r="B2788" s="21">
        <f>IF(AND(C2788&lt;&gt;"", J2788&lt;&gt;""), HYPERLINK("#'" &amp; C2788 &amp; "'!" &amp; J2788, J2788), "")</f>
        <v>0</v>
      </c>
    </row>
    <row r="2789" spans="2:2">
      <c r="B2789" s="21">
        <f>IF(AND(C2789&lt;&gt;"", J2789&lt;&gt;""), HYPERLINK("#'" &amp; C2789 &amp; "'!" &amp; J2789, J2789), "")</f>
        <v>0</v>
      </c>
    </row>
    <row r="2790" spans="2:2">
      <c r="B2790" s="21">
        <f>IF(AND(C2790&lt;&gt;"", J2790&lt;&gt;""), HYPERLINK("#'" &amp; C2790 &amp; "'!" &amp; J2790, J2790), "")</f>
        <v>0</v>
      </c>
    </row>
    <row r="2791" spans="2:2">
      <c r="B2791" s="21">
        <f>IF(AND(C2791&lt;&gt;"", J2791&lt;&gt;""), HYPERLINK("#'" &amp; C2791 &amp; "'!" &amp; J2791, J2791), "")</f>
        <v>0</v>
      </c>
    </row>
    <row r="2792" spans="2:2">
      <c r="B2792" s="21">
        <f>IF(AND(C2792&lt;&gt;"", J2792&lt;&gt;""), HYPERLINK("#'" &amp; C2792 &amp; "'!" &amp; J2792, J2792), "")</f>
        <v>0</v>
      </c>
    </row>
    <row r="2793" spans="2:2">
      <c r="B2793" s="21">
        <f>IF(AND(C2793&lt;&gt;"", J2793&lt;&gt;""), HYPERLINK("#'" &amp; C2793 &amp; "'!" &amp; J2793, J2793), "")</f>
        <v>0</v>
      </c>
    </row>
    <row r="2794" spans="2:2">
      <c r="B2794" s="21">
        <f>IF(AND(C2794&lt;&gt;"", J2794&lt;&gt;""), HYPERLINK("#'" &amp; C2794 &amp; "'!" &amp; J2794, J2794), "")</f>
        <v>0</v>
      </c>
    </row>
    <row r="2795" spans="2:2">
      <c r="B2795" s="21">
        <f>IF(AND(C2795&lt;&gt;"", J2795&lt;&gt;""), HYPERLINK("#'" &amp; C2795 &amp; "'!" &amp; J2795, J2795), "")</f>
        <v>0</v>
      </c>
    </row>
    <row r="2796" spans="2:2">
      <c r="B2796" s="21">
        <f>IF(AND(C2796&lt;&gt;"", J2796&lt;&gt;""), HYPERLINK("#'" &amp; C2796 &amp; "'!" &amp; J2796, J2796), "")</f>
        <v>0</v>
      </c>
    </row>
    <row r="2797" spans="2:2">
      <c r="B2797" s="21">
        <f>IF(AND(C2797&lt;&gt;"", J2797&lt;&gt;""), HYPERLINK("#'" &amp; C2797 &amp; "'!" &amp; J2797, J2797), "")</f>
        <v>0</v>
      </c>
    </row>
    <row r="2798" spans="2:2">
      <c r="B2798" s="21">
        <f>IF(AND(C2798&lt;&gt;"", J2798&lt;&gt;""), HYPERLINK("#'" &amp; C2798 &amp; "'!" &amp; J2798, J2798), "")</f>
        <v>0</v>
      </c>
    </row>
    <row r="2799" spans="2:2">
      <c r="B2799" s="21">
        <f>IF(AND(C2799&lt;&gt;"", J2799&lt;&gt;""), HYPERLINK("#'" &amp; C2799 &amp; "'!" &amp; J2799, J2799), "")</f>
        <v>0</v>
      </c>
    </row>
    <row r="2800" spans="2:2">
      <c r="B2800" s="21">
        <f>IF(AND(C2800&lt;&gt;"", J2800&lt;&gt;""), HYPERLINK("#'" &amp; C2800 &amp; "'!" &amp; J2800, J2800), "")</f>
        <v>0</v>
      </c>
    </row>
    <row r="2801" spans="2:2">
      <c r="B2801" s="21">
        <f>IF(AND(C2801&lt;&gt;"", J2801&lt;&gt;""), HYPERLINK("#'" &amp; C2801 &amp; "'!" &amp; J2801, J2801), "")</f>
        <v>0</v>
      </c>
    </row>
    <row r="2802" spans="2:2">
      <c r="B2802" s="21">
        <f>IF(AND(C2802&lt;&gt;"", J2802&lt;&gt;""), HYPERLINK("#'" &amp; C2802 &amp; "'!" &amp; J2802, J2802), "")</f>
        <v>0</v>
      </c>
    </row>
    <row r="2803" spans="2:2">
      <c r="B2803" s="21">
        <f>IF(AND(C2803&lt;&gt;"", J2803&lt;&gt;""), HYPERLINK("#'" &amp; C2803 &amp; "'!" &amp; J2803, J2803), "")</f>
        <v>0</v>
      </c>
    </row>
    <row r="2804" spans="2:2">
      <c r="B2804" s="21">
        <f>IF(AND(C2804&lt;&gt;"", J2804&lt;&gt;""), HYPERLINK("#'" &amp; C2804 &amp; "'!" &amp; J2804, J2804), "")</f>
        <v>0</v>
      </c>
    </row>
    <row r="2805" spans="2:2">
      <c r="B2805" s="21">
        <f>IF(AND(C2805&lt;&gt;"", J2805&lt;&gt;""), HYPERLINK("#'" &amp; C2805 &amp; "'!" &amp; J2805, J2805), "")</f>
        <v>0</v>
      </c>
    </row>
    <row r="2806" spans="2:2">
      <c r="B2806" s="21">
        <f>IF(AND(C2806&lt;&gt;"", J2806&lt;&gt;""), HYPERLINK("#'" &amp; C2806 &amp; "'!" &amp; J2806, J2806), "")</f>
        <v>0</v>
      </c>
    </row>
    <row r="2807" spans="2:2">
      <c r="B2807" s="21">
        <f>IF(AND(C2807&lt;&gt;"", J2807&lt;&gt;""), HYPERLINK("#'" &amp; C2807 &amp; "'!" &amp; J2807, J2807), "")</f>
        <v>0</v>
      </c>
    </row>
    <row r="2808" spans="2:2">
      <c r="B2808" s="21">
        <f>IF(AND(C2808&lt;&gt;"", J2808&lt;&gt;""), HYPERLINK("#'" &amp; C2808 &amp; "'!" &amp; J2808, J2808), "")</f>
        <v>0</v>
      </c>
    </row>
    <row r="2809" spans="2:2">
      <c r="B2809" s="21">
        <f>IF(AND(C2809&lt;&gt;"", J2809&lt;&gt;""), HYPERLINK("#'" &amp; C2809 &amp; "'!" &amp; J2809, J2809), "")</f>
        <v>0</v>
      </c>
    </row>
    <row r="2810" spans="2:2">
      <c r="B2810" s="21">
        <f>IF(AND(C2810&lt;&gt;"", J2810&lt;&gt;""), HYPERLINK("#'" &amp; C2810 &amp; "'!" &amp; J2810, J2810), "")</f>
        <v>0</v>
      </c>
    </row>
    <row r="2811" spans="2:2">
      <c r="B2811" s="21">
        <f>IF(AND(C2811&lt;&gt;"", J2811&lt;&gt;""), HYPERLINK("#'" &amp; C2811 &amp; "'!" &amp; J2811, J2811), "")</f>
        <v>0</v>
      </c>
    </row>
    <row r="2812" spans="2:2">
      <c r="B2812" s="21">
        <f>IF(AND(C2812&lt;&gt;"", J2812&lt;&gt;""), HYPERLINK("#'" &amp; C2812 &amp; "'!" &amp; J2812, J2812), "")</f>
        <v>0</v>
      </c>
    </row>
    <row r="2813" spans="2:2">
      <c r="B2813" s="21">
        <f>IF(AND(C2813&lt;&gt;"", J2813&lt;&gt;""), HYPERLINK("#'" &amp; C2813 &amp; "'!" &amp; J2813, J2813), "")</f>
        <v>0</v>
      </c>
    </row>
    <row r="2814" spans="2:2">
      <c r="B2814" s="21">
        <f>IF(AND(C2814&lt;&gt;"", J2814&lt;&gt;""), HYPERLINK("#'" &amp; C2814 &amp; "'!" &amp; J2814, J2814), "")</f>
        <v>0</v>
      </c>
    </row>
    <row r="2815" spans="2:2">
      <c r="B2815" s="21">
        <f>IF(AND(C2815&lt;&gt;"", J2815&lt;&gt;""), HYPERLINK("#'" &amp; C2815 &amp; "'!" &amp; J2815, J2815), "")</f>
        <v>0</v>
      </c>
    </row>
    <row r="2816" spans="2:2">
      <c r="B2816" s="21">
        <f>IF(AND(C2816&lt;&gt;"", J2816&lt;&gt;""), HYPERLINK("#'" &amp; C2816 &amp; "'!" &amp; J2816, J2816), "")</f>
        <v>0</v>
      </c>
    </row>
    <row r="2817" spans="2:2">
      <c r="B2817" s="21">
        <f>IF(AND(C2817&lt;&gt;"", J2817&lt;&gt;""), HYPERLINK("#'" &amp; C2817 &amp; "'!" &amp; J2817, J2817), "")</f>
        <v>0</v>
      </c>
    </row>
    <row r="2818" spans="2:2">
      <c r="B2818" s="21">
        <f>IF(AND(C2818&lt;&gt;"", J2818&lt;&gt;""), HYPERLINK("#'" &amp; C2818 &amp; "'!" &amp; J2818, J2818), "")</f>
        <v>0</v>
      </c>
    </row>
    <row r="2819" spans="2:2">
      <c r="B2819" s="21">
        <f>IF(AND(C2819&lt;&gt;"", J2819&lt;&gt;""), HYPERLINK("#'" &amp; C2819 &amp; "'!" &amp; J2819, J2819), "")</f>
        <v>0</v>
      </c>
    </row>
    <row r="2820" spans="2:2">
      <c r="B2820" s="21">
        <f>IF(AND(C2820&lt;&gt;"", J2820&lt;&gt;""), HYPERLINK("#'" &amp; C2820 &amp; "'!" &amp; J2820, J2820), "")</f>
        <v>0</v>
      </c>
    </row>
    <row r="2821" spans="2:2">
      <c r="B2821" s="21">
        <f>IF(AND(C2821&lt;&gt;"", J2821&lt;&gt;""), HYPERLINK("#'" &amp; C2821 &amp; "'!" &amp; J2821, J2821), "")</f>
        <v>0</v>
      </c>
    </row>
    <row r="2822" spans="2:2">
      <c r="B2822" s="21">
        <f>IF(AND(C2822&lt;&gt;"", J2822&lt;&gt;""), HYPERLINK("#'" &amp; C2822 &amp; "'!" &amp; J2822, J2822), "")</f>
        <v>0</v>
      </c>
    </row>
    <row r="2823" spans="2:2">
      <c r="B2823" s="21">
        <f>IF(AND(C2823&lt;&gt;"", J2823&lt;&gt;""), HYPERLINK("#'" &amp; C2823 &amp; "'!" &amp; J2823, J2823), "")</f>
        <v>0</v>
      </c>
    </row>
    <row r="2824" spans="2:2">
      <c r="B2824" s="21">
        <f>IF(AND(C2824&lt;&gt;"", J2824&lt;&gt;""), HYPERLINK("#'" &amp; C2824 &amp; "'!" &amp; J2824, J2824), "")</f>
        <v>0</v>
      </c>
    </row>
    <row r="2825" spans="2:2">
      <c r="B2825" s="21">
        <f>IF(AND(C2825&lt;&gt;"", J2825&lt;&gt;""), HYPERLINK("#'" &amp; C2825 &amp; "'!" &amp; J2825, J2825), "")</f>
        <v>0</v>
      </c>
    </row>
    <row r="2826" spans="2:2">
      <c r="B2826" s="21">
        <f>IF(AND(C2826&lt;&gt;"", J2826&lt;&gt;""), HYPERLINK("#'" &amp; C2826 &amp; "'!" &amp; J2826, J2826), "")</f>
        <v>0</v>
      </c>
    </row>
    <row r="2827" spans="2:2">
      <c r="B2827" s="21">
        <f>IF(AND(C2827&lt;&gt;"", J2827&lt;&gt;""), HYPERLINK("#'" &amp; C2827 &amp; "'!" &amp; J2827, J2827), "")</f>
        <v>0</v>
      </c>
    </row>
    <row r="2828" spans="2:2">
      <c r="B2828" s="21">
        <f>IF(AND(C2828&lt;&gt;"", J2828&lt;&gt;""), HYPERLINK("#'" &amp; C2828 &amp; "'!" &amp; J2828, J2828), "")</f>
        <v>0</v>
      </c>
    </row>
    <row r="2829" spans="2:2">
      <c r="B2829" s="21">
        <f>IF(AND(C2829&lt;&gt;"", J2829&lt;&gt;""), HYPERLINK("#'" &amp; C2829 &amp; "'!" &amp; J2829, J2829), "")</f>
        <v>0</v>
      </c>
    </row>
    <row r="2830" spans="2:2">
      <c r="B2830" s="21">
        <f>IF(AND(C2830&lt;&gt;"", J2830&lt;&gt;""), HYPERLINK("#'" &amp; C2830 &amp; "'!" &amp; J2830, J2830), "")</f>
        <v>0</v>
      </c>
    </row>
    <row r="2831" spans="2:2">
      <c r="B2831" s="21">
        <f>IF(AND(C2831&lt;&gt;"", J2831&lt;&gt;""), HYPERLINK("#'" &amp; C2831 &amp; "'!" &amp; J2831, J2831), "")</f>
        <v>0</v>
      </c>
    </row>
    <row r="2832" spans="2:2">
      <c r="B2832" s="21">
        <f>IF(AND(C2832&lt;&gt;"", J2832&lt;&gt;""), HYPERLINK("#'" &amp; C2832 &amp; "'!" &amp; J2832, J2832), "")</f>
        <v>0</v>
      </c>
    </row>
    <row r="2833" spans="2:2">
      <c r="B2833" s="21">
        <f>IF(AND(C2833&lt;&gt;"", J2833&lt;&gt;""), HYPERLINK("#'" &amp; C2833 &amp; "'!" &amp; J2833, J2833), "")</f>
        <v>0</v>
      </c>
    </row>
    <row r="2834" spans="2:2">
      <c r="B2834" s="21">
        <f>IF(AND(C2834&lt;&gt;"", J2834&lt;&gt;""), HYPERLINK("#'" &amp; C2834 &amp; "'!" &amp; J2834, J2834), "")</f>
        <v>0</v>
      </c>
    </row>
    <row r="2835" spans="2:2">
      <c r="B2835" s="21">
        <f>IF(AND(C2835&lt;&gt;"", J2835&lt;&gt;""), HYPERLINK("#'" &amp; C2835 &amp; "'!" &amp; J2835, J2835), "")</f>
        <v>0</v>
      </c>
    </row>
    <row r="2836" spans="2:2">
      <c r="B2836" s="21">
        <f>IF(AND(C2836&lt;&gt;"", J2836&lt;&gt;""), HYPERLINK("#'" &amp; C2836 &amp; "'!" &amp; J2836, J2836), "")</f>
        <v>0</v>
      </c>
    </row>
    <row r="2837" spans="2:2">
      <c r="B2837" s="21">
        <f>IF(AND(C2837&lt;&gt;"", J2837&lt;&gt;""), HYPERLINK("#'" &amp; C2837 &amp; "'!" &amp; J2837, J2837), "")</f>
        <v>0</v>
      </c>
    </row>
    <row r="2838" spans="2:2">
      <c r="B2838" s="21">
        <f>IF(AND(C2838&lt;&gt;"", J2838&lt;&gt;""), HYPERLINK("#'" &amp; C2838 &amp; "'!" &amp; J2838, J2838), "")</f>
        <v>0</v>
      </c>
    </row>
    <row r="2839" spans="2:2">
      <c r="B2839" s="21">
        <f>IF(AND(C2839&lt;&gt;"", J2839&lt;&gt;""), HYPERLINK("#'" &amp; C2839 &amp; "'!" &amp; J2839, J2839), "")</f>
        <v>0</v>
      </c>
    </row>
    <row r="2840" spans="2:2">
      <c r="B2840" s="21">
        <f>IF(AND(C2840&lt;&gt;"", J2840&lt;&gt;""), HYPERLINK("#'" &amp; C2840 &amp; "'!" &amp; J2840, J2840), "")</f>
        <v>0</v>
      </c>
    </row>
    <row r="2841" spans="2:2">
      <c r="B2841" s="21">
        <f>IF(AND(C2841&lt;&gt;"", J2841&lt;&gt;""), HYPERLINK("#'" &amp; C2841 &amp; "'!" &amp; J2841, J2841), "")</f>
        <v>0</v>
      </c>
    </row>
    <row r="2842" spans="2:2">
      <c r="B2842" s="21">
        <f>IF(AND(C2842&lt;&gt;"", J2842&lt;&gt;""), HYPERLINK("#'" &amp; C2842 &amp; "'!" &amp; J2842, J2842), "")</f>
        <v>0</v>
      </c>
    </row>
    <row r="2843" spans="2:2">
      <c r="B2843" s="21">
        <f>IF(AND(C2843&lt;&gt;"", J2843&lt;&gt;""), HYPERLINK("#'" &amp; C2843 &amp; "'!" &amp; J2843, J2843), "")</f>
        <v>0</v>
      </c>
    </row>
    <row r="2844" spans="2:2">
      <c r="B2844" s="21">
        <f>IF(AND(C2844&lt;&gt;"", J2844&lt;&gt;""), HYPERLINK("#'" &amp; C2844 &amp; "'!" &amp; J2844, J2844), "")</f>
        <v>0</v>
      </c>
    </row>
    <row r="2845" spans="2:2">
      <c r="B2845" s="21">
        <f>IF(AND(C2845&lt;&gt;"", J2845&lt;&gt;""), HYPERLINK("#'" &amp; C2845 &amp; "'!" &amp; J2845, J2845), "")</f>
        <v>0</v>
      </c>
    </row>
    <row r="2846" spans="2:2">
      <c r="B2846" s="21">
        <f>IF(AND(C2846&lt;&gt;"", J2846&lt;&gt;""), HYPERLINK("#'" &amp; C2846 &amp; "'!" &amp; J2846, J2846), "")</f>
        <v>0</v>
      </c>
    </row>
    <row r="2847" spans="2:2">
      <c r="B2847" s="21">
        <f>IF(AND(C2847&lt;&gt;"", J2847&lt;&gt;""), HYPERLINK("#'" &amp; C2847 &amp; "'!" &amp; J2847, J2847), "")</f>
        <v>0</v>
      </c>
    </row>
    <row r="2848" spans="2:2">
      <c r="B2848" s="21">
        <f>IF(AND(C2848&lt;&gt;"", J2848&lt;&gt;""), HYPERLINK("#'" &amp; C2848 &amp; "'!" &amp; J2848, J2848), "")</f>
        <v>0</v>
      </c>
    </row>
    <row r="2849" spans="2:2">
      <c r="B2849" s="21">
        <f>IF(AND(C2849&lt;&gt;"", J2849&lt;&gt;""), HYPERLINK("#'" &amp; C2849 &amp; "'!" &amp; J2849, J2849), "")</f>
        <v>0</v>
      </c>
    </row>
    <row r="2850" spans="2:2">
      <c r="B2850" s="21">
        <f>IF(AND(C2850&lt;&gt;"", J2850&lt;&gt;""), HYPERLINK("#'" &amp; C2850 &amp; "'!" &amp; J2850, J2850), "")</f>
        <v>0</v>
      </c>
    </row>
    <row r="2851" spans="2:2">
      <c r="B2851" s="21">
        <f>IF(AND(C2851&lt;&gt;"", J2851&lt;&gt;""), HYPERLINK("#'" &amp; C2851 &amp; "'!" &amp; J2851, J2851), "")</f>
        <v>0</v>
      </c>
    </row>
    <row r="2852" spans="2:2">
      <c r="B2852" s="21">
        <f>IF(AND(C2852&lt;&gt;"", J2852&lt;&gt;""), HYPERLINK("#'" &amp; C2852 &amp; "'!" &amp; J2852, J2852), "")</f>
        <v>0</v>
      </c>
    </row>
    <row r="2853" spans="2:2">
      <c r="B2853" s="21">
        <f>IF(AND(C2853&lt;&gt;"", J2853&lt;&gt;""), HYPERLINK("#'" &amp; C2853 &amp; "'!" &amp; J2853, J2853), "")</f>
        <v>0</v>
      </c>
    </row>
    <row r="2854" spans="2:2">
      <c r="B2854" s="21">
        <f>IF(AND(C2854&lt;&gt;"", J2854&lt;&gt;""), HYPERLINK("#'" &amp; C2854 &amp; "'!" &amp; J2854, J2854), "")</f>
        <v>0</v>
      </c>
    </row>
    <row r="2855" spans="2:2">
      <c r="B2855" s="21">
        <f>IF(AND(C2855&lt;&gt;"", J2855&lt;&gt;""), HYPERLINK("#'" &amp; C2855 &amp; "'!" &amp; J2855, J2855), "")</f>
        <v>0</v>
      </c>
    </row>
    <row r="2856" spans="2:2">
      <c r="B2856" s="21">
        <f>IF(AND(C2856&lt;&gt;"", J2856&lt;&gt;""), HYPERLINK("#'" &amp; C2856 &amp; "'!" &amp; J2856, J2856), "")</f>
        <v>0</v>
      </c>
    </row>
    <row r="2857" spans="2:2">
      <c r="B2857" s="21">
        <f>IF(AND(C2857&lt;&gt;"", J2857&lt;&gt;""), HYPERLINK("#'" &amp; C2857 &amp; "'!" &amp; J2857, J2857), "")</f>
        <v>0</v>
      </c>
    </row>
    <row r="2858" spans="2:2">
      <c r="B2858" s="21">
        <f>IF(AND(C2858&lt;&gt;"", J2858&lt;&gt;""), HYPERLINK("#'" &amp; C2858 &amp; "'!" &amp; J2858, J2858), "")</f>
        <v>0</v>
      </c>
    </row>
    <row r="2859" spans="2:2">
      <c r="B2859" s="21">
        <f>IF(AND(C2859&lt;&gt;"", J2859&lt;&gt;""), HYPERLINK("#'" &amp; C2859 &amp; "'!" &amp; J2859, J2859), "")</f>
        <v>0</v>
      </c>
    </row>
    <row r="2860" spans="2:2">
      <c r="B2860" s="21">
        <f>IF(AND(C2860&lt;&gt;"", J2860&lt;&gt;""), HYPERLINK("#'" &amp; C2860 &amp; "'!" &amp; J2860, J2860), "")</f>
        <v>0</v>
      </c>
    </row>
    <row r="2861" spans="2:2">
      <c r="B2861" s="21">
        <f>IF(AND(C2861&lt;&gt;"", J2861&lt;&gt;""), HYPERLINK("#'" &amp; C2861 &amp; "'!" &amp; J2861, J2861), "")</f>
        <v>0</v>
      </c>
    </row>
    <row r="2862" spans="2:2">
      <c r="B2862" s="21">
        <f>IF(AND(C2862&lt;&gt;"", J2862&lt;&gt;""), HYPERLINK("#'" &amp; C2862 &amp; "'!" &amp; J2862, J2862), "")</f>
        <v>0</v>
      </c>
    </row>
    <row r="2863" spans="2:2">
      <c r="B2863" s="21">
        <f>IF(AND(C2863&lt;&gt;"", J2863&lt;&gt;""), HYPERLINK("#'" &amp; C2863 &amp; "'!" &amp; J2863, J2863), "")</f>
        <v>0</v>
      </c>
    </row>
    <row r="2864" spans="2:2">
      <c r="B2864" s="21">
        <f>IF(AND(C2864&lt;&gt;"", J2864&lt;&gt;""), HYPERLINK("#'" &amp; C2864 &amp; "'!" &amp; J2864, J2864), "")</f>
        <v>0</v>
      </c>
    </row>
    <row r="2865" spans="2:2">
      <c r="B2865" s="21">
        <f>IF(AND(C2865&lt;&gt;"", J2865&lt;&gt;""), HYPERLINK("#'" &amp; C2865 &amp; "'!" &amp; J2865, J2865), "")</f>
        <v>0</v>
      </c>
    </row>
    <row r="2866" spans="2:2">
      <c r="B2866" s="21">
        <f>IF(AND(C2866&lt;&gt;"", J2866&lt;&gt;""), HYPERLINK("#'" &amp; C2866 &amp; "'!" &amp; J2866, J2866), "")</f>
        <v>0</v>
      </c>
    </row>
    <row r="2867" spans="2:2">
      <c r="B2867" s="21">
        <f>IF(AND(C2867&lt;&gt;"", J2867&lt;&gt;""), HYPERLINK("#'" &amp; C2867 &amp; "'!" &amp; J2867, J2867), "")</f>
        <v>0</v>
      </c>
    </row>
    <row r="2868" spans="2:2">
      <c r="B2868" s="21">
        <f>IF(AND(C2868&lt;&gt;"", J2868&lt;&gt;""), HYPERLINK("#'" &amp; C2868 &amp; "'!" &amp; J2868, J2868), "")</f>
        <v>0</v>
      </c>
    </row>
    <row r="2869" spans="2:2">
      <c r="B2869" s="21">
        <f>IF(AND(C2869&lt;&gt;"", J2869&lt;&gt;""), HYPERLINK("#'" &amp; C2869 &amp; "'!" &amp; J2869, J2869), "")</f>
        <v>0</v>
      </c>
    </row>
    <row r="2870" spans="2:2">
      <c r="B2870" s="21">
        <f>IF(AND(C2870&lt;&gt;"", J2870&lt;&gt;""), HYPERLINK("#'" &amp; C2870 &amp; "'!" &amp; J2870, J2870), "")</f>
        <v>0</v>
      </c>
    </row>
    <row r="2871" spans="2:2">
      <c r="B2871" s="21">
        <f>IF(AND(C2871&lt;&gt;"", J2871&lt;&gt;""), HYPERLINK("#'" &amp; C2871 &amp; "'!" &amp; J2871, J2871), "")</f>
        <v>0</v>
      </c>
    </row>
    <row r="2872" spans="2:2">
      <c r="B2872" s="21">
        <f>IF(AND(C2872&lt;&gt;"", J2872&lt;&gt;""), HYPERLINK("#'" &amp; C2872 &amp; "'!" &amp; J2872, J2872), "")</f>
        <v>0</v>
      </c>
    </row>
    <row r="2873" spans="2:2">
      <c r="B2873" s="21">
        <f>IF(AND(C2873&lt;&gt;"", J2873&lt;&gt;""), HYPERLINK("#'" &amp; C2873 &amp; "'!" &amp; J2873, J2873), "")</f>
        <v>0</v>
      </c>
    </row>
    <row r="2874" spans="2:2">
      <c r="B2874" s="21">
        <f>IF(AND(C2874&lt;&gt;"", J2874&lt;&gt;""), HYPERLINK("#'" &amp; C2874 &amp; "'!" &amp; J2874, J2874), "")</f>
        <v>0</v>
      </c>
    </row>
    <row r="2875" spans="2:2">
      <c r="B2875" s="21">
        <f>IF(AND(C2875&lt;&gt;"", J2875&lt;&gt;""), HYPERLINK("#'" &amp; C2875 &amp; "'!" &amp; J2875, J2875), "")</f>
        <v>0</v>
      </c>
    </row>
    <row r="2876" spans="2:2">
      <c r="B2876" s="21">
        <f>IF(AND(C2876&lt;&gt;"", J2876&lt;&gt;""), HYPERLINK("#'" &amp; C2876 &amp; "'!" &amp; J2876, J2876), "")</f>
        <v>0</v>
      </c>
    </row>
    <row r="2877" spans="2:2">
      <c r="B2877" s="21">
        <f>IF(AND(C2877&lt;&gt;"", J2877&lt;&gt;""), HYPERLINK("#'" &amp; C2877 &amp; "'!" &amp; J2877, J2877), "")</f>
        <v>0</v>
      </c>
    </row>
    <row r="2878" spans="2:2">
      <c r="B2878" s="21">
        <f>IF(AND(C2878&lt;&gt;"", J2878&lt;&gt;""), HYPERLINK("#'" &amp; C2878 &amp; "'!" &amp; J2878, J2878), "")</f>
        <v>0</v>
      </c>
    </row>
    <row r="2879" spans="2:2">
      <c r="B2879" s="21">
        <f>IF(AND(C2879&lt;&gt;"", J2879&lt;&gt;""), HYPERLINK("#'" &amp; C2879 &amp; "'!" &amp; J2879, J2879), "")</f>
        <v>0</v>
      </c>
    </row>
    <row r="2880" spans="2:2">
      <c r="B2880" s="21">
        <f>IF(AND(C2880&lt;&gt;"", J2880&lt;&gt;""), HYPERLINK("#'" &amp; C2880 &amp; "'!" &amp; J2880, J2880), "")</f>
        <v>0</v>
      </c>
    </row>
    <row r="2881" spans="2:2">
      <c r="B2881" s="21">
        <f>IF(AND(C2881&lt;&gt;"", J2881&lt;&gt;""), HYPERLINK("#'" &amp; C2881 &amp; "'!" &amp; J2881, J2881), "")</f>
        <v>0</v>
      </c>
    </row>
    <row r="2882" spans="2:2">
      <c r="B2882" s="21">
        <f>IF(AND(C2882&lt;&gt;"", J2882&lt;&gt;""), HYPERLINK("#'" &amp; C2882 &amp; "'!" &amp; J2882, J2882), "")</f>
        <v>0</v>
      </c>
    </row>
    <row r="2883" spans="2:2">
      <c r="B2883" s="21">
        <f>IF(AND(C2883&lt;&gt;"", J2883&lt;&gt;""), HYPERLINK("#'" &amp; C2883 &amp; "'!" &amp; J2883, J2883), "")</f>
        <v>0</v>
      </c>
    </row>
    <row r="2884" spans="2:2">
      <c r="B2884" s="21">
        <f>IF(AND(C2884&lt;&gt;"", J2884&lt;&gt;""), HYPERLINK("#'" &amp; C2884 &amp; "'!" &amp; J2884, J2884), "")</f>
        <v>0</v>
      </c>
    </row>
    <row r="2885" spans="2:2">
      <c r="B2885" s="21">
        <f>IF(AND(C2885&lt;&gt;"", J2885&lt;&gt;""), HYPERLINK("#'" &amp; C2885 &amp; "'!" &amp; J2885, J2885), "")</f>
        <v>0</v>
      </c>
    </row>
    <row r="2886" spans="2:2">
      <c r="B2886" s="21">
        <f>IF(AND(C2886&lt;&gt;"", J2886&lt;&gt;""), HYPERLINK("#'" &amp; C2886 &amp; "'!" &amp; J2886, J2886), "")</f>
        <v>0</v>
      </c>
    </row>
    <row r="2887" spans="2:2">
      <c r="B2887" s="21">
        <f>IF(AND(C2887&lt;&gt;"", J2887&lt;&gt;""), HYPERLINK("#'" &amp; C2887 &amp; "'!" &amp; J2887, J2887), "")</f>
        <v>0</v>
      </c>
    </row>
    <row r="2888" spans="2:2">
      <c r="B2888" s="21">
        <f>IF(AND(C2888&lt;&gt;"", J2888&lt;&gt;""), HYPERLINK("#'" &amp; C2888 &amp; "'!" &amp; J2888, J2888), "")</f>
        <v>0</v>
      </c>
    </row>
    <row r="2889" spans="2:2">
      <c r="B2889" s="21">
        <f>IF(AND(C2889&lt;&gt;"", J2889&lt;&gt;""), HYPERLINK("#'" &amp; C2889 &amp; "'!" &amp; J2889, J2889), "")</f>
        <v>0</v>
      </c>
    </row>
    <row r="2890" spans="2:2">
      <c r="B2890" s="21">
        <f>IF(AND(C2890&lt;&gt;"", J2890&lt;&gt;""), HYPERLINK("#'" &amp; C2890 &amp; "'!" &amp; J2890, J2890), "")</f>
        <v>0</v>
      </c>
    </row>
    <row r="2891" spans="2:2">
      <c r="B2891" s="21">
        <f>IF(AND(C2891&lt;&gt;"", J2891&lt;&gt;""), HYPERLINK("#'" &amp; C2891 &amp; "'!" &amp; J2891, J2891), "")</f>
        <v>0</v>
      </c>
    </row>
    <row r="2892" spans="2:2">
      <c r="B2892" s="21">
        <f>IF(AND(C2892&lt;&gt;"", J2892&lt;&gt;""), HYPERLINK("#'" &amp; C2892 &amp; "'!" &amp; J2892, J2892), "")</f>
        <v>0</v>
      </c>
    </row>
    <row r="2893" spans="2:2">
      <c r="B2893" s="21">
        <f>IF(AND(C2893&lt;&gt;"", J2893&lt;&gt;""), HYPERLINK("#'" &amp; C2893 &amp; "'!" &amp; J2893, J2893), "")</f>
        <v>0</v>
      </c>
    </row>
    <row r="2894" spans="2:2">
      <c r="B2894" s="21">
        <f>IF(AND(C2894&lt;&gt;"", J2894&lt;&gt;""), HYPERLINK("#'" &amp; C2894 &amp; "'!" &amp; J2894, J2894), "")</f>
        <v>0</v>
      </c>
    </row>
    <row r="2895" spans="2:2">
      <c r="B2895" s="21">
        <f>IF(AND(C2895&lt;&gt;"", J2895&lt;&gt;""), HYPERLINK("#'" &amp; C2895 &amp; "'!" &amp; J2895, J2895), "")</f>
        <v>0</v>
      </c>
    </row>
    <row r="2896" spans="2:2">
      <c r="B2896" s="21">
        <f>IF(AND(C2896&lt;&gt;"", J2896&lt;&gt;""), HYPERLINK("#'" &amp; C2896 &amp; "'!" &amp; J2896, J2896), "")</f>
        <v>0</v>
      </c>
    </row>
    <row r="2897" spans="2:2">
      <c r="B2897" s="21">
        <f>IF(AND(C2897&lt;&gt;"", J2897&lt;&gt;""), HYPERLINK("#'" &amp; C2897 &amp; "'!" &amp; J2897, J2897), "")</f>
        <v>0</v>
      </c>
    </row>
    <row r="2898" spans="2:2">
      <c r="B2898" s="21">
        <f>IF(AND(C2898&lt;&gt;"", J2898&lt;&gt;""), HYPERLINK("#'" &amp; C2898 &amp; "'!" &amp; J2898, J2898), "")</f>
        <v>0</v>
      </c>
    </row>
    <row r="2899" spans="2:2">
      <c r="B2899" s="21">
        <f>IF(AND(C2899&lt;&gt;"", J2899&lt;&gt;""), HYPERLINK("#'" &amp; C2899 &amp; "'!" &amp; J2899, J2899), "")</f>
        <v>0</v>
      </c>
    </row>
    <row r="2900" spans="2:2">
      <c r="B2900" s="21">
        <f>IF(AND(C2900&lt;&gt;"", J2900&lt;&gt;""), HYPERLINK("#'" &amp; C2900 &amp; "'!" &amp; J2900, J2900), "")</f>
        <v>0</v>
      </c>
    </row>
    <row r="2901" spans="2:2">
      <c r="B2901" s="21">
        <f>IF(AND(C2901&lt;&gt;"", J2901&lt;&gt;""), HYPERLINK("#'" &amp; C2901 &amp; "'!" &amp; J2901, J2901), "")</f>
        <v>0</v>
      </c>
    </row>
    <row r="2902" spans="2:2">
      <c r="B2902" s="21">
        <f>IF(AND(C2902&lt;&gt;"", J2902&lt;&gt;""), HYPERLINK("#'" &amp; C2902 &amp; "'!" &amp; J2902, J2902), "")</f>
        <v>0</v>
      </c>
    </row>
    <row r="2903" spans="2:2">
      <c r="B2903" s="21">
        <f>IF(AND(C2903&lt;&gt;"", J2903&lt;&gt;""), HYPERLINK("#'" &amp; C2903 &amp; "'!" &amp; J2903, J2903), "")</f>
        <v>0</v>
      </c>
    </row>
    <row r="2904" spans="2:2">
      <c r="B2904" s="21">
        <f>IF(AND(C2904&lt;&gt;"", J2904&lt;&gt;""), HYPERLINK("#'" &amp; C2904 &amp; "'!" &amp; J2904, J2904), "")</f>
        <v>0</v>
      </c>
    </row>
    <row r="2905" spans="2:2">
      <c r="B2905" s="21">
        <f>IF(AND(C2905&lt;&gt;"", J2905&lt;&gt;""), HYPERLINK("#'" &amp; C2905 &amp; "'!" &amp; J2905, J2905), "")</f>
        <v>0</v>
      </c>
    </row>
    <row r="2906" spans="2:2">
      <c r="B2906" s="21">
        <f>IF(AND(C2906&lt;&gt;"", J2906&lt;&gt;""), HYPERLINK("#'" &amp; C2906 &amp; "'!" &amp; J2906, J2906), "")</f>
        <v>0</v>
      </c>
    </row>
    <row r="2907" spans="2:2">
      <c r="B2907" s="21">
        <f>IF(AND(C2907&lt;&gt;"", J2907&lt;&gt;""), HYPERLINK("#'" &amp; C2907 &amp; "'!" &amp; J2907, J2907), "")</f>
        <v>0</v>
      </c>
    </row>
    <row r="2908" spans="2:2">
      <c r="B2908" s="21">
        <f>IF(AND(C2908&lt;&gt;"", J2908&lt;&gt;""), HYPERLINK("#'" &amp; C2908 &amp; "'!" &amp; J2908, J2908), "")</f>
        <v>0</v>
      </c>
    </row>
    <row r="2909" spans="2:2">
      <c r="B2909" s="21">
        <f>IF(AND(C2909&lt;&gt;"", J2909&lt;&gt;""), HYPERLINK("#'" &amp; C2909 &amp; "'!" &amp; J2909, J2909), "")</f>
        <v>0</v>
      </c>
    </row>
    <row r="2910" spans="2:2">
      <c r="B2910" s="21">
        <f>IF(AND(C2910&lt;&gt;"", J2910&lt;&gt;""), HYPERLINK("#'" &amp; C2910 &amp; "'!" &amp; J2910, J2910), "")</f>
        <v>0</v>
      </c>
    </row>
    <row r="2911" spans="2:2">
      <c r="B2911" s="21">
        <f>IF(AND(C2911&lt;&gt;"", J2911&lt;&gt;""), HYPERLINK("#'" &amp; C2911 &amp; "'!" &amp; J2911, J2911), "")</f>
        <v>0</v>
      </c>
    </row>
    <row r="2912" spans="2:2">
      <c r="B2912" s="21">
        <f>IF(AND(C2912&lt;&gt;"", J2912&lt;&gt;""), HYPERLINK("#'" &amp; C2912 &amp; "'!" &amp; J2912, J2912), "")</f>
        <v>0</v>
      </c>
    </row>
    <row r="2913" spans="2:2">
      <c r="B2913" s="21">
        <f>IF(AND(C2913&lt;&gt;"", J2913&lt;&gt;""), HYPERLINK("#'" &amp; C2913 &amp; "'!" &amp; J2913, J2913), "")</f>
        <v>0</v>
      </c>
    </row>
    <row r="2914" spans="2:2">
      <c r="B2914" s="21">
        <f>IF(AND(C2914&lt;&gt;"", J2914&lt;&gt;""), HYPERLINK("#'" &amp; C2914 &amp; "'!" &amp; J2914, J2914), "")</f>
        <v>0</v>
      </c>
    </row>
    <row r="2915" spans="2:2">
      <c r="B2915" s="21">
        <f>IF(AND(C2915&lt;&gt;"", J2915&lt;&gt;""), HYPERLINK("#'" &amp; C2915 &amp; "'!" &amp; J2915, J2915), "")</f>
        <v>0</v>
      </c>
    </row>
    <row r="2916" spans="2:2">
      <c r="B2916" s="21">
        <f>IF(AND(C2916&lt;&gt;"", J2916&lt;&gt;""), HYPERLINK("#'" &amp; C2916 &amp; "'!" &amp; J2916, J2916), "")</f>
        <v>0</v>
      </c>
    </row>
    <row r="2917" spans="2:2">
      <c r="B2917" s="21">
        <f>IF(AND(C2917&lt;&gt;"", J2917&lt;&gt;""), HYPERLINK("#'" &amp; C2917 &amp; "'!" &amp; J2917, J2917), "")</f>
        <v>0</v>
      </c>
    </row>
    <row r="2918" spans="2:2">
      <c r="B2918" s="21">
        <f>IF(AND(C2918&lt;&gt;"", J2918&lt;&gt;""), HYPERLINK("#'" &amp; C2918 &amp; "'!" &amp; J2918, J2918), "")</f>
        <v>0</v>
      </c>
    </row>
    <row r="2919" spans="2:2">
      <c r="B2919" s="21">
        <f>IF(AND(C2919&lt;&gt;"", J2919&lt;&gt;""), HYPERLINK("#'" &amp; C2919 &amp; "'!" &amp; J2919, J2919), "")</f>
        <v>0</v>
      </c>
    </row>
    <row r="2920" spans="2:2">
      <c r="B2920" s="21">
        <f>IF(AND(C2920&lt;&gt;"", J2920&lt;&gt;""), HYPERLINK("#'" &amp; C2920 &amp; "'!" &amp; J2920, J2920), "")</f>
        <v>0</v>
      </c>
    </row>
    <row r="2921" spans="2:2">
      <c r="B2921" s="21">
        <f>IF(AND(C2921&lt;&gt;"", J2921&lt;&gt;""), HYPERLINK("#'" &amp; C2921 &amp; "'!" &amp; J2921, J2921), "")</f>
        <v>0</v>
      </c>
    </row>
    <row r="2922" spans="2:2">
      <c r="B2922" s="21">
        <f>IF(AND(C2922&lt;&gt;"", J2922&lt;&gt;""), HYPERLINK("#'" &amp; C2922 &amp; "'!" &amp; J2922, J2922), "")</f>
        <v>0</v>
      </c>
    </row>
    <row r="2923" spans="2:2">
      <c r="B2923" s="21">
        <f>IF(AND(C2923&lt;&gt;"", J2923&lt;&gt;""), HYPERLINK("#'" &amp; C2923 &amp; "'!" &amp; J2923, J2923), "")</f>
        <v>0</v>
      </c>
    </row>
    <row r="2924" spans="2:2">
      <c r="B2924" s="21">
        <f>IF(AND(C2924&lt;&gt;"", J2924&lt;&gt;""), HYPERLINK("#'" &amp; C2924 &amp; "'!" &amp; J2924, J2924), "")</f>
        <v>0</v>
      </c>
    </row>
    <row r="2925" spans="2:2">
      <c r="B2925" s="21">
        <f>IF(AND(C2925&lt;&gt;"", J2925&lt;&gt;""), HYPERLINK("#'" &amp; C2925 &amp; "'!" &amp; J2925, J2925), "")</f>
        <v>0</v>
      </c>
    </row>
    <row r="2926" spans="2:2">
      <c r="B2926" s="21">
        <f>IF(AND(C2926&lt;&gt;"", J2926&lt;&gt;""), HYPERLINK("#'" &amp; C2926 &amp; "'!" &amp; J2926, J2926), "")</f>
        <v>0</v>
      </c>
    </row>
    <row r="2927" spans="2:2">
      <c r="B2927" s="21">
        <f>IF(AND(C2927&lt;&gt;"", J2927&lt;&gt;""), HYPERLINK("#'" &amp; C2927 &amp; "'!" &amp; J2927, J2927), "")</f>
        <v>0</v>
      </c>
    </row>
    <row r="2928" spans="2:2">
      <c r="B2928" s="21">
        <f>IF(AND(C2928&lt;&gt;"", J2928&lt;&gt;""), HYPERLINK("#'" &amp; C2928 &amp; "'!" &amp; J2928, J2928), "")</f>
        <v>0</v>
      </c>
    </row>
    <row r="2929" spans="2:2">
      <c r="B2929" s="21">
        <f>IF(AND(C2929&lt;&gt;"", J2929&lt;&gt;""), HYPERLINK("#'" &amp; C2929 &amp; "'!" &amp; J2929, J2929), "")</f>
        <v>0</v>
      </c>
    </row>
    <row r="2930" spans="2:2">
      <c r="B2930" s="21">
        <f>IF(AND(C2930&lt;&gt;"", J2930&lt;&gt;""), HYPERLINK("#'" &amp; C2930 &amp; "'!" &amp; J2930, J2930), "")</f>
        <v>0</v>
      </c>
    </row>
    <row r="2931" spans="2:2">
      <c r="B2931" s="21">
        <f>IF(AND(C2931&lt;&gt;"", J2931&lt;&gt;""), HYPERLINK("#'" &amp; C2931 &amp; "'!" &amp; J2931, J2931), "")</f>
        <v>0</v>
      </c>
    </row>
    <row r="2932" spans="2:2">
      <c r="B2932" s="21">
        <f>IF(AND(C2932&lt;&gt;"", J2932&lt;&gt;""), HYPERLINK("#'" &amp; C2932 &amp; "'!" &amp; J2932, J2932), "")</f>
        <v>0</v>
      </c>
    </row>
    <row r="2933" spans="2:2">
      <c r="B2933" s="21">
        <f>IF(AND(C2933&lt;&gt;"", J2933&lt;&gt;""), HYPERLINK("#'" &amp; C2933 &amp; "'!" &amp; J2933, J2933), "")</f>
        <v>0</v>
      </c>
    </row>
    <row r="2934" spans="2:2">
      <c r="B2934" s="21">
        <f>IF(AND(C2934&lt;&gt;"", J2934&lt;&gt;""), HYPERLINK("#'" &amp; C2934 &amp; "'!" &amp; J2934, J2934), "")</f>
        <v>0</v>
      </c>
    </row>
    <row r="2935" spans="2:2">
      <c r="B2935" s="21">
        <f>IF(AND(C2935&lt;&gt;"", J2935&lt;&gt;""), HYPERLINK("#'" &amp; C2935 &amp; "'!" &amp; J2935, J2935), "")</f>
        <v>0</v>
      </c>
    </row>
    <row r="2936" spans="2:2">
      <c r="B2936" s="21">
        <f>IF(AND(C2936&lt;&gt;"", J2936&lt;&gt;""), HYPERLINK("#'" &amp; C2936 &amp; "'!" &amp; J2936, J2936), "")</f>
        <v>0</v>
      </c>
    </row>
    <row r="2937" spans="2:2">
      <c r="B2937" s="21">
        <f>IF(AND(C2937&lt;&gt;"", J2937&lt;&gt;""), HYPERLINK("#'" &amp; C2937 &amp; "'!" &amp; J2937, J2937), "")</f>
        <v>0</v>
      </c>
    </row>
    <row r="2938" spans="2:2">
      <c r="B2938" s="21">
        <f>IF(AND(C2938&lt;&gt;"", J2938&lt;&gt;""), HYPERLINK("#'" &amp; C2938 &amp; "'!" &amp; J2938, J2938), "")</f>
        <v>0</v>
      </c>
    </row>
    <row r="2939" spans="2:2">
      <c r="B2939" s="21">
        <f>IF(AND(C2939&lt;&gt;"", J2939&lt;&gt;""), HYPERLINK("#'" &amp; C2939 &amp; "'!" &amp; J2939, J2939), "")</f>
        <v>0</v>
      </c>
    </row>
    <row r="2940" spans="2:2">
      <c r="B2940" s="21">
        <f>IF(AND(C2940&lt;&gt;"", J2940&lt;&gt;""), HYPERLINK("#'" &amp; C2940 &amp; "'!" &amp; J2940, J2940), "")</f>
        <v>0</v>
      </c>
    </row>
    <row r="2941" spans="2:2">
      <c r="B2941" s="21">
        <f>IF(AND(C2941&lt;&gt;"", J2941&lt;&gt;""), HYPERLINK("#'" &amp; C2941 &amp; "'!" &amp; J2941, J2941), "")</f>
        <v>0</v>
      </c>
    </row>
    <row r="2942" spans="2:2">
      <c r="B2942" s="21">
        <f>IF(AND(C2942&lt;&gt;"", J2942&lt;&gt;""), HYPERLINK("#'" &amp; C2942 &amp; "'!" &amp; J2942, J2942), "")</f>
        <v>0</v>
      </c>
    </row>
    <row r="2943" spans="2:2">
      <c r="B2943" s="21">
        <f>IF(AND(C2943&lt;&gt;"", J2943&lt;&gt;""), HYPERLINK("#'" &amp; C2943 &amp; "'!" &amp; J2943, J2943), "")</f>
        <v>0</v>
      </c>
    </row>
    <row r="2944" spans="2:2">
      <c r="B2944" s="21">
        <f>IF(AND(C2944&lt;&gt;"", J2944&lt;&gt;""), HYPERLINK("#'" &amp; C2944 &amp; "'!" &amp; J2944, J2944), "")</f>
        <v>0</v>
      </c>
    </row>
    <row r="2945" spans="2:2">
      <c r="B2945" s="21">
        <f>IF(AND(C2945&lt;&gt;"", J2945&lt;&gt;""), HYPERLINK("#'" &amp; C2945 &amp; "'!" &amp; J2945, J2945), "")</f>
        <v>0</v>
      </c>
    </row>
    <row r="2946" spans="2:2">
      <c r="B2946" s="21">
        <f>IF(AND(C2946&lt;&gt;"", J2946&lt;&gt;""), HYPERLINK("#'" &amp; C2946 &amp; "'!" &amp; J2946, J2946), "")</f>
        <v>0</v>
      </c>
    </row>
    <row r="2947" spans="2:2">
      <c r="B2947" s="21">
        <f>IF(AND(C2947&lt;&gt;"", J2947&lt;&gt;""), HYPERLINK("#'" &amp; C2947 &amp; "'!" &amp; J2947, J2947), "")</f>
        <v>0</v>
      </c>
    </row>
    <row r="2948" spans="2:2">
      <c r="B2948" s="21">
        <f>IF(AND(C2948&lt;&gt;"", J2948&lt;&gt;""), HYPERLINK("#'" &amp; C2948 &amp; "'!" &amp; J2948, J2948), "")</f>
        <v>0</v>
      </c>
    </row>
    <row r="2949" spans="2:2">
      <c r="B2949" s="21">
        <f>IF(AND(C2949&lt;&gt;"", J2949&lt;&gt;""), HYPERLINK("#'" &amp; C2949 &amp; "'!" &amp; J2949, J2949), "")</f>
        <v>0</v>
      </c>
    </row>
    <row r="2950" spans="2:2">
      <c r="B2950" s="21">
        <f>IF(AND(C2950&lt;&gt;"", J2950&lt;&gt;""), HYPERLINK("#'" &amp; C2950 &amp; "'!" &amp; J2950, J2950), "")</f>
        <v>0</v>
      </c>
    </row>
    <row r="2951" spans="2:2">
      <c r="B2951" s="21">
        <f>IF(AND(C2951&lt;&gt;"", J2951&lt;&gt;""), HYPERLINK("#'" &amp; C2951 &amp; "'!" &amp; J2951, J2951), "")</f>
        <v>0</v>
      </c>
    </row>
    <row r="2952" spans="2:2">
      <c r="B2952" s="21">
        <f>IF(AND(C2952&lt;&gt;"", J2952&lt;&gt;""), HYPERLINK("#'" &amp; C2952 &amp; "'!" &amp; J2952, J2952), "")</f>
        <v>0</v>
      </c>
    </row>
    <row r="2953" spans="2:2">
      <c r="B2953" s="21">
        <f>IF(AND(C2953&lt;&gt;"", J2953&lt;&gt;""), HYPERLINK("#'" &amp; C2953 &amp; "'!" &amp; J2953, J2953), "")</f>
        <v>0</v>
      </c>
    </row>
    <row r="2954" spans="2:2">
      <c r="B2954" s="21">
        <f>IF(AND(C2954&lt;&gt;"", J2954&lt;&gt;""), HYPERLINK("#'" &amp; C2954 &amp; "'!" &amp; J2954, J2954), "")</f>
        <v>0</v>
      </c>
    </row>
    <row r="2955" spans="2:2">
      <c r="B2955" s="21">
        <f>IF(AND(C2955&lt;&gt;"", J2955&lt;&gt;""), HYPERLINK("#'" &amp; C2955 &amp; "'!" &amp; J2955, J2955), "")</f>
        <v>0</v>
      </c>
    </row>
    <row r="2956" spans="2:2">
      <c r="B2956" s="21">
        <f>IF(AND(C2956&lt;&gt;"", J2956&lt;&gt;""), HYPERLINK("#'" &amp; C2956 &amp; "'!" &amp; J2956, J2956), "")</f>
        <v>0</v>
      </c>
    </row>
    <row r="2957" spans="2:2">
      <c r="B2957" s="21">
        <f>IF(AND(C2957&lt;&gt;"", J2957&lt;&gt;""), HYPERLINK("#'" &amp; C2957 &amp; "'!" &amp; J2957, J2957), "")</f>
        <v>0</v>
      </c>
    </row>
    <row r="2958" spans="2:2">
      <c r="B2958" s="21">
        <f>IF(AND(C2958&lt;&gt;"", J2958&lt;&gt;""), HYPERLINK("#'" &amp; C2958 &amp; "'!" &amp; J2958, J2958), "")</f>
        <v>0</v>
      </c>
    </row>
    <row r="2959" spans="2:2">
      <c r="B2959" s="21">
        <f>IF(AND(C2959&lt;&gt;"", J2959&lt;&gt;""), HYPERLINK("#'" &amp; C2959 &amp; "'!" &amp; J2959, J2959), "")</f>
        <v>0</v>
      </c>
    </row>
    <row r="2960" spans="2:2">
      <c r="B2960" s="21">
        <f>IF(AND(C2960&lt;&gt;"", J2960&lt;&gt;""), HYPERLINK("#'" &amp; C2960 &amp; "'!" &amp; J2960, J2960), "")</f>
        <v>0</v>
      </c>
    </row>
    <row r="2961" spans="2:2">
      <c r="B2961" s="21">
        <f>IF(AND(C2961&lt;&gt;"", J2961&lt;&gt;""), HYPERLINK("#'" &amp; C2961 &amp; "'!" &amp; J2961, J2961), "")</f>
        <v>0</v>
      </c>
    </row>
    <row r="2962" spans="2:2">
      <c r="B2962" s="21">
        <f>IF(AND(C2962&lt;&gt;"", J2962&lt;&gt;""), HYPERLINK("#'" &amp; C2962 &amp; "'!" &amp; J2962, J2962), "")</f>
        <v>0</v>
      </c>
    </row>
    <row r="2963" spans="2:2">
      <c r="B2963" s="21">
        <f>IF(AND(C2963&lt;&gt;"", J2963&lt;&gt;""), HYPERLINK("#'" &amp; C2963 &amp; "'!" &amp; J2963, J2963), "")</f>
        <v>0</v>
      </c>
    </row>
    <row r="2964" spans="2:2">
      <c r="B2964" s="21">
        <f>IF(AND(C2964&lt;&gt;"", J2964&lt;&gt;""), HYPERLINK("#'" &amp; C2964 &amp; "'!" &amp; J2964, J2964), "")</f>
        <v>0</v>
      </c>
    </row>
    <row r="2965" spans="2:2">
      <c r="B2965" s="21">
        <f>IF(AND(C2965&lt;&gt;"", J2965&lt;&gt;""), HYPERLINK("#'" &amp; C2965 &amp; "'!" &amp; J2965, J2965), "")</f>
        <v>0</v>
      </c>
    </row>
    <row r="2966" spans="2:2">
      <c r="B2966" s="21">
        <f>IF(AND(C2966&lt;&gt;"", J2966&lt;&gt;""), HYPERLINK("#'" &amp; C2966 &amp; "'!" &amp; J2966, J2966), "")</f>
        <v>0</v>
      </c>
    </row>
    <row r="2967" spans="2:2">
      <c r="B2967" s="21">
        <f>IF(AND(C2967&lt;&gt;"", J2967&lt;&gt;""), HYPERLINK("#'" &amp; C2967 &amp; "'!" &amp; J2967, J2967), "")</f>
        <v>0</v>
      </c>
    </row>
    <row r="2968" spans="2:2">
      <c r="B2968" s="21">
        <f>IF(AND(C2968&lt;&gt;"", J2968&lt;&gt;""), HYPERLINK("#'" &amp; C2968 &amp; "'!" &amp; J2968, J2968), "")</f>
        <v>0</v>
      </c>
    </row>
    <row r="2969" spans="2:2">
      <c r="B2969" s="21">
        <f>IF(AND(C2969&lt;&gt;"", J2969&lt;&gt;""), HYPERLINK("#'" &amp; C2969 &amp; "'!" &amp; J2969, J2969), "")</f>
        <v>0</v>
      </c>
    </row>
    <row r="2970" spans="2:2">
      <c r="B2970" s="21">
        <f>IF(AND(C2970&lt;&gt;"", J2970&lt;&gt;""), HYPERLINK("#'" &amp; C2970 &amp; "'!" &amp; J2970, J2970), "")</f>
        <v>0</v>
      </c>
    </row>
    <row r="2971" spans="2:2">
      <c r="B2971" s="21">
        <f>IF(AND(C2971&lt;&gt;"", J2971&lt;&gt;""), HYPERLINK("#'" &amp; C2971 &amp; "'!" &amp; J2971, J2971), "")</f>
        <v>0</v>
      </c>
    </row>
    <row r="2972" spans="2:2">
      <c r="B2972" s="21">
        <f>IF(AND(C2972&lt;&gt;"", J2972&lt;&gt;""), HYPERLINK("#'" &amp; C2972 &amp; "'!" &amp; J2972, J2972), "")</f>
        <v>0</v>
      </c>
    </row>
    <row r="2973" spans="2:2">
      <c r="B2973" s="21">
        <f>IF(AND(C2973&lt;&gt;"", J2973&lt;&gt;""), HYPERLINK("#'" &amp; C2973 &amp; "'!" &amp; J2973, J2973), "")</f>
        <v>0</v>
      </c>
    </row>
    <row r="2974" spans="2:2">
      <c r="B2974" s="21">
        <f>IF(AND(C2974&lt;&gt;"", J2974&lt;&gt;""), HYPERLINK("#'" &amp; C2974 &amp; "'!" &amp; J2974, J2974), "")</f>
        <v>0</v>
      </c>
    </row>
    <row r="2975" spans="2:2">
      <c r="B2975" s="21">
        <f>IF(AND(C2975&lt;&gt;"", J2975&lt;&gt;""), HYPERLINK("#'" &amp; C2975 &amp; "'!" &amp; J2975, J2975), "")</f>
        <v>0</v>
      </c>
    </row>
    <row r="2976" spans="2:2">
      <c r="B2976" s="21">
        <f>IF(AND(C2976&lt;&gt;"", J2976&lt;&gt;""), HYPERLINK("#'" &amp; C2976 &amp; "'!" &amp; J2976, J2976), "")</f>
        <v>0</v>
      </c>
    </row>
    <row r="2977" spans="2:2">
      <c r="B2977" s="21">
        <f>IF(AND(C2977&lt;&gt;"", J2977&lt;&gt;""), HYPERLINK("#'" &amp; C2977 &amp; "'!" &amp; J2977, J2977), "")</f>
        <v>0</v>
      </c>
    </row>
    <row r="2978" spans="2:2">
      <c r="B2978" s="21">
        <f>IF(AND(C2978&lt;&gt;"", J2978&lt;&gt;""), HYPERLINK("#'" &amp; C2978 &amp; "'!" &amp; J2978, J2978), "")</f>
        <v>0</v>
      </c>
    </row>
    <row r="2979" spans="2:2">
      <c r="B2979" s="21">
        <f>IF(AND(C2979&lt;&gt;"", J2979&lt;&gt;""), HYPERLINK("#'" &amp; C2979 &amp; "'!" &amp; J2979, J2979), "")</f>
        <v>0</v>
      </c>
    </row>
    <row r="2980" spans="2:2">
      <c r="B2980" s="21">
        <f>IF(AND(C2980&lt;&gt;"", J2980&lt;&gt;""), HYPERLINK("#'" &amp; C2980 &amp; "'!" &amp; J2980, J2980), "")</f>
        <v>0</v>
      </c>
    </row>
    <row r="2981" spans="2:2">
      <c r="B2981" s="21">
        <f>IF(AND(C2981&lt;&gt;"", J2981&lt;&gt;""), HYPERLINK("#'" &amp; C2981 &amp; "'!" &amp; J2981, J2981), "")</f>
        <v>0</v>
      </c>
    </row>
    <row r="2982" spans="2:2">
      <c r="B2982" s="21">
        <f>IF(AND(C2982&lt;&gt;"", J2982&lt;&gt;""), HYPERLINK("#'" &amp; C2982 &amp; "'!" &amp; J2982, J2982), "")</f>
        <v>0</v>
      </c>
    </row>
    <row r="2983" spans="2:2">
      <c r="B2983" s="21">
        <f>IF(AND(C2983&lt;&gt;"", J2983&lt;&gt;""), HYPERLINK("#'" &amp; C2983 &amp; "'!" &amp; J2983, J2983), "")</f>
        <v>0</v>
      </c>
    </row>
    <row r="2984" spans="2:2">
      <c r="B2984" s="21">
        <f>IF(AND(C2984&lt;&gt;"", J2984&lt;&gt;""), HYPERLINK("#'" &amp; C2984 &amp; "'!" &amp; J2984, J2984), "")</f>
        <v>0</v>
      </c>
    </row>
    <row r="2985" spans="2:2">
      <c r="B2985" s="21">
        <f>IF(AND(C2985&lt;&gt;"", J2985&lt;&gt;""), HYPERLINK("#'" &amp; C2985 &amp; "'!" &amp; J2985, J2985), "")</f>
        <v>0</v>
      </c>
    </row>
    <row r="2986" spans="2:2">
      <c r="B2986" s="21">
        <f>IF(AND(C2986&lt;&gt;"", J2986&lt;&gt;""), HYPERLINK("#'" &amp; C2986 &amp; "'!" &amp; J2986, J2986), "")</f>
        <v>0</v>
      </c>
    </row>
    <row r="2987" spans="2:2">
      <c r="B2987" s="21">
        <f>IF(AND(C2987&lt;&gt;"", J2987&lt;&gt;""), HYPERLINK("#'" &amp; C2987 &amp; "'!" &amp; J2987, J2987), "")</f>
        <v>0</v>
      </c>
    </row>
    <row r="2988" spans="2:2">
      <c r="B2988" s="21">
        <f>IF(AND(C2988&lt;&gt;"", J2988&lt;&gt;""), HYPERLINK("#'" &amp; C2988 &amp; "'!" &amp; J2988, J2988), "")</f>
        <v>0</v>
      </c>
    </row>
    <row r="2989" spans="2:2">
      <c r="B2989" s="21">
        <f>IF(AND(C2989&lt;&gt;"", J2989&lt;&gt;""), HYPERLINK("#'" &amp; C2989 &amp; "'!" &amp; J2989, J2989), "")</f>
        <v>0</v>
      </c>
    </row>
    <row r="2990" spans="2:2">
      <c r="B2990" s="21">
        <f>IF(AND(C2990&lt;&gt;"", J2990&lt;&gt;""), HYPERLINK("#'" &amp; C2990 &amp; "'!" &amp; J2990, J2990), "")</f>
        <v>0</v>
      </c>
    </row>
    <row r="2991" spans="2:2">
      <c r="B2991" s="21">
        <f>IF(AND(C2991&lt;&gt;"", J2991&lt;&gt;""), HYPERLINK("#'" &amp; C2991 &amp; "'!" &amp; J2991, J2991), "")</f>
        <v>0</v>
      </c>
    </row>
    <row r="2992" spans="2:2">
      <c r="B2992" s="21">
        <f>IF(AND(C2992&lt;&gt;"", J2992&lt;&gt;""), HYPERLINK("#'" &amp; C2992 &amp; "'!" &amp; J2992, J2992), "")</f>
        <v>0</v>
      </c>
    </row>
    <row r="2993" spans="2:2">
      <c r="B2993" s="21">
        <f>IF(AND(C2993&lt;&gt;"", J2993&lt;&gt;""), HYPERLINK("#'" &amp; C2993 &amp; "'!" &amp; J2993, J2993), "")</f>
        <v>0</v>
      </c>
    </row>
    <row r="2994" spans="2:2">
      <c r="B2994" s="21">
        <f>IF(AND(C2994&lt;&gt;"", J2994&lt;&gt;""), HYPERLINK("#'" &amp; C2994 &amp; "'!" &amp; J2994, J2994), "")</f>
        <v>0</v>
      </c>
    </row>
    <row r="2995" spans="2:2">
      <c r="B2995" s="21">
        <f>IF(AND(C2995&lt;&gt;"", J2995&lt;&gt;""), HYPERLINK("#'" &amp; C2995 &amp; "'!" &amp; J2995, J2995), "")</f>
        <v>0</v>
      </c>
    </row>
    <row r="2996" spans="2:2">
      <c r="B2996" s="21">
        <f>IF(AND(C2996&lt;&gt;"", J2996&lt;&gt;""), HYPERLINK("#'" &amp; C2996 &amp; "'!" &amp; J2996, J2996), "")</f>
        <v>0</v>
      </c>
    </row>
    <row r="2997" spans="2:2">
      <c r="B2997" s="21">
        <f>IF(AND(C2997&lt;&gt;"", J2997&lt;&gt;""), HYPERLINK("#'" &amp; C2997 &amp; "'!" &amp; J2997, J2997), "")</f>
        <v>0</v>
      </c>
    </row>
    <row r="2998" spans="2:2">
      <c r="B2998" s="21">
        <f>IF(AND(C2998&lt;&gt;"", J2998&lt;&gt;""), HYPERLINK("#'" &amp; C2998 &amp; "'!" &amp; J2998, J2998), "")</f>
        <v>0</v>
      </c>
    </row>
    <row r="2999" spans="2:2">
      <c r="B2999" s="21">
        <f>IF(AND(C2999&lt;&gt;"", J2999&lt;&gt;""), HYPERLINK("#'" &amp; C2999 &amp; "'!" &amp; J2999, J2999), "")</f>
        <v>0</v>
      </c>
    </row>
    <row r="3000" spans="2:2">
      <c r="B3000" s="21">
        <f>IF(AND(C3000&lt;&gt;"", J3000&lt;&gt;""), HYPERLINK("#'" &amp; C3000 &amp; "'!" &amp; J3000, J3000), "")</f>
        <v>0</v>
      </c>
    </row>
    <row r="3001" spans="2:2">
      <c r="B3001" s="21">
        <f>IF(AND(C3001&lt;&gt;"", J3001&lt;&gt;""), HYPERLINK("#'" &amp; C3001 &amp; "'!" &amp; J3001, J3001), "")</f>
        <v>0</v>
      </c>
    </row>
    <row r="3002" spans="2:2">
      <c r="B3002" s="21">
        <f>IF(AND(C3002&lt;&gt;"", J3002&lt;&gt;""), HYPERLINK("#'" &amp; C3002 &amp; "'!" &amp; J3002, J3002), "")</f>
        <v>0</v>
      </c>
    </row>
    <row r="3003" spans="2:2">
      <c r="B3003" s="21">
        <f>IF(AND(C3003&lt;&gt;"", J3003&lt;&gt;""), HYPERLINK("#'" &amp; C3003 &amp; "'!" &amp; J3003, J3003), "")</f>
        <v>0</v>
      </c>
    </row>
    <row r="3004" spans="2:2">
      <c r="B3004" s="21">
        <f>IF(AND(C3004&lt;&gt;"", J3004&lt;&gt;""), HYPERLINK("#'" &amp; C3004 &amp; "'!" &amp; J3004, J3004), "")</f>
        <v>0</v>
      </c>
    </row>
    <row r="3005" spans="2:2">
      <c r="B3005" s="21">
        <f>IF(AND(C3005&lt;&gt;"", J3005&lt;&gt;""), HYPERLINK("#'" &amp; C3005 &amp; "'!" &amp; J3005, J3005), "")</f>
        <v>0</v>
      </c>
    </row>
    <row r="3006" spans="2:2">
      <c r="B3006" s="21">
        <f>IF(AND(C3006&lt;&gt;"", J3006&lt;&gt;""), HYPERLINK("#'" &amp; C3006 &amp; "'!" &amp; J3006, J3006), "")</f>
        <v>0</v>
      </c>
    </row>
    <row r="3007" spans="2:2">
      <c r="B3007" s="21">
        <f>IF(AND(C3007&lt;&gt;"", J3007&lt;&gt;""), HYPERLINK("#'" &amp; C3007 &amp; "'!" &amp; J3007, J3007), "")</f>
        <v>0</v>
      </c>
    </row>
    <row r="3008" spans="2:2">
      <c r="B3008" s="21">
        <f>IF(AND(C3008&lt;&gt;"", J3008&lt;&gt;""), HYPERLINK("#'" &amp; C3008 &amp; "'!" &amp; J3008, J3008), "")</f>
        <v>0</v>
      </c>
    </row>
    <row r="3009" spans="2:2">
      <c r="B3009" s="21">
        <f>IF(AND(C3009&lt;&gt;"", J3009&lt;&gt;""), HYPERLINK("#'" &amp; C3009 &amp; "'!" &amp; J3009, J3009), "")</f>
        <v>0</v>
      </c>
    </row>
    <row r="3010" spans="2:2">
      <c r="B3010" s="21">
        <f>IF(AND(C3010&lt;&gt;"", J3010&lt;&gt;""), HYPERLINK("#'" &amp; C3010 &amp; "'!" &amp; J3010, J3010), "")</f>
        <v>0</v>
      </c>
    </row>
    <row r="3011" spans="2:2">
      <c r="B3011" s="21">
        <f>IF(AND(C3011&lt;&gt;"", J3011&lt;&gt;""), HYPERLINK("#'" &amp; C3011 &amp; "'!" &amp; J3011, J3011), "")</f>
        <v>0</v>
      </c>
    </row>
    <row r="3012" spans="2:2">
      <c r="B3012" s="21">
        <f>IF(AND(C3012&lt;&gt;"", J3012&lt;&gt;""), HYPERLINK("#'" &amp; C3012 &amp; "'!" &amp; J3012, J3012), "")</f>
        <v>0</v>
      </c>
    </row>
    <row r="3013" spans="2:2">
      <c r="B3013" s="21">
        <f>IF(AND(C3013&lt;&gt;"", J3013&lt;&gt;""), HYPERLINK("#'" &amp; C3013 &amp; "'!" &amp; J3013, J3013), "")</f>
        <v>0</v>
      </c>
    </row>
    <row r="3014" spans="2:2">
      <c r="B3014" s="21">
        <f>IF(AND(C3014&lt;&gt;"", J3014&lt;&gt;""), HYPERLINK("#'" &amp; C3014 &amp; "'!" &amp; J3014, J3014), "")</f>
        <v>0</v>
      </c>
    </row>
    <row r="3015" spans="2:2">
      <c r="B3015" s="21">
        <f>IF(AND(C3015&lt;&gt;"", J3015&lt;&gt;""), HYPERLINK("#'" &amp; C3015 &amp; "'!" &amp; J3015, J3015), "")</f>
        <v>0</v>
      </c>
    </row>
    <row r="3016" spans="2:2">
      <c r="B3016" s="21">
        <f>IF(AND(C3016&lt;&gt;"", J3016&lt;&gt;""), HYPERLINK("#'" &amp; C3016 &amp; "'!" &amp; J3016, J3016), "")</f>
        <v>0</v>
      </c>
    </row>
    <row r="3017" spans="2:2">
      <c r="B3017" s="21">
        <f>IF(AND(C3017&lt;&gt;"", J3017&lt;&gt;""), HYPERLINK("#'" &amp; C3017 &amp; "'!" &amp; J3017, J3017), "")</f>
        <v>0</v>
      </c>
    </row>
    <row r="3018" spans="2:2">
      <c r="B3018" s="21">
        <f>IF(AND(C3018&lt;&gt;"", J3018&lt;&gt;""), HYPERLINK("#'" &amp; C3018 &amp; "'!" &amp; J3018, J3018), "")</f>
        <v>0</v>
      </c>
    </row>
    <row r="3019" spans="2:2">
      <c r="B3019" s="21">
        <f>IF(AND(C3019&lt;&gt;"", J3019&lt;&gt;""), HYPERLINK("#'" &amp; C3019 &amp; "'!" &amp; J3019, J3019), "")</f>
        <v>0</v>
      </c>
    </row>
    <row r="3020" spans="2:2">
      <c r="B3020" s="21">
        <f>IF(AND(C3020&lt;&gt;"", J3020&lt;&gt;""), HYPERLINK("#'" &amp; C3020 &amp; "'!" &amp; J3020, J3020), "")</f>
        <v>0</v>
      </c>
    </row>
    <row r="3021" spans="2:2">
      <c r="B3021" s="21">
        <f>IF(AND(C3021&lt;&gt;"", J3021&lt;&gt;""), HYPERLINK("#'" &amp; C3021 &amp; "'!" &amp; J3021, J3021), "")</f>
        <v>0</v>
      </c>
    </row>
    <row r="3022" spans="2:2">
      <c r="B3022" s="21">
        <f>IF(AND(C3022&lt;&gt;"", J3022&lt;&gt;""), HYPERLINK("#'" &amp; C3022 &amp; "'!" &amp; J3022, J3022), "")</f>
        <v>0</v>
      </c>
    </row>
    <row r="3023" spans="2:2">
      <c r="B3023" s="21">
        <f>IF(AND(C3023&lt;&gt;"", J3023&lt;&gt;""), HYPERLINK("#'" &amp; C3023 &amp; "'!" &amp; J3023, J3023), "")</f>
        <v>0</v>
      </c>
    </row>
    <row r="3024" spans="2:2">
      <c r="B3024" s="21">
        <f>IF(AND(C3024&lt;&gt;"", J3024&lt;&gt;""), HYPERLINK("#'" &amp; C3024 &amp; "'!" &amp; J3024, J3024), "")</f>
        <v>0</v>
      </c>
    </row>
    <row r="3025" spans="2:2">
      <c r="B3025" s="21">
        <f>IF(AND(C3025&lt;&gt;"", J3025&lt;&gt;""), HYPERLINK("#'" &amp; C3025 &amp; "'!" &amp; J3025, J3025), "")</f>
        <v>0</v>
      </c>
    </row>
    <row r="3026" spans="2:2">
      <c r="B3026" s="21">
        <f>IF(AND(C3026&lt;&gt;"", J3026&lt;&gt;""), HYPERLINK("#'" &amp; C3026 &amp; "'!" &amp; J3026, J3026), "")</f>
        <v>0</v>
      </c>
    </row>
    <row r="3027" spans="2:2">
      <c r="B3027" s="21">
        <f>IF(AND(C3027&lt;&gt;"", J3027&lt;&gt;""), HYPERLINK("#'" &amp; C3027 &amp; "'!" &amp; J3027, J3027), "")</f>
        <v>0</v>
      </c>
    </row>
    <row r="3028" spans="2:2">
      <c r="B3028" s="21">
        <f>IF(AND(C3028&lt;&gt;"", J3028&lt;&gt;""), HYPERLINK("#'" &amp; C3028 &amp; "'!" &amp; J3028, J3028), "")</f>
        <v>0</v>
      </c>
    </row>
    <row r="3029" spans="2:2">
      <c r="B3029" s="21">
        <f>IF(AND(C3029&lt;&gt;"", J3029&lt;&gt;""), HYPERLINK("#'" &amp; C3029 &amp; "'!" &amp; J3029, J3029), "")</f>
        <v>0</v>
      </c>
    </row>
    <row r="3030" spans="2:2">
      <c r="B3030" s="21">
        <f>IF(AND(C3030&lt;&gt;"", J3030&lt;&gt;""), HYPERLINK("#'" &amp; C3030 &amp; "'!" &amp; J3030, J3030), "")</f>
        <v>0</v>
      </c>
    </row>
    <row r="3031" spans="2:2">
      <c r="B3031" s="21">
        <f>IF(AND(C3031&lt;&gt;"", J3031&lt;&gt;""), HYPERLINK("#'" &amp; C3031 &amp; "'!" &amp; J3031, J3031), "")</f>
        <v>0</v>
      </c>
    </row>
    <row r="3032" spans="2:2">
      <c r="B3032" s="21">
        <f>IF(AND(C3032&lt;&gt;"", J3032&lt;&gt;""), HYPERLINK("#'" &amp; C3032 &amp; "'!" &amp; J3032, J3032), "")</f>
        <v>0</v>
      </c>
    </row>
    <row r="3033" spans="2:2">
      <c r="B3033" s="21">
        <f>IF(AND(C3033&lt;&gt;"", J3033&lt;&gt;""), HYPERLINK("#'" &amp; C3033 &amp; "'!" &amp; J3033, J3033), "")</f>
        <v>0</v>
      </c>
    </row>
    <row r="3034" spans="2:2">
      <c r="B3034" s="21">
        <f>IF(AND(C3034&lt;&gt;"", J3034&lt;&gt;""), HYPERLINK("#'" &amp; C3034 &amp; "'!" &amp; J3034, J3034), "")</f>
        <v>0</v>
      </c>
    </row>
    <row r="3035" spans="2:2">
      <c r="B3035" s="21">
        <f>IF(AND(C3035&lt;&gt;"", J3035&lt;&gt;""), HYPERLINK("#'" &amp; C3035 &amp; "'!" &amp; J3035, J3035), "")</f>
        <v>0</v>
      </c>
    </row>
    <row r="3036" spans="2:2">
      <c r="B3036" s="21">
        <f>IF(AND(C3036&lt;&gt;"", J3036&lt;&gt;""), HYPERLINK("#'" &amp; C3036 &amp; "'!" &amp; J3036, J3036), "")</f>
        <v>0</v>
      </c>
    </row>
    <row r="3037" spans="2:2">
      <c r="B3037" s="21">
        <f>IF(AND(C3037&lt;&gt;"", J3037&lt;&gt;""), HYPERLINK("#'" &amp; C3037 &amp; "'!" &amp; J3037, J3037), "")</f>
        <v>0</v>
      </c>
    </row>
    <row r="3038" spans="2:2">
      <c r="B3038" s="21">
        <f>IF(AND(C3038&lt;&gt;"", J3038&lt;&gt;""), HYPERLINK("#'" &amp; C3038 &amp; "'!" &amp; J3038, J3038), "")</f>
        <v>0</v>
      </c>
    </row>
    <row r="3039" spans="2:2">
      <c r="B3039" s="21">
        <f>IF(AND(C3039&lt;&gt;"", J3039&lt;&gt;""), HYPERLINK("#'" &amp; C3039 &amp; "'!" &amp; J3039, J3039), "")</f>
        <v>0</v>
      </c>
    </row>
    <row r="3040" spans="2:2">
      <c r="B3040" s="21">
        <f>IF(AND(C3040&lt;&gt;"", J3040&lt;&gt;""), HYPERLINK("#'" &amp; C3040 &amp; "'!" &amp; J3040, J3040), "")</f>
        <v>0</v>
      </c>
    </row>
    <row r="3041" spans="2:2">
      <c r="B3041" s="21">
        <f>IF(AND(C3041&lt;&gt;"", J3041&lt;&gt;""), HYPERLINK("#'" &amp; C3041 &amp; "'!" &amp; J3041, J3041), "")</f>
        <v>0</v>
      </c>
    </row>
    <row r="3042" spans="2:2">
      <c r="B3042" s="21">
        <f>IF(AND(C3042&lt;&gt;"", J3042&lt;&gt;""), HYPERLINK("#'" &amp; C3042 &amp; "'!" &amp; J3042, J3042), "")</f>
        <v>0</v>
      </c>
    </row>
    <row r="3043" spans="2:2">
      <c r="B3043" s="21">
        <f>IF(AND(C3043&lt;&gt;"", J3043&lt;&gt;""), HYPERLINK("#'" &amp; C3043 &amp; "'!" &amp; J3043, J3043), "")</f>
        <v>0</v>
      </c>
    </row>
    <row r="3044" spans="2:2">
      <c r="B3044" s="21">
        <f>IF(AND(C3044&lt;&gt;"", J3044&lt;&gt;""), HYPERLINK("#'" &amp; C3044 &amp; "'!" &amp; J3044, J3044), "")</f>
        <v>0</v>
      </c>
    </row>
    <row r="3045" spans="2:2">
      <c r="B3045" s="21">
        <f>IF(AND(C3045&lt;&gt;"", J3045&lt;&gt;""), HYPERLINK("#'" &amp; C3045 &amp; "'!" &amp; J3045, J3045), "")</f>
        <v>0</v>
      </c>
    </row>
    <row r="3046" spans="2:2">
      <c r="B3046" s="21">
        <f>IF(AND(C3046&lt;&gt;"", J3046&lt;&gt;""), HYPERLINK("#'" &amp; C3046 &amp; "'!" &amp; J3046, J3046), "")</f>
        <v>0</v>
      </c>
    </row>
    <row r="3047" spans="2:2">
      <c r="B3047" s="21">
        <f>IF(AND(C3047&lt;&gt;"", J3047&lt;&gt;""), HYPERLINK("#'" &amp; C3047 &amp; "'!" &amp; J3047, J3047), "")</f>
        <v>0</v>
      </c>
    </row>
    <row r="3048" spans="2:2">
      <c r="B3048" s="21">
        <f>IF(AND(C3048&lt;&gt;"", J3048&lt;&gt;""), HYPERLINK("#'" &amp; C3048 &amp; "'!" &amp; J3048, J3048), "")</f>
        <v>0</v>
      </c>
    </row>
    <row r="3049" spans="2:2">
      <c r="B3049" s="21">
        <f>IF(AND(C3049&lt;&gt;"", J3049&lt;&gt;""), HYPERLINK("#'" &amp; C3049 &amp; "'!" &amp; J3049, J3049), "")</f>
        <v>0</v>
      </c>
    </row>
    <row r="3050" spans="2:2">
      <c r="B3050" s="21">
        <f>IF(AND(C3050&lt;&gt;"", J3050&lt;&gt;""), HYPERLINK("#'" &amp; C3050 &amp; "'!" &amp; J3050, J3050), "")</f>
        <v>0</v>
      </c>
    </row>
    <row r="3051" spans="2:2">
      <c r="B3051" s="21">
        <f>IF(AND(C3051&lt;&gt;"", J3051&lt;&gt;""), HYPERLINK("#'" &amp; C3051 &amp; "'!" &amp; J3051, J3051), "")</f>
        <v>0</v>
      </c>
    </row>
    <row r="3052" spans="2:2">
      <c r="B3052" s="21">
        <f>IF(AND(C3052&lt;&gt;"", J3052&lt;&gt;""), HYPERLINK("#'" &amp; C3052 &amp; "'!" &amp; J3052, J3052), "")</f>
        <v>0</v>
      </c>
    </row>
    <row r="3053" spans="2:2">
      <c r="B3053" s="21">
        <f>IF(AND(C3053&lt;&gt;"", J3053&lt;&gt;""), HYPERLINK("#'" &amp; C3053 &amp; "'!" &amp; J3053, J3053), "")</f>
        <v>0</v>
      </c>
    </row>
    <row r="3054" spans="2:2">
      <c r="B3054" s="21">
        <f>IF(AND(C3054&lt;&gt;"", J3054&lt;&gt;""), HYPERLINK("#'" &amp; C3054 &amp; "'!" &amp; J3054, J3054), "")</f>
        <v>0</v>
      </c>
    </row>
    <row r="3055" spans="2:2">
      <c r="B3055" s="21">
        <f>IF(AND(C3055&lt;&gt;"", J3055&lt;&gt;""), HYPERLINK("#'" &amp; C3055 &amp; "'!" &amp; J3055, J3055), "")</f>
        <v>0</v>
      </c>
    </row>
    <row r="3056" spans="2:2">
      <c r="B3056" s="21">
        <f>IF(AND(C3056&lt;&gt;"", J3056&lt;&gt;""), HYPERLINK("#'" &amp; C3056 &amp; "'!" &amp; J3056, J3056), "")</f>
        <v>0</v>
      </c>
    </row>
    <row r="3057" spans="2:2">
      <c r="B3057" s="21">
        <f>IF(AND(C3057&lt;&gt;"", J3057&lt;&gt;""), HYPERLINK("#'" &amp; C3057 &amp; "'!" &amp; J3057, J3057), "")</f>
        <v>0</v>
      </c>
    </row>
    <row r="3058" spans="2:2">
      <c r="B3058" s="21">
        <f>IF(AND(C3058&lt;&gt;"", J3058&lt;&gt;""), HYPERLINK("#'" &amp; C3058 &amp; "'!" &amp; J3058, J3058), "")</f>
        <v>0</v>
      </c>
    </row>
    <row r="3059" spans="2:2">
      <c r="B3059" s="21">
        <f>IF(AND(C3059&lt;&gt;"", J3059&lt;&gt;""), HYPERLINK("#'" &amp; C3059 &amp; "'!" &amp; J3059, J3059), "")</f>
        <v>0</v>
      </c>
    </row>
    <row r="3060" spans="2:2">
      <c r="B3060" s="21">
        <f>IF(AND(C3060&lt;&gt;"", J3060&lt;&gt;""), HYPERLINK("#'" &amp; C3060 &amp; "'!" &amp; J3060, J3060), "")</f>
        <v>0</v>
      </c>
    </row>
    <row r="3061" spans="2:2">
      <c r="B3061" s="21">
        <f>IF(AND(C3061&lt;&gt;"", J3061&lt;&gt;""), HYPERLINK("#'" &amp; C3061 &amp; "'!" &amp; J3061, J3061), "")</f>
        <v>0</v>
      </c>
    </row>
    <row r="3062" spans="2:2">
      <c r="B3062" s="21">
        <f>IF(AND(C3062&lt;&gt;"", J3062&lt;&gt;""), HYPERLINK("#'" &amp; C3062 &amp; "'!" &amp; J3062, J3062), "")</f>
        <v>0</v>
      </c>
    </row>
    <row r="3063" spans="2:2">
      <c r="B3063" s="21">
        <f>IF(AND(C3063&lt;&gt;"", J3063&lt;&gt;""), HYPERLINK("#'" &amp; C3063 &amp; "'!" &amp; J3063, J3063), "")</f>
        <v>0</v>
      </c>
    </row>
    <row r="3064" spans="2:2">
      <c r="B3064" s="21">
        <f>IF(AND(C3064&lt;&gt;"", J3064&lt;&gt;""), HYPERLINK("#'" &amp; C3064 &amp; "'!" &amp; J3064, J3064), "")</f>
        <v>0</v>
      </c>
    </row>
    <row r="3065" spans="2:2">
      <c r="B3065" s="21">
        <f>IF(AND(C3065&lt;&gt;"", J3065&lt;&gt;""), HYPERLINK("#'" &amp; C3065 &amp; "'!" &amp; J3065, J3065), "")</f>
        <v>0</v>
      </c>
    </row>
    <row r="3066" spans="2:2">
      <c r="B3066" s="21">
        <f>IF(AND(C3066&lt;&gt;"", J3066&lt;&gt;""), HYPERLINK("#'" &amp; C3066 &amp; "'!" &amp; J3066, J3066), "")</f>
        <v>0</v>
      </c>
    </row>
    <row r="3067" spans="2:2">
      <c r="B3067" s="21">
        <f>IF(AND(C3067&lt;&gt;"", J3067&lt;&gt;""), HYPERLINK("#'" &amp; C3067 &amp; "'!" &amp; J3067, J3067), "")</f>
        <v>0</v>
      </c>
    </row>
    <row r="3068" spans="2:2">
      <c r="B3068" s="21">
        <f>IF(AND(C3068&lt;&gt;"", J3068&lt;&gt;""), HYPERLINK("#'" &amp; C3068 &amp; "'!" &amp; J3068, J3068), "")</f>
        <v>0</v>
      </c>
    </row>
    <row r="3069" spans="2:2">
      <c r="B3069" s="21">
        <f>IF(AND(C3069&lt;&gt;"", J3069&lt;&gt;""), HYPERLINK("#'" &amp; C3069 &amp; "'!" &amp; J3069, J3069), "")</f>
        <v>0</v>
      </c>
    </row>
    <row r="3070" spans="2:2">
      <c r="B3070" s="21">
        <f>IF(AND(C3070&lt;&gt;"", J3070&lt;&gt;""), HYPERLINK("#'" &amp; C3070 &amp; "'!" &amp; J3070, J3070), "")</f>
        <v>0</v>
      </c>
    </row>
    <row r="3071" spans="2:2">
      <c r="B3071" s="21">
        <f>IF(AND(C3071&lt;&gt;"", J3071&lt;&gt;""), HYPERLINK("#'" &amp; C3071 &amp; "'!" &amp; J3071, J3071), "")</f>
        <v>0</v>
      </c>
    </row>
    <row r="3072" spans="2:2">
      <c r="B3072" s="21">
        <f>IF(AND(C3072&lt;&gt;"", J3072&lt;&gt;""), HYPERLINK("#'" &amp; C3072 &amp; "'!" &amp; J3072, J3072), "")</f>
        <v>0</v>
      </c>
    </row>
    <row r="3073" spans="2:2">
      <c r="B3073" s="21">
        <f>IF(AND(C3073&lt;&gt;"", J3073&lt;&gt;""), HYPERLINK("#'" &amp; C3073 &amp; "'!" &amp; J3073, J3073), "")</f>
        <v>0</v>
      </c>
    </row>
    <row r="3074" spans="2:2">
      <c r="B3074" s="21">
        <f>IF(AND(C3074&lt;&gt;"", J3074&lt;&gt;""), HYPERLINK("#'" &amp; C3074 &amp; "'!" &amp; J3074, J3074), "")</f>
        <v>0</v>
      </c>
    </row>
    <row r="3075" spans="2:2">
      <c r="B3075" s="21">
        <f>IF(AND(C3075&lt;&gt;"", J3075&lt;&gt;""), HYPERLINK("#'" &amp; C3075 &amp; "'!" &amp; J3075, J3075), "")</f>
        <v>0</v>
      </c>
    </row>
    <row r="3076" spans="2:2">
      <c r="B3076" s="21">
        <f>IF(AND(C3076&lt;&gt;"", J3076&lt;&gt;""), HYPERLINK("#'" &amp; C3076 &amp; "'!" &amp; J3076, J3076), "")</f>
        <v>0</v>
      </c>
    </row>
    <row r="3077" spans="2:2">
      <c r="B3077" s="21">
        <f>IF(AND(C3077&lt;&gt;"", J3077&lt;&gt;""), HYPERLINK("#'" &amp; C3077 &amp; "'!" &amp; J3077, J3077), "")</f>
        <v>0</v>
      </c>
    </row>
    <row r="3078" spans="2:2">
      <c r="B3078" s="21">
        <f>IF(AND(C3078&lt;&gt;"", J3078&lt;&gt;""), HYPERLINK("#'" &amp; C3078 &amp; "'!" &amp; J3078, J3078), "")</f>
        <v>0</v>
      </c>
    </row>
    <row r="3079" spans="2:2">
      <c r="B3079" s="21">
        <f>IF(AND(C3079&lt;&gt;"", J3079&lt;&gt;""), HYPERLINK("#'" &amp; C3079 &amp; "'!" &amp; J3079, J3079), "")</f>
        <v>0</v>
      </c>
    </row>
    <row r="3080" spans="2:2">
      <c r="B3080" s="21">
        <f>IF(AND(C3080&lt;&gt;"", J3080&lt;&gt;""), HYPERLINK("#'" &amp; C3080 &amp; "'!" &amp; J3080, J3080), "")</f>
        <v>0</v>
      </c>
    </row>
    <row r="3081" spans="2:2">
      <c r="B3081" s="21">
        <f>IF(AND(C3081&lt;&gt;"", J3081&lt;&gt;""), HYPERLINK("#'" &amp; C3081 &amp; "'!" &amp; J3081, J3081), "")</f>
        <v>0</v>
      </c>
    </row>
    <row r="3082" spans="2:2">
      <c r="B3082" s="21">
        <f>IF(AND(C3082&lt;&gt;"", J3082&lt;&gt;""), HYPERLINK("#'" &amp; C3082 &amp; "'!" &amp; J3082, J3082), "")</f>
        <v>0</v>
      </c>
    </row>
    <row r="3083" spans="2:2">
      <c r="B3083" s="21">
        <f>IF(AND(C3083&lt;&gt;"", J3083&lt;&gt;""), HYPERLINK("#'" &amp; C3083 &amp; "'!" &amp; J3083, J3083), "")</f>
        <v>0</v>
      </c>
    </row>
    <row r="3084" spans="2:2">
      <c r="B3084" s="21">
        <f>IF(AND(C3084&lt;&gt;"", J3084&lt;&gt;""), HYPERLINK("#'" &amp; C3084 &amp; "'!" &amp; J3084, J3084), "")</f>
        <v>0</v>
      </c>
    </row>
    <row r="3085" spans="2:2">
      <c r="B3085" s="21">
        <f>IF(AND(C3085&lt;&gt;"", J3085&lt;&gt;""), HYPERLINK("#'" &amp; C3085 &amp; "'!" &amp; J3085, J3085), "")</f>
        <v>0</v>
      </c>
    </row>
    <row r="3086" spans="2:2">
      <c r="B3086" s="21">
        <f>IF(AND(C3086&lt;&gt;"", J3086&lt;&gt;""), HYPERLINK("#'" &amp; C3086 &amp; "'!" &amp; J3086, J3086), "")</f>
        <v>0</v>
      </c>
    </row>
    <row r="3087" spans="2:2">
      <c r="B3087" s="21">
        <f>IF(AND(C3087&lt;&gt;"", J3087&lt;&gt;""), HYPERLINK("#'" &amp; C3087 &amp; "'!" &amp; J3087, J3087), "")</f>
        <v>0</v>
      </c>
    </row>
    <row r="3088" spans="2:2">
      <c r="B3088" s="21">
        <f>IF(AND(C3088&lt;&gt;"", J3088&lt;&gt;""), HYPERLINK("#'" &amp; C3088 &amp; "'!" &amp; J3088, J3088), "")</f>
        <v>0</v>
      </c>
    </row>
    <row r="3089" spans="2:2">
      <c r="B3089" s="21">
        <f>IF(AND(C3089&lt;&gt;"", J3089&lt;&gt;""), HYPERLINK("#'" &amp; C3089 &amp; "'!" &amp; J3089, J3089), "")</f>
        <v>0</v>
      </c>
    </row>
    <row r="3090" spans="2:2">
      <c r="B3090" s="21">
        <f>IF(AND(C3090&lt;&gt;"", J3090&lt;&gt;""), HYPERLINK("#'" &amp; C3090 &amp; "'!" &amp; J3090, J3090), "")</f>
        <v>0</v>
      </c>
    </row>
    <row r="3091" spans="2:2">
      <c r="B3091" s="21">
        <f>IF(AND(C3091&lt;&gt;"", J3091&lt;&gt;""), HYPERLINK("#'" &amp; C3091 &amp; "'!" &amp; J3091, J3091), "")</f>
        <v>0</v>
      </c>
    </row>
    <row r="3092" spans="2:2">
      <c r="B3092" s="21">
        <f>IF(AND(C3092&lt;&gt;"", J3092&lt;&gt;""), HYPERLINK("#'" &amp; C3092 &amp; "'!" &amp; J3092, J3092), "")</f>
        <v>0</v>
      </c>
    </row>
    <row r="3093" spans="2:2">
      <c r="B3093" s="21">
        <f>IF(AND(C3093&lt;&gt;"", J3093&lt;&gt;""), HYPERLINK("#'" &amp; C3093 &amp; "'!" &amp; J3093, J3093), "")</f>
        <v>0</v>
      </c>
    </row>
    <row r="3094" spans="2:2">
      <c r="B3094" s="21">
        <f>IF(AND(C3094&lt;&gt;"", J3094&lt;&gt;""), HYPERLINK("#'" &amp; C3094 &amp; "'!" &amp; J3094, J3094), "")</f>
        <v>0</v>
      </c>
    </row>
    <row r="3095" spans="2:2">
      <c r="B3095" s="21">
        <f>IF(AND(C3095&lt;&gt;"", J3095&lt;&gt;""), HYPERLINK("#'" &amp; C3095 &amp; "'!" &amp; J3095, J3095), "")</f>
        <v>0</v>
      </c>
    </row>
    <row r="3096" spans="2:2">
      <c r="B3096" s="21">
        <f>IF(AND(C3096&lt;&gt;"", J3096&lt;&gt;""), HYPERLINK("#'" &amp; C3096 &amp; "'!" &amp; J3096, J3096), "")</f>
        <v>0</v>
      </c>
    </row>
    <row r="3097" spans="2:2">
      <c r="B3097" s="21">
        <f>IF(AND(C3097&lt;&gt;"", J3097&lt;&gt;""), HYPERLINK("#'" &amp; C3097 &amp; "'!" &amp; J3097, J3097), "")</f>
        <v>0</v>
      </c>
    </row>
    <row r="3098" spans="2:2">
      <c r="B3098" s="21">
        <f>IF(AND(C3098&lt;&gt;"", J3098&lt;&gt;""), HYPERLINK("#'" &amp; C3098 &amp; "'!" &amp; J3098, J3098), "")</f>
        <v>0</v>
      </c>
    </row>
    <row r="3099" spans="2:2">
      <c r="B3099" s="21">
        <f>IF(AND(C3099&lt;&gt;"", J3099&lt;&gt;""), HYPERLINK("#'" &amp; C3099 &amp; "'!" &amp; J3099, J3099), "")</f>
        <v>0</v>
      </c>
    </row>
    <row r="3100" spans="2:2">
      <c r="B3100" s="21">
        <f>IF(AND(C3100&lt;&gt;"", J3100&lt;&gt;""), HYPERLINK("#'" &amp; C3100 &amp; "'!" &amp; J3100, J3100), "")</f>
        <v>0</v>
      </c>
    </row>
    <row r="3101" spans="2:2">
      <c r="B3101" s="21">
        <f>IF(AND(C3101&lt;&gt;"", J3101&lt;&gt;""), HYPERLINK("#'" &amp; C3101 &amp; "'!" &amp; J3101, J3101), "")</f>
        <v>0</v>
      </c>
    </row>
    <row r="3102" spans="2:2">
      <c r="B3102" s="21">
        <f>IF(AND(C3102&lt;&gt;"", J3102&lt;&gt;""), HYPERLINK("#'" &amp; C3102 &amp; "'!" &amp; J3102, J3102), "")</f>
        <v>0</v>
      </c>
    </row>
    <row r="3103" spans="2:2">
      <c r="B3103" s="21">
        <f>IF(AND(C3103&lt;&gt;"", J3103&lt;&gt;""), HYPERLINK("#'" &amp; C3103 &amp; "'!" &amp; J3103, J3103), "")</f>
        <v>0</v>
      </c>
    </row>
    <row r="3104" spans="2:2">
      <c r="B3104" s="21">
        <f>IF(AND(C3104&lt;&gt;"", J3104&lt;&gt;""), HYPERLINK("#'" &amp; C3104 &amp; "'!" &amp; J3104, J3104), "")</f>
        <v>0</v>
      </c>
    </row>
    <row r="3105" spans="2:2">
      <c r="B3105" s="21">
        <f>IF(AND(C3105&lt;&gt;"", J3105&lt;&gt;""), HYPERLINK("#'" &amp; C3105 &amp; "'!" &amp; J3105, J3105), "")</f>
        <v>0</v>
      </c>
    </row>
    <row r="3106" spans="2:2">
      <c r="B3106" s="21">
        <f>IF(AND(C3106&lt;&gt;"", J3106&lt;&gt;""), HYPERLINK("#'" &amp; C3106 &amp; "'!" &amp; J3106, J3106), "")</f>
        <v>0</v>
      </c>
    </row>
    <row r="3107" spans="2:2">
      <c r="B3107" s="21">
        <f>IF(AND(C3107&lt;&gt;"", J3107&lt;&gt;""), HYPERLINK("#'" &amp; C3107 &amp; "'!" &amp; J3107, J3107), "")</f>
        <v>0</v>
      </c>
    </row>
    <row r="3108" spans="2:2">
      <c r="B3108" s="21">
        <f>IF(AND(C3108&lt;&gt;"", J3108&lt;&gt;""), HYPERLINK("#'" &amp; C3108 &amp; "'!" &amp; J3108, J3108), "")</f>
        <v>0</v>
      </c>
    </row>
    <row r="3109" spans="2:2">
      <c r="B3109" s="21">
        <f>IF(AND(C3109&lt;&gt;"", J3109&lt;&gt;""), HYPERLINK("#'" &amp; C3109 &amp; "'!" &amp; J3109, J3109), "")</f>
        <v>0</v>
      </c>
    </row>
    <row r="3110" spans="2:2">
      <c r="B3110" s="21">
        <f>IF(AND(C3110&lt;&gt;"", J3110&lt;&gt;""), HYPERLINK("#'" &amp; C3110 &amp; "'!" &amp; J3110, J3110), "")</f>
        <v>0</v>
      </c>
    </row>
    <row r="3111" spans="2:2">
      <c r="B3111" s="21">
        <f>IF(AND(C3111&lt;&gt;"", J3111&lt;&gt;""), HYPERLINK("#'" &amp; C3111 &amp; "'!" &amp; J3111, J3111), "")</f>
        <v>0</v>
      </c>
    </row>
    <row r="3112" spans="2:2">
      <c r="B3112" s="21">
        <f>IF(AND(C3112&lt;&gt;"", J3112&lt;&gt;""), HYPERLINK("#'" &amp; C3112 &amp; "'!" &amp; J3112, J3112), "")</f>
        <v>0</v>
      </c>
    </row>
    <row r="3113" spans="2:2">
      <c r="B3113" s="21">
        <f>IF(AND(C3113&lt;&gt;"", J3113&lt;&gt;""), HYPERLINK("#'" &amp; C3113 &amp; "'!" &amp; J3113, J3113), "")</f>
        <v>0</v>
      </c>
    </row>
    <row r="3114" spans="2:2">
      <c r="B3114" s="21">
        <f>IF(AND(C3114&lt;&gt;"", J3114&lt;&gt;""), HYPERLINK("#'" &amp; C3114 &amp; "'!" &amp; J3114, J3114), "")</f>
        <v>0</v>
      </c>
    </row>
    <row r="3115" spans="2:2">
      <c r="B3115" s="21">
        <f>IF(AND(C3115&lt;&gt;"", J3115&lt;&gt;""), HYPERLINK("#'" &amp; C3115 &amp; "'!" &amp; J3115, J3115), "")</f>
        <v>0</v>
      </c>
    </row>
    <row r="3116" spans="2:2">
      <c r="B3116" s="21">
        <f>IF(AND(C3116&lt;&gt;"", J3116&lt;&gt;""), HYPERLINK("#'" &amp; C3116 &amp; "'!" &amp; J3116, J3116), "")</f>
        <v>0</v>
      </c>
    </row>
    <row r="3117" spans="2:2">
      <c r="B3117" s="21">
        <f>IF(AND(C3117&lt;&gt;"", J3117&lt;&gt;""), HYPERLINK("#'" &amp; C3117 &amp; "'!" &amp; J3117, J3117), "")</f>
        <v>0</v>
      </c>
    </row>
    <row r="3118" spans="2:2">
      <c r="B3118" s="21">
        <f>IF(AND(C3118&lt;&gt;"", J3118&lt;&gt;""), HYPERLINK("#'" &amp; C3118 &amp; "'!" &amp; J3118, J3118), "")</f>
        <v>0</v>
      </c>
    </row>
    <row r="3119" spans="2:2">
      <c r="B3119" s="21">
        <f>IF(AND(C3119&lt;&gt;"", J3119&lt;&gt;""), HYPERLINK("#'" &amp; C3119 &amp; "'!" &amp; J3119, J3119), "")</f>
        <v>0</v>
      </c>
    </row>
    <row r="3120" spans="2:2">
      <c r="B3120" s="21">
        <f>IF(AND(C3120&lt;&gt;"", J3120&lt;&gt;""), HYPERLINK("#'" &amp; C3120 &amp; "'!" &amp; J3120, J3120), "")</f>
        <v>0</v>
      </c>
    </row>
    <row r="3121" spans="2:2">
      <c r="B3121" s="21">
        <f>IF(AND(C3121&lt;&gt;"", J3121&lt;&gt;""), HYPERLINK("#'" &amp; C3121 &amp; "'!" &amp; J3121, J3121), "")</f>
        <v>0</v>
      </c>
    </row>
    <row r="3122" spans="2:2">
      <c r="B3122" s="21">
        <f>IF(AND(C3122&lt;&gt;"", J3122&lt;&gt;""), HYPERLINK("#'" &amp; C3122 &amp; "'!" &amp; J3122, J3122), "")</f>
        <v>0</v>
      </c>
    </row>
    <row r="3123" spans="2:2">
      <c r="B3123" s="21">
        <f>IF(AND(C3123&lt;&gt;"", J3123&lt;&gt;""), HYPERLINK("#'" &amp; C3123 &amp; "'!" &amp; J3123, J3123), "")</f>
        <v>0</v>
      </c>
    </row>
    <row r="3124" spans="2:2">
      <c r="B3124" s="21">
        <f>IF(AND(C3124&lt;&gt;"", J3124&lt;&gt;""), HYPERLINK("#'" &amp; C3124 &amp; "'!" &amp; J3124, J3124), "")</f>
        <v>0</v>
      </c>
    </row>
    <row r="3125" spans="2:2">
      <c r="B3125" s="21">
        <f>IF(AND(C3125&lt;&gt;"", J3125&lt;&gt;""), HYPERLINK("#'" &amp; C3125 &amp; "'!" &amp; J3125, J3125), "")</f>
        <v>0</v>
      </c>
    </row>
    <row r="3126" spans="2:2">
      <c r="B3126" s="21">
        <f>IF(AND(C3126&lt;&gt;"", J3126&lt;&gt;""), HYPERLINK("#'" &amp; C3126 &amp; "'!" &amp; J3126, J3126), "")</f>
        <v>0</v>
      </c>
    </row>
    <row r="3127" spans="2:2">
      <c r="B3127" s="21">
        <f>IF(AND(C3127&lt;&gt;"", J3127&lt;&gt;""), HYPERLINK("#'" &amp; C3127 &amp; "'!" &amp; J3127, J3127), "")</f>
        <v>0</v>
      </c>
    </row>
    <row r="3128" spans="2:2">
      <c r="B3128" s="21">
        <f>IF(AND(C3128&lt;&gt;"", J3128&lt;&gt;""), HYPERLINK("#'" &amp; C3128 &amp; "'!" &amp; J3128, J3128), "")</f>
        <v>0</v>
      </c>
    </row>
    <row r="3129" spans="2:2">
      <c r="B3129" s="21">
        <f>IF(AND(C3129&lt;&gt;"", J3129&lt;&gt;""), HYPERLINK("#'" &amp; C3129 &amp; "'!" &amp; J3129, J3129), "")</f>
        <v>0</v>
      </c>
    </row>
    <row r="3130" spans="2:2">
      <c r="B3130" s="21">
        <f>IF(AND(C3130&lt;&gt;"", J3130&lt;&gt;""), HYPERLINK("#'" &amp; C3130 &amp; "'!" &amp; J3130, J3130), "")</f>
        <v>0</v>
      </c>
    </row>
    <row r="3131" spans="2:2">
      <c r="B3131" s="21">
        <f>IF(AND(C3131&lt;&gt;"", J3131&lt;&gt;""), HYPERLINK("#'" &amp; C3131 &amp; "'!" &amp; J3131, J3131), "")</f>
        <v>0</v>
      </c>
    </row>
    <row r="3132" spans="2:2">
      <c r="B3132" s="21">
        <f>IF(AND(C3132&lt;&gt;"", J3132&lt;&gt;""), HYPERLINK("#'" &amp; C3132 &amp; "'!" &amp; J3132, J3132), "")</f>
        <v>0</v>
      </c>
    </row>
    <row r="3133" spans="2:2">
      <c r="B3133" s="21">
        <f>IF(AND(C3133&lt;&gt;"", J3133&lt;&gt;""), HYPERLINK("#'" &amp; C3133 &amp; "'!" &amp; J3133, J3133), "")</f>
        <v>0</v>
      </c>
    </row>
    <row r="3134" spans="2:2">
      <c r="B3134" s="21">
        <f>IF(AND(C3134&lt;&gt;"", J3134&lt;&gt;""), HYPERLINK("#'" &amp; C3134 &amp; "'!" &amp; J3134, J3134), "")</f>
        <v>0</v>
      </c>
    </row>
    <row r="3135" spans="2:2">
      <c r="B3135" s="21">
        <f>IF(AND(C3135&lt;&gt;"", J3135&lt;&gt;""), HYPERLINK("#'" &amp; C3135 &amp; "'!" &amp; J3135, J3135), "")</f>
        <v>0</v>
      </c>
    </row>
    <row r="3136" spans="2:2">
      <c r="B3136" s="21">
        <f>IF(AND(C3136&lt;&gt;"", J3136&lt;&gt;""), HYPERLINK("#'" &amp; C3136 &amp; "'!" &amp; J3136, J3136), "")</f>
        <v>0</v>
      </c>
    </row>
    <row r="3137" spans="2:2">
      <c r="B3137" s="21">
        <f>IF(AND(C3137&lt;&gt;"", J3137&lt;&gt;""), HYPERLINK("#'" &amp; C3137 &amp; "'!" &amp; J3137, J3137), "")</f>
        <v>0</v>
      </c>
    </row>
    <row r="3138" spans="2:2">
      <c r="B3138" s="21">
        <f>IF(AND(C3138&lt;&gt;"", J3138&lt;&gt;""), HYPERLINK("#'" &amp; C3138 &amp; "'!" &amp; J3138, J3138), "")</f>
        <v>0</v>
      </c>
    </row>
    <row r="3139" spans="2:2">
      <c r="B3139" s="21">
        <f>IF(AND(C3139&lt;&gt;"", J3139&lt;&gt;""), HYPERLINK("#'" &amp; C3139 &amp; "'!" &amp; J3139, J3139), "")</f>
        <v>0</v>
      </c>
    </row>
    <row r="3140" spans="2:2">
      <c r="B3140" s="21">
        <f>IF(AND(C3140&lt;&gt;"", J3140&lt;&gt;""), HYPERLINK("#'" &amp; C3140 &amp; "'!" &amp; J3140, J3140), "")</f>
        <v>0</v>
      </c>
    </row>
    <row r="3141" spans="2:2">
      <c r="B3141" s="21">
        <f>IF(AND(C3141&lt;&gt;"", J3141&lt;&gt;""), HYPERLINK("#'" &amp; C3141 &amp; "'!" &amp; J3141, J3141), "")</f>
        <v>0</v>
      </c>
    </row>
    <row r="3142" spans="2:2">
      <c r="B3142" s="21">
        <f>IF(AND(C3142&lt;&gt;"", J3142&lt;&gt;""), HYPERLINK("#'" &amp; C3142 &amp; "'!" &amp; J3142, J3142), "")</f>
        <v>0</v>
      </c>
    </row>
    <row r="3143" spans="2:2">
      <c r="B3143" s="21">
        <f>IF(AND(C3143&lt;&gt;"", J3143&lt;&gt;""), HYPERLINK("#'" &amp; C3143 &amp; "'!" &amp; J3143, J3143), "")</f>
        <v>0</v>
      </c>
    </row>
    <row r="3144" spans="2:2">
      <c r="B3144" s="21">
        <f>IF(AND(C3144&lt;&gt;"", J3144&lt;&gt;""), HYPERLINK("#'" &amp; C3144 &amp; "'!" &amp; J3144, J3144), "")</f>
        <v>0</v>
      </c>
    </row>
    <row r="3145" spans="2:2">
      <c r="B3145" s="21">
        <f>IF(AND(C3145&lt;&gt;"", J3145&lt;&gt;""), HYPERLINK("#'" &amp; C3145 &amp; "'!" &amp; J3145, J3145), "")</f>
        <v>0</v>
      </c>
    </row>
    <row r="3146" spans="2:2">
      <c r="B3146" s="21">
        <f>IF(AND(C3146&lt;&gt;"", J3146&lt;&gt;""), HYPERLINK("#'" &amp; C3146 &amp; "'!" &amp; J3146, J3146), "")</f>
        <v>0</v>
      </c>
    </row>
    <row r="3147" spans="2:2">
      <c r="B3147" s="21">
        <f>IF(AND(C3147&lt;&gt;"", J3147&lt;&gt;""), HYPERLINK("#'" &amp; C3147 &amp; "'!" &amp; J3147, J3147), "")</f>
        <v>0</v>
      </c>
    </row>
    <row r="3148" spans="2:2">
      <c r="B3148" s="21">
        <f>IF(AND(C3148&lt;&gt;"", J3148&lt;&gt;""), HYPERLINK("#'" &amp; C3148 &amp; "'!" &amp; J3148, J3148), "")</f>
        <v>0</v>
      </c>
    </row>
    <row r="3149" spans="2:2">
      <c r="B3149" s="21">
        <f>IF(AND(C3149&lt;&gt;"", J3149&lt;&gt;""), HYPERLINK("#'" &amp; C3149 &amp; "'!" &amp; J3149, J3149), "")</f>
        <v>0</v>
      </c>
    </row>
    <row r="3150" spans="2:2">
      <c r="B3150" s="21">
        <f>IF(AND(C3150&lt;&gt;"", J3150&lt;&gt;""), HYPERLINK("#'" &amp; C3150 &amp; "'!" &amp; J3150, J3150), "")</f>
        <v>0</v>
      </c>
    </row>
    <row r="3151" spans="2:2">
      <c r="B3151" s="21">
        <f>IF(AND(C3151&lt;&gt;"", J3151&lt;&gt;""), HYPERLINK("#'" &amp; C3151 &amp; "'!" &amp; J3151, J3151), "")</f>
        <v>0</v>
      </c>
    </row>
    <row r="3152" spans="2:2">
      <c r="B3152" s="21">
        <f>IF(AND(C3152&lt;&gt;"", J3152&lt;&gt;""), HYPERLINK("#'" &amp; C3152 &amp; "'!" &amp; J3152, J3152), "")</f>
        <v>0</v>
      </c>
    </row>
    <row r="3153" spans="2:2">
      <c r="B3153" s="21">
        <f>IF(AND(C3153&lt;&gt;"", J3153&lt;&gt;""), HYPERLINK("#'" &amp; C3153 &amp; "'!" &amp; J3153, J3153), "")</f>
        <v>0</v>
      </c>
    </row>
    <row r="3154" spans="2:2">
      <c r="B3154" s="21">
        <f>IF(AND(C3154&lt;&gt;"", J3154&lt;&gt;""), HYPERLINK("#'" &amp; C3154 &amp; "'!" &amp; J3154, J3154), "")</f>
        <v>0</v>
      </c>
    </row>
    <row r="3155" spans="2:2">
      <c r="B3155" s="21">
        <f>IF(AND(C3155&lt;&gt;"", J3155&lt;&gt;""), HYPERLINK("#'" &amp; C3155 &amp; "'!" &amp; J3155, J3155), "")</f>
        <v>0</v>
      </c>
    </row>
    <row r="3156" spans="2:2">
      <c r="B3156" s="21">
        <f>IF(AND(C3156&lt;&gt;"", J3156&lt;&gt;""), HYPERLINK("#'" &amp; C3156 &amp; "'!" &amp; J3156, J3156), "")</f>
        <v>0</v>
      </c>
    </row>
    <row r="3157" spans="2:2">
      <c r="B3157" s="21">
        <f>IF(AND(C3157&lt;&gt;"", J3157&lt;&gt;""), HYPERLINK("#'" &amp; C3157 &amp; "'!" &amp; J3157, J3157), "")</f>
        <v>0</v>
      </c>
    </row>
    <row r="3158" spans="2:2">
      <c r="B3158" s="21">
        <f>IF(AND(C3158&lt;&gt;"", J3158&lt;&gt;""), HYPERLINK("#'" &amp; C3158 &amp; "'!" &amp; J3158, J3158), "")</f>
        <v>0</v>
      </c>
    </row>
    <row r="3159" spans="2:2">
      <c r="B3159" s="21">
        <f>IF(AND(C3159&lt;&gt;"", J3159&lt;&gt;""), HYPERLINK("#'" &amp; C3159 &amp; "'!" &amp; J3159, J3159), "")</f>
        <v>0</v>
      </c>
    </row>
    <row r="3160" spans="2:2">
      <c r="B3160" s="21">
        <f>IF(AND(C3160&lt;&gt;"", J3160&lt;&gt;""), HYPERLINK("#'" &amp; C3160 &amp; "'!" &amp; J3160, J3160), "")</f>
        <v>0</v>
      </c>
    </row>
    <row r="3161" spans="2:2">
      <c r="B3161" s="21">
        <f>IF(AND(C3161&lt;&gt;"", J3161&lt;&gt;""), HYPERLINK("#'" &amp; C3161 &amp; "'!" &amp; J3161, J3161), "")</f>
        <v>0</v>
      </c>
    </row>
    <row r="3162" spans="2:2">
      <c r="B3162" s="21">
        <f>IF(AND(C3162&lt;&gt;"", J3162&lt;&gt;""), HYPERLINK("#'" &amp; C3162 &amp; "'!" &amp; J3162, J3162), "")</f>
        <v>0</v>
      </c>
    </row>
    <row r="3163" spans="2:2">
      <c r="B3163" s="21">
        <f>IF(AND(C3163&lt;&gt;"", J3163&lt;&gt;""), HYPERLINK("#'" &amp; C3163 &amp; "'!" &amp; J3163, J3163), "")</f>
        <v>0</v>
      </c>
    </row>
    <row r="3164" spans="2:2">
      <c r="B3164" s="21">
        <f>IF(AND(C3164&lt;&gt;"", J3164&lt;&gt;""), HYPERLINK("#'" &amp; C3164 &amp; "'!" &amp; J3164, J3164), "")</f>
        <v>0</v>
      </c>
    </row>
    <row r="3165" spans="2:2">
      <c r="B3165" s="21">
        <f>IF(AND(C3165&lt;&gt;"", J3165&lt;&gt;""), HYPERLINK("#'" &amp; C3165 &amp; "'!" &amp; J3165, J3165), "")</f>
        <v>0</v>
      </c>
    </row>
    <row r="3166" spans="2:2">
      <c r="B3166" s="21">
        <f>IF(AND(C3166&lt;&gt;"", J3166&lt;&gt;""), HYPERLINK("#'" &amp; C3166 &amp; "'!" &amp; J3166, J3166), "")</f>
        <v>0</v>
      </c>
    </row>
    <row r="3167" spans="2:2">
      <c r="B3167" s="21">
        <f>IF(AND(C3167&lt;&gt;"", J3167&lt;&gt;""), HYPERLINK("#'" &amp; C3167 &amp; "'!" &amp; J3167, J3167), "")</f>
        <v>0</v>
      </c>
    </row>
    <row r="3168" spans="2:2">
      <c r="B3168" s="21">
        <f>IF(AND(C3168&lt;&gt;"", J3168&lt;&gt;""), HYPERLINK("#'" &amp; C3168 &amp; "'!" &amp; J3168, J3168), "")</f>
        <v>0</v>
      </c>
    </row>
    <row r="3169" spans="2:2">
      <c r="B3169" s="21">
        <f>IF(AND(C3169&lt;&gt;"", J3169&lt;&gt;""), HYPERLINK("#'" &amp; C3169 &amp; "'!" &amp; J3169, J3169), "")</f>
        <v>0</v>
      </c>
    </row>
    <row r="3170" spans="2:2">
      <c r="B3170" s="21">
        <f>IF(AND(C3170&lt;&gt;"", J3170&lt;&gt;""), HYPERLINK("#'" &amp; C3170 &amp; "'!" &amp; J3170, J3170), "")</f>
        <v>0</v>
      </c>
    </row>
    <row r="3171" spans="2:2">
      <c r="B3171" s="21">
        <f>IF(AND(C3171&lt;&gt;"", J3171&lt;&gt;""), HYPERLINK("#'" &amp; C3171 &amp; "'!" &amp; J3171, J3171), "")</f>
        <v>0</v>
      </c>
    </row>
    <row r="3172" spans="2:2">
      <c r="B3172" s="21">
        <f>IF(AND(C3172&lt;&gt;"", J3172&lt;&gt;""), HYPERLINK("#'" &amp; C3172 &amp; "'!" &amp; J3172, J3172), "")</f>
        <v>0</v>
      </c>
    </row>
    <row r="3173" spans="2:2">
      <c r="B3173" s="21">
        <f>IF(AND(C3173&lt;&gt;"", J3173&lt;&gt;""), HYPERLINK("#'" &amp; C3173 &amp; "'!" &amp; J3173, J3173), "")</f>
        <v>0</v>
      </c>
    </row>
    <row r="3174" spans="2:2">
      <c r="B3174" s="21">
        <f>IF(AND(C3174&lt;&gt;"", J3174&lt;&gt;""), HYPERLINK("#'" &amp; C3174 &amp; "'!" &amp; J3174, J3174), "")</f>
        <v>0</v>
      </c>
    </row>
    <row r="3175" spans="2:2">
      <c r="B3175" s="21">
        <f>IF(AND(C3175&lt;&gt;"", J3175&lt;&gt;""), HYPERLINK("#'" &amp; C3175 &amp; "'!" &amp; J3175, J3175), "")</f>
        <v>0</v>
      </c>
    </row>
    <row r="3176" spans="2:2">
      <c r="B3176" s="21">
        <f>IF(AND(C3176&lt;&gt;"", J3176&lt;&gt;""), HYPERLINK("#'" &amp; C3176 &amp; "'!" &amp; J3176, J3176), "")</f>
        <v>0</v>
      </c>
    </row>
    <row r="3177" spans="2:2">
      <c r="B3177" s="21">
        <f>IF(AND(C3177&lt;&gt;"", J3177&lt;&gt;""), HYPERLINK("#'" &amp; C3177 &amp; "'!" &amp; J3177, J3177), "")</f>
        <v>0</v>
      </c>
    </row>
    <row r="3178" spans="2:2">
      <c r="B3178" s="21">
        <f>IF(AND(C3178&lt;&gt;"", J3178&lt;&gt;""), HYPERLINK("#'" &amp; C3178 &amp; "'!" &amp; J3178, J3178), "")</f>
        <v>0</v>
      </c>
    </row>
    <row r="3179" spans="2:2">
      <c r="B3179" s="21">
        <f>IF(AND(C3179&lt;&gt;"", J3179&lt;&gt;""), HYPERLINK("#'" &amp; C3179 &amp; "'!" &amp; J3179, J3179), "")</f>
        <v>0</v>
      </c>
    </row>
    <row r="3180" spans="2:2">
      <c r="B3180" s="21">
        <f>IF(AND(C3180&lt;&gt;"", J3180&lt;&gt;""), HYPERLINK("#'" &amp; C3180 &amp; "'!" &amp; J3180, J3180), "")</f>
        <v>0</v>
      </c>
    </row>
    <row r="3181" spans="2:2">
      <c r="B3181" s="21">
        <f>IF(AND(C3181&lt;&gt;"", J3181&lt;&gt;""), HYPERLINK("#'" &amp; C3181 &amp; "'!" &amp; J3181, J3181), "")</f>
        <v>0</v>
      </c>
    </row>
    <row r="3182" spans="2:2">
      <c r="B3182" s="21">
        <f>IF(AND(C3182&lt;&gt;"", J3182&lt;&gt;""), HYPERLINK("#'" &amp; C3182 &amp; "'!" &amp; J3182, J3182), "")</f>
        <v>0</v>
      </c>
    </row>
    <row r="3183" spans="2:2">
      <c r="B3183" s="21">
        <f>IF(AND(C3183&lt;&gt;"", J3183&lt;&gt;""), HYPERLINK("#'" &amp; C3183 &amp; "'!" &amp; J3183, J3183), "")</f>
        <v>0</v>
      </c>
    </row>
    <row r="3184" spans="2:2">
      <c r="B3184" s="21">
        <f>IF(AND(C3184&lt;&gt;"", J3184&lt;&gt;""), HYPERLINK("#'" &amp; C3184 &amp; "'!" &amp; J3184, J3184), "")</f>
        <v>0</v>
      </c>
    </row>
    <row r="3185" spans="2:2">
      <c r="B3185" s="21">
        <f>IF(AND(C3185&lt;&gt;"", J3185&lt;&gt;""), HYPERLINK("#'" &amp; C3185 &amp; "'!" &amp; J3185, J3185), "")</f>
        <v>0</v>
      </c>
    </row>
    <row r="3186" spans="2:2">
      <c r="B3186" s="21">
        <f>IF(AND(C3186&lt;&gt;"", J3186&lt;&gt;""), HYPERLINK("#'" &amp; C3186 &amp; "'!" &amp; J3186, J3186), "")</f>
        <v>0</v>
      </c>
    </row>
    <row r="3187" spans="2:2">
      <c r="B3187" s="21">
        <f>IF(AND(C3187&lt;&gt;"", J3187&lt;&gt;""), HYPERLINK("#'" &amp; C3187 &amp; "'!" &amp; J3187, J3187), "")</f>
        <v>0</v>
      </c>
    </row>
    <row r="3188" spans="2:2">
      <c r="B3188" s="21">
        <f>IF(AND(C3188&lt;&gt;"", J3188&lt;&gt;""), HYPERLINK("#'" &amp; C3188 &amp; "'!" &amp; J3188, J3188), "")</f>
        <v>0</v>
      </c>
    </row>
    <row r="3189" spans="2:2">
      <c r="B3189" s="21">
        <f>IF(AND(C3189&lt;&gt;"", J3189&lt;&gt;""), HYPERLINK("#'" &amp; C3189 &amp; "'!" &amp; J3189, J3189), "")</f>
        <v>0</v>
      </c>
    </row>
    <row r="3190" spans="2:2">
      <c r="B3190" s="21">
        <f>IF(AND(C3190&lt;&gt;"", J3190&lt;&gt;""), HYPERLINK("#'" &amp; C3190 &amp; "'!" &amp; J3190, J3190), "")</f>
        <v>0</v>
      </c>
    </row>
    <row r="3191" spans="2:2">
      <c r="B3191" s="21">
        <f>IF(AND(C3191&lt;&gt;"", J3191&lt;&gt;""), HYPERLINK("#'" &amp; C3191 &amp; "'!" &amp; J3191, J3191), "")</f>
        <v>0</v>
      </c>
    </row>
    <row r="3192" spans="2:2">
      <c r="B3192" s="21">
        <f>IF(AND(C3192&lt;&gt;"", J3192&lt;&gt;""), HYPERLINK("#'" &amp; C3192 &amp; "'!" &amp; J3192, J3192), "")</f>
        <v>0</v>
      </c>
    </row>
    <row r="3193" spans="2:2">
      <c r="B3193" s="21">
        <f>IF(AND(C3193&lt;&gt;"", J3193&lt;&gt;""), HYPERLINK("#'" &amp; C3193 &amp; "'!" &amp; J3193, J3193), "")</f>
        <v>0</v>
      </c>
    </row>
    <row r="3194" spans="2:2">
      <c r="B3194" s="21">
        <f>IF(AND(C3194&lt;&gt;"", J3194&lt;&gt;""), HYPERLINK("#'" &amp; C3194 &amp; "'!" &amp; J3194, J3194), "")</f>
        <v>0</v>
      </c>
    </row>
    <row r="3195" spans="2:2">
      <c r="B3195" s="21">
        <f>IF(AND(C3195&lt;&gt;"", J3195&lt;&gt;""), HYPERLINK("#'" &amp; C3195 &amp; "'!" &amp; J3195, J3195), "")</f>
        <v>0</v>
      </c>
    </row>
    <row r="3196" spans="2:2">
      <c r="B3196" s="21">
        <f>IF(AND(C3196&lt;&gt;"", J3196&lt;&gt;""), HYPERLINK("#'" &amp; C3196 &amp; "'!" &amp; J3196, J3196), "")</f>
        <v>0</v>
      </c>
    </row>
    <row r="3197" spans="2:2">
      <c r="B3197" s="21">
        <f>IF(AND(C3197&lt;&gt;"", J3197&lt;&gt;""), HYPERLINK("#'" &amp; C3197 &amp; "'!" &amp; J3197, J3197), "")</f>
        <v>0</v>
      </c>
    </row>
    <row r="3198" spans="2:2">
      <c r="B3198" s="21">
        <f>IF(AND(C3198&lt;&gt;"", J3198&lt;&gt;""), HYPERLINK("#'" &amp; C3198 &amp; "'!" &amp; J3198, J3198), "")</f>
        <v>0</v>
      </c>
    </row>
    <row r="3199" spans="2:2">
      <c r="B3199" s="21">
        <f>IF(AND(C3199&lt;&gt;"", J3199&lt;&gt;""), HYPERLINK("#'" &amp; C3199 &amp; "'!" &amp; J3199, J3199), "")</f>
        <v>0</v>
      </c>
    </row>
    <row r="3200" spans="2:2">
      <c r="B3200" s="21">
        <f>IF(AND(C3200&lt;&gt;"", J3200&lt;&gt;""), HYPERLINK("#'" &amp; C3200 &amp; "'!" &amp; J3200, J3200), "")</f>
        <v>0</v>
      </c>
    </row>
    <row r="3201" spans="2:2">
      <c r="B3201" s="21">
        <f>IF(AND(C3201&lt;&gt;"", J3201&lt;&gt;""), HYPERLINK("#'" &amp; C3201 &amp; "'!" &amp; J3201, J3201), "")</f>
        <v>0</v>
      </c>
    </row>
    <row r="3202" spans="2:2">
      <c r="B3202" s="21">
        <f>IF(AND(C3202&lt;&gt;"", J3202&lt;&gt;""), HYPERLINK("#'" &amp; C3202 &amp; "'!" &amp; J3202, J3202), "")</f>
        <v>0</v>
      </c>
    </row>
    <row r="3203" spans="2:2">
      <c r="B3203" s="21">
        <f>IF(AND(C3203&lt;&gt;"", J3203&lt;&gt;""), HYPERLINK("#'" &amp; C3203 &amp; "'!" &amp; J3203, J3203), "")</f>
        <v>0</v>
      </c>
    </row>
    <row r="3204" spans="2:2">
      <c r="B3204" s="21">
        <f>IF(AND(C3204&lt;&gt;"", J3204&lt;&gt;""), HYPERLINK("#'" &amp; C3204 &amp; "'!" &amp; J3204, J3204), "")</f>
        <v>0</v>
      </c>
    </row>
    <row r="3205" spans="2:2">
      <c r="B3205" s="21">
        <f>IF(AND(C3205&lt;&gt;"", J3205&lt;&gt;""), HYPERLINK("#'" &amp; C3205 &amp; "'!" &amp; J3205, J3205), "")</f>
        <v>0</v>
      </c>
    </row>
    <row r="3206" spans="2:2">
      <c r="B3206" s="21">
        <f>IF(AND(C3206&lt;&gt;"", J3206&lt;&gt;""), HYPERLINK("#'" &amp; C3206 &amp; "'!" &amp; J3206, J3206), "")</f>
        <v>0</v>
      </c>
    </row>
    <row r="3207" spans="2:2">
      <c r="B3207" s="21">
        <f>IF(AND(C3207&lt;&gt;"", J3207&lt;&gt;""), HYPERLINK("#'" &amp; C3207 &amp; "'!" &amp; J3207, J3207), "")</f>
        <v>0</v>
      </c>
    </row>
    <row r="3208" spans="2:2">
      <c r="B3208" s="21">
        <f>IF(AND(C3208&lt;&gt;"", J3208&lt;&gt;""), HYPERLINK("#'" &amp; C3208 &amp; "'!" &amp; J3208, J3208), "")</f>
        <v>0</v>
      </c>
    </row>
    <row r="3209" spans="2:2">
      <c r="B3209" s="21">
        <f>IF(AND(C3209&lt;&gt;"", J3209&lt;&gt;""), HYPERLINK("#'" &amp; C3209 &amp; "'!" &amp; J3209, J3209), "")</f>
        <v>0</v>
      </c>
    </row>
    <row r="3210" spans="2:2">
      <c r="B3210" s="21">
        <f>IF(AND(C3210&lt;&gt;"", J3210&lt;&gt;""), HYPERLINK("#'" &amp; C3210 &amp; "'!" &amp; J3210, J3210), "")</f>
        <v>0</v>
      </c>
    </row>
    <row r="3211" spans="2:2">
      <c r="B3211" s="21">
        <f>IF(AND(C3211&lt;&gt;"", J3211&lt;&gt;""), HYPERLINK("#'" &amp; C3211 &amp; "'!" &amp; J3211, J3211), "")</f>
        <v>0</v>
      </c>
    </row>
    <row r="3212" spans="2:2">
      <c r="B3212" s="21">
        <f>IF(AND(C3212&lt;&gt;"", J3212&lt;&gt;""), HYPERLINK("#'" &amp; C3212 &amp; "'!" &amp; J3212, J3212), "")</f>
        <v>0</v>
      </c>
    </row>
    <row r="3213" spans="2:2">
      <c r="B3213" s="21">
        <f>IF(AND(C3213&lt;&gt;"", J3213&lt;&gt;""), HYPERLINK("#'" &amp; C3213 &amp; "'!" &amp; J3213, J3213), "")</f>
        <v>0</v>
      </c>
    </row>
    <row r="3214" spans="2:2">
      <c r="B3214" s="21">
        <f>IF(AND(C3214&lt;&gt;"", J3214&lt;&gt;""), HYPERLINK("#'" &amp; C3214 &amp; "'!" &amp; J3214, J3214), "")</f>
        <v>0</v>
      </c>
    </row>
    <row r="3215" spans="2:2">
      <c r="B3215" s="21">
        <f>IF(AND(C3215&lt;&gt;"", J3215&lt;&gt;""), HYPERLINK("#'" &amp; C3215 &amp; "'!" &amp; J3215, J3215), "")</f>
        <v>0</v>
      </c>
    </row>
    <row r="3216" spans="2:2">
      <c r="B3216" s="21">
        <f>IF(AND(C3216&lt;&gt;"", J3216&lt;&gt;""), HYPERLINK("#'" &amp; C3216 &amp; "'!" &amp; J3216, J3216), "")</f>
        <v>0</v>
      </c>
    </row>
    <row r="3217" spans="2:2">
      <c r="B3217" s="21">
        <f>IF(AND(C3217&lt;&gt;"", J3217&lt;&gt;""), HYPERLINK("#'" &amp; C3217 &amp; "'!" &amp; J3217, J3217), "")</f>
        <v>0</v>
      </c>
    </row>
    <row r="3218" spans="2:2">
      <c r="B3218" s="21">
        <f>IF(AND(C3218&lt;&gt;"", J3218&lt;&gt;""), HYPERLINK("#'" &amp; C3218 &amp; "'!" &amp; J3218, J3218), "")</f>
        <v>0</v>
      </c>
    </row>
    <row r="3219" spans="2:2">
      <c r="B3219" s="21">
        <f>IF(AND(C3219&lt;&gt;"", J3219&lt;&gt;""), HYPERLINK("#'" &amp; C3219 &amp; "'!" &amp; J3219, J3219), "")</f>
        <v>0</v>
      </c>
    </row>
    <row r="3220" spans="2:2">
      <c r="B3220" s="21">
        <f>IF(AND(C3220&lt;&gt;"", J3220&lt;&gt;""), HYPERLINK("#'" &amp; C3220 &amp; "'!" &amp; J3220, J3220), "")</f>
        <v>0</v>
      </c>
    </row>
    <row r="3221" spans="2:2">
      <c r="B3221" s="21">
        <f>IF(AND(C3221&lt;&gt;"", J3221&lt;&gt;""), HYPERLINK("#'" &amp; C3221 &amp; "'!" &amp; J3221, J3221), "")</f>
        <v>0</v>
      </c>
    </row>
    <row r="3222" spans="2:2">
      <c r="B3222" s="21">
        <f>IF(AND(C3222&lt;&gt;"", J3222&lt;&gt;""), HYPERLINK("#'" &amp; C3222 &amp; "'!" &amp; J3222, J3222), "")</f>
        <v>0</v>
      </c>
    </row>
    <row r="3223" spans="2:2">
      <c r="B3223" s="21">
        <f>IF(AND(C3223&lt;&gt;"", J3223&lt;&gt;""), HYPERLINK("#'" &amp; C3223 &amp; "'!" &amp; J3223, J3223), "")</f>
        <v>0</v>
      </c>
    </row>
    <row r="3224" spans="2:2">
      <c r="B3224" s="21">
        <f>IF(AND(C3224&lt;&gt;"", J3224&lt;&gt;""), HYPERLINK("#'" &amp; C3224 &amp; "'!" &amp; J3224, J3224), "")</f>
        <v>0</v>
      </c>
    </row>
    <row r="3225" spans="2:2">
      <c r="B3225" s="21">
        <f>IF(AND(C3225&lt;&gt;"", J3225&lt;&gt;""), HYPERLINK("#'" &amp; C3225 &amp; "'!" &amp; J3225, J3225), "")</f>
        <v>0</v>
      </c>
    </row>
    <row r="3226" spans="2:2">
      <c r="B3226" s="21">
        <f>IF(AND(C3226&lt;&gt;"", J3226&lt;&gt;""), HYPERLINK("#'" &amp; C3226 &amp; "'!" &amp; J3226, J3226), "")</f>
        <v>0</v>
      </c>
    </row>
    <row r="3227" spans="2:2">
      <c r="B3227" s="21">
        <f>IF(AND(C3227&lt;&gt;"", J3227&lt;&gt;""), HYPERLINK("#'" &amp; C3227 &amp; "'!" &amp; J3227, J3227), "")</f>
        <v>0</v>
      </c>
    </row>
    <row r="3228" spans="2:2">
      <c r="B3228" s="21">
        <f>IF(AND(C3228&lt;&gt;"", J3228&lt;&gt;""), HYPERLINK("#'" &amp; C3228 &amp; "'!" &amp; J3228, J3228), "")</f>
        <v>0</v>
      </c>
    </row>
    <row r="3229" spans="2:2">
      <c r="B3229" s="21">
        <f>IF(AND(C3229&lt;&gt;"", J3229&lt;&gt;""), HYPERLINK("#'" &amp; C3229 &amp; "'!" &amp; J3229, J3229), "")</f>
        <v>0</v>
      </c>
    </row>
    <row r="3230" spans="2:2">
      <c r="B3230" s="21">
        <f>IF(AND(C3230&lt;&gt;"", J3230&lt;&gt;""), HYPERLINK("#'" &amp; C3230 &amp; "'!" &amp; J3230, J3230), "")</f>
        <v>0</v>
      </c>
    </row>
    <row r="3231" spans="2:2">
      <c r="B3231" s="21">
        <f>IF(AND(C3231&lt;&gt;"", J3231&lt;&gt;""), HYPERLINK("#'" &amp; C3231 &amp; "'!" &amp; J3231, J3231), "")</f>
        <v>0</v>
      </c>
    </row>
    <row r="3232" spans="2:2">
      <c r="B3232" s="21">
        <f>IF(AND(C3232&lt;&gt;"", J3232&lt;&gt;""), HYPERLINK("#'" &amp; C3232 &amp; "'!" &amp; J3232, J3232), "")</f>
        <v>0</v>
      </c>
    </row>
    <row r="3233" spans="2:2">
      <c r="B3233" s="21">
        <f>IF(AND(C3233&lt;&gt;"", J3233&lt;&gt;""), HYPERLINK("#'" &amp; C3233 &amp; "'!" &amp; J3233, J3233), "")</f>
        <v>0</v>
      </c>
    </row>
    <row r="3234" spans="2:2">
      <c r="B3234" s="21">
        <f>IF(AND(C3234&lt;&gt;"", J3234&lt;&gt;""), HYPERLINK("#'" &amp; C3234 &amp; "'!" &amp; J3234, J3234), "")</f>
        <v>0</v>
      </c>
    </row>
    <row r="3235" spans="2:2">
      <c r="B3235" s="21">
        <f>IF(AND(C3235&lt;&gt;"", J3235&lt;&gt;""), HYPERLINK("#'" &amp; C3235 &amp; "'!" &amp; J3235, J3235), "")</f>
        <v>0</v>
      </c>
    </row>
    <row r="3236" spans="2:2">
      <c r="B3236" s="21">
        <f>IF(AND(C3236&lt;&gt;"", J3236&lt;&gt;""), HYPERLINK("#'" &amp; C3236 &amp; "'!" &amp; J3236, J3236), "")</f>
        <v>0</v>
      </c>
    </row>
    <row r="3237" spans="2:2">
      <c r="B3237" s="21">
        <f>IF(AND(C3237&lt;&gt;"", J3237&lt;&gt;""), HYPERLINK("#'" &amp; C3237 &amp; "'!" &amp; J3237, J3237), "")</f>
        <v>0</v>
      </c>
    </row>
    <row r="3238" spans="2:2">
      <c r="B3238" s="21">
        <f>IF(AND(C3238&lt;&gt;"", J3238&lt;&gt;""), HYPERLINK("#'" &amp; C3238 &amp; "'!" &amp; J3238, J3238), "")</f>
        <v>0</v>
      </c>
    </row>
    <row r="3239" spans="2:2">
      <c r="B3239" s="21">
        <f>IF(AND(C3239&lt;&gt;"", J3239&lt;&gt;""), HYPERLINK("#'" &amp; C3239 &amp; "'!" &amp; J3239, J3239), "")</f>
        <v>0</v>
      </c>
    </row>
    <row r="3240" spans="2:2">
      <c r="B3240" s="21">
        <f>IF(AND(C3240&lt;&gt;"", J3240&lt;&gt;""), HYPERLINK("#'" &amp; C3240 &amp; "'!" &amp; J3240, J3240), "")</f>
        <v>0</v>
      </c>
    </row>
    <row r="3241" spans="2:2">
      <c r="B3241" s="21">
        <f>IF(AND(C3241&lt;&gt;"", J3241&lt;&gt;""), HYPERLINK("#'" &amp; C3241 &amp; "'!" &amp; J3241, J3241), "")</f>
        <v>0</v>
      </c>
    </row>
    <row r="3242" spans="2:2">
      <c r="B3242" s="21">
        <f>IF(AND(C3242&lt;&gt;"", J3242&lt;&gt;""), HYPERLINK("#'" &amp; C3242 &amp; "'!" &amp; J3242, J3242), "")</f>
        <v>0</v>
      </c>
    </row>
    <row r="3243" spans="2:2">
      <c r="B3243" s="21">
        <f>IF(AND(C3243&lt;&gt;"", J3243&lt;&gt;""), HYPERLINK("#'" &amp; C3243 &amp; "'!" &amp; J3243, J3243), "")</f>
        <v>0</v>
      </c>
    </row>
    <row r="3244" spans="2:2">
      <c r="B3244" s="21">
        <f>IF(AND(C3244&lt;&gt;"", J3244&lt;&gt;""), HYPERLINK("#'" &amp; C3244 &amp; "'!" &amp; J3244, J3244), "")</f>
        <v>0</v>
      </c>
    </row>
    <row r="3245" spans="2:2">
      <c r="B3245" s="21">
        <f>IF(AND(C3245&lt;&gt;"", J3245&lt;&gt;""), HYPERLINK("#'" &amp; C3245 &amp; "'!" &amp; J3245, J3245), "")</f>
        <v>0</v>
      </c>
    </row>
    <row r="3246" spans="2:2">
      <c r="B3246" s="21">
        <f>IF(AND(C3246&lt;&gt;"", J3246&lt;&gt;""), HYPERLINK("#'" &amp; C3246 &amp; "'!" &amp; J3246, J3246), "")</f>
        <v>0</v>
      </c>
    </row>
    <row r="3247" spans="2:2">
      <c r="B3247" s="21">
        <f>IF(AND(C3247&lt;&gt;"", J3247&lt;&gt;""), HYPERLINK("#'" &amp; C3247 &amp; "'!" &amp; J3247, J3247), "")</f>
        <v>0</v>
      </c>
    </row>
    <row r="3248" spans="2:2">
      <c r="B3248" s="21">
        <f>IF(AND(C3248&lt;&gt;"", J3248&lt;&gt;""), HYPERLINK("#'" &amp; C3248 &amp; "'!" &amp; J3248, J3248), "")</f>
        <v>0</v>
      </c>
    </row>
    <row r="3249" spans="2:2">
      <c r="B3249" s="21">
        <f>IF(AND(C3249&lt;&gt;"", J3249&lt;&gt;""), HYPERLINK("#'" &amp; C3249 &amp; "'!" &amp; J3249, J3249), "")</f>
        <v>0</v>
      </c>
    </row>
    <row r="3250" spans="2:2">
      <c r="B3250" s="21">
        <f>IF(AND(C3250&lt;&gt;"", J3250&lt;&gt;""), HYPERLINK("#'" &amp; C3250 &amp; "'!" &amp; J3250, J3250), "")</f>
        <v>0</v>
      </c>
    </row>
    <row r="3251" spans="2:2">
      <c r="B3251" s="21">
        <f>IF(AND(C3251&lt;&gt;"", J3251&lt;&gt;""), HYPERLINK("#'" &amp; C3251 &amp; "'!" &amp; J3251, J3251), "")</f>
        <v>0</v>
      </c>
    </row>
    <row r="3252" spans="2:2">
      <c r="B3252" s="21">
        <f>IF(AND(C3252&lt;&gt;"", J3252&lt;&gt;""), HYPERLINK("#'" &amp; C3252 &amp; "'!" &amp; J3252, J3252), "")</f>
        <v>0</v>
      </c>
    </row>
    <row r="3253" spans="2:2">
      <c r="B3253" s="21">
        <f>IF(AND(C3253&lt;&gt;"", J3253&lt;&gt;""), HYPERLINK("#'" &amp; C3253 &amp; "'!" &amp; J3253, J3253), "")</f>
        <v>0</v>
      </c>
    </row>
    <row r="3254" spans="2:2">
      <c r="B3254" s="21">
        <f>IF(AND(C3254&lt;&gt;"", J3254&lt;&gt;""), HYPERLINK("#'" &amp; C3254 &amp; "'!" &amp; J3254, J3254), "")</f>
        <v>0</v>
      </c>
    </row>
    <row r="3255" spans="2:2">
      <c r="B3255" s="21">
        <f>IF(AND(C3255&lt;&gt;"", J3255&lt;&gt;""), HYPERLINK("#'" &amp; C3255 &amp; "'!" &amp; J3255, J3255), "")</f>
        <v>0</v>
      </c>
    </row>
    <row r="3256" spans="2:2">
      <c r="B3256" s="21">
        <f>IF(AND(C3256&lt;&gt;"", J3256&lt;&gt;""), HYPERLINK("#'" &amp; C3256 &amp; "'!" &amp; J3256, J3256), "")</f>
        <v>0</v>
      </c>
    </row>
    <row r="3257" spans="2:2">
      <c r="B3257" s="21">
        <f>IF(AND(C3257&lt;&gt;"", J3257&lt;&gt;""), HYPERLINK("#'" &amp; C3257 &amp; "'!" &amp; J3257, J3257), "")</f>
        <v>0</v>
      </c>
    </row>
    <row r="3258" spans="2:2">
      <c r="B3258" s="21">
        <f>IF(AND(C3258&lt;&gt;"", J3258&lt;&gt;""), HYPERLINK("#'" &amp; C3258 &amp; "'!" &amp; J3258, J3258), "")</f>
        <v>0</v>
      </c>
    </row>
    <row r="3259" spans="2:2">
      <c r="B3259" s="21">
        <f>IF(AND(C3259&lt;&gt;"", J3259&lt;&gt;""), HYPERLINK("#'" &amp; C3259 &amp; "'!" &amp; J3259, J3259), "")</f>
        <v>0</v>
      </c>
    </row>
    <row r="3260" spans="2:2">
      <c r="B3260" s="21">
        <f>IF(AND(C3260&lt;&gt;"", J3260&lt;&gt;""), HYPERLINK("#'" &amp; C3260 &amp; "'!" &amp; J3260, J3260), "")</f>
        <v>0</v>
      </c>
    </row>
    <row r="3261" spans="2:2">
      <c r="B3261" s="21">
        <f>IF(AND(C3261&lt;&gt;"", J3261&lt;&gt;""), HYPERLINK("#'" &amp; C3261 &amp; "'!" &amp; J3261, J3261), "")</f>
        <v>0</v>
      </c>
    </row>
    <row r="3262" spans="2:2">
      <c r="B3262" s="21">
        <f>IF(AND(C3262&lt;&gt;"", J3262&lt;&gt;""), HYPERLINK("#'" &amp; C3262 &amp; "'!" &amp; J3262, J3262), "")</f>
        <v>0</v>
      </c>
    </row>
    <row r="3263" spans="2:2">
      <c r="B3263" s="21">
        <f>IF(AND(C3263&lt;&gt;"", J3263&lt;&gt;""), HYPERLINK("#'" &amp; C3263 &amp; "'!" &amp; J3263, J3263), "")</f>
        <v>0</v>
      </c>
    </row>
    <row r="3264" spans="2:2">
      <c r="B3264" s="21">
        <f>IF(AND(C3264&lt;&gt;"", J3264&lt;&gt;""), HYPERLINK("#'" &amp; C3264 &amp; "'!" &amp; J3264, J3264), "")</f>
        <v>0</v>
      </c>
    </row>
    <row r="3265" spans="2:2">
      <c r="B3265" s="21">
        <f>IF(AND(C3265&lt;&gt;"", J3265&lt;&gt;""), HYPERLINK("#'" &amp; C3265 &amp; "'!" &amp; J3265, J3265), "")</f>
        <v>0</v>
      </c>
    </row>
    <row r="3266" spans="2:2">
      <c r="B3266" s="21">
        <f>IF(AND(C3266&lt;&gt;"", J3266&lt;&gt;""), HYPERLINK("#'" &amp; C3266 &amp; "'!" &amp; J3266, J3266), "")</f>
        <v>0</v>
      </c>
    </row>
    <row r="3267" spans="2:2">
      <c r="B3267" s="21">
        <f>IF(AND(C3267&lt;&gt;"", J3267&lt;&gt;""), HYPERLINK("#'" &amp; C3267 &amp; "'!" &amp; J3267, J3267), "")</f>
        <v>0</v>
      </c>
    </row>
    <row r="3268" spans="2:2">
      <c r="B3268" s="21">
        <f>IF(AND(C3268&lt;&gt;"", J3268&lt;&gt;""), HYPERLINK("#'" &amp; C3268 &amp; "'!" &amp; J3268, J3268), "")</f>
        <v>0</v>
      </c>
    </row>
    <row r="3269" spans="2:2">
      <c r="B3269" s="21">
        <f>IF(AND(C3269&lt;&gt;"", J3269&lt;&gt;""), HYPERLINK("#'" &amp; C3269 &amp; "'!" &amp; J3269, J3269), "")</f>
        <v>0</v>
      </c>
    </row>
    <row r="3270" spans="2:2">
      <c r="B3270" s="21">
        <f>IF(AND(C3270&lt;&gt;"", J3270&lt;&gt;""), HYPERLINK("#'" &amp; C3270 &amp; "'!" &amp; J3270, J3270), "")</f>
        <v>0</v>
      </c>
    </row>
    <row r="3271" spans="2:2">
      <c r="B3271" s="21">
        <f>IF(AND(C3271&lt;&gt;"", J3271&lt;&gt;""), HYPERLINK("#'" &amp; C3271 &amp; "'!" &amp; J3271, J3271), "")</f>
        <v>0</v>
      </c>
    </row>
    <row r="3272" spans="2:2">
      <c r="B3272" s="21">
        <f>IF(AND(C3272&lt;&gt;"", J3272&lt;&gt;""), HYPERLINK("#'" &amp; C3272 &amp; "'!" &amp; J3272, J3272), "")</f>
        <v>0</v>
      </c>
    </row>
    <row r="3273" spans="2:2">
      <c r="B3273" s="21">
        <f>IF(AND(C3273&lt;&gt;"", J3273&lt;&gt;""), HYPERLINK("#'" &amp; C3273 &amp; "'!" &amp; J3273, J3273), "")</f>
        <v>0</v>
      </c>
    </row>
    <row r="3274" spans="2:2">
      <c r="B3274" s="21">
        <f>IF(AND(C3274&lt;&gt;"", J3274&lt;&gt;""), HYPERLINK("#'" &amp; C3274 &amp; "'!" &amp; J3274, J3274), "")</f>
        <v>0</v>
      </c>
    </row>
    <row r="3275" spans="2:2">
      <c r="B3275" s="21">
        <f>IF(AND(C3275&lt;&gt;"", J3275&lt;&gt;""), HYPERLINK("#'" &amp; C3275 &amp; "'!" &amp; J3275, J3275), "")</f>
        <v>0</v>
      </c>
    </row>
    <row r="3276" spans="2:2">
      <c r="B3276" s="21">
        <f>IF(AND(C3276&lt;&gt;"", J3276&lt;&gt;""), HYPERLINK("#'" &amp; C3276 &amp; "'!" &amp; J3276, J3276), "")</f>
        <v>0</v>
      </c>
    </row>
    <row r="3277" spans="2:2">
      <c r="B3277" s="21">
        <f>IF(AND(C3277&lt;&gt;"", J3277&lt;&gt;""), HYPERLINK("#'" &amp; C3277 &amp; "'!" &amp; J3277, J3277), "")</f>
        <v>0</v>
      </c>
    </row>
    <row r="3278" spans="2:2">
      <c r="B3278" s="21">
        <f>IF(AND(C3278&lt;&gt;"", J3278&lt;&gt;""), HYPERLINK("#'" &amp; C3278 &amp; "'!" &amp; J3278, J3278), "")</f>
        <v>0</v>
      </c>
    </row>
    <row r="3279" spans="2:2">
      <c r="B3279" s="21">
        <f>IF(AND(C3279&lt;&gt;"", J3279&lt;&gt;""), HYPERLINK("#'" &amp; C3279 &amp; "'!" &amp; J3279, J3279), "")</f>
        <v>0</v>
      </c>
    </row>
    <row r="3280" spans="2:2">
      <c r="B3280" s="21">
        <f>IF(AND(C3280&lt;&gt;"", J3280&lt;&gt;""), HYPERLINK("#'" &amp; C3280 &amp; "'!" &amp; J3280, J3280), "")</f>
        <v>0</v>
      </c>
    </row>
    <row r="3281" spans="2:2">
      <c r="B3281" s="21">
        <f>IF(AND(C3281&lt;&gt;"", J3281&lt;&gt;""), HYPERLINK("#'" &amp; C3281 &amp; "'!" &amp; J3281, J3281), "")</f>
        <v>0</v>
      </c>
    </row>
    <row r="3282" spans="2:2">
      <c r="B3282" s="21">
        <f>IF(AND(C3282&lt;&gt;"", J3282&lt;&gt;""), HYPERLINK("#'" &amp; C3282 &amp; "'!" &amp; J3282, J3282), "")</f>
        <v>0</v>
      </c>
    </row>
    <row r="3283" spans="2:2">
      <c r="B3283" s="21">
        <f>IF(AND(C3283&lt;&gt;"", J3283&lt;&gt;""), HYPERLINK("#'" &amp; C3283 &amp; "'!" &amp; J3283, J3283), "")</f>
        <v>0</v>
      </c>
    </row>
    <row r="3284" spans="2:2">
      <c r="B3284" s="21">
        <f>IF(AND(C3284&lt;&gt;"", J3284&lt;&gt;""), HYPERLINK("#'" &amp; C3284 &amp; "'!" &amp; J3284, J3284), "")</f>
        <v>0</v>
      </c>
    </row>
    <row r="3285" spans="2:2">
      <c r="B3285" s="21">
        <f>IF(AND(C3285&lt;&gt;"", J3285&lt;&gt;""), HYPERLINK("#'" &amp; C3285 &amp; "'!" &amp; J3285, J3285), "")</f>
        <v>0</v>
      </c>
    </row>
    <row r="3286" spans="2:2">
      <c r="B3286" s="21">
        <f>IF(AND(C3286&lt;&gt;"", J3286&lt;&gt;""), HYPERLINK("#'" &amp; C3286 &amp; "'!" &amp; J3286, J3286), "")</f>
        <v>0</v>
      </c>
    </row>
    <row r="3287" spans="2:2">
      <c r="B3287" s="21">
        <f>IF(AND(C3287&lt;&gt;"", J3287&lt;&gt;""), HYPERLINK("#'" &amp; C3287 &amp; "'!" &amp; J3287, J3287), "")</f>
        <v>0</v>
      </c>
    </row>
    <row r="3288" spans="2:2">
      <c r="B3288" s="21">
        <f>IF(AND(C3288&lt;&gt;"", J3288&lt;&gt;""), HYPERLINK("#'" &amp; C3288 &amp; "'!" &amp; J3288, J3288), "")</f>
        <v>0</v>
      </c>
    </row>
    <row r="3289" spans="2:2">
      <c r="B3289" s="21">
        <f>IF(AND(C3289&lt;&gt;"", J3289&lt;&gt;""), HYPERLINK("#'" &amp; C3289 &amp; "'!" &amp; J3289, J3289), "")</f>
        <v>0</v>
      </c>
    </row>
    <row r="3290" spans="2:2">
      <c r="B3290" s="21">
        <f>IF(AND(C3290&lt;&gt;"", J3290&lt;&gt;""), HYPERLINK("#'" &amp; C3290 &amp; "'!" &amp; J3290, J3290), "")</f>
        <v>0</v>
      </c>
    </row>
    <row r="3291" spans="2:2">
      <c r="B3291" s="21">
        <f>IF(AND(C3291&lt;&gt;"", J3291&lt;&gt;""), HYPERLINK("#'" &amp; C3291 &amp; "'!" &amp; J3291, J3291), "")</f>
        <v>0</v>
      </c>
    </row>
    <row r="3292" spans="2:2">
      <c r="B3292" s="21">
        <f>IF(AND(C3292&lt;&gt;"", J3292&lt;&gt;""), HYPERLINK("#'" &amp; C3292 &amp; "'!" &amp; J3292, J3292), "")</f>
        <v>0</v>
      </c>
    </row>
    <row r="3293" spans="2:2">
      <c r="B3293" s="21">
        <f>IF(AND(C3293&lt;&gt;"", J3293&lt;&gt;""), HYPERLINK("#'" &amp; C3293 &amp; "'!" &amp; J3293, J3293), "")</f>
        <v>0</v>
      </c>
    </row>
    <row r="3294" spans="2:2">
      <c r="B3294" s="21">
        <f>IF(AND(C3294&lt;&gt;"", J3294&lt;&gt;""), HYPERLINK("#'" &amp; C3294 &amp; "'!" &amp; J3294, J3294), "")</f>
        <v>0</v>
      </c>
    </row>
    <row r="3295" spans="2:2">
      <c r="B3295" s="21">
        <f>IF(AND(C3295&lt;&gt;"", J3295&lt;&gt;""), HYPERLINK("#'" &amp; C3295 &amp; "'!" &amp; J3295, J3295), "")</f>
        <v>0</v>
      </c>
    </row>
    <row r="3296" spans="2:2">
      <c r="B3296" s="21">
        <f>IF(AND(C3296&lt;&gt;"", J3296&lt;&gt;""), HYPERLINK("#'" &amp; C3296 &amp; "'!" &amp; J3296, J3296), "")</f>
        <v>0</v>
      </c>
    </row>
    <row r="3297" spans="2:2">
      <c r="B3297" s="21">
        <f>IF(AND(C3297&lt;&gt;"", J3297&lt;&gt;""), HYPERLINK("#'" &amp; C3297 &amp; "'!" &amp; J3297, J3297), "")</f>
        <v>0</v>
      </c>
    </row>
    <row r="3298" spans="2:2">
      <c r="B3298" s="21">
        <f>IF(AND(C3298&lt;&gt;"", J3298&lt;&gt;""), HYPERLINK("#'" &amp; C3298 &amp; "'!" &amp; J3298, J3298), "")</f>
        <v>0</v>
      </c>
    </row>
    <row r="3299" spans="2:2">
      <c r="B3299" s="21">
        <f>IF(AND(C3299&lt;&gt;"", J3299&lt;&gt;""), HYPERLINK("#'" &amp; C3299 &amp; "'!" &amp; J3299, J3299), "")</f>
        <v>0</v>
      </c>
    </row>
    <row r="3300" spans="2:2">
      <c r="B3300" s="21">
        <f>IF(AND(C3300&lt;&gt;"", J3300&lt;&gt;""), HYPERLINK("#'" &amp; C3300 &amp; "'!" &amp; J3300, J3300), "")</f>
        <v>0</v>
      </c>
    </row>
    <row r="3301" spans="2:2">
      <c r="B3301" s="21">
        <f>IF(AND(C3301&lt;&gt;"", J3301&lt;&gt;""), HYPERLINK("#'" &amp; C3301 &amp; "'!" &amp; J3301, J3301), "")</f>
        <v>0</v>
      </c>
    </row>
    <row r="3302" spans="2:2">
      <c r="B3302" s="21">
        <f>IF(AND(C3302&lt;&gt;"", J3302&lt;&gt;""), HYPERLINK("#'" &amp; C3302 &amp; "'!" &amp; J3302, J3302), "")</f>
        <v>0</v>
      </c>
    </row>
    <row r="3303" spans="2:2">
      <c r="B3303" s="21">
        <f>IF(AND(C3303&lt;&gt;"", J3303&lt;&gt;""), HYPERLINK("#'" &amp; C3303 &amp; "'!" &amp; J3303, J3303), "")</f>
        <v>0</v>
      </c>
    </row>
    <row r="3304" spans="2:2">
      <c r="B3304" s="21">
        <f>IF(AND(C3304&lt;&gt;"", J3304&lt;&gt;""), HYPERLINK("#'" &amp; C3304 &amp; "'!" &amp; J3304, J3304), "")</f>
        <v>0</v>
      </c>
    </row>
    <row r="3305" spans="2:2">
      <c r="B3305" s="21">
        <f>IF(AND(C3305&lt;&gt;"", J3305&lt;&gt;""), HYPERLINK("#'" &amp; C3305 &amp; "'!" &amp; J3305, J3305), "")</f>
        <v>0</v>
      </c>
    </row>
    <row r="3306" spans="2:2">
      <c r="B3306" s="21">
        <f>IF(AND(C3306&lt;&gt;"", J3306&lt;&gt;""), HYPERLINK("#'" &amp; C3306 &amp; "'!" &amp; J3306, J3306), "")</f>
        <v>0</v>
      </c>
    </row>
    <row r="3307" spans="2:2">
      <c r="B3307" s="21">
        <f>IF(AND(C3307&lt;&gt;"", J3307&lt;&gt;""), HYPERLINK("#'" &amp; C3307 &amp; "'!" &amp; J3307, J3307), "")</f>
        <v>0</v>
      </c>
    </row>
    <row r="3308" spans="2:2">
      <c r="B3308" s="21">
        <f>IF(AND(C3308&lt;&gt;"", J3308&lt;&gt;""), HYPERLINK("#'" &amp; C3308 &amp; "'!" &amp; J3308, J3308), "")</f>
        <v>0</v>
      </c>
    </row>
    <row r="3309" spans="2:2">
      <c r="B3309" s="21">
        <f>IF(AND(C3309&lt;&gt;"", J3309&lt;&gt;""), HYPERLINK("#'" &amp; C3309 &amp; "'!" &amp; J3309, J3309), "")</f>
        <v>0</v>
      </c>
    </row>
    <row r="3310" spans="2:2">
      <c r="B3310" s="21">
        <f>IF(AND(C3310&lt;&gt;"", J3310&lt;&gt;""), HYPERLINK("#'" &amp; C3310 &amp; "'!" &amp; J3310, J3310), "")</f>
        <v>0</v>
      </c>
    </row>
    <row r="3311" spans="2:2">
      <c r="B3311" s="21">
        <f>IF(AND(C3311&lt;&gt;"", J3311&lt;&gt;""), HYPERLINK("#'" &amp; C3311 &amp; "'!" &amp; J3311, J3311), "")</f>
        <v>0</v>
      </c>
    </row>
    <row r="3312" spans="2:2">
      <c r="B3312" s="21">
        <f>IF(AND(C3312&lt;&gt;"", J3312&lt;&gt;""), HYPERLINK("#'" &amp; C3312 &amp; "'!" &amp; J3312, J3312), "")</f>
        <v>0</v>
      </c>
    </row>
    <row r="3313" spans="2:2">
      <c r="B3313" s="21">
        <f>IF(AND(C3313&lt;&gt;"", J3313&lt;&gt;""), HYPERLINK("#'" &amp; C3313 &amp; "'!" &amp; J3313, J3313), "")</f>
        <v>0</v>
      </c>
    </row>
    <row r="3314" spans="2:2">
      <c r="B3314" s="21">
        <f>IF(AND(C3314&lt;&gt;"", J3314&lt;&gt;""), HYPERLINK("#'" &amp; C3314 &amp; "'!" &amp; J3314, J3314), "")</f>
        <v>0</v>
      </c>
    </row>
    <row r="3315" spans="2:2">
      <c r="B3315" s="21">
        <f>IF(AND(C3315&lt;&gt;"", J3315&lt;&gt;""), HYPERLINK("#'" &amp; C3315 &amp; "'!" &amp; J3315, J3315), "")</f>
        <v>0</v>
      </c>
    </row>
    <row r="3316" spans="2:2">
      <c r="B3316" s="21">
        <f>IF(AND(C3316&lt;&gt;"", J3316&lt;&gt;""), HYPERLINK("#'" &amp; C3316 &amp; "'!" &amp; J3316, J3316), "")</f>
        <v>0</v>
      </c>
    </row>
    <row r="3317" spans="2:2">
      <c r="B3317" s="21">
        <f>IF(AND(C3317&lt;&gt;"", J3317&lt;&gt;""), HYPERLINK("#'" &amp; C3317 &amp; "'!" &amp; J3317, J3317), "")</f>
        <v>0</v>
      </c>
    </row>
    <row r="3318" spans="2:2">
      <c r="B3318" s="21">
        <f>IF(AND(C3318&lt;&gt;"", J3318&lt;&gt;""), HYPERLINK("#'" &amp; C3318 &amp; "'!" &amp; J3318, J3318), "")</f>
        <v>0</v>
      </c>
    </row>
    <row r="3319" spans="2:2">
      <c r="B3319" s="21">
        <f>IF(AND(C3319&lt;&gt;"", J3319&lt;&gt;""), HYPERLINK("#'" &amp; C3319 &amp; "'!" &amp; J3319, J3319), "")</f>
        <v>0</v>
      </c>
    </row>
    <row r="3320" spans="2:2">
      <c r="B3320" s="21">
        <f>IF(AND(C3320&lt;&gt;"", J3320&lt;&gt;""), HYPERLINK("#'" &amp; C3320 &amp; "'!" &amp; J3320, J3320), "")</f>
        <v>0</v>
      </c>
    </row>
    <row r="3321" spans="2:2">
      <c r="B3321" s="21">
        <f>IF(AND(C3321&lt;&gt;"", J3321&lt;&gt;""), HYPERLINK("#'" &amp; C3321 &amp; "'!" &amp; J3321, J3321), "")</f>
        <v>0</v>
      </c>
    </row>
    <row r="3322" spans="2:2">
      <c r="B3322" s="21">
        <f>IF(AND(C3322&lt;&gt;"", J3322&lt;&gt;""), HYPERLINK("#'" &amp; C3322 &amp; "'!" &amp; J3322, J3322), "")</f>
        <v>0</v>
      </c>
    </row>
    <row r="3323" spans="2:2">
      <c r="B3323" s="21">
        <f>IF(AND(C3323&lt;&gt;"", J3323&lt;&gt;""), HYPERLINK("#'" &amp; C3323 &amp; "'!" &amp; J3323, J3323), "")</f>
        <v>0</v>
      </c>
    </row>
    <row r="3324" spans="2:2">
      <c r="B3324" s="21">
        <f>IF(AND(C3324&lt;&gt;"", J3324&lt;&gt;""), HYPERLINK("#'" &amp; C3324 &amp; "'!" &amp; J3324, J3324), "")</f>
        <v>0</v>
      </c>
    </row>
    <row r="3325" spans="2:2">
      <c r="B3325" s="21">
        <f>IF(AND(C3325&lt;&gt;"", J3325&lt;&gt;""), HYPERLINK("#'" &amp; C3325 &amp; "'!" &amp; J3325, J3325), "")</f>
        <v>0</v>
      </c>
    </row>
    <row r="3326" spans="2:2">
      <c r="B3326" s="21">
        <f>IF(AND(C3326&lt;&gt;"", J3326&lt;&gt;""), HYPERLINK("#'" &amp; C3326 &amp; "'!" &amp; J3326, J3326), "")</f>
        <v>0</v>
      </c>
    </row>
    <row r="3327" spans="2:2">
      <c r="B3327" s="21">
        <f>IF(AND(C3327&lt;&gt;"", J3327&lt;&gt;""), HYPERLINK("#'" &amp; C3327 &amp; "'!" &amp; J3327, J3327), "")</f>
        <v>0</v>
      </c>
    </row>
    <row r="3328" spans="2:2">
      <c r="B3328" s="21">
        <f>IF(AND(C3328&lt;&gt;"", J3328&lt;&gt;""), HYPERLINK("#'" &amp; C3328 &amp; "'!" &amp; J3328, J3328), "")</f>
        <v>0</v>
      </c>
    </row>
    <row r="3329" spans="2:2">
      <c r="B3329" s="21">
        <f>IF(AND(C3329&lt;&gt;"", J3329&lt;&gt;""), HYPERLINK("#'" &amp; C3329 &amp; "'!" &amp; J3329, J3329), "")</f>
        <v>0</v>
      </c>
    </row>
    <row r="3330" spans="2:2">
      <c r="B3330" s="21">
        <f>IF(AND(C3330&lt;&gt;"", J3330&lt;&gt;""), HYPERLINK("#'" &amp; C3330 &amp; "'!" &amp; J3330, J3330), "")</f>
        <v>0</v>
      </c>
    </row>
    <row r="3331" spans="2:2">
      <c r="B3331" s="21">
        <f>IF(AND(C3331&lt;&gt;"", J3331&lt;&gt;""), HYPERLINK("#'" &amp; C3331 &amp; "'!" &amp; J3331, J3331), "")</f>
        <v>0</v>
      </c>
    </row>
    <row r="3332" spans="2:2">
      <c r="B3332" s="21">
        <f>IF(AND(C3332&lt;&gt;"", J3332&lt;&gt;""), HYPERLINK("#'" &amp; C3332 &amp; "'!" &amp; J3332, J3332), "")</f>
        <v>0</v>
      </c>
    </row>
    <row r="3333" spans="2:2">
      <c r="B3333" s="21">
        <f>IF(AND(C3333&lt;&gt;"", J3333&lt;&gt;""), HYPERLINK("#'" &amp; C3333 &amp; "'!" &amp; J3333, J3333), "")</f>
        <v>0</v>
      </c>
    </row>
    <row r="3334" spans="2:2">
      <c r="B3334" s="21">
        <f>IF(AND(C3334&lt;&gt;"", J3334&lt;&gt;""), HYPERLINK("#'" &amp; C3334 &amp; "'!" &amp; J3334, J3334), "")</f>
        <v>0</v>
      </c>
    </row>
    <row r="3335" spans="2:2">
      <c r="B3335" s="21">
        <f>IF(AND(C3335&lt;&gt;"", J3335&lt;&gt;""), HYPERLINK("#'" &amp; C3335 &amp; "'!" &amp; J3335, J3335), "")</f>
        <v>0</v>
      </c>
    </row>
    <row r="3336" spans="2:2">
      <c r="B3336" s="21">
        <f>IF(AND(C3336&lt;&gt;"", J3336&lt;&gt;""), HYPERLINK("#'" &amp; C3336 &amp; "'!" &amp; J3336, J3336), "")</f>
        <v>0</v>
      </c>
    </row>
    <row r="3337" spans="2:2">
      <c r="B3337" s="21">
        <f>IF(AND(C3337&lt;&gt;"", J3337&lt;&gt;""), HYPERLINK("#'" &amp; C3337 &amp; "'!" &amp; J3337, J3337), "")</f>
        <v>0</v>
      </c>
    </row>
    <row r="3338" spans="2:2">
      <c r="B3338" s="21">
        <f>IF(AND(C3338&lt;&gt;"", J3338&lt;&gt;""), HYPERLINK("#'" &amp; C3338 &amp; "'!" &amp; J3338, J3338), "")</f>
        <v>0</v>
      </c>
    </row>
    <row r="3339" spans="2:2">
      <c r="B3339" s="21">
        <f>IF(AND(C3339&lt;&gt;"", J3339&lt;&gt;""), HYPERLINK("#'" &amp; C3339 &amp; "'!" &amp; J3339, J3339), "")</f>
        <v>0</v>
      </c>
    </row>
    <row r="3340" spans="2:2">
      <c r="B3340" s="21">
        <f>IF(AND(C3340&lt;&gt;"", J3340&lt;&gt;""), HYPERLINK("#'" &amp; C3340 &amp; "'!" &amp; J3340, J3340), "")</f>
        <v>0</v>
      </c>
    </row>
    <row r="3341" spans="2:2">
      <c r="B3341" s="21">
        <f>IF(AND(C3341&lt;&gt;"", J3341&lt;&gt;""), HYPERLINK("#'" &amp; C3341 &amp; "'!" &amp; J3341, J3341), "")</f>
        <v>0</v>
      </c>
    </row>
    <row r="3342" spans="2:2">
      <c r="B3342" s="21">
        <f>IF(AND(C3342&lt;&gt;"", J3342&lt;&gt;""), HYPERLINK("#'" &amp; C3342 &amp; "'!" &amp; J3342, J3342), "")</f>
        <v>0</v>
      </c>
    </row>
    <row r="3343" spans="2:2">
      <c r="B3343" s="21">
        <f>IF(AND(C3343&lt;&gt;"", J3343&lt;&gt;""), HYPERLINK("#'" &amp; C3343 &amp; "'!" &amp; J3343, J3343), "")</f>
        <v>0</v>
      </c>
    </row>
    <row r="3344" spans="2:2">
      <c r="B3344" s="21">
        <f>IF(AND(C3344&lt;&gt;"", J3344&lt;&gt;""), HYPERLINK("#'" &amp; C3344 &amp; "'!" &amp; J3344, J3344), "")</f>
        <v>0</v>
      </c>
    </row>
    <row r="3345" spans="2:2">
      <c r="B3345" s="21">
        <f>IF(AND(C3345&lt;&gt;"", J3345&lt;&gt;""), HYPERLINK("#'" &amp; C3345 &amp; "'!" &amp; J3345, J3345), "")</f>
        <v>0</v>
      </c>
    </row>
    <row r="3346" spans="2:2">
      <c r="B3346" s="21">
        <f>IF(AND(C3346&lt;&gt;"", J3346&lt;&gt;""), HYPERLINK("#'" &amp; C3346 &amp; "'!" &amp; J3346, J3346), "")</f>
        <v>0</v>
      </c>
    </row>
    <row r="3347" spans="2:2">
      <c r="B3347" s="21">
        <f>IF(AND(C3347&lt;&gt;"", J3347&lt;&gt;""), HYPERLINK("#'" &amp; C3347 &amp; "'!" &amp; J3347, J3347), "")</f>
        <v>0</v>
      </c>
    </row>
    <row r="3348" spans="2:2">
      <c r="B3348" s="21">
        <f>IF(AND(C3348&lt;&gt;"", J3348&lt;&gt;""), HYPERLINK("#'" &amp; C3348 &amp; "'!" &amp; J3348, J3348), "")</f>
        <v>0</v>
      </c>
    </row>
    <row r="3349" spans="2:2">
      <c r="B3349" s="21">
        <f>IF(AND(C3349&lt;&gt;"", J3349&lt;&gt;""), HYPERLINK("#'" &amp; C3349 &amp; "'!" &amp; J3349, J3349), "")</f>
        <v>0</v>
      </c>
    </row>
    <row r="3350" spans="2:2">
      <c r="B3350" s="21">
        <f>IF(AND(C3350&lt;&gt;"", J3350&lt;&gt;""), HYPERLINK("#'" &amp; C3350 &amp; "'!" &amp; J3350, J3350), "")</f>
        <v>0</v>
      </c>
    </row>
    <row r="3351" spans="2:2">
      <c r="B3351" s="21">
        <f>IF(AND(C3351&lt;&gt;"", J3351&lt;&gt;""), HYPERLINK("#'" &amp; C3351 &amp; "'!" &amp; J3351, J3351), "")</f>
        <v>0</v>
      </c>
    </row>
    <row r="3352" spans="2:2">
      <c r="B3352" s="21">
        <f>IF(AND(C3352&lt;&gt;"", J3352&lt;&gt;""), HYPERLINK("#'" &amp; C3352 &amp; "'!" &amp; J3352, J3352), "")</f>
        <v>0</v>
      </c>
    </row>
    <row r="3353" spans="2:2">
      <c r="B3353" s="21">
        <f>IF(AND(C3353&lt;&gt;"", J3353&lt;&gt;""), HYPERLINK("#'" &amp; C3353 &amp; "'!" &amp; J3353, J3353), "")</f>
        <v>0</v>
      </c>
    </row>
    <row r="3354" spans="2:2">
      <c r="B3354" s="21">
        <f>IF(AND(C3354&lt;&gt;"", J3354&lt;&gt;""), HYPERLINK("#'" &amp; C3354 &amp; "'!" &amp; J3354, J3354), "")</f>
        <v>0</v>
      </c>
    </row>
    <row r="3355" spans="2:2">
      <c r="B3355" s="21">
        <f>IF(AND(C3355&lt;&gt;"", J3355&lt;&gt;""), HYPERLINK("#'" &amp; C3355 &amp; "'!" &amp; J3355, J3355), "")</f>
        <v>0</v>
      </c>
    </row>
    <row r="3356" spans="2:2">
      <c r="B3356" s="21">
        <f>IF(AND(C3356&lt;&gt;"", J3356&lt;&gt;""), HYPERLINK("#'" &amp; C3356 &amp; "'!" &amp; J3356, J3356), "")</f>
        <v>0</v>
      </c>
    </row>
    <row r="3357" spans="2:2">
      <c r="B3357" s="21">
        <f>IF(AND(C3357&lt;&gt;"", J3357&lt;&gt;""), HYPERLINK("#'" &amp; C3357 &amp; "'!" &amp; J3357, J3357), "")</f>
        <v>0</v>
      </c>
    </row>
    <row r="3358" spans="2:2">
      <c r="B3358" s="21">
        <f>IF(AND(C3358&lt;&gt;"", J3358&lt;&gt;""), HYPERLINK("#'" &amp; C3358 &amp; "'!" &amp; J3358, J3358), "")</f>
        <v>0</v>
      </c>
    </row>
    <row r="3359" spans="2:2">
      <c r="B3359" s="21">
        <f>IF(AND(C3359&lt;&gt;"", J3359&lt;&gt;""), HYPERLINK("#'" &amp; C3359 &amp; "'!" &amp; J3359, J3359), "")</f>
        <v>0</v>
      </c>
    </row>
    <row r="3360" spans="2:2">
      <c r="B3360" s="21">
        <f>IF(AND(C3360&lt;&gt;"", J3360&lt;&gt;""), HYPERLINK("#'" &amp; C3360 &amp; "'!" &amp; J3360, J3360), "")</f>
        <v>0</v>
      </c>
    </row>
    <row r="3361" spans="2:2">
      <c r="B3361" s="21">
        <f>IF(AND(C3361&lt;&gt;"", J3361&lt;&gt;""), HYPERLINK("#'" &amp; C3361 &amp; "'!" &amp; J3361, J3361), "")</f>
        <v>0</v>
      </c>
    </row>
    <row r="3362" spans="2:2">
      <c r="B3362" s="21">
        <f>IF(AND(C3362&lt;&gt;"", J3362&lt;&gt;""), HYPERLINK("#'" &amp; C3362 &amp; "'!" &amp; J3362, J3362), "")</f>
        <v>0</v>
      </c>
    </row>
    <row r="3363" spans="2:2">
      <c r="B3363" s="21">
        <f>IF(AND(C3363&lt;&gt;"", J3363&lt;&gt;""), HYPERLINK("#'" &amp; C3363 &amp; "'!" &amp; J3363, J3363), "")</f>
        <v>0</v>
      </c>
    </row>
    <row r="3364" spans="2:2">
      <c r="B3364" s="21">
        <f>IF(AND(C3364&lt;&gt;"", J3364&lt;&gt;""), HYPERLINK("#'" &amp; C3364 &amp; "'!" &amp; J3364, J3364), "")</f>
        <v>0</v>
      </c>
    </row>
    <row r="3365" spans="2:2">
      <c r="B3365" s="21">
        <f>IF(AND(C3365&lt;&gt;"", J3365&lt;&gt;""), HYPERLINK("#'" &amp; C3365 &amp; "'!" &amp; J3365, J3365), "")</f>
        <v>0</v>
      </c>
    </row>
    <row r="3366" spans="2:2">
      <c r="B3366" s="21">
        <f>IF(AND(C3366&lt;&gt;"", J3366&lt;&gt;""), HYPERLINK("#'" &amp; C3366 &amp; "'!" &amp; J3366, J3366), "")</f>
        <v>0</v>
      </c>
    </row>
    <row r="3367" spans="2:2">
      <c r="B3367" s="21">
        <f>IF(AND(C3367&lt;&gt;"", J3367&lt;&gt;""), HYPERLINK("#'" &amp; C3367 &amp; "'!" &amp; J3367, J3367), "")</f>
        <v>0</v>
      </c>
    </row>
    <row r="3368" spans="2:2">
      <c r="B3368" s="21">
        <f>IF(AND(C3368&lt;&gt;"", J3368&lt;&gt;""), HYPERLINK("#'" &amp; C3368 &amp; "'!" &amp; J3368, J3368), "")</f>
        <v>0</v>
      </c>
    </row>
    <row r="3369" spans="2:2">
      <c r="B3369" s="21">
        <f>IF(AND(C3369&lt;&gt;"", J3369&lt;&gt;""), HYPERLINK("#'" &amp; C3369 &amp; "'!" &amp; J3369, J3369), "")</f>
        <v>0</v>
      </c>
    </row>
    <row r="3370" spans="2:2">
      <c r="B3370" s="21">
        <f>IF(AND(C3370&lt;&gt;"", J3370&lt;&gt;""), HYPERLINK("#'" &amp; C3370 &amp; "'!" &amp; J3370, J3370), "")</f>
        <v>0</v>
      </c>
    </row>
    <row r="3371" spans="2:2">
      <c r="B3371" s="21">
        <f>IF(AND(C3371&lt;&gt;"", J3371&lt;&gt;""), HYPERLINK("#'" &amp; C3371 &amp; "'!" &amp; J3371, J3371), "")</f>
        <v>0</v>
      </c>
    </row>
    <row r="3372" spans="2:2">
      <c r="B3372" s="21">
        <f>IF(AND(C3372&lt;&gt;"", J3372&lt;&gt;""), HYPERLINK("#'" &amp; C3372 &amp; "'!" &amp; J3372, J3372), "")</f>
        <v>0</v>
      </c>
    </row>
    <row r="3373" spans="2:2">
      <c r="B3373" s="21">
        <f>IF(AND(C3373&lt;&gt;"", J3373&lt;&gt;""), HYPERLINK("#'" &amp; C3373 &amp; "'!" &amp; J3373, J3373), "")</f>
        <v>0</v>
      </c>
    </row>
    <row r="3374" spans="2:2">
      <c r="B3374" s="21">
        <f>IF(AND(C3374&lt;&gt;"", J3374&lt;&gt;""), HYPERLINK("#'" &amp; C3374 &amp; "'!" &amp; J3374, J3374), "")</f>
        <v>0</v>
      </c>
    </row>
    <row r="3375" spans="2:2">
      <c r="B3375" s="21">
        <f>IF(AND(C3375&lt;&gt;"", J3375&lt;&gt;""), HYPERLINK("#'" &amp; C3375 &amp; "'!" &amp; J3375, J3375), "")</f>
        <v>0</v>
      </c>
    </row>
    <row r="3376" spans="2:2">
      <c r="B3376" s="21">
        <f>IF(AND(C3376&lt;&gt;"", J3376&lt;&gt;""), HYPERLINK("#'" &amp; C3376 &amp; "'!" &amp; J3376, J3376), "")</f>
        <v>0</v>
      </c>
    </row>
    <row r="3377" spans="2:2">
      <c r="B3377" s="21">
        <f>IF(AND(C3377&lt;&gt;"", J3377&lt;&gt;""), HYPERLINK("#'" &amp; C3377 &amp; "'!" &amp; J3377, J3377), "")</f>
        <v>0</v>
      </c>
    </row>
    <row r="3378" spans="2:2">
      <c r="B3378" s="21">
        <f>IF(AND(C3378&lt;&gt;"", J3378&lt;&gt;""), HYPERLINK("#'" &amp; C3378 &amp; "'!" &amp; J3378, J3378), "")</f>
        <v>0</v>
      </c>
    </row>
    <row r="3379" spans="2:2">
      <c r="B3379" s="21">
        <f>IF(AND(C3379&lt;&gt;"", J3379&lt;&gt;""), HYPERLINK("#'" &amp; C3379 &amp; "'!" &amp; J3379, J3379), "")</f>
        <v>0</v>
      </c>
    </row>
    <row r="3380" spans="2:2">
      <c r="B3380" s="21">
        <f>IF(AND(C3380&lt;&gt;"", J3380&lt;&gt;""), HYPERLINK("#'" &amp; C3380 &amp; "'!" &amp; J3380, J3380), "")</f>
        <v>0</v>
      </c>
    </row>
    <row r="3381" spans="2:2">
      <c r="B3381" s="21">
        <f>IF(AND(C3381&lt;&gt;"", J3381&lt;&gt;""), HYPERLINK("#'" &amp; C3381 &amp; "'!" &amp; J3381, J3381), "")</f>
        <v>0</v>
      </c>
    </row>
    <row r="3382" spans="2:2">
      <c r="B3382" s="21">
        <f>IF(AND(C3382&lt;&gt;"", J3382&lt;&gt;""), HYPERLINK("#'" &amp; C3382 &amp; "'!" &amp; J3382, J3382), "")</f>
        <v>0</v>
      </c>
    </row>
    <row r="3383" spans="2:2">
      <c r="B3383" s="21">
        <f>IF(AND(C3383&lt;&gt;"", J3383&lt;&gt;""), HYPERLINK("#'" &amp; C3383 &amp; "'!" &amp; J3383, J3383), "")</f>
        <v>0</v>
      </c>
    </row>
    <row r="3384" spans="2:2">
      <c r="B3384" s="21">
        <f>IF(AND(C3384&lt;&gt;"", J3384&lt;&gt;""), HYPERLINK("#'" &amp; C3384 &amp; "'!" &amp; J3384, J3384), "")</f>
        <v>0</v>
      </c>
    </row>
    <row r="3385" spans="2:2">
      <c r="B3385" s="21">
        <f>IF(AND(C3385&lt;&gt;"", J3385&lt;&gt;""), HYPERLINK("#'" &amp; C3385 &amp; "'!" &amp; J3385, J3385), "")</f>
        <v>0</v>
      </c>
    </row>
    <row r="3386" spans="2:2">
      <c r="B3386" s="21">
        <f>IF(AND(C3386&lt;&gt;"", J3386&lt;&gt;""), HYPERLINK("#'" &amp; C3386 &amp; "'!" &amp; J3386, J3386), "")</f>
        <v>0</v>
      </c>
    </row>
    <row r="3387" spans="2:2">
      <c r="B3387" s="21">
        <f>IF(AND(C3387&lt;&gt;"", J3387&lt;&gt;""), HYPERLINK("#'" &amp; C3387 &amp; "'!" &amp; J3387, J3387), "")</f>
        <v>0</v>
      </c>
    </row>
    <row r="3388" spans="2:2">
      <c r="B3388" s="21">
        <f>IF(AND(C3388&lt;&gt;"", J3388&lt;&gt;""), HYPERLINK("#'" &amp; C3388 &amp; "'!" &amp; J3388, J3388), "")</f>
        <v>0</v>
      </c>
    </row>
    <row r="3389" spans="2:2">
      <c r="B3389" s="21">
        <f>IF(AND(C3389&lt;&gt;"", J3389&lt;&gt;""), HYPERLINK("#'" &amp; C3389 &amp; "'!" &amp; J3389, J3389), "")</f>
        <v>0</v>
      </c>
    </row>
    <row r="3390" spans="2:2">
      <c r="B3390" s="21">
        <f>IF(AND(C3390&lt;&gt;"", J3390&lt;&gt;""), HYPERLINK("#'" &amp; C3390 &amp; "'!" &amp; J3390, J3390), "")</f>
        <v>0</v>
      </c>
    </row>
    <row r="3391" spans="2:2">
      <c r="B3391" s="21">
        <f>IF(AND(C3391&lt;&gt;"", J3391&lt;&gt;""), HYPERLINK("#'" &amp; C3391 &amp; "'!" &amp; J3391, J3391), "")</f>
        <v>0</v>
      </c>
    </row>
    <row r="3392" spans="2:2">
      <c r="B3392" s="21">
        <f>IF(AND(C3392&lt;&gt;"", J3392&lt;&gt;""), HYPERLINK("#'" &amp; C3392 &amp; "'!" &amp; J3392, J3392), "")</f>
        <v>0</v>
      </c>
    </row>
    <row r="3393" spans="2:2">
      <c r="B3393" s="21">
        <f>IF(AND(C3393&lt;&gt;"", J3393&lt;&gt;""), HYPERLINK("#'" &amp; C3393 &amp; "'!" &amp; J3393, J3393), "")</f>
        <v>0</v>
      </c>
    </row>
    <row r="3394" spans="2:2">
      <c r="B3394" s="21">
        <f>IF(AND(C3394&lt;&gt;"", J3394&lt;&gt;""), HYPERLINK("#'" &amp; C3394 &amp; "'!" &amp; J3394, J3394), "")</f>
        <v>0</v>
      </c>
    </row>
    <row r="3395" spans="2:2">
      <c r="B3395" s="21">
        <f>IF(AND(C3395&lt;&gt;"", J3395&lt;&gt;""), HYPERLINK("#'" &amp; C3395 &amp; "'!" &amp; J3395, J3395), "")</f>
        <v>0</v>
      </c>
    </row>
    <row r="3396" spans="2:2">
      <c r="B3396" s="21">
        <f>IF(AND(C3396&lt;&gt;"", J3396&lt;&gt;""), HYPERLINK("#'" &amp; C3396 &amp; "'!" &amp; J3396, J3396), "")</f>
        <v>0</v>
      </c>
    </row>
    <row r="3397" spans="2:2">
      <c r="B3397" s="21">
        <f>IF(AND(C3397&lt;&gt;"", J3397&lt;&gt;""), HYPERLINK("#'" &amp; C3397 &amp; "'!" &amp; J3397, J3397), "")</f>
        <v>0</v>
      </c>
    </row>
    <row r="3398" spans="2:2">
      <c r="B3398" s="21">
        <f>IF(AND(C3398&lt;&gt;"", J3398&lt;&gt;""), HYPERLINK("#'" &amp; C3398 &amp; "'!" &amp; J3398, J3398), "")</f>
        <v>0</v>
      </c>
    </row>
    <row r="3399" spans="2:2">
      <c r="B3399" s="21">
        <f>IF(AND(C3399&lt;&gt;"", J3399&lt;&gt;""), HYPERLINK("#'" &amp; C3399 &amp; "'!" &amp; J3399, J3399), "")</f>
        <v>0</v>
      </c>
    </row>
    <row r="3400" spans="2:2">
      <c r="B3400" s="21">
        <f>IF(AND(C3400&lt;&gt;"", J3400&lt;&gt;""), HYPERLINK("#'" &amp; C3400 &amp; "'!" &amp; J3400, J3400), "")</f>
        <v>0</v>
      </c>
    </row>
    <row r="3401" spans="2:2">
      <c r="B3401" s="21">
        <f>IF(AND(C3401&lt;&gt;"", J3401&lt;&gt;""), HYPERLINK("#'" &amp; C3401 &amp; "'!" &amp; J3401, J3401), "")</f>
        <v>0</v>
      </c>
    </row>
    <row r="3402" spans="2:2">
      <c r="B3402" s="21">
        <f>IF(AND(C3402&lt;&gt;"", J3402&lt;&gt;""), HYPERLINK("#'" &amp; C3402 &amp; "'!" &amp; J3402, J3402), "")</f>
        <v>0</v>
      </c>
    </row>
    <row r="3403" spans="2:2">
      <c r="B3403" s="21">
        <f>IF(AND(C3403&lt;&gt;"", J3403&lt;&gt;""), HYPERLINK("#'" &amp; C3403 &amp; "'!" &amp; J3403, J3403), "")</f>
        <v>0</v>
      </c>
    </row>
    <row r="3404" spans="2:2">
      <c r="B3404" s="21">
        <f>IF(AND(C3404&lt;&gt;"", J3404&lt;&gt;""), HYPERLINK("#'" &amp; C3404 &amp; "'!" &amp; J3404, J3404), "")</f>
        <v>0</v>
      </c>
    </row>
    <row r="3405" spans="2:2">
      <c r="B3405" s="21">
        <f>IF(AND(C3405&lt;&gt;"", J3405&lt;&gt;""), HYPERLINK("#'" &amp; C3405 &amp; "'!" &amp; J3405, J3405), "")</f>
        <v>0</v>
      </c>
    </row>
    <row r="3406" spans="2:2">
      <c r="B3406" s="21">
        <f>IF(AND(C3406&lt;&gt;"", J3406&lt;&gt;""), HYPERLINK("#'" &amp; C3406 &amp; "'!" &amp; J3406, J3406), "")</f>
        <v>0</v>
      </c>
    </row>
    <row r="3407" spans="2:2">
      <c r="B3407" s="21">
        <f>IF(AND(C3407&lt;&gt;"", J3407&lt;&gt;""), HYPERLINK("#'" &amp; C3407 &amp; "'!" &amp; J3407, J3407), "")</f>
        <v>0</v>
      </c>
    </row>
    <row r="3408" spans="2:2">
      <c r="B3408" s="21">
        <f>IF(AND(C3408&lt;&gt;"", J3408&lt;&gt;""), HYPERLINK("#'" &amp; C3408 &amp; "'!" &amp; J3408, J3408), "")</f>
        <v>0</v>
      </c>
    </row>
    <row r="3409" spans="2:2">
      <c r="B3409" s="21">
        <f>IF(AND(C3409&lt;&gt;"", J3409&lt;&gt;""), HYPERLINK("#'" &amp; C3409 &amp; "'!" &amp; J3409, J3409), "")</f>
        <v>0</v>
      </c>
    </row>
    <row r="3410" spans="2:2">
      <c r="B3410" s="21">
        <f>IF(AND(C3410&lt;&gt;"", J3410&lt;&gt;""), HYPERLINK("#'" &amp; C3410 &amp; "'!" &amp; J3410, J3410), "")</f>
        <v>0</v>
      </c>
    </row>
    <row r="3411" spans="2:2">
      <c r="B3411" s="21">
        <f>IF(AND(C3411&lt;&gt;"", J3411&lt;&gt;""), HYPERLINK("#'" &amp; C3411 &amp; "'!" &amp; J3411, J3411), "")</f>
        <v>0</v>
      </c>
    </row>
    <row r="3412" spans="2:2">
      <c r="B3412" s="21">
        <f>IF(AND(C3412&lt;&gt;"", J3412&lt;&gt;""), HYPERLINK("#'" &amp; C3412 &amp; "'!" &amp; J3412, J3412), "")</f>
        <v>0</v>
      </c>
    </row>
    <row r="3413" spans="2:2">
      <c r="B3413" s="21">
        <f>IF(AND(C3413&lt;&gt;"", J3413&lt;&gt;""), HYPERLINK("#'" &amp; C3413 &amp; "'!" &amp; J3413, J3413), "")</f>
        <v>0</v>
      </c>
    </row>
    <row r="3414" spans="2:2">
      <c r="B3414" s="21">
        <f>IF(AND(C3414&lt;&gt;"", J3414&lt;&gt;""), HYPERLINK("#'" &amp; C3414 &amp; "'!" &amp; J3414, J3414), "")</f>
        <v>0</v>
      </c>
    </row>
    <row r="3415" spans="2:2">
      <c r="B3415" s="21">
        <f>IF(AND(C3415&lt;&gt;"", J3415&lt;&gt;""), HYPERLINK("#'" &amp; C3415 &amp; "'!" &amp; J3415, J3415), "")</f>
        <v>0</v>
      </c>
    </row>
    <row r="3416" spans="2:2">
      <c r="B3416" s="21">
        <f>IF(AND(C3416&lt;&gt;"", J3416&lt;&gt;""), HYPERLINK("#'" &amp; C3416 &amp; "'!" &amp; J3416, J3416), "")</f>
        <v>0</v>
      </c>
    </row>
    <row r="3417" spans="2:2">
      <c r="B3417" s="21">
        <f>IF(AND(C3417&lt;&gt;"", J3417&lt;&gt;""), HYPERLINK("#'" &amp; C3417 &amp; "'!" &amp; J3417, J3417), "")</f>
        <v>0</v>
      </c>
    </row>
    <row r="3418" spans="2:2">
      <c r="B3418" s="21">
        <f>IF(AND(C3418&lt;&gt;"", J3418&lt;&gt;""), HYPERLINK("#'" &amp; C3418 &amp; "'!" &amp; J3418, J3418), "")</f>
        <v>0</v>
      </c>
    </row>
    <row r="3419" spans="2:2">
      <c r="B3419" s="21">
        <f>IF(AND(C3419&lt;&gt;"", J3419&lt;&gt;""), HYPERLINK("#'" &amp; C3419 &amp; "'!" &amp; J3419, J3419), "")</f>
        <v>0</v>
      </c>
    </row>
    <row r="3420" spans="2:2">
      <c r="B3420" s="21">
        <f>IF(AND(C3420&lt;&gt;"", J3420&lt;&gt;""), HYPERLINK("#'" &amp; C3420 &amp; "'!" &amp; J3420, J3420), "")</f>
        <v>0</v>
      </c>
    </row>
    <row r="3421" spans="2:2">
      <c r="B3421" s="21">
        <f>IF(AND(C3421&lt;&gt;"", J3421&lt;&gt;""), HYPERLINK("#'" &amp; C3421 &amp; "'!" &amp; J3421, J3421), "")</f>
        <v>0</v>
      </c>
    </row>
    <row r="3422" spans="2:2">
      <c r="B3422" s="21">
        <f>IF(AND(C3422&lt;&gt;"", J3422&lt;&gt;""), HYPERLINK("#'" &amp; C3422 &amp; "'!" &amp; J3422, J3422), "")</f>
        <v>0</v>
      </c>
    </row>
    <row r="3423" spans="2:2">
      <c r="B3423" s="21">
        <f>IF(AND(C3423&lt;&gt;"", J3423&lt;&gt;""), HYPERLINK("#'" &amp; C3423 &amp; "'!" &amp; J3423, J3423), "")</f>
        <v>0</v>
      </c>
    </row>
    <row r="3424" spans="2:2">
      <c r="B3424" s="21">
        <f>IF(AND(C3424&lt;&gt;"", J3424&lt;&gt;""), HYPERLINK("#'" &amp; C3424 &amp; "'!" &amp; J3424, J3424), "")</f>
        <v>0</v>
      </c>
    </row>
    <row r="3425" spans="2:2">
      <c r="B3425" s="21">
        <f>IF(AND(C3425&lt;&gt;"", J3425&lt;&gt;""), HYPERLINK("#'" &amp; C3425 &amp; "'!" &amp; J3425, J3425), "")</f>
        <v>0</v>
      </c>
    </row>
    <row r="3426" spans="2:2">
      <c r="B3426" s="21">
        <f>IF(AND(C3426&lt;&gt;"", J3426&lt;&gt;""), HYPERLINK("#'" &amp; C3426 &amp; "'!" &amp; J3426, J3426), "")</f>
        <v>0</v>
      </c>
    </row>
    <row r="3427" spans="2:2">
      <c r="B3427" s="21">
        <f>IF(AND(C3427&lt;&gt;"", J3427&lt;&gt;""), HYPERLINK("#'" &amp; C3427 &amp; "'!" &amp; J3427, J3427), "")</f>
        <v>0</v>
      </c>
    </row>
    <row r="3428" spans="2:2">
      <c r="B3428" s="21">
        <f>IF(AND(C3428&lt;&gt;"", J3428&lt;&gt;""), HYPERLINK("#'" &amp; C3428 &amp; "'!" &amp; J3428, J3428), "")</f>
        <v>0</v>
      </c>
    </row>
    <row r="3429" spans="2:2">
      <c r="B3429" s="21">
        <f>IF(AND(C3429&lt;&gt;"", J3429&lt;&gt;""), HYPERLINK("#'" &amp; C3429 &amp; "'!" &amp; J3429, J3429), "")</f>
        <v>0</v>
      </c>
    </row>
    <row r="3430" spans="2:2">
      <c r="B3430" s="21">
        <f>IF(AND(C3430&lt;&gt;"", J3430&lt;&gt;""), HYPERLINK("#'" &amp; C3430 &amp; "'!" &amp; J3430, J3430), "")</f>
        <v>0</v>
      </c>
    </row>
    <row r="3431" spans="2:2">
      <c r="B3431" s="21">
        <f>IF(AND(C3431&lt;&gt;"", J3431&lt;&gt;""), HYPERLINK("#'" &amp; C3431 &amp; "'!" &amp; J3431, J3431), "")</f>
        <v>0</v>
      </c>
    </row>
    <row r="3432" spans="2:2">
      <c r="B3432" s="21">
        <f>IF(AND(C3432&lt;&gt;"", J3432&lt;&gt;""), HYPERLINK("#'" &amp; C3432 &amp; "'!" &amp; J3432, J3432), "")</f>
        <v>0</v>
      </c>
    </row>
    <row r="3433" spans="2:2">
      <c r="B3433" s="21">
        <f>IF(AND(C3433&lt;&gt;"", J3433&lt;&gt;""), HYPERLINK("#'" &amp; C3433 &amp; "'!" &amp; J3433, J3433), "")</f>
        <v>0</v>
      </c>
    </row>
    <row r="3434" spans="2:2">
      <c r="B3434" s="21">
        <f>IF(AND(C3434&lt;&gt;"", J3434&lt;&gt;""), HYPERLINK("#'" &amp; C3434 &amp; "'!" &amp; J3434, J3434), "")</f>
        <v>0</v>
      </c>
    </row>
    <row r="3435" spans="2:2">
      <c r="B3435" s="21">
        <f>IF(AND(C3435&lt;&gt;"", J3435&lt;&gt;""), HYPERLINK("#'" &amp; C3435 &amp; "'!" &amp; J3435, J3435), "")</f>
        <v>0</v>
      </c>
    </row>
    <row r="3436" spans="2:2">
      <c r="B3436" s="21">
        <f>IF(AND(C3436&lt;&gt;"", J3436&lt;&gt;""), HYPERLINK("#'" &amp; C3436 &amp; "'!" &amp; J3436, J3436), "")</f>
        <v>0</v>
      </c>
    </row>
    <row r="3437" spans="2:2">
      <c r="B3437" s="21">
        <f>IF(AND(C3437&lt;&gt;"", J3437&lt;&gt;""), HYPERLINK("#'" &amp; C3437 &amp; "'!" &amp; J3437, J3437), "")</f>
        <v>0</v>
      </c>
    </row>
    <row r="3438" spans="2:2">
      <c r="B3438" s="21">
        <f>IF(AND(C3438&lt;&gt;"", J3438&lt;&gt;""), HYPERLINK("#'" &amp; C3438 &amp; "'!" &amp; J3438, J3438), "")</f>
        <v>0</v>
      </c>
    </row>
    <row r="3439" spans="2:2">
      <c r="B3439" s="21">
        <f>IF(AND(C3439&lt;&gt;"", J3439&lt;&gt;""), HYPERLINK("#'" &amp; C3439 &amp; "'!" &amp; J3439, J3439), "")</f>
        <v>0</v>
      </c>
    </row>
    <row r="3440" spans="2:2">
      <c r="B3440" s="21">
        <f>IF(AND(C3440&lt;&gt;"", J3440&lt;&gt;""), HYPERLINK("#'" &amp; C3440 &amp; "'!" &amp; J3440, J3440), "")</f>
        <v>0</v>
      </c>
    </row>
    <row r="3441" spans="2:2">
      <c r="B3441" s="21">
        <f>IF(AND(C3441&lt;&gt;"", J3441&lt;&gt;""), HYPERLINK("#'" &amp; C3441 &amp; "'!" &amp; J3441, J3441), "")</f>
        <v>0</v>
      </c>
    </row>
    <row r="3442" spans="2:2">
      <c r="B3442" s="21">
        <f>IF(AND(C3442&lt;&gt;"", J3442&lt;&gt;""), HYPERLINK("#'" &amp; C3442 &amp; "'!" &amp; J3442, J3442), "")</f>
        <v>0</v>
      </c>
    </row>
    <row r="3443" spans="2:2">
      <c r="B3443" s="21">
        <f>IF(AND(C3443&lt;&gt;"", J3443&lt;&gt;""), HYPERLINK("#'" &amp; C3443 &amp; "'!" &amp; J3443, J3443), "")</f>
        <v>0</v>
      </c>
    </row>
    <row r="3444" spans="2:2">
      <c r="B3444" s="21">
        <f>IF(AND(C3444&lt;&gt;"", J3444&lt;&gt;""), HYPERLINK("#'" &amp; C3444 &amp; "'!" &amp; J3444, J3444), "")</f>
        <v>0</v>
      </c>
    </row>
    <row r="3445" spans="2:2">
      <c r="B3445" s="21">
        <f>IF(AND(C3445&lt;&gt;"", J3445&lt;&gt;""), HYPERLINK("#'" &amp; C3445 &amp; "'!" &amp; J3445, J3445), "")</f>
        <v>0</v>
      </c>
    </row>
    <row r="3446" spans="2:2">
      <c r="B3446" s="21">
        <f>IF(AND(C3446&lt;&gt;"", J3446&lt;&gt;""), HYPERLINK("#'" &amp; C3446 &amp; "'!" &amp; J3446, J3446), "")</f>
        <v>0</v>
      </c>
    </row>
    <row r="3447" spans="2:2">
      <c r="B3447" s="21">
        <f>IF(AND(C3447&lt;&gt;"", J3447&lt;&gt;""), HYPERLINK("#'" &amp; C3447 &amp; "'!" &amp; J3447, J3447), "")</f>
        <v>0</v>
      </c>
    </row>
    <row r="3448" spans="2:2">
      <c r="B3448" s="21">
        <f>IF(AND(C3448&lt;&gt;"", J3448&lt;&gt;""), HYPERLINK("#'" &amp; C3448 &amp; "'!" &amp; J3448, J3448), "")</f>
        <v>0</v>
      </c>
    </row>
    <row r="3449" spans="2:2">
      <c r="B3449" s="21">
        <f>IF(AND(C3449&lt;&gt;"", J3449&lt;&gt;""), HYPERLINK("#'" &amp; C3449 &amp; "'!" &amp; J3449, J3449), "")</f>
        <v>0</v>
      </c>
    </row>
    <row r="3450" spans="2:2">
      <c r="B3450" s="21">
        <f>IF(AND(C3450&lt;&gt;"", J3450&lt;&gt;""), HYPERLINK("#'" &amp; C3450 &amp; "'!" &amp; J3450, J3450), "")</f>
        <v>0</v>
      </c>
    </row>
    <row r="3451" spans="2:2">
      <c r="B3451" s="21">
        <f>IF(AND(C3451&lt;&gt;"", J3451&lt;&gt;""), HYPERLINK("#'" &amp; C3451 &amp; "'!" &amp; J3451, J3451), "")</f>
        <v>0</v>
      </c>
    </row>
    <row r="3452" spans="2:2">
      <c r="B3452" s="21">
        <f>IF(AND(C3452&lt;&gt;"", J3452&lt;&gt;""), HYPERLINK("#'" &amp; C3452 &amp; "'!" &amp; J3452, J3452), "")</f>
        <v>0</v>
      </c>
    </row>
    <row r="3453" spans="2:2">
      <c r="B3453" s="21">
        <f>IF(AND(C3453&lt;&gt;"", J3453&lt;&gt;""), HYPERLINK("#'" &amp; C3453 &amp; "'!" &amp; J3453, J3453), "")</f>
        <v>0</v>
      </c>
    </row>
    <row r="3454" spans="2:2">
      <c r="B3454" s="21">
        <f>IF(AND(C3454&lt;&gt;"", J3454&lt;&gt;""), HYPERLINK("#'" &amp; C3454 &amp; "'!" &amp; J3454, J3454), "")</f>
        <v>0</v>
      </c>
    </row>
    <row r="3455" spans="2:2">
      <c r="B3455" s="21">
        <f>IF(AND(C3455&lt;&gt;"", J3455&lt;&gt;""), HYPERLINK("#'" &amp; C3455 &amp; "'!" &amp; J3455, J3455), "")</f>
        <v>0</v>
      </c>
    </row>
    <row r="3456" spans="2:2">
      <c r="B3456" s="21">
        <f>IF(AND(C3456&lt;&gt;"", J3456&lt;&gt;""), HYPERLINK("#'" &amp; C3456 &amp; "'!" &amp; J3456, J3456), "")</f>
        <v>0</v>
      </c>
    </row>
    <row r="3457" spans="2:2">
      <c r="B3457" s="21">
        <f>IF(AND(C3457&lt;&gt;"", J3457&lt;&gt;""), HYPERLINK("#'" &amp; C3457 &amp; "'!" &amp; J3457, J3457), "")</f>
        <v>0</v>
      </c>
    </row>
    <row r="3458" spans="2:2">
      <c r="B3458" s="21">
        <f>IF(AND(C3458&lt;&gt;"", J3458&lt;&gt;""), HYPERLINK("#'" &amp; C3458 &amp; "'!" &amp; J3458, J3458), "")</f>
        <v>0</v>
      </c>
    </row>
    <row r="3459" spans="2:2">
      <c r="B3459" s="21">
        <f>IF(AND(C3459&lt;&gt;"", J3459&lt;&gt;""), HYPERLINK("#'" &amp; C3459 &amp; "'!" &amp; J3459, J3459), "")</f>
        <v>0</v>
      </c>
    </row>
    <row r="3460" spans="2:2">
      <c r="B3460" s="21">
        <f>IF(AND(C3460&lt;&gt;"", J3460&lt;&gt;""), HYPERLINK("#'" &amp; C3460 &amp; "'!" &amp; J3460, J3460), "")</f>
        <v>0</v>
      </c>
    </row>
    <row r="3461" spans="2:2">
      <c r="B3461" s="21">
        <f>IF(AND(C3461&lt;&gt;"", J3461&lt;&gt;""), HYPERLINK("#'" &amp; C3461 &amp; "'!" &amp; J3461, J3461), "")</f>
        <v>0</v>
      </c>
    </row>
    <row r="3462" spans="2:2">
      <c r="B3462" s="21">
        <f>IF(AND(C3462&lt;&gt;"", J3462&lt;&gt;""), HYPERLINK("#'" &amp; C3462 &amp; "'!" &amp; J3462, J3462), "")</f>
        <v>0</v>
      </c>
    </row>
    <row r="3463" spans="2:2">
      <c r="B3463" s="21">
        <f>IF(AND(C3463&lt;&gt;"", J3463&lt;&gt;""), HYPERLINK("#'" &amp; C3463 &amp; "'!" &amp; J3463, J3463), "")</f>
        <v>0</v>
      </c>
    </row>
    <row r="3464" spans="2:2">
      <c r="B3464" s="21">
        <f>IF(AND(C3464&lt;&gt;"", J3464&lt;&gt;""), HYPERLINK("#'" &amp; C3464 &amp; "'!" &amp; J3464, J3464), "")</f>
        <v>0</v>
      </c>
    </row>
    <row r="3465" spans="2:2">
      <c r="B3465" s="21">
        <f>IF(AND(C3465&lt;&gt;"", J3465&lt;&gt;""), HYPERLINK("#'" &amp; C3465 &amp; "'!" &amp; J3465, J3465), "")</f>
        <v>0</v>
      </c>
    </row>
    <row r="3466" spans="2:2">
      <c r="B3466" s="21">
        <f>IF(AND(C3466&lt;&gt;"", J3466&lt;&gt;""), HYPERLINK("#'" &amp; C3466 &amp; "'!" &amp; J3466, J3466), "")</f>
        <v>0</v>
      </c>
    </row>
    <row r="3467" spans="2:2">
      <c r="B3467" s="21">
        <f>IF(AND(C3467&lt;&gt;"", J3467&lt;&gt;""), HYPERLINK("#'" &amp; C3467 &amp; "'!" &amp; J3467, J3467), "")</f>
        <v>0</v>
      </c>
    </row>
    <row r="3468" spans="2:2">
      <c r="B3468" s="21">
        <f>IF(AND(C3468&lt;&gt;"", J3468&lt;&gt;""), HYPERLINK("#'" &amp; C3468 &amp; "'!" &amp; J3468, J3468), "")</f>
        <v>0</v>
      </c>
    </row>
    <row r="3469" spans="2:2">
      <c r="B3469" s="21">
        <f>IF(AND(C3469&lt;&gt;"", J3469&lt;&gt;""), HYPERLINK("#'" &amp; C3469 &amp; "'!" &amp; J3469, J3469), "")</f>
        <v>0</v>
      </c>
    </row>
    <row r="3470" spans="2:2">
      <c r="B3470" s="21">
        <f>IF(AND(C3470&lt;&gt;"", J3470&lt;&gt;""), HYPERLINK("#'" &amp; C3470 &amp; "'!" &amp; J3470, J3470), "")</f>
        <v>0</v>
      </c>
    </row>
    <row r="3471" spans="2:2">
      <c r="B3471" s="21">
        <f>IF(AND(C3471&lt;&gt;"", J3471&lt;&gt;""), HYPERLINK("#'" &amp; C3471 &amp; "'!" &amp; J3471, J3471), "")</f>
        <v>0</v>
      </c>
    </row>
    <row r="3472" spans="2:2">
      <c r="B3472" s="21">
        <f>IF(AND(C3472&lt;&gt;"", J3472&lt;&gt;""), HYPERLINK("#'" &amp; C3472 &amp; "'!" &amp; J3472, J3472), "")</f>
        <v>0</v>
      </c>
    </row>
    <row r="3473" spans="2:2">
      <c r="B3473" s="21">
        <f>IF(AND(C3473&lt;&gt;"", J3473&lt;&gt;""), HYPERLINK("#'" &amp; C3473 &amp; "'!" &amp; J3473, J3473), "")</f>
        <v>0</v>
      </c>
    </row>
    <row r="3474" spans="2:2">
      <c r="B3474" s="21">
        <f>IF(AND(C3474&lt;&gt;"", J3474&lt;&gt;""), HYPERLINK("#'" &amp; C3474 &amp; "'!" &amp; J3474, J3474), "")</f>
        <v>0</v>
      </c>
    </row>
    <row r="3475" spans="2:2">
      <c r="B3475" s="21">
        <f>IF(AND(C3475&lt;&gt;"", J3475&lt;&gt;""), HYPERLINK("#'" &amp; C3475 &amp; "'!" &amp; J3475, J3475), "")</f>
        <v>0</v>
      </c>
    </row>
    <row r="3476" spans="2:2">
      <c r="B3476" s="21">
        <f>IF(AND(C3476&lt;&gt;"", J3476&lt;&gt;""), HYPERLINK("#'" &amp; C3476 &amp; "'!" &amp; J3476, J3476), "")</f>
        <v>0</v>
      </c>
    </row>
    <row r="3477" spans="2:2">
      <c r="B3477" s="21">
        <f>IF(AND(C3477&lt;&gt;"", J3477&lt;&gt;""), HYPERLINK("#'" &amp; C3477 &amp; "'!" &amp; J3477, J3477), "")</f>
        <v>0</v>
      </c>
    </row>
    <row r="3478" spans="2:2">
      <c r="B3478" s="21">
        <f>IF(AND(C3478&lt;&gt;"", J3478&lt;&gt;""), HYPERLINK("#'" &amp; C3478 &amp; "'!" &amp; J3478, J3478), "")</f>
        <v>0</v>
      </c>
    </row>
    <row r="3479" spans="2:2">
      <c r="B3479" s="21">
        <f>IF(AND(C3479&lt;&gt;"", J3479&lt;&gt;""), HYPERLINK("#'" &amp; C3479 &amp; "'!" &amp; J3479, J3479), "")</f>
        <v>0</v>
      </c>
    </row>
    <row r="3480" spans="2:2">
      <c r="B3480" s="21">
        <f>IF(AND(C3480&lt;&gt;"", J3480&lt;&gt;""), HYPERLINK("#'" &amp; C3480 &amp; "'!" &amp; J3480, J3480), "")</f>
        <v>0</v>
      </c>
    </row>
    <row r="3481" spans="2:2">
      <c r="B3481" s="21">
        <f>IF(AND(C3481&lt;&gt;"", J3481&lt;&gt;""), HYPERLINK("#'" &amp; C3481 &amp; "'!" &amp; J3481, J3481), "")</f>
        <v>0</v>
      </c>
    </row>
    <row r="3482" spans="2:2">
      <c r="B3482" s="21">
        <f>IF(AND(C3482&lt;&gt;"", J3482&lt;&gt;""), HYPERLINK("#'" &amp; C3482 &amp; "'!" &amp; J3482, J3482), "")</f>
        <v>0</v>
      </c>
    </row>
    <row r="3483" spans="2:2">
      <c r="B3483" s="21">
        <f>IF(AND(C3483&lt;&gt;"", J3483&lt;&gt;""), HYPERLINK("#'" &amp; C3483 &amp; "'!" &amp; J3483, J3483), "")</f>
        <v>0</v>
      </c>
    </row>
    <row r="3484" spans="2:2">
      <c r="B3484" s="21">
        <f>IF(AND(C3484&lt;&gt;"", J3484&lt;&gt;""), HYPERLINK("#'" &amp; C3484 &amp; "'!" &amp; J3484, J3484), "")</f>
        <v>0</v>
      </c>
    </row>
    <row r="3485" spans="2:2">
      <c r="B3485" s="21">
        <f>IF(AND(C3485&lt;&gt;"", J3485&lt;&gt;""), HYPERLINK("#'" &amp; C3485 &amp; "'!" &amp; J3485, J3485), "")</f>
        <v>0</v>
      </c>
    </row>
    <row r="3486" spans="2:2">
      <c r="B3486" s="21">
        <f>IF(AND(C3486&lt;&gt;"", J3486&lt;&gt;""), HYPERLINK("#'" &amp; C3486 &amp; "'!" &amp; J3486, J3486), "")</f>
        <v>0</v>
      </c>
    </row>
    <row r="3487" spans="2:2">
      <c r="B3487" s="21">
        <f>IF(AND(C3487&lt;&gt;"", J3487&lt;&gt;""), HYPERLINK("#'" &amp; C3487 &amp; "'!" &amp; J3487, J3487), "")</f>
        <v>0</v>
      </c>
    </row>
    <row r="3488" spans="2:2">
      <c r="B3488" s="21">
        <f>IF(AND(C3488&lt;&gt;"", J3488&lt;&gt;""), HYPERLINK("#'" &amp; C3488 &amp; "'!" &amp; J3488, J3488), "")</f>
        <v>0</v>
      </c>
    </row>
    <row r="3489" spans="2:2">
      <c r="B3489" s="21">
        <f>IF(AND(C3489&lt;&gt;"", J3489&lt;&gt;""), HYPERLINK("#'" &amp; C3489 &amp; "'!" &amp; J3489, J3489), "")</f>
        <v>0</v>
      </c>
    </row>
    <row r="3490" spans="2:2">
      <c r="B3490" s="21">
        <f>IF(AND(C3490&lt;&gt;"", J3490&lt;&gt;""), HYPERLINK("#'" &amp; C3490 &amp; "'!" &amp; J3490, J3490), "")</f>
        <v>0</v>
      </c>
    </row>
    <row r="3491" spans="2:2">
      <c r="B3491" s="21">
        <f>IF(AND(C3491&lt;&gt;"", J3491&lt;&gt;""), HYPERLINK("#'" &amp; C3491 &amp; "'!" &amp; J3491, J3491), "")</f>
        <v>0</v>
      </c>
    </row>
    <row r="3492" spans="2:2">
      <c r="B3492" s="21">
        <f>IF(AND(C3492&lt;&gt;"", J3492&lt;&gt;""), HYPERLINK("#'" &amp; C3492 &amp; "'!" &amp; J3492, J3492), "")</f>
        <v>0</v>
      </c>
    </row>
    <row r="3493" spans="2:2">
      <c r="B3493" s="21">
        <f>IF(AND(C3493&lt;&gt;"", J3493&lt;&gt;""), HYPERLINK("#'" &amp; C3493 &amp; "'!" &amp; J3493, J3493), "")</f>
        <v>0</v>
      </c>
    </row>
    <row r="3494" spans="2:2">
      <c r="B3494" s="21">
        <f>IF(AND(C3494&lt;&gt;"", J3494&lt;&gt;""), HYPERLINK("#'" &amp; C3494 &amp; "'!" &amp; J3494, J3494), "")</f>
        <v>0</v>
      </c>
    </row>
    <row r="3495" spans="2:2">
      <c r="B3495" s="21">
        <f>IF(AND(C3495&lt;&gt;"", J3495&lt;&gt;""), HYPERLINK("#'" &amp; C3495 &amp; "'!" &amp; J3495, J3495), "")</f>
        <v>0</v>
      </c>
    </row>
    <row r="3496" spans="2:2">
      <c r="B3496" s="21">
        <f>IF(AND(C3496&lt;&gt;"", J3496&lt;&gt;""), HYPERLINK("#'" &amp; C3496 &amp; "'!" &amp; J3496, J3496), "")</f>
        <v>0</v>
      </c>
    </row>
    <row r="3497" spans="2:2">
      <c r="B3497" s="21">
        <f>IF(AND(C3497&lt;&gt;"", J3497&lt;&gt;""), HYPERLINK("#'" &amp; C3497 &amp; "'!" &amp; J3497, J3497), "")</f>
        <v>0</v>
      </c>
    </row>
    <row r="3498" spans="2:2">
      <c r="B3498" s="21">
        <f>IF(AND(C3498&lt;&gt;"", J3498&lt;&gt;""), HYPERLINK("#'" &amp; C3498 &amp; "'!" &amp; J3498, J3498), "")</f>
        <v>0</v>
      </c>
    </row>
    <row r="3499" spans="2:2">
      <c r="B3499" s="21">
        <f>IF(AND(C3499&lt;&gt;"", J3499&lt;&gt;""), HYPERLINK("#'" &amp; C3499 &amp; "'!" &amp; J3499, J3499), "")</f>
        <v>0</v>
      </c>
    </row>
    <row r="3500" spans="2:2">
      <c r="B3500" s="21">
        <f>IF(AND(C3500&lt;&gt;"", J3500&lt;&gt;""), HYPERLINK("#'" &amp; C3500 &amp; "'!" &amp; J3500, J3500), "")</f>
        <v>0</v>
      </c>
    </row>
    <row r="3501" spans="2:2">
      <c r="B3501" s="21">
        <f>IF(AND(C3501&lt;&gt;"", J3501&lt;&gt;""), HYPERLINK("#'" &amp; C3501 &amp; "'!" &amp; J3501, J3501), "")</f>
        <v>0</v>
      </c>
    </row>
    <row r="3502" spans="2:2">
      <c r="B3502" s="21">
        <f>IF(AND(C3502&lt;&gt;"", J3502&lt;&gt;""), HYPERLINK("#'" &amp; C3502 &amp; "'!" &amp; J3502, J3502), "")</f>
        <v>0</v>
      </c>
    </row>
    <row r="3503" spans="2:2">
      <c r="B3503" s="21">
        <f>IF(AND(C3503&lt;&gt;"", J3503&lt;&gt;""), HYPERLINK("#'" &amp; C3503 &amp; "'!" &amp; J3503, J3503), "")</f>
        <v>0</v>
      </c>
    </row>
    <row r="3504" spans="2:2">
      <c r="B3504" s="21">
        <f>IF(AND(C3504&lt;&gt;"", J3504&lt;&gt;""), HYPERLINK("#'" &amp; C3504 &amp; "'!" &amp; J3504, J3504), "")</f>
        <v>0</v>
      </c>
    </row>
    <row r="3505" spans="2:2">
      <c r="B3505" s="21">
        <f>IF(AND(C3505&lt;&gt;"", J3505&lt;&gt;""), HYPERLINK("#'" &amp; C3505 &amp; "'!" &amp; J3505, J3505), "")</f>
        <v>0</v>
      </c>
    </row>
    <row r="3506" spans="2:2">
      <c r="B3506" s="21">
        <f>IF(AND(C3506&lt;&gt;"", J3506&lt;&gt;""), HYPERLINK("#'" &amp; C3506 &amp; "'!" &amp; J3506, J3506), "")</f>
        <v>0</v>
      </c>
    </row>
    <row r="3507" spans="2:2">
      <c r="B3507" s="21">
        <f>IF(AND(C3507&lt;&gt;"", J3507&lt;&gt;""), HYPERLINK("#'" &amp; C3507 &amp; "'!" &amp; J3507, J3507), "")</f>
        <v>0</v>
      </c>
    </row>
    <row r="3508" spans="2:2">
      <c r="B3508" s="21">
        <f>IF(AND(C3508&lt;&gt;"", J3508&lt;&gt;""), HYPERLINK("#'" &amp; C3508 &amp; "'!" &amp; J3508, J3508), "")</f>
        <v>0</v>
      </c>
    </row>
    <row r="3509" spans="2:2">
      <c r="B3509" s="21">
        <f>IF(AND(C3509&lt;&gt;"", J3509&lt;&gt;""), HYPERLINK("#'" &amp; C3509 &amp; "'!" &amp; J3509, J3509), "")</f>
        <v>0</v>
      </c>
    </row>
    <row r="3510" spans="2:2">
      <c r="B3510" s="21">
        <f>IF(AND(C3510&lt;&gt;"", J3510&lt;&gt;""), HYPERLINK("#'" &amp; C3510 &amp; "'!" &amp; J3510, J3510), "")</f>
        <v>0</v>
      </c>
    </row>
    <row r="3511" spans="2:2">
      <c r="B3511" s="21">
        <f>IF(AND(C3511&lt;&gt;"", J3511&lt;&gt;""), HYPERLINK("#'" &amp; C3511 &amp; "'!" &amp; J3511, J3511), "")</f>
        <v>0</v>
      </c>
    </row>
    <row r="3512" spans="2:2">
      <c r="B3512" s="21">
        <f>IF(AND(C3512&lt;&gt;"", J3512&lt;&gt;""), HYPERLINK("#'" &amp; C3512 &amp; "'!" &amp; J3512, J3512), "")</f>
        <v>0</v>
      </c>
    </row>
    <row r="3513" spans="2:2">
      <c r="B3513" s="21">
        <f>IF(AND(C3513&lt;&gt;"", J3513&lt;&gt;""), HYPERLINK("#'" &amp; C3513 &amp; "'!" &amp; J3513, J3513), "")</f>
        <v>0</v>
      </c>
    </row>
    <row r="3514" spans="2:2">
      <c r="B3514" s="21">
        <f>IF(AND(C3514&lt;&gt;"", J3514&lt;&gt;""), HYPERLINK("#'" &amp; C3514 &amp; "'!" &amp; J3514, J3514), "")</f>
        <v>0</v>
      </c>
    </row>
    <row r="3515" spans="2:2">
      <c r="B3515" s="21">
        <f>IF(AND(C3515&lt;&gt;"", J3515&lt;&gt;""), HYPERLINK("#'" &amp; C3515 &amp; "'!" &amp; J3515, J3515), "")</f>
        <v>0</v>
      </c>
    </row>
    <row r="3516" spans="2:2">
      <c r="B3516" s="21">
        <f>IF(AND(C3516&lt;&gt;"", J3516&lt;&gt;""), HYPERLINK("#'" &amp; C3516 &amp; "'!" &amp; J3516, J3516), "")</f>
        <v>0</v>
      </c>
    </row>
    <row r="3517" spans="2:2">
      <c r="B3517" s="21">
        <f>IF(AND(C3517&lt;&gt;"", J3517&lt;&gt;""), HYPERLINK("#'" &amp; C3517 &amp; "'!" &amp; J3517, J3517), "")</f>
        <v>0</v>
      </c>
    </row>
    <row r="3518" spans="2:2">
      <c r="B3518" s="21">
        <f>IF(AND(C3518&lt;&gt;"", J3518&lt;&gt;""), HYPERLINK("#'" &amp; C3518 &amp; "'!" &amp; J3518, J3518), "")</f>
        <v>0</v>
      </c>
    </row>
    <row r="3519" spans="2:2">
      <c r="B3519" s="21">
        <f>IF(AND(C3519&lt;&gt;"", J3519&lt;&gt;""), HYPERLINK("#'" &amp; C3519 &amp; "'!" &amp; J3519, J3519), "")</f>
        <v>0</v>
      </c>
    </row>
    <row r="3520" spans="2:2">
      <c r="B3520" s="21">
        <f>IF(AND(C3520&lt;&gt;"", J3520&lt;&gt;""), HYPERLINK("#'" &amp; C3520 &amp; "'!" &amp; J3520, J3520), "")</f>
        <v>0</v>
      </c>
    </row>
    <row r="3521" spans="2:2">
      <c r="B3521" s="21">
        <f>IF(AND(C3521&lt;&gt;"", J3521&lt;&gt;""), HYPERLINK("#'" &amp; C3521 &amp; "'!" &amp; J3521, J3521), "")</f>
        <v>0</v>
      </c>
    </row>
    <row r="3522" spans="2:2">
      <c r="B3522" s="21">
        <f>IF(AND(C3522&lt;&gt;"", J3522&lt;&gt;""), HYPERLINK("#'" &amp; C3522 &amp; "'!" &amp; J3522, J3522), "")</f>
        <v>0</v>
      </c>
    </row>
    <row r="3523" spans="2:2">
      <c r="B3523" s="21">
        <f>IF(AND(C3523&lt;&gt;"", J3523&lt;&gt;""), HYPERLINK("#'" &amp; C3523 &amp; "'!" &amp; J3523, J3523), "")</f>
        <v>0</v>
      </c>
    </row>
    <row r="3524" spans="2:2">
      <c r="B3524" s="21">
        <f>IF(AND(C3524&lt;&gt;"", J3524&lt;&gt;""), HYPERLINK("#'" &amp; C3524 &amp; "'!" &amp; J3524, J3524), "")</f>
        <v>0</v>
      </c>
    </row>
    <row r="3525" spans="2:2">
      <c r="B3525" s="21">
        <f>IF(AND(C3525&lt;&gt;"", J3525&lt;&gt;""), HYPERLINK("#'" &amp; C3525 &amp; "'!" &amp; J3525, J3525), "")</f>
        <v>0</v>
      </c>
    </row>
    <row r="3526" spans="2:2">
      <c r="B3526" s="21">
        <f>IF(AND(C3526&lt;&gt;"", J3526&lt;&gt;""), HYPERLINK("#'" &amp; C3526 &amp; "'!" &amp; J3526, J3526), "")</f>
        <v>0</v>
      </c>
    </row>
    <row r="3527" spans="2:2">
      <c r="B3527" s="21">
        <f>IF(AND(C3527&lt;&gt;"", J3527&lt;&gt;""), HYPERLINK("#'" &amp; C3527 &amp; "'!" &amp; J3527, J3527), "")</f>
        <v>0</v>
      </c>
    </row>
    <row r="3528" spans="2:2">
      <c r="B3528" s="21">
        <f>IF(AND(C3528&lt;&gt;"", J3528&lt;&gt;""), HYPERLINK("#'" &amp; C3528 &amp; "'!" &amp; J3528, J3528), "")</f>
        <v>0</v>
      </c>
    </row>
    <row r="3529" spans="2:2">
      <c r="B3529" s="21">
        <f>IF(AND(C3529&lt;&gt;"", J3529&lt;&gt;""), HYPERLINK("#'" &amp; C3529 &amp; "'!" &amp; J3529, J3529), "")</f>
        <v>0</v>
      </c>
    </row>
    <row r="3530" spans="2:2">
      <c r="B3530" s="21">
        <f>IF(AND(C3530&lt;&gt;"", J3530&lt;&gt;""), HYPERLINK("#'" &amp; C3530 &amp; "'!" &amp; J3530, J3530), "")</f>
        <v>0</v>
      </c>
    </row>
    <row r="3531" spans="2:2">
      <c r="B3531" s="21">
        <f>IF(AND(C3531&lt;&gt;"", J3531&lt;&gt;""), HYPERLINK("#'" &amp; C3531 &amp; "'!" &amp; J3531, J3531), "")</f>
        <v>0</v>
      </c>
    </row>
    <row r="3532" spans="2:2">
      <c r="B3532" s="21">
        <f>IF(AND(C3532&lt;&gt;"", J3532&lt;&gt;""), HYPERLINK("#'" &amp; C3532 &amp; "'!" &amp; J3532, J3532), "")</f>
        <v>0</v>
      </c>
    </row>
    <row r="3533" spans="2:2">
      <c r="B3533" s="21">
        <f>IF(AND(C3533&lt;&gt;"", J3533&lt;&gt;""), HYPERLINK("#'" &amp; C3533 &amp; "'!" &amp; J3533, J3533), "")</f>
        <v>0</v>
      </c>
    </row>
    <row r="3534" spans="2:2">
      <c r="B3534" s="21">
        <f>IF(AND(C3534&lt;&gt;"", J3534&lt;&gt;""), HYPERLINK("#'" &amp; C3534 &amp; "'!" &amp; J3534, J3534), "")</f>
        <v>0</v>
      </c>
    </row>
    <row r="3535" spans="2:2">
      <c r="B3535" s="21">
        <f>IF(AND(C3535&lt;&gt;"", J3535&lt;&gt;""), HYPERLINK("#'" &amp; C3535 &amp; "'!" &amp; J3535, J3535), "")</f>
        <v>0</v>
      </c>
    </row>
    <row r="3536" spans="2:2">
      <c r="B3536" s="21">
        <f>IF(AND(C3536&lt;&gt;"", J3536&lt;&gt;""), HYPERLINK("#'" &amp; C3536 &amp; "'!" &amp; J3536, J3536), "")</f>
        <v>0</v>
      </c>
    </row>
    <row r="3537" spans="2:2">
      <c r="B3537" s="21">
        <f>IF(AND(C3537&lt;&gt;"", J3537&lt;&gt;""), HYPERLINK("#'" &amp; C3537 &amp; "'!" &amp; J3537, J3537), "")</f>
        <v>0</v>
      </c>
    </row>
    <row r="3538" spans="2:2">
      <c r="B3538" s="21">
        <f>IF(AND(C3538&lt;&gt;"", J3538&lt;&gt;""), HYPERLINK("#'" &amp; C3538 &amp; "'!" &amp; J3538, J3538), "")</f>
        <v>0</v>
      </c>
    </row>
    <row r="3539" spans="2:2">
      <c r="B3539" s="21">
        <f>IF(AND(C3539&lt;&gt;"", J3539&lt;&gt;""), HYPERLINK("#'" &amp; C3539 &amp; "'!" &amp; J3539, J3539), "")</f>
        <v>0</v>
      </c>
    </row>
    <row r="3540" spans="2:2">
      <c r="B3540" s="21">
        <f>IF(AND(C3540&lt;&gt;"", J3540&lt;&gt;""), HYPERLINK("#'" &amp; C3540 &amp; "'!" &amp; J3540, J3540), "")</f>
        <v>0</v>
      </c>
    </row>
    <row r="3541" spans="2:2">
      <c r="B3541" s="21">
        <f>IF(AND(C3541&lt;&gt;"", J3541&lt;&gt;""), HYPERLINK("#'" &amp; C3541 &amp; "'!" &amp; J3541, J3541), "")</f>
        <v>0</v>
      </c>
    </row>
    <row r="3542" spans="2:2">
      <c r="B3542" s="21">
        <f>IF(AND(C3542&lt;&gt;"", J3542&lt;&gt;""), HYPERLINK("#'" &amp; C3542 &amp; "'!" &amp; J3542, J3542), "")</f>
        <v>0</v>
      </c>
    </row>
    <row r="3543" spans="2:2">
      <c r="B3543" s="21">
        <f>IF(AND(C3543&lt;&gt;"", J3543&lt;&gt;""), HYPERLINK("#'" &amp; C3543 &amp; "'!" &amp; J3543, J3543), "")</f>
        <v>0</v>
      </c>
    </row>
    <row r="3544" spans="2:2">
      <c r="B3544" s="21">
        <f>IF(AND(C3544&lt;&gt;"", J3544&lt;&gt;""), HYPERLINK("#'" &amp; C3544 &amp; "'!" &amp; J3544, J3544), "")</f>
        <v>0</v>
      </c>
    </row>
    <row r="3545" spans="2:2">
      <c r="B3545" s="21">
        <f>IF(AND(C3545&lt;&gt;"", J3545&lt;&gt;""), HYPERLINK("#'" &amp; C3545 &amp; "'!" &amp; J3545, J3545), "")</f>
        <v>0</v>
      </c>
    </row>
    <row r="3546" spans="2:2">
      <c r="B3546" s="21">
        <f>IF(AND(C3546&lt;&gt;"", J3546&lt;&gt;""), HYPERLINK("#'" &amp; C3546 &amp; "'!" &amp; J3546, J3546), "")</f>
        <v>0</v>
      </c>
    </row>
    <row r="3547" spans="2:2">
      <c r="B3547" s="21">
        <f>IF(AND(C3547&lt;&gt;"", J3547&lt;&gt;""), HYPERLINK("#'" &amp; C3547 &amp; "'!" &amp; J3547, J3547), "")</f>
        <v>0</v>
      </c>
    </row>
    <row r="3548" spans="2:2">
      <c r="B3548" s="21">
        <f>IF(AND(C3548&lt;&gt;"", J3548&lt;&gt;""), HYPERLINK("#'" &amp; C3548 &amp; "'!" &amp; J3548, J3548), "")</f>
        <v>0</v>
      </c>
    </row>
    <row r="3549" spans="2:2">
      <c r="B3549" s="21">
        <f>IF(AND(C3549&lt;&gt;"", J3549&lt;&gt;""), HYPERLINK("#'" &amp; C3549 &amp; "'!" &amp; J3549, J3549), "")</f>
        <v>0</v>
      </c>
    </row>
    <row r="3550" spans="2:2">
      <c r="B3550" s="21">
        <f>IF(AND(C3550&lt;&gt;"", J3550&lt;&gt;""), HYPERLINK("#'" &amp; C3550 &amp; "'!" &amp; J3550, J3550), "")</f>
        <v>0</v>
      </c>
    </row>
    <row r="3551" spans="2:2">
      <c r="B3551" s="21">
        <f>IF(AND(C3551&lt;&gt;"", J3551&lt;&gt;""), HYPERLINK("#'" &amp; C3551 &amp; "'!" &amp; J3551, J3551), "")</f>
        <v>0</v>
      </c>
    </row>
    <row r="3552" spans="2:2">
      <c r="B3552" s="21">
        <f>IF(AND(C3552&lt;&gt;"", J3552&lt;&gt;""), HYPERLINK("#'" &amp; C3552 &amp; "'!" &amp; J3552, J3552), "")</f>
        <v>0</v>
      </c>
    </row>
    <row r="3553" spans="2:2">
      <c r="B3553" s="21">
        <f>IF(AND(C3553&lt;&gt;"", J3553&lt;&gt;""), HYPERLINK("#'" &amp; C3553 &amp; "'!" &amp; J3553, J3553), "")</f>
        <v>0</v>
      </c>
    </row>
    <row r="3554" spans="2:2">
      <c r="B3554" s="21">
        <f>IF(AND(C3554&lt;&gt;"", J3554&lt;&gt;""), HYPERLINK("#'" &amp; C3554 &amp; "'!" &amp; J3554, J3554), "")</f>
        <v>0</v>
      </c>
    </row>
    <row r="3555" spans="2:2">
      <c r="B3555" s="21">
        <f>IF(AND(C3555&lt;&gt;"", J3555&lt;&gt;""), HYPERLINK("#'" &amp; C3555 &amp; "'!" &amp; J3555, J3555), "")</f>
        <v>0</v>
      </c>
    </row>
    <row r="3556" spans="2:2">
      <c r="B3556" s="21">
        <f>IF(AND(C3556&lt;&gt;"", J3556&lt;&gt;""), HYPERLINK("#'" &amp; C3556 &amp; "'!" &amp; J3556, J3556), "")</f>
        <v>0</v>
      </c>
    </row>
    <row r="3557" spans="2:2">
      <c r="B3557" s="21">
        <f>IF(AND(C3557&lt;&gt;"", J3557&lt;&gt;""), HYPERLINK("#'" &amp; C3557 &amp; "'!" &amp; J3557, J3557), "")</f>
        <v>0</v>
      </c>
    </row>
    <row r="3558" spans="2:2">
      <c r="B3558" s="21">
        <f>IF(AND(C3558&lt;&gt;"", J3558&lt;&gt;""), HYPERLINK("#'" &amp; C3558 &amp; "'!" &amp; J3558, J3558), "")</f>
        <v>0</v>
      </c>
    </row>
    <row r="3559" spans="2:2">
      <c r="B3559" s="21">
        <f>IF(AND(C3559&lt;&gt;"", J3559&lt;&gt;""), HYPERLINK("#'" &amp; C3559 &amp; "'!" &amp; J3559, J3559), "")</f>
        <v>0</v>
      </c>
    </row>
    <row r="3560" spans="2:2">
      <c r="B3560" s="21">
        <f>IF(AND(C3560&lt;&gt;"", J3560&lt;&gt;""), HYPERLINK("#'" &amp; C3560 &amp; "'!" &amp; J3560, J3560), "")</f>
        <v>0</v>
      </c>
    </row>
    <row r="3561" spans="2:2">
      <c r="B3561" s="21">
        <f>IF(AND(C3561&lt;&gt;"", J3561&lt;&gt;""), HYPERLINK("#'" &amp; C3561 &amp; "'!" &amp; J3561, J3561), "")</f>
        <v>0</v>
      </c>
    </row>
    <row r="3562" spans="2:2">
      <c r="B3562" s="21">
        <f>IF(AND(C3562&lt;&gt;"", J3562&lt;&gt;""), HYPERLINK("#'" &amp; C3562 &amp; "'!" &amp; J3562, J3562), "")</f>
        <v>0</v>
      </c>
    </row>
    <row r="3563" spans="2:2">
      <c r="B3563" s="21">
        <f>IF(AND(C3563&lt;&gt;"", J3563&lt;&gt;""), HYPERLINK("#'" &amp; C3563 &amp; "'!" &amp; J3563, J3563), "")</f>
        <v>0</v>
      </c>
    </row>
    <row r="3564" spans="2:2">
      <c r="B3564" s="21">
        <f>IF(AND(C3564&lt;&gt;"", J3564&lt;&gt;""), HYPERLINK("#'" &amp; C3564 &amp; "'!" &amp; J3564, J3564), "")</f>
        <v>0</v>
      </c>
    </row>
    <row r="3565" spans="2:2">
      <c r="B3565" s="21">
        <f>IF(AND(C3565&lt;&gt;"", J3565&lt;&gt;""), HYPERLINK("#'" &amp; C3565 &amp; "'!" &amp; J3565, J3565), "")</f>
        <v>0</v>
      </c>
    </row>
    <row r="3566" spans="2:2">
      <c r="B3566" s="21">
        <f>IF(AND(C3566&lt;&gt;"", J3566&lt;&gt;""), HYPERLINK("#'" &amp; C3566 &amp; "'!" &amp; J3566, J3566), "")</f>
        <v>0</v>
      </c>
    </row>
    <row r="3567" spans="2:2">
      <c r="B3567" s="21">
        <f>IF(AND(C3567&lt;&gt;"", J3567&lt;&gt;""), HYPERLINK("#'" &amp; C3567 &amp; "'!" &amp; J3567, J3567), "")</f>
        <v>0</v>
      </c>
    </row>
    <row r="3568" spans="2:2">
      <c r="B3568" s="21">
        <f>IF(AND(C3568&lt;&gt;"", J3568&lt;&gt;""), HYPERLINK("#'" &amp; C3568 &amp; "'!" &amp; J3568, J3568), "")</f>
        <v>0</v>
      </c>
    </row>
    <row r="3569" spans="2:2">
      <c r="B3569" s="21">
        <f>IF(AND(C3569&lt;&gt;"", J3569&lt;&gt;""), HYPERLINK("#'" &amp; C3569 &amp; "'!" &amp; J3569, J3569), "")</f>
        <v>0</v>
      </c>
    </row>
    <row r="3570" spans="2:2">
      <c r="B3570" s="21">
        <f>IF(AND(C3570&lt;&gt;"", J3570&lt;&gt;""), HYPERLINK("#'" &amp; C3570 &amp; "'!" &amp; J3570, J3570), "")</f>
        <v>0</v>
      </c>
    </row>
    <row r="3571" spans="2:2">
      <c r="B3571" s="21">
        <f>IF(AND(C3571&lt;&gt;"", J3571&lt;&gt;""), HYPERLINK("#'" &amp; C3571 &amp; "'!" &amp; J3571, J3571), "")</f>
        <v>0</v>
      </c>
    </row>
    <row r="3572" spans="2:2">
      <c r="B3572" s="21">
        <f>IF(AND(C3572&lt;&gt;"", J3572&lt;&gt;""), HYPERLINK("#'" &amp; C3572 &amp; "'!" &amp; J3572, J3572), "")</f>
        <v>0</v>
      </c>
    </row>
    <row r="3573" spans="2:2">
      <c r="B3573" s="21">
        <f>IF(AND(C3573&lt;&gt;"", J3573&lt;&gt;""), HYPERLINK("#'" &amp; C3573 &amp; "'!" &amp; J3573, J3573), "")</f>
        <v>0</v>
      </c>
    </row>
    <row r="3574" spans="2:2">
      <c r="B3574" s="21">
        <f>IF(AND(C3574&lt;&gt;"", J3574&lt;&gt;""), HYPERLINK("#'" &amp; C3574 &amp; "'!" &amp; J3574, J3574), "")</f>
        <v>0</v>
      </c>
    </row>
    <row r="3575" spans="2:2">
      <c r="B3575" s="21">
        <f>IF(AND(C3575&lt;&gt;"", J3575&lt;&gt;""), HYPERLINK("#'" &amp; C3575 &amp; "'!" &amp; J3575, J3575), "")</f>
        <v>0</v>
      </c>
    </row>
    <row r="3576" spans="2:2">
      <c r="B3576" s="21">
        <f>IF(AND(C3576&lt;&gt;"", J3576&lt;&gt;""), HYPERLINK("#'" &amp; C3576 &amp; "'!" &amp; J3576, J3576), "")</f>
        <v>0</v>
      </c>
    </row>
    <row r="3577" spans="2:2">
      <c r="B3577" s="21">
        <f>IF(AND(C3577&lt;&gt;"", J3577&lt;&gt;""), HYPERLINK("#'" &amp; C3577 &amp; "'!" &amp; J3577, J3577), "")</f>
        <v>0</v>
      </c>
    </row>
    <row r="3578" spans="2:2">
      <c r="B3578" s="21">
        <f>IF(AND(C3578&lt;&gt;"", J3578&lt;&gt;""), HYPERLINK("#'" &amp; C3578 &amp; "'!" &amp; J3578, J3578), "")</f>
        <v>0</v>
      </c>
    </row>
    <row r="3579" spans="2:2">
      <c r="B3579" s="21">
        <f>IF(AND(C3579&lt;&gt;"", J3579&lt;&gt;""), HYPERLINK("#'" &amp; C3579 &amp; "'!" &amp; J3579, J3579), "")</f>
        <v>0</v>
      </c>
    </row>
    <row r="3580" spans="2:2">
      <c r="B3580" s="21">
        <f>IF(AND(C3580&lt;&gt;"", J3580&lt;&gt;""), HYPERLINK("#'" &amp; C3580 &amp; "'!" &amp; J3580, J3580), "")</f>
        <v>0</v>
      </c>
    </row>
    <row r="3581" spans="2:2">
      <c r="B3581" s="21">
        <f>IF(AND(C3581&lt;&gt;"", J3581&lt;&gt;""), HYPERLINK("#'" &amp; C3581 &amp; "'!" &amp; J3581, J3581), "")</f>
        <v>0</v>
      </c>
    </row>
    <row r="3582" spans="2:2">
      <c r="B3582" s="21">
        <f>IF(AND(C3582&lt;&gt;"", J3582&lt;&gt;""), HYPERLINK("#'" &amp; C3582 &amp; "'!" &amp; J3582, J3582), "")</f>
        <v>0</v>
      </c>
    </row>
    <row r="3583" spans="2:2">
      <c r="B3583" s="21">
        <f>IF(AND(C3583&lt;&gt;"", J3583&lt;&gt;""), HYPERLINK("#'" &amp; C3583 &amp; "'!" &amp; J3583, J3583), "")</f>
        <v>0</v>
      </c>
    </row>
    <row r="3584" spans="2:2">
      <c r="B3584" s="21">
        <f>IF(AND(C3584&lt;&gt;"", J3584&lt;&gt;""), HYPERLINK("#'" &amp; C3584 &amp; "'!" &amp; J3584, J3584), "")</f>
        <v>0</v>
      </c>
    </row>
    <row r="3585" spans="2:2">
      <c r="B3585" s="21">
        <f>IF(AND(C3585&lt;&gt;"", J3585&lt;&gt;""), HYPERLINK("#'" &amp; C3585 &amp; "'!" &amp; J3585, J3585), "")</f>
        <v>0</v>
      </c>
    </row>
    <row r="3586" spans="2:2">
      <c r="B3586" s="21">
        <f>IF(AND(C3586&lt;&gt;"", J3586&lt;&gt;""), HYPERLINK("#'" &amp; C3586 &amp; "'!" &amp; J3586, J3586), "")</f>
        <v>0</v>
      </c>
    </row>
    <row r="3587" spans="2:2">
      <c r="B3587" s="21">
        <f>IF(AND(C3587&lt;&gt;"", J3587&lt;&gt;""), HYPERLINK("#'" &amp; C3587 &amp; "'!" &amp; J3587, J3587), "")</f>
        <v>0</v>
      </c>
    </row>
    <row r="3588" spans="2:2">
      <c r="B3588" s="21">
        <f>IF(AND(C3588&lt;&gt;"", J3588&lt;&gt;""), HYPERLINK("#'" &amp; C3588 &amp; "'!" &amp; J3588, J3588), "")</f>
        <v>0</v>
      </c>
    </row>
    <row r="3589" spans="2:2">
      <c r="B3589" s="21">
        <f>IF(AND(C3589&lt;&gt;"", J3589&lt;&gt;""), HYPERLINK("#'" &amp; C3589 &amp; "'!" &amp; J3589, J3589), "")</f>
        <v>0</v>
      </c>
    </row>
    <row r="3590" spans="2:2">
      <c r="B3590" s="21">
        <f>IF(AND(C3590&lt;&gt;"", J3590&lt;&gt;""), HYPERLINK("#'" &amp; C3590 &amp; "'!" &amp; J3590, J3590), "")</f>
        <v>0</v>
      </c>
    </row>
    <row r="3591" spans="2:2">
      <c r="B3591" s="21">
        <f>IF(AND(C3591&lt;&gt;"", J3591&lt;&gt;""), HYPERLINK("#'" &amp; C3591 &amp; "'!" &amp; J3591, J3591), "")</f>
        <v>0</v>
      </c>
    </row>
    <row r="3592" spans="2:2">
      <c r="B3592" s="21">
        <f>IF(AND(C3592&lt;&gt;"", J3592&lt;&gt;""), HYPERLINK("#'" &amp; C3592 &amp; "'!" &amp; J3592, J3592), "")</f>
        <v>0</v>
      </c>
    </row>
    <row r="3593" spans="2:2">
      <c r="B3593" s="21">
        <f>IF(AND(C3593&lt;&gt;"", J3593&lt;&gt;""), HYPERLINK("#'" &amp; C3593 &amp; "'!" &amp; J3593, J3593), "")</f>
        <v>0</v>
      </c>
    </row>
    <row r="3594" spans="2:2">
      <c r="B3594" s="21">
        <f>IF(AND(C3594&lt;&gt;"", J3594&lt;&gt;""), HYPERLINK("#'" &amp; C3594 &amp; "'!" &amp; J3594, J3594), "")</f>
        <v>0</v>
      </c>
    </row>
    <row r="3595" spans="2:2">
      <c r="B3595" s="21">
        <f>IF(AND(C3595&lt;&gt;"", J3595&lt;&gt;""), HYPERLINK("#'" &amp; C3595 &amp; "'!" &amp; J3595, J3595), "")</f>
        <v>0</v>
      </c>
    </row>
    <row r="3596" spans="2:2">
      <c r="B3596" s="21">
        <f>IF(AND(C3596&lt;&gt;"", J3596&lt;&gt;""), HYPERLINK("#'" &amp; C3596 &amp; "'!" &amp; J3596, J3596), "")</f>
        <v>0</v>
      </c>
    </row>
    <row r="3597" spans="2:2">
      <c r="B3597" s="21">
        <f>IF(AND(C3597&lt;&gt;"", J3597&lt;&gt;""), HYPERLINK("#'" &amp; C3597 &amp; "'!" &amp; J3597, J3597), "")</f>
        <v>0</v>
      </c>
    </row>
    <row r="3598" spans="2:2">
      <c r="B3598" s="21">
        <f>IF(AND(C3598&lt;&gt;"", J3598&lt;&gt;""), HYPERLINK("#'" &amp; C3598 &amp; "'!" &amp; J3598, J3598), "")</f>
        <v>0</v>
      </c>
    </row>
    <row r="3599" spans="2:2">
      <c r="B3599" s="21">
        <f>IF(AND(C3599&lt;&gt;"", J3599&lt;&gt;""), HYPERLINK("#'" &amp; C3599 &amp; "'!" &amp; J3599, J3599), "")</f>
        <v>0</v>
      </c>
    </row>
    <row r="3600" spans="2:2">
      <c r="B3600" s="21">
        <f>IF(AND(C3600&lt;&gt;"", J3600&lt;&gt;""), HYPERLINK("#'" &amp; C3600 &amp; "'!" &amp; J3600, J3600), "")</f>
        <v>0</v>
      </c>
    </row>
    <row r="3601" spans="2:2">
      <c r="B3601" s="21">
        <f>IF(AND(C3601&lt;&gt;"", J3601&lt;&gt;""), HYPERLINK("#'" &amp; C3601 &amp; "'!" &amp; J3601, J3601), "")</f>
        <v>0</v>
      </c>
    </row>
    <row r="3602" spans="2:2">
      <c r="B3602" s="21">
        <f>IF(AND(C3602&lt;&gt;"", J3602&lt;&gt;""), HYPERLINK("#'" &amp; C3602 &amp; "'!" &amp; J3602, J3602), "")</f>
        <v>0</v>
      </c>
    </row>
    <row r="3603" spans="2:2">
      <c r="B3603" s="21">
        <f>IF(AND(C3603&lt;&gt;"", J3603&lt;&gt;""), HYPERLINK("#'" &amp; C3603 &amp; "'!" &amp; J3603, J3603), "")</f>
        <v>0</v>
      </c>
    </row>
    <row r="3604" spans="2:2">
      <c r="B3604" s="21">
        <f>IF(AND(C3604&lt;&gt;"", J3604&lt;&gt;""), HYPERLINK("#'" &amp; C3604 &amp; "'!" &amp; J3604, J3604), "")</f>
        <v>0</v>
      </c>
    </row>
    <row r="3605" spans="2:2">
      <c r="B3605" s="21">
        <f>IF(AND(C3605&lt;&gt;"", J3605&lt;&gt;""), HYPERLINK("#'" &amp; C3605 &amp; "'!" &amp; J3605, J3605), "")</f>
        <v>0</v>
      </c>
    </row>
    <row r="3606" spans="2:2">
      <c r="B3606" s="21">
        <f>IF(AND(C3606&lt;&gt;"", J3606&lt;&gt;""), HYPERLINK("#'" &amp; C3606 &amp; "'!" &amp; J3606, J3606), "")</f>
        <v>0</v>
      </c>
    </row>
    <row r="3607" spans="2:2">
      <c r="B3607" s="21">
        <f>IF(AND(C3607&lt;&gt;"", J3607&lt;&gt;""), HYPERLINK("#'" &amp; C3607 &amp; "'!" &amp; J3607, J3607), "")</f>
        <v>0</v>
      </c>
    </row>
    <row r="3608" spans="2:2">
      <c r="B3608" s="21">
        <f>IF(AND(C3608&lt;&gt;"", J3608&lt;&gt;""), HYPERLINK("#'" &amp; C3608 &amp; "'!" &amp; J3608, J3608), "")</f>
        <v>0</v>
      </c>
    </row>
    <row r="3609" spans="2:2">
      <c r="B3609" s="21">
        <f>IF(AND(C3609&lt;&gt;"", J3609&lt;&gt;""), HYPERLINK("#'" &amp; C3609 &amp; "'!" &amp; J3609, J3609), "")</f>
        <v>0</v>
      </c>
    </row>
    <row r="3610" spans="2:2">
      <c r="B3610" s="21">
        <f>IF(AND(C3610&lt;&gt;"", J3610&lt;&gt;""), HYPERLINK("#'" &amp; C3610 &amp; "'!" &amp; J3610, J3610), "")</f>
        <v>0</v>
      </c>
    </row>
    <row r="3611" spans="2:2">
      <c r="B3611" s="21">
        <f>IF(AND(C3611&lt;&gt;"", J3611&lt;&gt;""), HYPERLINK("#'" &amp; C3611 &amp; "'!" &amp; J3611, J3611), "")</f>
        <v>0</v>
      </c>
    </row>
    <row r="3612" spans="2:2">
      <c r="B3612" s="21">
        <f>IF(AND(C3612&lt;&gt;"", J3612&lt;&gt;""), HYPERLINK("#'" &amp; C3612 &amp; "'!" &amp; J3612, J3612), "")</f>
        <v>0</v>
      </c>
    </row>
    <row r="3613" spans="2:2">
      <c r="B3613" s="21">
        <f>IF(AND(C3613&lt;&gt;"", J3613&lt;&gt;""), HYPERLINK("#'" &amp; C3613 &amp; "'!" &amp; J3613, J3613), "")</f>
        <v>0</v>
      </c>
    </row>
    <row r="3614" spans="2:2">
      <c r="B3614" s="21">
        <f>IF(AND(C3614&lt;&gt;"", J3614&lt;&gt;""), HYPERLINK("#'" &amp; C3614 &amp; "'!" &amp; J3614, J3614), "")</f>
        <v>0</v>
      </c>
    </row>
    <row r="3615" spans="2:2">
      <c r="B3615" s="21">
        <f>IF(AND(C3615&lt;&gt;"", J3615&lt;&gt;""), HYPERLINK("#'" &amp; C3615 &amp; "'!" &amp; J3615, J3615), "")</f>
        <v>0</v>
      </c>
    </row>
    <row r="3616" spans="2:2">
      <c r="B3616" s="21">
        <f>IF(AND(C3616&lt;&gt;"", J3616&lt;&gt;""), HYPERLINK("#'" &amp; C3616 &amp; "'!" &amp; J3616, J3616), "")</f>
        <v>0</v>
      </c>
    </row>
    <row r="3617" spans="2:2">
      <c r="B3617" s="21">
        <f>IF(AND(C3617&lt;&gt;"", J3617&lt;&gt;""), HYPERLINK("#'" &amp; C3617 &amp; "'!" &amp; J3617, J3617), "")</f>
        <v>0</v>
      </c>
    </row>
    <row r="3618" spans="2:2">
      <c r="B3618" s="21">
        <f>IF(AND(C3618&lt;&gt;"", J3618&lt;&gt;""), HYPERLINK("#'" &amp; C3618 &amp; "'!" &amp; J3618, J3618), "")</f>
        <v>0</v>
      </c>
    </row>
    <row r="3619" spans="2:2">
      <c r="B3619" s="21">
        <f>IF(AND(C3619&lt;&gt;"", J3619&lt;&gt;""), HYPERLINK("#'" &amp; C3619 &amp; "'!" &amp; J3619, J3619), "")</f>
        <v>0</v>
      </c>
    </row>
    <row r="3620" spans="2:2">
      <c r="B3620" s="21">
        <f>IF(AND(C3620&lt;&gt;"", J3620&lt;&gt;""), HYPERLINK("#'" &amp; C3620 &amp; "'!" &amp; J3620, J3620), "")</f>
        <v>0</v>
      </c>
    </row>
    <row r="3621" spans="2:2">
      <c r="B3621" s="21">
        <f>IF(AND(C3621&lt;&gt;"", J3621&lt;&gt;""), HYPERLINK("#'" &amp; C3621 &amp; "'!" &amp; J3621, J3621), "")</f>
        <v>0</v>
      </c>
    </row>
    <row r="3622" spans="2:2">
      <c r="B3622" s="21">
        <f>IF(AND(C3622&lt;&gt;"", J3622&lt;&gt;""), HYPERLINK("#'" &amp; C3622 &amp; "'!" &amp; J3622, J3622), "")</f>
        <v>0</v>
      </c>
    </row>
    <row r="3623" spans="2:2">
      <c r="B3623" s="21">
        <f>IF(AND(C3623&lt;&gt;"", J3623&lt;&gt;""), HYPERLINK("#'" &amp; C3623 &amp; "'!" &amp; J3623, J3623), "")</f>
        <v>0</v>
      </c>
    </row>
    <row r="3624" spans="2:2">
      <c r="B3624" s="21">
        <f>IF(AND(C3624&lt;&gt;"", J3624&lt;&gt;""), HYPERLINK("#'" &amp; C3624 &amp; "'!" &amp; J3624, J3624), "")</f>
        <v>0</v>
      </c>
    </row>
    <row r="3625" spans="2:2">
      <c r="B3625" s="21">
        <f>IF(AND(C3625&lt;&gt;"", J3625&lt;&gt;""), HYPERLINK("#'" &amp; C3625 &amp; "'!" &amp; J3625, J3625), "")</f>
        <v>0</v>
      </c>
    </row>
    <row r="3626" spans="2:2">
      <c r="B3626" s="21">
        <f>IF(AND(C3626&lt;&gt;"", J3626&lt;&gt;""), HYPERLINK("#'" &amp; C3626 &amp; "'!" &amp; J3626, J3626), "")</f>
        <v>0</v>
      </c>
    </row>
    <row r="3627" spans="2:2">
      <c r="B3627" s="21">
        <f>IF(AND(C3627&lt;&gt;"", J3627&lt;&gt;""), HYPERLINK("#'" &amp; C3627 &amp; "'!" &amp; J3627, J3627), "")</f>
        <v>0</v>
      </c>
    </row>
    <row r="3628" spans="2:2">
      <c r="B3628" s="21">
        <f>IF(AND(C3628&lt;&gt;"", J3628&lt;&gt;""), HYPERLINK("#'" &amp; C3628 &amp; "'!" &amp; J3628, J3628), "")</f>
        <v>0</v>
      </c>
    </row>
    <row r="3629" spans="2:2">
      <c r="B3629" s="21">
        <f>IF(AND(C3629&lt;&gt;"", J3629&lt;&gt;""), HYPERLINK("#'" &amp; C3629 &amp; "'!" &amp; J3629, J3629), "")</f>
        <v>0</v>
      </c>
    </row>
    <row r="3630" spans="2:2">
      <c r="B3630" s="21">
        <f>IF(AND(C3630&lt;&gt;"", J3630&lt;&gt;""), HYPERLINK("#'" &amp; C3630 &amp; "'!" &amp; J3630, J3630), "")</f>
        <v>0</v>
      </c>
    </row>
    <row r="3631" spans="2:2">
      <c r="B3631" s="21">
        <f>IF(AND(C3631&lt;&gt;"", J3631&lt;&gt;""), HYPERLINK("#'" &amp; C3631 &amp; "'!" &amp; J3631, J3631), "")</f>
        <v>0</v>
      </c>
    </row>
    <row r="3632" spans="2:2">
      <c r="B3632" s="21">
        <f>IF(AND(C3632&lt;&gt;"", J3632&lt;&gt;""), HYPERLINK("#'" &amp; C3632 &amp; "'!" &amp; J3632, J3632), "")</f>
        <v>0</v>
      </c>
    </row>
    <row r="3633" spans="2:2">
      <c r="B3633" s="21">
        <f>IF(AND(C3633&lt;&gt;"", J3633&lt;&gt;""), HYPERLINK("#'" &amp; C3633 &amp; "'!" &amp; J3633, J3633), "")</f>
        <v>0</v>
      </c>
    </row>
    <row r="3634" spans="2:2">
      <c r="B3634" s="21">
        <f>IF(AND(C3634&lt;&gt;"", J3634&lt;&gt;""), HYPERLINK("#'" &amp; C3634 &amp; "'!" &amp; J3634, J3634), "")</f>
        <v>0</v>
      </c>
    </row>
    <row r="3635" spans="2:2">
      <c r="B3635" s="21">
        <f>IF(AND(C3635&lt;&gt;"", J3635&lt;&gt;""), HYPERLINK("#'" &amp; C3635 &amp; "'!" &amp; J3635, J3635), "")</f>
        <v>0</v>
      </c>
    </row>
    <row r="3636" spans="2:2">
      <c r="B3636" s="21">
        <f>IF(AND(C3636&lt;&gt;"", J3636&lt;&gt;""), HYPERLINK("#'" &amp; C3636 &amp; "'!" &amp; J3636, J3636), "")</f>
        <v>0</v>
      </c>
    </row>
    <row r="3637" spans="2:2">
      <c r="B3637" s="21">
        <f>IF(AND(C3637&lt;&gt;"", J3637&lt;&gt;""), HYPERLINK("#'" &amp; C3637 &amp; "'!" &amp; J3637, J3637), "")</f>
        <v>0</v>
      </c>
    </row>
    <row r="3638" spans="2:2">
      <c r="B3638" s="21">
        <f>IF(AND(C3638&lt;&gt;"", J3638&lt;&gt;""), HYPERLINK("#'" &amp; C3638 &amp; "'!" &amp; J3638, J3638), "")</f>
        <v>0</v>
      </c>
    </row>
    <row r="3639" spans="2:2">
      <c r="B3639" s="21">
        <f>IF(AND(C3639&lt;&gt;"", J3639&lt;&gt;""), HYPERLINK("#'" &amp; C3639 &amp; "'!" &amp; J3639, J3639), "")</f>
        <v>0</v>
      </c>
    </row>
    <row r="3640" spans="2:2">
      <c r="B3640" s="21">
        <f>IF(AND(C3640&lt;&gt;"", J3640&lt;&gt;""), HYPERLINK("#'" &amp; C3640 &amp; "'!" &amp; J3640, J3640), "")</f>
        <v>0</v>
      </c>
    </row>
    <row r="3641" spans="2:2">
      <c r="B3641" s="21">
        <f>IF(AND(C3641&lt;&gt;"", J3641&lt;&gt;""), HYPERLINK("#'" &amp; C3641 &amp; "'!" &amp; J3641, J3641), "")</f>
        <v>0</v>
      </c>
    </row>
    <row r="3642" spans="2:2">
      <c r="B3642" s="21">
        <f>IF(AND(C3642&lt;&gt;"", J3642&lt;&gt;""), HYPERLINK("#'" &amp; C3642 &amp; "'!" &amp; J3642, J3642), "")</f>
        <v>0</v>
      </c>
    </row>
    <row r="3643" spans="2:2">
      <c r="B3643" s="21">
        <f>IF(AND(C3643&lt;&gt;"", J3643&lt;&gt;""), HYPERLINK("#'" &amp; C3643 &amp; "'!" &amp; J3643, J3643), "")</f>
        <v>0</v>
      </c>
    </row>
    <row r="3644" spans="2:2">
      <c r="B3644" s="21">
        <f>IF(AND(C3644&lt;&gt;"", J3644&lt;&gt;""), HYPERLINK("#'" &amp; C3644 &amp; "'!" &amp; J3644, J3644), "")</f>
        <v>0</v>
      </c>
    </row>
    <row r="3645" spans="2:2">
      <c r="B3645" s="21">
        <f>IF(AND(C3645&lt;&gt;"", J3645&lt;&gt;""), HYPERLINK("#'" &amp; C3645 &amp; "'!" &amp; J3645, J3645), "")</f>
        <v>0</v>
      </c>
    </row>
    <row r="3646" spans="2:2">
      <c r="B3646" s="21">
        <f>IF(AND(C3646&lt;&gt;"", J3646&lt;&gt;""), HYPERLINK("#'" &amp; C3646 &amp; "'!" &amp; J3646, J3646), "")</f>
        <v>0</v>
      </c>
    </row>
    <row r="3647" spans="2:2">
      <c r="B3647" s="21">
        <f>IF(AND(C3647&lt;&gt;"", J3647&lt;&gt;""), HYPERLINK("#'" &amp; C3647 &amp; "'!" &amp; J3647, J3647), "")</f>
        <v>0</v>
      </c>
    </row>
    <row r="3648" spans="2:2">
      <c r="B3648" s="21">
        <f>IF(AND(C3648&lt;&gt;"", J3648&lt;&gt;""), HYPERLINK("#'" &amp; C3648 &amp; "'!" &amp; J3648, J3648), "")</f>
        <v>0</v>
      </c>
    </row>
    <row r="3649" spans="2:2">
      <c r="B3649" s="21">
        <f>IF(AND(C3649&lt;&gt;"", J3649&lt;&gt;""), HYPERLINK("#'" &amp; C3649 &amp; "'!" &amp; J3649, J3649), "")</f>
        <v>0</v>
      </c>
    </row>
    <row r="3650" spans="2:2">
      <c r="B3650" s="21">
        <f>IF(AND(C3650&lt;&gt;"", J3650&lt;&gt;""), HYPERLINK("#'" &amp; C3650 &amp; "'!" &amp; J3650, J3650), "")</f>
        <v>0</v>
      </c>
    </row>
    <row r="3651" spans="2:2">
      <c r="B3651" s="21">
        <f>IF(AND(C3651&lt;&gt;"", J3651&lt;&gt;""), HYPERLINK("#'" &amp; C3651 &amp; "'!" &amp; J3651, J3651), "")</f>
        <v>0</v>
      </c>
    </row>
    <row r="3652" spans="2:2">
      <c r="B3652" s="21">
        <f>IF(AND(C3652&lt;&gt;"", J3652&lt;&gt;""), HYPERLINK("#'" &amp; C3652 &amp; "'!" &amp; J3652, J3652), "")</f>
        <v>0</v>
      </c>
    </row>
    <row r="3653" spans="2:2">
      <c r="B3653" s="21">
        <f>IF(AND(C3653&lt;&gt;"", J3653&lt;&gt;""), HYPERLINK("#'" &amp; C3653 &amp; "'!" &amp; J3653, J3653), "")</f>
        <v>0</v>
      </c>
    </row>
    <row r="3654" spans="2:2">
      <c r="B3654" s="21">
        <f>IF(AND(C3654&lt;&gt;"", J3654&lt;&gt;""), HYPERLINK("#'" &amp; C3654 &amp; "'!" &amp; J3654, J3654), "")</f>
        <v>0</v>
      </c>
    </row>
    <row r="3655" spans="2:2">
      <c r="B3655" s="21">
        <f>IF(AND(C3655&lt;&gt;"", J3655&lt;&gt;""), HYPERLINK("#'" &amp; C3655 &amp; "'!" &amp; J3655, J3655), "")</f>
        <v>0</v>
      </c>
    </row>
    <row r="3656" spans="2:2">
      <c r="B3656" s="21">
        <f>IF(AND(C3656&lt;&gt;"", J3656&lt;&gt;""), HYPERLINK("#'" &amp; C3656 &amp; "'!" &amp; J3656, J3656), "")</f>
        <v>0</v>
      </c>
    </row>
    <row r="3657" spans="2:2">
      <c r="B3657" s="21">
        <f>IF(AND(C3657&lt;&gt;"", J3657&lt;&gt;""), HYPERLINK("#'" &amp; C3657 &amp; "'!" &amp; J3657, J3657), "")</f>
        <v>0</v>
      </c>
    </row>
    <row r="3658" spans="2:2">
      <c r="B3658" s="21">
        <f>IF(AND(C3658&lt;&gt;"", J3658&lt;&gt;""), HYPERLINK("#'" &amp; C3658 &amp; "'!" &amp; J3658, J3658), "")</f>
        <v>0</v>
      </c>
    </row>
    <row r="3659" spans="2:2">
      <c r="B3659" s="21">
        <f>IF(AND(C3659&lt;&gt;"", J3659&lt;&gt;""), HYPERLINK("#'" &amp; C3659 &amp; "'!" &amp; J3659, J3659), "")</f>
        <v>0</v>
      </c>
    </row>
    <row r="3660" spans="2:2">
      <c r="B3660" s="21">
        <f>IF(AND(C3660&lt;&gt;"", J3660&lt;&gt;""), HYPERLINK("#'" &amp; C3660 &amp; "'!" &amp; J3660, J3660), "")</f>
        <v>0</v>
      </c>
    </row>
    <row r="3661" spans="2:2">
      <c r="B3661" s="21">
        <f>IF(AND(C3661&lt;&gt;"", J3661&lt;&gt;""), HYPERLINK("#'" &amp; C3661 &amp; "'!" &amp; J3661, J3661), "")</f>
        <v>0</v>
      </c>
    </row>
    <row r="3662" spans="2:2">
      <c r="B3662" s="21">
        <f>IF(AND(C3662&lt;&gt;"", J3662&lt;&gt;""), HYPERLINK("#'" &amp; C3662 &amp; "'!" &amp; J3662, J3662), "")</f>
        <v>0</v>
      </c>
    </row>
    <row r="3663" spans="2:2">
      <c r="B3663" s="21">
        <f>IF(AND(C3663&lt;&gt;"", J3663&lt;&gt;""), HYPERLINK("#'" &amp; C3663 &amp; "'!" &amp; J3663, J3663), "")</f>
        <v>0</v>
      </c>
    </row>
    <row r="3664" spans="2:2">
      <c r="B3664" s="21">
        <f>IF(AND(C3664&lt;&gt;"", J3664&lt;&gt;""), HYPERLINK("#'" &amp; C3664 &amp; "'!" &amp; J3664, J3664), "")</f>
        <v>0</v>
      </c>
    </row>
    <row r="3665" spans="2:2">
      <c r="B3665" s="21">
        <f>IF(AND(C3665&lt;&gt;"", J3665&lt;&gt;""), HYPERLINK("#'" &amp; C3665 &amp; "'!" &amp; J3665, J3665), "")</f>
        <v>0</v>
      </c>
    </row>
    <row r="3666" spans="2:2">
      <c r="B3666" s="21">
        <f>IF(AND(C3666&lt;&gt;"", J3666&lt;&gt;""), HYPERLINK("#'" &amp; C3666 &amp; "'!" &amp; J3666, J3666), "")</f>
        <v>0</v>
      </c>
    </row>
    <row r="3667" spans="2:2">
      <c r="B3667" s="21">
        <f>IF(AND(C3667&lt;&gt;"", J3667&lt;&gt;""), HYPERLINK("#'" &amp; C3667 &amp; "'!" &amp; J3667, J3667), "")</f>
        <v>0</v>
      </c>
    </row>
    <row r="3668" spans="2:2">
      <c r="B3668" s="21">
        <f>IF(AND(C3668&lt;&gt;"", J3668&lt;&gt;""), HYPERLINK("#'" &amp; C3668 &amp; "'!" &amp; J3668, J3668), "")</f>
        <v>0</v>
      </c>
    </row>
    <row r="3669" spans="2:2">
      <c r="B3669" s="21">
        <f>IF(AND(C3669&lt;&gt;"", J3669&lt;&gt;""), HYPERLINK("#'" &amp; C3669 &amp; "'!" &amp; J3669, J3669), "")</f>
        <v>0</v>
      </c>
    </row>
    <row r="3670" spans="2:2">
      <c r="B3670" s="21">
        <f>IF(AND(C3670&lt;&gt;"", J3670&lt;&gt;""), HYPERLINK("#'" &amp; C3670 &amp; "'!" &amp; J3670, J3670), "")</f>
        <v>0</v>
      </c>
    </row>
    <row r="3671" spans="2:2">
      <c r="B3671" s="21">
        <f>IF(AND(C3671&lt;&gt;"", J3671&lt;&gt;""), HYPERLINK("#'" &amp; C3671 &amp; "'!" &amp; J3671, J3671), "")</f>
        <v>0</v>
      </c>
    </row>
    <row r="3672" spans="2:2">
      <c r="B3672" s="21">
        <f>IF(AND(C3672&lt;&gt;"", J3672&lt;&gt;""), HYPERLINK("#'" &amp; C3672 &amp; "'!" &amp; J3672, J3672), "")</f>
        <v>0</v>
      </c>
    </row>
    <row r="3673" spans="2:2">
      <c r="B3673" s="21">
        <f>IF(AND(C3673&lt;&gt;"", J3673&lt;&gt;""), HYPERLINK("#'" &amp; C3673 &amp; "'!" &amp; J3673, J3673), "")</f>
        <v>0</v>
      </c>
    </row>
    <row r="3674" spans="2:2">
      <c r="B3674" s="21">
        <f>IF(AND(C3674&lt;&gt;"", J3674&lt;&gt;""), HYPERLINK("#'" &amp; C3674 &amp; "'!" &amp; J3674, J3674), "")</f>
        <v>0</v>
      </c>
    </row>
    <row r="3675" spans="2:2">
      <c r="B3675" s="21">
        <f>IF(AND(C3675&lt;&gt;"", J3675&lt;&gt;""), HYPERLINK("#'" &amp; C3675 &amp; "'!" &amp; J3675, J3675), "")</f>
        <v>0</v>
      </c>
    </row>
    <row r="3676" spans="2:2">
      <c r="B3676" s="21">
        <f>IF(AND(C3676&lt;&gt;"", J3676&lt;&gt;""), HYPERLINK("#'" &amp; C3676 &amp; "'!" &amp; J3676, J3676), "")</f>
        <v>0</v>
      </c>
    </row>
    <row r="3677" spans="2:2">
      <c r="B3677" s="21">
        <f>IF(AND(C3677&lt;&gt;"", J3677&lt;&gt;""), HYPERLINK("#'" &amp; C3677 &amp; "'!" &amp; J3677, J3677), "")</f>
        <v>0</v>
      </c>
    </row>
    <row r="3678" spans="2:2">
      <c r="B3678" s="21">
        <f>IF(AND(C3678&lt;&gt;"", J3678&lt;&gt;""), HYPERLINK("#'" &amp; C3678 &amp; "'!" &amp; J3678, J3678), "")</f>
        <v>0</v>
      </c>
    </row>
    <row r="3679" spans="2:2">
      <c r="B3679" s="21">
        <f>IF(AND(C3679&lt;&gt;"", J3679&lt;&gt;""), HYPERLINK("#'" &amp; C3679 &amp; "'!" &amp; J3679, J3679), "")</f>
        <v>0</v>
      </c>
    </row>
    <row r="3680" spans="2:2">
      <c r="B3680" s="21">
        <f>IF(AND(C3680&lt;&gt;"", J3680&lt;&gt;""), HYPERLINK("#'" &amp; C3680 &amp; "'!" &amp; J3680, J3680), "")</f>
        <v>0</v>
      </c>
    </row>
    <row r="3681" spans="2:2">
      <c r="B3681" s="21">
        <f>IF(AND(C3681&lt;&gt;"", J3681&lt;&gt;""), HYPERLINK("#'" &amp; C3681 &amp; "'!" &amp; J3681, J3681), "")</f>
        <v>0</v>
      </c>
    </row>
    <row r="3682" spans="2:2">
      <c r="B3682" s="21">
        <f>IF(AND(C3682&lt;&gt;"", J3682&lt;&gt;""), HYPERLINK("#'" &amp; C3682 &amp; "'!" &amp; J3682, J3682), "")</f>
        <v>0</v>
      </c>
    </row>
    <row r="3683" spans="2:2">
      <c r="B3683" s="21">
        <f>IF(AND(C3683&lt;&gt;"", J3683&lt;&gt;""), HYPERLINK("#'" &amp; C3683 &amp; "'!" &amp; J3683, J3683), "")</f>
        <v>0</v>
      </c>
    </row>
    <row r="3684" spans="2:2">
      <c r="B3684" s="21">
        <f>IF(AND(C3684&lt;&gt;"", J3684&lt;&gt;""), HYPERLINK("#'" &amp; C3684 &amp; "'!" &amp; J3684, J3684), "")</f>
        <v>0</v>
      </c>
    </row>
    <row r="3685" spans="2:2">
      <c r="B3685" s="21">
        <f>IF(AND(C3685&lt;&gt;"", J3685&lt;&gt;""), HYPERLINK("#'" &amp; C3685 &amp; "'!" &amp; J3685, J3685), "")</f>
        <v>0</v>
      </c>
    </row>
    <row r="3686" spans="2:2">
      <c r="B3686" s="21">
        <f>IF(AND(C3686&lt;&gt;"", J3686&lt;&gt;""), HYPERLINK("#'" &amp; C3686 &amp; "'!" &amp; J3686, J3686), "")</f>
        <v>0</v>
      </c>
    </row>
    <row r="3687" spans="2:2">
      <c r="B3687" s="21">
        <f>IF(AND(C3687&lt;&gt;"", J3687&lt;&gt;""), HYPERLINK("#'" &amp; C3687 &amp; "'!" &amp; J3687, J3687), "")</f>
        <v>0</v>
      </c>
    </row>
    <row r="3688" spans="2:2">
      <c r="B3688" s="21">
        <f>IF(AND(C3688&lt;&gt;"", J3688&lt;&gt;""), HYPERLINK("#'" &amp; C3688 &amp; "'!" &amp; J3688, J3688), "")</f>
        <v>0</v>
      </c>
    </row>
    <row r="3689" spans="2:2">
      <c r="B3689" s="21">
        <f>IF(AND(C3689&lt;&gt;"", J3689&lt;&gt;""), HYPERLINK("#'" &amp; C3689 &amp; "'!" &amp; J3689, J3689), "")</f>
        <v>0</v>
      </c>
    </row>
    <row r="3690" spans="2:2">
      <c r="B3690" s="21">
        <f>IF(AND(C3690&lt;&gt;"", J3690&lt;&gt;""), HYPERLINK("#'" &amp; C3690 &amp; "'!" &amp; J3690, J3690), "")</f>
        <v>0</v>
      </c>
    </row>
    <row r="3691" spans="2:2">
      <c r="B3691" s="21">
        <f>IF(AND(C3691&lt;&gt;"", J3691&lt;&gt;""), HYPERLINK("#'" &amp; C3691 &amp; "'!" &amp; J3691, J3691), "")</f>
        <v>0</v>
      </c>
    </row>
    <row r="3692" spans="2:2">
      <c r="B3692" s="21">
        <f>IF(AND(C3692&lt;&gt;"", J3692&lt;&gt;""), HYPERLINK("#'" &amp; C3692 &amp; "'!" &amp; J3692, J3692), "")</f>
        <v>0</v>
      </c>
    </row>
    <row r="3693" spans="2:2">
      <c r="B3693" s="21">
        <f>IF(AND(C3693&lt;&gt;"", J3693&lt;&gt;""), HYPERLINK("#'" &amp; C3693 &amp; "'!" &amp; J3693, J3693), "")</f>
        <v>0</v>
      </c>
    </row>
    <row r="3694" spans="2:2">
      <c r="B3694" s="21">
        <f>IF(AND(C3694&lt;&gt;"", J3694&lt;&gt;""), HYPERLINK("#'" &amp; C3694 &amp; "'!" &amp; J3694, J3694), "")</f>
        <v>0</v>
      </c>
    </row>
    <row r="3695" spans="2:2">
      <c r="B3695" s="21">
        <f>IF(AND(C3695&lt;&gt;"", J3695&lt;&gt;""), HYPERLINK("#'" &amp; C3695 &amp; "'!" &amp; J3695, J3695), "")</f>
        <v>0</v>
      </c>
    </row>
    <row r="3696" spans="2:2">
      <c r="B3696" s="21">
        <f>IF(AND(C3696&lt;&gt;"", J3696&lt;&gt;""), HYPERLINK("#'" &amp; C3696 &amp; "'!" &amp; J3696, J3696), "")</f>
        <v>0</v>
      </c>
    </row>
    <row r="3697" spans="2:2">
      <c r="B3697" s="21">
        <f>IF(AND(C3697&lt;&gt;"", J3697&lt;&gt;""), HYPERLINK("#'" &amp; C3697 &amp; "'!" &amp; J3697, J3697), "")</f>
        <v>0</v>
      </c>
    </row>
    <row r="3698" spans="2:2">
      <c r="B3698" s="21">
        <f>IF(AND(C3698&lt;&gt;"", J3698&lt;&gt;""), HYPERLINK("#'" &amp; C3698 &amp; "'!" &amp; J3698, J3698), "")</f>
        <v>0</v>
      </c>
    </row>
    <row r="3699" spans="2:2">
      <c r="B3699" s="21">
        <f>IF(AND(C3699&lt;&gt;"", J3699&lt;&gt;""), HYPERLINK("#'" &amp; C3699 &amp; "'!" &amp; J3699, J3699), "")</f>
        <v>0</v>
      </c>
    </row>
    <row r="3700" spans="2:2">
      <c r="B3700" s="21">
        <f>IF(AND(C3700&lt;&gt;"", J3700&lt;&gt;""), HYPERLINK("#'" &amp; C3700 &amp; "'!" &amp; J3700, J3700), "")</f>
        <v>0</v>
      </c>
    </row>
    <row r="3701" spans="2:2">
      <c r="B3701" s="21">
        <f>IF(AND(C3701&lt;&gt;"", J3701&lt;&gt;""), HYPERLINK("#'" &amp; C3701 &amp; "'!" &amp; J3701, J3701), "")</f>
        <v>0</v>
      </c>
    </row>
    <row r="3702" spans="2:2">
      <c r="B3702" s="21">
        <f>IF(AND(C3702&lt;&gt;"", J3702&lt;&gt;""), HYPERLINK("#'" &amp; C3702 &amp; "'!" &amp; J3702, J3702), "")</f>
        <v>0</v>
      </c>
    </row>
    <row r="3703" spans="2:2">
      <c r="B3703" s="21">
        <f>IF(AND(C3703&lt;&gt;"", J3703&lt;&gt;""), HYPERLINK("#'" &amp; C3703 &amp; "'!" &amp; J3703, J3703), "")</f>
        <v>0</v>
      </c>
    </row>
    <row r="3704" spans="2:2">
      <c r="B3704" s="21">
        <f>IF(AND(C3704&lt;&gt;"", J3704&lt;&gt;""), HYPERLINK("#'" &amp; C3704 &amp; "'!" &amp; J3704, J3704), "")</f>
        <v>0</v>
      </c>
    </row>
    <row r="3705" spans="2:2">
      <c r="B3705" s="21">
        <f>IF(AND(C3705&lt;&gt;"", J3705&lt;&gt;""), HYPERLINK("#'" &amp; C3705 &amp; "'!" &amp; J3705, J3705), "")</f>
        <v>0</v>
      </c>
    </row>
    <row r="3706" spans="2:2">
      <c r="B3706" s="21">
        <f>IF(AND(C3706&lt;&gt;"", J3706&lt;&gt;""), HYPERLINK("#'" &amp; C3706 &amp; "'!" &amp; J3706, J3706), "")</f>
        <v>0</v>
      </c>
    </row>
    <row r="3707" spans="2:2">
      <c r="B3707" s="21">
        <f>IF(AND(C3707&lt;&gt;"", J3707&lt;&gt;""), HYPERLINK("#'" &amp; C3707 &amp; "'!" &amp; J3707, J3707), "")</f>
        <v>0</v>
      </c>
    </row>
    <row r="3708" spans="2:2">
      <c r="B3708" s="21">
        <f>IF(AND(C3708&lt;&gt;"", J3708&lt;&gt;""), HYPERLINK("#'" &amp; C3708 &amp; "'!" &amp; J3708, J3708), "")</f>
        <v>0</v>
      </c>
    </row>
    <row r="3709" spans="2:2">
      <c r="B3709" s="21">
        <f>IF(AND(C3709&lt;&gt;"", J3709&lt;&gt;""), HYPERLINK("#'" &amp; C3709 &amp; "'!" &amp; J3709, J3709), "")</f>
        <v>0</v>
      </c>
    </row>
    <row r="3710" spans="2:2">
      <c r="B3710" s="21">
        <f>IF(AND(C3710&lt;&gt;"", J3710&lt;&gt;""), HYPERLINK("#'" &amp; C3710 &amp; "'!" &amp; J3710, J3710), "")</f>
        <v>0</v>
      </c>
    </row>
    <row r="3711" spans="2:2">
      <c r="B3711" s="21">
        <f>IF(AND(C3711&lt;&gt;"", J3711&lt;&gt;""), HYPERLINK("#'" &amp; C3711 &amp; "'!" &amp; J3711, J3711), "")</f>
        <v>0</v>
      </c>
    </row>
    <row r="3712" spans="2:2">
      <c r="B3712" s="21">
        <f>IF(AND(C3712&lt;&gt;"", J3712&lt;&gt;""), HYPERLINK("#'" &amp; C3712 &amp; "'!" &amp; J3712, J3712), "")</f>
        <v>0</v>
      </c>
    </row>
    <row r="3713" spans="2:2">
      <c r="B3713" s="21">
        <f>IF(AND(C3713&lt;&gt;"", J3713&lt;&gt;""), HYPERLINK("#'" &amp; C3713 &amp; "'!" &amp; J3713, J3713), "")</f>
        <v>0</v>
      </c>
    </row>
    <row r="3714" spans="2:2">
      <c r="B3714" s="21">
        <f>IF(AND(C3714&lt;&gt;"", J3714&lt;&gt;""), HYPERLINK("#'" &amp; C3714 &amp; "'!" &amp; J3714, J3714), "")</f>
        <v>0</v>
      </c>
    </row>
    <row r="3715" spans="2:2">
      <c r="B3715" s="21">
        <f>IF(AND(C3715&lt;&gt;"", J3715&lt;&gt;""), HYPERLINK("#'" &amp; C3715 &amp; "'!" &amp; J3715, J3715), "")</f>
        <v>0</v>
      </c>
    </row>
    <row r="3716" spans="2:2">
      <c r="B3716" s="21">
        <f>IF(AND(C3716&lt;&gt;"", J3716&lt;&gt;""), HYPERLINK("#'" &amp; C3716 &amp; "'!" &amp; J3716, J3716), "")</f>
        <v>0</v>
      </c>
    </row>
    <row r="3717" spans="2:2">
      <c r="B3717" s="21">
        <f>IF(AND(C3717&lt;&gt;"", J3717&lt;&gt;""), HYPERLINK("#'" &amp; C3717 &amp; "'!" &amp; J3717, J3717), "")</f>
        <v>0</v>
      </c>
    </row>
    <row r="3718" spans="2:2">
      <c r="B3718" s="21">
        <f>IF(AND(C3718&lt;&gt;"", J3718&lt;&gt;""), HYPERLINK("#'" &amp; C3718 &amp; "'!" &amp; J3718, J3718), "")</f>
        <v>0</v>
      </c>
    </row>
    <row r="3719" spans="2:2">
      <c r="B3719" s="21">
        <f>IF(AND(C3719&lt;&gt;"", J3719&lt;&gt;""), HYPERLINK("#'" &amp; C3719 &amp; "'!" &amp; J3719, J3719), "")</f>
        <v>0</v>
      </c>
    </row>
    <row r="3720" spans="2:2">
      <c r="B3720" s="21">
        <f>IF(AND(C3720&lt;&gt;"", J3720&lt;&gt;""), HYPERLINK("#'" &amp; C3720 &amp; "'!" &amp; J3720, J3720), "")</f>
        <v>0</v>
      </c>
    </row>
    <row r="3721" spans="2:2">
      <c r="B3721" s="21">
        <f>IF(AND(C3721&lt;&gt;"", J3721&lt;&gt;""), HYPERLINK("#'" &amp; C3721 &amp; "'!" &amp; J3721, J3721), "")</f>
        <v>0</v>
      </c>
    </row>
    <row r="3722" spans="2:2">
      <c r="B3722" s="21">
        <f>IF(AND(C3722&lt;&gt;"", J3722&lt;&gt;""), HYPERLINK("#'" &amp; C3722 &amp; "'!" &amp; J3722, J3722), "")</f>
        <v>0</v>
      </c>
    </row>
    <row r="3723" spans="2:2">
      <c r="B3723" s="21">
        <f>IF(AND(C3723&lt;&gt;"", J3723&lt;&gt;""), HYPERLINK("#'" &amp; C3723 &amp; "'!" &amp; J3723, J3723), "")</f>
        <v>0</v>
      </c>
    </row>
    <row r="3724" spans="2:2">
      <c r="B3724" s="21">
        <f>IF(AND(C3724&lt;&gt;"", J3724&lt;&gt;""), HYPERLINK("#'" &amp; C3724 &amp; "'!" &amp; J3724, J3724), "")</f>
        <v>0</v>
      </c>
    </row>
    <row r="3725" spans="2:2">
      <c r="B3725" s="21">
        <f>IF(AND(C3725&lt;&gt;"", J3725&lt;&gt;""), HYPERLINK("#'" &amp; C3725 &amp; "'!" &amp; J3725, J3725), "")</f>
        <v>0</v>
      </c>
    </row>
    <row r="3726" spans="2:2">
      <c r="B3726" s="21">
        <f>IF(AND(C3726&lt;&gt;"", J3726&lt;&gt;""), HYPERLINK("#'" &amp; C3726 &amp; "'!" &amp; J3726, J3726), "")</f>
        <v>0</v>
      </c>
    </row>
    <row r="3727" spans="2:2">
      <c r="B3727" s="21">
        <f>IF(AND(C3727&lt;&gt;"", J3727&lt;&gt;""), HYPERLINK("#'" &amp; C3727 &amp; "'!" &amp; J3727, J3727), "")</f>
        <v>0</v>
      </c>
    </row>
    <row r="3728" spans="2:2">
      <c r="B3728" s="21">
        <f>IF(AND(C3728&lt;&gt;"", J3728&lt;&gt;""), HYPERLINK("#'" &amp; C3728 &amp; "'!" &amp; J3728, J3728), "")</f>
        <v>0</v>
      </c>
    </row>
    <row r="3729" spans="2:2">
      <c r="B3729" s="21">
        <f>IF(AND(C3729&lt;&gt;"", J3729&lt;&gt;""), HYPERLINK("#'" &amp; C3729 &amp; "'!" &amp; J3729, J3729), "")</f>
        <v>0</v>
      </c>
    </row>
    <row r="3730" spans="2:2">
      <c r="B3730" s="21">
        <f>IF(AND(C3730&lt;&gt;"", J3730&lt;&gt;""), HYPERLINK("#'" &amp; C3730 &amp; "'!" &amp; J3730, J3730), "")</f>
        <v>0</v>
      </c>
    </row>
    <row r="3731" spans="2:2">
      <c r="B3731" s="21">
        <f>IF(AND(C3731&lt;&gt;"", J3731&lt;&gt;""), HYPERLINK("#'" &amp; C3731 &amp; "'!" &amp; J3731, J3731), "")</f>
        <v>0</v>
      </c>
    </row>
    <row r="3732" spans="2:2">
      <c r="B3732" s="21">
        <f>IF(AND(C3732&lt;&gt;"", J3732&lt;&gt;""), HYPERLINK("#'" &amp; C3732 &amp; "'!" &amp; J3732, J3732), "")</f>
        <v>0</v>
      </c>
    </row>
    <row r="3733" spans="2:2">
      <c r="B3733" s="21">
        <f>IF(AND(C3733&lt;&gt;"", J3733&lt;&gt;""), HYPERLINK("#'" &amp; C3733 &amp; "'!" &amp; J3733, J3733), "")</f>
        <v>0</v>
      </c>
    </row>
    <row r="3734" spans="2:2">
      <c r="B3734" s="21">
        <f>IF(AND(C3734&lt;&gt;"", J3734&lt;&gt;""), HYPERLINK("#'" &amp; C3734 &amp; "'!" &amp; J3734, J3734), "")</f>
        <v>0</v>
      </c>
    </row>
    <row r="3735" spans="2:2">
      <c r="B3735" s="21">
        <f>IF(AND(C3735&lt;&gt;"", J3735&lt;&gt;""), HYPERLINK("#'" &amp; C3735 &amp; "'!" &amp; J3735, J3735), "")</f>
        <v>0</v>
      </c>
    </row>
    <row r="3736" spans="2:2">
      <c r="B3736" s="21">
        <f>IF(AND(C3736&lt;&gt;"", J3736&lt;&gt;""), HYPERLINK("#'" &amp; C3736 &amp; "'!" &amp; J3736, J3736), "")</f>
        <v>0</v>
      </c>
    </row>
    <row r="3737" spans="2:2">
      <c r="B3737" s="21">
        <f>IF(AND(C3737&lt;&gt;"", J3737&lt;&gt;""), HYPERLINK("#'" &amp; C3737 &amp; "'!" &amp; J3737, J3737), "")</f>
        <v>0</v>
      </c>
    </row>
    <row r="3738" spans="2:2">
      <c r="B3738" s="21">
        <f>IF(AND(C3738&lt;&gt;"", J3738&lt;&gt;""), HYPERLINK("#'" &amp; C3738 &amp; "'!" &amp; J3738, J3738), "")</f>
        <v>0</v>
      </c>
    </row>
    <row r="3739" spans="2:2">
      <c r="B3739" s="21">
        <f>IF(AND(C3739&lt;&gt;"", J3739&lt;&gt;""), HYPERLINK("#'" &amp; C3739 &amp; "'!" &amp; J3739, J3739), "")</f>
        <v>0</v>
      </c>
    </row>
    <row r="3740" spans="2:2">
      <c r="B3740" s="21">
        <f>IF(AND(C3740&lt;&gt;"", J3740&lt;&gt;""), HYPERLINK("#'" &amp; C3740 &amp; "'!" &amp; J3740, J3740), "")</f>
        <v>0</v>
      </c>
    </row>
    <row r="3741" spans="2:2">
      <c r="B3741" s="21">
        <f>IF(AND(C3741&lt;&gt;"", J3741&lt;&gt;""), HYPERLINK("#'" &amp; C3741 &amp; "'!" &amp; J3741, J3741), "")</f>
        <v>0</v>
      </c>
    </row>
    <row r="3742" spans="2:2">
      <c r="B3742" s="21">
        <f>IF(AND(C3742&lt;&gt;"", J3742&lt;&gt;""), HYPERLINK("#'" &amp; C3742 &amp; "'!" &amp; J3742, J3742), "")</f>
        <v>0</v>
      </c>
    </row>
    <row r="3743" spans="2:2">
      <c r="B3743" s="21">
        <f>IF(AND(C3743&lt;&gt;"", J3743&lt;&gt;""), HYPERLINK("#'" &amp; C3743 &amp; "'!" &amp; J3743, J3743), "")</f>
        <v>0</v>
      </c>
    </row>
    <row r="3744" spans="2:2">
      <c r="B3744" s="21">
        <f>IF(AND(C3744&lt;&gt;"", J3744&lt;&gt;""), HYPERLINK("#'" &amp; C3744 &amp; "'!" &amp; J3744, J3744), "")</f>
        <v>0</v>
      </c>
    </row>
    <row r="3745" spans="2:2">
      <c r="B3745" s="21">
        <f>IF(AND(C3745&lt;&gt;"", J3745&lt;&gt;""), HYPERLINK("#'" &amp; C3745 &amp; "'!" &amp; J3745, J3745), "")</f>
        <v>0</v>
      </c>
    </row>
    <row r="3746" spans="2:2">
      <c r="B3746" s="21">
        <f>IF(AND(C3746&lt;&gt;"", J3746&lt;&gt;""), HYPERLINK("#'" &amp; C3746 &amp; "'!" &amp; J3746, J3746), "")</f>
        <v>0</v>
      </c>
    </row>
    <row r="3747" spans="2:2">
      <c r="B3747" s="21">
        <f>IF(AND(C3747&lt;&gt;"", J3747&lt;&gt;""), HYPERLINK("#'" &amp; C3747 &amp; "'!" &amp; J3747, J3747), "")</f>
        <v>0</v>
      </c>
    </row>
    <row r="3748" spans="2:2">
      <c r="B3748" s="21">
        <f>IF(AND(C3748&lt;&gt;"", J3748&lt;&gt;""), HYPERLINK("#'" &amp; C3748 &amp; "'!" &amp; J3748, J3748), "")</f>
        <v>0</v>
      </c>
    </row>
    <row r="3749" spans="2:2">
      <c r="B3749" s="21">
        <f>IF(AND(C3749&lt;&gt;"", J3749&lt;&gt;""), HYPERLINK("#'" &amp; C3749 &amp; "'!" &amp; J3749, J3749), "")</f>
        <v>0</v>
      </c>
    </row>
    <row r="3750" spans="2:2">
      <c r="B3750" s="21">
        <f>IF(AND(C3750&lt;&gt;"", J3750&lt;&gt;""), HYPERLINK("#'" &amp; C3750 &amp; "'!" &amp; J3750, J3750), "")</f>
        <v>0</v>
      </c>
    </row>
    <row r="3751" spans="2:2">
      <c r="B3751" s="21">
        <f>IF(AND(C3751&lt;&gt;"", J3751&lt;&gt;""), HYPERLINK("#'" &amp; C3751 &amp; "'!" &amp; J3751, J3751), "")</f>
        <v>0</v>
      </c>
    </row>
    <row r="3752" spans="2:2">
      <c r="B3752" s="21">
        <f>IF(AND(C3752&lt;&gt;"", J3752&lt;&gt;""), HYPERLINK("#'" &amp; C3752 &amp; "'!" &amp; J3752, J3752), "")</f>
        <v>0</v>
      </c>
    </row>
    <row r="3753" spans="2:2">
      <c r="B3753" s="21">
        <f>IF(AND(C3753&lt;&gt;"", J3753&lt;&gt;""), HYPERLINK("#'" &amp; C3753 &amp; "'!" &amp; J3753, J3753), "")</f>
        <v>0</v>
      </c>
    </row>
    <row r="3754" spans="2:2">
      <c r="B3754" s="21">
        <f>IF(AND(C3754&lt;&gt;"", J3754&lt;&gt;""), HYPERLINK("#'" &amp; C3754 &amp; "'!" &amp; J3754, J3754), "")</f>
        <v>0</v>
      </c>
    </row>
    <row r="3755" spans="2:2">
      <c r="B3755" s="21">
        <f>IF(AND(C3755&lt;&gt;"", J3755&lt;&gt;""), HYPERLINK("#'" &amp; C3755 &amp; "'!" &amp; J3755, J3755), "")</f>
        <v>0</v>
      </c>
    </row>
    <row r="3756" spans="2:2">
      <c r="B3756" s="21">
        <f>IF(AND(C3756&lt;&gt;"", J3756&lt;&gt;""), HYPERLINK("#'" &amp; C3756 &amp; "'!" &amp; J3756, J3756), "")</f>
        <v>0</v>
      </c>
    </row>
    <row r="3757" spans="2:2">
      <c r="B3757" s="21">
        <f>IF(AND(C3757&lt;&gt;"", J3757&lt;&gt;""), HYPERLINK("#'" &amp; C3757 &amp; "'!" &amp; J3757, J3757), "")</f>
        <v>0</v>
      </c>
    </row>
    <row r="3758" spans="2:2">
      <c r="B3758" s="21">
        <f>IF(AND(C3758&lt;&gt;"", J3758&lt;&gt;""), HYPERLINK("#'" &amp; C3758 &amp; "'!" &amp; J3758, J3758), "")</f>
        <v>0</v>
      </c>
    </row>
    <row r="3759" spans="2:2">
      <c r="B3759" s="21">
        <f>IF(AND(C3759&lt;&gt;"", J3759&lt;&gt;""), HYPERLINK("#'" &amp; C3759 &amp; "'!" &amp; J3759, J3759), "")</f>
        <v>0</v>
      </c>
    </row>
    <row r="3760" spans="2:2">
      <c r="B3760" s="21">
        <f>IF(AND(C3760&lt;&gt;"", J3760&lt;&gt;""), HYPERLINK("#'" &amp; C3760 &amp; "'!" &amp; J3760, J3760), "")</f>
        <v>0</v>
      </c>
    </row>
    <row r="3761" spans="2:2">
      <c r="B3761" s="21">
        <f>IF(AND(C3761&lt;&gt;"", J3761&lt;&gt;""), HYPERLINK("#'" &amp; C3761 &amp; "'!" &amp; J3761, J3761), "")</f>
        <v>0</v>
      </c>
    </row>
    <row r="3762" spans="2:2">
      <c r="B3762" s="21">
        <f>IF(AND(C3762&lt;&gt;"", J3762&lt;&gt;""), HYPERLINK("#'" &amp; C3762 &amp; "'!" &amp; J3762, J3762), "")</f>
        <v>0</v>
      </c>
    </row>
    <row r="3763" spans="2:2">
      <c r="B3763" s="21">
        <f>IF(AND(C3763&lt;&gt;"", J3763&lt;&gt;""), HYPERLINK("#'" &amp; C3763 &amp; "'!" &amp; J3763, J3763), "")</f>
        <v>0</v>
      </c>
    </row>
    <row r="3764" spans="2:2">
      <c r="B3764" s="21">
        <f>IF(AND(C3764&lt;&gt;"", J3764&lt;&gt;""), HYPERLINK("#'" &amp; C3764 &amp; "'!" &amp; J3764, J3764), "")</f>
        <v>0</v>
      </c>
    </row>
    <row r="3765" spans="2:2">
      <c r="B3765" s="21">
        <f>IF(AND(C3765&lt;&gt;"", J3765&lt;&gt;""), HYPERLINK("#'" &amp; C3765 &amp; "'!" &amp; J3765, J3765), "")</f>
        <v>0</v>
      </c>
    </row>
    <row r="3766" spans="2:2">
      <c r="B3766" s="21">
        <f>IF(AND(C3766&lt;&gt;"", J3766&lt;&gt;""), HYPERLINK("#'" &amp; C3766 &amp; "'!" &amp; J3766, J3766), "")</f>
        <v>0</v>
      </c>
    </row>
    <row r="3767" spans="2:2">
      <c r="B3767" s="21">
        <f>IF(AND(C3767&lt;&gt;"", J3767&lt;&gt;""), HYPERLINK("#'" &amp; C3767 &amp; "'!" &amp; J3767, J3767), "")</f>
        <v>0</v>
      </c>
    </row>
    <row r="3768" spans="2:2">
      <c r="B3768" s="21">
        <f>IF(AND(C3768&lt;&gt;"", J3768&lt;&gt;""), HYPERLINK("#'" &amp; C3768 &amp; "'!" &amp; J3768, J3768), "")</f>
        <v>0</v>
      </c>
    </row>
    <row r="3769" spans="2:2">
      <c r="B3769" s="21">
        <f>IF(AND(C3769&lt;&gt;"", J3769&lt;&gt;""), HYPERLINK("#'" &amp; C3769 &amp; "'!" &amp; J3769, J3769), "")</f>
        <v>0</v>
      </c>
    </row>
    <row r="3770" spans="2:2">
      <c r="B3770" s="21">
        <f>IF(AND(C3770&lt;&gt;"", J3770&lt;&gt;""), HYPERLINK("#'" &amp; C3770 &amp; "'!" &amp; J3770, J3770), "")</f>
        <v>0</v>
      </c>
    </row>
    <row r="3771" spans="2:2">
      <c r="B3771" s="21">
        <f>IF(AND(C3771&lt;&gt;"", J3771&lt;&gt;""), HYPERLINK("#'" &amp; C3771 &amp; "'!" &amp; J3771, J3771), "")</f>
        <v>0</v>
      </c>
    </row>
    <row r="3772" spans="2:2">
      <c r="B3772" s="21">
        <f>IF(AND(C3772&lt;&gt;"", J3772&lt;&gt;""), HYPERLINK("#'" &amp; C3772 &amp; "'!" &amp; J3772, J3772), "")</f>
        <v>0</v>
      </c>
    </row>
    <row r="3773" spans="2:2">
      <c r="B3773" s="21">
        <f>IF(AND(C3773&lt;&gt;"", J3773&lt;&gt;""), HYPERLINK("#'" &amp; C3773 &amp; "'!" &amp; J3773, J3773), "")</f>
        <v>0</v>
      </c>
    </row>
    <row r="3774" spans="2:2">
      <c r="B3774" s="21">
        <f>IF(AND(C3774&lt;&gt;"", J3774&lt;&gt;""), HYPERLINK("#'" &amp; C3774 &amp; "'!" &amp; J3774, J3774), "")</f>
        <v>0</v>
      </c>
    </row>
    <row r="3775" spans="2:2">
      <c r="B3775" s="21">
        <f>IF(AND(C3775&lt;&gt;"", J3775&lt;&gt;""), HYPERLINK("#'" &amp; C3775 &amp; "'!" &amp; J3775, J3775), "")</f>
        <v>0</v>
      </c>
    </row>
    <row r="3776" spans="2:2">
      <c r="B3776" s="21">
        <f>IF(AND(C3776&lt;&gt;"", J3776&lt;&gt;""), HYPERLINK("#'" &amp; C3776 &amp; "'!" &amp; J3776, J3776), "")</f>
        <v>0</v>
      </c>
    </row>
    <row r="3777" spans="2:2">
      <c r="B3777" s="21">
        <f>IF(AND(C3777&lt;&gt;"", J3777&lt;&gt;""), HYPERLINK("#'" &amp; C3777 &amp; "'!" &amp; J3777, J3777), "")</f>
        <v>0</v>
      </c>
    </row>
    <row r="3778" spans="2:2">
      <c r="B3778" s="21">
        <f>IF(AND(C3778&lt;&gt;"", J3778&lt;&gt;""), HYPERLINK("#'" &amp; C3778 &amp; "'!" &amp; J3778, J3778), "")</f>
        <v>0</v>
      </c>
    </row>
    <row r="3779" spans="2:2">
      <c r="B3779" s="21">
        <f>IF(AND(C3779&lt;&gt;"", J3779&lt;&gt;""), HYPERLINK("#'" &amp; C3779 &amp; "'!" &amp; J3779, J3779), "")</f>
        <v>0</v>
      </c>
    </row>
    <row r="3780" spans="2:2">
      <c r="B3780" s="21">
        <f>IF(AND(C3780&lt;&gt;"", J3780&lt;&gt;""), HYPERLINK("#'" &amp; C3780 &amp; "'!" &amp; J3780, J3780), "")</f>
        <v>0</v>
      </c>
    </row>
    <row r="3781" spans="2:2">
      <c r="B3781" s="21">
        <f>IF(AND(C3781&lt;&gt;"", J3781&lt;&gt;""), HYPERLINK("#'" &amp; C3781 &amp; "'!" &amp; J3781, J3781), "")</f>
        <v>0</v>
      </c>
    </row>
    <row r="3782" spans="2:2">
      <c r="B3782" s="21">
        <f>IF(AND(C3782&lt;&gt;"", J3782&lt;&gt;""), HYPERLINK("#'" &amp; C3782 &amp; "'!" &amp; J3782, J3782), "")</f>
        <v>0</v>
      </c>
    </row>
    <row r="3783" spans="2:2">
      <c r="B3783" s="21">
        <f>IF(AND(C3783&lt;&gt;"", J3783&lt;&gt;""), HYPERLINK("#'" &amp; C3783 &amp; "'!" &amp; J3783, J3783), "")</f>
        <v>0</v>
      </c>
    </row>
    <row r="3784" spans="2:2">
      <c r="B3784" s="21">
        <f>IF(AND(C3784&lt;&gt;"", J3784&lt;&gt;""), HYPERLINK("#'" &amp; C3784 &amp; "'!" &amp; J3784, J3784), "")</f>
        <v>0</v>
      </c>
    </row>
    <row r="3785" spans="2:2">
      <c r="B3785" s="21">
        <f>IF(AND(C3785&lt;&gt;"", J3785&lt;&gt;""), HYPERLINK("#'" &amp; C3785 &amp; "'!" &amp; J3785, J3785), "")</f>
        <v>0</v>
      </c>
    </row>
    <row r="3786" spans="2:2">
      <c r="B3786" s="21">
        <f>IF(AND(C3786&lt;&gt;"", J3786&lt;&gt;""), HYPERLINK("#'" &amp; C3786 &amp; "'!" &amp; J3786, J3786), "")</f>
        <v>0</v>
      </c>
    </row>
    <row r="3787" spans="2:2">
      <c r="B3787" s="21">
        <f>IF(AND(C3787&lt;&gt;"", J3787&lt;&gt;""), HYPERLINK("#'" &amp; C3787 &amp; "'!" &amp; J3787, J3787), "")</f>
        <v>0</v>
      </c>
    </row>
    <row r="3788" spans="2:2">
      <c r="B3788" s="21">
        <f>IF(AND(C3788&lt;&gt;"", J3788&lt;&gt;""), HYPERLINK("#'" &amp; C3788 &amp; "'!" &amp; J3788, J3788), "")</f>
        <v>0</v>
      </c>
    </row>
    <row r="3789" spans="2:2">
      <c r="B3789" s="21">
        <f>IF(AND(C3789&lt;&gt;"", J3789&lt;&gt;""), HYPERLINK("#'" &amp; C3789 &amp; "'!" &amp; J3789, J3789), "")</f>
        <v>0</v>
      </c>
    </row>
    <row r="3790" spans="2:2">
      <c r="B3790" s="21">
        <f>IF(AND(C3790&lt;&gt;"", J3790&lt;&gt;""), HYPERLINK("#'" &amp; C3790 &amp; "'!" &amp; J3790, J3790), "")</f>
        <v>0</v>
      </c>
    </row>
    <row r="3791" spans="2:2">
      <c r="B3791" s="21">
        <f>IF(AND(C3791&lt;&gt;"", J3791&lt;&gt;""), HYPERLINK("#'" &amp; C3791 &amp; "'!" &amp; J3791, J3791), "")</f>
        <v>0</v>
      </c>
    </row>
    <row r="3792" spans="2:2">
      <c r="B3792" s="21">
        <f>IF(AND(C3792&lt;&gt;"", J3792&lt;&gt;""), HYPERLINK("#'" &amp; C3792 &amp; "'!" &amp; J3792, J3792), "")</f>
        <v>0</v>
      </c>
    </row>
    <row r="3793" spans="2:2">
      <c r="B3793" s="21">
        <f>IF(AND(C3793&lt;&gt;"", J3793&lt;&gt;""), HYPERLINK("#'" &amp; C3793 &amp; "'!" &amp; J3793, J3793), "")</f>
        <v>0</v>
      </c>
    </row>
    <row r="3794" spans="2:2">
      <c r="B3794" s="21">
        <f>IF(AND(C3794&lt;&gt;"", J3794&lt;&gt;""), HYPERLINK("#'" &amp; C3794 &amp; "'!" &amp; J3794, J3794), "")</f>
        <v>0</v>
      </c>
    </row>
    <row r="3795" spans="2:2">
      <c r="B3795" s="21">
        <f>IF(AND(C3795&lt;&gt;"", J3795&lt;&gt;""), HYPERLINK("#'" &amp; C3795 &amp; "'!" &amp; J3795, J3795), "")</f>
        <v>0</v>
      </c>
    </row>
    <row r="3796" spans="2:2">
      <c r="B3796" s="21">
        <f>IF(AND(C3796&lt;&gt;"", J3796&lt;&gt;""), HYPERLINK("#'" &amp; C3796 &amp; "'!" &amp; J3796, J3796), "")</f>
        <v>0</v>
      </c>
    </row>
    <row r="3797" spans="2:2">
      <c r="B3797" s="21">
        <f>IF(AND(C3797&lt;&gt;"", J3797&lt;&gt;""), HYPERLINK("#'" &amp; C3797 &amp; "'!" &amp; J3797, J3797), "")</f>
        <v>0</v>
      </c>
    </row>
    <row r="3798" spans="2:2">
      <c r="B3798" s="21">
        <f>IF(AND(C3798&lt;&gt;"", J3798&lt;&gt;""), HYPERLINK("#'" &amp; C3798 &amp; "'!" &amp; J3798, J3798), "")</f>
        <v>0</v>
      </c>
    </row>
    <row r="3799" spans="2:2">
      <c r="B3799" s="21">
        <f>IF(AND(C3799&lt;&gt;"", J3799&lt;&gt;""), HYPERLINK("#'" &amp; C3799 &amp; "'!" &amp; J3799, J3799), "")</f>
        <v>0</v>
      </c>
    </row>
    <row r="3800" spans="2:2">
      <c r="B3800" s="21">
        <f>IF(AND(C3800&lt;&gt;"", J3800&lt;&gt;""), HYPERLINK("#'" &amp; C3800 &amp; "'!" &amp; J3800, J3800), "")</f>
        <v>0</v>
      </c>
    </row>
    <row r="3801" spans="2:2">
      <c r="B3801" s="21">
        <f>IF(AND(C3801&lt;&gt;"", J3801&lt;&gt;""), HYPERLINK("#'" &amp; C3801 &amp; "'!" &amp; J3801, J3801), "")</f>
        <v>0</v>
      </c>
    </row>
    <row r="3802" spans="2:2">
      <c r="B3802" s="21">
        <f>IF(AND(C3802&lt;&gt;"", J3802&lt;&gt;""), HYPERLINK("#'" &amp; C3802 &amp; "'!" &amp; J3802, J3802), "")</f>
        <v>0</v>
      </c>
    </row>
    <row r="3803" spans="2:2">
      <c r="B3803" s="21">
        <f>IF(AND(C3803&lt;&gt;"", J3803&lt;&gt;""), HYPERLINK("#'" &amp; C3803 &amp; "'!" &amp; J3803, J3803), "")</f>
        <v>0</v>
      </c>
    </row>
    <row r="3804" spans="2:2">
      <c r="B3804" s="21">
        <f>IF(AND(C3804&lt;&gt;"", J3804&lt;&gt;""), HYPERLINK("#'" &amp; C3804 &amp; "'!" &amp; J3804, J3804), "")</f>
        <v>0</v>
      </c>
    </row>
    <row r="3805" spans="2:2">
      <c r="B3805" s="21">
        <f>IF(AND(C3805&lt;&gt;"", J3805&lt;&gt;""), HYPERLINK("#'" &amp; C3805 &amp; "'!" &amp; J3805, J3805), "")</f>
        <v>0</v>
      </c>
    </row>
    <row r="3806" spans="2:2">
      <c r="B3806" s="21">
        <f>IF(AND(C3806&lt;&gt;"", J3806&lt;&gt;""), HYPERLINK("#'" &amp; C3806 &amp; "'!" &amp; J3806, J3806), "")</f>
        <v>0</v>
      </c>
    </row>
    <row r="3807" spans="2:2">
      <c r="B3807" s="21">
        <f>IF(AND(C3807&lt;&gt;"", J3807&lt;&gt;""), HYPERLINK("#'" &amp; C3807 &amp; "'!" &amp; J3807, J3807), "")</f>
        <v>0</v>
      </c>
    </row>
    <row r="3808" spans="2:2">
      <c r="B3808" s="21">
        <f>IF(AND(C3808&lt;&gt;"", J3808&lt;&gt;""), HYPERLINK("#'" &amp; C3808 &amp; "'!" &amp; J3808, J3808), "")</f>
        <v>0</v>
      </c>
    </row>
    <row r="3809" spans="2:2">
      <c r="B3809" s="21">
        <f>IF(AND(C3809&lt;&gt;"", J3809&lt;&gt;""), HYPERLINK("#'" &amp; C3809 &amp; "'!" &amp; J3809, J3809), "")</f>
        <v>0</v>
      </c>
    </row>
    <row r="3810" spans="2:2">
      <c r="B3810" s="21">
        <f>IF(AND(C3810&lt;&gt;"", J3810&lt;&gt;""), HYPERLINK("#'" &amp; C3810 &amp; "'!" &amp; J3810, J3810), "")</f>
        <v>0</v>
      </c>
    </row>
    <row r="3811" spans="2:2">
      <c r="B3811" s="21">
        <f>IF(AND(C3811&lt;&gt;"", J3811&lt;&gt;""), HYPERLINK("#'" &amp; C3811 &amp; "'!" &amp; J3811, J3811), "")</f>
        <v>0</v>
      </c>
    </row>
    <row r="3812" spans="2:2">
      <c r="B3812" s="21">
        <f>IF(AND(C3812&lt;&gt;"", J3812&lt;&gt;""), HYPERLINK("#'" &amp; C3812 &amp; "'!" &amp; J3812, J3812), "")</f>
        <v>0</v>
      </c>
    </row>
    <row r="3813" spans="2:2">
      <c r="B3813" s="21">
        <f>IF(AND(C3813&lt;&gt;"", J3813&lt;&gt;""), HYPERLINK("#'" &amp; C3813 &amp; "'!" &amp; J3813, J3813), "")</f>
        <v>0</v>
      </c>
    </row>
    <row r="3814" spans="2:2">
      <c r="B3814" s="21">
        <f>IF(AND(C3814&lt;&gt;"", J3814&lt;&gt;""), HYPERLINK("#'" &amp; C3814 &amp; "'!" &amp; J3814, J3814), "")</f>
        <v>0</v>
      </c>
    </row>
    <row r="3815" spans="2:2">
      <c r="B3815" s="21">
        <f>IF(AND(C3815&lt;&gt;"", J3815&lt;&gt;""), HYPERLINK("#'" &amp; C3815 &amp; "'!" &amp; J3815, J3815), "")</f>
        <v>0</v>
      </c>
    </row>
    <row r="3816" spans="2:2">
      <c r="B3816" s="21">
        <f>IF(AND(C3816&lt;&gt;"", J3816&lt;&gt;""), HYPERLINK("#'" &amp; C3816 &amp; "'!" &amp; J3816, J3816), "")</f>
        <v>0</v>
      </c>
    </row>
    <row r="3817" spans="2:2">
      <c r="B3817" s="21">
        <f>IF(AND(C3817&lt;&gt;"", J3817&lt;&gt;""), HYPERLINK("#'" &amp; C3817 &amp; "'!" &amp; J3817, J3817), "")</f>
        <v>0</v>
      </c>
    </row>
    <row r="3818" spans="2:2">
      <c r="B3818" s="21">
        <f>IF(AND(C3818&lt;&gt;"", J3818&lt;&gt;""), HYPERLINK("#'" &amp; C3818 &amp; "'!" &amp; J3818, J3818), "")</f>
        <v>0</v>
      </c>
    </row>
    <row r="3819" spans="2:2">
      <c r="B3819" s="21">
        <f>IF(AND(C3819&lt;&gt;"", J3819&lt;&gt;""), HYPERLINK("#'" &amp; C3819 &amp; "'!" &amp; J3819, J3819), "")</f>
        <v>0</v>
      </c>
    </row>
    <row r="3820" spans="2:2">
      <c r="B3820" s="21">
        <f>IF(AND(C3820&lt;&gt;"", J3820&lt;&gt;""), HYPERLINK("#'" &amp; C3820 &amp; "'!" &amp; J3820, J3820), "")</f>
        <v>0</v>
      </c>
    </row>
    <row r="3821" spans="2:2">
      <c r="B3821" s="21">
        <f>IF(AND(C3821&lt;&gt;"", J3821&lt;&gt;""), HYPERLINK("#'" &amp; C3821 &amp; "'!" &amp; J3821, J3821), "")</f>
        <v>0</v>
      </c>
    </row>
    <row r="3822" spans="2:2">
      <c r="B3822" s="21">
        <f>IF(AND(C3822&lt;&gt;"", J3822&lt;&gt;""), HYPERLINK("#'" &amp; C3822 &amp; "'!" &amp; J3822, J3822), "")</f>
        <v>0</v>
      </c>
    </row>
    <row r="3823" spans="2:2">
      <c r="B3823" s="21">
        <f>IF(AND(C3823&lt;&gt;"", J3823&lt;&gt;""), HYPERLINK("#'" &amp; C3823 &amp; "'!" &amp; J3823, J3823), "")</f>
        <v>0</v>
      </c>
    </row>
    <row r="3824" spans="2:2">
      <c r="B3824" s="21">
        <f>IF(AND(C3824&lt;&gt;"", J3824&lt;&gt;""), HYPERLINK("#'" &amp; C3824 &amp; "'!" &amp; J3824, J3824), "")</f>
        <v>0</v>
      </c>
    </row>
    <row r="3825" spans="2:2">
      <c r="B3825" s="21">
        <f>IF(AND(C3825&lt;&gt;"", J3825&lt;&gt;""), HYPERLINK("#'" &amp; C3825 &amp; "'!" &amp; J3825, J3825), "")</f>
        <v>0</v>
      </c>
    </row>
    <row r="3826" spans="2:2">
      <c r="B3826" s="21">
        <f>IF(AND(C3826&lt;&gt;"", J3826&lt;&gt;""), HYPERLINK("#'" &amp; C3826 &amp; "'!" &amp; J3826, J3826), "")</f>
        <v>0</v>
      </c>
    </row>
    <row r="3827" spans="2:2">
      <c r="B3827" s="21">
        <f>IF(AND(C3827&lt;&gt;"", J3827&lt;&gt;""), HYPERLINK("#'" &amp; C3827 &amp; "'!" &amp; J3827, J3827), "")</f>
        <v>0</v>
      </c>
    </row>
    <row r="3828" spans="2:2">
      <c r="B3828" s="21">
        <f>IF(AND(C3828&lt;&gt;"", J3828&lt;&gt;""), HYPERLINK("#'" &amp; C3828 &amp; "'!" &amp; J3828, J3828), "")</f>
        <v>0</v>
      </c>
    </row>
    <row r="3829" spans="2:2">
      <c r="B3829" s="21">
        <f>IF(AND(C3829&lt;&gt;"", J3829&lt;&gt;""), HYPERLINK("#'" &amp; C3829 &amp; "'!" &amp; J3829, J3829), "")</f>
        <v>0</v>
      </c>
    </row>
    <row r="3830" spans="2:2">
      <c r="B3830" s="21">
        <f>IF(AND(C3830&lt;&gt;"", J3830&lt;&gt;""), HYPERLINK("#'" &amp; C3830 &amp; "'!" &amp; J3830, J3830), "")</f>
        <v>0</v>
      </c>
    </row>
    <row r="3831" spans="2:2">
      <c r="B3831" s="21">
        <f>IF(AND(C3831&lt;&gt;"", J3831&lt;&gt;""), HYPERLINK("#'" &amp; C3831 &amp; "'!" &amp; J3831, J3831), "")</f>
        <v>0</v>
      </c>
    </row>
    <row r="3832" spans="2:2">
      <c r="B3832" s="21">
        <f>IF(AND(C3832&lt;&gt;"", J3832&lt;&gt;""), HYPERLINK("#'" &amp; C3832 &amp; "'!" &amp; J3832, J3832), "")</f>
        <v>0</v>
      </c>
    </row>
    <row r="3833" spans="2:2">
      <c r="B3833" s="21">
        <f>IF(AND(C3833&lt;&gt;"", J3833&lt;&gt;""), HYPERLINK("#'" &amp; C3833 &amp; "'!" &amp; J3833, J3833), "")</f>
        <v>0</v>
      </c>
    </row>
    <row r="3834" spans="2:2">
      <c r="B3834" s="21">
        <f>IF(AND(C3834&lt;&gt;"", J3834&lt;&gt;""), HYPERLINK("#'" &amp; C3834 &amp; "'!" &amp; J3834, J3834), "")</f>
        <v>0</v>
      </c>
    </row>
    <row r="3835" spans="2:2">
      <c r="B3835" s="21">
        <f>IF(AND(C3835&lt;&gt;"", J3835&lt;&gt;""), HYPERLINK("#'" &amp; C3835 &amp; "'!" &amp; J3835, J3835), "")</f>
        <v>0</v>
      </c>
    </row>
    <row r="3836" spans="2:2">
      <c r="B3836" s="21">
        <f>IF(AND(C3836&lt;&gt;"", J3836&lt;&gt;""), HYPERLINK("#'" &amp; C3836 &amp; "'!" &amp; J3836, J3836), "")</f>
        <v>0</v>
      </c>
    </row>
    <row r="3837" spans="2:2">
      <c r="B3837" s="21">
        <f>IF(AND(C3837&lt;&gt;"", J3837&lt;&gt;""), HYPERLINK("#'" &amp; C3837 &amp; "'!" &amp; J3837, J3837), "")</f>
        <v>0</v>
      </c>
    </row>
    <row r="3838" spans="2:2">
      <c r="B3838" s="21">
        <f>IF(AND(C3838&lt;&gt;"", J3838&lt;&gt;""), HYPERLINK("#'" &amp; C3838 &amp; "'!" &amp; J3838, J3838), "")</f>
        <v>0</v>
      </c>
    </row>
    <row r="3839" spans="2:2">
      <c r="B3839" s="21">
        <f>IF(AND(C3839&lt;&gt;"", J3839&lt;&gt;""), HYPERLINK("#'" &amp; C3839 &amp; "'!" &amp; J3839, J3839), "")</f>
        <v>0</v>
      </c>
    </row>
    <row r="3840" spans="2:2">
      <c r="B3840" s="21">
        <f>IF(AND(C3840&lt;&gt;"", J3840&lt;&gt;""), HYPERLINK("#'" &amp; C3840 &amp; "'!" &amp; J3840, J3840), "")</f>
        <v>0</v>
      </c>
    </row>
    <row r="3841" spans="2:2">
      <c r="B3841" s="21">
        <f>IF(AND(C3841&lt;&gt;"", J3841&lt;&gt;""), HYPERLINK("#'" &amp; C3841 &amp; "'!" &amp; J3841, J3841), "")</f>
        <v>0</v>
      </c>
    </row>
    <row r="3842" spans="2:2">
      <c r="B3842" s="21">
        <f>IF(AND(C3842&lt;&gt;"", J3842&lt;&gt;""), HYPERLINK("#'" &amp; C3842 &amp; "'!" &amp; J3842, J3842), "")</f>
        <v>0</v>
      </c>
    </row>
    <row r="3843" spans="2:2">
      <c r="B3843" s="21">
        <f>IF(AND(C3843&lt;&gt;"", J3843&lt;&gt;""), HYPERLINK("#'" &amp; C3843 &amp; "'!" &amp; J3843, J3843), "")</f>
        <v>0</v>
      </c>
    </row>
    <row r="3844" spans="2:2">
      <c r="B3844" s="21">
        <f>IF(AND(C3844&lt;&gt;"", J3844&lt;&gt;""), HYPERLINK("#'" &amp; C3844 &amp; "'!" &amp; J3844, J3844), "")</f>
        <v>0</v>
      </c>
    </row>
    <row r="3845" spans="2:2">
      <c r="B3845" s="21">
        <f>IF(AND(C3845&lt;&gt;"", J3845&lt;&gt;""), HYPERLINK("#'" &amp; C3845 &amp; "'!" &amp; J3845, J3845), "")</f>
        <v>0</v>
      </c>
    </row>
    <row r="3846" spans="2:2">
      <c r="B3846" s="21">
        <f>IF(AND(C3846&lt;&gt;"", J3846&lt;&gt;""), HYPERLINK("#'" &amp; C3846 &amp; "'!" &amp; J3846, J3846), "")</f>
        <v>0</v>
      </c>
    </row>
    <row r="3847" spans="2:2">
      <c r="B3847" s="21">
        <f>IF(AND(C3847&lt;&gt;"", J3847&lt;&gt;""), HYPERLINK("#'" &amp; C3847 &amp; "'!" &amp; J3847, J3847), "")</f>
        <v>0</v>
      </c>
    </row>
    <row r="3848" spans="2:2">
      <c r="B3848" s="21">
        <f>IF(AND(C3848&lt;&gt;"", J3848&lt;&gt;""), HYPERLINK("#'" &amp; C3848 &amp; "'!" &amp; J3848, J3848), "")</f>
        <v>0</v>
      </c>
    </row>
    <row r="3849" spans="2:2">
      <c r="B3849" s="21">
        <f>IF(AND(C3849&lt;&gt;"", J3849&lt;&gt;""), HYPERLINK("#'" &amp; C3849 &amp; "'!" &amp; J3849, J3849), "")</f>
        <v>0</v>
      </c>
    </row>
    <row r="3850" spans="2:2">
      <c r="B3850" s="21">
        <f>IF(AND(C3850&lt;&gt;"", J3850&lt;&gt;""), HYPERLINK("#'" &amp; C3850 &amp; "'!" &amp; J3850, J3850), "")</f>
        <v>0</v>
      </c>
    </row>
    <row r="3851" spans="2:2">
      <c r="B3851" s="21">
        <f>IF(AND(C3851&lt;&gt;"", J3851&lt;&gt;""), HYPERLINK("#'" &amp; C3851 &amp; "'!" &amp; J3851, J3851), "")</f>
        <v>0</v>
      </c>
    </row>
    <row r="3852" spans="2:2">
      <c r="B3852" s="21">
        <f>IF(AND(C3852&lt;&gt;"", J3852&lt;&gt;""), HYPERLINK("#'" &amp; C3852 &amp; "'!" &amp; J3852, J3852), "")</f>
        <v>0</v>
      </c>
    </row>
    <row r="3853" spans="2:2">
      <c r="B3853" s="21">
        <f>IF(AND(C3853&lt;&gt;"", J3853&lt;&gt;""), HYPERLINK("#'" &amp; C3853 &amp; "'!" &amp; J3853, J3853), "")</f>
        <v>0</v>
      </c>
    </row>
    <row r="3854" spans="2:2">
      <c r="B3854" s="21">
        <f>IF(AND(C3854&lt;&gt;"", J3854&lt;&gt;""), HYPERLINK("#'" &amp; C3854 &amp; "'!" &amp; J3854, J3854), "")</f>
        <v>0</v>
      </c>
    </row>
    <row r="3855" spans="2:2">
      <c r="B3855" s="21">
        <f>IF(AND(C3855&lt;&gt;"", J3855&lt;&gt;""), HYPERLINK("#'" &amp; C3855 &amp; "'!" &amp; J3855, J3855), "")</f>
        <v>0</v>
      </c>
    </row>
    <row r="3856" spans="2:2">
      <c r="B3856" s="21">
        <f>IF(AND(C3856&lt;&gt;"", J3856&lt;&gt;""), HYPERLINK("#'" &amp; C3856 &amp; "'!" &amp; J3856, J3856), "")</f>
        <v>0</v>
      </c>
    </row>
    <row r="3857" spans="2:2">
      <c r="B3857" s="21">
        <f>IF(AND(C3857&lt;&gt;"", J3857&lt;&gt;""), HYPERLINK("#'" &amp; C3857 &amp; "'!" &amp; J3857, J3857), "")</f>
        <v>0</v>
      </c>
    </row>
    <row r="3858" spans="2:2">
      <c r="B3858" s="21">
        <f>IF(AND(C3858&lt;&gt;"", J3858&lt;&gt;""), HYPERLINK("#'" &amp; C3858 &amp; "'!" &amp; J3858, J3858), "")</f>
        <v>0</v>
      </c>
    </row>
    <row r="3859" spans="2:2">
      <c r="B3859" s="21">
        <f>IF(AND(C3859&lt;&gt;"", J3859&lt;&gt;""), HYPERLINK("#'" &amp; C3859 &amp; "'!" &amp; J3859, J3859), "")</f>
        <v>0</v>
      </c>
    </row>
    <row r="3860" spans="2:2">
      <c r="B3860" s="21">
        <f>IF(AND(C3860&lt;&gt;"", J3860&lt;&gt;""), HYPERLINK("#'" &amp; C3860 &amp; "'!" &amp; J3860, J3860), "")</f>
        <v>0</v>
      </c>
    </row>
    <row r="3861" spans="2:2">
      <c r="B3861" s="21">
        <f>IF(AND(C3861&lt;&gt;"", J3861&lt;&gt;""), HYPERLINK("#'" &amp; C3861 &amp; "'!" &amp; J3861, J3861), "")</f>
        <v>0</v>
      </c>
    </row>
    <row r="3862" spans="2:2">
      <c r="B3862" s="21">
        <f>IF(AND(C3862&lt;&gt;"", J3862&lt;&gt;""), HYPERLINK("#'" &amp; C3862 &amp; "'!" &amp; J3862, J3862), "")</f>
        <v>0</v>
      </c>
    </row>
    <row r="3863" spans="2:2">
      <c r="B3863" s="21">
        <f>IF(AND(C3863&lt;&gt;"", J3863&lt;&gt;""), HYPERLINK("#'" &amp; C3863 &amp; "'!" &amp; J3863, J3863), "")</f>
        <v>0</v>
      </c>
    </row>
    <row r="3864" spans="2:2">
      <c r="B3864" s="21">
        <f>IF(AND(C3864&lt;&gt;"", J3864&lt;&gt;""), HYPERLINK("#'" &amp; C3864 &amp; "'!" &amp; J3864, J3864), "")</f>
        <v>0</v>
      </c>
    </row>
    <row r="3865" spans="2:2">
      <c r="B3865" s="21">
        <f>IF(AND(C3865&lt;&gt;"", J3865&lt;&gt;""), HYPERLINK("#'" &amp; C3865 &amp; "'!" &amp; J3865, J3865), "")</f>
        <v>0</v>
      </c>
    </row>
    <row r="3866" spans="2:2">
      <c r="B3866" s="21">
        <f>IF(AND(C3866&lt;&gt;"", J3866&lt;&gt;""), HYPERLINK("#'" &amp; C3866 &amp; "'!" &amp; J3866, J3866), "")</f>
        <v>0</v>
      </c>
    </row>
    <row r="3867" spans="2:2">
      <c r="B3867" s="21">
        <f>IF(AND(C3867&lt;&gt;"", J3867&lt;&gt;""), HYPERLINK("#'" &amp; C3867 &amp; "'!" &amp; J3867, J3867), "")</f>
        <v>0</v>
      </c>
    </row>
    <row r="3868" spans="2:2">
      <c r="B3868" s="21">
        <f>IF(AND(C3868&lt;&gt;"", J3868&lt;&gt;""), HYPERLINK("#'" &amp; C3868 &amp; "'!" &amp; J3868, J3868), "")</f>
        <v>0</v>
      </c>
    </row>
    <row r="3869" spans="2:2">
      <c r="B3869" s="21">
        <f>IF(AND(C3869&lt;&gt;"", J3869&lt;&gt;""), HYPERLINK("#'" &amp; C3869 &amp; "'!" &amp; J3869, J3869), "")</f>
        <v>0</v>
      </c>
    </row>
    <row r="3870" spans="2:2">
      <c r="B3870" s="21">
        <f>IF(AND(C3870&lt;&gt;"", J3870&lt;&gt;""), HYPERLINK("#'" &amp; C3870 &amp; "'!" &amp; J3870, J3870), "")</f>
        <v>0</v>
      </c>
    </row>
    <row r="3871" spans="2:2">
      <c r="B3871" s="21">
        <f>IF(AND(C3871&lt;&gt;"", J3871&lt;&gt;""), HYPERLINK("#'" &amp; C3871 &amp; "'!" &amp; J3871, J3871), "")</f>
        <v>0</v>
      </c>
    </row>
    <row r="3872" spans="2:2">
      <c r="B3872" s="21">
        <f>IF(AND(C3872&lt;&gt;"", J3872&lt;&gt;""), HYPERLINK("#'" &amp; C3872 &amp; "'!" &amp; J3872, J3872), "")</f>
        <v>0</v>
      </c>
    </row>
    <row r="3873" spans="2:2">
      <c r="B3873" s="21">
        <f>IF(AND(C3873&lt;&gt;"", J3873&lt;&gt;""), HYPERLINK("#'" &amp; C3873 &amp; "'!" &amp; J3873, J3873), "")</f>
        <v>0</v>
      </c>
    </row>
    <row r="3874" spans="2:2">
      <c r="B3874" s="21">
        <f>IF(AND(C3874&lt;&gt;"", J3874&lt;&gt;""), HYPERLINK("#'" &amp; C3874 &amp; "'!" &amp; J3874, J3874), "")</f>
        <v>0</v>
      </c>
    </row>
    <row r="3875" spans="2:2">
      <c r="B3875" s="21">
        <f>IF(AND(C3875&lt;&gt;"", J3875&lt;&gt;""), HYPERLINK("#'" &amp; C3875 &amp; "'!" &amp; J3875, J3875), "")</f>
        <v>0</v>
      </c>
    </row>
    <row r="3876" spans="2:2">
      <c r="B3876" s="21">
        <f>IF(AND(C3876&lt;&gt;"", J3876&lt;&gt;""), HYPERLINK("#'" &amp; C3876 &amp; "'!" &amp; J3876, J3876), "")</f>
        <v>0</v>
      </c>
    </row>
    <row r="3877" spans="2:2">
      <c r="B3877" s="21">
        <f>IF(AND(C3877&lt;&gt;"", J3877&lt;&gt;""), HYPERLINK("#'" &amp; C3877 &amp; "'!" &amp; J3877, J3877), "")</f>
        <v>0</v>
      </c>
    </row>
    <row r="3878" spans="2:2">
      <c r="B3878" s="21">
        <f>IF(AND(C3878&lt;&gt;"", J3878&lt;&gt;""), HYPERLINK("#'" &amp; C3878 &amp; "'!" &amp; J3878, J3878), "")</f>
        <v>0</v>
      </c>
    </row>
    <row r="3879" spans="2:2">
      <c r="B3879" s="21">
        <f>IF(AND(C3879&lt;&gt;"", J3879&lt;&gt;""), HYPERLINK("#'" &amp; C3879 &amp; "'!" &amp; J3879, J3879), "")</f>
        <v>0</v>
      </c>
    </row>
    <row r="3880" spans="2:2">
      <c r="B3880" s="21">
        <f>IF(AND(C3880&lt;&gt;"", J3880&lt;&gt;""), HYPERLINK("#'" &amp; C3880 &amp; "'!" &amp; J3880, J3880), "")</f>
        <v>0</v>
      </c>
    </row>
    <row r="3881" spans="2:2">
      <c r="B3881" s="21">
        <f>IF(AND(C3881&lt;&gt;"", J3881&lt;&gt;""), HYPERLINK("#'" &amp; C3881 &amp; "'!" &amp; J3881, J3881), "")</f>
        <v>0</v>
      </c>
    </row>
    <row r="3882" spans="2:2">
      <c r="B3882" s="21">
        <f>IF(AND(C3882&lt;&gt;"", J3882&lt;&gt;""), HYPERLINK("#'" &amp; C3882 &amp; "'!" &amp; J3882, J3882), "")</f>
        <v>0</v>
      </c>
    </row>
    <row r="3883" spans="2:2">
      <c r="B3883" s="21">
        <f>IF(AND(C3883&lt;&gt;"", J3883&lt;&gt;""), HYPERLINK("#'" &amp; C3883 &amp; "'!" &amp; J3883, J3883), "")</f>
        <v>0</v>
      </c>
    </row>
    <row r="3884" spans="2:2">
      <c r="B3884" s="21">
        <f>IF(AND(C3884&lt;&gt;"", J3884&lt;&gt;""), HYPERLINK("#'" &amp; C3884 &amp; "'!" &amp; J3884, J3884), "")</f>
        <v>0</v>
      </c>
    </row>
    <row r="3885" spans="2:2">
      <c r="B3885" s="21">
        <f>IF(AND(C3885&lt;&gt;"", J3885&lt;&gt;""), HYPERLINK("#'" &amp; C3885 &amp; "'!" &amp; J3885, J3885), "")</f>
        <v>0</v>
      </c>
    </row>
    <row r="3886" spans="2:2">
      <c r="B3886" s="21">
        <f>IF(AND(C3886&lt;&gt;"", J3886&lt;&gt;""), HYPERLINK("#'" &amp; C3886 &amp; "'!" &amp; J3886, J3886), "")</f>
        <v>0</v>
      </c>
    </row>
    <row r="3887" spans="2:2">
      <c r="B3887" s="21">
        <f>IF(AND(C3887&lt;&gt;"", J3887&lt;&gt;""), HYPERLINK("#'" &amp; C3887 &amp; "'!" &amp; J3887, J3887), "")</f>
        <v>0</v>
      </c>
    </row>
    <row r="3888" spans="2:2">
      <c r="B3888" s="21">
        <f>IF(AND(C3888&lt;&gt;"", J3888&lt;&gt;""), HYPERLINK("#'" &amp; C3888 &amp; "'!" &amp; J3888, J3888), "")</f>
        <v>0</v>
      </c>
    </row>
    <row r="3889" spans="2:2">
      <c r="B3889" s="21">
        <f>IF(AND(C3889&lt;&gt;"", J3889&lt;&gt;""), HYPERLINK("#'" &amp; C3889 &amp; "'!" &amp; J3889, J3889), "")</f>
        <v>0</v>
      </c>
    </row>
    <row r="3890" spans="2:2">
      <c r="B3890" s="21">
        <f>IF(AND(C3890&lt;&gt;"", J3890&lt;&gt;""), HYPERLINK("#'" &amp; C3890 &amp; "'!" &amp; J3890, J3890), "")</f>
        <v>0</v>
      </c>
    </row>
    <row r="3891" spans="2:2">
      <c r="B3891" s="21">
        <f>IF(AND(C3891&lt;&gt;"", J3891&lt;&gt;""), HYPERLINK("#'" &amp; C3891 &amp; "'!" &amp; J3891, J3891), "")</f>
        <v>0</v>
      </c>
    </row>
    <row r="3892" spans="2:2">
      <c r="B3892" s="21">
        <f>IF(AND(C3892&lt;&gt;"", J3892&lt;&gt;""), HYPERLINK("#'" &amp; C3892 &amp; "'!" &amp; J3892, J3892), "")</f>
        <v>0</v>
      </c>
    </row>
    <row r="3893" spans="2:2">
      <c r="B3893" s="21">
        <f>IF(AND(C3893&lt;&gt;"", J3893&lt;&gt;""), HYPERLINK("#'" &amp; C3893 &amp; "'!" &amp; J3893, J3893), "")</f>
        <v>0</v>
      </c>
    </row>
    <row r="3894" spans="2:2">
      <c r="B3894" s="21">
        <f>IF(AND(C3894&lt;&gt;"", J3894&lt;&gt;""), HYPERLINK("#'" &amp; C3894 &amp; "'!" &amp; J3894, J3894), "")</f>
        <v>0</v>
      </c>
    </row>
    <row r="3895" spans="2:2">
      <c r="B3895" s="21">
        <f>IF(AND(C3895&lt;&gt;"", J3895&lt;&gt;""), HYPERLINK("#'" &amp; C3895 &amp; "'!" &amp; J3895, J3895), "")</f>
        <v>0</v>
      </c>
    </row>
    <row r="3896" spans="2:2">
      <c r="B3896" s="21">
        <f>IF(AND(C3896&lt;&gt;"", J3896&lt;&gt;""), HYPERLINK("#'" &amp; C3896 &amp; "'!" &amp; J3896, J3896), "")</f>
        <v>0</v>
      </c>
    </row>
    <row r="3897" spans="2:2">
      <c r="B3897" s="21">
        <f>IF(AND(C3897&lt;&gt;"", J3897&lt;&gt;""), HYPERLINK("#'" &amp; C3897 &amp; "'!" &amp; J3897, J3897), "")</f>
        <v>0</v>
      </c>
    </row>
    <row r="3898" spans="2:2">
      <c r="B3898" s="21">
        <f>IF(AND(C3898&lt;&gt;"", J3898&lt;&gt;""), HYPERLINK("#'" &amp; C3898 &amp; "'!" &amp; J3898, J3898), "")</f>
        <v>0</v>
      </c>
    </row>
    <row r="3899" spans="2:2">
      <c r="B3899" s="21">
        <f>IF(AND(C3899&lt;&gt;"", J3899&lt;&gt;""), HYPERLINK("#'" &amp; C3899 &amp; "'!" &amp; J3899, J3899), "")</f>
        <v>0</v>
      </c>
    </row>
    <row r="3900" spans="2:2">
      <c r="B3900" s="21">
        <f>IF(AND(C3900&lt;&gt;"", J3900&lt;&gt;""), HYPERLINK("#'" &amp; C3900 &amp; "'!" &amp; J3900, J3900), "")</f>
        <v>0</v>
      </c>
    </row>
    <row r="3901" spans="2:2">
      <c r="B3901" s="21">
        <f>IF(AND(C3901&lt;&gt;"", J3901&lt;&gt;""), HYPERLINK("#'" &amp; C3901 &amp; "'!" &amp; J3901, J3901), "")</f>
        <v>0</v>
      </c>
    </row>
    <row r="3902" spans="2:2">
      <c r="B3902" s="21">
        <f>IF(AND(C3902&lt;&gt;"", J3902&lt;&gt;""), HYPERLINK("#'" &amp; C3902 &amp; "'!" &amp; J3902, J3902), "")</f>
        <v>0</v>
      </c>
    </row>
    <row r="3903" spans="2:2">
      <c r="B3903" s="21">
        <f>IF(AND(C3903&lt;&gt;"", J3903&lt;&gt;""), HYPERLINK("#'" &amp; C3903 &amp; "'!" &amp; J3903, J3903), "")</f>
        <v>0</v>
      </c>
    </row>
    <row r="3904" spans="2:2">
      <c r="B3904" s="21">
        <f>IF(AND(C3904&lt;&gt;"", J3904&lt;&gt;""), HYPERLINK("#'" &amp; C3904 &amp; "'!" &amp; J3904, J3904), "")</f>
        <v>0</v>
      </c>
    </row>
    <row r="3905" spans="2:2">
      <c r="B3905" s="21">
        <f>IF(AND(C3905&lt;&gt;"", J3905&lt;&gt;""), HYPERLINK("#'" &amp; C3905 &amp; "'!" &amp; J3905, J3905), "")</f>
        <v>0</v>
      </c>
    </row>
    <row r="3906" spans="2:2">
      <c r="B3906" s="21">
        <f>IF(AND(C3906&lt;&gt;"", J3906&lt;&gt;""), HYPERLINK("#'" &amp; C3906 &amp; "'!" &amp; J3906, J3906), "")</f>
        <v>0</v>
      </c>
    </row>
    <row r="3907" spans="2:2">
      <c r="B3907" s="21">
        <f>IF(AND(C3907&lt;&gt;"", J3907&lt;&gt;""), HYPERLINK("#'" &amp; C3907 &amp; "'!" &amp; J3907, J3907), "")</f>
        <v>0</v>
      </c>
    </row>
    <row r="3908" spans="2:2">
      <c r="B3908" s="21">
        <f>IF(AND(C3908&lt;&gt;"", J3908&lt;&gt;""), HYPERLINK("#'" &amp; C3908 &amp; "'!" &amp; J3908, J3908), "")</f>
        <v>0</v>
      </c>
    </row>
    <row r="3909" spans="2:2">
      <c r="B3909" s="21">
        <f>IF(AND(C3909&lt;&gt;"", J3909&lt;&gt;""), HYPERLINK("#'" &amp; C3909 &amp; "'!" &amp; J3909, J3909), "")</f>
        <v>0</v>
      </c>
    </row>
    <row r="3910" spans="2:2">
      <c r="B3910" s="21">
        <f>IF(AND(C3910&lt;&gt;"", J3910&lt;&gt;""), HYPERLINK("#'" &amp; C3910 &amp; "'!" &amp; J3910, J3910), "")</f>
        <v>0</v>
      </c>
    </row>
    <row r="3911" spans="2:2">
      <c r="B3911" s="21">
        <f>IF(AND(C3911&lt;&gt;"", J3911&lt;&gt;""), HYPERLINK("#'" &amp; C3911 &amp; "'!" &amp; J3911, J3911), "")</f>
        <v>0</v>
      </c>
    </row>
    <row r="3912" spans="2:2">
      <c r="B3912" s="21">
        <f>IF(AND(C3912&lt;&gt;"", J3912&lt;&gt;""), HYPERLINK("#'" &amp; C3912 &amp; "'!" &amp; J3912, J3912), "")</f>
        <v>0</v>
      </c>
    </row>
    <row r="3913" spans="2:2">
      <c r="B3913" s="21">
        <f>IF(AND(C3913&lt;&gt;"", J3913&lt;&gt;""), HYPERLINK("#'" &amp; C3913 &amp; "'!" &amp; J3913, J3913), "")</f>
        <v>0</v>
      </c>
    </row>
    <row r="3914" spans="2:2">
      <c r="B3914" s="21">
        <f>IF(AND(C3914&lt;&gt;"", J3914&lt;&gt;""), HYPERLINK("#'" &amp; C3914 &amp; "'!" &amp; J3914, J3914), "")</f>
        <v>0</v>
      </c>
    </row>
    <row r="3915" spans="2:2">
      <c r="B3915" s="21">
        <f>IF(AND(C3915&lt;&gt;"", J3915&lt;&gt;""), HYPERLINK("#'" &amp; C3915 &amp; "'!" &amp; J3915, J3915), "")</f>
        <v>0</v>
      </c>
    </row>
    <row r="3916" spans="2:2">
      <c r="B3916" s="21">
        <f>IF(AND(C3916&lt;&gt;"", J3916&lt;&gt;""), HYPERLINK("#'" &amp; C3916 &amp; "'!" &amp; J3916, J3916), "")</f>
        <v>0</v>
      </c>
    </row>
    <row r="3917" spans="2:2">
      <c r="B3917" s="21">
        <f>IF(AND(C3917&lt;&gt;"", J3917&lt;&gt;""), HYPERLINK("#'" &amp; C3917 &amp; "'!" &amp; J3917, J3917), "")</f>
        <v>0</v>
      </c>
    </row>
    <row r="3918" spans="2:2">
      <c r="B3918" s="21">
        <f>IF(AND(C3918&lt;&gt;"", J3918&lt;&gt;""), HYPERLINK("#'" &amp; C3918 &amp; "'!" &amp; J3918, J3918), "")</f>
        <v>0</v>
      </c>
    </row>
    <row r="3919" spans="2:2">
      <c r="B3919" s="21">
        <f>IF(AND(C3919&lt;&gt;"", J3919&lt;&gt;""), HYPERLINK("#'" &amp; C3919 &amp; "'!" &amp; J3919, J3919), "")</f>
        <v>0</v>
      </c>
    </row>
    <row r="3920" spans="2:2">
      <c r="B3920" s="21">
        <f>IF(AND(C3920&lt;&gt;"", J3920&lt;&gt;""), HYPERLINK("#'" &amp; C3920 &amp; "'!" &amp; J3920, J3920), "")</f>
        <v>0</v>
      </c>
    </row>
    <row r="3921" spans="2:2">
      <c r="B3921" s="21">
        <f>IF(AND(C3921&lt;&gt;"", J3921&lt;&gt;""), HYPERLINK("#'" &amp; C3921 &amp; "'!" &amp; J3921, J3921), "")</f>
        <v>0</v>
      </c>
    </row>
    <row r="3922" spans="2:2">
      <c r="B3922" s="21">
        <f>IF(AND(C3922&lt;&gt;"", J3922&lt;&gt;""), HYPERLINK("#'" &amp; C3922 &amp; "'!" &amp; J3922, J3922), "")</f>
        <v>0</v>
      </c>
    </row>
    <row r="3923" spans="2:2">
      <c r="B3923" s="21">
        <f>IF(AND(C3923&lt;&gt;"", J3923&lt;&gt;""), HYPERLINK("#'" &amp; C3923 &amp; "'!" &amp; J3923, J3923), "")</f>
        <v>0</v>
      </c>
    </row>
    <row r="3924" spans="2:2">
      <c r="B3924" s="21">
        <f>IF(AND(C3924&lt;&gt;"", J3924&lt;&gt;""), HYPERLINK("#'" &amp; C3924 &amp; "'!" &amp; J3924, J3924), "")</f>
        <v>0</v>
      </c>
    </row>
    <row r="3925" spans="2:2">
      <c r="B3925" s="21">
        <f>IF(AND(C3925&lt;&gt;"", J3925&lt;&gt;""), HYPERLINK("#'" &amp; C3925 &amp; "'!" &amp; J3925, J3925), "")</f>
        <v>0</v>
      </c>
    </row>
    <row r="3926" spans="2:2">
      <c r="B3926" s="21">
        <f>IF(AND(C3926&lt;&gt;"", J3926&lt;&gt;""), HYPERLINK("#'" &amp; C3926 &amp; "'!" &amp; J3926, J3926), "")</f>
        <v>0</v>
      </c>
    </row>
    <row r="3927" spans="2:2">
      <c r="B3927" s="21">
        <f>IF(AND(C3927&lt;&gt;"", J3927&lt;&gt;""), HYPERLINK("#'" &amp; C3927 &amp; "'!" &amp; J3927, J3927), "")</f>
        <v>0</v>
      </c>
    </row>
    <row r="3928" spans="2:2">
      <c r="B3928" s="21">
        <f>IF(AND(C3928&lt;&gt;"", J3928&lt;&gt;""), HYPERLINK("#'" &amp; C3928 &amp; "'!" &amp; J3928, J3928), "")</f>
        <v>0</v>
      </c>
    </row>
    <row r="3929" spans="2:2">
      <c r="B3929" s="21">
        <f>IF(AND(C3929&lt;&gt;"", J3929&lt;&gt;""), HYPERLINK("#'" &amp; C3929 &amp; "'!" &amp; J3929, J3929), "")</f>
        <v>0</v>
      </c>
    </row>
    <row r="3930" spans="2:2">
      <c r="B3930" s="21">
        <f>IF(AND(C3930&lt;&gt;"", J3930&lt;&gt;""), HYPERLINK("#'" &amp; C3930 &amp; "'!" &amp; J3930, J3930), "")</f>
        <v>0</v>
      </c>
    </row>
    <row r="3931" spans="2:2">
      <c r="B3931" s="21">
        <f>IF(AND(C3931&lt;&gt;"", J3931&lt;&gt;""), HYPERLINK("#'" &amp; C3931 &amp; "'!" &amp; J3931, J3931), "")</f>
        <v>0</v>
      </c>
    </row>
    <row r="3932" spans="2:2">
      <c r="B3932" s="21">
        <f>IF(AND(C3932&lt;&gt;"", J3932&lt;&gt;""), HYPERLINK("#'" &amp; C3932 &amp; "'!" &amp; J3932, J3932), "")</f>
        <v>0</v>
      </c>
    </row>
    <row r="3933" spans="2:2">
      <c r="B3933" s="21">
        <f>IF(AND(C3933&lt;&gt;"", J3933&lt;&gt;""), HYPERLINK("#'" &amp; C3933 &amp; "'!" &amp; J3933, J3933), "")</f>
        <v>0</v>
      </c>
    </row>
    <row r="3934" spans="2:2">
      <c r="B3934" s="21">
        <f>IF(AND(C3934&lt;&gt;"", J3934&lt;&gt;""), HYPERLINK("#'" &amp; C3934 &amp; "'!" &amp; J3934, J3934), "")</f>
        <v>0</v>
      </c>
    </row>
    <row r="3935" spans="2:2">
      <c r="B3935" s="21">
        <f>IF(AND(C3935&lt;&gt;"", J3935&lt;&gt;""), HYPERLINK("#'" &amp; C3935 &amp; "'!" &amp; J3935, J3935), "")</f>
        <v>0</v>
      </c>
    </row>
    <row r="3936" spans="2:2">
      <c r="B3936" s="21">
        <f>IF(AND(C3936&lt;&gt;"", J3936&lt;&gt;""), HYPERLINK("#'" &amp; C3936 &amp; "'!" &amp; J3936, J3936), "")</f>
        <v>0</v>
      </c>
    </row>
    <row r="3937" spans="2:2">
      <c r="B3937" s="21">
        <f>IF(AND(C3937&lt;&gt;"", J3937&lt;&gt;""), HYPERLINK("#'" &amp; C3937 &amp; "'!" &amp; J3937, J3937), "")</f>
        <v>0</v>
      </c>
    </row>
    <row r="3938" spans="2:2">
      <c r="B3938" s="21">
        <f>IF(AND(C3938&lt;&gt;"", J3938&lt;&gt;""), HYPERLINK("#'" &amp; C3938 &amp; "'!" &amp; J3938, J3938), "")</f>
        <v>0</v>
      </c>
    </row>
    <row r="3939" spans="2:2">
      <c r="B3939" s="21">
        <f>IF(AND(C3939&lt;&gt;"", J3939&lt;&gt;""), HYPERLINK("#'" &amp; C3939 &amp; "'!" &amp; J3939, J3939), "")</f>
        <v>0</v>
      </c>
    </row>
    <row r="3940" spans="2:2">
      <c r="B3940" s="21">
        <f>IF(AND(C3940&lt;&gt;"", J3940&lt;&gt;""), HYPERLINK("#'" &amp; C3940 &amp; "'!" &amp; J3940, J3940), "")</f>
        <v>0</v>
      </c>
    </row>
    <row r="3941" spans="2:2">
      <c r="B3941" s="21">
        <f>IF(AND(C3941&lt;&gt;"", J3941&lt;&gt;""), HYPERLINK("#'" &amp; C3941 &amp; "'!" &amp; J3941, J3941), "")</f>
        <v>0</v>
      </c>
    </row>
    <row r="3942" spans="2:2">
      <c r="B3942" s="21">
        <f>IF(AND(C3942&lt;&gt;"", J3942&lt;&gt;""), HYPERLINK("#'" &amp; C3942 &amp; "'!" &amp; J3942, J3942), "")</f>
        <v>0</v>
      </c>
    </row>
    <row r="3943" spans="2:2">
      <c r="B3943" s="21">
        <f>IF(AND(C3943&lt;&gt;"", J3943&lt;&gt;""), HYPERLINK("#'" &amp; C3943 &amp; "'!" &amp; J3943, J3943), "")</f>
        <v>0</v>
      </c>
    </row>
    <row r="3944" spans="2:2">
      <c r="B3944" s="21">
        <f>IF(AND(C3944&lt;&gt;"", J3944&lt;&gt;""), HYPERLINK("#'" &amp; C3944 &amp; "'!" &amp; J3944, J3944), "")</f>
        <v>0</v>
      </c>
    </row>
    <row r="3945" spans="2:2">
      <c r="B3945" s="21">
        <f>IF(AND(C3945&lt;&gt;"", J3945&lt;&gt;""), HYPERLINK("#'" &amp; C3945 &amp; "'!" &amp; J3945, J3945), "")</f>
        <v>0</v>
      </c>
    </row>
    <row r="3946" spans="2:2">
      <c r="B3946" s="21">
        <f>IF(AND(C3946&lt;&gt;"", J3946&lt;&gt;""), HYPERLINK("#'" &amp; C3946 &amp; "'!" &amp; J3946, J3946), "")</f>
        <v>0</v>
      </c>
    </row>
    <row r="3947" spans="2:2">
      <c r="B3947" s="21">
        <f>IF(AND(C3947&lt;&gt;"", J3947&lt;&gt;""), HYPERLINK("#'" &amp; C3947 &amp; "'!" &amp; J3947, J3947), "")</f>
        <v>0</v>
      </c>
    </row>
    <row r="3948" spans="2:2">
      <c r="B3948" s="21">
        <f>IF(AND(C3948&lt;&gt;"", J3948&lt;&gt;""), HYPERLINK("#'" &amp; C3948 &amp; "'!" &amp; J3948, J3948), "")</f>
        <v>0</v>
      </c>
    </row>
    <row r="3949" spans="2:2">
      <c r="B3949" s="21">
        <f>IF(AND(C3949&lt;&gt;"", J3949&lt;&gt;""), HYPERLINK("#'" &amp; C3949 &amp; "'!" &amp; J3949, J3949), "")</f>
        <v>0</v>
      </c>
    </row>
    <row r="3950" spans="2:2">
      <c r="B3950" s="21">
        <f>IF(AND(C3950&lt;&gt;"", J3950&lt;&gt;""), HYPERLINK("#'" &amp; C3950 &amp; "'!" &amp; J3950, J3950), "")</f>
        <v>0</v>
      </c>
    </row>
    <row r="3951" spans="2:2">
      <c r="B3951" s="21">
        <f>IF(AND(C3951&lt;&gt;"", J3951&lt;&gt;""), HYPERLINK("#'" &amp; C3951 &amp; "'!" &amp; J3951, J3951), "")</f>
        <v>0</v>
      </c>
    </row>
    <row r="3952" spans="2:2">
      <c r="B3952" s="21">
        <f>IF(AND(C3952&lt;&gt;"", J3952&lt;&gt;""), HYPERLINK("#'" &amp; C3952 &amp; "'!" &amp; J3952, J3952), "")</f>
        <v>0</v>
      </c>
    </row>
    <row r="3953" spans="2:2">
      <c r="B3953" s="21">
        <f>IF(AND(C3953&lt;&gt;"", J3953&lt;&gt;""), HYPERLINK("#'" &amp; C3953 &amp; "'!" &amp; J3953, J3953), "")</f>
        <v>0</v>
      </c>
    </row>
    <row r="3954" spans="2:2">
      <c r="B3954" s="21">
        <f>IF(AND(C3954&lt;&gt;"", J3954&lt;&gt;""), HYPERLINK("#'" &amp; C3954 &amp; "'!" &amp; J3954, J3954), "")</f>
        <v>0</v>
      </c>
    </row>
    <row r="3955" spans="2:2">
      <c r="B3955" s="21">
        <f>IF(AND(C3955&lt;&gt;"", J3955&lt;&gt;""), HYPERLINK("#'" &amp; C3955 &amp; "'!" &amp; J3955, J3955), "")</f>
        <v>0</v>
      </c>
    </row>
    <row r="3956" spans="2:2">
      <c r="B3956" s="21">
        <f>IF(AND(C3956&lt;&gt;"", J3956&lt;&gt;""), HYPERLINK("#'" &amp; C3956 &amp; "'!" &amp; J3956, J3956), "")</f>
        <v>0</v>
      </c>
    </row>
    <row r="3957" spans="2:2">
      <c r="B3957" s="21">
        <f>IF(AND(C3957&lt;&gt;"", J3957&lt;&gt;""), HYPERLINK("#'" &amp; C3957 &amp; "'!" &amp; J3957, J3957), "")</f>
        <v>0</v>
      </c>
    </row>
    <row r="3958" spans="2:2">
      <c r="B3958" s="21">
        <f>IF(AND(C3958&lt;&gt;"", J3958&lt;&gt;""), HYPERLINK("#'" &amp; C3958 &amp; "'!" &amp; J3958, J3958), "")</f>
        <v>0</v>
      </c>
    </row>
    <row r="3959" spans="2:2">
      <c r="B3959" s="21">
        <f>IF(AND(C3959&lt;&gt;"", J3959&lt;&gt;""), HYPERLINK("#'" &amp; C3959 &amp; "'!" &amp; J3959, J3959), "")</f>
        <v>0</v>
      </c>
    </row>
    <row r="3960" spans="2:2">
      <c r="B3960" s="21">
        <f>IF(AND(C3960&lt;&gt;"", J3960&lt;&gt;""), HYPERLINK("#'" &amp; C3960 &amp; "'!" &amp; J3960, J3960), "")</f>
        <v>0</v>
      </c>
    </row>
    <row r="3961" spans="2:2">
      <c r="B3961" s="21">
        <f>IF(AND(C3961&lt;&gt;"", J3961&lt;&gt;""), HYPERLINK("#'" &amp; C3961 &amp; "'!" &amp; J3961, J3961), "")</f>
        <v>0</v>
      </c>
    </row>
    <row r="3962" spans="2:2">
      <c r="B3962" s="21">
        <f>IF(AND(C3962&lt;&gt;"", J3962&lt;&gt;""), HYPERLINK("#'" &amp; C3962 &amp; "'!" &amp; J3962, J3962), "")</f>
        <v>0</v>
      </c>
    </row>
    <row r="3963" spans="2:2">
      <c r="B3963" s="21">
        <f>IF(AND(C3963&lt;&gt;"", J3963&lt;&gt;""), HYPERLINK("#'" &amp; C3963 &amp; "'!" &amp; J3963, J3963), "")</f>
        <v>0</v>
      </c>
    </row>
    <row r="3964" spans="2:2">
      <c r="B3964" s="21">
        <f>IF(AND(C3964&lt;&gt;"", J3964&lt;&gt;""), HYPERLINK("#'" &amp; C3964 &amp; "'!" &amp; J3964, J3964), "")</f>
        <v>0</v>
      </c>
    </row>
    <row r="3965" spans="2:2">
      <c r="B3965" s="21">
        <f>IF(AND(C3965&lt;&gt;"", J3965&lt;&gt;""), HYPERLINK("#'" &amp; C3965 &amp; "'!" &amp; J3965, J3965), "")</f>
        <v>0</v>
      </c>
    </row>
    <row r="3966" spans="2:2">
      <c r="B3966" s="21">
        <f>IF(AND(C3966&lt;&gt;"", J3966&lt;&gt;""), HYPERLINK("#'" &amp; C3966 &amp; "'!" &amp; J3966, J3966), "")</f>
        <v>0</v>
      </c>
    </row>
    <row r="3967" spans="2:2">
      <c r="B3967" s="21">
        <f>IF(AND(C3967&lt;&gt;"", J3967&lt;&gt;""), HYPERLINK("#'" &amp; C3967 &amp; "'!" &amp; J3967, J3967), "")</f>
        <v>0</v>
      </c>
    </row>
    <row r="3968" spans="2:2">
      <c r="B3968" s="21">
        <f>IF(AND(C3968&lt;&gt;"", J3968&lt;&gt;""), HYPERLINK("#'" &amp; C3968 &amp; "'!" &amp; J3968, J3968), "")</f>
        <v>0</v>
      </c>
    </row>
    <row r="3969" spans="2:2">
      <c r="B3969" s="21">
        <f>IF(AND(C3969&lt;&gt;"", J3969&lt;&gt;""), HYPERLINK("#'" &amp; C3969 &amp; "'!" &amp; J3969, J3969), "")</f>
        <v>0</v>
      </c>
    </row>
    <row r="3970" spans="2:2">
      <c r="B3970" s="21">
        <f>IF(AND(C3970&lt;&gt;"", J3970&lt;&gt;""), HYPERLINK("#'" &amp; C3970 &amp; "'!" &amp; J3970, J3970), "")</f>
        <v>0</v>
      </c>
    </row>
    <row r="3971" spans="2:2">
      <c r="B3971" s="21">
        <f>IF(AND(C3971&lt;&gt;"", J3971&lt;&gt;""), HYPERLINK("#'" &amp; C3971 &amp; "'!" &amp; J3971, J3971), "")</f>
        <v>0</v>
      </c>
    </row>
    <row r="3972" spans="2:2">
      <c r="B3972" s="21">
        <f>IF(AND(C3972&lt;&gt;"", J3972&lt;&gt;""), HYPERLINK("#'" &amp; C3972 &amp; "'!" &amp; J3972, J3972), "")</f>
        <v>0</v>
      </c>
    </row>
    <row r="3973" spans="2:2">
      <c r="B3973" s="21">
        <f>IF(AND(C3973&lt;&gt;"", J3973&lt;&gt;""), HYPERLINK("#'" &amp; C3973 &amp; "'!" &amp; J3973, J3973), "")</f>
        <v>0</v>
      </c>
    </row>
    <row r="3974" spans="2:2">
      <c r="B3974" s="21">
        <f>IF(AND(C3974&lt;&gt;"", J3974&lt;&gt;""), HYPERLINK("#'" &amp; C3974 &amp; "'!" &amp; J3974, J3974), "")</f>
        <v>0</v>
      </c>
    </row>
    <row r="3975" spans="2:2">
      <c r="B3975" s="21">
        <f>IF(AND(C3975&lt;&gt;"", J3975&lt;&gt;""), HYPERLINK("#'" &amp; C3975 &amp; "'!" &amp; J3975, J3975), "")</f>
        <v>0</v>
      </c>
    </row>
    <row r="3976" spans="2:2">
      <c r="B3976" s="21">
        <f>IF(AND(C3976&lt;&gt;"", J3976&lt;&gt;""), HYPERLINK("#'" &amp; C3976 &amp; "'!" &amp; J3976, J3976), "")</f>
        <v>0</v>
      </c>
    </row>
    <row r="3977" spans="2:2">
      <c r="B3977" s="21">
        <f>IF(AND(C3977&lt;&gt;"", J3977&lt;&gt;""), HYPERLINK("#'" &amp; C3977 &amp; "'!" &amp; J3977, J3977), "")</f>
        <v>0</v>
      </c>
    </row>
    <row r="3978" spans="2:2">
      <c r="B3978" s="21">
        <f>IF(AND(C3978&lt;&gt;"", J3978&lt;&gt;""), HYPERLINK("#'" &amp; C3978 &amp; "'!" &amp; J3978, J3978), "")</f>
        <v>0</v>
      </c>
    </row>
    <row r="3979" spans="2:2">
      <c r="B3979" s="21">
        <f>IF(AND(C3979&lt;&gt;"", J3979&lt;&gt;""), HYPERLINK("#'" &amp; C3979 &amp; "'!" &amp; J3979, J3979), "")</f>
        <v>0</v>
      </c>
    </row>
    <row r="3980" spans="2:2">
      <c r="B3980" s="21">
        <f>IF(AND(C3980&lt;&gt;"", J3980&lt;&gt;""), HYPERLINK("#'" &amp; C3980 &amp; "'!" &amp; J3980, J3980), "")</f>
        <v>0</v>
      </c>
    </row>
    <row r="3981" spans="2:2">
      <c r="B3981" s="21">
        <f>IF(AND(C3981&lt;&gt;"", J3981&lt;&gt;""), HYPERLINK("#'" &amp; C3981 &amp; "'!" &amp; J3981, J3981), "")</f>
        <v>0</v>
      </c>
    </row>
    <row r="3982" spans="2:2">
      <c r="B3982" s="21">
        <f>IF(AND(C3982&lt;&gt;"", J3982&lt;&gt;""), HYPERLINK("#'" &amp; C3982 &amp; "'!" &amp; J3982, J3982), "")</f>
        <v>0</v>
      </c>
    </row>
    <row r="3983" spans="2:2">
      <c r="B3983" s="21">
        <f>IF(AND(C3983&lt;&gt;"", J3983&lt;&gt;""), HYPERLINK("#'" &amp; C3983 &amp; "'!" &amp; J3983, J3983), "")</f>
        <v>0</v>
      </c>
    </row>
    <row r="3984" spans="2:2">
      <c r="B3984" s="21">
        <f>IF(AND(C3984&lt;&gt;"", J3984&lt;&gt;""), HYPERLINK("#'" &amp; C3984 &amp; "'!" &amp; J3984, J3984), "")</f>
        <v>0</v>
      </c>
    </row>
    <row r="3985" spans="2:2">
      <c r="B3985" s="21">
        <f>IF(AND(C3985&lt;&gt;"", J3985&lt;&gt;""), HYPERLINK("#'" &amp; C3985 &amp; "'!" &amp; J3985, J3985), "")</f>
        <v>0</v>
      </c>
    </row>
    <row r="3986" spans="2:2">
      <c r="B3986" s="21">
        <f>IF(AND(C3986&lt;&gt;"", J3986&lt;&gt;""), HYPERLINK("#'" &amp; C3986 &amp; "'!" &amp; J3986, J3986), "")</f>
        <v>0</v>
      </c>
    </row>
    <row r="3987" spans="2:2">
      <c r="B3987" s="21">
        <f>IF(AND(C3987&lt;&gt;"", J3987&lt;&gt;""), HYPERLINK("#'" &amp; C3987 &amp; "'!" &amp; J3987, J3987), "")</f>
        <v>0</v>
      </c>
    </row>
    <row r="3988" spans="2:2">
      <c r="B3988" s="21">
        <f>IF(AND(C3988&lt;&gt;"", J3988&lt;&gt;""), HYPERLINK("#'" &amp; C3988 &amp; "'!" &amp; J3988, J3988), "")</f>
        <v>0</v>
      </c>
    </row>
    <row r="3989" spans="2:2">
      <c r="B3989" s="21">
        <f>IF(AND(C3989&lt;&gt;"", J3989&lt;&gt;""), HYPERLINK("#'" &amp; C3989 &amp; "'!" &amp; J3989, J3989), "")</f>
        <v>0</v>
      </c>
    </row>
    <row r="3990" spans="2:2">
      <c r="B3990" s="21">
        <f>IF(AND(C3990&lt;&gt;"", J3990&lt;&gt;""), HYPERLINK("#'" &amp; C3990 &amp; "'!" &amp; J3990, J3990), "")</f>
        <v>0</v>
      </c>
    </row>
    <row r="3991" spans="2:2">
      <c r="B3991" s="21">
        <f>IF(AND(C3991&lt;&gt;"", J3991&lt;&gt;""), HYPERLINK("#'" &amp; C3991 &amp; "'!" &amp; J3991, J3991), "")</f>
        <v>0</v>
      </c>
    </row>
    <row r="3992" spans="2:2">
      <c r="B3992" s="21">
        <f>IF(AND(C3992&lt;&gt;"", J3992&lt;&gt;""), HYPERLINK("#'" &amp; C3992 &amp; "'!" &amp; J3992, J3992), "")</f>
        <v>0</v>
      </c>
    </row>
    <row r="3993" spans="2:2">
      <c r="B3993" s="21">
        <f>IF(AND(C3993&lt;&gt;"", J3993&lt;&gt;""), HYPERLINK("#'" &amp; C3993 &amp; "'!" &amp; J3993, J3993), "")</f>
        <v>0</v>
      </c>
    </row>
    <row r="3994" spans="2:2">
      <c r="B3994" s="21">
        <f>IF(AND(C3994&lt;&gt;"", J3994&lt;&gt;""), HYPERLINK("#'" &amp; C3994 &amp; "'!" &amp; J3994, J3994), "")</f>
        <v>0</v>
      </c>
    </row>
    <row r="3995" spans="2:2">
      <c r="B3995" s="21">
        <f>IF(AND(C3995&lt;&gt;"", J3995&lt;&gt;""), HYPERLINK("#'" &amp; C3995 &amp; "'!" &amp; J3995, J3995), "")</f>
        <v>0</v>
      </c>
    </row>
    <row r="3996" spans="2:2">
      <c r="B3996" s="21">
        <f>IF(AND(C3996&lt;&gt;"", J3996&lt;&gt;""), HYPERLINK("#'" &amp; C3996 &amp; "'!" &amp; J3996, J3996), "")</f>
        <v>0</v>
      </c>
    </row>
    <row r="3997" spans="2:2">
      <c r="B3997" s="21">
        <f>IF(AND(C3997&lt;&gt;"", J3997&lt;&gt;""), HYPERLINK("#'" &amp; C3997 &amp; "'!" &amp; J3997, J3997), "")</f>
        <v>0</v>
      </c>
    </row>
    <row r="3998" spans="2:2">
      <c r="B3998" s="21">
        <f>IF(AND(C3998&lt;&gt;"", J3998&lt;&gt;""), HYPERLINK("#'" &amp; C3998 &amp; "'!" &amp; J3998, J3998), "")</f>
        <v>0</v>
      </c>
    </row>
    <row r="3999" spans="2:2">
      <c r="B3999" s="21">
        <f>IF(AND(C3999&lt;&gt;"", J3999&lt;&gt;""), HYPERLINK("#'" &amp; C3999 &amp; "'!" &amp; J3999, J3999), "")</f>
        <v>0</v>
      </c>
    </row>
    <row r="4000" spans="2:2">
      <c r="B4000" s="21">
        <f>IF(AND(C4000&lt;&gt;"", J4000&lt;&gt;""), HYPERLINK("#'" &amp; C4000 &amp; "'!" &amp; J4000, J4000), "")</f>
        <v>0</v>
      </c>
    </row>
    <row r="4001" spans="2:2">
      <c r="B4001" s="21">
        <f>IF(AND(C4001&lt;&gt;"", J4001&lt;&gt;""), HYPERLINK("#'" &amp; C4001 &amp; "'!" &amp; J4001, J4001), "")</f>
        <v>0</v>
      </c>
    </row>
    <row r="4002" spans="2:2">
      <c r="B4002" s="21">
        <f>IF(AND(C4002&lt;&gt;"", J4002&lt;&gt;""), HYPERLINK("#'" &amp; C4002 &amp; "'!" &amp; J4002, J4002), "")</f>
        <v>0</v>
      </c>
    </row>
    <row r="4003" spans="2:2">
      <c r="B4003" s="21">
        <f>IF(AND(C4003&lt;&gt;"", J4003&lt;&gt;""), HYPERLINK("#'" &amp; C4003 &amp; "'!" &amp; J4003, J4003), "")</f>
        <v>0</v>
      </c>
    </row>
    <row r="4004" spans="2:2">
      <c r="B4004" s="21">
        <f>IF(AND(C4004&lt;&gt;"", J4004&lt;&gt;""), HYPERLINK("#'" &amp; C4004 &amp; "'!" &amp; J4004, J4004), "")</f>
        <v>0</v>
      </c>
    </row>
    <row r="4005" spans="2:2">
      <c r="B4005" s="21">
        <f>IF(AND(C4005&lt;&gt;"", J4005&lt;&gt;""), HYPERLINK("#'" &amp; C4005 &amp; "'!" &amp; J4005, J4005), "")</f>
        <v>0</v>
      </c>
    </row>
    <row r="4006" spans="2:2">
      <c r="B4006" s="21">
        <f>IF(AND(C4006&lt;&gt;"", J4006&lt;&gt;""), HYPERLINK("#'" &amp; C4006 &amp; "'!" &amp; J4006, J4006), "")</f>
        <v>0</v>
      </c>
    </row>
    <row r="4007" spans="2:2">
      <c r="B4007" s="21">
        <f>IF(AND(C4007&lt;&gt;"", J4007&lt;&gt;""), HYPERLINK("#'" &amp; C4007 &amp; "'!" &amp; J4007, J4007), "")</f>
        <v>0</v>
      </c>
    </row>
    <row r="4008" spans="2:2">
      <c r="B4008" s="21">
        <f>IF(AND(C4008&lt;&gt;"", J4008&lt;&gt;""), HYPERLINK("#'" &amp; C4008 &amp; "'!" &amp; J4008, J4008), "")</f>
        <v>0</v>
      </c>
    </row>
    <row r="4009" spans="2:2">
      <c r="B4009" s="21">
        <f>IF(AND(C4009&lt;&gt;"", J4009&lt;&gt;""), HYPERLINK("#'" &amp; C4009 &amp; "'!" &amp; J4009, J4009), "")</f>
        <v>0</v>
      </c>
    </row>
    <row r="4010" spans="2:2">
      <c r="B4010" s="21">
        <f>IF(AND(C4010&lt;&gt;"", J4010&lt;&gt;""), HYPERLINK("#'" &amp; C4010 &amp; "'!" &amp; J4010, J4010), "")</f>
        <v>0</v>
      </c>
    </row>
    <row r="4011" spans="2:2">
      <c r="B4011" s="21">
        <f>IF(AND(C4011&lt;&gt;"", J4011&lt;&gt;""), HYPERLINK("#'" &amp; C4011 &amp; "'!" &amp; J4011, J4011), "")</f>
        <v>0</v>
      </c>
    </row>
    <row r="4012" spans="2:2">
      <c r="B4012" s="21">
        <f>IF(AND(C4012&lt;&gt;"", J4012&lt;&gt;""), HYPERLINK("#'" &amp; C4012 &amp; "'!" &amp; J4012, J4012), "")</f>
        <v>0</v>
      </c>
    </row>
    <row r="4013" spans="2:2">
      <c r="B4013" s="21">
        <f>IF(AND(C4013&lt;&gt;"", J4013&lt;&gt;""), HYPERLINK("#'" &amp; C4013 &amp; "'!" &amp; J4013, J4013), "")</f>
        <v>0</v>
      </c>
    </row>
    <row r="4014" spans="2:2">
      <c r="B4014" s="21">
        <f>IF(AND(C4014&lt;&gt;"", J4014&lt;&gt;""), HYPERLINK("#'" &amp; C4014 &amp; "'!" &amp; J4014, J4014), "")</f>
        <v>0</v>
      </c>
    </row>
    <row r="4015" spans="2:2">
      <c r="B4015" s="21">
        <f>IF(AND(C4015&lt;&gt;"", J4015&lt;&gt;""), HYPERLINK("#'" &amp; C4015 &amp; "'!" &amp; J4015, J4015), "")</f>
        <v>0</v>
      </c>
    </row>
    <row r="4016" spans="2:2">
      <c r="B4016" s="21">
        <f>IF(AND(C4016&lt;&gt;"", J4016&lt;&gt;""), HYPERLINK("#'" &amp; C4016 &amp; "'!" &amp; J4016, J4016), "")</f>
        <v>0</v>
      </c>
    </row>
    <row r="4017" spans="2:2">
      <c r="B4017" s="21">
        <f>IF(AND(C4017&lt;&gt;"", J4017&lt;&gt;""), HYPERLINK("#'" &amp; C4017 &amp; "'!" &amp; J4017, J4017), "")</f>
        <v>0</v>
      </c>
    </row>
    <row r="4018" spans="2:2">
      <c r="B4018" s="21">
        <f>IF(AND(C4018&lt;&gt;"", J4018&lt;&gt;""), HYPERLINK("#'" &amp; C4018 &amp; "'!" &amp; J4018, J4018), "")</f>
        <v>0</v>
      </c>
    </row>
    <row r="4019" spans="2:2">
      <c r="B4019" s="21">
        <f>IF(AND(C4019&lt;&gt;"", J4019&lt;&gt;""), HYPERLINK("#'" &amp; C4019 &amp; "'!" &amp; J4019, J4019), "")</f>
        <v>0</v>
      </c>
    </row>
    <row r="4020" spans="2:2">
      <c r="B4020" s="21">
        <f>IF(AND(C4020&lt;&gt;"", J4020&lt;&gt;""), HYPERLINK("#'" &amp; C4020 &amp; "'!" &amp; J4020, J4020), "")</f>
        <v>0</v>
      </c>
    </row>
    <row r="4021" spans="2:2">
      <c r="B4021" s="21">
        <f>IF(AND(C4021&lt;&gt;"", J4021&lt;&gt;""), HYPERLINK("#'" &amp; C4021 &amp; "'!" &amp; J4021, J4021), "")</f>
        <v>0</v>
      </c>
    </row>
    <row r="4022" spans="2:2">
      <c r="B4022" s="21">
        <f>IF(AND(C4022&lt;&gt;"", J4022&lt;&gt;""), HYPERLINK("#'" &amp; C4022 &amp; "'!" &amp; J4022, J4022), "")</f>
        <v>0</v>
      </c>
    </row>
    <row r="4023" spans="2:2">
      <c r="B4023" s="21">
        <f>IF(AND(C4023&lt;&gt;"", J4023&lt;&gt;""), HYPERLINK("#'" &amp; C4023 &amp; "'!" &amp; J4023, J4023), "")</f>
        <v>0</v>
      </c>
    </row>
    <row r="4024" spans="2:2">
      <c r="B4024" s="21">
        <f>IF(AND(C4024&lt;&gt;"", J4024&lt;&gt;""), HYPERLINK("#'" &amp; C4024 &amp; "'!" &amp; J4024, J4024), "")</f>
        <v>0</v>
      </c>
    </row>
    <row r="4025" spans="2:2">
      <c r="B4025" s="21">
        <f>IF(AND(C4025&lt;&gt;"", J4025&lt;&gt;""), HYPERLINK("#'" &amp; C4025 &amp; "'!" &amp; J4025, J4025), "")</f>
        <v>0</v>
      </c>
    </row>
    <row r="4026" spans="2:2">
      <c r="B4026" s="21">
        <f>IF(AND(C4026&lt;&gt;"", J4026&lt;&gt;""), HYPERLINK("#'" &amp; C4026 &amp; "'!" &amp; J4026, J4026), "")</f>
        <v>0</v>
      </c>
    </row>
    <row r="4027" spans="2:2">
      <c r="B4027" s="21">
        <f>IF(AND(C4027&lt;&gt;"", J4027&lt;&gt;""), HYPERLINK("#'" &amp; C4027 &amp; "'!" &amp; J4027, J4027), "")</f>
        <v>0</v>
      </c>
    </row>
    <row r="4028" spans="2:2">
      <c r="B4028" s="21">
        <f>IF(AND(C4028&lt;&gt;"", J4028&lt;&gt;""), HYPERLINK("#'" &amp; C4028 &amp; "'!" &amp; J4028, J4028), "")</f>
        <v>0</v>
      </c>
    </row>
    <row r="4029" spans="2:2">
      <c r="B4029" s="21">
        <f>IF(AND(C4029&lt;&gt;"", J4029&lt;&gt;""), HYPERLINK("#'" &amp; C4029 &amp; "'!" &amp; J4029, J4029), "")</f>
        <v>0</v>
      </c>
    </row>
    <row r="4030" spans="2:2">
      <c r="B4030" s="21">
        <f>IF(AND(C4030&lt;&gt;"", J4030&lt;&gt;""), HYPERLINK("#'" &amp; C4030 &amp; "'!" &amp; J4030, J4030), "")</f>
        <v>0</v>
      </c>
    </row>
    <row r="4031" spans="2:2">
      <c r="B4031" s="21">
        <f>IF(AND(C4031&lt;&gt;"", J4031&lt;&gt;""), HYPERLINK("#'" &amp; C4031 &amp; "'!" &amp; J4031, J4031), "")</f>
        <v>0</v>
      </c>
    </row>
    <row r="4032" spans="2:2">
      <c r="B4032" s="21">
        <f>IF(AND(C4032&lt;&gt;"", J4032&lt;&gt;""), HYPERLINK("#'" &amp; C4032 &amp; "'!" &amp; J4032, J4032), "")</f>
        <v>0</v>
      </c>
    </row>
    <row r="4033" spans="2:2">
      <c r="B4033" s="21">
        <f>IF(AND(C4033&lt;&gt;"", J4033&lt;&gt;""), HYPERLINK("#'" &amp; C4033 &amp; "'!" &amp; J4033, J4033), "")</f>
        <v>0</v>
      </c>
    </row>
    <row r="4034" spans="2:2">
      <c r="B4034" s="21">
        <f>IF(AND(C4034&lt;&gt;"", J4034&lt;&gt;""), HYPERLINK("#'" &amp; C4034 &amp; "'!" &amp; J4034, J4034), "")</f>
        <v>0</v>
      </c>
    </row>
    <row r="4035" spans="2:2">
      <c r="B4035" s="21">
        <f>IF(AND(C4035&lt;&gt;"", J4035&lt;&gt;""), HYPERLINK("#'" &amp; C4035 &amp; "'!" &amp; J4035, J4035), "")</f>
        <v>0</v>
      </c>
    </row>
    <row r="4036" spans="2:2">
      <c r="B4036" s="21">
        <f>IF(AND(C4036&lt;&gt;"", J4036&lt;&gt;""), HYPERLINK("#'" &amp; C4036 &amp; "'!" &amp; J4036, J4036), "")</f>
        <v>0</v>
      </c>
    </row>
    <row r="4037" spans="2:2">
      <c r="B4037" s="21">
        <f>IF(AND(C4037&lt;&gt;"", J4037&lt;&gt;""), HYPERLINK("#'" &amp; C4037 &amp; "'!" &amp; J4037, J4037), "")</f>
        <v>0</v>
      </c>
    </row>
    <row r="4038" spans="2:2">
      <c r="B4038" s="21">
        <f>IF(AND(C4038&lt;&gt;"", J4038&lt;&gt;""), HYPERLINK("#'" &amp; C4038 &amp; "'!" &amp; J4038, J4038), "")</f>
        <v>0</v>
      </c>
    </row>
    <row r="4039" spans="2:2">
      <c r="B4039" s="21">
        <f>IF(AND(C4039&lt;&gt;"", J4039&lt;&gt;""), HYPERLINK("#'" &amp; C4039 &amp; "'!" &amp; J4039, J4039), "")</f>
        <v>0</v>
      </c>
    </row>
    <row r="4040" spans="2:2">
      <c r="B4040" s="21">
        <f>IF(AND(C4040&lt;&gt;"", J4040&lt;&gt;""), HYPERLINK("#'" &amp; C4040 &amp; "'!" &amp; J4040, J4040), "")</f>
        <v>0</v>
      </c>
    </row>
    <row r="4041" spans="2:2">
      <c r="B4041" s="21">
        <f>IF(AND(C4041&lt;&gt;"", J4041&lt;&gt;""), HYPERLINK("#'" &amp; C4041 &amp; "'!" &amp; J4041, J4041), "")</f>
        <v>0</v>
      </c>
    </row>
    <row r="4042" spans="2:2">
      <c r="B4042" s="21">
        <f>IF(AND(C4042&lt;&gt;"", J4042&lt;&gt;""), HYPERLINK("#'" &amp; C4042 &amp; "'!" &amp; J4042, J4042), "")</f>
        <v>0</v>
      </c>
    </row>
    <row r="4043" spans="2:2">
      <c r="B4043" s="21">
        <f>IF(AND(C4043&lt;&gt;"", J4043&lt;&gt;""), HYPERLINK("#'" &amp; C4043 &amp; "'!" &amp; J4043, J4043), "")</f>
        <v>0</v>
      </c>
    </row>
    <row r="4044" spans="2:2">
      <c r="B4044" s="21">
        <f>IF(AND(C4044&lt;&gt;"", J4044&lt;&gt;""), HYPERLINK("#'" &amp; C4044 &amp; "'!" &amp; J4044, J4044), "")</f>
        <v>0</v>
      </c>
    </row>
    <row r="4045" spans="2:2">
      <c r="B4045" s="21">
        <f>IF(AND(C4045&lt;&gt;"", J4045&lt;&gt;""), HYPERLINK("#'" &amp; C4045 &amp; "'!" &amp; J4045, J4045), "")</f>
        <v>0</v>
      </c>
    </row>
    <row r="4046" spans="2:2">
      <c r="B4046" s="21">
        <f>IF(AND(C4046&lt;&gt;"", J4046&lt;&gt;""), HYPERLINK("#'" &amp; C4046 &amp; "'!" &amp; J4046, J4046), "")</f>
        <v>0</v>
      </c>
    </row>
    <row r="4047" spans="2:2">
      <c r="B4047" s="21">
        <f>IF(AND(C4047&lt;&gt;"", J4047&lt;&gt;""), HYPERLINK("#'" &amp; C4047 &amp; "'!" &amp; J4047, J4047), "")</f>
        <v>0</v>
      </c>
    </row>
    <row r="4048" spans="2:2">
      <c r="B4048" s="21">
        <f>IF(AND(C4048&lt;&gt;"", J4048&lt;&gt;""), HYPERLINK("#'" &amp; C4048 &amp; "'!" &amp; J4048, J4048), "")</f>
        <v>0</v>
      </c>
    </row>
    <row r="4049" spans="2:2">
      <c r="B4049" s="21">
        <f>IF(AND(C4049&lt;&gt;"", J4049&lt;&gt;""), HYPERLINK("#'" &amp; C4049 &amp; "'!" &amp; J4049, J4049), "")</f>
        <v>0</v>
      </c>
    </row>
    <row r="4050" spans="2:2">
      <c r="B4050" s="21">
        <f>IF(AND(C4050&lt;&gt;"", J4050&lt;&gt;""), HYPERLINK("#'" &amp; C4050 &amp; "'!" &amp; J4050, J4050), "")</f>
        <v>0</v>
      </c>
    </row>
    <row r="4051" spans="2:2">
      <c r="B4051" s="21">
        <f>IF(AND(C4051&lt;&gt;"", J4051&lt;&gt;""), HYPERLINK("#'" &amp; C4051 &amp; "'!" &amp; J4051, J4051), "")</f>
        <v>0</v>
      </c>
    </row>
    <row r="4052" spans="2:2">
      <c r="B4052" s="21">
        <f>IF(AND(C4052&lt;&gt;"", J4052&lt;&gt;""), HYPERLINK("#'" &amp; C4052 &amp; "'!" &amp; J4052, J4052), "")</f>
        <v>0</v>
      </c>
    </row>
    <row r="4053" spans="2:2">
      <c r="B4053" s="21">
        <f>IF(AND(C4053&lt;&gt;"", J4053&lt;&gt;""), HYPERLINK("#'" &amp; C4053 &amp; "'!" &amp; J4053, J4053), "")</f>
        <v>0</v>
      </c>
    </row>
    <row r="4054" spans="2:2">
      <c r="B4054" s="21">
        <f>IF(AND(C4054&lt;&gt;"", J4054&lt;&gt;""), HYPERLINK("#'" &amp; C4054 &amp; "'!" &amp; J4054, J4054), "")</f>
        <v>0</v>
      </c>
    </row>
    <row r="4055" spans="2:2">
      <c r="B4055" s="21">
        <f>IF(AND(C4055&lt;&gt;"", J4055&lt;&gt;""), HYPERLINK("#'" &amp; C4055 &amp; "'!" &amp; J4055, J4055), "")</f>
        <v>0</v>
      </c>
    </row>
    <row r="4056" spans="2:2">
      <c r="B4056" s="21">
        <f>IF(AND(C4056&lt;&gt;"", J4056&lt;&gt;""), HYPERLINK("#'" &amp; C4056 &amp; "'!" &amp; J4056, J4056), "")</f>
        <v>0</v>
      </c>
    </row>
    <row r="4057" spans="2:2">
      <c r="B4057" s="21">
        <f>IF(AND(C4057&lt;&gt;"", J4057&lt;&gt;""), HYPERLINK("#'" &amp; C4057 &amp; "'!" &amp; J4057, J4057), "")</f>
        <v>0</v>
      </c>
    </row>
    <row r="4058" spans="2:2">
      <c r="B4058" s="21">
        <f>IF(AND(C4058&lt;&gt;"", J4058&lt;&gt;""), HYPERLINK("#'" &amp; C4058 &amp; "'!" &amp; J4058, J4058), "")</f>
        <v>0</v>
      </c>
    </row>
    <row r="4059" spans="2:2">
      <c r="B4059" s="21">
        <f>IF(AND(C4059&lt;&gt;"", J4059&lt;&gt;""), HYPERLINK("#'" &amp; C4059 &amp; "'!" &amp; J4059, J4059), "")</f>
        <v>0</v>
      </c>
    </row>
    <row r="4060" spans="2:2">
      <c r="B4060" s="21">
        <f>IF(AND(C4060&lt;&gt;"", J4060&lt;&gt;""), HYPERLINK("#'" &amp; C4060 &amp; "'!" &amp; J4060, J4060), "")</f>
        <v>0</v>
      </c>
    </row>
    <row r="4061" spans="2:2">
      <c r="B4061" s="21">
        <f>IF(AND(C4061&lt;&gt;"", J4061&lt;&gt;""), HYPERLINK("#'" &amp; C4061 &amp; "'!" &amp; J4061, J4061), "")</f>
        <v>0</v>
      </c>
    </row>
    <row r="4062" spans="2:2">
      <c r="B4062" s="21">
        <f>IF(AND(C4062&lt;&gt;"", J4062&lt;&gt;""), HYPERLINK("#'" &amp; C4062 &amp; "'!" &amp; J4062, J4062), "")</f>
        <v>0</v>
      </c>
    </row>
    <row r="4063" spans="2:2">
      <c r="B4063" s="21">
        <f>IF(AND(C4063&lt;&gt;"", J4063&lt;&gt;""), HYPERLINK("#'" &amp; C4063 &amp; "'!" &amp; J4063, J4063), "")</f>
        <v>0</v>
      </c>
    </row>
    <row r="4064" spans="2:2">
      <c r="B4064" s="21">
        <f>IF(AND(C4064&lt;&gt;"", J4064&lt;&gt;""), HYPERLINK("#'" &amp; C4064 &amp; "'!" &amp; J4064, J4064), "")</f>
        <v>0</v>
      </c>
    </row>
    <row r="4065" spans="2:2">
      <c r="B4065" s="21">
        <f>IF(AND(C4065&lt;&gt;"", J4065&lt;&gt;""), HYPERLINK("#'" &amp; C4065 &amp; "'!" &amp; J4065, J4065), "")</f>
        <v>0</v>
      </c>
    </row>
    <row r="4066" spans="2:2">
      <c r="B4066" s="21">
        <f>IF(AND(C4066&lt;&gt;"", J4066&lt;&gt;""), HYPERLINK("#'" &amp; C4066 &amp; "'!" &amp; J4066, J4066), "")</f>
        <v>0</v>
      </c>
    </row>
    <row r="4067" spans="2:2">
      <c r="B4067" s="21">
        <f>IF(AND(C4067&lt;&gt;"", J4067&lt;&gt;""), HYPERLINK("#'" &amp; C4067 &amp; "'!" &amp; J4067, J4067), "")</f>
        <v>0</v>
      </c>
    </row>
    <row r="4068" spans="2:2">
      <c r="B4068" s="21">
        <f>IF(AND(C4068&lt;&gt;"", J4068&lt;&gt;""), HYPERLINK("#'" &amp; C4068 &amp; "'!" &amp; J4068, J4068), "")</f>
        <v>0</v>
      </c>
    </row>
    <row r="4069" spans="2:2">
      <c r="B4069" s="21">
        <f>IF(AND(C4069&lt;&gt;"", J4069&lt;&gt;""), HYPERLINK("#'" &amp; C4069 &amp; "'!" &amp; J4069, J4069), "")</f>
        <v>0</v>
      </c>
    </row>
    <row r="4070" spans="2:2">
      <c r="B4070" s="21">
        <f>IF(AND(C4070&lt;&gt;"", J4070&lt;&gt;""), HYPERLINK("#'" &amp; C4070 &amp; "'!" &amp; J4070, J4070), "")</f>
        <v>0</v>
      </c>
    </row>
    <row r="4071" spans="2:2">
      <c r="B4071" s="21">
        <f>IF(AND(C4071&lt;&gt;"", J4071&lt;&gt;""), HYPERLINK("#'" &amp; C4071 &amp; "'!" &amp; J4071, J4071), "")</f>
        <v>0</v>
      </c>
    </row>
    <row r="4072" spans="2:2">
      <c r="B4072" s="21">
        <f>IF(AND(C4072&lt;&gt;"", J4072&lt;&gt;""), HYPERLINK("#'" &amp; C4072 &amp; "'!" &amp; J4072, J4072), "")</f>
        <v>0</v>
      </c>
    </row>
    <row r="4073" spans="2:2">
      <c r="B4073" s="21">
        <f>IF(AND(C4073&lt;&gt;"", J4073&lt;&gt;""), HYPERLINK("#'" &amp; C4073 &amp; "'!" &amp; J4073, J4073), "")</f>
        <v>0</v>
      </c>
    </row>
    <row r="4074" spans="2:2">
      <c r="B4074" s="21">
        <f>IF(AND(C4074&lt;&gt;"", J4074&lt;&gt;""), HYPERLINK("#'" &amp; C4074 &amp; "'!" &amp; J4074, J4074), "")</f>
        <v>0</v>
      </c>
    </row>
    <row r="4075" spans="2:2">
      <c r="B4075" s="21">
        <f>IF(AND(C4075&lt;&gt;"", J4075&lt;&gt;""), HYPERLINK("#'" &amp; C4075 &amp; "'!" &amp; J4075, J4075), "")</f>
        <v>0</v>
      </c>
    </row>
    <row r="4076" spans="2:2">
      <c r="B4076" s="21">
        <f>IF(AND(C4076&lt;&gt;"", J4076&lt;&gt;""), HYPERLINK("#'" &amp; C4076 &amp; "'!" &amp; J4076, J4076), "")</f>
        <v>0</v>
      </c>
    </row>
    <row r="4077" spans="2:2">
      <c r="B4077" s="21">
        <f>IF(AND(C4077&lt;&gt;"", J4077&lt;&gt;""), HYPERLINK("#'" &amp; C4077 &amp; "'!" &amp; J4077, J4077), "")</f>
        <v>0</v>
      </c>
    </row>
    <row r="4078" spans="2:2">
      <c r="B4078" s="21">
        <f>IF(AND(C4078&lt;&gt;"", J4078&lt;&gt;""), HYPERLINK("#'" &amp; C4078 &amp; "'!" &amp; J4078, J4078), "")</f>
        <v>0</v>
      </c>
    </row>
    <row r="4079" spans="2:2">
      <c r="B4079" s="21">
        <f>IF(AND(C4079&lt;&gt;"", J4079&lt;&gt;""), HYPERLINK("#'" &amp; C4079 &amp; "'!" &amp; J4079, J4079), "")</f>
        <v>0</v>
      </c>
    </row>
    <row r="4080" spans="2:2">
      <c r="B4080" s="21">
        <f>IF(AND(C4080&lt;&gt;"", J4080&lt;&gt;""), HYPERLINK("#'" &amp; C4080 &amp; "'!" &amp; J4080, J4080), "")</f>
        <v>0</v>
      </c>
    </row>
    <row r="4081" spans="2:2">
      <c r="B4081" s="21">
        <f>IF(AND(C4081&lt;&gt;"", J4081&lt;&gt;""), HYPERLINK("#'" &amp; C4081 &amp; "'!" &amp; J4081, J4081), "")</f>
        <v>0</v>
      </c>
    </row>
    <row r="4082" spans="2:2">
      <c r="B4082" s="21">
        <f>IF(AND(C4082&lt;&gt;"", J4082&lt;&gt;""), HYPERLINK("#'" &amp; C4082 &amp; "'!" &amp; J4082, J4082), "")</f>
        <v>0</v>
      </c>
    </row>
    <row r="4083" spans="2:2">
      <c r="B4083" s="21">
        <f>IF(AND(C4083&lt;&gt;"", J4083&lt;&gt;""), HYPERLINK("#'" &amp; C4083 &amp; "'!" &amp; J4083, J4083), "")</f>
        <v>0</v>
      </c>
    </row>
    <row r="4084" spans="2:2">
      <c r="B4084" s="21">
        <f>IF(AND(C4084&lt;&gt;"", J4084&lt;&gt;""), HYPERLINK("#'" &amp; C4084 &amp; "'!" &amp; J4084, J4084), "")</f>
        <v>0</v>
      </c>
    </row>
    <row r="4085" spans="2:2">
      <c r="B4085" s="21">
        <f>IF(AND(C4085&lt;&gt;"", J4085&lt;&gt;""), HYPERLINK("#'" &amp; C4085 &amp; "'!" &amp; J4085, J4085), "")</f>
        <v>0</v>
      </c>
    </row>
    <row r="4086" spans="2:2">
      <c r="B4086" s="21">
        <f>IF(AND(C4086&lt;&gt;"", J4086&lt;&gt;""), HYPERLINK("#'" &amp; C4086 &amp; "'!" &amp; J4086, J4086), "")</f>
        <v>0</v>
      </c>
    </row>
    <row r="4087" spans="2:2">
      <c r="B4087" s="21">
        <f>IF(AND(C4087&lt;&gt;"", J4087&lt;&gt;""), HYPERLINK("#'" &amp; C4087 &amp; "'!" &amp; J4087, J4087), "")</f>
        <v>0</v>
      </c>
    </row>
    <row r="4088" spans="2:2">
      <c r="B4088" s="21">
        <f>IF(AND(C4088&lt;&gt;"", J4088&lt;&gt;""), HYPERLINK("#'" &amp; C4088 &amp; "'!" &amp; J4088, J4088), "")</f>
        <v>0</v>
      </c>
    </row>
    <row r="4089" spans="2:2">
      <c r="B4089" s="21">
        <f>IF(AND(C4089&lt;&gt;"", J4089&lt;&gt;""), HYPERLINK("#'" &amp; C4089 &amp; "'!" &amp; J4089, J4089), "")</f>
        <v>0</v>
      </c>
    </row>
    <row r="4090" spans="2:2">
      <c r="B4090" s="21">
        <f>IF(AND(C4090&lt;&gt;"", J4090&lt;&gt;""), HYPERLINK("#'" &amp; C4090 &amp; "'!" &amp; J4090, J4090), "")</f>
        <v>0</v>
      </c>
    </row>
    <row r="4091" spans="2:2">
      <c r="B4091" s="21">
        <f>IF(AND(C4091&lt;&gt;"", J4091&lt;&gt;""), HYPERLINK("#'" &amp; C4091 &amp; "'!" &amp; J4091, J4091), "")</f>
        <v>0</v>
      </c>
    </row>
    <row r="4092" spans="2:2">
      <c r="B4092" s="21">
        <f>IF(AND(C4092&lt;&gt;"", J4092&lt;&gt;""), HYPERLINK("#'" &amp; C4092 &amp; "'!" &amp; J4092, J4092), "")</f>
        <v>0</v>
      </c>
    </row>
    <row r="4093" spans="2:2">
      <c r="B4093" s="21">
        <f>IF(AND(C4093&lt;&gt;"", J4093&lt;&gt;""), HYPERLINK("#'" &amp; C4093 &amp; "'!" &amp; J4093, J4093), "")</f>
        <v>0</v>
      </c>
    </row>
    <row r="4094" spans="2:2">
      <c r="B4094" s="21">
        <f>IF(AND(C4094&lt;&gt;"", J4094&lt;&gt;""), HYPERLINK("#'" &amp; C4094 &amp; "'!" &amp; J4094, J4094), "")</f>
        <v>0</v>
      </c>
    </row>
    <row r="4095" spans="2:2">
      <c r="B4095" s="21">
        <f>IF(AND(C4095&lt;&gt;"", J4095&lt;&gt;""), HYPERLINK("#'" &amp; C4095 &amp; "'!" &amp; J4095, J4095), "")</f>
        <v>0</v>
      </c>
    </row>
    <row r="4096" spans="2:2">
      <c r="B4096" s="21">
        <f>IF(AND(C4096&lt;&gt;"", J4096&lt;&gt;""), HYPERLINK("#'" &amp; C4096 &amp; "'!" &amp; J4096, J4096), "")</f>
        <v>0</v>
      </c>
    </row>
    <row r="4097" spans="2:2">
      <c r="B4097" s="21">
        <f>IF(AND(C4097&lt;&gt;"", J4097&lt;&gt;""), HYPERLINK("#'" &amp; C4097 &amp; "'!" &amp; J4097, J4097), "")</f>
        <v>0</v>
      </c>
    </row>
    <row r="4098" spans="2:2">
      <c r="B4098" s="21">
        <f>IF(AND(C4098&lt;&gt;"", J4098&lt;&gt;""), HYPERLINK("#'" &amp; C4098 &amp; "'!" &amp; J4098, J4098), "")</f>
        <v>0</v>
      </c>
    </row>
    <row r="4099" spans="2:2">
      <c r="B4099" s="21">
        <f>IF(AND(C4099&lt;&gt;"", J4099&lt;&gt;""), HYPERLINK("#'" &amp; C4099 &amp; "'!" &amp; J4099, J4099), "")</f>
        <v>0</v>
      </c>
    </row>
    <row r="4100" spans="2:2">
      <c r="B4100" s="21">
        <f>IF(AND(C4100&lt;&gt;"", J4100&lt;&gt;""), HYPERLINK("#'" &amp; C4100 &amp; "'!" &amp; J4100, J4100), "")</f>
        <v>0</v>
      </c>
    </row>
    <row r="4101" spans="2:2">
      <c r="B4101" s="21">
        <f>IF(AND(C4101&lt;&gt;"", J4101&lt;&gt;""), HYPERLINK("#'" &amp; C4101 &amp; "'!" &amp; J4101, J4101), "")</f>
        <v>0</v>
      </c>
    </row>
    <row r="4102" spans="2:2">
      <c r="B4102" s="21">
        <f>IF(AND(C4102&lt;&gt;"", J4102&lt;&gt;""), HYPERLINK("#'" &amp; C4102 &amp; "'!" &amp; J4102, J4102), "")</f>
        <v>0</v>
      </c>
    </row>
    <row r="4103" spans="2:2">
      <c r="B4103" s="21">
        <f>IF(AND(C4103&lt;&gt;"", J4103&lt;&gt;""), HYPERLINK("#'" &amp; C4103 &amp; "'!" &amp; J4103, J4103), "")</f>
        <v>0</v>
      </c>
    </row>
    <row r="4104" spans="2:2">
      <c r="B4104" s="21">
        <f>IF(AND(C4104&lt;&gt;"", J4104&lt;&gt;""), HYPERLINK("#'" &amp; C4104 &amp; "'!" &amp; J4104, J4104), "")</f>
        <v>0</v>
      </c>
    </row>
    <row r="4105" spans="2:2">
      <c r="B4105" s="21">
        <f>IF(AND(C4105&lt;&gt;"", J4105&lt;&gt;""), HYPERLINK("#'" &amp; C4105 &amp; "'!" &amp; J4105, J4105), "")</f>
        <v>0</v>
      </c>
    </row>
    <row r="4106" spans="2:2">
      <c r="B4106" s="21">
        <f>IF(AND(C4106&lt;&gt;"", J4106&lt;&gt;""), HYPERLINK("#'" &amp; C4106 &amp; "'!" &amp; J4106, J4106), "")</f>
        <v>0</v>
      </c>
    </row>
    <row r="4107" spans="2:2">
      <c r="B4107" s="21">
        <f>IF(AND(C4107&lt;&gt;"", J4107&lt;&gt;""), HYPERLINK("#'" &amp; C4107 &amp; "'!" &amp; J4107, J4107), "")</f>
        <v>0</v>
      </c>
    </row>
    <row r="4108" spans="2:2">
      <c r="B4108" s="21">
        <f>IF(AND(C4108&lt;&gt;"", J4108&lt;&gt;""), HYPERLINK("#'" &amp; C4108 &amp; "'!" &amp; J4108, J4108), "")</f>
        <v>0</v>
      </c>
    </row>
    <row r="4109" spans="2:2">
      <c r="B4109" s="21">
        <f>IF(AND(C4109&lt;&gt;"", J4109&lt;&gt;""), HYPERLINK("#'" &amp; C4109 &amp; "'!" &amp; J4109, J4109), "")</f>
        <v>0</v>
      </c>
    </row>
    <row r="4110" spans="2:2">
      <c r="B4110" s="21">
        <f>IF(AND(C4110&lt;&gt;"", J4110&lt;&gt;""), HYPERLINK("#'" &amp; C4110 &amp; "'!" &amp; J4110, J4110), "")</f>
        <v>0</v>
      </c>
    </row>
    <row r="4111" spans="2:2">
      <c r="B4111" s="21">
        <f>IF(AND(C4111&lt;&gt;"", J4111&lt;&gt;""), HYPERLINK("#'" &amp; C4111 &amp; "'!" &amp; J4111, J4111), "")</f>
        <v>0</v>
      </c>
    </row>
    <row r="4112" spans="2:2">
      <c r="B4112" s="21">
        <f>IF(AND(C4112&lt;&gt;"", J4112&lt;&gt;""), HYPERLINK("#'" &amp; C4112 &amp; "'!" &amp; J4112, J4112), "")</f>
        <v>0</v>
      </c>
    </row>
    <row r="4113" spans="2:2">
      <c r="B4113" s="21">
        <f>IF(AND(C4113&lt;&gt;"", J4113&lt;&gt;""), HYPERLINK("#'" &amp; C4113 &amp; "'!" &amp; J4113, J4113), "")</f>
        <v>0</v>
      </c>
    </row>
    <row r="4114" spans="2:2">
      <c r="B4114" s="21">
        <f>IF(AND(C4114&lt;&gt;"", J4114&lt;&gt;""), HYPERLINK("#'" &amp; C4114 &amp; "'!" &amp; J4114, J4114), "")</f>
        <v>0</v>
      </c>
    </row>
    <row r="4115" spans="2:2">
      <c r="B4115" s="21">
        <f>IF(AND(C4115&lt;&gt;"", J4115&lt;&gt;""), HYPERLINK("#'" &amp; C4115 &amp; "'!" &amp; J4115, J4115), "")</f>
        <v>0</v>
      </c>
    </row>
    <row r="4116" spans="2:2">
      <c r="B4116" s="21">
        <f>IF(AND(C4116&lt;&gt;"", J4116&lt;&gt;""), HYPERLINK("#'" &amp; C4116 &amp; "'!" &amp; J4116, J4116), "")</f>
        <v>0</v>
      </c>
    </row>
    <row r="4117" spans="2:2">
      <c r="B4117" s="21">
        <f>IF(AND(C4117&lt;&gt;"", J4117&lt;&gt;""), HYPERLINK("#'" &amp; C4117 &amp; "'!" &amp; J4117, J4117), "")</f>
        <v>0</v>
      </c>
    </row>
    <row r="4118" spans="2:2">
      <c r="B4118" s="21">
        <f>IF(AND(C4118&lt;&gt;"", J4118&lt;&gt;""), HYPERLINK("#'" &amp; C4118 &amp; "'!" &amp; J4118, J4118), "")</f>
        <v>0</v>
      </c>
    </row>
    <row r="4119" spans="2:2">
      <c r="B4119" s="21">
        <f>IF(AND(C4119&lt;&gt;"", J4119&lt;&gt;""), HYPERLINK("#'" &amp; C4119 &amp; "'!" &amp; J4119, J4119), "")</f>
        <v>0</v>
      </c>
    </row>
    <row r="4120" spans="2:2">
      <c r="B4120" s="21">
        <f>IF(AND(C4120&lt;&gt;"", J4120&lt;&gt;""), HYPERLINK("#'" &amp; C4120 &amp; "'!" &amp; J4120, J4120), "")</f>
        <v>0</v>
      </c>
    </row>
    <row r="4121" spans="2:2">
      <c r="B4121" s="21">
        <f>IF(AND(C4121&lt;&gt;"", J4121&lt;&gt;""), HYPERLINK("#'" &amp; C4121 &amp; "'!" &amp; J4121, J4121), "")</f>
        <v>0</v>
      </c>
    </row>
    <row r="4122" spans="2:2">
      <c r="B4122" s="21">
        <f>IF(AND(C4122&lt;&gt;"", J4122&lt;&gt;""), HYPERLINK("#'" &amp; C4122 &amp; "'!" &amp; J4122, J4122), "")</f>
        <v>0</v>
      </c>
    </row>
    <row r="4123" spans="2:2">
      <c r="B4123" s="21">
        <f>IF(AND(C4123&lt;&gt;"", J4123&lt;&gt;""), HYPERLINK("#'" &amp; C4123 &amp; "'!" &amp; J4123, J4123), "")</f>
        <v>0</v>
      </c>
    </row>
    <row r="4124" spans="2:2">
      <c r="B4124" s="21">
        <f>IF(AND(C4124&lt;&gt;"", J4124&lt;&gt;""), HYPERLINK("#'" &amp; C4124 &amp; "'!" &amp; J4124, J4124), "")</f>
        <v>0</v>
      </c>
    </row>
    <row r="4125" spans="2:2">
      <c r="B4125" s="21">
        <f>IF(AND(C4125&lt;&gt;"", J4125&lt;&gt;""), HYPERLINK("#'" &amp; C4125 &amp; "'!" &amp; J4125, J4125), "")</f>
        <v>0</v>
      </c>
    </row>
    <row r="4126" spans="2:2">
      <c r="B4126" s="21">
        <f>IF(AND(C4126&lt;&gt;"", J4126&lt;&gt;""), HYPERLINK("#'" &amp; C4126 &amp; "'!" &amp; J4126, J4126), "")</f>
        <v>0</v>
      </c>
    </row>
    <row r="4127" spans="2:2">
      <c r="B4127" s="21">
        <f>IF(AND(C4127&lt;&gt;"", J4127&lt;&gt;""), HYPERLINK("#'" &amp; C4127 &amp; "'!" &amp; J4127, J4127), "")</f>
        <v>0</v>
      </c>
    </row>
    <row r="4128" spans="2:2">
      <c r="B4128" s="21">
        <f>IF(AND(C4128&lt;&gt;"", J4128&lt;&gt;""), HYPERLINK("#'" &amp; C4128 &amp; "'!" &amp; J4128, J4128), "")</f>
        <v>0</v>
      </c>
    </row>
    <row r="4129" spans="2:2">
      <c r="B4129" s="21">
        <f>IF(AND(C4129&lt;&gt;"", J4129&lt;&gt;""), HYPERLINK("#'" &amp; C4129 &amp; "'!" &amp; J4129, J4129), "")</f>
        <v>0</v>
      </c>
    </row>
    <row r="4130" spans="2:2">
      <c r="B4130" s="21">
        <f>IF(AND(C4130&lt;&gt;"", J4130&lt;&gt;""), HYPERLINK("#'" &amp; C4130 &amp; "'!" &amp; J4130, J4130), "")</f>
        <v>0</v>
      </c>
    </row>
    <row r="4131" spans="2:2">
      <c r="B4131" s="21">
        <f>IF(AND(C4131&lt;&gt;"", J4131&lt;&gt;""), HYPERLINK("#'" &amp; C4131 &amp; "'!" &amp; J4131, J4131), "")</f>
        <v>0</v>
      </c>
    </row>
    <row r="4132" spans="2:2">
      <c r="B4132" s="21">
        <f>IF(AND(C4132&lt;&gt;"", J4132&lt;&gt;""), HYPERLINK("#'" &amp; C4132 &amp; "'!" &amp; J4132, J4132), "")</f>
        <v>0</v>
      </c>
    </row>
    <row r="4133" spans="2:2">
      <c r="B4133" s="21">
        <f>IF(AND(C4133&lt;&gt;"", J4133&lt;&gt;""), HYPERLINK("#'" &amp; C4133 &amp; "'!" &amp; J4133, J4133), "")</f>
        <v>0</v>
      </c>
    </row>
    <row r="4134" spans="2:2">
      <c r="B4134" s="21">
        <f>IF(AND(C4134&lt;&gt;"", J4134&lt;&gt;""), HYPERLINK("#'" &amp; C4134 &amp; "'!" &amp; J4134, J4134), "")</f>
        <v>0</v>
      </c>
    </row>
    <row r="4135" spans="2:2">
      <c r="B4135" s="21">
        <f>IF(AND(C4135&lt;&gt;"", J4135&lt;&gt;""), HYPERLINK("#'" &amp; C4135 &amp; "'!" &amp; J4135, J4135), "")</f>
        <v>0</v>
      </c>
    </row>
    <row r="4136" spans="2:2">
      <c r="B4136" s="21">
        <f>IF(AND(C4136&lt;&gt;"", J4136&lt;&gt;""), HYPERLINK("#'" &amp; C4136 &amp; "'!" &amp; J4136, J4136), "")</f>
        <v>0</v>
      </c>
    </row>
    <row r="4137" spans="2:2">
      <c r="B4137" s="21">
        <f>IF(AND(C4137&lt;&gt;"", J4137&lt;&gt;""), HYPERLINK("#'" &amp; C4137 &amp; "'!" &amp; J4137, J4137), "")</f>
        <v>0</v>
      </c>
    </row>
    <row r="4138" spans="2:2">
      <c r="B4138" s="21">
        <f>IF(AND(C4138&lt;&gt;"", J4138&lt;&gt;""), HYPERLINK("#'" &amp; C4138 &amp; "'!" &amp; J4138, J4138), "")</f>
        <v>0</v>
      </c>
    </row>
    <row r="4139" spans="2:2">
      <c r="B4139" s="21">
        <f>IF(AND(C4139&lt;&gt;"", J4139&lt;&gt;""), HYPERLINK("#'" &amp; C4139 &amp; "'!" &amp; J4139, J4139), "")</f>
        <v>0</v>
      </c>
    </row>
    <row r="4140" spans="2:2">
      <c r="B4140" s="21">
        <f>IF(AND(C4140&lt;&gt;"", J4140&lt;&gt;""), HYPERLINK("#'" &amp; C4140 &amp; "'!" &amp; J4140, J4140), "")</f>
        <v>0</v>
      </c>
    </row>
    <row r="4141" spans="2:2">
      <c r="B4141" s="21">
        <f>IF(AND(C4141&lt;&gt;"", J4141&lt;&gt;""), HYPERLINK("#'" &amp; C4141 &amp; "'!" &amp; J4141, J4141), "")</f>
        <v>0</v>
      </c>
    </row>
    <row r="4142" spans="2:2">
      <c r="B4142" s="21">
        <f>IF(AND(C4142&lt;&gt;"", J4142&lt;&gt;""), HYPERLINK("#'" &amp; C4142 &amp; "'!" &amp; J4142, J4142), "")</f>
        <v>0</v>
      </c>
    </row>
    <row r="4143" spans="2:2">
      <c r="B4143" s="21">
        <f>IF(AND(C4143&lt;&gt;"", J4143&lt;&gt;""), HYPERLINK("#'" &amp; C4143 &amp; "'!" &amp; J4143, J4143), "")</f>
        <v>0</v>
      </c>
    </row>
    <row r="4144" spans="2:2">
      <c r="B4144" s="21">
        <f>IF(AND(C4144&lt;&gt;"", J4144&lt;&gt;""), HYPERLINK("#'" &amp; C4144 &amp; "'!" &amp; J4144, J4144), "")</f>
        <v>0</v>
      </c>
    </row>
    <row r="4145" spans="2:2">
      <c r="B4145" s="21">
        <f>IF(AND(C4145&lt;&gt;"", J4145&lt;&gt;""), HYPERLINK("#'" &amp; C4145 &amp; "'!" &amp; J4145, J4145), "")</f>
        <v>0</v>
      </c>
    </row>
    <row r="4146" spans="2:2">
      <c r="B4146" s="21">
        <f>IF(AND(C4146&lt;&gt;"", J4146&lt;&gt;""), HYPERLINK("#'" &amp; C4146 &amp; "'!" &amp; J4146, J4146), "")</f>
        <v>0</v>
      </c>
    </row>
    <row r="4147" spans="2:2">
      <c r="B4147" s="21">
        <f>IF(AND(C4147&lt;&gt;"", J4147&lt;&gt;""), HYPERLINK("#'" &amp; C4147 &amp; "'!" &amp; J4147, J4147), "")</f>
        <v>0</v>
      </c>
    </row>
    <row r="4148" spans="2:2">
      <c r="B4148" s="21">
        <f>IF(AND(C4148&lt;&gt;"", J4148&lt;&gt;""), HYPERLINK("#'" &amp; C4148 &amp; "'!" &amp; J4148, J4148), "")</f>
        <v>0</v>
      </c>
    </row>
    <row r="4149" spans="2:2">
      <c r="B4149" s="21">
        <f>IF(AND(C4149&lt;&gt;"", J4149&lt;&gt;""), HYPERLINK("#'" &amp; C4149 &amp; "'!" &amp; J4149, J4149), "")</f>
        <v>0</v>
      </c>
    </row>
    <row r="4150" spans="2:2">
      <c r="B4150" s="21">
        <f>IF(AND(C4150&lt;&gt;"", J4150&lt;&gt;""), HYPERLINK("#'" &amp; C4150 &amp; "'!" &amp; J4150, J4150), "")</f>
        <v>0</v>
      </c>
    </row>
    <row r="4151" spans="2:2">
      <c r="B4151" s="21">
        <f>IF(AND(C4151&lt;&gt;"", J4151&lt;&gt;""), HYPERLINK("#'" &amp; C4151 &amp; "'!" &amp; J4151, J4151), "")</f>
        <v>0</v>
      </c>
    </row>
    <row r="4152" spans="2:2">
      <c r="B4152" s="21">
        <f>IF(AND(C4152&lt;&gt;"", J4152&lt;&gt;""), HYPERLINK("#'" &amp; C4152 &amp; "'!" &amp; J4152, J4152), "")</f>
        <v>0</v>
      </c>
    </row>
    <row r="4153" spans="2:2">
      <c r="B4153" s="21">
        <f>IF(AND(C4153&lt;&gt;"", J4153&lt;&gt;""), HYPERLINK("#'" &amp; C4153 &amp; "'!" &amp; J4153, J4153), "")</f>
        <v>0</v>
      </c>
    </row>
    <row r="4154" spans="2:2">
      <c r="B4154" s="21">
        <f>IF(AND(C4154&lt;&gt;"", J4154&lt;&gt;""), HYPERLINK("#'" &amp; C4154 &amp; "'!" &amp; J4154, J4154), "")</f>
        <v>0</v>
      </c>
    </row>
    <row r="4155" spans="2:2">
      <c r="B4155" s="21">
        <f>IF(AND(C4155&lt;&gt;"", J4155&lt;&gt;""), HYPERLINK("#'" &amp; C4155 &amp; "'!" &amp; J4155, J4155), "")</f>
        <v>0</v>
      </c>
    </row>
    <row r="4156" spans="2:2">
      <c r="B4156" s="21">
        <f>IF(AND(C4156&lt;&gt;"", J4156&lt;&gt;""), HYPERLINK("#'" &amp; C4156 &amp; "'!" &amp; J4156, J4156), "")</f>
        <v>0</v>
      </c>
    </row>
    <row r="4157" spans="2:2">
      <c r="B4157" s="21">
        <f>IF(AND(C4157&lt;&gt;"", J4157&lt;&gt;""), HYPERLINK("#'" &amp; C4157 &amp; "'!" &amp; J4157, J4157), "")</f>
        <v>0</v>
      </c>
    </row>
    <row r="4158" spans="2:2">
      <c r="B4158" s="21">
        <f>IF(AND(C4158&lt;&gt;"", J4158&lt;&gt;""), HYPERLINK("#'" &amp; C4158 &amp; "'!" &amp; J4158, J4158), "")</f>
        <v>0</v>
      </c>
    </row>
    <row r="4159" spans="2:2">
      <c r="B4159" s="21">
        <f>IF(AND(C4159&lt;&gt;"", J4159&lt;&gt;""), HYPERLINK("#'" &amp; C4159 &amp; "'!" &amp; J4159, J4159), "")</f>
        <v>0</v>
      </c>
    </row>
    <row r="4160" spans="2:2">
      <c r="B4160" s="21">
        <f>IF(AND(C4160&lt;&gt;"", J4160&lt;&gt;""), HYPERLINK("#'" &amp; C4160 &amp; "'!" &amp; J4160, J4160), "")</f>
        <v>0</v>
      </c>
    </row>
    <row r="4161" spans="2:2">
      <c r="B4161" s="21">
        <f>IF(AND(C4161&lt;&gt;"", J4161&lt;&gt;""), HYPERLINK("#'" &amp; C4161 &amp; "'!" &amp; J4161, J4161), "")</f>
        <v>0</v>
      </c>
    </row>
    <row r="4162" spans="2:2">
      <c r="B4162" s="21">
        <f>IF(AND(C4162&lt;&gt;"", J4162&lt;&gt;""), HYPERLINK("#'" &amp; C4162 &amp; "'!" &amp; J4162, J4162), "")</f>
        <v>0</v>
      </c>
    </row>
    <row r="4163" spans="2:2">
      <c r="B4163" s="21">
        <f>IF(AND(C4163&lt;&gt;"", J4163&lt;&gt;""), HYPERLINK("#'" &amp; C4163 &amp; "'!" &amp; J4163, J4163), "")</f>
        <v>0</v>
      </c>
    </row>
    <row r="4164" spans="2:2">
      <c r="B4164" s="21">
        <f>IF(AND(C4164&lt;&gt;"", J4164&lt;&gt;""), HYPERLINK("#'" &amp; C4164 &amp; "'!" &amp; J4164, J4164), "")</f>
        <v>0</v>
      </c>
    </row>
    <row r="4165" spans="2:2">
      <c r="B4165" s="21">
        <f>IF(AND(C4165&lt;&gt;"", J4165&lt;&gt;""), HYPERLINK("#'" &amp; C4165 &amp; "'!" &amp; J4165, J4165), "")</f>
        <v>0</v>
      </c>
    </row>
    <row r="4166" spans="2:2">
      <c r="B4166" s="21">
        <f>IF(AND(C4166&lt;&gt;"", J4166&lt;&gt;""), HYPERLINK("#'" &amp; C4166 &amp; "'!" &amp; J4166, J4166), "")</f>
        <v>0</v>
      </c>
    </row>
    <row r="4167" spans="2:2">
      <c r="B4167" s="21">
        <f>IF(AND(C4167&lt;&gt;"", J4167&lt;&gt;""), HYPERLINK("#'" &amp; C4167 &amp; "'!" &amp; J4167, J4167), "")</f>
        <v>0</v>
      </c>
    </row>
    <row r="4168" spans="2:2">
      <c r="B4168" s="21">
        <f>IF(AND(C4168&lt;&gt;"", J4168&lt;&gt;""), HYPERLINK("#'" &amp; C4168 &amp; "'!" &amp; J4168, J4168), "")</f>
        <v>0</v>
      </c>
    </row>
    <row r="4169" spans="2:2">
      <c r="B4169" s="21">
        <f>IF(AND(C4169&lt;&gt;"", J4169&lt;&gt;""), HYPERLINK("#'" &amp; C4169 &amp; "'!" &amp; J4169, J4169), "")</f>
        <v>0</v>
      </c>
    </row>
    <row r="4170" spans="2:2">
      <c r="B4170" s="21">
        <f>IF(AND(C4170&lt;&gt;"", J4170&lt;&gt;""), HYPERLINK("#'" &amp; C4170 &amp; "'!" &amp; J4170, J4170), "")</f>
        <v>0</v>
      </c>
    </row>
    <row r="4171" spans="2:2">
      <c r="B4171" s="21">
        <f>IF(AND(C4171&lt;&gt;"", J4171&lt;&gt;""), HYPERLINK("#'" &amp; C4171 &amp; "'!" &amp; J4171, J4171), "")</f>
        <v>0</v>
      </c>
    </row>
    <row r="4172" spans="2:2">
      <c r="B4172" s="21">
        <f>IF(AND(C4172&lt;&gt;"", J4172&lt;&gt;""), HYPERLINK("#'" &amp; C4172 &amp; "'!" &amp; J4172, J4172), "")</f>
        <v>0</v>
      </c>
    </row>
    <row r="4173" spans="2:2">
      <c r="B4173" s="21">
        <f>IF(AND(C4173&lt;&gt;"", J4173&lt;&gt;""), HYPERLINK("#'" &amp; C4173 &amp; "'!" &amp; J4173, J4173), "")</f>
        <v>0</v>
      </c>
    </row>
    <row r="4174" spans="2:2">
      <c r="B4174" s="21">
        <f>IF(AND(C4174&lt;&gt;"", J4174&lt;&gt;""), HYPERLINK("#'" &amp; C4174 &amp; "'!" &amp; J4174, J4174), "")</f>
        <v>0</v>
      </c>
    </row>
    <row r="4175" spans="2:2">
      <c r="B4175" s="21">
        <f>IF(AND(C4175&lt;&gt;"", J4175&lt;&gt;""), HYPERLINK("#'" &amp; C4175 &amp; "'!" &amp; J4175, J4175), "")</f>
        <v>0</v>
      </c>
    </row>
    <row r="4176" spans="2:2">
      <c r="B4176" s="21">
        <f>IF(AND(C4176&lt;&gt;"", J4176&lt;&gt;""), HYPERLINK("#'" &amp; C4176 &amp; "'!" &amp; J4176, J4176), "")</f>
        <v>0</v>
      </c>
    </row>
    <row r="4177" spans="2:2">
      <c r="B4177" s="21">
        <f>IF(AND(C4177&lt;&gt;"", J4177&lt;&gt;""), HYPERLINK("#'" &amp; C4177 &amp; "'!" &amp; J4177, J4177), "")</f>
        <v>0</v>
      </c>
    </row>
    <row r="4178" spans="2:2">
      <c r="B4178" s="21">
        <f>IF(AND(C4178&lt;&gt;"", J4178&lt;&gt;""), HYPERLINK("#'" &amp; C4178 &amp; "'!" &amp; J4178, J4178), "")</f>
        <v>0</v>
      </c>
    </row>
    <row r="4179" spans="2:2">
      <c r="B4179" s="21">
        <f>IF(AND(C4179&lt;&gt;"", J4179&lt;&gt;""), HYPERLINK("#'" &amp; C4179 &amp; "'!" &amp; J4179, J4179), "")</f>
        <v>0</v>
      </c>
    </row>
    <row r="4180" spans="2:2">
      <c r="B4180" s="21">
        <f>IF(AND(C4180&lt;&gt;"", J4180&lt;&gt;""), HYPERLINK("#'" &amp; C4180 &amp; "'!" &amp; J4180, J4180), "")</f>
        <v>0</v>
      </c>
    </row>
    <row r="4181" spans="2:2">
      <c r="B4181" s="21">
        <f>IF(AND(C4181&lt;&gt;"", J4181&lt;&gt;""), HYPERLINK("#'" &amp; C4181 &amp; "'!" &amp; J4181, J4181), "")</f>
        <v>0</v>
      </c>
    </row>
    <row r="4182" spans="2:2">
      <c r="B4182" s="21">
        <f>IF(AND(C4182&lt;&gt;"", J4182&lt;&gt;""), HYPERLINK("#'" &amp; C4182 &amp; "'!" &amp; J4182, J4182), "")</f>
        <v>0</v>
      </c>
    </row>
    <row r="4183" spans="2:2">
      <c r="B4183" s="21">
        <f>IF(AND(C4183&lt;&gt;"", J4183&lt;&gt;""), HYPERLINK("#'" &amp; C4183 &amp; "'!" &amp; J4183, J4183), "")</f>
        <v>0</v>
      </c>
    </row>
    <row r="4184" spans="2:2">
      <c r="B4184" s="21">
        <f>IF(AND(C4184&lt;&gt;"", J4184&lt;&gt;""), HYPERLINK("#'" &amp; C4184 &amp; "'!" &amp; J4184, J4184), "")</f>
        <v>0</v>
      </c>
    </row>
    <row r="4185" spans="2:2">
      <c r="B4185" s="21">
        <f>IF(AND(C4185&lt;&gt;"", J4185&lt;&gt;""), HYPERLINK("#'" &amp; C4185 &amp; "'!" &amp; J4185, J4185), "")</f>
        <v>0</v>
      </c>
    </row>
    <row r="4186" spans="2:2">
      <c r="B4186" s="21">
        <f>IF(AND(C4186&lt;&gt;"", J4186&lt;&gt;""), HYPERLINK("#'" &amp; C4186 &amp; "'!" &amp; J4186, J4186), "")</f>
        <v>0</v>
      </c>
    </row>
    <row r="4187" spans="2:2">
      <c r="B4187" s="21">
        <f>IF(AND(C4187&lt;&gt;"", J4187&lt;&gt;""), HYPERLINK("#'" &amp; C4187 &amp; "'!" &amp; J4187, J4187), "")</f>
        <v>0</v>
      </c>
    </row>
    <row r="4188" spans="2:2">
      <c r="B4188" s="21">
        <f>IF(AND(C4188&lt;&gt;"", J4188&lt;&gt;""), HYPERLINK("#'" &amp; C4188 &amp; "'!" &amp; J4188, J4188), "")</f>
        <v>0</v>
      </c>
    </row>
    <row r="4189" spans="2:2">
      <c r="B4189" s="21">
        <f>IF(AND(C4189&lt;&gt;"", J4189&lt;&gt;""), HYPERLINK("#'" &amp; C4189 &amp; "'!" &amp; J4189, J4189), "")</f>
        <v>0</v>
      </c>
    </row>
    <row r="4190" spans="2:2">
      <c r="B4190" s="21">
        <f>IF(AND(C4190&lt;&gt;"", J4190&lt;&gt;""), HYPERLINK("#'" &amp; C4190 &amp; "'!" &amp; J4190, J4190), "")</f>
        <v>0</v>
      </c>
    </row>
    <row r="4191" spans="2:2">
      <c r="B4191" s="21">
        <f>IF(AND(C4191&lt;&gt;"", J4191&lt;&gt;""), HYPERLINK("#'" &amp; C4191 &amp; "'!" &amp; J4191, J4191), "")</f>
        <v>0</v>
      </c>
    </row>
    <row r="4192" spans="2:2">
      <c r="B4192" s="21">
        <f>IF(AND(C4192&lt;&gt;"", J4192&lt;&gt;""), HYPERLINK("#'" &amp; C4192 &amp; "'!" &amp; J4192, J4192), "")</f>
        <v>0</v>
      </c>
    </row>
    <row r="4193" spans="2:2">
      <c r="B4193" s="21">
        <f>IF(AND(C4193&lt;&gt;"", J4193&lt;&gt;""), HYPERLINK("#'" &amp; C4193 &amp; "'!" &amp; J4193, J4193), "")</f>
        <v>0</v>
      </c>
    </row>
    <row r="4194" spans="2:2">
      <c r="B4194" s="21">
        <f>IF(AND(C4194&lt;&gt;"", J4194&lt;&gt;""), HYPERLINK("#'" &amp; C4194 &amp; "'!" &amp; J4194, J4194), "")</f>
        <v>0</v>
      </c>
    </row>
    <row r="4195" spans="2:2">
      <c r="B4195" s="21">
        <f>IF(AND(C4195&lt;&gt;"", J4195&lt;&gt;""), HYPERLINK("#'" &amp; C4195 &amp; "'!" &amp; J4195, J4195), "")</f>
        <v>0</v>
      </c>
    </row>
    <row r="4196" spans="2:2">
      <c r="B4196" s="21">
        <f>IF(AND(C4196&lt;&gt;"", J4196&lt;&gt;""), HYPERLINK("#'" &amp; C4196 &amp; "'!" &amp; J4196, J4196), "")</f>
        <v>0</v>
      </c>
    </row>
    <row r="4197" spans="2:2">
      <c r="B4197" s="21">
        <f>IF(AND(C4197&lt;&gt;"", J4197&lt;&gt;""), HYPERLINK("#'" &amp; C4197 &amp; "'!" &amp; J4197, J4197), "")</f>
        <v>0</v>
      </c>
    </row>
    <row r="4198" spans="2:2">
      <c r="B4198" s="21">
        <f>IF(AND(C4198&lt;&gt;"", J4198&lt;&gt;""), HYPERLINK("#'" &amp; C4198 &amp; "'!" &amp; J4198, J4198), "")</f>
        <v>0</v>
      </c>
    </row>
    <row r="4199" spans="2:2">
      <c r="B4199" s="21">
        <f>IF(AND(C4199&lt;&gt;"", J4199&lt;&gt;""), HYPERLINK("#'" &amp; C4199 &amp; "'!" &amp; J4199, J4199), "")</f>
        <v>0</v>
      </c>
    </row>
    <row r="4200" spans="2:2">
      <c r="B4200" s="21">
        <f>IF(AND(C4200&lt;&gt;"", J4200&lt;&gt;""), HYPERLINK("#'" &amp; C4200 &amp; "'!" &amp; J4200, J4200), "")</f>
        <v>0</v>
      </c>
    </row>
    <row r="4201" spans="2:2">
      <c r="B4201" s="21">
        <f>IF(AND(C4201&lt;&gt;"", J4201&lt;&gt;""), HYPERLINK("#'" &amp; C4201 &amp; "'!" &amp; J4201, J4201), "")</f>
        <v>0</v>
      </c>
    </row>
    <row r="4202" spans="2:2">
      <c r="B4202" s="21">
        <f>IF(AND(C4202&lt;&gt;"", J4202&lt;&gt;""), HYPERLINK("#'" &amp; C4202 &amp; "'!" &amp; J4202, J4202), "")</f>
        <v>0</v>
      </c>
    </row>
    <row r="4203" spans="2:2">
      <c r="B4203" s="21">
        <f>IF(AND(C4203&lt;&gt;"", J4203&lt;&gt;""), HYPERLINK("#'" &amp; C4203 &amp; "'!" &amp; J4203, J4203), "")</f>
        <v>0</v>
      </c>
    </row>
    <row r="4204" spans="2:2">
      <c r="B4204" s="21">
        <f>IF(AND(C4204&lt;&gt;"", J4204&lt;&gt;""), HYPERLINK("#'" &amp; C4204 &amp; "'!" &amp; J4204, J4204), "")</f>
        <v>0</v>
      </c>
    </row>
    <row r="4205" spans="2:2">
      <c r="B4205" s="21">
        <f>IF(AND(C4205&lt;&gt;"", J4205&lt;&gt;""), HYPERLINK("#'" &amp; C4205 &amp; "'!" &amp; J4205, J4205), "")</f>
        <v>0</v>
      </c>
    </row>
    <row r="4206" spans="2:2">
      <c r="B4206" s="21">
        <f>IF(AND(C4206&lt;&gt;"", J4206&lt;&gt;""), HYPERLINK("#'" &amp; C4206 &amp; "'!" &amp; J4206, J4206), "")</f>
        <v>0</v>
      </c>
    </row>
    <row r="4207" spans="2:2">
      <c r="B4207" s="21">
        <f>IF(AND(C4207&lt;&gt;"", J4207&lt;&gt;""), HYPERLINK("#'" &amp; C4207 &amp; "'!" &amp; J4207, J4207), "")</f>
        <v>0</v>
      </c>
    </row>
    <row r="4208" spans="2:2">
      <c r="B4208" s="21">
        <f>IF(AND(C4208&lt;&gt;"", J4208&lt;&gt;""), HYPERLINK("#'" &amp; C4208 &amp; "'!" &amp; J4208, J4208), "")</f>
        <v>0</v>
      </c>
    </row>
    <row r="4209" spans="2:2">
      <c r="B4209" s="21">
        <f>IF(AND(C4209&lt;&gt;"", J4209&lt;&gt;""), HYPERLINK("#'" &amp; C4209 &amp; "'!" &amp; J4209, J4209), "")</f>
        <v>0</v>
      </c>
    </row>
    <row r="4210" spans="2:2">
      <c r="B4210" s="21">
        <f>IF(AND(C4210&lt;&gt;"", J4210&lt;&gt;""), HYPERLINK("#'" &amp; C4210 &amp; "'!" &amp; J4210, J4210), "")</f>
        <v>0</v>
      </c>
    </row>
    <row r="4211" spans="2:2">
      <c r="B4211" s="21">
        <f>IF(AND(C4211&lt;&gt;"", J4211&lt;&gt;""), HYPERLINK("#'" &amp; C4211 &amp; "'!" &amp; J4211, J4211), "")</f>
        <v>0</v>
      </c>
    </row>
    <row r="4212" spans="2:2">
      <c r="B4212" s="21">
        <f>IF(AND(C4212&lt;&gt;"", J4212&lt;&gt;""), HYPERLINK("#'" &amp; C4212 &amp; "'!" &amp; J4212, J4212), "")</f>
        <v>0</v>
      </c>
    </row>
    <row r="4213" spans="2:2">
      <c r="B4213" s="21">
        <f>IF(AND(C4213&lt;&gt;"", J4213&lt;&gt;""), HYPERLINK("#'" &amp; C4213 &amp; "'!" &amp; J4213, J4213), "")</f>
        <v>0</v>
      </c>
    </row>
    <row r="4214" spans="2:2">
      <c r="B4214" s="21">
        <f>IF(AND(C4214&lt;&gt;"", J4214&lt;&gt;""), HYPERLINK("#'" &amp; C4214 &amp; "'!" &amp; J4214, J4214), "")</f>
        <v>0</v>
      </c>
    </row>
    <row r="4215" spans="2:2">
      <c r="B4215" s="21">
        <f>IF(AND(C4215&lt;&gt;"", J4215&lt;&gt;""), HYPERLINK("#'" &amp; C4215 &amp; "'!" &amp; J4215, J4215), "")</f>
        <v>0</v>
      </c>
    </row>
    <row r="4216" spans="2:2">
      <c r="B4216" s="21">
        <f>IF(AND(C4216&lt;&gt;"", J4216&lt;&gt;""), HYPERLINK("#'" &amp; C4216 &amp; "'!" &amp; J4216, J4216), "")</f>
        <v>0</v>
      </c>
    </row>
    <row r="4217" spans="2:2">
      <c r="B4217" s="21">
        <f>IF(AND(C4217&lt;&gt;"", J4217&lt;&gt;""), HYPERLINK("#'" &amp; C4217 &amp; "'!" &amp; J4217, J4217), "")</f>
        <v>0</v>
      </c>
    </row>
    <row r="4218" spans="2:2">
      <c r="B4218" s="21">
        <f>IF(AND(C4218&lt;&gt;"", J4218&lt;&gt;""), HYPERLINK("#'" &amp; C4218 &amp; "'!" &amp; J4218, J4218), "")</f>
        <v>0</v>
      </c>
    </row>
    <row r="4219" spans="2:2">
      <c r="B4219" s="21">
        <f>IF(AND(C4219&lt;&gt;"", J4219&lt;&gt;""), HYPERLINK("#'" &amp; C4219 &amp; "'!" &amp; J4219, J4219), "")</f>
        <v>0</v>
      </c>
    </row>
    <row r="4220" spans="2:2">
      <c r="B4220" s="21">
        <f>IF(AND(C4220&lt;&gt;"", J4220&lt;&gt;""), HYPERLINK("#'" &amp; C4220 &amp; "'!" &amp; J4220, J4220), "")</f>
        <v>0</v>
      </c>
    </row>
    <row r="4221" spans="2:2">
      <c r="B4221" s="21">
        <f>IF(AND(C4221&lt;&gt;"", J4221&lt;&gt;""), HYPERLINK("#'" &amp; C4221 &amp; "'!" &amp; J4221, J4221), "")</f>
        <v>0</v>
      </c>
    </row>
    <row r="4222" spans="2:2">
      <c r="B4222" s="21">
        <f>IF(AND(C4222&lt;&gt;"", J4222&lt;&gt;""), HYPERLINK("#'" &amp; C4222 &amp; "'!" &amp; J4222, J4222), "")</f>
        <v>0</v>
      </c>
    </row>
    <row r="4223" spans="2:2">
      <c r="B4223" s="21">
        <f>IF(AND(C4223&lt;&gt;"", J4223&lt;&gt;""), HYPERLINK("#'" &amp; C4223 &amp; "'!" &amp; J4223, J4223), "")</f>
        <v>0</v>
      </c>
    </row>
    <row r="4224" spans="2:2">
      <c r="B4224" s="21">
        <f>IF(AND(C4224&lt;&gt;"", J4224&lt;&gt;""), HYPERLINK("#'" &amp; C4224 &amp; "'!" &amp; J4224, J4224), "")</f>
        <v>0</v>
      </c>
    </row>
    <row r="4225" spans="2:2">
      <c r="B4225" s="21">
        <f>IF(AND(C4225&lt;&gt;"", J4225&lt;&gt;""), HYPERLINK("#'" &amp; C4225 &amp; "'!" &amp; J4225, J4225), "")</f>
        <v>0</v>
      </c>
    </row>
    <row r="4226" spans="2:2">
      <c r="B4226" s="21">
        <f>IF(AND(C4226&lt;&gt;"", J4226&lt;&gt;""), HYPERLINK("#'" &amp; C4226 &amp; "'!" &amp; J4226, J4226), "")</f>
        <v>0</v>
      </c>
    </row>
    <row r="4227" spans="2:2">
      <c r="B4227" s="21">
        <f>IF(AND(C4227&lt;&gt;"", J4227&lt;&gt;""), HYPERLINK("#'" &amp; C4227 &amp; "'!" &amp; J4227, J4227), "")</f>
        <v>0</v>
      </c>
    </row>
    <row r="4228" spans="2:2">
      <c r="B4228" s="21">
        <f>IF(AND(C4228&lt;&gt;"", J4228&lt;&gt;""), HYPERLINK("#'" &amp; C4228 &amp; "'!" &amp; J4228, J4228), "")</f>
        <v>0</v>
      </c>
    </row>
    <row r="4229" spans="2:2">
      <c r="B4229" s="21">
        <f>IF(AND(C4229&lt;&gt;"", J4229&lt;&gt;""), HYPERLINK("#'" &amp; C4229 &amp; "'!" &amp; J4229, J4229), "")</f>
        <v>0</v>
      </c>
    </row>
    <row r="4230" spans="2:2">
      <c r="B4230" s="21">
        <f>IF(AND(C4230&lt;&gt;"", J4230&lt;&gt;""), HYPERLINK("#'" &amp; C4230 &amp; "'!" &amp; J4230, J4230), "")</f>
        <v>0</v>
      </c>
    </row>
    <row r="4231" spans="2:2">
      <c r="B4231" s="21">
        <f>IF(AND(C4231&lt;&gt;"", J4231&lt;&gt;""), HYPERLINK("#'" &amp; C4231 &amp; "'!" &amp; J4231, J4231), "")</f>
        <v>0</v>
      </c>
    </row>
    <row r="4232" spans="2:2">
      <c r="B4232" s="21">
        <f>IF(AND(C4232&lt;&gt;"", J4232&lt;&gt;""), HYPERLINK("#'" &amp; C4232 &amp; "'!" &amp; J4232, J4232), "")</f>
        <v>0</v>
      </c>
    </row>
    <row r="4233" spans="2:2">
      <c r="B4233" s="21">
        <f>IF(AND(C4233&lt;&gt;"", J4233&lt;&gt;""), HYPERLINK("#'" &amp; C4233 &amp; "'!" &amp; J4233, J4233), "")</f>
        <v>0</v>
      </c>
    </row>
    <row r="4234" spans="2:2">
      <c r="B4234" s="21">
        <f>IF(AND(C4234&lt;&gt;"", J4234&lt;&gt;""), HYPERLINK("#'" &amp; C4234 &amp; "'!" &amp; J4234, J4234), "")</f>
        <v>0</v>
      </c>
    </row>
    <row r="4235" spans="2:2">
      <c r="B4235" s="21">
        <f>IF(AND(C4235&lt;&gt;"", J4235&lt;&gt;""), HYPERLINK("#'" &amp; C4235 &amp; "'!" &amp; J4235, J4235), "")</f>
        <v>0</v>
      </c>
    </row>
    <row r="4236" spans="2:2">
      <c r="B4236" s="21">
        <f>IF(AND(C4236&lt;&gt;"", J4236&lt;&gt;""), HYPERLINK("#'" &amp; C4236 &amp; "'!" &amp; J4236, J4236), "")</f>
        <v>0</v>
      </c>
    </row>
    <row r="4237" spans="2:2">
      <c r="B4237" s="21">
        <f>IF(AND(C4237&lt;&gt;"", J4237&lt;&gt;""), HYPERLINK("#'" &amp; C4237 &amp; "'!" &amp; J4237, J4237), "")</f>
        <v>0</v>
      </c>
    </row>
    <row r="4238" spans="2:2">
      <c r="B4238" s="21">
        <f>IF(AND(C4238&lt;&gt;"", J4238&lt;&gt;""), HYPERLINK("#'" &amp; C4238 &amp; "'!" &amp; J4238, J4238), "")</f>
        <v>0</v>
      </c>
    </row>
    <row r="4239" spans="2:2">
      <c r="B4239" s="21">
        <f>IF(AND(C4239&lt;&gt;"", J4239&lt;&gt;""), HYPERLINK("#'" &amp; C4239 &amp; "'!" &amp; J4239, J4239), "")</f>
        <v>0</v>
      </c>
    </row>
    <row r="4240" spans="2:2">
      <c r="B4240" s="21">
        <f>IF(AND(C4240&lt;&gt;"", J4240&lt;&gt;""), HYPERLINK("#'" &amp; C4240 &amp; "'!" &amp; J4240, J4240), "")</f>
        <v>0</v>
      </c>
    </row>
    <row r="4241" spans="2:2">
      <c r="B4241" s="21">
        <f>IF(AND(C4241&lt;&gt;"", J4241&lt;&gt;""), HYPERLINK("#'" &amp; C4241 &amp; "'!" &amp; J4241, J4241), "")</f>
        <v>0</v>
      </c>
    </row>
    <row r="4242" spans="2:2">
      <c r="B4242" s="21">
        <f>IF(AND(C4242&lt;&gt;"", J4242&lt;&gt;""), HYPERLINK("#'" &amp; C4242 &amp; "'!" &amp; J4242, J4242), "")</f>
        <v>0</v>
      </c>
    </row>
    <row r="4243" spans="2:2">
      <c r="B4243" s="21">
        <f>IF(AND(C4243&lt;&gt;"", J4243&lt;&gt;""), HYPERLINK("#'" &amp; C4243 &amp; "'!" &amp; J4243, J4243), "")</f>
        <v>0</v>
      </c>
    </row>
    <row r="4244" spans="2:2">
      <c r="B4244" s="21">
        <f>IF(AND(C4244&lt;&gt;"", J4244&lt;&gt;""), HYPERLINK("#'" &amp; C4244 &amp; "'!" &amp; J4244, J4244), "")</f>
        <v>0</v>
      </c>
    </row>
    <row r="4245" spans="2:2">
      <c r="B4245" s="21">
        <f>IF(AND(C4245&lt;&gt;"", J4245&lt;&gt;""), HYPERLINK("#'" &amp; C4245 &amp; "'!" &amp; J4245, J4245), "")</f>
        <v>0</v>
      </c>
    </row>
    <row r="4246" spans="2:2">
      <c r="B4246" s="21">
        <f>IF(AND(C4246&lt;&gt;"", J4246&lt;&gt;""), HYPERLINK("#'" &amp; C4246 &amp; "'!" &amp; J4246, J4246), "")</f>
        <v>0</v>
      </c>
    </row>
    <row r="4247" spans="2:2">
      <c r="B4247" s="21">
        <f>IF(AND(C4247&lt;&gt;"", J4247&lt;&gt;""), HYPERLINK("#'" &amp; C4247 &amp; "'!" &amp; J4247, J4247), "")</f>
        <v>0</v>
      </c>
    </row>
    <row r="4248" spans="2:2">
      <c r="B4248" s="21">
        <f>IF(AND(C4248&lt;&gt;"", J4248&lt;&gt;""), HYPERLINK("#'" &amp; C4248 &amp; "'!" &amp; J4248, J4248), "")</f>
        <v>0</v>
      </c>
    </row>
    <row r="4249" spans="2:2">
      <c r="B4249" s="21">
        <f>IF(AND(C4249&lt;&gt;"", J4249&lt;&gt;""), HYPERLINK("#'" &amp; C4249 &amp; "'!" &amp; J4249, J4249), "")</f>
        <v>0</v>
      </c>
    </row>
    <row r="4250" spans="2:2">
      <c r="B4250" s="21">
        <f>IF(AND(C4250&lt;&gt;"", J4250&lt;&gt;""), HYPERLINK("#'" &amp; C4250 &amp; "'!" &amp; J4250, J4250), "")</f>
        <v>0</v>
      </c>
    </row>
    <row r="4251" spans="2:2">
      <c r="B4251" s="21">
        <f>IF(AND(C4251&lt;&gt;"", J4251&lt;&gt;""), HYPERLINK("#'" &amp; C4251 &amp; "'!" &amp; J4251, J4251), "")</f>
        <v>0</v>
      </c>
    </row>
    <row r="4252" spans="2:2">
      <c r="B4252" s="21">
        <f>IF(AND(C4252&lt;&gt;"", J4252&lt;&gt;""), HYPERLINK("#'" &amp; C4252 &amp; "'!" &amp; J4252, J4252), "")</f>
        <v>0</v>
      </c>
    </row>
    <row r="4253" spans="2:2">
      <c r="B4253" s="21">
        <f>IF(AND(C4253&lt;&gt;"", J4253&lt;&gt;""), HYPERLINK("#'" &amp; C4253 &amp; "'!" &amp; J4253, J4253), "")</f>
        <v>0</v>
      </c>
    </row>
    <row r="4254" spans="2:2">
      <c r="B4254" s="21">
        <f>IF(AND(C4254&lt;&gt;"", J4254&lt;&gt;""), HYPERLINK("#'" &amp; C4254 &amp; "'!" &amp; J4254, J4254), "")</f>
        <v>0</v>
      </c>
    </row>
    <row r="4255" spans="2:2">
      <c r="B4255" s="21">
        <f>IF(AND(C4255&lt;&gt;"", J4255&lt;&gt;""), HYPERLINK("#'" &amp; C4255 &amp; "'!" &amp; J4255, J4255), "")</f>
        <v>0</v>
      </c>
    </row>
    <row r="4256" spans="2:2">
      <c r="B4256" s="21">
        <f>IF(AND(C4256&lt;&gt;"", J4256&lt;&gt;""), HYPERLINK("#'" &amp; C4256 &amp; "'!" &amp; J4256, J4256), "")</f>
        <v>0</v>
      </c>
    </row>
    <row r="4257" spans="2:2">
      <c r="B4257" s="21">
        <f>IF(AND(C4257&lt;&gt;"", J4257&lt;&gt;""), HYPERLINK("#'" &amp; C4257 &amp; "'!" &amp; J4257, J4257), "")</f>
        <v>0</v>
      </c>
    </row>
    <row r="4258" spans="2:2">
      <c r="B4258" s="21">
        <f>IF(AND(C4258&lt;&gt;"", J4258&lt;&gt;""), HYPERLINK("#'" &amp; C4258 &amp; "'!" &amp; J4258, J4258), "")</f>
        <v>0</v>
      </c>
    </row>
    <row r="4259" spans="2:2">
      <c r="B4259" s="21">
        <f>IF(AND(C4259&lt;&gt;"", J4259&lt;&gt;""), HYPERLINK("#'" &amp; C4259 &amp; "'!" &amp; J4259, J4259), "")</f>
        <v>0</v>
      </c>
    </row>
    <row r="4260" spans="2:2">
      <c r="B4260" s="21">
        <f>IF(AND(C4260&lt;&gt;"", J4260&lt;&gt;""), HYPERLINK("#'" &amp; C4260 &amp; "'!" &amp; J4260, J4260), "")</f>
        <v>0</v>
      </c>
    </row>
    <row r="4261" spans="2:2">
      <c r="B4261" s="21">
        <f>IF(AND(C4261&lt;&gt;"", J4261&lt;&gt;""), HYPERLINK("#'" &amp; C4261 &amp; "'!" &amp; J4261, J4261), "")</f>
        <v>0</v>
      </c>
    </row>
    <row r="4262" spans="2:2">
      <c r="B4262" s="21">
        <f>IF(AND(C4262&lt;&gt;"", J4262&lt;&gt;""), HYPERLINK("#'" &amp; C4262 &amp; "'!" &amp; J4262, J4262), "")</f>
        <v>0</v>
      </c>
    </row>
    <row r="4263" spans="2:2">
      <c r="B4263" s="21">
        <f>IF(AND(C4263&lt;&gt;"", J4263&lt;&gt;""), HYPERLINK("#'" &amp; C4263 &amp; "'!" &amp; J4263, J4263), "")</f>
        <v>0</v>
      </c>
    </row>
    <row r="4264" spans="2:2">
      <c r="B4264" s="21">
        <f>IF(AND(C4264&lt;&gt;"", J4264&lt;&gt;""), HYPERLINK("#'" &amp; C4264 &amp; "'!" &amp; J4264, J4264), "")</f>
        <v>0</v>
      </c>
    </row>
    <row r="4265" spans="2:2">
      <c r="B4265" s="21">
        <f>IF(AND(C4265&lt;&gt;"", J4265&lt;&gt;""), HYPERLINK("#'" &amp; C4265 &amp; "'!" &amp; J4265, J4265), "")</f>
        <v>0</v>
      </c>
    </row>
    <row r="4266" spans="2:2">
      <c r="B4266" s="21">
        <f>IF(AND(C4266&lt;&gt;"", J4266&lt;&gt;""), HYPERLINK("#'" &amp; C4266 &amp; "'!" &amp; J4266, J4266), "")</f>
        <v>0</v>
      </c>
    </row>
    <row r="4267" spans="2:2">
      <c r="B4267" s="21">
        <f>IF(AND(C4267&lt;&gt;"", J4267&lt;&gt;""), HYPERLINK("#'" &amp; C4267 &amp; "'!" &amp; J4267, J4267), "")</f>
        <v>0</v>
      </c>
    </row>
    <row r="4268" spans="2:2">
      <c r="B4268" s="21">
        <f>IF(AND(C4268&lt;&gt;"", J4268&lt;&gt;""), HYPERLINK("#'" &amp; C4268 &amp; "'!" &amp; J4268, J4268), "")</f>
        <v>0</v>
      </c>
    </row>
    <row r="4269" spans="2:2">
      <c r="B4269" s="21">
        <f>IF(AND(C4269&lt;&gt;"", J4269&lt;&gt;""), HYPERLINK("#'" &amp; C4269 &amp; "'!" &amp; J4269, J4269), "")</f>
        <v>0</v>
      </c>
    </row>
    <row r="4270" spans="2:2">
      <c r="B4270" s="21">
        <f>IF(AND(C4270&lt;&gt;"", J4270&lt;&gt;""), HYPERLINK("#'" &amp; C4270 &amp; "'!" &amp; J4270, J4270), "")</f>
        <v>0</v>
      </c>
    </row>
    <row r="4271" spans="2:2">
      <c r="B4271" s="21">
        <f>IF(AND(C4271&lt;&gt;"", J4271&lt;&gt;""), HYPERLINK("#'" &amp; C4271 &amp; "'!" &amp; J4271, J4271), "")</f>
        <v>0</v>
      </c>
    </row>
    <row r="4272" spans="2:2">
      <c r="B4272" s="21">
        <f>IF(AND(C4272&lt;&gt;"", J4272&lt;&gt;""), HYPERLINK("#'" &amp; C4272 &amp; "'!" &amp; J4272, J4272), "")</f>
        <v>0</v>
      </c>
    </row>
    <row r="4273" spans="2:2">
      <c r="B4273" s="21">
        <f>IF(AND(C4273&lt;&gt;"", J4273&lt;&gt;""), HYPERLINK("#'" &amp; C4273 &amp; "'!" &amp; J4273, J4273), "")</f>
        <v>0</v>
      </c>
    </row>
    <row r="4274" spans="2:2">
      <c r="B4274" s="21">
        <f>IF(AND(C4274&lt;&gt;"", J4274&lt;&gt;""), HYPERLINK("#'" &amp; C4274 &amp; "'!" &amp; J4274, J4274), "")</f>
        <v>0</v>
      </c>
    </row>
    <row r="4275" spans="2:2">
      <c r="B4275" s="21">
        <f>IF(AND(C4275&lt;&gt;"", J4275&lt;&gt;""), HYPERLINK("#'" &amp; C4275 &amp; "'!" &amp; J4275, J4275), "")</f>
        <v>0</v>
      </c>
    </row>
    <row r="4276" spans="2:2">
      <c r="B4276" s="21">
        <f>IF(AND(C4276&lt;&gt;"", J4276&lt;&gt;""), HYPERLINK("#'" &amp; C4276 &amp; "'!" &amp; J4276, J4276), "")</f>
        <v>0</v>
      </c>
    </row>
    <row r="4277" spans="2:2">
      <c r="B4277" s="21">
        <f>IF(AND(C4277&lt;&gt;"", J4277&lt;&gt;""), HYPERLINK("#'" &amp; C4277 &amp; "'!" &amp; J4277, J4277), "")</f>
        <v>0</v>
      </c>
    </row>
    <row r="4278" spans="2:2">
      <c r="B4278" s="21">
        <f>IF(AND(C4278&lt;&gt;"", J4278&lt;&gt;""), HYPERLINK("#'" &amp; C4278 &amp; "'!" &amp; J4278, J4278), "")</f>
        <v>0</v>
      </c>
    </row>
    <row r="4279" spans="2:2">
      <c r="B4279" s="21">
        <f>IF(AND(C4279&lt;&gt;"", J4279&lt;&gt;""), HYPERLINK("#'" &amp; C4279 &amp; "'!" &amp; J4279, J4279), "")</f>
        <v>0</v>
      </c>
    </row>
    <row r="4280" spans="2:2">
      <c r="B4280" s="21">
        <f>IF(AND(C4280&lt;&gt;"", J4280&lt;&gt;""), HYPERLINK("#'" &amp; C4280 &amp; "'!" &amp; J4280, J4280), "")</f>
        <v>0</v>
      </c>
    </row>
    <row r="4281" spans="2:2">
      <c r="B4281" s="21">
        <f>IF(AND(C4281&lt;&gt;"", J4281&lt;&gt;""), HYPERLINK("#'" &amp; C4281 &amp; "'!" &amp; J4281, J4281), "")</f>
        <v>0</v>
      </c>
    </row>
    <row r="4282" spans="2:2">
      <c r="B4282" s="21">
        <f>IF(AND(C4282&lt;&gt;"", J4282&lt;&gt;""), HYPERLINK("#'" &amp; C4282 &amp; "'!" &amp; J4282, J4282), "")</f>
        <v>0</v>
      </c>
    </row>
    <row r="4283" spans="2:2">
      <c r="B4283" s="21">
        <f>IF(AND(C4283&lt;&gt;"", J4283&lt;&gt;""), HYPERLINK("#'" &amp; C4283 &amp; "'!" &amp; J4283, J4283), "")</f>
        <v>0</v>
      </c>
    </row>
    <row r="4284" spans="2:2">
      <c r="B4284" s="21">
        <f>IF(AND(C4284&lt;&gt;"", J4284&lt;&gt;""), HYPERLINK("#'" &amp; C4284 &amp; "'!" &amp; J4284, J4284), "")</f>
        <v>0</v>
      </c>
    </row>
    <row r="4285" spans="2:2">
      <c r="B4285" s="21">
        <f>IF(AND(C4285&lt;&gt;"", J4285&lt;&gt;""), HYPERLINK("#'" &amp; C4285 &amp; "'!" &amp; J4285, J4285), "")</f>
        <v>0</v>
      </c>
    </row>
    <row r="4286" spans="2:2">
      <c r="B4286" s="21">
        <f>IF(AND(C4286&lt;&gt;"", J4286&lt;&gt;""), HYPERLINK("#'" &amp; C4286 &amp; "'!" &amp; J4286, J4286), "")</f>
        <v>0</v>
      </c>
    </row>
    <row r="4287" spans="2:2">
      <c r="B4287" s="21">
        <f>IF(AND(C4287&lt;&gt;"", J4287&lt;&gt;""), HYPERLINK("#'" &amp; C4287 &amp; "'!" &amp; J4287, J4287), "")</f>
        <v>0</v>
      </c>
    </row>
    <row r="4288" spans="2:2">
      <c r="B4288" s="21">
        <f>IF(AND(C4288&lt;&gt;"", J4288&lt;&gt;""), HYPERLINK("#'" &amp; C4288 &amp; "'!" &amp; J4288, J4288), "")</f>
        <v>0</v>
      </c>
    </row>
    <row r="4289" spans="2:2">
      <c r="B4289" s="21">
        <f>IF(AND(C4289&lt;&gt;"", J4289&lt;&gt;""), HYPERLINK("#'" &amp; C4289 &amp; "'!" &amp; J4289, J4289), "")</f>
        <v>0</v>
      </c>
    </row>
    <row r="4290" spans="2:2">
      <c r="B4290" s="21">
        <f>IF(AND(C4290&lt;&gt;"", J4290&lt;&gt;""), HYPERLINK("#'" &amp; C4290 &amp; "'!" &amp; J4290, J4290), "")</f>
        <v>0</v>
      </c>
    </row>
    <row r="4291" spans="2:2">
      <c r="B4291" s="21">
        <f>IF(AND(C4291&lt;&gt;"", J4291&lt;&gt;""), HYPERLINK("#'" &amp; C4291 &amp; "'!" &amp; J4291, J4291), "")</f>
        <v>0</v>
      </c>
    </row>
    <row r="4292" spans="2:2">
      <c r="B4292" s="21">
        <f>IF(AND(C4292&lt;&gt;"", J4292&lt;&gt;""), HYPERLINK("#'" &amp; C4292 &amp; "'!" &amp; J4292, J4292), "")</f>
        <v>0</v>
      </c>
    </row>
    <row r="4293" spans="2:2">
      <c r="B4293" s="21">
        <f>IF(AND(C4293&lt;&gt;"", J4293&lt;&gt;""), HYPERLINK("#'" &amp; C4293 &amp; "'!" &amp; J4293, J4293), "")</f>
        <v>0</v>
      </c>
    </row>
    <row r="4294" spans="2:2">
      <c r="B4294" s="21">
        <f>IF(AND(C4294&lt;&gt;"", J4294&lt;&gt;""), HYPERLINK("#'" &amp; C4294 &amp; "'!" &amp; J4294, J4294), "")</f>
        <v>0</v>
      </c>
    </row>
    <row r="4295" spans="2:2">
      <c r="B4295" s="21">
        <f>IF(AND(C4295&lt;&gt;"", J4295&lt;&gt;""), HYPERLINK("#'" &amp; C4295 &amp; "'!" &amp; J4295, J4295), "")</f>
        <v>0</v>
      </c>
    </row>
    <row r="4296" spans="2:2">
      <c r="B4296" s="21">
        <f>IF(AND(C4296&lt;&gt;"", J4296&lt;&gt;""), HYPERLINK("#'" &amp; C4296 &amp; "'!" &amp; J4296, J4296), "")</f>
        <v>0</v>
      </c>
    </row>
    <row r="4297" spans="2:2">
      <c r="B4297" s="21">
        <f>IF(AND(C4297&lt;&gt;"", J4297&lt;&gt;""), HYPERLINK("#'" &amp; C4297 &amp; "'!" &amp; J4297, J4297), "")</f>
        <v>0</v>
      </c>
    </row>
    <row r="4298" spans="2:2">
      <c r="B4298" s="21">
        <f>IF(AND(C4298&lt;&gt;"", J4298&lt;&gt;""), HYPERLINK("#'" &amp; C4298 &amp; "'!" &amp; J4298, J4298), "")</f>
        <v>0</v>
      </c>
    </row>
    <row r="4299" spans="2:2">
      <c r="B4299" s="21">
        <f>IF(AND(C4299&lt;&gt;"", J4299&lt;&gt;""), HYPERLINK("#'" &amp; C4299 &amp; "'!" &amp; J4299, J4299), "")</f>
        <v>0</v>
      </c>
    </row>
    <row r="4300" spans="2:2">
      <c r="B4300" s="21">
        <f>IF(AND(C4300&lt;&gt;"", J4300&lt;&gt;""), HYPERLINK("#'" &amp; C4300 &amp; "'!" &amp; J4300, J4300), "")</f>
        <v>0</v>
      </c>
    </row>
    <row r="4301" spans="2:2">
      <c r="B4301" s="21">
        <f>IF(AND(C4301&lt;&gt;"", J4301&lt;&gt;""), HYPERLINK("#'" &amp; C4301 &amp; "'!" &amp; J4301, J4301), "")</f>
        <v>0</v>
      </c>
    </row>
    <row r="4302" spans="2:2">
      <c r="B4302" s="21">
        <f>IF(AND(C4302&lt;&gt;"", J4302&lt;&gt;""), HYPERLINK("#'" &amp; C4302 &amp; "'!" &amp; J4302, J4302), "")</f>
        <v>0</v>
      </c>
    </row>
    <row r="4303" spans="2:2">
      <c r="B4303" s="21">
        <f>IF(AND(C4303&lt;&gt;"", J4303&lt;&gt;""), HYPERLINK("#'" &amp; C4303 &amp; "'!" &amp; J4303, J4303), "")</f>
        <v>0</v>
      </c>
    </row>
    <row r="4304" spans="2:2">
      <c r="B4304" s="21">
        <f>IF(AND(C4304&lt;&gt;"", J4304&lt;&gt;""), HYPERLINK("#'" &amp; C4304 &amp; "'!" &amp; J4304, J4304), "")</f>
        <v>0</v>
      </c>
    </row>
    <row r="4305" spans="2:2">
      <c r="B4305" s="21">
        <f>IF(AND(C4305&lt;&gt;"", J4305&lt;&gt;""), HYPERLINK("#'" &amp; C4305 &amp; "'!" &amp; J4305, J4305), "")</f>
        <v>0</v>
      </c>
    </row>
    <row r="4306" spans="2:2">
      <c r="B4306" s="21">
        <f>IF(AND(C4306&lt;&gt;"", J4306&lt;&gt;""), HYPERLINK("#'" &amp; C4306 &amp; "'!" &amp; J4306, J4306), "")</f>
        <v>0</v>
      </c>
    </row>
    <row r="4307" spans="2:2">
      <c r="B4307" s="21">
        <f>IF(AND(C4307&lt;&gt;"", J4307&lt;&gt;""), HYPERLINK("#'" &amp; C4307 &amp; "'!" &amp; J4307, J4307), "")</f>
        <v>0</v>
      </c>
    </row>
    <row r="4308" spans="2:2">
      <c r="B4308" s="21">
        <f>IF(AND(C4308&lt;&gt;"", J4308&lt;&gt;""), HYPERLINK("#'" &amp; C4308 &amp; "'!" &amp; J4308, J4308), "")</f>
        <v>0</v>
      </c>
    </row>
    <row r="4309" spans="2:2">
      <c r="B4309" s="21">
        <f>IF(AND(C4309&lt;&gt;"", J4309&lt;&gt;""), HYPERLINK("#'" &amp; C4309 &amp; "'!" &amp; J4309, J4309), "")</f>
        <v>0</v>
      </c>
    </row>
    <row r="4310" spans="2:2">
      <c r="B4310" s="21">
        <f>IF(AND(C4310&lt;&gt;"", J4310&lt;&gt;""), HYPERLINK("#'" &amp; C4310 &amp; "'!" &amp; J4310, J4310), "")</f>
        <v>0</v>
      </c>
    </row>
    <row r="4311" spans="2:2">
      <c r="B4311" s="21">
        <f>IF(AND(C4311&lt;&gt;"", J4311&lt;&gt;""), HYPERLINK("#'" &amp; C4311 &amp; "'!" &amp; J4311, J4311), "")</f>
        <v>0</v>
      </c>
    </row>
    <row r="4312" spans="2:2">
      <c r="B4312" s="21">
        <f>IF(AND(C4312&lt;&gt;"", J4312&lt;&gt;""), HYPERLINK("#'" &amp; C4312 &amp; "'!" &amp; J4312, J4312), "")</f>
        <v>0</v>
      </c>
    </row>
    <row r="4313" spans="2:2">
      <c r="B4313" s="21">
        <f>IF(AND(C4313&lt;&gt;"", J4313&lt;&gt;""), HYPERLINK("#'" &amp; C4313 &amp; "'!" &amp; J4313, J4313), "")</f>
        <v>0</v>
      </c>
    </row>
    <row r="4314" spans="2:2">
      <c r="B4314" s="21">
        <f>IF(AND(C4314&lt;&gt;"", J4314&lt;&gt;""), HYPERLINK("#'" &amp; C4314 &amp; "'!" &amp; J4314, J4314), "")</f>
        <v>0</v>
      </c>
    </row>
    <row r="4315" spans="2:2">
      <c r="B4315" s="21">
        <f>IF(AND(C4315&lt;&gt;"", J4315&lt;&gt;""), HYPERLINK("#'" &amp; C4315 &amp; "'!" &amp; J4315, J4315), "")</f>
        <v>0</v>
      </c>
    </row>
    <row r="4316" spans="2:2">
      <c r="B4316" s="21">
        <f>IF(AND(C4316&lt;&gt;"", J4316&lt;&gt;""), HYPERLINK("#'" &amp; C4316 &amp; "'!" &amp; J4316, J4316), "")</f>
        <v>0</v>
      </c>
    </row>
    <row r="4317" spans="2:2">
      <c r="B4317" s="21">
        <f>IF(AND(C4317&lt;&gt;"", J4317&lt;&gt;""), HYPERLINK("#'" &amp; C4317 &amp; "'!" &amp; J4317, J4317), "")</f>
        <v>0</v>
      </c>
    </row>
    <row r="4318" spans="2:2">
      <c r="B4318" s="21">
        <f>IF(AND(C4318&lt;&gt;"", J4318&lt;&gt;""), HYPERLINK("#'" &amp; C4318 &amp; "'!" &amp; J4318, J4318), "")</f>
        <v>0</v>
      </c>
    </row>
    <row r="4319" spans="2:2">
      <c r="B4319" s="21">
        <f>IF(AND(C4319&lt;&gt;"", J4319&lt;&gt;""), HYPERLINK("#'" &amp; C4319 &amp; "'!" &amp; J4319, J4319), "")</f>
        <v>0</v>
      </c>
    </row>
    <row r="4320" spans="2:2">
      <c r="B4320" s="21">
        <f>IF(AND(C4320&lt;&gt;"", J4320&lt;&gt;""), HYPERLINK("#'" &amp; C4320 &amp; "'!" &amp; J4320, J4320), "")</f>
        <v>0</v>
      </c>
    </row>
    <row r="4321" spans="2:2">
      <c r="B4321" s="21">
        <f>IF(AND(C4321&lt;&gt;"", J4321&lt;&gt;""), HYPERLINK("#'" &amp; C4321 &amp; "'!" &amp; J4321, J4321), "")</f>
        <v>0</v>
      </c>
    </row>
    <row r="4322" spans="2:2">
      <c r="B4322" s="21">
        <f>IF(AND(C4322&lt;&gt;"", J4322&lt;&gt;""), HYPERLINK("#'" &amp; C4322 &amp; "'!" &amp; J4322, J4322), "")</f>
        <v>0</v>
      </c>
    </row>
    <row r="4323" spans="2:2">
      <c r="B4323" s="21">
        <f>IF(AND(C4323&lt;&gt;"", J4323&lt;&gt;""), HYPERLINK("#'" &amp; C4323 &amp; "'!" &amp; J4323, J4323), "")</f>
        <v>0</v>
      </c>
    </row>
    <row r="4324" spans="2:2">
      <c r="B4324" s="21">
        <f>IF(AND(C4324&lt;&gt;"", J4324&lt;&gt;""), HYPERLINK("#'" &amp; C4324 &amp; "'!" &amp; J4324, J4324), "")</f>
        <v>0</v>
      </c>
    </row>
    <row r="4325" spans="2:2">
      <c r="B4325" s="21">
        <f>IF(AND(C4325&lt;&gt;"", J4325&lt;&gt;""), HYPERLINK("#'" &amp; C4325 &amp; "'!" &amp; J4325, J4325), "")</f>
        <v>0</v>
      </c>
    </row>
    <row r="4326" spans="2:2">
      <c r="B4326" s="21">
        <f>IF(AND(C4326&lt;&gt;"", J4326&lt;&gt;""), HYPERLINK("#'" &amp; C4326 &amp; "'!" &amp; J4326, J4326), "")</f>
        <v>0</v>
      </c>
    </row>
    <row r="4327" spans="2:2">
      <c r="B4327" s="21">
        <f>IF(AND(C4327&lt;&gt;"", J4327&lt;&gt;""), HYPERLINK("#'" &amp; C4327 &amp; "'!" &amp; J4327, J4327), "")</f>
        <v>0</v>
      </c>
    </row>
    <row r="4328" spans="2:2">
      <c r="B4328" s="21">
        <f>IF(AND(C4328&lt;&gt;"", J4328&lt;&gt;""), HYPERLINK("#'" &amp; C4328 &amp; "'!" &amp; J4328, J4328), "")</f>
        <v>0</v>
      </c>
    </row>
    <row r="4329" spans="2:2">
      <c r="B4329" s="21">
        <f>IF(AND(C4329&lt;&gt;"", J4329&lt;&gt;""), HYPERLINK("#'" &amp; C4329 &amp; "'!" &amp; J4329, J4329), "")</f>
        <v>0</v>
      </c>
    </row>
    <row r="4330" spans="2:2">
      <c r="B4330" s="21">
        <f>IF(AND(C4330&lt;&gt;"", J4330&lt;&gt;""), HYPERLINK("#'" &amp; C4330 &amp; "'!" &amp; J4330, J4330), "")</f>
        <v>0</v>
      </c>
    </row>
    <row r="4331" spans="2:2">
      <c r="B4331" s="21">
        <f>IF(AND(C4331&lt;&gt;"", J4331&lt;&gt;""), HYPERLINK("#'" &amp; C4331 &amp; "'!" &amp; J4331, J4331), "")</f>
        <v>0</v>
      </c>
    </row>
    <row r="4332" spans="2:2">
      <c r="B4332" s="21">
        <f>IF(AND(C4332&lt;&gt;"", J4332&lt;&gt;""), HYPERLINK("#'" &amp; C4332 &amp; "'!" &amp; J4332, J4332), "")</f>
        <v>0</v>
      </c>
    </row>
    <row r="4333" spans="2:2">
      <c r="B4333" s="21">
        <f>IF(AND(C4333&lt;&gt;"", J4333&lt;&gt;""), HYPERLINK("#'" &amp; C4333 &amp; "'!" &amp; J4333, J4333), "")</f>
        <v>0</v>
      </c>
    </row>
    <row r="4334" spans="2:2">
      <c r="B4334" s="21">
        <f>IF(AND(C4334&lt;&gt;"", J4334&lt;&gt;""), HYPERLINK("#'" &amp; C4334 &amp; "'!" &amp; J4334, J4334), "")</f>
        <v>0</v>
      </c>
    </row>
    <row r="4335" spans="2:2">
      <c r="B4335" s="21">
        <f>IF(AND(C4335&lt;&gt;"", J4335&lt;&gt;""), HYPERLINK("#'" &amp; C4335 &amp; "'!" &amp; J4335, J4335), "")</f>
        <v>0</v>
      </c>
    </row>
    <row r="4336" spans="2:2">
      <c r="B4336" s="21">
        <f>IF(AND(C4336&lt;&gt;"", J4336&lt;&gt;""), HYPERLINK("#'" &amp; C4336 &amp; "'!" &amp; J4336, J4336), "")</f>
        <v>0</v>
      </c>
    </row>
    <row r="4337" spans="2:2">
      <c r="B4337" s="21">
        <f>IF(AND(C4337&lt;&gt;"", J4337&lt;&gt;""), HYPERLINK("#'" &amp; C4337 &amp; "'!" &amp; J4337, J4337), "")</f>
        <v>0</v>
      </c>
    </row>
    <row r="4338" spans="2:2">
      <c r="B4338" s="21">
        <f>IF(AND(C4338&lt;&gt;"", J4338&lt;&gt;""), HYPERLINK("#'" &amp; C4338 &amp; "'!" &amp; J4338, J4338), "")</f>
        <v>0</v>
      </c>
    </row>
    <row r="4339" spans="2:2">
      <c r="B4339" s="21">
        <f>IF(AND(C4339&lt;&gt;"", J4339&lt;&gt;""), HYPERLINK("#'" &amp; C4339 &amp; "'!" &amp; J4339, J4339), "")</f>
        <v>0</v>
      </c>
    </row>
    <row r="4340" spans="2:2">
      <c r="B4340" s="21">
        <f>IF(AND(C4340&lt;&gt;"", J4340&lt;&gt;""), HYPERLINK("#'" &amp; C4340 &amp; "'!" &amp; J4340, J4340), "")</f>
        <v>0</v>
      </c>
    </row>
    <row r="4341" spans="2:2">
      <c r="B4341" s="21">
        <f>IF(AND(C4341&lt;&gt;"", J4341&lt;&gt;""), HYPERLINK("#'" &amp; C4341 &amp; "'!" &amp; J4341, J4341), "")</f>
        <v>0</v>
      </c>
    </row>
    <row r="4342" spans="2:2">
      <c r="B4342" s="21">
        <f>IF(AND(C4342&lt;&gt;"", J4342&lt;&gt;""), HYPERLINK("#'" &amp; C4342 &amp; "'!" &amp; J4342, J4342), "")</f>
        <v>0</v>
      </c>
    </row>
    <row r="4343" spans="2:2">
      <c r="B4343" s="21">
        <f>IF(AND(C4343&lt;&gt;"", J4343&lt;&gt;""), HYPERLINK("#'" &amp; C4343 &amp; "'!" &amp; J4343, J4343), "")</f>
        <v>0</v>
      </c>
    </row>
    <row r="4344" spans="2:2">
      <c r="B4344" s="21">
        <f>IF(AND(C4344&lt;&gt;"", J4344&lt;&gt;""), HYPERLINK("#'" &amp; C4344 &amp; "'!" &amp; J4344, J4344), "")</f>
        <v>0</v>
      </c>
    </row>
    <row r="4345" spans="2:2">
      <c r="B4345" s="21">
        <f>IF(AND(C4345&lt;&gt;"", J4345&lt;&gt;""), HYPERLINK("#'" &amp; C4345 &amp; "'!" &amp; J4345, J4345), "")</f>
        <v>0</v>
      </c>
    </row>
    <row r="4346" spans="2:2">
      <c r="B4346" s="21">
        <f>IF(AND(C4346&lt;&gt;"", J4346&lt;&gt;""), HYPERLINK("#'" &amp; C4346 &amp; "'!" &amp; J4346, J4346), "")</f>
        <v>0</v>
      </c>
    </row>
    <row r="4347" spans="2:2">
      <c r="B4347" s="21">
        <f>IF(AND(C4347&lt;&gt;"", J4347&lt;&gt;""), HYPERLINK("#'" &amp; C4347 &amp; "'!" &amp; J4347, J4347), "")</f>
        <v>0</v>
      </c>
    </row>
    <row r="4348" spans="2:2">
      <c r="B4348" s="21">
        <f>IF(AND(C4348&lt;&gt;"", J4348&lt;&gt;""), HYPERLINK("#'" &amp; C4348 &amp; "'!" &amp; J4348, J4348), "")</f>
        <v>0</v>
      </c>
    </row>
    <row r="4349" spans="2:2">
      <c r="B4349" s="21">
        <f>IF(AND(C4349&lt;&gt;"", J4349&lt;&gt;""), HYPERLINK("#'" &amp; C4349 &amp; "'!" &amp; J4349, J4349), "")</f>
        <v>0</v>
      </c>
    </row>
    <row r="4350" spans="2:2">
      <c r="B4350" s="21">
        <f>IF(AND(C4350&lt;&gt;"", J4350&lt;&gt;""), HYPERLINK("#'" &amp; C4350 &amp; "'!" &amp; J4350, J4350), "")</f>
        <v>0</v>
      </c>
    </row>
    <row r="4351" spans="2:2">
      <c r="B4351" s="21">
        <f>IF(AND(C4351&lt;&gt;"", J4351&lt;&gt;""), HYPERLINK("#'" &amp; C4351 &amp; "'!" &amp; J4351, J4351), "")</f>
        <v>0</v>
      </c>
    </row>
    <row r="4352" spans="2:2">
      <c r="B4352" s="21">
        <f>IF(AND(C4352&lt;&gt;"", J4352&lt;&gt;""), HYPERLINK("#'" &amp; C4352 &amp; "'!" &amp; J4352, J4352), "")</f>
        <v>0</v>
      </c>
    </row>
    <row r="4353" spans="2:2">
      <c r="B4353" s="21">
        <f>IF(AND(C4353&lt;&gt;"", J4353&lt;&gt;""), HYPERLINK("#'" &amp; C4353 &amp; "'!" &amp; J4353, J4353), "")</f>
        <v>0</v>
      </c>
    </row>
    <row r="4354" spans="2:2">
      <c r="B4354" s="21">
        <f>IF(AND(C4354&lt;&gt;"", J4354&lt;&gt;""), HYPERLINK("#'" &amp; C4354 &amp; "'!" &amp; J4354, J4354), "")</f>
        <v>0</v>
      </c>
    </row>
    <row r="4355" spans="2:2">
      <c r="B4355" s="21">
        <f>IF(AND(C4355&lt;&gt;"", J4355&lt;&gt;""), HYPERLINK("#'" &amp; C4355 &amp; "'!" &amp; J4355, J4355), "")</f>
        <v>0</v>
      </c>
    </row>
    <row r="4356" spans="2:2">
      <c r="B4356" s="21">
        <f>IF(AND(C4356&lt;&gt;"", J4356&lt;&gt;""), HYPERLINK("#'" &amp; C4356 &amp; "'!" &amp; J4356, J4356), "")</f>
        <v>0</v>
      </c>
    </row>
    <row r="4357" spans="2:2">
      <c r="B4357" s="21">
        <f>IF(AND(C4357&lt;&gt;"", J4357&lt;&gt;""), HYPERLINK("#'" &amp; C4357 &amp; "'!" &amp; J4357, J4357), "")</f>
        <v>0</v>
      </c>
    </row>
    <row r="4358" spans="2:2">
      <c r="B4358" s="21">
        <f>IF(AND(C4358&lt;&gt;"", J4358&lt;&gt;""), HYPERLINK("#'" &amp; C4358 &amp; "'!" &amp; J4358, J4358), "")</f>
        <v>0</v>
      </c>
    </row>
    <row r="4359" spans="2:2">
      <c r="B4359" s="21">
        <f>IF(AND(C4359&lt;&gt;"", J4359&lt;&gt;""), HYPERLINK("#'" &amp; C4359 &amp; "'!" &amp; J4359, J4359), "")</f>
        <v>0</v>
      </c>
    </row>
    <row r="4360" spans="2:2">
      <c r="B4360" s="21">
        <f>IF(AND(C4360&lt;&gt;"", J4360&lt;&gt;""), HYPERLINK("#'" &amp; C4360 &amp; "'!" &amp; J4360, J4360), "")</f>
        <v>0</v>
      </c>
    </row>
    <row r="4361" spans="2:2">
      <c r="B4361" s="21">
        <f>IF(AND(C4361&lt;&gt;"", J4361&lt;&gt;""), HYPERLINK("#'" &amp; C4361 &amp; "'!" &amp; J4361, J4361), "")</f>
        <v>0</v>
      </c>
    </row>
    <row r="4362" spans="2:2">
      <c r="B4362" s="21">
        <f>IF(AND(C4362&lt;&gt;"", J4362&lt;&gt;""), HYPERLINK("#'" &amp; C4362 &amp; "'!" &amp; J4362, J4362), "")</f>
        <v>0</v>
      </c>
    </row>
    <row r="4363" spans="2:2">
      <c r="B4363" s="21">
        <f>IF(AND(C4363&lt;&gt;"", J4363&lt;&gt;""), HYPERLINK("#'" &amp; C4363 &amp; "'!" &amp; J4363, J4363), "")</f>
        <v>0</v>
      </c>
    </row>
    <row r="4364" spans="2:2">
      <c r="B4364" s="21">
        <f>IF(AND(C4364&lt;&gt;"", J4364&lt;&gt;""), HYPERLINK("#'" &amp; C4364 &amp; "'!" &amp; J4364, J4364), "")</f>
        <v>0</v>
      </c>
    </row>
    <row r="4365" spans="2:2">
      <c r="B4365" s="21">
        <f>IF(AND(C4365&lt;&gt;"", J4365&lt;&gt;""), HYPERLINK("#'" &amp; C4365 &amp; "'!" &amp; J4365, J4365), "")</f>
        <v>0</v>
      </c>
    </row>
    <row r="4366" spans="2:2">
      <c r="B4366" s="21">
        <f>IF(AND(C4366&lt;&gt;"", J4366&lt;&gt;""), HYPERLINK("#'" &amp; C4366 &amp; "'!" &amp; J4366, J4366), "")</f>
        <v>0</v>
      </c>
    </row>
    <row r="4367" spans="2:2">
      <c r="B4367" s="21">
        <f>IF(AND(C4367&lt;&gt;"", J4367&lt;&gt;""), HYPERLINK("#'" &amp; C4367 &amp; "'!" &amp; J4367, J4367), "")</f>
        <v>0</v>
      </c>
    </row>
    <row r="4368" spans="2:2">
      <c r="B4368" s="21">
        <f>IF(AND(C4368&lt;&gt;"", J4368&lt;&gt;""), HYPERLINK("#'" &amp; C4368 &amp; "'!" &amp; J4368, J4368), "")</f>
        <v>0</v>
      </c>
    </row>
    <row r="4369" spans="2:2">
      <c r="B4369" s="21">
        <f>IF(AND(C4369&lt;&gt;"", J4369&lt;&gt;""), HYPERLINK("#'" &amp; C4369 &amp; "'!" &amp; J4369, J4369), "")</f>
        <v>0</v>
      </c>
    </row>
    <row r="4370" spans="2:2">
      <c r="B4370" s="21">
        <f>IF(AND(C4370&lt;&gt;"", J4370&lt;&gt;""), HYPERLINK("#'" &amp; C4370 &amp; "'!" &amp; J4370, J4370), "")</f>
        <v>0</v>
      </c>
    </row>
    <row r="4371" spans="2:2">
      <c r="B4371" s="21">
        <f>IF(AND(C4371&lt;&gt;"", J4371&lt;&gt;""), HYPERLINK("#'" &amp; C4371 &amp; "'!" &amp; J4371, J4371), "")</f>
        <v>0</v>
      </c>
    </row>
    <row r="4372" spans="2:2">
      <c r="B4372" s="21">
        <f>IF(AND(C4372&lt;&gt;"", J4372&lt;&gt;""), HYPERLINK("#'" &amp; C4372 &amp; "'!" &amp; J4372, J4372), "")</f>
        <v>0</v>
      </c>
    </row>
    <row r="4373" spans="2:2">
      <c r="B4373" s="21">
        <f>IF(AND(C4373&lt;&gt;"", J4373&lt;&gt;""), HYPERLINK("#'" &amp; C4373 &amp; "'!" &amp; J4373, J4373), "")</f>
        <v>0</v>
      </c>
    </row>
    <row r="4374" spans="2:2">
      <c r="B4374" s="21">
        <f>IF(AND(C4374&lt;&gt;"", J4374&lt;&gt;""), HYPERLINK("#'" &amp; C4374 &amp; "'!" &amp; J4374, J4374), "")</f>
        <v>0</v>
      </c>
    </row>
    <row r="4375" spans="2:2">
      <c r="B4375" s="21">
        <f>IF(AND(C4375&lt;&gt;"", J4375&lt;&gt;""), HYPERLINK("#'" &amp; C4375 &amp; "'!" &amp; J4375, J4375), "")</f>
        <v>0</v>
      </c>
    </row>
    <row r="4376" spans="2:2">
      <c r="B4376" s="21">
        <f>IF(AND(C4376&lt;&gt;"", J4376&lt;&gt;""), HYPERLINK("#'" &amp; C4376 &amp; "'!" &amp; J4376, J4376), "")</f>
        <v>0</v>
      </c>
    </row>
    <row r="4377" spans="2:2">
      <c r="B4377" s="21">
        <f>IF(AND(C4377&lt;&gt;"", J4377&lt;&gt;""), HYPERLINK("#'" &amp; C4377 &amp; "'!" &amp; J4377, J4377), "")</f>
        <v>0</v>
      </c>
    </row>
    <row r="4378" spans="2:2">
      <c r="B4378" s="21">
        <f>IF(AND(C4378&lt;&gt;"", J4378&lt;&gt;""), HYPERLINK("#'" &amp; C4378 &amp; "'!" &amp; J4378, J4378), "")</f>
        <v>0</v>
      </c>
    </row>
    <row r="4379" spans="2:2">
      <c r="B4379" s="21">
        <f>IF(AND(C4379&lt;&gt;"", J4379&lt;&gt;""), HYPERLINK("#'" &amp; C4379 &amp; "'!" &amp; J4379, J4379), "")</f>
        <v>0</v>
      </c>
    </row>
    <row r="4380" spans="2:2">
      <c r="B4380" s="21">
        <f>IF(AND(C4380&lt;&gt;"", J4380&lt;&gt;""), HYPERLINK("#'" &amp; C4380 &amp; "'!" &amp; J4380, J4380), "")</f>
        <v>0</v>
      </c>
    </row>
    <row r="4381" spans="2:2">
      <c r="B4381" s="21">
        <f>IF(AND(C4381&lt;&gt;"", J4381&lt;&gt;""), HYPERLINK("#'" &amp; C4381 &amp; "'!" &amp; J4381, J4381), "")</f>
        <v>0</v>
      </c>
    </row>
    <row r="4382" spans="2:2">
      <c r="B4382" s="21">
        <f>IF(AND(C4382&lt;&gt;"", J4382&lt;&gt;""), HYPERLINK("#'" &amp; C4382 &amp; "'!" &amp; J4382, J4382), "")</f>
        <v>0</v>
      </c>
    </row>
    <row r="4383" spans="2:2">
      <c r="B4383" s="21">
        <f>IF(AND(C4383&lt;&gt;"", J4383&lt;&gt;""), HYPERLINK("#'" &amp; C4383 &amp; "'!" &amp; J4383, J4383), "")</f>
        <v>0</v>
      </c>
    </row>
    <row r="4384" spans="2:2">
      <c r="B4384" s="21">
        <f>IF(AND(C4384&lt;&gt;"", J4384&lt;&gt;""), HYPERLINK("#'" &amp; C4384 &amp; "'!" &amp; J4384, J4384), "")</f>
        <v>0</v>
      </c>
    </row>
    <row r="4385" spans="2:2">
      <c r="B4385" s="21">
        <f>IF(AND(C4385&lt;&gt;"", J4385&lt;&gt;""), HYPERLINK("#'" &amp; C4385 &amp; "'!" &amp; J4385, J4385), "")</f>
        <v>0</v>
      </c>
    </row>
    <row r="4386" spans="2:2">
      <c r="B4386" s="21">
        <f>IF(AND(C4386&lt;&gt;"", J4386&lt;&gt;""), HYPERLINK("#'" &amp; C4386 &amp; "'!" &amp; J4386, J4386), "")</f>
        <v>0</v>
      </c>
    </row>
    <row r="4387" spans="2:2">
      <c r="B4387" s="21">
        <f>IF(AND(C4387&lt;&gt;"", J4387&lt;&gt;""), HYPERLINK("#'" &amp; C4387 &amp; "'!" &amp; J4387, J4387), "")</f>
        <v>0</v>
      </c>
    </row>
    <row r="4388" spans="2:2">
      <c r="B4388" s="21">
        <f>IF(AND(C4388&lt;&gt;"", J4388&lt;&gt;""), HYPERLINK("#'" &amp; C4388 &amp; "'!" &amp; J4388, J4388), "")</f>
        <v>0</v>
      </c>
    </row>
    <row r="4389" spans="2:2">
      <c r="B4389" s="21">
        <f>IF(AND(C4389&lt;&gt;"", J4389&lt;&gt;""), HYPERLINK("#'" &amp; C4389 &amp; "'!" &amp; J4389, J4389), "")</f>
        <v>0</v>
      </c>
    </row>
    <row r="4390" spans="2:2">
      <c r="B4390" s="21">
        <f>IF(AND(C4390&lt;&gt;"", J4390&lt;&gt;""), HYPERLINK("#'" &amp; C4390 &amp; "'!" &amp; J4390, J4390), "")</f>
        <v>0</v>
      </c>
    </row>
    <row r="4391" spans="2:2">
      <c r="B4391" s="21">
        <f>IF(AND(C4391&lt;&gt;"", J4391&lt;&gt;""), HYPERLINK("#'" &amp; C4391 &amp; "'!" &amp; J4391, J4391), "")</f>
        <v>0</v>
      </c>
    </row>
    <row r="4392" spans="2:2">
      <c r="B4392" s="21">
        <f>IF(AND(C4392&lt;&gt;"", J4392&lt;&gt;""), HYPERLINK("#'" &amp; C4392 &amp; "'!" &amp; J4392, J4392), "")</f>
        <v>0</v>
      </c>
    </row>
    <row r="4393" spans="2:2">
      <c r="B4393" s="21">
        <f>IF(AND(C4393&lt;&gt;"", J4393&lt;&gt;""), HYPERLINK("#'" &amp; C4393 &amp; "'!" &amp; J4393, J4393), "")</f>
        <v>0</v>
      </c>
    </row>
    <row r="4394" spans="2:2">
      <c r="B4394" s="21">
        <f>IF(AND(C4394&lt;&gt;"", J4394&lt;&gt;""), HYPERLINK("#'" &amp; C4394 &amp; "'!" &amp; J4394, J4394), "")</f>
        <v>0</v>
      </c>
    </row>
    <row r="4395" spans="2:2">
      <c r="B4395" s="21">
        <f>IF(AND(C4395&lt;&gt;"", J4395&lt;&gt;""), HYPERLINK("#'" &amp; C4395 &amp; "'!" &amp; J4395, J4395), "")</f>
        <v>0</v>
      </c>
    </row>
    <row r="4396" spans="2:2">
      <c r="B4396" s="21">
        <f>IF(AND(C4396&lt;&gt;"", J4396&lt;&gt;""), HYPERLINK("#'" &amp; C4396 &amp; "'!" &amp; J4396, J4396), "")</f>
        <v>0</v>
      </c>
    </row>
    <row r="4397" spans="2:2">
      <c r="B4397" s="21">
        <f>IF(AND(C4397&lt;&gt;"", J4397&lt;&gt;""), HYPERLINK("#'" &amp; C4397 &amp; "'!" &amp; J4397, J4397), "")</f>
        <v>0</v>
      </c>
    </row>
    <row r="4398" spans="2:2">
      <c r="B4398" s="21">
        <f>IF(AND(C4398&lt;&gt;"", J4398&lt;&gt;""), HYPERLINK("#'" &amp; C4398 &amp; "'!" &amp; J4398, J4398), "")</f>
        <v>0</v>
      </c>
    </row>
    <row r="4399" spans="2:2">
      <c r="B4399" s="21">
        <f>IF(AND(C4399&lt;&gt;"", J4399&lt;&gt;""), HYPERLINK("#'" &amp; C4399 &amp; "'!" &amp; J4399, J4399), "")</f>
        <v>0</v>
      </c>
    </row>
    <row r="4400" spans="2:2">
      <c r="B4400" s="21">
        <f>IF(AND(C4400&lt;&gt;"", J4400&lt;&gt;""), HYPERLINK("#'" &amp; C4400 &amp; "'!" &amp; J4400, J4400), "")</f>
        <v>0</v>
      </c>
    </row>
    <row r="4401" spans="2:2">
      <c r="B4401" s="21">
        <f>IF(AND(C4401&lt;&gt;"", J4401&lt;&gt;""), HYPERLINK("#'" &amp; C4401 &amp; "'!" &amp; J4401, J4401), "")</f>
        <v>0</v>
      </c>
    </row>
    <row r="4402" spans="2:2">
      <c r="B4402" s="21">
        <f>IF(AND(C4402&lt;&gt;"", J4402&lt;&gt;""), HYPERLINK("#'" &amp; C4402 &amp; "'!" &amp; J4402, J4402), "")</f>
        <v>0</v>
      </c>
    </row>
    <row r="4403" spans="2:2">
      <c r="B4403" s="21">
        <f>IF(AND(C4403&lt;&gt;"", J4403&lt;&gt;""), HYPERLINK("#'" &amp; C4403 &amp; "'!" &amp; J4403, J4403), "")</f>
        <v>0</v>
      </c>
    </row>
    <row r="4404" spans="2:2">
      <c r="B4404" s="21">
        <f>IF(AND(C4404&lt;&gt;"", J4404&lt;&gt;""), HYPERLINK("#'" &amp; C4404 &amp; "'!" &amp; J4404, J4404), "")</f>
        <v>0</v>
      </c>
    </row>
    <row r="4405" spans="2:2">
      <c r="B4405" s="21">
        <f>IF(AND(C4405&lt;&gt;"", J4405&lt;&gt;""), HYPERLINK("#'" &amp; C4405 &amp; "'!" &amp; J4405, J4405), "")</f>
        <v>0</v>
      </c>
    </row>
    <row r="4406" spans="2:2">
      <c r="B4406" s="21">
        <f>IF(AND(C4406&lt;&gt;"", J4406&lt;&gt;""), HYPERLINK("#'" &amp; C4406 &amp; "'!" &amp; J4406, J4406), "")</f>
        <v>0</v>
      </c>
    </row>
    <row r="4407" spans="2:2">
      <c r="B4407" s="21">
        <f>IF(AND(C4407&lt;&gt;"", J4407&lt;&gt;""), HYPERLINK("#'" &amp; C4407 &amp; "'!" &amp; J4407, J4407), "")</f>
        <v>0</v>
      </c>
    </row>
    <row r="4408" spans="2:2">
      <c r="B4408" s="21">
        <f>IF(AND(C4408&lt;&gt;"", J4408&lt;&gt;""), HYPERLINK("#'" &amp; C4408 &amp; "'!" &amp; J4408, J4408), "")</f>
        <v>0</v>
      </c>
    </row>
    <row r="4409" spans="2:2">
      <c r="B4409" s="21">
        <f>IF(AND(C4409&lt;&gt;"", J4409&lt;&gt;""), HYPERLINK("#'" &amp; C4409 &amp; "'!" &amp; J4409, J4409), "")</f>
        <v>0</v>
      </c>
    </row>
    <row r="4410" spans="2:2">
      <c r="B4410" s="21">
        <f>IF(AND(C4410&lt;&gt;"", J4410&lt;&gt;""), HYPERLINK("#'" &amp; C4410 &amp; "'!" &amp; J4410, J4410), "")</f>
        <v>0</v>
      </c>
    </row>
    <row r="4411" spans="2:2">
      <c r="B4411" s="21">
        <f>IF(AND(C4411&lt;&gt;"", J4411&lt;&gt;""), HYPERLINK("#'" &amp; C4411 &amp; "'!" &amp; J4411, J4411), "")</f>
        <v>0</v>
      </c>
    </row>
    <row r="4412" spans="2:2">
      <c r="B4412" s="21">
        <f>IF(AND(C4412&lt;&gt;"", J4412&lt;&gt;""), HYPERLINK("#'" &amp; C4412 &amp; "'!" &amp; J4412, J4412), "")</f>
        <v>0</v>
      </c>
    </row>
    <row r="4413" spans="2:2">
      <c r="B4413" s="21">
        <f>IF(AND(C4413&lt;&gt;"", J4413&lt;&gt;""), HYPERLINK("#'" &amp; C4413 &amp; "'!" &amp; J4413, J4413), "")</f>
        <v>0</v>
      </c>
    </row>
    <row r="4414" spans="2:2">
      <c r="B4414" s="21">
        <f>IF(AND(C4414&lt;&gt;"", J4414&lt;&gt;""), HYPERLINK("#'" &amp; C4414 &amp; "'!" &amp; J4414, J4414), "")</f>
        <v>0</v>
      </c>
    </row>
    <row r="4415" spans="2:2">
      <c r="B4415" s="21">
        <f>IF(AND(C4415&lt;&gt;"", J4415&lt;&gt;""), HYPERLINK("#'" &amp; C4415 &amp; "'!" &amp; J4415, J4415), "")</f>
        <v>0</v>
      </c>
    </row>
    <row r="4416" spans="2:2">
      <c r="B4416" s="21">
        <f>IF(AND(C4416&lt;&gt;"", J4416&lt;&gt;""), HYPERLINK("#'" &amp; C4416 &amp; "'!" &amp; J4416, J4416), "")</f>
        <v>0</v>
      </c>
    </row>
    <row r="4417" spans="2:2">
      <c r="B4417" s="21">
        <f>IF(AND(C4417&lt;&gt;"", J4417&lt;&gt;""), HYPERLINK("#'" &amp; C4417 &amp; "'!" &amp; J4417, J4417), "")</f>
        <v>0</v>
      </c>
    </row>
    <row r="4418" spans="2:2">
      <c r="B4418" s="21">
        <f>IF(AND(C4418&lt;&gt;"", J4418&lt;&gt;""), HYPERLINK("#'" &amp; C4418 &amp; "'!" &amp; J4418, J4418), "")</f>
        <v>0</v>
      </c>
    </row>
    <row r="4419" spans="2:2">
      <c r="B4419" s="21">
        <f>IF(AND(C4419&lt;&gt;"", J4419&lt;&gt;""), HYPERLINK("#'" &amp; C4419 &amp; "'!" &amp; J4419, J4419), "")</f>
        <v>0</v>
      </c>
    </row>
    <row r="4420" spans="2:2">
      <c r="B4420" s="21">
        <f>IF(AND(C4420&lt;&gt;"", J4420&lt;&gt;""), HYPERLINK("#'" &amp; C4420 &amp; "'!" &amp; J4420, J4420), "")</f>
        <v>0</v>
      </c>
    </row>
    <row r="4421" spans="2:2">
      <c r="B4421" s="21">
        <f>IF(AND(C4421&lt;&gt;"", J4421&lt;&gt;""), HYPERLINK("#'" &amp; C4421 &amp; "'!" &amp; J4421, J4421), "")</f>
        <v>0</v>
      </c>
    </row>
    <row r="4422" spans="2:2">
      <c r="B4422" s="21">
        <f>IF(AND(C4422&lt;&gt;"", J4422&lt;&gt;""), HYPERLINK("#'" &amp; C4422 &amp; "'!" &amp; J4422, J4422), "")</f>
        <v>0</v>
      </c>
    </row>
    <row r="4423" spans="2:2">
      <c r="B4423" s="21">
        <f>IF(AND(C4423&lt;&gt;"", J4423&lt;&gt;""), HYPERLINK("#'" &amp; C4423 &amp; "'!" &amp; J4423, J4423), "")</f>
        <v>0</v>
      </c>
    </row>
    <row r="4424" spans="2:2">
      <c r="B4424" s="21">
        <f>IF(AND(C4424&lt;&gt;"", J4424&lt;&gt;""), HYPERLINK("#'" &amp; C4424 &amp; "'!" &amp; J4424, J4424), "")</f>
        <v>0</v>
      </c>
    </row>
    <row r="4425" spans="2:2">
      <c r="B4425" s="21">
        <f>IF(AND(C4425&lt;&gt;"", J4425&lt;&gt;""), HYPERLINK("#'" &amp; C4425 &amp; "'!" &amp; J4425, J4425), "")</f>
        <v>0</v>
      </c>
    </row>
    <row r="4426" spans="2:2">
      <c r="B4426" s="21">
        <f>IF(AND(C4426&lt;&gt;"", J4426&lt;&gt;""), HYPERLINK("#'" &amp; C4426 &amp; "'!" &amp; J4426, J4426), "")</f>
        <v>0</v>
      </c>
    </row>
    <row r="4427" spans="2:2">
      <c r="B4427" s="21">
        <f>IF(AND(C4427&lt;&gt;"", J4427&lt;&gt;""), HYPERLINK("#'" &amp; C4427 &amp; "'!" &amp; J4427, J4427), "")</f>
        <v>0</v>
      </c>
    </row>
    <row r="4428" spans="2:2">
      <c r="B4428" s="21">
        <f>IF(AND(C4428&lt;&gt;"", J4428&lt;&gt;""), HYPERLINK("#'" &amp; C4428 &amp; "'!" &amp; J4428, J4428), "")</f>
        <v>0</v>
      </c>
    </row>
    <row r="4429" spans="2:2">
      <c r="B4429" s="21">
        <f>IF(AND(C4429&lt;&gt;"", J4429&lt;&gt;""), HYPERLINK("#'" &amp; C4429 &amp; "'!" &amp; J4429, J4429), "")</f>
        <v>0</v>
      </c>
    </row>
    <row r="4430" spans="2:2">
      <c r="B4430" s="21">
        <f>IF(AND(C4430&lt;&gt;"", J4430&lt;&gt;""), HYPERLINK("#'" &amp; C4430 &amp; "'!" &amp; J4430, J4430), "")</f>
        <v>0</v>
      </c>
    </row>
    <row r="4431" spans="2:2">
      <c r="B4431" s="21">
        <f>IF(AND(C4431&lt;&gt;"", J4431&lt;&gt;""), HYPERLINK("#'" &amp; C4431 &amp; "'!" &amp; J4431, J4431), "")</f>
        <v>0</v>
      </c>
    </row>
    <row r="4432" spans="2:2">
      <c r="B4432" s="21">
        <f>IF(AND(C4432&lt;&gt;"", J4432&lt;&gt;""), HYPERLINK("#'" &amp; C4432 &amp; "'!" &amp; J4432, J4432), "")</f>
        <v>0</v>
      </c>
    </row>
    <row r="4433" spans="2:2">
      <c r="B4433" s="21">
        <f>IF(AND(C4433&lt;&gt;"", J4433&lt;&gt;""), HYPERLINK("#'" &amp; C4433 &amp; "'!" &amp; J4433, J4433), "")</f>
        <v>0</v>
      </c>
    </row>
    <row r="4434" spans="2:2">
      <c r="B4434" s="21">
        <f>IF(AND(C4434&lt;&gt;"", J4434&lt;&gt;""), HYPERLINK("#'" &amp; C4434 &amp; "'!" &amp; J4434, J4434), "")</f>
        <v>0</v>
      </c>
    </row>
    <row r="4435" spans="2:2">
      <c r="B4435" s="21">
        <f>IF(AND(C4435&lt;&gt;"", J4435&lt;&gt;""), HYPERLINK("#'" &amp; C4435 &amp; "'!" &amp; J4435, J4435), "")</f>
        <v>0</v>
      </c>
    </row>
    <row r="4436" spans="2:2">
      <c r="B4436" s="21">
        <f>IF(AND(C4436&lt;&gt;"", J4436&lt;&gt;""), HYPERLINK("#'" &amp; C4436 &amp; "'!" &amp; J4436, J4436), "")</f>
        <v>0</v>
      </c>
    </row>
    <row r="4437" spans="2:2">
      <c r="B4437" s="21">
        <f>IF(AND(C4437&lt;&gt;"", J4437&lt;&gt;""), HYPERLINK("#'" &amp; C4437 &amp; "'!" &amp; J4437, J4437), "")</f>
        <v>0</v>
      </c>
    </row>
    <row r="4438" spans="2:2">
      <c r="B4438" s="21">
        <f>IF(AND(C4438&lt;&gt;"", J4438&lt;&gt;""), HYPERLINK("#'" &amp; C4438 &amp; "'!" &amp; J4438, J4438), "")</f>
        <v>0</v>
      </c>
    </row>
    <row r="4439" spans="2:2">
      <c r="B4439" s="21">
        <f>IF(AND(C4439&lt;&gt;"", J4439&lt;&gt;""), HYPERLINK("#'" &amp; C4439 &amp; "'!" &amp; J4439, J4439), "")</f>
        <v>0</v>
      </c>
    </row>
    <row r="4440" spans="2:2">
      <c r="B4440" s="21">
        <f>IF(AND(C4440&lt;&gt;"", J4440&lt;&gt;""), HYPERLINK("#'" &amp; C4440 &amp; "'!" &amp; J4440, J4440), "")</f>
        <v>0</v>
      </c>
    </row>
    <row r="4441" spans="2:2">
      <c r="B4441" s="21">
        <f>IF(AND(C4441&lt;&gt;"", J4441&lt;&gt;""), HYPERLINK("#'" &amp; C4441 &amp; "'!" &amp; J4441, J4441), "")</f>
        <v>0</v>
      </c>
    </row>
    <row r="4442" spans="2:2">
      <c r="B4442" s="21">
        <f>IF(AND(C4442&lt;&gt;"", J4442&lt;&gt;""), HYPERLINK("#'" &amp; C4442 &amp; "'!" &amp; J4442, J4442), "")</f>
        <v>0</v>
      </c>
    </row>
    <row r="4443" spans="2:2">
      <c r="B4443" s="21">
        <f>IF(AND(C4443&lt;&gt;"", J4443&lt;&gt;""), HYPERLINK("#'" &amp; C4443 &amp; "'!" &amp; J4443, J4443), "")</f>
        <v>0</v>
      </c>
    </row>
    <row r="4444" spans="2:2">
      <c r="B4444" s="21">
        <f>IF(AND(C4444&lt;&gt;"", J4444&lt;&gt;""), HYPERLINK("#'" &amp; C4444 &amp; "'!" &amp; J4444, J4444), "")</f>
        <v>0</v>
      </c>
    </row>
    <row r="4445" spans="2:2">
      <c r="B4445" s="21">
        <f>IF(AND(C4445&lt;&gt;"", J4445&lt;&gt;""), HYPERLINK("#'" &amp; C4445 &amp; "'!" &amp; J4445, J4445), "")</f>
        <v>0</v>
      </c>
    </row>
    <row r="4446" spans="2:2">
      <c r="B4446" s="21">
        <f>IF(AND(C4446&lt;&gt;"", J4446&lt;&gt;""), HYPERLINK("#'" &amp; C4446 &amp; "'!" &amp; J4446, J4446), "")</f>
        <v>0</v>
      </c>
    </row>
    <row r="4447" spans="2:2">
      <c r="B4447" s="21">
        <f>IF(AND(C4447&lt;&gt;"", J4447&lt;&gt;""), HYPERLINK("#'" &amp; C4447 &amp; "'!" &amp; J4447, J4447), "")</f>
        <v>0</v>
      </c>
    </row>
    <row r="4448" spans="2:2">
      <c r="B4448" s="21">
        <f>IF(AND(C4448&lt;&gt;"", J4448&lt;&gt;""), HYPERLINK("#'" &amp; C4448 &amp; "'!" &amp; J4448, J4448), "")</f>
        <v>0</v>
      </c>
    </row>
    <row r="4449" spans="2:2">
      <c r="B4449" s="21">
        <f>IF(AND(C4449&lt;&gt;"", J4449&lt;&gt;""), HYPERLINK("#'" &amp; C4449 &amp; "'!" &amp; J4449, J4449), "")</f>
        <v>0</v>
      </c>
    </row>
    <row r="4450" spans="2:2">
      <c r="B4450" s="21">
        <f>IF(AND(C4450&lt;&gt;"", J4450&lt;&gt;""), HYPERLINK("#'" &amp; C4450 &amp; "'!" &amp; J4450, J4450), "")</f>
        <v>0</v>
      </c>
    </row>
    <row r="4451" spans="2:2">
      <c r="B4451" s="21">
        <f>IF(AND(C4451&lt;&gt;"", J4451&lt;&gt;""), HYPERLINK("#'" &amp; C4451 &amp; "'!" &amp; J4451, J4451), "")</f>
        <v>0</v>
      </c>
    </row>
    <row r="4452" spans="2:2">
      <c r="B4452" s="21">
        <f>IF(AND(C4452&lt;&gt;"", J4452&lt;&gt;""), HYPERLINK("#'" &amp; C4452 &amp; "'!" &amp; J4452, J4452), "")</f>
        <v>0</v>
      </c>
    </row>
    <row r="4453" spans="2:2">
      <c r="B4453" s="21">
        <f>IF(AND(C4453&lt;&gt;"", J4453&lt;&gt;""), HYPERLINK("#'" &amp; C4453 &amp; "'!" &amp; J4453, J4453), "")</f>
        <v>0</v>
      </c>
    </row>
    <row r="4454" spans="2:2">
      <c r="B4454" s="21">
        <f>IF(AND(C4454&lt;&gt;"", J4454&lt;&gt;""), HYPERLINK("#'" &amp; C4454 &amp; "'!" &amp; J4454, J4454), "")</f>
        <v>0</v>
      </c>
    </row>
    <row r="4455" spans="2:2">
      <c r="B4455" s="21">
        <f>IF(AND(C4455&lt;&gt;"", J4455&lt;&gt;""), HYPERLINK("#'" &amp; C4455 &amp; "'!" &amp; J4455, J4455), "")</f>
        <v>0</v>
      </c>
    </row>
    <row r="4456" spans="2:2">
      <c r="B4456" s="21">
        <f>IF(AND(C4456&lt;&gt;"", J4456&lt;&gt;""), HYPERLINK("#'" &amp; C4456 &amp; "'!" &amp; J4456, J4456), "")</f>
        <v>0</v>
      </c>
    </row>
    <row r="4457" spans="2:2">
      <c r="B4457" s="21">
        <f>IF(AND(C4457&lt;&gt;"", J4457&lt;&gt;""), HYPERLINK("#'" &amp; C4457 &amp; "'!" &amp; J4457, J4457), "")</f>
        <v>0</v>
      </c>
    </row>
    <row r="4458" spans="2:2">
      <c r="B4458" s="21">
        <f>IF(AND(C4458&lt;&gt;"", J4458&lt;&gt;""), HYPERLINK("#'" &amp; C4458 &amp; "'!" &amp; J4458, J4458), "")</f>
        <v>0</v>
      </c>
    </row>
    <row r="4459" spans="2:2">
      <c r="B4459" s="21">
        <f>IF(AND(C4459&lt;&gt;"", J4459&lt;&gt;""), HYPERLINK("#'" &amp; C4459 &amp; "'!" &amp; J4459, J4459), "")</f>
        <v>0</v>
      </c>
    </row>
    <row r="4460" spans="2:2">
      <c r="B4460" s="21">
        <f>IF(AND(C4460&lt;&gt;"", J4460&lt;&gt;""), HYPERLINK("#'" &amp; C4460 &amp; "'!" &amp; J4460, J4460), "")</f>
        <v>0</v>
      </c>
    </row>
    <row r="4461" spans="2:2">
      <c r="B4461" s="21">
        <f>IF(AND(C4461&lt;&gt;"", J4461&lt;&gt;""), HYPERLINK("#'" &amp; C4461 &amp; "'!" &amp; J4461, J4461), "")</f>
        <v>0</v>
      </c>
    </row>
    <row r="4462" spans="2:2">
      <c r="B4462" s="21">
        <f>IF(AND(C4462&lt;&gt;"", J4462&lt;&gt;""), HYPERLINK("#'" &amp; C4462 &amp; "'!" &amp; J4462, J4462), "")</f>
        <v>0</v>
      </c>
    </row>
    <row r="4463" spans="2:2">
      <c r="B4463" s="21">
        <f>IF(AND(C4463&lt;&gt;"", J4463&lt;&gt;""), HYPERLINK("#'" &amp; C4463 &amp; "'!" &amp; J4463, J4463), "")</f>
        <v>0</v>
      </c>
    </row>
    <row r="4464" spans="2:2">
      <c r="B4464" s="21">
        <f>IF(AND(C4464&lt;&gt;"", J4464&lt;&gt;""), HYPERLINK("#'" &amp; C4464 &amp; "'!" &amp; J4464, J4464), "")</f>
        <v>0</v>
      </c>
    </row>
    <row r="4465" spans="2:2">
      <c r="B4465" s="21">
        <f>IF(AND(C4465&lt;&gt;"", J4465&lt;&gt;""), HYPERLINK("#'" &amp; C4465 &amp; "'!" &amp; J4465, J4465), "")</f>
        <v>0</v>
      </c>
    </row>
    <row r="4466" spans="2:2">
      <c r="B4466" s="21">
        <f>IF(AND(C4466&lt;&gt;"", J4466&lt;&gt;""), HYPERLINK("#'" &amp; C4466 &amp; "'!" &amp; J4466, J4466), "")</f>
        <v>0</v>
      </c>
    </row>
    <row r="4467" spans="2:2">
      <c r="B4467" s="21">
        <f>IF(AND(C4467&lt;&gt;"", J4467&lt;&gt;""), HYPERLINK("#'" &amp; C4467 &amp; "'!" &amp; J4467, J4467), "")</f>
        <v>0</v>
      </c>
    </row>
    <row r="4468" spans="2:2">
      <c r="B4468" s="21">
        <f>IF(AND(C4468&lt;&gt;"", J4468&lt;&gt;""), HYPERLINK("#'" &amp; C4468 &amp; "'!" &amp; J4468, J4468), "")</f>
        <v>0</v>
      </c>
    </row>
    <row r="4469" spans="2:2">
      <c r="B4469" s="21">
        <f>IF(AND(C4469&lt;&gt;"", J4469&lt;&gt;""), HYPERLINK("#'" &amp; C4469 &amp; "'!" &amp; J4469, J4469), "")</f>
        <v>0</v>
      </c>
    </row>
    <row r="4470" spans="2:2">
      <c r="B4470" s="21">
        <f>IF(AND(C4470&lt;&gt;"", J4470&lt;&gt;""), HYPERLINK("#'" &amp; C4470 &amp; "'!" &amp; J4470, J4470), "")</f>
        <v>0</v>
      </c>
    </row>
    <row r="4471" spans="2:2">
      <c r="B4471" s="21">
        <f>IF(AND(C4471&lt;&gt;"", J4471&lt;&gt;""), HYPERLINK("#'" &amp; C4471 &amp; "'!" &amp; J4471, J4471), "")</f>
        <v>0</v>
      </c>
    </row>
    <row r="4472" spans="2:2">
      <c r="B4472" s="21">
        <f>IF(AND(C4472&lt;&gt;"", J4472&lt;&gt;""), HYPERLINK("#'" &amp; C4472 &amp; "'!" &amp; J4472, J4472), "")</f>
        <v>0</v>
      </c>
    </row>
    <row r="4473" spans="2:2">
      <c r="B4473" s="21">
        <f>IF(AND(C4473&lt;&gt;"", J4473&lt;&gt;""), HYPERLINK("#'" &amp; C4473 &amp; "'!" &amp; J4473, J4473), "")</f>
        <v>0</v>
      </c>
    </row>
    <row r="4474" spans="2:2">
      <c r="B4474" s="21">
        <f>IF(AND(C4474&lt;&gt;"", J4474&lt;&gt;""), HYPERLINK("#'" &amp; C4474 &amp; "'!" &amp; J4474, J4474), "")</f>
        <v>0</v>
      </c>
    </row>
    <row r="4475" spans="2:2">
      <c r="B4475" s="21">
        <f>IF(AND(C4475&lt;&gt;"", J4475&lt;&gt;""), HYPERLINK("#'" &amp; C4475 &amp; "'!" &amp; J4475, J4475), "")</f>
        <v>0</v>
      </c>
    </row>
    <row r="4476" spans="2:2">
      <c r="B4476" s="21">
        <f>IF(AND(C4476&lt;&gt;"", J4476&lt;&gt;""), HYPERLINK("#'" &amp; C4476 &amp; "'!" &amp; J4476, J4476), "")</f>
        <v>0</v>
      </c>
    </row>
    <row r="4477" spans="2:2">
      <c r="B4477" s="21">
        <f>IF(AND(C4477&lt;&gt;"", J4477&lt;&gt;""), HYPERLINK("#'" &amp; C4477 &amp; "'!" &amp; J4477, J4477), "")</f>
        <v>0</v>
      </c>
    </row>
    <row r="4478" spans="2:2">
      <c r="B4478" s="21">
        <f>IF(AND(C4478&lt;&gt;"", J4478&lt;&gt;""), HYPERLINK("#'" &amp; C4478 &amp; "'!" &amp; J4478, J4478), "")</f>
        <v>0</v>
      </c>
    </row>
    <row r="4479" spans="2:2">
      <c r="B4479" s="21">
        <f>IF(AND(C4479&lt;&gt;"", J4479&lt;&gt;""), HYPERLINK("#'" &amp; C4479 &amp; "'!" &amp; J4479, J4479), "")</f>
        <v>0</v>
      </c>
    </row>
    <row r="4480" spans="2:2">
      <c r="B4480" s="21">
        <f>IF(AND(C4480&lt;&gt;"", J4480&lt;&gt;""), HYPERLINK("#'" &amp; C4480 &amp; "'!" &amp; J4480, J4480), "")</f>
        <v>0</v>
      </c>
    </row>
    <row r="4481" spans="2:2">
      <c r="B4481" s="21">
        <f>IF(AND(C4481&lt;&gt;"", J4481&lt;&gt;""), HYPERLINK("#'" &amp; C4481 &amp; "'!" &amp; J4481, J4481), "")</f>
        <v>0</v>
      </c>
    </row>
    <row r="4482" spans="2:2">
      <c r="B4482" s="21">
        <f>IF(AND(C4482&lt;&gt;"", J4482&lt;&gt;""), HYPERLINK("#'" &amp; C4482 &amp; "'!" &amp; J4482, J4482), "")</f>
        <v>0</v>
      </c>
    </row>
    <row r="4483" spans="2:2">
      <c r="B4483" s="21">
        <f>IF(AND(C4483&lt;&gt;"", J4483&lt;&gt;""), HYPERLINK("#'" &amp; C4483 &amp; "'!" &amp; J4483, J4483), "")</f>
        <v>0</v>
      </c>
    </row>
    <row r="4484" spans="2:2">
      <c r="B4484" s="21">
        <f>IF(AND(C4484&lt;&gt;"", J4484&lt;&gt;""), HYPERLINK("#'" &amp; C4484 &amp; "'!" &amp; J4484, J4484), "")</f>
        <v>0</v>
      </c>
    </row>
    <row r="4485" spans="2:2">
      <c r="B4485" s="21">
        <f>IF(AND(C4485&lt;&gt;"", J4485&lt;&gt;""), HYPERLINK("#'" &amp; C4485 &amp; "'!" &amp; J4485, J4485), "")</f>
        <v>0</v>
      </c>
    </row>
    <row r="4486" spans="2:2">
      <c r="B4486" s="21">
        <f>IF(AND(C4486&lt;&gt;"", J4486&lt;&gt;""), HYPERLINK("#'" &amp; C4486 &amp; "'!" &amp; J4486, J4486), "")</f>
        <v>0</v>
      </c>
    </row>
    <row r="4487" spans="2:2">
      <c r="B4487" s="21">
        <f>IF(AND(C4487&lt;&gt;"", J4487&lt;&gt;""), HYPERLINK("#'" &amp; C4487 &amp; "'!" &amp; J4487, J4487), "")</f>
        <v>0</v>
      </c>
    </row>
    <row r="4488" spans="2:2">
      <c r="B4488" s="21">
        <f>IF(AND(C4488&lt;&gt;"", J4488&lt;&gt;""), HYPERLINK("#'" &amp; C4488 &amp; "'!" &amp; J4488, J4488), "")</f>
        <v>0</v>
      </c>
    </row>
    <row r="4489" spans="2:2">
      <c r="B4489" s="21">
        <f>IF(AND(C4489&lt;&gt;"", J4489&lt;&gt;""), HYPERLINK("#'" &amp; C4489 &amp; "'!" &amp; J4489, J4489), "")</f>
        <v>0</v>
      </c>
    </row>
    <row r="4490" spans="2:2">
      <c r="B4490" s="21">
        <f>IF(AND(C4490&lt;&gt;"", J4490&lt;&gt;""), HYPERLINK("#'" &amp; C4490 &amp; "'!" &amp; J4490, J4490), "")</f>
        <v>0</v>
      </c>
    </row>
    <row r="4491" spans="2:2">
      <c r="B4491" s="21">
        <f>IF(AND(C4491&lt;&gt;"", J4491&lt;&gt;""), HYPERLINK("#'" &amp; C4491 &amp; "'!" &amp; J4491, J4491), "")</f>
        <v>0</v>
      </c>
    </row>
    <row r="4492" spans="2:2">
      <c r="B4492" s="21">
        <f>IF(AND(C4492&lt;&gt;"", J4492&lt;&gt;""), HYPERLINK("#'" &amp; C4492 &amp; "'!" &amp; J4492, J4492), "")</f>
        <v>0</v>
      </c>
    </row>
    <row r="4493" spans="2:2">
      <c r="B4493" s="21">
        <f>IF(AND(C4493&lt;&gt;"", J4493&lt;&gt;""), HYPERLINK("#'" &amp; C4493 &amp; "'!" &amp; J4493, J4493), "")</f>
        <v>0</v>
      </c>
    </row>
    <row r="4494" spans="2:2">
      <c r="B4494" s="21">
        <f>IF(AND(C4494&lt;&gt;"", J4494&lt;&gt;""), HYPERLINK("#'" &amp; C4494 &amp; "'!" &amp; J4494, J4494), "")</f>
        <v>0</v>
      </c>
    </row>
    <row r="4495" spans="2:2">
      <c r="B4495" s="21">
        <f>IF(AND(C4495&lt;&gt;"", J4495&lt;&gt;""), HYPERLINK("#'" &amp; C4495 &amp; "'!" &amp; J4495, J4495), "")</f>
        <v>0</v>
      </c>
    </row>
    <row r="4496" spans="2:2">
      <c r="B4496" s="21">
        <f>IF(AND(C4496&lt;&gt;"", J4496&lt;&gt;""), HYPERLINK("#'" &amp; C4496 &amp; "'!" &amp; J4496, J4496), "")</f>
        <v>0</v>
      </c>
    </row>
    <row r="4497" spans="2:2">
      <c r="B4497" s="21">
        <f>IF(AND(C4497&lt;&gt;"", J4497&lt;&gt;""), HYPERLINK("#'" &amp; C4497 &amp; "'!" &amp; J4497, J4497), "")</f>
        <v>0</v>
      </c>
    </row>
    <row r="4498" spans="2:2">
      <c r="B4498" s="21">
        <f>IF(AND(C4498&lt;&gt;"", J4498&lt;&gt;""), HYPERLINK("#'" &amp; C4498 &amp; "'!" &amp; J4498, J4498), "")</f>
        <v>0</v>
      </c>
    </row>
    <row r="4499" spans="2:2">
      <c r="B4499" s="21">
        <f>IF(AND(C4499&lt;&gt;"", J4499&lt;&gt;""), HYPERLINK("#'" &amp; C4499 &amp; "'!" &amp; J4499, J4499), "")</f>
        <v>0</v>
      </c>
    </row>
    <row r="4500" spans="2:2">
      <c r="B4500" s="21">
        <f>IF(AND(C4500&lt;&gt;"", J4500&lt;&gt;""), HYPERLINK("#'" &amp; C4500 &amp; "'!" &amp; J4500, J4500), "")</f>
        <v>0</v>
      </c>
    </row>
    <row r="4501" spans="2:2">
      <c r="B4501" s="21">
        <f>IF(AND(C4501&lt;&gt;"", J4501&lt;&gt;""), HYPERLINK("#'" &amp; C4501 &amp; "'!" &amp; J4501, J4501), "")</f>
        <v>0</v>
      </c>
    </row>
    <row r="4502" spans="2:2">
      <c r="B4502" s="21">
        <f>IF(AND(C4502&lt;&gt;"", J4502&lt;&gt;""), HYPERLINK("#'" &amp; C4502 &amp; "'!" &amp; J4502, J4502), "")</f>
        <v>0</v>
      </c>
    </row>
    <row r="4503" spans="2:2">
      <c r="B4503" s="21">
        <f>IF(AND(C4503&lt;&gt;"", J4503&lt;&gt;""), HYPERLINK("#'" &amp; C4503 &amp; "'!" &amp; J4503, J4503), "")</f>
        <v>0</v>
      </c>
    </row>
    <row r="4504" spans="2:2">
      <c r="B4504" s="21">
        <f>IF(AND(C4504&lt;&gt;"", J4504&lt;&gt;""), HYPERLINK("#'" &amp; C4504 &amp; "'!" &amp; J4504, J4504), "")</f>
        <v>0</v>
      </c>
    </row>
    <row r="4505" spans="2:2">
      <c r="B4505" s="21">
        <f>IF(AND(C4505&lt;&gt;"", J4505&lt;&gt;""), HYPERLINK("#'" &amp; C4505 &amp; "'!" &amp; J4505, J4505), "")</f>
        <v>0</v>
      </c>
    </row>
    <row r="4506" spans="2:2">
      <c r="B4506" s="21">
        <f>IF(AND(C4506&lt;&gt;"", J4506&lt;&gt;""), HYPERLINK("#'" &amp; C4506 &amp; "'!" &amp; J4506, J4506), "")</f>
        <v>0</v>
      </c>
    </row>
    <row r="4507" spans="2:2">
      <c r="B4507" s="21">
        <f>IF(AND(C4507&lt;&gt;"", J4507&lt;&gt;""), HYPERLINK("#'" &amp; C4507 &amp; "'!" &amp; J4507, J4507), "")</f>
        <v>0</v>
      </c>
    </row>
    <row r="4508" spans="2:2">
      <c r="B4508" s="21">
        <f>IF(AND(C4508&lt;&gt;"", J4508&lt;&gt;""), HYPERLINK("#'" &amp; C4508 &amp; "'!" &amp; J4508, J4508), "")</f>
        <v>0</v>
      </c>
    </row>
    <row r="4509" spans="2:2">
      <c r="B4509" s="21">
        <f>IF(AND(C4509&lt;&gt;"", J4509&lt;&gt;""), HYPERLINK("#'" &amp; C4509 &amp; "'!" &amp; J4509, J4509), "")</f>
        <v>0</v>
      </c>
    </row>
    <row r="4510" spans="2:2">
      <c r="B4510" s="21">
        <f>IF(AND(C4510&lt;&gt;"", J4510&lt;&gt;""), HYPERLINK("#'" &amp; C4510 &amp; "'!" &amp; J4510, J4510), "")</f>
        <v>0</v>
      </c>
    </row>
    <row r="4511" spans="2:2">
      <c r="B4511" s="21">
        <f>IF(AND(C4511&lt;&gt;"", J4511&lt;&gt;""), HYPERLINK("#'" &amp; C4511 &amp; "'!" &amp; J4511, J4511), "")</f>
        <v>0</v>
      </c>
    </row>
    <row r="4512" spans="2:2">
      <c r="B4512" s="21">
        <f>IF(AND(C4512&lt;&gt;"", J4512&lt;&gt;""), HYPERLINK("#'" &amp; C4512 &amp; "'!" &amp; J4512, J4512), "")</f>
        <v>0</v>
      </c>
    </row>
    <row r="4513" spans="2:2">
      <c r="B4513" s="21">
        <f>IF(AND(C4513&lt;&gt;"", J4513&lt;&gt;""), HYPERLINK("#'" &amp; C4513 &amp; "'!" &amp; J4513, J4513), "")</f>
        <v>0</v>
      </c>
    </row>
    <row r="4514" spans="2:2">
      <c r="B4514" s="21">
        <f>IF(AND(C4514&lt;&gt;"", J4514&lt;&gt;""), HYPERLINK("#'" &amp; C4514 &amp; "'!" &amp; J4514, J4514), "")</f>
        <v>0</v>
      </c>
    </row>
    <row r="4515" spans="2:2">
      <c r="B4515" s="21">
        <f>IF(AND(C4515&lt;&gt;"", J4515&lt;&gt;""), HYPERLINK("#'" &amp; C4515 &amp; "'!" &amp; J4515, J4515), "")</f>
        <v>0</v>
      </c>
    </row>
    <row r="4516" spans="2:2">
      <c r="B4516" s="21">
        <f>IF(AND(C4516&lt;&gt;"", J4516&lt;&gt;""), HYPERLINK("#'" &amp; C4516 &amp; "'!" &amp; J4516, J4516), "")</f>
        <v>0</v>
      </c>
    </row>
    <row r="4517" spans="2:2">
      <c r="B4517" s="21">
        <f>IF(AND(C4517&lt;&gt;"", J4517&lt;&gt;""), HYPERLINK("#'" &amp; C4517 &amp; "'!" &amp; J4517, J4517), "")</f>
        <v>0</v>
      </c>
    </row>
    <row r="4518" spans="2:2">
      <c r="B4518" s="21">
        <f>IF(AND(C4518&lt;&gt;"", J4518&lt;&gt;""), HYPERLINK("#'" &amp; C4518 &amp; "'!" &amp; J4518, J4518), "")</f>
        <v>0</v>
      </c>
    </row>
    <row r="4519" spans="2:2">
      <c r="B4519" s="21">
        <f>IF(AND(C4519&lt;&gt;"", J4519&lt;&gt;""), HYPERLINK("#'" &amp; C4519 &amp; "'!" &amp; J4519, J4519), "")</f>
        <v>0</v>
      </c>
    </row>
    <row r="4520" spans="2:2">
      <c r="B4520" s="21">
        <f>IF(AND(C4520&lt;&gt;"", J4520&lt;&gt;""), HYPERLINK("#'" &amp; C4520 &amp; "'!" &amp; J4520, J4520), "")</f>
        <v>0</v>
      </c>
    </row>
    <row r="4521" spans="2:2">
      <c r="B4521" s="21">
        <f>IF(AND(C4521&lt;&gt;"", J4521&lt;&gt;""), HYPERLINK("#'" &amp; C4521 &amp; "'!" &amp; J4521, J4521), "")</f>
        <v>0</v>
      </c>
    </row>
    <row r="4522" spans="2:2">
      <c r="B4522" s="21">
        <f>IF(AND(C4522&lt;&gt;"", J4522&lt;&gt;""), HYPERLINK("#'" &amp; C4522 &amp; "'!" &amp; J4522, J4522), "")</f>
        <v>0</v>
      </c>
    </row>
    <row r="4523" spans="2:2">
      <c r="B4523" s="21">
        <f>IF(AND(C4523&lt;&gt;"", J4523&lt;&gt;""), HYPERLINK("#'" &amp; C4523 &amp; "'!" &amp; J4523, J4523), "")</f>
        <v>0</v>
      </c>
    </row>
    <row r="4524" spans="2:2">
      <c r="B4524" s="21">
        <f>IF(AND(C4524&lt;&gt;"", J4524&lt;&gt;""), HYPERLINK("#'" &amp; C4524 &amp; "'!" &amp; J4524, J4524), "")</f>
        <v>0</v>
      </c>
    </row>
    <row r="4525" spans="2:2">
      <c r="B4525" s="21">
        <f>IF(AND(C4525&lt;&gt;"", J4525&lt;&gt;""), HYPERLINK("#'" &amp; C4525 &amp; "'!" &amp; J4525, J4525), "")</f>
        <v>0</v>
      </c>
    </row>
    <row r="4526" spans="2:2">
      <c r="B4526" s="21">
        <f>IF(AND(C4526&lt;&gt;"", J4526&lt;&gt;""), HYPERLINK("#'" &amp; C4526 &amp; "'!" &amp; J4526, J4526), "")</f>
        <v>0</v>
      </c>
    </row>
    <row r="4527" spans="2:2">
      <c r="B4527" s="21">
        <f>IF(AND(C4527&lt;&gt;"", J4527&lt;&gt;""), HYPERLINK("#'" &amp; C4527 &amp; "'!" &amp; J4527, J4527), "")</f>
        <v>0</v>
      </c>
    </row>
    <row r="4528" spans="2:2">
      <c r="B4528" s="21">
        <f>IF(AND(C4528&lt;&gt;"", J4528&lt;&gt;""), HYPERLINK("#'" &amp; C4528 &amp; "'!" &amp; J4528, J4528), "")</f>
        <v>0</v>
      </c>
    </row>
    <row r="4529" spans="2:2">
      <c r="B4529" s="21">
        <f>IF(AND(C4529&lt;&gt;"", J4529&lt;&gt;""), HYPERLINK("#'" &amp; C4529 &amp; "'!" &amp; J4529, J4529), "")</f>
        <v>0</v>
      </c>
    </row>
    <row r="4530" spans="2:2">
      <c r="B4530" s="21">
        <f>IF(AND(C4530&lt;&gt;"", J4530&lt;&gt;""), HYPERLINK("#'" &amp; C4530 &amp; "'!" &amp; J4530, J4530), "")</f>
        <v>0</v>
      </c>
    </row>
    <row r="4531" spans="2:2">
      <c r="B4531" s="21">
        <f>IF(AND(C4531&lt;&gt;"", J4531&lt;&gt;""), HYPERLINK("#'" &amp; C4531 &amp; "'!" &amp; J4531, J4531), "")</f>
        <v>0</v>
      </c>
    </row>
    <row r="4532" spans="2:2">
      <c r="B4532" s="21">
        <f>IF(AND(C4532&lt;&gt;"", J4532&lt;&gt;""), HYPERLINK("#'" &amp; C4532 &amp; "'!" &amp; J4532, J4532), "")</f>
        <v>0</v>
      </c>
    </row>
    <row r="4533" spans="2:2">
      <c r="B4533" s="21">
        <f>IF(AND(C4533&lt;&gt;"", J4533&lt;&gt;""), HYPERLINK("#'" &amp; C4533 &amp; "'!" &amp; J4533, J4533), "")</f>
        <v>0</v>
      </c>
    </row>
    <row r="4534" spans="2:2">
      <c r="B4534" s="21">
        <f>IF(AND(C4534&lt;&gt;"", J4534&lt;&gt;""), HYPERLINK("#'" &amp; C4534 &amp; "'!" &amp; J4534, J4534), "")</f>
        <v>0</v>
      </c>
    </row>
    <row r="4535" spans="2:2">
      <c r="B4535" s="21">
        <f>IF(AND(C4535&lt;&gt;"", J4535&lt;&gt;""), HYPERLINK("#'" &amp; C4535 &amp; "'!" &amp; J4535, J4535), "")</f>
        <v>0</v>
      </c>
    </row>
    <row r="4536" spans="2:2">
      <c r="B4536" s="21">
        <f>IF(AND(C4536&lt;&gt;"", J4536&lt;&gt;""), HYPERLINK("#'" &amp; C4536 &amp; "'!" &amp; J4536, J4536), "")</f>
        <v>0</v>
      </c>
    </row>
    <row r="4537" spans="2:2">
      <c r="B4537" s="21">
        <f>IF(AND(C4537&lt;&gt;"", J4537&lt;&gt;""), HYPERLINK("#'" &amp; C4537 &amp; "'!" &amp; J4537, J4537), "")</f>
        <v>0</v>
      </c>
    </row>
    <row r="4538" spans="2:2">
      <c r="B4538" s="21">
        <f>IF(AND(C4538&lt;&gt;"", J4538&lt;&gt;""), HYPERLINK("#'" &amp; C4538 &amp; "'!" &amp; J4538, J4538), "")</f>
        <v>0</v>
      </c>
    </row>
    <row r="4539" spans="2:2">
      <c r="B4539" s="21">
        <f>IF(AND(C4539&lt;&gt;"", J4539&lt;&gt;""), HYPERLINK("#'" &amp; C4539 &amp; "'!" &amp; J4539, J4539), "")</f>
        <v>0</v>
      </c>
    </row>
    <row r="4540" spans="2:2">
      <c r="B4540" s="21">
        <f>IF(AND(C4540&lt;&gt;"", J4540&lt;&gt;""), HYPERLINK("#'" &amp; C4540 &amp; "'!" &amp; J4540, J4540), "")</f>
        <v>0</v>
      </c>
    </row>
    <row r="4541" spans="2:2">
      <c r="B4541" s="21">
        <f>IF(AND(C4541&lt;&gt;"", J4541&lt;&gt;""), HYPERLINK("#'" &amp; C4541 &amp; "'!" &amp; J4541, J4541), "")</f>
        <v>0</v>
      </c>
    </row>
    <row r="4542" spans="2:2">
      <c r="B4542" s="21">
        <f>IF(AND(C4542&lt;&gt;"", J4542&lt;&gt;""), HYPERLINK("#'" &amp; C4542 &amp; "'!" &amp; J4542, J4542), "")</f>
        <v>0</v>
      </c>
    </row>
    <row r="4543" spans="2:2">
      <c r="B4543" s="21">
        <f>IF(AND(C4543&lt;&gt;"", J4543&lt;&gt;""), HYPERLINK("#'" &amp; C4543 &amp; "'!" &amp; J4543, J4543), "")</f>
        <v>0</v>
      </c>
    </row>
    <row r="4544" spans="2:2">
      <c r="B4544" s="21">
        <f>IF(AND(C4544&lt;&gt;"", J4544&lt;&gt;""), HYPERLINK("#'" &amp; C4544 &amp; "'!" &amp; J4544, J4544), "")</f>
        <v>0</v>
      </c>
    </row>
    <row r="4545" spans="2:2">
      <c r="B4545" s="21">
        <f>IF(AND(C4545&lt;&gt;"", J4545&lt;&gt;""), HYPERLINK("#'" &amp; C4545 &amp; "'!" &amp; J4545, J4545), "")</f>
        <v>0</v>
      </c>
    </row>
    <row r="4546" spans="2:2">
      <c r="B4546" s="21">
        <f>IF(AND(C4546&lt;&gt;"", J4546&lt;&gt;""), HYPERLINK("#'" &amp; C4546 &amp; "'!" &amp; J4546, J4546), "")</f>
        <v>0</v>
      </c>
    </row>
    <row r="4547" spans="2:2">
      <c r="B4547" s="21">
        <f>IF(AND(C4547&lt;&gt;"", J4547&lt;&gt;""), HYPERLINK("#'" &amp; C4547 &amp; "'!" &amp; J4547, J4547), "")</f>
        <v>0</v>
      </c>
    </row>
    <row r="4548" spans="2:2">
      <c r="B4548" s="21">
        <f>IF(AND(C4548&lt;&gt;"", J4548&lt;&gt;""), HYPERLINK("#'" &amp; C4548 &amp; "'!" &amp; J4548, J4548), "")</f>
        <v>0</v>
      </c>
    </row>
    <row r="4549" spans="2:2">
      <c r="B4549" s="21">
        <f>IF(AND(C4549&lt;&gt;"", J4549&lt;&gt;""), HYPERLINK("#'" &amp; C4549 &amp; "'!" &amp; J4549, J4549), "")</f>
        <v>0</v>
      </c>
    </row>
    <row r="4550" spans="2:2">
      <c r="B4550" s="21">
        <f>IF(AND(C4550&lt;&gt;"", J4550&lt;&gt;""), HYPERLINK("#'" &amp; C4550 &amp; "'!" &amp; J4550, J4550), "")</f>
        <v>0</v>
      </c>
    </row>
    <row r="4551" spans="2:2">
      <c r="B4551" s="21">
        <f>IF(AND(C4551&lt;&gt;"", J4551&lt;&gt;""), HYPERLINK("#'" &amp; C4551 &amp; "'!" &amp; J4551, J4551), "")</f>
        <v>0</v>
      </c>
    </row>
    <row r="4552" spans="2:2">
      <c r="B4552" s="21">
        <f>IF(AND(C4552&lt;&gt;"", J4552&lt;&gt;""), HYPERLINK("#'" &amp; C4552 &amp; "'!" &amp; J4552, J4552), "")</f>
        <v>0</v>
      </c>
    </row>
    <row r="4553" spans="2:2">
      <c r="B4553" s="21">
        <f>IF(AND(C4553&lt;&gt;"", J4553&lt;&gt;""), HYPERLINK("#'" &amp; C4553 &amp; "'!" &amp; J4553, J4553), "")</f>
        <v>0</v>
      </c>
    </row>
    <row r="4554" spans="2:2">
      <c r="B4554" s="21">
        <f>IF(AND(C4554&lt;&gt;"", J4554&lt;&gt;""), HYPERLINK("#'" &amp; C4554 &amp; "'!" &amp; J4554, J4554), "")</f>
        <v>0</v>
      </c>
    </row>
    <row r="4555" spans="2:2">
      <c r="B4555" s="21">
        <f>IF(AND(C4555&lt;&gt;"", J4555&lt;&gt;""), HYPERLINK("#'" &amp; C4555 &amp; "'!" &amp; J4555, J4555), "")</f>
        <v>0</v>
      </c>
    </row>
    <row r="4556" spans="2:2">
      <c r="B4556" s="21">
        <f>IF(AND(C4556&lt;&gt;"", J4556&lt;&gt;""), HYPERLINK("#'" &amp; C4556 &amp; "'!" &amp; J4556, J4556), "")</f>
        <v>0</v>
      </c>
    </row>
    <row r="4557" spans="2:2">
      <c r="B4557" s="21">
        <f>IF(AND(C4557&lt;&gt;"", J4557&lt;&gt;""), HYPERLINK("#'" &amp; C4557 &amp; "'!" &amp; J4557, J4557), "")</f>
        <v>0</v>
      </c>
    </row>
    <row r="4558" spans="2:2">
      <c r="B4558" s="21">
        <f>IF(AND(C4558&lt;&gt;"", J4558&lt;&gt;""), HYPERLINK("#'" &amp; C4558 &amp; "'!" &amp; J4558, J4558), "")</f>
        <v>0</v>
      </c>
    </row>
    <row r="4559" spans="2:2">
      <c r="B4559" s="21">
        <f>IF(AND(C4559&lt;&gt;"", J4559&lt;&gt;""), HYPERLINK("#'" &amp; C4559 &amp; "'!" &amp; J4559, J4559), "")</f>
        <v>0</v>
      </c>
    </row>
    <row r="4560" spans="2:2">
      <c r="B4560" s="21">
        <f>IF(AND(C4560&lt;&gt;"", J4560&lt;&gt;""), HYPERLINK("#'" &amp; C4560 &amp; "'!" &amp; J4560, J4560), "")</f>
        <v>0</v>
      </c>
    </row>
    <row r="4561" spans="2:2">
      <c r="B4561" s="21">
        <f>IF(AND(C4561&lt;&gt;"", J4561&lt;&gt;""), HYPERLINK("#'" &amp; C4561 &amp; "'!" &amp; J4561, J4561), "")</f>
        <v>0</v>
      </c>
    </row>
    <row r="4562" spans="2:2">
      <c r="B4562" s="21">
        <f>IF(AND(C4562&lt;&gt;"", J4562&lt;&gt;""), HYPERLINK("#'" &amp; C4562 &amp; "'!" &amp; J4562, J4562), "")</f>
        <v>0</v>
      </c>
    </row>
    <row r="4563" spans="2:2">
      <c r="B4563" s="21">
        <f>IF(AND(C4563&lt;&gt;"", J4563&lt;&gt;""), HYPERLINK("#'" &amp; C4563 &amp; "'!" &amp; J4563, J4563), "")</f>
        <v>0</v>
      </c>
    </row>
    <row r="4564" spans="2:2">
      <c r="B4564" s="21">
        <f>IF(AND(C4564&lt;&gt;"", J4564&lt;&gt;""), HYPERLINK("#'" &amp; C4564 &amp; "'!" &amp; J4564, J4564), "")</f>
        <v>0</v>
      </c>
    </row>
    <row r="4565" spans="2:2">
      <c r="B4565" s="21">
        <f>IF(AND(C4565&lt;&gt;"", J4565&lt;&gt;""), HYPERLINK("#'" &amp; C4565 &amp; "'!" &amp; J4565, J4565), "")</f>
        <v>0</v>
      </c>
    </row>
    <row r="4566" spans="2:2">
      <c r="B4566" s="21">
        <f>IF(AND(C4566&lt;&gt;"", J4566&lt;&gt;""), HYPERLINK("#'" &amp; C4566 &amp; "'!" &amp; J4566, J4566), "")</f>
        <v>0</v>
      </c>
    </row>
    <row r="4567" spans="2:2">
      <c r="B4567" s="21">
        <f>IF(AND(C4567&lt;&gt;"", J4567&lt;&gt;""), HYPERLINK("#'" &amp; C4567 &amp; "'!" &amp; J4567, J4567), "")</f>
        <v>0</v>
      </c>
    </row>
    <row r="4568" spans="2:2">
      <c r="B4568" s="21">
        <f>IF(AND(C4568&lt;&gt;"", J4568&lt;&gt;""), HYPERLINK("#'" &amp; C4568 &amp; "'!" &amp; J4568, J4568), "")</f>
        <v>0</v>
      </c>
    </row>
    <row r="4569" spans="2:2">
      <c r="B4569" s="21">
        <f>IF(AND(C4569&lt;&gt;"", J4569&lt;&gt;""), HYPERLINK("#'" &amp; C4569 &amp; "'!" &amp; J4569, J4569), "")</f>
        <v>0</v>
      </c>
    </row>
    <row r="4570" spans="2:2">
      <c r="B4570" s="21">
        <f>IF(AND(C4570&lt;&gt;"", J4570&lt;&gt;""), HYPERLINK("#'" &amp; C4570 &amp; "'!" &amp; J4570, J4570), "")</f>
        <v>0</v>
      </c>
    </row>
    <row r="4571" spans="2:2">
      <c r="B4571" s="21">
        <f>IF(AND(C4571&lt;&gt;"", J4571&lt;&gt;""), HYPERLINK("#'" &amp; C4571 &amp; "'!" &amp; J4571, J4571), "")</f>
        <v>0</v>
      </c>
    </row>
    <row r="4572" spans="2:2">
      <c r="B4572" s="21">
        <f>IF(AND(C4572&lt;&gt;"", J4572&lt;&gt;""), HYPERLINK("#'" &amp; C4572 &amp; "'!" &amp; J4572, J4572), "")</f>
        <v>0</v>
      </c>
    </row>
    <row r="4573" spans="2:2">
      <c r="B4573" s="21">
        <f>IF(AND(C4573&lt;&gt;"", J4573&lt;&gt;""), HYPERLINK("#'" &amp; C4573 &amp; "'!" &amp; J4573, J4573), "")</f>
        <v>0</v>
      </c>
    </row>
    <row r="4574" spans="2:2">
      <c r="B4574" s="21">
        <f>IF(AND(C4574&lt;&gt;"", J4574&lt;&gt;""), HYPERLINK("#'" &amp; C4574 &amp; "'!" &amp; J4574, J4574), "")</f>
        <v>0</v>
      </c>
    </row>
    <row r="4575" spans="2:2">
      <c r="B4575" s="21">
        <f>IF(AND(C4575&lt;&gt;"", J4575&lt;&gt;""), HYPERLINK("#'" &amp; C4575 &amp; "'!" &amp; J4575, J4575), "")</f>
        <v>0</v>
      </c>
    </row>
    <row r="4576" spans="2:2">
      <c r="B4576" s="21">
        <f>IF(AND(C4576&lt;&gt;"", J4576&lt;&gt;""), HYPERLINK("#'" &amp; C4576 &amp; "'!" &amp; J4576, J4576), "")</f>
        <v>0</v>
      </c>
    </row>
    <row r="4577" spans="2:2">
      <c r="B4577" s="21">
        <f>IF(AND(C4577&lt;&gt;"", J4577&lt;&gt;""), HYPERLINK("#'" &amp; C4577 &amp; "'!" &amp; J4577, J4577), "")</f>
        <v>0</v>
      </c>
    </row>
    <row r="4578" spans="2:2">
      <c r="B4578" s="21">
        <f>IF(AND(C4578&lt;&gt;"", J4578&lt;&gt;""), HYPERLINK("#'" &amp; C4578 &amp; "'!" &amp; J4578, J4578), "")</f>
        <v>0</v>
      </c>
    </row>
    <row r="4579" spans="2:2">
      <c r="B4579" s="21">
        <f>IF(AND(C4579&lt;&gt;"", J4579&lt;&gt;""), HYPERLINK("#'" &amp; C4579 &amp; "'!" &amp; J4579, J4579), "")</f>
        <v>0</v>
      </c>
    </row>
    <row r="4580" spans="2:2">
      <c r="B4580" s="21">
        <f>IF(AND(C4580&lt;&gt;"", J4580&lt;&gt;""), HYPERLINK("#'" &amp; C4580 &amp; "'!" &amp; J4580, J4580), "")</f>
        <v>0</v>
      </c>
    </row>
    <row r="4581" spans="2:2">
      <c r="B4581" s="21">
        <f>IF(AND(C4581&lt;&gt;"", J4581&lt;&gt;""), HYPERLINK("#'" &amp; C4581 &amp; "'!" &amp; J4581, J4581), "")</f>
        <v>0</v>
      </c>
    </row>
    <row r="4582" spans="2:2">
      <c r="B4582" s="21">
        <f>IF(AND(C4582&lt;&gt;"", J4582&lt;&gt;""), HYPERLINK("#'" &amp; C4582 &amp; "'!" &amp; J4582, J4582), "")</f>
        <v>0</v>
      </c>
    </row>
    <row r="4583" spans="2:2">
      <c r="B4583" s="21">
        <f>IF(AND(C4583&lt;&gt;"", J4583&lt;&gt;""), HYPERLINK("#'" &amp; C4583 &amp; "'!" &amp; J4583, J4583), "")</f>
        <v>0</v>
      </c>
    </row>
    <row r="4584" spans="2:2">
      <c r="B4584" s="21">
        <f>IF(AND(C4584&lt;&gt;"", J4584&lt;&gt;""), HYPERLINK("#'" &amp; C4584 &amp; "'!" &amp; J4584, J4584), "")</f>
        <v>0</v>
      </c>
    </row>
    <row r="4585" spans="2:2">
      <c r="B4585" s="21">
        <f>IF(AND(C4585&lt;&gt;"", J4585&lt;&gt;""), HYPERLINK("#'" &amp; C4585 &amp; "'!" &amp; J4585, J4585), "")</f>
        <v>0</v>
      </c>
    </row>
    <row r="4586" spans="2:2">
      <c r="B4586" s="21">
        <f>IF(AND(C4586&lt;&gt;"", J4586&lt;&gt;""), HYPERLINK("#'" &amp; C4586 &amp; "'!" &amp; J4586, J4586), "")</f>
        <v>0</v>
      </c>
    </row>
    <row r="4587" spans="2:2">
      <c r="B4587" s="21">
        <f>IF(AND(C4587&lt;&gt;"", J4587&lt;&gt;""), HYPERLINK("#'" &amp; C4587 &amp; "'!" &amp; J4587, J4587), "")</f>
        <v>0</v>
      </c>
    </row>
    <row r="4588" spans="2:2">
      <c r="B4588" s="21">
        <f>IF(AND(C4588&lt;&gt;"", J4588&lt;&gt;""), HYPERLINK("#'" &amp; C4588 &amp; "'!" &amp; J4588, J4588), "")</f>
        <v>0</v>
      </c>
    </row>
    <row r="4589" spans="2:2">
      <c r="B4589" s="21">
        <f>IF(AND(C4589&lt;&gt;"", J4589&lt;&gt;""), HYPERLINK("#'" &amp; C4589 &amp; "'!" &amp; J4589, J4589), "")</f>
        <v>0</v>
      </c>
    </row>
    <row r="4590" spans="2:2">
      <c r="B4590" s="21">
        <f>IF(AND(C4590&lt;&gt;"", J4590&lt;&gt;""), HYPERLINK("#'" &amp; C4590 &amp; "'!" &amp; J4590, J4590), "")</f>
        <v>0</v>
      </c>
    </row>
    <row r="4591" spans="2:2">
      <c r="B4591" s="21">
        <f>IF(AND(C4591&lt;&gt;"", J4591&lt;&gt;""), HYPERLINK("#'" &amp; C4591 &amp; "'!" &amp; J4591, J4591), "")</f>
        <v>0</v>
      </c>
    </row>
    <row r="4592" spans="2:2">
      <c r="B4592" s="21">
        <f>IF(AND(C4592&lt;&gt;"", J4592&lt;&gt;""), HYPERLINK("#'" &amp; C4592 &amp; "'!" &amp; J4592, J4592), "")</f>
        <v>0</v>
      </c>
    </row>
    <row r="4593" spans="2:2">
      <c r="B4593" s="21">
        <f>IF(AND(C4593&lt;&gt;"", J4593&lt;&gt;""), HYPERLINK("#'" &amp; C4593 &amp; "'!" &amp; J4593, J4593), "")</f>
        <v>0</v>
      </c>
    </row>
    <row r="4594" spans="2:2">
      <c r="B4594" s="21">
        <f>IF(AND(C4594&lt;&gt;"", J4594&lt;&gt;""), HYPERLINK("#'" &amp; C4594 &amp; "'!" &amp; J4594, J4594), "")</f>
        <v>0</v>
      </c>
    </row>
    <row r="4595" spans="2:2">
      <c r="B4595" s="21">
        <f>IF(AND(C4595&lt;&gt;"", J4595&lt;&gt;""), HYPERLINK("#'" &amp; C4595 &amp; "'!" &amp; J4595, J4595), "")</f>
        <v>0</v>
      </c>
    </row>
    <row r="4596" spans="2:2">
      <c r="B4596" s="21">
        <f>IF(AND(C4596&lt;&gt;"", J4596&lt;&gt;""), HYPERLINK("#'" &amp; C4596 &amp; "'!" &amp; J4596, J4596), "")</f>
        <v>0</v>
      </c>
    </row>
    <row r="4597" spans="2:2">
      <c r="B4597" s="21">
        <f>IF(AND(C4597&lt;&gt;"", J4597&lt;&gt;""), HYPERLINK("#'" &amp; C4597 &amp; "'!" &amp; J4597, J4597), "")</f>
        <v>0</v>
      </c>
    </row>
    <row r="4598" spans="2:2">
      <c r="B4598" s="21">
        <f>IF(AND(C4598&lt;&gt;"", J4598&lt;&gt;""), HYPERLINK("#'" &amp; C4598 &amp; "'!" &amp; J4598, J4598), "")</f>
        <v>0</v>
      </c>
    </row>
    <row r="4599" spans="2:2">
      <c r="B4599" s="21">
        <f>IF(AND(C4599&lt;&gt;"", J4599&lt;&gt;""), HYPERLINK("#'" &amp; C4599 &amp; "'!" &amp; J4599, J4599), "")</f>
        <v>0</v>
      </c>
    </row>
    <row r="4600" spans="2:2">
      <c r="B4600" s="21">
        <f>IF(AND(C4600&lt;&gt;"", J4600&lt;&gt;""), HYPERLINK("#'" &amp; C4600 &amp; "'!" &amp; J4600, J4600), "")</f>
        <v>0</v>
      </c>
    </row>
    <row r="4601" spans="2:2">
      <c r="B4601" s="21">
        <f>IF(AND(C4601&lt;&gt;"", J4601&lt;&gt;""), HYPERLINK("#'" &amp; C4601 &amp; "'!" &amp; J4601, J4601), "")</f>
        <v>0</v>
      </c>
    </row>
    <row r="4602" spans="2:2">
      <c r="B4602" s="21">
        <f>IF(AND(C4602&lt;&gt;"", J4602&lt;&gt;""), HYPERLINK("#'" &amp; C4602 &amp; "'!" &amp; J4602, J4602), "")</f>
        <v>0</v>
      </c>
    </row>
    <row r="4603" spans="2:2">
      <c r="B4603" s="21">
        <f>IF(AND(C4603&lt;&gt;"", J4603&lt;&gt;""), HYPERLINK("#'" &amp; C4603 &amp; "'!" &amp; J4603, J4603), "")</f>
        <v>0</v>
      </c>
    </row>
    <row r="4604" spans="2:2">
      <c r="B4604" s="21">
        <f>IF(AND(C4604&lt;&gt;"", J4604&lt;&gt;""), HYPERLINK("#'" &amp; C4604 &amp; "'!" &amp; J4604, J4604), "")</f>
        <v>0</v>
      </c>
    </row>
    <row r="4605" spans="2:2">
      <c r="B4605" s="21">
        <f>IF(AND(C4605&lt;&gt;"", J4605&lt;&gt;""), HYPERLINK("#'" &amp; C4605 &amp; "'!" &amp; J4605, J4605), "")</f>
        <v>0</v>
      </c>
    </row>
    <row r="4606" spans="2:2">
      <c r="B4606" s="21">
        <f>IF(AND(C4606&lt;&gt;"", J4606&lt;&gt;""), HYPERLINK("#'" &amp; C4606 &amp; "'!" &amp; J4606, J4606), "")</f>
        <v>0</v>
      </c>
    </row>
    <row r="4607" spans="2:2">
      <c r="B4607" s="21">
        <f>IF(AND(C4607&lt;&gt;"", J4607&lt;&gt;""), HYPERLINK("#'" &amp; C4607 &amp; "'!" &amp; J4607, J4607), "")</f>
        <v>0</v>
      </c>
    </row>
    <row r="4608" spans="2:2">
      <c r="B4608" s="21">
        <f>IF(AND(C4608&lt;&gt;"", J4608&lt;&gt;""), HYPERLINK("#'" &amp; C4608 &amp; "'!" &amp; J4608, J4608), "")</f>
        <v>0</v>
      </c>
    </row>
    <row r="4609" spans="2:2">
      <c r="B4609" s="21">
        <f>IF(AND(C4609&lt;&gt;"", J4609&lt;&gt;""), HYPERLINK("#'" &amp; C4609 &amp; "'!" &amp; J4609, J4609), "")</f>
        <v>0</v>
      </c>
    </row>
    <row r="4610" spans="2:2">
      <c r="B4610" s="21">
        <f>IF(AND(C4610&lt;&gt;"", J4610&lt;&gt;""), HYPERLINK("#'" &amp; C4610 &amp; "'!" &amp; J4610, J4610), "")</f>
        <v>0</v>
      </c>
    </row>
    <row r="4611" spans="2:2">
      <c r="B4611" s="21">
        <f>IF(AND(C4611&lt;&gt;"", J4611&lt;&gt;""), HYPERLINK("#'" &amp; C4611 &amp; "'!" &amp; J4611, J4611), "")</f>
        <v>0</v>
      </c>
    </row>
    <row r="4612" spans="2:2">
      <c r="B4612" s="21">
        <f>IF(AND(C4612&lt;&gt;"", J4612&lt;&gt;""), HYPERLINK("#'" &amp; C4612 &amp; "'!" &amp; J4612, J4612), "")</f>
        <v>0</v>
      </c>
    </row>
    <row r="4613" spans="2:2">
      <c r="B4613" s="21">
        <f>IF(AND(C4613&lt;&gt;"", J4613&lt;&gt;""), HYPERLINK("#'" &amp; C4613 &amp; "'!" &amp; J4613, J4613), "")</f>
        <v>0</v>
      </c>
    </row>
    <row r="4614" spans="2:2">
      <c r="B4614" s="21">
        <f>IF(AND(C4614&lt;&gt;"", J4614&lt;&gt;""), HYPERLINK("#'" &amp; C4614 &amp; "'!" &amp; J4614, J4614), "")</f>
        <v>0</v>
      </c>
    </row>
    <row r="4615" spans="2:2">
      <c r="B4615" s="21">
        <f>IF(AND(C4615&lt;&gt;"", J4615&lt;&gt;""), HYPERLINK("#'" &amp; C4615 &amp; "'!" &amp; J4615, J4615), "")</f>
        <v>0</v>
      </c>
    </row>
    <row r="4616" spans="2:2">
      <c r="B4616" s="21">
        <f>IF(AND(C4616&lt;&gt;"", J4616&lt;&gt;""), HYPERLINK("#'" &amp; C4616 &amp; "'!" &amp; J4616, J4616), "")</f>
        <v>0</v>
      </c>
    </row>
    <row r="4617" spans="2:2">
      <c r="B4617" s="21">
        <f>IF(AND(C4617&lt;&gt;"", J4617&lt;&gt;""), HYPERLINK("#'" &amp; C4617 &amp; "'!" &amp; J4617, J4617), "")</f>
        <v>0</v>
      </c>
    </row>
    <row r="4618" spans="2:2">
      <c r="B4618" s="21">
        <f>IF(AND(C4618&lt;&gt;"", J4618&lt;&gt;""), HYPERLINK("#'" &amp; C4618 &amp; "'!" &amp; J4618, J4618), "")</f>
        <v>0</v>
      </c>
    </row>
    <row r="4619" spans="2:2">
      <c r="B4619" s="21">
        <f>IF(AND(C4619&lt;&gt;"", J4619&lt;&gt;""), HYPERLINK("#'" &amp; C4619 &amp; "'!" &amp; J4619, J4619), "")</f>
        <v>0</v>
      </c>
    </row>
    <row r="4620" spans="2:2">
      <c r="B4620" s="21">
        <f>IF(AND(C4620&lt;&gt;"", J4620&lt;&gt;""), HYPERLINK("#'" &amp; C4620 &amp; "'!" &amp; J4620, J4620), "")</f>
        <v>0</v>
      </c>
    </row>
    <row r="4621" spans="2:2">
      <c r="B4621" s="21">
        <f>IF(AND(C4621&lt;&gt;"", J4621&lt;&gt;""), HYPERLINK("#'" &amp; C4621 &amp; "'!" &amp; J4621, J4621), "")</f>
        <v>0</v>
      </c>
    </row>
    <row r="4622" spans="2:2">
      <c r="B4622" s="21">
        <f>IF(AND(C4622&lt;&gt;"", J4622&lt;&gt;""), HYPERLINK("#'" &amp; C4622 &amp; "'!" &amp; J4622, J4622), "")</f>
        <v>0</v>
      </c>
    </row>
    <row r="4623" spans="2:2">
      <c r="B4623" s="21">
        <f>IF(AND(C4623&lt;&gt;"", J4623&lt;&gt;""), HYPERLINK("#'" &amp; C4623 &amp; "'!" &amp; J4623, J4623), "")</f>
        <v>0</v>
      </c>
    </row>
    <row r="4624" spans="2:2">
      <c r="B4624" s="21">
        <f>IF(AND(C4624&lt;&gt;"", J4624&lt;&gt;""), HYPERLINK("#'" &amp; C4624 &amp; "'!" &amp; J4624, J4624), "")</f>
        <v>0</v>
      </c>
    </row>
    <row r="4625" spans="2:2">
      <c r="B4625" s="21">
        <f>IF(AND(C4625&lt;&gt;"", J4625&lt;&gt;""), HYPERLINK("#'" &amp; C4625 &amp; "'!" &amp; J4625, J4625), "")</f>
        <v>0</v>
      </c>
    </row>
    <row r="4626" spans="2:2">
      <c r="B4626" s="21">
        <f>IF(AND(C4626&lt;&gt;"", J4626&lt;&gt;""), HYPERLINK("#'" &amp; C4626 &amp; "'!" &amp; J4626, J4626), "")</f>
        <v>0</v>
      </c>
    </row>
    <row r="4627" spans="2:2">
      <c r="B4627" s="21">
        <f>IF(AND(C4627&lt;&gt;"", J4627&lt;&gt;""), HYPERLINK("#'" &amp; C4627 &amp; "'!" &amp; J4627, J4627), "")</f>
        <v>0</v>
      </c>
    </row>
    <row r="4628" spans="2:2">
      <c r="B4628" s="21">
        <f>IF(AND(C4628&lt;&gt;"", J4628&lt;&gt;""), HYPERLINK("#'" &amp; C4628 &amp; "'!" &amp; J4628, J4628), "")</f>
        <v>0</v>
      </c>
    </row>
    <row r="4629" spans="2:2">
      <c r="B4629" s="21">
        <f>IF(AND(C4629&lt;&gt;"", J4629&lt;&gt;""), HYPERLINK("#'" &amp; C4629 &amp; "'!" &amp; J4629, J4629), "")</f>
        <v>0</v>
      </c>
    </row>
    <row r="4630" spans="2:2">
      <c r="B4630" s="21">
        <f>IF(AND(C4630&lt;&gt;"", J4630&lt;&gt;""), HYPERLINK("#'" &amp; C4630 &amp; "'!" &amp; J4630, J4630), "")</f>
        <v>0</v>
      </c>
    </row>
    <row r="4631" spans="2:2">
      <c r="B4631" s="21">
        <f>IF(AND(C4631&lt;&gt;"", J4631&lt;&gt;""), HYPERLINK("#'" &amp; C4631 &amp; "'!" &amp; J4631, J4631), "")</f>
        <v>0</v>
      </c>
    </row>
    <row r="4632" spans="2:2">
      <c r="B4632" s="21">
        <f>IF(AND(C4632&lt;&gt;"", J4632&lt;&gt;""), HYPERLINK("#'" &amp; C4632 &amp; "'!" &amp; J4632, J4632), "")</f>
        <v>0</v>
      </c>
    </row>
    <row r="4633" spans="2:2">
      <c r="B4633" s="21">
        <f>IF(AND(C4633&lt;&gt;"", J4633&lt;&gt;""), HYPERLINK("#'" &amp; C4633 &amp; "'!" &amp; J4633, J4633), "")</f>
        <v>0</v>
      </c>
    </row>
    <row r="4634" spans="2:2">
      <c r="B4634" s="21">
        <f>IF(AND(C4634&lt;&gt;"", J4634&lt;&gt;""), HYPERLINK("#'" &amp; C4634 &amp; "'!" &amp; J4634, J4634), "")</f>
        <v>0</v>
      </c>
    </row>
    <row r="4635" spans="2:2">
      <c r="B4635" s="21">
        <f>IF(AND(C4635&lt;&gt;"", J4635&lt;&gt;""), HYPERLINK("#'" &amp; C4635 &amp; "'!" &amp; J4635, J4635), "")</f>
        <v>0</v>
      </c>
    </row>
    <row r="4636" spans="2:2">
      <c r="B4636" s="21">
        <f>IF(AND(C4636&lt;&gt;"", J4636&lt;&gt;""), HYPERLINK("#'" &amp; C4636 &amp; "'!" &amp; J4636, J4636), "")</f>
        <v>0</v>
      </c>
    </row>
    <row r="4637" spans="2:2">
      <c r="B4637" s="21">
        <f>IF(AND(C4637&lt;&gt;"", J4637&lt;&gt;""), HYPERLINK("#'" &amp; C4637 &amp; "'!" &amp; J4637, J4637), "")</f>
        <v>0</v>
      </c>
    </row>
    <row r="4638" spans="2:2">
      <c r="B4638" s="21">
        <f>IF(AND(C4638&lt;&gt;"", J4638&lt;&gt;""), HYPERLINK("#'" &amp; C4638 &amp; "'!" &amp; J4638, J4638), "")</f>
        <v>0</v>
      </c>
    </row>
    <row r="4639" spans="2:2">
      <c r="B4639" s="21">
        <f>IF(AND(C4639&lt;&gt;"", J4639&lt;&gt;""), HYPERLINK("#'" &amp; C4639 &amp; "'!" &amp; J4639, J4639), "")</f>
        <v>0</v>
      </c>
    </row>
    <row r="4640" spans="2:2">
      <c r="B4640" s="21">
        <f>IF(AND(C4640&lt;&gt;"", J4640&lt;&gt;""), HYPERLINK("#'" &amp; C4640 &amp; "'!" &amp; J4640, J4640), "")</f>
        <v>0</v>
      </c>
    </row>
    <row r="4641" spans="2:2">
      <c r="B4641" s="21">
        <f>IF(AND(C4641&lt;&gt;"", J4641&lt;&gt;""), HYPERLINK("#'" &amp; C4641 &amp; "'!" &amp; J4641, J4641), "")</f>
        <v>0</v>
      </c>
    </row>
    <row r="4642" spans="2:2">
      <c r="B4642" s="21">
        <f>IF(AND(C4642&lt;&gt;"", J4642&lt;&gt;""), HYPERLINK("#'" &amp; C4642 &amp; "'!" &amp; J4642, J4642), "")</f>
        <v>0</v>
      </c>
    </row>
    <row r="4643" spans="2:2">
      <c r="B4643" s="21">
        <f>IF(AND(C4643&lt;&gt;"", J4643&lt;&gt;""), HYPERLINK("#'" &amp; C4643 &amp; "'!" &amp; J4643, J4643), "")</f>
        <v>0</v>
      </c>
    </row>
    <row r="4644" spans="2:2">
      <c r="B4644" s="21">
        <f>IF(AND(C4644&lt;&gt;"", J4644&lt;&gt;""), HYPERLINK("#'" &amp; C4644 &amp; "'!" &amp; J4644, J4644), "")</f>
        <v>0</v>
      </c>
    </row>
    <row r="4645" spans="2:2">
      <c r="B4645" s="21">
        <f>IF(AND(C4645&lt;&gt;"", J4645&lt;&gt;""), HYPERLINK("#'" &amp; C4645 &amp; "'!" &amp; J4645, J4645), "")</f>
        <v>0</v>
      </c>
    </row>
    <row r="4646" spans="2:2">
      <c r="B4646" s="21">
        <f>IF(AND(C4646&lt;&gt;"", J4646&lt;&gt;""), HYPERLINK("#'" &amp; C4646 &amp; "'!" &amp; J4646, J4646), "")</f>
        <v>0</v>
      </c>
    </row>
    <row r="4647" spans="2:2">
      <c r="B4647" s="21">
        <f>IF(AND(C4647&lt;&gt;"", J4647&lt;&gt;""), HYPERLINK("#'" &amp; C4647 &amp; "'!" &amp; J4647, J4647), "")</f>
        <v>0</v>
      </c>
    </row>
    <row r="4648" spans="2:2">
      <c r="B4648" s="21">
        <f>IF(AND(C4648&lt;&gt;"", J4648&lt;&gt;""), HYPERLINK("#'" &amp; C4648 &amp; "'!" &amp; J4648, J4648), "")</f>
        <v>0</v>
      </c>
    </row>
    <row r="4649" spans="2:2">
      <c r="B4649" s="21">
        <f>IF(AND(C4649&lt;&gt;"", J4649&lt;&gt;""), HYPERLINK("#'" &amp; C4649 &amp; "'!" &amp; J4649, J4649), "")</f>
        <v>0</v>
      </c>
    </row>
    <row r="4650" spans="2:2">
      <c r="B4650" s="21">
        <f>IF(AND(C4650&lt;&gt;"", J4650&lt;&gt;""), HYPERLINK("#'" &amp; C4650 &amp; "'!" &amp; J4650, J4650), "")</f>
        <v>0</v>
      </c>
    </row>
    <row r="4651" spans="2:2">
      <c r="B4651" s="21">
        <f>IF(AND(C4651&lt;&gt;"", J4651&lt;&gt;""), HYPERLINK("#'" &amp; C4651 &amp; "'!" &amp; J4651, J4651), "")</f>
        <v>0</v>
      </c>
    </row>
    <row r="4652" spans="2:2">
      <c r="B4652" s="21">
        <f>IF(AND(C4652&lt;&gt;"", J4652&lt;&gt;""), HYPERLINK("#'" &amp; C4652 &amp; "'!" &amp; J4652, J4652), "")</f>
        <v>0</v>
      </c>
    </row>
    <row r="4653" spans="2:2">
      <c r="B4653" s="21">
        <f>IF(AND(C4653&lt;&gt;"", J4653&lt;&gt;""), HYPERLINK("#'" &amp; C4653 &amp; "'!" &amp; J4653, J4653), "")</f>
        <v>0</v>
      </c>
    </row>
    <row r="4654" spans="2:2">
      <c r="B4654" s="21">
        <f>IF(AND(C4654&lt;&gt;"", J4654&lt;&gt;""), HYPERLINK("#'" &amp; C4654 &amp; "'!" &amp; J4654, J4654), "")</f>
        <v>0</v>
      </c>
    </row>
    <row r="4655" spans="2:2">
      <c r="B4655" s="21">
        <f>IF(AND(C4655&lt;&gt;"", J4655&lt;&gt;""), HYPERLINK("#'" &amp; C4655 &amp; "'!" &amp; J4655, J4655), "")</f>
        <v>0</v>
      </c>
    </row>
    <row r="4656" spans="2:2">
      <c r="B4656" s="21">
        <f>IF(AND(C4656&lt;&gt;"", J4656&lt;&gt;""), HYPERLINK("#'" &amp; C4656 &amp; "'!" &amp; J4656, J4656), "")</f>
        <v>0</v>
      </c>
    </row>
    <row r="4657" spans="2:2">
      <c r="B4657" s="21">
        <f>IF(AND(C4657&lt;&gt;"", J4657&lt;&gt;""), HYPERLINK("#'" &amp; C4657 &amp; "'!" &amp; J4657, J4657), "")</f>
        <v>0</v>
      </c>
    </row>
    <row r="4658" spans="2:2">
      <c r="B4658" s="21">
        <f>IF(AND(C4658&lt;&gt;"", J4658&lt;&gt;""), HYPERLINK("#'" &amp; C4658 &amp; "'!" &amp; J4658, J4658), "")</f>
        <v>0</v>
      </c>
    </row>
    <row r="4659" spans="2:2">
      <c r="B4659" s="21">
        <f>IF(AND(C4659&lt;&gt;"", J4659&lt;&gt;""), HYPERLINK("#'" &amp; C4659 &amp; "'!" &amp; J4659, J4659), "")</f>
        <v>0</v>
      </c>
    </row>
    <row r="4660" spans="2:2">
      <c r="B4660" s="21">
        <f>IF(AND(C4660&lt;&gt;"", J4660&lt;&gt;""), HYPERLINK("#'" &amp; C4660 &amp; "'!" &amp; J4660, J4660), "")</f>
        <v>0</v>
      </c>
    </row>
    <row r="4661" spans="2:2">
      <c r="B4661" s="21">
        <f>IF(AND(C4661&lt;&gt;"", J4661&lt;&gt;""), HYPERLINK("#'" &amp; C4661 &amp; "'!" &amp; J4661, J4661), "")</f>
        <v>0</v>
      </c>
    </row>
    <row r="4662" spans="2:2">
      <c r="B4662" s="21">
        <f>IF(AND(C4662&lt;&gt;"", J4662&lt;&gt;""), HYPERLINK("#'" &amp; C4662 &amp; "'!" &amp; J4662, J4662), "")</f>
        <v>0</v>
      </c>
    </row>
    <row r="4663" spans="2:2">
      <c r="B4663" s="21">
        <f>IF(AND(C4663&lt;&gt;"", J4663&lt;&gt;""), HYPERLINK("#'" &amp; C4663 &amp; "'!" &amp; J4663, J4663), "")</f>
        <v>0</v>
      </c>
    </row>
    <row r="4664" spans="2:2">
      <c r="B4664" s="21">
        <f>IF(AND(C4664&lt;&gt;"", J4664&lt;&gt;""), HYPERLINK("#'" &amp; C4664 &amp; "'!" &amp; J4664, J4664), "")</f>
        <v>0</v>
      </c>
    </row>
    <row r="4665" spans="2:2">
      <c r="B4665" s="21">
        <f>IF(AND(C4665&lt;&gt;"", J4665&lt;&gt;""), HYPERLINK("#'" &amp; C4665 &amp; "'!" &amp; J4665, J4665), "")</f>
        <v>0</v>
      </c>
    </row>
    <row r="4666" spans="2:2">
      <c r="B4666" s="21">
        <f>IF(AND(C4666&lt;&gt;"", J4666&lt;&gt;""), HYPERLINK("#'" &amp; C4666 &amp; "'!" &amp; J4666, J4666), "")</f>
        <v>0</v>
      </c>
    </row>
    <row r="4667" spans="2:2">
      <c r="B4667" s="21">
        <f>IF(AND(C4667&lt;&gt;"", J4667&lt;&gt;""), HYPERLINK("#'" &amp; C4667 &amp; "'!" &amp; J4667, J4667), "")</f>
        <v>0</v>
      </c>
    </row>
    <row r="4668" spans="2:2">
      <c r="B4668" s="21">
        <f>IF(AND(C4668&lt;&gt;"", J4668&lt;&gt;""), HYPERLINK("#'" &amp; C4668 &amp; "'!" &amp; J4668, J4668), "")</f>
        <v>0</v>
      </c>
    </row>
    <row r="4669" spans="2:2">
      <c r="B4669" s="21">
        <f>IF(AND(C4669&lt;&gt;"", J4669&lt;&gt;""), HYPERLINK("#'" &amp; C4669 &amp; "'!" &amp; J4669, J4669), "")</f>
        <v>0</v>
      </c>
    </row>
    <row r="4670" spans="2:2">
      <c r="B4670" s="21">
        <f>IF(AND(C4670&lt;&gt;"", J4670&lt;&gt;""), HYPERLINK("#'" &amp; C4670 &amp; "'!" &amp; J4670, J4670), "")</f>
        <v>0</v>
      </c>
    </row>
    <row r="4671" spans="2:2">
      <c r="B4671" s="21">
        <f>IF(AND(C4671&lt;&gt;"", J4671&lt;&gt;""), HYPERLINK("#'" &amp; C4671 &amp; "'!" &amp; J4671, J4671), "")</f>
        <v>0</v>
      </c>
    </row>
    <row r="4672" spans="2:2">
      <c r="B4672" s="21">
        <f>IF(AND(C4672&lt;&gt;"", J4672&lt;&gt;""), HYPERLINK("#'" &amp; C4672 &amp; "'!" &amp; J4672, J4672), "")</f>
        <v>0</v>
      </c>
    </row>
    <row r="4673" spans="2:2">
      <c r="B4673" s="21">
        <f>IF(AND(C4673&lt;&gt;"", J4673&lt;&gt;""), HYPERLINK("#'" &amp; C4673 &amp; "'!" &amp; J4673, J4673), "")</f>
        <v>0</v>
      </c>
    </row>
    <row r="4674" spans="2:2">
      <c r="B4674" s="21">
        <f>IF(AND(C4674&lt;&gt;"", J4674&lt;&gt;""), HYPERLINK("#'" &amp; C4674 &amp; "'!" &amp; J4674, J4674), "")</f>
        <v>0</v>
      </c>
    </row>
    <row r="4675" spans="2:2">
      <c r="B4675" s="21">
        <f>IF(AND(C4675&lt;&gt;"", J4675&lt;&gt;""), HYPERLINK("#'" &amp; C4675 &amp; "'!" &amp; J4675, J4675), "")</f>
        <v>0</v>
      </c>
    </row>
    <row r="4676" spans="2:2">
      <c r="B4676" s="21">
        <f>IF(AND(C4676&lt;&gt;"", J4676&lt;&gt;""), HYPERLINK("#'" &amp; C4676 &amp; "'!" &amp; J4676, J4676), "")</f>
        <v>0</v>
      </c>
    </row>
    <row r="4677" spans="2:2">
      <c r="B4677" s="21">
        <f>IF(AND(C4677&lt;&gt;"", J4677&lt;&gt;""), HYPERLINK("#'" &amp; C4677 &amp; "'!" &amp; J4677, J4677), "")</f>
        <v>0</v>
      </c>
    </row>
    <row r="4678" spans="2:2">
      <c r="B4678" s="21">
        <f>IF(AND(C4678&lt;&gt;"", J4678&lt;&gt;""), HYPERLINK("#'" &amp; C4678 &amp; "'!" &amp; J4678, J4678), "")</f>
        <v>0</v>
      </c>
    </row>
    <row r="4679" spans="2:2">
      <c r="B4679" s="21">
        <f>IF(AND(C4679&lt;&gt;"", J4679&lt;&gt;""), HYPERLINK("#'" &amp; C4679 &amp; "'!" &amp; J4679, J4679), "")</f>
        <v>0</v>
      </c>
    </row>
    <row r="4680" spans="2:2">
      <c r="B4680" s="21">
        <f>IF(AND(C4680&lt;&gt;"", J4680&lt;&gt;""), HYPERLINK("#'" &amp; C4680 &amp; "'!" &amp; J4680, J4680), "")</f>
        <v>0</v>
      </c>
    </row>
    <row r="4681" spans="2:2">
      <c r="B4681" s="21">
        <f>IF(AND(C4681&lt;&gt;"", J4681&lt;&gt;""), HYPERLINK("#'" &amp; C4681 &amp; "'!" &amp; J4681, J4681), "")</f>
        <v>0</v>
      </c>
    </row>
    <row r="4682" spans="2:2">
      <c r="B4682" s="21">
        <f>IF(AND(C4682&lt;&gt;"", J4682&lt;&gt;""), HYPERLINK("#'" &amp; C4682 &amp; "'!" &amp; J4682, J4682), "")</f>
        <v>0</v>
      </c>
    </row>
    <row r="4683" spans="2:2">
      <c r="B4683" s="21">
        <f>IF(AND(C4683&lt;&gt;"", J4683&lt;&gt;""), HYPERLINK("#'" &amp; C4683 &amp; "'!" &amp; J4683, J4683), "")</f>
        <v>0</v>
      </c>
    </row>
    <row r="4684" spans="2:2">
      <c r="B4684" s="21">
        <f>IF(AND(C4684&lt;&gt;"", J4684&lt;&gt;""), HYPERLINK("#'" &amp; C4684 &amp; "'!" &amp; J4684, J4684), "")</f>
        <v>0</v>
      </c>
    </row>
    <row r="4685" spans="2:2">
      <c r="B4685" s="21">
        <f>IF(AND(C4685&lt;&gt;"", J4685&lt;&gt;""), HYPERLINK("#'" &amp; C4685 &amp; "'!" &amp; J4685, J4685), "")</f>
        <v>0</v>
      </c>
    </row>
    <row r="4686" spans="2:2">
      <c r="B4686" s="21">
        <f>IF(AND(C4686&lt;&gt;"", J4686&lt;&gt;""), HYPERLINK("#'" &amp; C4686 &amp; "'!" &amp; J4686, J4686), "")</f>
        <v>0</v>
      </c>
    </row>
    <row r="4687" spans="2:2">
      <c r="B4687" s="21">
        <f>IF(AND(C4687&lt;&gt;"", J4687&lt;&gt;""), HYPERLINK("#'" &amp; C4687 &amp; "'!" &amp; J4687, J4687), "")</f>
        <v>0</v>
      </c>
    </row>
    <row r="4688" spans="2:2">
      <c r="B4688" s="21">
        <f>IF(AND(C4688&lt;&gt;"", J4688&lt;&gt;""), HYPERLINK("#'" &amp; C4688 &amp; "'!" &amp; J4688, J4688), "")</f>
        <v>0</v>
      </c>
    </row>
    <row r="4689" spans="2:2">
      <c r="B4689" s="21">
        <f>IF(AND(C4689&lt;&gt;"", J4689&lt;&gt;""), HYPERLINK("#'" &amp; C4689 &amp; "'!" &amp; J4689, J4689), "")</f>
        <v>0</v>
      </c>
    </row>
    <row r="4690" spans="2:2">
      <c r="B4690" s="21">
        <f>IF(AND(C4690&lt;&gt;"", J4690&lt;&gt;""), HYPERLINK("#'" &amp; C4690 &amp; "'!" &amp; J4690, J4690), "")</f>
        <v>0</v>
      </c>
    </row>
    <row r="4691" spans="2:2">
      <c r="B4691" s="21">
        <f>IF(AND(C4691&lt;&gt;"", J4691&lt;&gt;""), HYPERLINK("#'" &amp; C4691 &amp; "'!" &amp; J4691, J4691), "")</f>
        <v>0</v>
      </c>
    </row>
    <row r="4692" spans="2:2">
      <c r="B4692" s="21">
        <f>IF(AND(C4692&lt;&gt;"", J4692&lt;&gt;""), HYPERLINK("#'" &amp; C4692 &amp; "'!" &amp; J4692, J4692), "")</f>
        <v>0</v>
      </c>
    </row>
    <row r="4693" spans="2:2">
      <c r="B4693" s="21">
        <f>IF(AND(C4693&lt;&gt;"", J4693&lt;&gt;""), HYPERLINK("#'" &amp; C4693 &amp; "'!" &amp; J4693, J4693), "")</f>
        <v>0</v>
      </c>
    </row>
    <row r="4694" spans="2:2">
      <c r="B4694" s="21">
        <f>IF(AND(C4694&lt;&gt;"", J4694&lt;&gt;""), HYPERLINK("#'" &amp; C4694 &amp; "'!" &amp; J4694, J4694), "")</f>
        <v>0</v>
      </c>
    </row>
    <row r="4695" spans="2:2">
      <c r="B4695" s="21">
        <f>IF(AND(C4695&lt;&gt;"", J4695&lt;&gt;""), HYPERLINK("#'" &amp; C4695 &amp; "'!" &amp; J4695, J4695), "")</f>
        <v>0</v>
      </c>
    </row>
    <row r="4696" spans="2:2">
      <c r="B4696" s="21">
        <f>IF(AND(C4696&lt;&gt;"", J4696&lt;&gt;""), HYPERLINK("#'" &amp; C4696 &amp; "'!" &amp; J4696, J4696), "")</f>
        <v>0</v>
      </c>
    </row>
    <row r="4697" spans="2:2">
      <c r="B4697" s="21">
        <f>IF(AND(C4697&lt;&gt;"", J4697&lt;&gt;""), HYPERLINK("#'" &amp; C4697 &amp; "'!" &amp; J4697, J4697), "")</f>
        <v>0</v>
      </c>
    </row>
    <row r="4698" spans="2:2">
      <c r="B4698" s="21">
        <f>IF(AND(C4698&lt;&gt;"", J4698&lt;&gt;""), HYPERLINK("#'" &amp; C4698 &amp; "'!" &amp; J4698, J4698), "")</f>
        <v>0</v>
      </c>
    </row>
    <row r="4699" spans="2:2">
      <c r="B4699" s="21">
        <f>IF(AND(C4699&lt;&gt;"", J4699&lt;&gt;""), HYPERLINK("#'" &amp; C4699 &amp; "'!" &amp; J4699, J4699), "")</f>
        <v>0</v>
      </c>
    </row>
    <row r="4700" spans="2:2">
      <c r="B4700" s="21">
        <f>IF(AND(C4700&lt;&gt;"", J4700&lt;&gt;""), HYPERLINK("#'" &amp; C4700 &amp; "'!" &amp; J4700, J4700), "")</f>
        <v>0</v>
      </c>
    </row>
    <row r="4701" spans="2:2">
      <c r="B4701" s="21">
        <f>IF(AND(C4701&lt;&gt;"", J4701&lt;&gt;""), HYPERLINK("#'" &amp; C4701 &amp; "'!" &amp; J4701, J4701), "")</f>
        <v>0</v>
      </c>
    </row>
    <row r="4702" spans="2:2">
      <c r="B4702" s="21">
        <f>IF(AND(C4702&lt;&gt;"", J4702&lt;&gt;""), HYPERLINK("#'" &amp; C4702 &amp; "'!" &amp; J4702, J4702), "")</f>
        <v>0</v>
      </c>
    </row>
    <row r="4703" spans="2:2">
      <c r="B4703" s="21">
        <f>IF(AND(C4703&lt;&gt;"", J4703&lt;&gt;""), HYPERLINK("#'" &amp; C4703 &amp; "'!" &amp; J4703, J4703), "")</f>
        <v>0</v>
      </c>
    </row>
    <row r="4704" spans="2:2">
      <c r="B4704" s="21">
        <f>IF(AND(C4704&lt;&gt;"", J4704&lt;&gt;""), HYPERLINK("#'" &amp; C4704 &amp; "'!" &amp; J4704, J4704), "")</f>
        <v>0</v>
      </c>
    </row>
    <row r="4705" spans="2:2">
      <c r="B4705" s="21">
        <f>IF(AND(C4705&lt;&gt;"", J4705&lt;&gt;""), HYPERLINK("#'" &amp; C4705 &amp; "'!" &amp; J4705, J4705), "")</f>
        <v>0</v>
      </c>
    </row>
    <row r="4706" spans="2:2">
      <c r="B4706" s="21">
        <f>IF(AND(C4706&lt;&gt;"", J4706&lt;&gt;""), HYPERLINK("#'" &amp; C4706 &amp; "'!" &amp; J4706, J4706), "")</f>
        <v>0</v>
      </c>
    </row>
    <row r="4707" spans="2:2">
      <c r="B4707" s="21">
        <f>IF(AND(C4707&lt;&gt;"", J4707&lt;&gt;""), HYPERLINK("#'" &amp; C4707 &amp; "'!" &amp; J4707, J4707), "")</f>
        <v>0</v>
      </c>
    </row>
    <row r="4708" spans="2:2">
      <c r="B4708" s="21">
        <f>IF(AND(C4708&lt;&gt;"", J4708&lt;&gt;""), HYPERLINK("#'" &amp; C4708 &amp; "'!" &amp; J4708, J4708), "")</f>
        <v>0</v>
      </c>
    </row>
    <row r="4709" spans="2:2">
      <c r="B4709" s="21">
        <f>IF(AND(C4709&lt;&gt;"", J4709&lt;&gt;""), HYPERLINK("#'" &amp; C4709 &amp; "'!" &amp; J4709, J4709), "")</f>
        <v>0</v>
      </c>
    </row>
    <row r="4710" spans="2:2">
      <c r="B4710" s="21">
        <f>IF(AND(C4710&lt;&gt;"", J4710&lt;&gt;""), HYPERLINK("#'" &amp; C4710 &amp; "'!" &amp; J4710, J4710), "")</f>
        <v>0</v>
      </c>
    </row>
    <row r="4711" spans="2:2">
      <c r="B4711" s="21">
        <f>IF(AND(C4711&lt;&gt;"", J4711&lt;&gt;""), HYPERLINK("#'" &amp; C4711 &amp; "'!" &amp; J4711, J4711), "")</f>
        <v>0</v>
      </c>
    </row>
    <row r="4712" spans="2:2">
      <c r="B4712" s="21">
        <f>IF(AND(C4712&lt;&gt;"", J4712&lt;&gt;""), HYPERLINK("#'" &amp; C4712 &amp; "'!" &amp; J4712, J4712), "")</f>
        <v>0</v>
      </c>
    </row>
    <row r="4713" spans="2:2">
      <c r="B4713" s="21">
        <f>IF(AND(C4713&lt;&gt;"", J4713&lt;&gt;""), HYPERLINK("#'" &amp; C4713 &amp; "'!" &amp; J4713, J4713), "")</f>
        <v>0</v>
      </c>
    </row>
    <row r="4714" spans="2:2">
      <c r="B4714" s="21">
        <f>IF(AND(C4714&lt;&gt;"", J4714&lt;&gt;""), HYPERLINK("#'" &amp; C4714 &amp; "'!" &amp; J4714, J4714), "")</f>
        <v>0</v>
      </c>
    </row>
    <row r="4715" spans="2:2">
      <c r="B4715" s="21">
        <f>IF(AND(C4715&lt;&gt;"", J4715&lt;&gt;""), HYPERLINK("#'" &amp; C4715 &amp; "'!" &amp; J4715, J4715), "")</f>
        <v>0</v>
      </c>
    </row>
    <row r="4716" spans="2:2">
      <c r="B4716" s="21">
        <f>IF(AND(C4716&lt;&gt;"", J4716&lt;&gt;""), HYPERLINK("#'" &amp; C4716 &amp; "'!" &amp; J4716, J4716), "")</f>
        <v>0</v>
      </c>
    </row>
    <row r="4717" spans="2:2">
      <c r="B4717" s="21">
        <f>IF(AND(C4717&lt;&gt;"", J4717&lt;&gt;""), HYPERLINK("#'" &amp; C4717 &amp; "'!" &amp; J4717, J4717), "")</f>
        <v>0</v>
      </c>
    </row>
    <row r="4718" spans="2:2">
      <c r="B4718" s="21">
        <f>IF(AND(C4718&lt;&gt;"", J4718&lt;&gt;""), HYPERLINK("#'" &amp; C4718 &amp; "'!" &amp; J4718, J4718), "")</f>
        <v>0</v>
      </c>
    </row>
    <row r="4719" spans="2:2">
      <c r="B4719" s="21">
        <f>IF(AND(C4719&lt;&gt;"", J4719&lt;&gt;""), HYPERLINK("#'" &amp; C4719 &amp; "'!" &amp; J4719, J4719), "")</f>
        <v>0</v>
      </c>
    </row>
    <row r="4720" spans="2:2">
      <c r="B4720" s="21">
        <f>IF(AND(C4720&lt;&gt;"", J4720&lt;&gt;""), HYPERLINK("#'" &amp; C4720 &amp; "'!" &amp; J4720, J4720), "")</f>
        <v>0</v>
      </c>
    </row>
    <row r="4721" spans="2:2">
      <c r="B4721" s="21">
        <f>IF(AND(C4721&lt;&gt;"", J4721&lt;&gt;""), HYPERLINK("#'" &amp; C4721 &amp; "'!" &amp; J4721, J4721), "")</f>
        <v>0</v>
      </c>
    </row>
    <row r="4722" spans="2:2">
      <c r="B4722" s="21">
        <f>IF(AND(C4722&lt;&gt;"", J4722&lt;&gt;""), HYPERLINK("#'" &amp; C4722 &amp; "'!" &amp; J4722, J4722), "")</f>
        <v>0</v>
      </c>
    </row>
    <row r="4723" spans="2:2">
      <c r="B4723" s="21">
        <f>IF(AND(C4723&lt;&gt;"", J4723&lt;&gt;""), HYPERLINK("#'" &amp; C4723 &amp; "'!" &amp; J4723, J4723), "")</f>
        <v>0</v>
      </c>
    </row>
    <row r="4724" spans="2:2">
      <c r="B4724" s="21">
        <f>IF(AND(C4724&lt;&gt;"", J4724&lt;&gt;""), HYPERLINK("#'" &amp; C4724 &amp; "'!" &amp; J4724, J4724), "")</f>
        <v>0</v>
      </c>
    </row>
    <row r="4725" spans="2:2">
      <c r="B4725" s="21">
        <f>IF(AND(C4725&lt;&gt;"", J4725&lt;&gt;""), HYPERLINK("#'" &amp; C4725 &amp; "'!" &amp; J4725, J4725), "")</f>
        <v>0</v>
      </c>
    </row>
    <row r="4726" spans="2:2">
      <c r="B4726" s="21">
        <f>IF(AND(C4726&lt;&gt;"", J4726&lt;&gt;""), HYPERLINK("#'" &amp; C4726 &amp; "'!" &amp; J4726, J4726), "")</f>
        <v>0</v>
      </c>
    </row>
    <row r="4727" spans="2:2">
      <c r="B4727" s="21">
        <f>IF(AND(C4727&lt;&gt;"", J4727&lt;&gt;""), HYPERLINK("#'" &amp; C4727 &amp; "'!" &amp; J4727, J4727), "")</f>
        <v>0</v>
      </c>
    </row>
    <row r="4728" spans="2:2">
      <c r="B4728" s="21">
        <f>IF(AND(C4728&lt;&gt;"", J4728&lt;&gt;""), HYPERLINK("#'" &amp; C4728 &amp; "'!" &amp; J4728, J4728), "")</f>
        <v>0</v>
      </c>
    </row>
    <row r="4729" spans="2:2">
      <c r="B4729" s="21">
        <f>IF(AND(C4729&lt;&gt;"", J4729&lt;&gt;""), HYPERLINK("#'" &amp; C4729 &amp; "'!" &amp; J4729, J4729), "")</f>
        <v>0</v>
      </c>
    </row>
    <row r="4730" spans="2:2">
      <c r="B4730" s="21">
        <f>IF(AND(C4730&lt;&gt;"", J4730&lt;&gt;""), HYPERLINK("#'" &amp; C4730 &amp; "'!" &amp; J4730, J4730), "")</f>
        <v>0</v>
      </c>
    </row>
    <row r="4731" spans="2:2">
      <c r="B4731" s="21">
        <f>IF(AND(C4731&lt;&gt;"", J4731&lt;&gt;""), HYPERLINK("#'" &amp; C4731 &amp; "'!" &amp; J4731, J4731), "")</f>
        <v>0</v>
      </c>
    </row>
    <row r="4732" spans="2:2">
      <c r="B4732" s="21">
        <f>IF(AND(C4732&lt;&gt;"", J4732&lt;&gt;""), HYPERLINK("#'" &amp; C4732 &amp; "'!" &amp; J4732, J4732), "")</f>
        <v>0</v>
      </c>
    </row>
    <row r="4733" spans="2:2">
      <c r="B4733" s="21">
        <f>IF(AND(C4733&lt;&gt;"", J4733&lt;&gt;""), HYPERLINK("#'" &amp; C4733 &amp; "'!" &amp; J4733, J4733), "")</f>
        <v>0</v>
      </c>
    </row>
    <row r="4734" spans="2:2">
      <c r="B4734" s="21">
        <f>IF(AND(C4734&lt;&gt;"", J4734&lt;&gt;""), HYPERLINK("#'" &amp; C4734 &amp; "'!" &amp; J4734, J4734), "")</f>
        <v>0</v>
      </c>
    </row>
    <row r="4735" spans="2:2">
      <c r="B4735" s="21">
        <f>IF(AND(C4735&lt;&gt;"", J4735&lt;&gt;""), HYPERLINK("#'" &amp; C4735 &amp; "'!" &amp; J4735, J4735), "")</f>
        <v>0</v>
      </c>
    </row>
    <row r="4736" spans="2:2">
      <c r="B4736" s="21">
        <f>IF(AND(C4736&lt;&gt;"", J4736&lt;&gt;""), HYPERLINK("#'" &amp; C4736 &amp; "'!" &amp; J4736, J4736), "")</f>
        <v>0</v>
      </c>
    </row>
    <row r="4737" spans="2:2">
      <c r="B4737" s="21">
        <f>IF(AND(C4737&lt;&gt;"", J4737&lt;&gt;""), HYPERLINK("#'" &amp; C4737 &amp; "'!" &amp; J4737, J4737), "")</f>
        <v>0</v>
      </c>
    </row>
    <row r="4738" spans="2:2">
      <c r="B4738" s="21">
        <f>IF(AND(C4738&lt;&gt;"", J4738&lt;&gt;""), HYPERLINK("#'" &amp; C4738 &amp; "'!" &amp; J4738, J4738), "")</f>
        <v>0</v>
      </c>
    </row>
    <row r="4739" spans="2:2">
      <c r="B4739" s="21">
        <f>IF(AND(C4739&lt;&gt;"", J4739&lt;&gt;""), HYPERLINK("#'" &amp; C4739 &amp; "'!" &amp; J4739, J4739), "")</f>
        <v>0</v>
      </c>
    </row>
    <row r="4740" spans="2:2">
      <c r="B4740" s="21">
        <f>IF(AND(C4740&lt;&gt;"", J4740&lt;&gt;""), HYPERLINK("#'" &amp; C4740 &amp; "'!" &amp; J4740, J4740), "")</f>
        <v>0</v>
      </c>
    </row>
    <row r="4741" spans="2:2">
      <c r="B4741" s="21">
        <f>IF(AND(C4741&lt;&gt;"", J4741&lt;&gt;""), HYPERLINK("#'" &amp; C4741 &amp; "'!" &amp; J4741, J4741), "")</f>
        <v>0</v>
      </c>
    </row>
    <row r="4742" spans="2:2">
      <c r="B4742" s="21">
        <f>IF(AND(C4742&lt;&gt;"", J4742&lt;&gt;""), HYPERLINK("#'" &amp; C4742 &amp; "'!" &amp; J4742, J4742), "")</f>
        <v>0</v>
      </c>
    </row>
    <row r="4743" spans="2:2">
      <c r="B4743" s="21">
        <f>IF(AND(C4743&lt;&gt;"", J4743&lt;&gt;""), HYPERLINK("#'" &amp; C4743 &amp; "'!" &amp; J4743, J4743), "")</f>
        <v>0</v>
      </c>
    </row>
    <row r="4744" spans="2:2">
      <c r="B4744" s="21">
        <f>IF(AND(C4744&lt;&gt;"", J4744&lt;&gt;""), HYPERLINK("#'" &amp; C4744 &amp; "'!" &amp; J4744, J4744), "")</f>
        <v>0</v>
      </c>
    </row>
    <row r="4745" spans="2:2">
      <c r="B4745" s="21">
        <f>IF(AND(C4745&lt;&gt;"", J4745&lt;&gt;""), HYPERLINK("#'" &amp; C4745 &amp; "'!" &amp; J4745, J4745), "")</f>
        <v>0</v>
      </c>
    </row>
    <row r="4746" spans="2:2">
      <c r="B4746" s="21">
        <f>IF(AND(C4746&lt;&gt;"", J4746&lt;&gt;""), HYPERLINK("#'" &amp; C4746 &amp; "'!" &amp; J4746, J4746), "")</f>
        <v>0</v>
      </c>
    </row>
    <row r="4747" spans="2:2">
      <c r="B4747" s="21">
        <f>IF(AND(C4747&lt;&gt;"", J4747&lt;&gt;""), HYPERLINK("#'" &amp; C4747 &amp; "'!" &amp; J4747, J4747), "")</f>
        <v>0</v>
      </c>
    </row>
    <row r="4748" spans="2:2">
      <c r="B4748" s="21">
        <f>IF(AND(C4748&lt;&gt;"", J4748&lt;&gt;""), HYPERLINK("#'" &amp; C4748 &amp; "'!" &amp; J4748, J4748), "")</f>
        <v>0</v>
      </c>
    </row>
    <row r="4749" spans="2:2">
      <c r="B4749" s="21">
        <f>IF(AND(C4749&lt;&gt;"", J4749&lt;&gt;""), HYPERLINK("#'" &amp; C4749 &amp; "'!" &amp; J4749, J4749), "")</f>
        <v>0</v>
      </c>
    </row>
    <row r="4750" spans="2:2">
      <c r="B4750" s="21">
        <f>IF(AND(C4750&lt;&gt;"", J4750&lt;&gt;""), HYPERLINK("#'" &amp; C4750 &amp; "'!" &amp; J4750, J4750), "")</f>
        <v>0</v>
      </c>
    </row>
    <row r="4751" spans="2:2">
      <c r="B4751" s="21">
        <f>IF(AND(C4751&lt;&gt;"", J4751&lt;&gt;""), HYPERLINK("#'" &amp; C4751 &amp; "'!" &amp; J4751, J4751), "")</f>
        <v>0</v>
      </c>
    </row>
    <row r="4752" spans="2:2">
      <c r="B4752" s="21">
        <f>IF(AND(C4752&lt;&gt;"", J4752&lt;&gt;""), HYPERLINK("#'" &amp; C4752 &amp; "'!" &amp; J4752, J4752), "")</f>
        <v>0</v>
      </c>
    </row>
    <row r="4753" spans="2:2">
      <c r="B4753" s="21">
        <f>IF(AND(C4753&lt;&gt;"", J4753&lt;&gt;""), HYPERLINK("#'" &amp; C4753 &amp; "'!" &amp; J4753, J4753), "")</f>
        <v>0</v>
      </c>
    </row>
    <row r="4754" spans="2:2">
      <c r="B4754" s="21">
        <f>IF(AND(C4754&lt;&gt;"", J4754&lt;&gt;""), HYPERLINK("#'" &amp; C4754 &amp; "'!" &amp; J4754, J4754), "")</f>
        <v>0</v>
      </c>
    </row>
    <row r="4755" spans="2:2">
      <c r="B4755" s="21">
        <f>IF(AND(C4755&lt;&gt;"", J4755&lt;&gt;""), HYPERLINK("#'" &amp; C4755 &amp; "'!" &amp; J4755, J4755), "")</f>
        <v>0</v>
      </c>
    </row>
    <row r="4756" spans="2:2">
      <c r="B4756" s="21">
        <f>IF(AND(C4756&lt;&gt;"", J4756&lt;&gt;""), HYPERLINK("#'" &amp; C4756 &amp; "'!" &amp; J4756, J4756), "")</f>
        <v>0</v>
      </c>
    </row>
    <row r="4757" spans="2:2">
      <c r="B4757" s="21">
        <f>IF(AND(C4757&lt;&gt;"", J4757&lt;&gt;""), HYPERLINK("#'" &amp; C4757 &amp; "'!" &amp; J4757, J4757), "")</f>
        <v>0</v>
      </c>
    </row>
    <row r="4758" spans="2:2">
      <c r="B4758" s="21">
        <f>IF(AND(C4758&lt;&gt;"", J4758&lt;&gt;""), HYPERLINK("#'" &amp; C4758 &amp; "'!" &amp; J4758, J4758), "")</f>
        <v>0</v>
      </c>
    </row>
    <row r="4759" spans="2:2">
      <c r="B4759" s="21">
        <f>IF(AND(C4759&lt;&gt;"", J4759&lt;&gt;""), HYPERLINK("#'" &amp; C4759 &amp; "'!" &amp; J4759, J4759), "")</f>
        <v>0</v>
      </c>
    </row>
    <row r="4760" spans="2:2">
      <c r="B4760" s="21">
        <f>IF(AND(C4760&lt;&gt;"", J4760&lt;&gt;""), HYPERLINK("#'" &amp; C4760 &amp; "'!" &amp; J4760, J4760), "")</f>
        <v>0</v>
      </c>
    </row>
    <row r="4761" spans="2:2">
      <c r="B4761" s="21">
        <f>IF(AND(C4761&lt;&gt;"", J4761&lt;&gt;""), HYPERLINK("#'" &amp; C4761 &amp; "'!" &amp; J4761, J4761), "")</f>
        <v>0</v>
      </c>
    </row>
    <row r="4762" spans="2:2">
      <c r="B4762" s="21">
        <f>IF(AND(C4762&lt;&gt;"", J4762&lt;&gt;""), HYPERLINK("#'" &amp; C4762 &amp; "'!" &amp; J4762, J4762), "")</f>
        <v>0</v>
      </c>
    </row>
    <row r="4763" spans="2:2">
      <c r="B4763" s="21">
        <f>IF(AND(C4763&lt;&gt;"", J4763&lt;&gt;""), HYPERLINK("#'" &amp; C4763 &amp; "'!" &amp; J4763, J4763), "")</f>
        <v>0</v>
      </c>
    </row>
    <row r="4764" spans="2:2">
      <c r="B4764" s="21">
        <f>IF(AND(C4764&lt;&gt;"", J4764&lt;&gt;""), HYPERLINK("#'" &amp; C4764 &amp; "'!" &amp; J4764, J4764), "")</f>
        <v>0</v>
      </c>
    </row>
    <row r="4765" spans="2:2">
      <c r="B4765" s="21">
        <f>IF(AND(C4765&lt;&gt;"", J4765&lt;&gt;""), HYPERLINK("#'" &amp; C4765 &amp; "'!" &amp; J4765, J4765), "")</f>
        <v>0</v>
      </c>
    </row>
    <row r="4766" spans="2:2">
      <c r="B4766" s="21">
        <f>IF(AND(C4766&lt;&gt;"", J4766&lt;&gt;""), HYPERLINK("#'" &amp; C4766 &amp; "'!" &amp; J4766, J4766), "")</f>
        <v>0</v>
      </c>
    </row>
    <row r="4767" spans="2:2">
      <c r="B4767" s="21">
        <f>IF(AND(C4767&lt;&gt;"", J4767&lt;&gt;""), HYPERLINK("#'" &amp; C4767 &amp; "'!" &amp; J4767, J4767), "")</f>
        <v>0</v>
      </c>
    </row>
    <row r="4768" spans="2:2">
      <c r="B4768" s="21">
        <f>IF(AND(C4768&lt;&gt;"", J4768&lt;&gt;""), HYPERLINK("#'" &amp; C4768 &amp; "'!" &amp; J4768, J4768), "")</f>
        <v>0</v>
      </c>
    </row>
    <row r="4769" spans="2:2">
      <c r="B4769" s="21">
        <f>IF(AND(C4769&lt;&gt;"", J4769&lt;&gt;""), HYPERLINK("#'" &amp; C4769 &amp; "'!" &amp; J4769, J4769), "")</f>
        <v>0</v>
      </c>
    </row>
    <row r="4770" spans="2:2">
      <c r="B4770" s="21">
        <f>IF(AND(C4770&lt;&gt;"", J4770&lt;&gt;""), HYPERLINK("#'" &amp; C4770 &amp; "'!" &amp; J4770, J4770), "")</f>
        <v>0</v>
      </c>
    </row>
    <row r="4771" spans="2:2">
      <c r="B4771" s="21">
        <f>IF(AND(C4771&lt;&gt;"", J4771&lt;&gt;""), HYPERLINK("#'" &amp; C4771 &amp; "'!" &amp; J4771, J4771), "")</f>
        <v>0</v>
      </c>
    </row>
    <row r="4772" spans="2:2">
      <c r="B4772" s="21">
        <f>IF(AND(C4772&lt;&gt;"", J4772&lt;&gt;""), HYPERLINK("#'" &amp; C4772 &amp; "'!" &amp; J4772, J4772), "")</f>
        <v>0</v>
      </c>
    </row>
    <row r="4773" spans="2:2">
      <c r="B4773" s="21">
        <f>IF(AND(C4773&lt;&gt;"", J4773&lt;&gt;""), HYPERLINK("#'" &amp; C4773 &amp; "'!" &amp; J4773, J4773), "")</f>
        <v>0</v>
      </c>
    </row>
    <row r="4774" spans="2:2">
      <c r="B4774" s="21">
        <f>IF(AND(C4774&lt;&gt;"", J4774&lt;&gt;""), HYPERLINK("#'" &amp; C4774 &amp; "'!" &amp; J4774, J4774), "")</f>
        <v>0</v>
      </c>
    </row>
    <row r="4775" spans="2:2">
      <c r="B4775" s="21">
        <f>IF(AND(C4775&lt;&gt;"", J4775&lt;&gt;""), HYPERLINK("#'" &amp; C4775 &amp; "'!" &amp; J4775, J4775), "")</f>
        <v>0</v>
      </c>
    </row>
    <row r="4776" spans="2:2">
      <c r="B4776" s="21">
        <f>IF(AND(C4776&lt;&gt;"", J4776&lt;&gt;""), HYPERLINK("#'" &amp; C4776 &amp; "'!" &amp; J4776, J4776), "")</f>
        <v>0</v>
      </c>
    </row>
    <row r="4777" spans="2:2">
      <c r="B4777" s="21">
        <f>IF(AND(C4777&lt;&gt;"", J4777&lt;&gt;""), HYPERLINK("#'" &amp; C4777 &amp; "'!" &amp; J4777, J4777), "")</f>
        <v>0</v>
      </c>
    </row>
    <row r="4778" spans="2:2">
      <c r="B4778" s="21">
        <f>IF(AND(C4778&lt;&gt;"", J4778&lt;&gt;""), HYPERLINK("#'" &amp; C4778 &amp; "'!" &amp; J4778, J4778), "")</f>
        <v>0</v>
      </c>
    </row>
    <row r="4779" spans="2:2">
      <c r="B4779" s="21">
        <f>IF(AND(C4779&lt;&gt;"", J4779&lt;&gt;""), HYPERLINK("#'" &amp; C4779 &amp; "'!" &amp; J4779, J4779), "")</f>
        <v>0</v>
      </c>
    </row>
    <row r="4780" spans="2:2">
      <c r="B4780" s="21">
        <f>IF(AND(C4780&lt;&gt;"", J4780&lt;&gt;""), HYPERLINK("#'" &amp; C4780 &amp; "'!" &amp; J4780, J4780), "")</f>
        <v>0</v>
      </c>
    </row>
    <row r="4781" spans="2:2">
      <c r="B4781" s="21">
        <f>IF(AND(C4781&lt;&gt;"", J4781&lt;&gt;""), HYPERLINK("#'" &amp; C4781 &amp; "'!" &amp; J4781, J4781), "")</f>
        <v>0</v>
      </c>
    </row>
    <row r="4782" spans="2:2">
      <c r="B4782" s="21">
        <f>IF(AND(C4782&lt;&gt;"", J4782&lt;&gt;""), HYPERLINK("#'" &amp; C4782 &amp; "'!" &amp; J4782, J4782), "")</f>
        <v>0</v>
      </c>
    </row>
    <row r="4783" spans="2:2">
      <c r="B4783" s="21">
        <f>IF(AND(C4783&lt;&gt;"", J4783&lt;&gt;""), HYPERLINK("#'" &amp; C4783 &amp; "'!" &amp; J4783, J4783), "")</f>
        <v>0</v>
      </c>
    </row>
    <row r="4784" spans="2:2">
      <c r="B4784" s="21">
        <f>IF(AND(C4784&lt;&gt;"", J4784&lt;&gt;""), HYPERLINK("#'" &amp; C4784 &amp; "'!" &amp; J4784, J4784), "")</f>
        <v>0</v>
      </c>
    </row>
    <row r="4785" spans="2:2">
      <c r="B4785" s="21">
        <f>IF(AND(C4785&lt;&gt;"", J4785&lt;&gt;""), HYPERLINK("#'" &amp; C4785 &amp; "'!" &amp; J4785, J4785), "")</f>
        <v>0</v>
      </c>
    </row>
    <row r="4786" spans="2:2">
      <c r="B4786" s="21">
        <f>IF(AND(C4786&lt;&gt;"", J4786&lt;&gt;""), HYPERLINK("#'" &amp; C4786 &amp; "'!" &amp; J4786, J4786), "")</f>
        <v>0</v>
      </c>
    </row>
    <row r="4787" spans="2:2">
      <c r="B4787" s="21">
        <f>IF(AND(C4787&lt;&gt;"", J4787&lt;&gt;""), HYPERLINK("#'" &amp; C4787 &amp; "'!" &amp; J4787, J4787), "")</f>
        <v>0</v>
      </c>
    </row>
    <row r="4788" spans="2:2">
      <c r="B4788" s="21">
        <f>IF(AND(C4788&lt;&gt;"", J4788&lt;&gt;""), HYPERLINK("#'" &amp; C4788 &amp; "'!" &amp; J4788, J4788), "")</f>
        <v>0</v>
      </c>
    </row>
    <row r="4789" spans="2:2">
      <c r="B4789" s="21">
        <f>IF(AND(C4789&lt;&gt;"", J4789&lt;&gt;""), HYPERLINK("#'" &amp; C4789 &amp; "'!" &amp; J4789, J4789), "")</f>
        <v>0</v>
      </c>
    </row>
    <row r="4790" spans="2:2">
      <c r="B4790" s="21">
        <f>IF(AND(C4790&lt;&gt;"", J4790&lt;&gt;""), HYPERLINK("#'" &amp; C4790 &amp; "'!" &amp; J4790, J4790), "")</f>
        <v>0</v>
      </c>
    </row>
    <row r="4791" spans="2:2">
      <c r="B4791" s="21">
        <f>IF(AND(C4791&lt;&gt;"", J4791&lt;&gt;""), HYPERLINK("#'" &amp; C4791 &amp; "'!" &amp; J4791, J4791), "")</f>
        <v>0</v>
      </c>
    </row>
    <row r="4792" spans="2:2">
      <c r="B4792" s="21">
        <f>IF(AND(C4792&lt;&gt;"", J4792&lt;&gt;""), HYPERLINK("#'" &amp; C4792 &amp; "'!" &amp; J4792, J4792), "")</f>
        <v>0</v>
      </c>
    </row>
    <row r="4793" spans="2:2">
      <c r="B4793" s="21">
        <f>IF(AND(C4793&lt;&gt;"", J4793&lt;&gt;""), HYPERLINK("#'" &amp; C4793 &amp; "'!" &amp; J4793, J4793), "")</f>
        <v>0</v>
      </c>
    </row>
    <row r="4794" spans="2:2">
      <c r="B4794" s="21">
        <f>IF(AND(C4794&lt;&gt;"", J4794&lt;&gt;""), HYPERLINK("#'" &amp; C4794 &amp; "'!" &amp; J4794, J4794), "")</f>
        <v>0</v>
      </c>
    </row>
    <row r="4795" spans="2:2">
      <c r="B4795" s="21">
        <f>IF(AND(C4795&lt;&gt;"", J4795&lt;&gt;""), HYPERLINK("#'" &amp; C4795 &amp; "'!" &amp; J4795, J4795), "")</f>
        <v>0</v>
      </c>
    </row>
    <row r="4796" spans="2:2">
      <c r="B4796" s="21">
        <f>IF(AND(C4796&lt;&gt;"", J4796&lt;&gt;""), HYPERLINK("#'" &amp; C4796 &amp; "'!" &amp; J4796, J4796), "")</f>
        <v>0</v>
      </c>
    </row>
    <row r="4797" spans="2:2">
      <c r="B4797" s="21">
        <f>IF(AND(C4797&lt;&gt;"", J4797&lt;&gt;""), HYPERLINK("#'" &amp; C4797 &amp; "'!" &amp; J4797, J4797), "")</f>
        <v>0</v>
      </c>
    </row>
    <row r="4798" spans="2:2">
      <c r="B4798" s="21">
        <f>IF(AND(C4798&lt;&gt;"", J4798&lt;&gt;""), HYPERLINK("#'" &amp; C4798 &amp; "'!" &amp; J4798, J4798), "")</f>
        <v>0</v>
      </c>
    </row>
    <row r="4799" spans="2:2">
      <c r="B4799" s="21">
        <f>IF(AND(C4799&lt;&gt;"", J4799&lt;&gt;""), HYPERLINK("#'" &amp; C4799 &amp; "'!" &amp; J4799, J4799), "")</f>
        <v>0</v>
      </c>
    </row>
    <row r="4800" spans="2:2">
      <c r="B4800" s="21">
        <f>IF(AND(C4800&lt;&gt;"", J4800&lt;&gt;""), HYPERLINK("#'" &amp; C4800 &amp; "'!" &amp; J4800, J4800), "")</f>
        <v>0</v>
      </c>
    </row>
    <row r="4801" spans="2:2">
      <c r="B4801" s="21">
        <f>IF(AND(C4801&lt;&gt;"", J4801&lt;&gt;""), HYPERLINK("#'" &amp; C4801 &amp; "'!" &amp; J4801, J4801), "")</f>
        <v>0</v>
      </c>
    </row>
    <row r="4802" spans="2:2">
      <c r="B4802" s="21">
        <f>IF(AND(C4802&lt;&gt;"", J4802&lt;&gt;""), HYPERLINK("#'" &amp; C4802 &amp; "'!" &amp; J4802, J4802), "")</f>
        <v>0</v>
      </c>
    </row>
    <row r="4803" spans="2:2">
      <c r="B4803" s="21">
        <f>IF(AND(C4803&lt;&gt;"", J4803&lt;&gt;""), HYPERLINK("#'" &amp; C4803 &amp; "'!" &amp; J4803, J4803), "")</f>
        <v>0</v>
      </c>
    </row>
    <row r="4804" spans="2:2">
      <c r="B4804" s="21">
        <f>IF(AND(C4804&lt;&gt;"", J4804&lt;&gt;""), HYPERLINK("#'" &amp; C4804 &amp; "'!" &amp; J4804, J4804), "")</f>
        <v>0</v>
      </c>
    </row>
    <row r="4805" spans="2:2">
      <c r="B4805" s="21">
        <f>IF(AND(C4805&lt;&gt;"", J4805&lt;&gt;""), HYPERLINK("#'" &amp; C4805 &amp; "'!" &amp; J4805, J4805), "")</f>
        <v>0</v>
      </c>
    </row>
    <row r="4806" spans="2:2">
      <c r="B4806" s="21">
        <f>IF(AND(C4806&lt;&gt;"", J4806&lt;&gt;""), HYPERLINK("#'" &amp; C4806 &amp; "'!" &amp; J4806, J4806), "")</f>
        <v>0</v>
      </c>
    </row>
    <row r="4807" spans="2:2">
      <c r="B4807" s="21">
        <f>IF(AND(C4807&lt;&gt;"", J4807&lt;&gt;""), HYPERLINK("#'" &amp; C4807 &amp; "'!" &amp; J4807, J4807), "")</f>
        <v>0</v>
      </c>
    </row>
    <row r="4808" spans="2:2">
      <c r="B4808" s="21">
        <f>IF(AND(C4808&lt;&gt;"", J4808&lt;&gt;""), HYPERLINK("#'" &amp; C4808 &amp; "'!" &amp; J4808, J4808), "")</f>
        <v>0</v>
      </c>
    </row>
    <row r="4809" spans="2:2">
      <c r="B4809" s="21">
        <f>IF(AND(C4809&lt;&gt;"", J4809&lt;&gt;""), HYPERLINK("#'" &amp; C4809 &amp; "'!" &amp; J4809, J4809), "")</f>
        <v>0</v>
      </c>
    </row>
    <row r="4810" spans="2:2">
      <c r="B4810" s="21">
        <f>IF(AND(C4810&lt;&gt;"", J4810&lt;&gt;""), HYPERLINK("#'" &amp; C4810 &amp; "'!" &amp; J4810, J4810), "")</f>
        <v>0</v>
      </c>
    </row>
    <row r="4811" spans="2:2">
      <c r="B4811" s="21">
        <f>IF(AND(C4811&lt;&gt;"", J4811&lt;&gt;""), HYPERLINK("#'" &amp; C4811 &amp; "'!" &amp; J4811, J4811), "")</f>
        <v>0</v>
      </c>
    </row>
    <row r="4812" spans="2:2">
      <c r="B4812" s="21">
        <f>IF(AND(C4812&lt;&gt;"", J4812&lt;&gt;""), HYPERLINK("#'" &amp; C4812 &amp; "'!" &amp; J4812, J4812), "")</f>
        <v>0</v>
      </c>
    </row>
    <row r="4813" spans="2:2">
      <c r="B4813" s="21">
        <f>IF(AND(C4813&lt;&gt;"", J4813&lt;&gt;""), HYPERLINK("#'" &amp; C4813 &amp; "'!" &amp; J4813, J4813), "")</f>
        <v>0</v>
      </c>
    </row>
    <row r="4814" spans="2:2">
      <c r="B4814" s="21">
        <f>IF(AND(C4814&lt;&gt;"", J4814&lt;&gt;""), HYPERLINK("#'" &amp; C4814 &amp; "'!" &amp; J4814, J4814), "")</f>
        <v>0</v>
      </c>
    </row>
    <row r="4815" spans="2:2">
      <c r="B4815" s="21">
        <f>IF(AND(C4815&lt;&gt;"", J4815&lt;&gt;""), HYPERLINK("#'" &amp; C4815 &amp; "'!" &amp; J4815, J4815), "")</f>
        <v>0</v>
      </c>
    </row>
    <row r="4816" spans="2:2">
      <c r="B4816" s="21">
        <f>IF(AND(C4816&lt;&gt;"", J4816&lt;&gt;""), HYPERLINK("#'" &amp; C4816 &amp; "'!" &amp; J4816, J4816), "")</f>
        <v>0</v>
      </c>
    </row>
    <row r="4817" spans="2:2">
      <c r="B4817" s="21">
        <f>IF(AND(C4817&lt;&gt;"", J4817&lt;&gt;""), HYPERLINK("#'" &amp; C4817 &amp; "'!" &amp; J4817, J4817), "")</f>
        <v>0</v>
      </c>
    </row>
    <row r="4818" spans="2:2">
      <c r="B4818" s="21">
        <f>IF(AND(C4818&lt;&gt;"", J4818&lt;&gt;""), HYPERLINK("#'" &amp; C4818 &amp; "'!" &amp; J4818, J4818), "")</f>
        <v>0</v>
      </c>
    </row>
    <row r="4819" spans="2:2">
      <c r="B4819" s="21">
        <f>IF(AND(C4819&lt;&gt;"", J4819&lt;&gt;""), HYPERLINK("#'" &amp; C4819 &amp; "'!" &amp; J4819, J4819), "")</f>
        <v>0</v>
      </c>
    </row>
    <row r="4820" spans="2:2">
      <c r="B4820" s="21">
        <f>IF(AND(C4820&lt;&gt;"", J4820&lt;&gt;""), HYPERLINK("#'" &amp; C4820 &amp; "'!" &amp; J4820, J4820), "")</f>
        <v>0</v>
      </c>
    </row>
    <row r="4821" spans="2:2">
      <c r="B4821" s="21">
        <f>IF(AND(C4821&lt;&gt;"", J4821&lt;&gt;""), HYPERLINK("#'" &amp; C4821 &amp; "'!" &amp; J4821, J4821), "")</f>
        <v>0</v>
      </c>
    </row>
    <row r="4822" spans="2:2">
      <c r="B4822" s="21">
        <f>IF(AND(C4822&lt;&gt;"", J4822&lt;&gt;""), HYPERLINK("#'" &amp; C4822 &amp; "'!" &amp; J4822, J4822), "")</f>
        <v>0</v>
      </c>
    </row>
    <row r="4823" spans="2:2">
      <c r="B4823" s="21">
        <f>IF(AND(C4823&lt;&gt;"", J4823&lt;&gt;""), HYPERLINK("#'" &amp; C4823 &amp; "'!" &amp; J4823, J4823), "")</f>
        <v>0</v>
      </c>
    </row>
    <row r="4824" spans="2:2">
      <c r="B4824" s="21">
        <f>IF(AND(C4824&lt;&gt;"", J4824&lt;&gt;""), HYPERLINK("#'" &amp; C4824 &amp; "'!" &amp; J4824, J4824), "")</f>
        <v>0</v>
      </c>
    </row>
    <row r="4825" spans="2:2">
      <c r="B4825" s="21">
        <f>IF(AND(C4825&lt;&gt;"", J4825&lt;&gt;""), HYPERLINK("#'" &amp; C4825 &amp; "'!" &amp; J4825, J4825), "")</f>
        <v>0</v>
      </c>
    </row>
    <row r="4826" spans="2:2">
      <c r="B4826" s="21">
        <f>IF(AND(C4826&lt;&gt;"", J4826&lt;&gt;""), HYPERLINK("#'" &amp; C4826 &amp; "'!" &amp; J4826, J4826), "")</f>
        <v>0</v>
      </c>
    </row>
    <row r="4827" spans="2:2">
      <c r="B4827" s="21">
        <f>IF(AND(C4827&lt;&gt;"", J4827&lt;&gt;""), HYPERLINK("#'" &amp; C4827 &amp; "'!" &amp; J4827, J4827), "")</f>
        <v>0</v>
      </c>
    </row>
    <row r="4828" spans="2:2">
      <c r="B4828" s="21">
        <f>IF(AND(C4828&lt;&gt;"", J4828&lt;&gt;""), HYPERLINK("#'" &amp; C4828 &amp; "'!" &amp; J4828, J4828), "")</f>
        <v>0</v>
      </c>
    </row>
    <row r="4829" spans="2:2">
      <c r="B4829" s="21">
        <f>IF(AND(C4829&lt;&gt;"", J4829&lt;&gt;""), HYPERLINK("#'" &amp; C4829 &amp; "'!" &amp; J4829, J4829), "")</f>
        <v>0</v>
      </c>
    </row>
    <row r="4830" spans="2:2">
      <c r="B4830" s="21">
        <f>IF(AND(C4830&lt;&gt;"", J4830&lt;&gt;""), HYPERLINK("#'" &amp; C4830 &amp; "'!" &amp; J4830, J4830), "")</f>
        <v>0</v>
      </c>
    </row>
    <row r="4831" spans="2:2">
      <c r="B4831" s="21">
        <f>IF(AND(C4831&lt;&gt;"", J4831&lt;&gt;""), HYPERLINK("#'" &amp; C4831 &amp; "'!" &amp; J4831, J4831), "")</f>
        <v>0</v>
      </c>
    </row>
    <row r="4832" spans="2:2">
      <c r="B4832" s="21">
        <f>IF(AND(C4832&lt;&gt;"", J4832&lt;&gt;""), HYPERLINK("#'" &amp; C4832 &amp; "'!" &amp; J4832, J4832), "")</f>
        <v>0</v>
      </c>
    </row>
    <row r="4833" spans="2:2">
      <c r="B4833" s="21">
        <f>IF(AND(C4833&lt;&gt;"", J4833&lt;&gt;""), HYPERLINK("#'" &amp; C4833 &amp; "'!" &amp; J4833, J4833), "")</f>
        <v>0</v>
      </c>
    </row>
    <row r="4834" spans="2:2">
      <c r="B4834" s="21">
        <f>IF(AND(C4834&lt;&gt;"", J4834&lt;&gt;""), HYPERLINK("#'" &amp; C4834 &amp; "'!" &amp; J4834, J4834), "")</f>
        <v>0</v>
      </c>
    </row>
    <row r="4835" spans="2:2">
      <c r="B4835" s="21">
        <f>IF(AND(C4835&lt;&gt;"", J4835&lt;&gt;""), HYPERLINK("#'" &amp; C4835 &amp; "'!" &amp; J4835, J4835), "")</f>
        <v>0</v>
      </c>
    </row>
    <row r="4836" spans="2:2">
      <c r="B4836" s="21">
        <f>IF(AND(C4836&lt;&gt;"", J4836&lt;&gt;""), HYPERLINK("#'" &amp; C4836 &amp; "'!" &amp; J4836, J4836), "")</f>
        <v>0</v>
      </c>
    </row>
    <row r="4837" spans="2:2">
      <c r="B4837" s="21">
        <f>IF(AND(C4837&lt;&gt;"", J4837&lt;&gt;""), HYPERLINK("#'" &amp; C4837 &amp; "'!" &amp; J4837, J4837), "")</f>
        <v>0</v>
      </c>
    </row>
    <row r="4838" spans="2:2">
      <c r="B4838" s="21">
        <f>IF(AND(C4838&lt;&gt;"", J4838&lt;&gt;""), HYPERLINK("#'" &amp; C4838 &amp; "'!" &amp; J4838, J4838), "")</f>
        <v>0</v>
      </c>
    </row>
    <row r="4839" spans="2:2">
      <c r="B4839" s="21">
        <f>IF(AND(C4839&lt;&gt;"", J4839&lt;&gt;""), HYPERLINK("#'" &amp; C4839 &amp; "'!" &amp; J4839, J4839), "")</f>
        <v>0</v>
      </c>
    </row>
    <row r="4840" spans="2:2">
      <c r="B4840" s="21">
        <f>IF(AND(C4840&lt;&gt;"", J4840&lt;&gt;""), HYPERLINK("#'" &amp; C4840 &amp; "'!" &amp; J4840, J4840), "")</f>
        <v>0</v>
      </c>
    </row>
    <row r="4841" spans="2:2">
      <c r="B4841" s="21">
        <f>IF(AND(C4841&lt;&gt;"", J4841&lt;&gt;""), HYPERLINK("#'" &amp; C4841 &amp; "'!" &amp; J4841, J4841), "")</f>
        <v>0</v>
      </c>
    </row>
    <row r="4842" spans="2:2">
      <c r="B4842" s="21">
        <f>IF(AND(C4842&lt;&gt;"", J4842&lt;&gt;""), HYPERLINK("#'" &amp; C4842 &amp; "'!" &amp; J4842, J4842), "")</f>
        <v>0</v>
      </c>
    </row>
    <row r="4843" spans="2:2">
      <c r="B4843" s="21">
        <f>IF(AND(C4843&lt;&gt;"", J4843&lt;&gt;""), HYPERLINK("#'" &amp; C4843 &amp; "'!" &amp; J4843, J4843), "")</f>
        <v>0</v>
      </c>
    </row>
    <row r="4844" spans="2:2">
      <c r="B4844" s="21">
        <f>IF(AND(C4844&lt;&gt;"", J4844&lt;&gt;""), HYPERLINK("#'" &amp; C4844 &amp; "'!" &amp; J4844, J4844), "")</f>
        <v>0</v>
      </c>
    </row>
    <row r="4845" spans="2:2">
      <c r="B4845" s="21">
        <f>IF(AND(C4845&lt;&gt;"", J4845&lt;&gt;""), HYPERLINK("#'" &amp; C4845 &amp; "'!" &amp; J4845, J4845), "")</f>
        <v>0</v>
      </c>
    </row>
    <row r="4846" spans="2:2">
      <c r="B4846" s="21">
        <f>IF(AND(C4846&lt;&gt;"", J4846&lt;&gt;""), HYPERLINK("#'" &amp; C4846 &amp; "'!" &amp; J4846, J4846), "")</f>
        <v>0</v>
      </c>
    </row>
    <row r="4847" spans="2:2">
      <c r="B4847" s="21">
        <f>IF(AND(C4847&lt;&gt;"", J4847&lt;&gt;""), HYPERLINK("#'" &amp; C4847 &amp; "'!" &amp; J4847, J4847), "")</f>
        <v>0</v>
      </c>
    </row>
    <row r="4848" spans="2:2">
      <c r="B4848" s="21">
        <f>IF(AND(C4848&lt;&gt;"", J4848&lt;&gt;""), HYPERLINK("#'" &amp; C4848 &amp; "'!" &amp; J4848, J4848), "")</f>
        <v>0</v>
      </c>
    </row>
    <row r="4849" spans="2:2">
      <c r="B4849" s="21">
        <f>IF(AND(C4849&lt;&gt;"", J4849&lt;&gt;""), HYPERLINK("#'" &amp; C4849 &amp; "'!" &amp; J4849, J4849), "")</f>
        <v>0</v>
      </c>
    </row>
    <row r="4850" spans="2:2">
      <c r="B4850" s="21">
        <f>IF(AND(C4850&lt;&gt;"", J4850&lt;&gt;""), HYPERLINK("#'" &amp; C4850 &amp; "'!" &amp; J4850, J4850), "")</f>
        <v>0</v>
      </c>
    </row>
    <row r="4851" spans="2:2">
      <c r="B4851" s="21">
        <f>IF(AND(C4851&lt;&gt;"", J4851&lt;&gt;""), HYPERLINK("#'" &amp; C4851 &amp; "'!" &amp; J4851, J4851), "")</f>
        <v>0</v>
      </c>
    </row>
    <row r="4852" spans="2:2">
      <c r="B4852" s="21">
        <f>IF(AND(C4852&lt;&gt;"", J4852&lt;&gt;""), HYPERLINK("#'" &amp; C4852 &amp; "'!" &amp; J4852, J4852), "")</f>
        <v>0</v>
      </c>
    </row>
    <row r="4853" spans="2:2">
      <c r="B4853" s="21">
        <f>IF(AND(C4853&lt;&gt;"", J4853&lt;&gt;""), HYPERLINK("#'" &amp; C4853 &amp; "'!" &amp; J4853, J4853), "")</f>
        <v>0</v>
      </c>
    </row>
    <row r="4854" spans="2:2">
      <c r="B4854" s="21">
        <f>IF(AND(C4854&lt;&gt;"", J4854&lt;&gt;""), HYPERLINK("#'" &amp; C4854 &amp; "'!" &amp; J4854, J4854), "")</f>
        <v>0</v>
      </c>
    </row>
    <row r="4855" spans="2:2">
      <c r="B4855" s="21">
        <f>IF(AND(C4855&lt;&gt;"", J4855&lt;&gt;""), HYPERLINK("#'" &amp; C4855 &amp; "'!" &amp; J4855, J4855), "")</f>
        <v>0</v>
      </c>
    </row>
    <row r="4856" spans="2:2">
      <c r="B4856" s="21">
        <f>IF(AND(C4856&lt;&gt;"", J4856&lt;&gt;""), HYPERLINK("#'" &amp; C4856 &amp; "'!" &amp; J4856, J4856), "")</f>
        <v>0</v>
      </c>
    </row>
    <row r="4857" spans="2:2">
      <c r="B4857" s="21">
        <f>IF(AND(C4857&lt;&gt;"", J4857&lt;&gt;""), HYPERLINK("#'" &amp; C4857 &amp; "'!" &amp; J4857, J4857), "")</f>
        <v>0</v>
      </c>
    </row>
    <row r="4858" spans="2:2">
      <c r="B4858" s="21">
        <f>IF(AND(C4858&lt;&gt;"", J4858&lt;&gt;""), HYPERLINK("#'" &amp; C4858 &amp; "'!" &amp; J4858, J4858), "")</f>
        <v>0</v>
      </c>
    </row>
    <row r="4859" spans="2:2">
      <c r="B4859" s="21">
        <f>IF(AND(C4859&lt;&gt;"", J4859&lt;&gt;""), HYPERLINK("#'" &amp; C4859 &amp; "'!" &amp; J4859, J4859), "")</f>
        <v>0</v>
      </c>
    </row>
    <row r="4860" spans="2:2">
      <c r="B4860" s="21">
        <f>IF(AND(C4860&lt;&gt;"", J4860&lt;&gt;""), HYPERLINK("#'" &amp; C4860 &amp; "'!" &amp; J4860, J4860), "")</f>
        <v>0</v>
      </c>
    </row>
    <row r="4861" spans="2:2">
      <c r="B4861" s="21">
        <f>IF(AND(C4861&lt;&gt;"", J4861&lt;&gt;""), HYPERLINK("#'" &amp; C4861 &amp; "'!" &amp; J4861, J4861), "")</f>
        <v>0</v>
      </c>
    </row>
    <row r="4862" spans="2:2">
      <c r="B4862" s="21">
        <f>IF(AND(C4862&lt;&gt;"", J4862&lt;&gt;""), HYPERLINK("#'" &amp; C4862 &amp; "'!" &amp; J4862, J4862), "")</f>
        <v>0</v>
      </c>
    </row>
    <row r="4863" spans="2:2">
      <c r="B4863" s="21">
        <f>IF(AND(C4863&lt;&gt;"", J4863&lt;&gt;""), HYPERLINK("#'" &amp; C4863 &amp; "'!" &amp; J4863, J4863), "")</f>
        <v>0</v>
      </c>
    </row>
    <row r="4864" spans="2:2">
      <c r="B4864" s="21">
        <f>IF(AND(C4864&lt;&gt;"", J4864&lt;&gt;""), HYPERLINK("#'" &amp; C4864 &amp; "'!" &amp; J4864, J4864), "")</f>
        <v>0</v>
      </c>
    </row>
    <row r="4865" spans="2:2">
      <c r="B4865" s="21">
        <f>IF(AND(C4865&lt;&gt;"", J4865&lt;&gt;""), HYPERLINK("#'" &amp; C4865 &amp; "'!" &amp; J4865, J4865), "")</f>
        <v>0</v>
      </c>
    </row>
    <row r="4866" spans="2:2">
      <c r="B4866" s="21">
        <f>IF(AND(C4866&lt;&gt;"", J4866&lt;&gt;""), HYPERLINK("#'" &amp; C4866 &amp; "'!" &amp; J4866, J4866), "")</f>
        <v>0</v>
      </c>
    </row>
    <row r="4867" spans="2:2">
      <c r="B4867" s="21">
        <f>IF(AND(C4867&lt;&gt;"", J4867&lt;&gt;""), HYPERLINK("#'" &amp; C4867 &amp; "'!" &amp; J4867, J4867), "")</f>
        <v>0</v>
      </c>
    </row>
    <row r="4868" spans="2:2">
      <c r="B4868" s="21">
        <f>IF(AND(C4868&lt;&gt;"", J4868&lt;&gt;""), HYPERLINK("#'" &amp; C4868 &amp; "'!" &amp; J4868, J4868), "")</f>
        <v>0</v>
      </c>
    </row>
    <row r="4869" spans="2:2">
      <c r="B4869" s="21">
        <f>IF(AND(C4869&lt;&gt;"", J4869&lt;&gt;""), HYPERLINK("#'" &amp; C4869 &amp; "'!" &amp; J4869, J4869), "")</f>
        <v>0</v>
      </c>
    </row>
    <row r="4870" spans="2:2">
      <c r="B4870" s="21">
        <f>IF(AND(C4870&lt;&gt;"", J4870&lt;&gt;""), HYPERLINK("#'" &amp; C4870 &amp; "'!" &amp; J4870, J4870), "")</f>
        <v>0</v>
      </c>
    </row>
    <row r="4871" spans="2:2">
      <c r="B4871" s="21">
        <f>IF(AND(C4871&lt;&gt;"", J4871&lt;&gt;""), HYPERLINK("#'" &amp; C4871 &amp; "'!" &amp; J4871, J4871), "")</f>
        <v>0</v>
      </c>
    </row>
    <row r="4872" spans="2:2">
      <c r="B4872" s="21">
        <f>IF(AND(C4872&lt;&gt;"", J4872&lt;&gt;""), HYPERLINK("#'" &amp; C4872 &amp; "'!" &amp; J4872, J4872), "")</f>
        <v>0</v>
      </c>
    </row>
    <row r="4873" spans="2:2">
      <c r="B4873" s="21">
        <f>IF(AND(C4873&lt;&gt;"", J4873&lt;&gt;""), HYPERLINK("#'" &amp; C4873 &amp; "'!" &amp; J4873, J4873), "")</f>
        <v>0</v>
      </c>
    </row>
    <row r="4874" spans="2:2">
      <c r="B4874" s="21">
        <f>IF(AND(C4874&lt;&gt;"", J4874&lt;&gt;""), HYPERLINK("#'" &amp; C4874 &amp; "'!" &amp; J4874, J4874), "")</f>
        <v>0</v>
      </c>
    </row>
    <row r="4875" spans="2:2">
      <c r="B4875" s="21">
        <f>IF(AND(C4875&lt;&gt;"", J4875&lt;&gt;""), HYPERLINK("#'" &amp; C4875 &amp; "'!" &amp; J4875, J4875), "")</f>
        <v>0</v>
      </c>
    </row>
    <row r="4876" spans="2:2">
      <c r="B4876" s="21">
        <f>IF(AND(C4876&lt;&gt;"", J4876&lt;&gt;""), HYPERLINK("#'" &amp; C4876 &amp; "'!" &amp; J4876, J4876), "")</f>
        <v>0</v>
      </c>
    </row>
    <row r="4877" spans="2:2">
      <c r="B4877" s="21">
        <f>IF(AND(C4877&lt;&gt;"", J4877&lt;&gt;""), HYPERLINK("#'" &amp; C4877 &amp; "'!" &amp; J4877, J4877), "")</f>
        <v>0</v>
      </c>
    </row>
    <row r="4878" spans="2:2">
      <c r="B4878" s="21">
        <f>IF(AND(C4878&lt;&gt;"", J4878&lt;&gt;""), HYPERLINK("#'" &amp; C4878 &amp; "'!" &amp; J4878, J4878), "")</f>
        <v>0</v>
      </c>
    </row>
    <row r="4879" spans="2:2">
      <c r="B4879" s="21">
        <f>IF(AND(C4879&lt;&gt;"", J4879&lt;&gt;""), HYPERLINK("#'" &amp; C4879 &amp; "'!" &amp; J4879, J4879), "")</f>
        <v>0</v>
      </c>
    </row>
    <row r="4880" spans="2:2">
      <c r="B4880" s="21">
        <f>IF(AND(C4880&lt;&gt;"", J4880&lt;&gt;""), HYPERLINK("#'" &amp; C4880 &amp; "'!" &amp; J4880, J4880), "")</f>
        <v>0</v>
      </c>
    </row>
    <row r="4881" spans="2:2">
      <c r="B4881" s="21">
        <f>IF(AND(C4881&lt;&gt;"", J4881&lt;&gt;""), HYPERLINK("#'" &amp; C4881 &amp; "'!" &amp; J4881, J4881), "")</f>
        <v>0</v>
      </c>
    </row>
    <row r="4882" spans="2:2">
      <c r="B4882" s="21">
        <f>IF(AND(C4882&lt;&gt;"", J4882&lt;&gt;""), HYPERLINK("#'" &amp; C4882 &amp; "'!" &amp; J4882, J4882), "")</f>
        <v>0</v>
      </c>
    </row>
    <row r="4883" spans="2:2">
      <c r="B4883" s="21">
        <f>IF(AND(C4883&lt;&gt;"", J4883&lt;&gt;""), HYPERLINK("#'" &amp; C4883 &amp; "'!" &amp; J4883, J4883), "")</f>
        <v>0</v>
      </c>
    </row>
    <row r="4884" spans="2:2">
      <c r="B4884" s="21">
        <f>IF(AND(C4884&lt;&gt;"", J4884&lt;&gt;""), HYPERLINK("#'" &amp; C4884 &amp; "'!" &amp; J4884, J4884), "")</f>
        <v>0</v>
      </c>
    </row>
    <row r="4885" spans="2:2">
      <c r="B4885" s="21">
        <f>IF(AND(C4885&lt;&gt;"", J4885&lt;&gt;""), HYPERLINK("#'" &amp; C4885 &amp; "'!" &amp; J4885, J4885), "")</f>
        <v>0</v>
      </c>
    </row>
    <row r="4886" spans="2:2">
      <c r="B4886" s="21">
        <f>IF(AND(C4886&lt;&gt;"", J4886&lt;&gt;""), HYPERLINK("#'" &amp; C4886 &amp; "'!" &amp; J4886, J4886), "")</f>
        <v>0</v>
      </c>
    </row>
    <row r="4887" spans="2:2">
      <c r="B4887" s="21">
        <f>IF(AND(C4887&lt;&gt;"", J4887&lt;&gt;""), HYPERLINK("#'" &amp; C4887 &amp; "'!" &amp; J4887, J4887), "")</f>
        <v>0</v>
      </c>
    </row>
    <row r="4888" spans="2:2">
      <c r="B4888" s="21">
        <f>IF(AND(C4888&lt;&gt;"", J4888&lt;&gt;""), HYPERLINK("#'" &amp; C4888 &amp; "'!" &amp; J4888, J4888), "")</f>
        <v>0</v>
      </c>
    </row>
    <row r="4889" spans="2:2">
      <c r="B4889" s="21">
        <f>IF(AND(C4889&lt;&gt;"", J4889&lt;&gt;""), HYPERLINK("#'" &amp; C4889 &amp; "'!" &amp; J4889, J4889), "")</f>
        <v>0</v>
      </c>
    </row>
    <row r="4890" spans="2:2">
      <c r="B4890" s="21">
        <f>IF(AND(C4890&lt;&gt;"", J4890&lt;&gt;""), HYPERLINK("#'" &amp; C4890 &amp; "'!" &amp; J4890, J4890), "")</f>
        <v>0</v>
      </c>
    </row>
    <row r="4891" spans="2:2">
      <c r="B4891" s="21">
        <f>IF(AND(C4891&lt;&gt;"", J4891&lt;&gt;""), HYPERLINK("#'" &amp; C4891 &amp; "'!" &amp; J4891, J4891), "")</f>
        <v>0</v>
      </c>
    </row>
    <row r="4892" spans="2:2">
      <c r="B4892" s="21">
        <f>IF(AND(C4892&lt;&gt;"", J4892&lt;&gt;""), HYPERLINK("#'" &amp; C4892 &amp; "'!" &amp; J4892, J4892), "")</f>
        <v>0</v>
      </c>
    </row>
    <row r="4893" spans="2:2">
      <c r="B4893" s="21">
        <f>IF(AND(C4893&lt;&gt;"", J4893&lt;&gt;""), HYPERLINK("#'" &amp; C4893 &amp; "'!" &amp; J4893, J4893), "")</f>
        <v>0</v>
      </c>
    </row>
    <row r="4894" spans="2:2">
      <c r="B4894" s="21">
        <f>IF(AND(C4894&lt;&gt;"", J4894&lt;&gt;""), HYPERLINK("#'" &amp; C4894 &amp; "'!" &amp; J4894, J4894), "")</f>
        <v>0</v>
      </c>
    </row>
    <row r="4895" spans="2:2">
      <c r="B4895" s="21">
        <f>IF(AND(C4895&lt;&gt;"", J4895&lt;&gt;""), HYPERLINK("#'" &amp; C4895 &amp; "'!" &amp; J4895, J4895), "")</f>
        <v>0</v>
      </c>
    </row>
    <row r="4896" spans="2:2">
      <c r="B4896" s="21">
        <f>IF(AND(C4896&lt;&gt;"", J4896&lt;&gt;""), HYPERLINK("#'" &amp; C4896 &amp; "'!" &amp; J4896, J4896), "")</f>
        <v>0</v>
      </c>
    </row>
    <row r="4897" spans="2:2">
      <c r="B4897" s="21">
        <f>IF(AND(C4897&lt;&gt;"", J4897&lt;&gt;""), HYPERLINK("#'" &amp; C4897 &amp; "'!" &amp; J4897, J4897), "")</f>
        <v>0</v>
      </c>
    </row>
    <row r="4898" spans="2:2">
      <c r="B4898" s="21">
        <f>IF(AND(C4898&lt;&gt;"", J4898&lt;&gt;""), HYPERLINK("#'" &amp; C4898 &amp; "'!" &amp; J4898, J4898), "")</f>
        <v>0</v>
      </c>
    </row>
    <row r="4899" spans="2:2">
      <c r="B4899" s="21">
        <f>IF(AND(C4899&lt;&gt;"", J4899&lt;&gt;""), HYPERLINK("#'" &amp; C4899 &amp; "'!" &amp; J4899, J4899), "")</f>
        <v>0</v>
      </c>
    </row>
    <row r="4900" spans="2:2">
      <c r="B4900" s="21">
        <f>IF(AND(C4900&lt;&gt;"", J4900&lt;&gt;""), HYPERLINK("#'" &amp; C4900 &amp; "'!" &amp; J4900, J4900), "")</f>
        <v>0</v>
      </c>
    </row>
    <row r="4901" spans="2:2">
      <c r="B4901" s="21">
        <f>IF(AND(C4901&lt;&gt;"", J4901&lt;&gt;""), HYPERLINK("#'" &amp; C4901 &amp; "'!" &amp; J4901, J4901), "")</f>
        <v>0</v>
      </c>
    </row>
    <row r="4902" spans="2:2">
      <c r="B4902" s="21">
        <f>IF(AND(C4902&lt;&gt;"", J4902&lt;&gt;""), HYPERLINK("#'" &amp; C4902 &amp; "'!" &amp; J4902, J4902), "")</f>
        <v>0</v>
      </c>
    </row>
    <row r="4903" spans="2:2">
      <c r="B4903" s="21">
        <f>IF(AND(C4903&lt;&gt;"", J4903&lt;&gt;""), HYPERLINK("#'" &amp; C4903 &amp; "'!" &amp; J4903, J4903), "")</f>
        <v>0</v>
      </c>
    </row>
    <row r="4904" spans="2:2">
      <c r="B4904" s="21">
        <f>IF(AND(C4904&lt;&gt;"", J4904&lt;&gt;""), HYPERLINK("#'" &amp; C4904 &amp; "'!" &amp; J4904, J4904), "")</f>
        <v>0</v>
      </c>
    </row>
    <row r="4905" spans="2:2">
      <c r="B4905" s="21">
        <f>IF(AND(C4905&lt;&gt;"", J4905&lt;&gt;""), HYPERLINK("#'" &amp; C4905 &amp; "'!" &amp; J4905, J4905), "")</f>
        <v>0</v>
      </c>
    </row>
    <row r="4906" spans="2:2">
      <c r="B4906" s="21">
        <f>IF(AND(C4906&lt;&gt;"", J4906&lt;&gt;""), HYPERLINK("#'" &amp; C4906 &amp; "'!" &amp; J4906, J4906), "")</f>
        <v>0</v>
      </c>
    </row>
    <row r="4907" spans="2:2">
      <c r="B4907" s="21">
        <f>IF(AND(C4907&lt;&gt;"", J4907&lt;&gt;""), HYPERLINK("#'" &amp; C4907 &amp; "'!" &amp; J4907, J4907), "")</f>
        <v>0</v>
      </c>
    </row>
    <row r="4908" spans="2:2">
      <c r="B4908" s="21">
        <f>IF(AND(C4908&lt;&gt;"", J4908&lt;&gt;""), HYPERLINK("#'" &amp; C4908 &amp; "'!" &amp; J4908, J4908), "")</f>
        <v>0</v>
      </c>
    </row>
    <row r="4909" spans="2:2">
      <c r="B4909" s="21">
        <f>IF(AND(C4909&lt;&gt;"", J4909&lt;&gt;""), HYPERLINK("#'" &amp; C4909 &amp; "'!" &amp; J4909, J4909), "")</f>
        <v>0</v>
      </c>
    </row>
    <row r="4910" spans="2:2">
      <c r="B4910" s="21">
        <f>IF(AND(C4910&lt;&gt;"", J4910&lt;&gt;""), HYPERLINK("#'" &amp; C4910 &amp; "'!" &amp; J4910, J4910), "")</f>
        <v>0</v>
      </c>
    </row>
    <row r="4911" spans="2:2">
      <c r="B4911" s="21">
        <f>IF(AND(C4911&lt;&gt;"", J4911&lt;&gt;""), HYPERLINK("#'" &amp; C4911 &amp; "'!" &amp; J4911, J4911), "")</f>
        <v>0</v>
      </c>
    </row>
    <row r="4912" spans="2:2">
      <c r="B4912" s="21">
        <f>IF(AND(C4912&lt;&gt;"", J4912&lt;&gt;""), HYPERLINK("#'" &amp; C4912 &amp; "'!" &amp; J4912, J4912), "")</f>
        <v>0</v>
      </c>
    </row>
    <row r="4913" spans="2:2">
      <c r="B4913" s="21">
        <f>IF(AND(C4913&lt;&gt;"", J4913&lt;&gt;""), HYPERLINK("#'" &amp; C4913 &amp; "'!" &amp; J4913, J4913), "")</f>
        <v>0</v>
      </c>
    </row>
    <row r="4914" spans="2:2">
      <c r="B4914" s="21">
        <f>IF(AND(C4914&lt;&gt;"", J4914&lt;&gt;""), HYPERLINK("#'" &amp; C4914 &amp; "'!" &amp; J4914, J4914), "")</f>
        <v>0</v>
      </c>
    </row>
    <row r="4915" spans="2:2">
      <c r="B4915" s="21">
        <f>IF(AND(C4915&lt;&gt;"", J4915&lt;&gt;""), HYPERLINK("#'" &amp; C4915 &amp; "'!" &amp; J4915, J4915), "")</f>
        <v>0</v>
      </c>
    </row>
    <row r="4916" spans="2:2">
      <c r="B4916" s="21">
        <f>IF(AND(C4916&lt;&gt;"", J4916&lt;&gt;""), HYPERLINK("#'" &amp; C4916 &amp; "'!" &amp; J4916, J4916), "")</f>
        <v>0</v>
      </c>
    </row>
    <row r="4917" spans="2:2">
      <c r="B4917" s="21">
        <f>IF(AND(C4917&lt;&gt;"", J4917&lt;&gt;""), HYPERLINK("#'" &amp; C4917 &amp; "'!" &amp; J4917, J4917), "")</f>
        <v>0</v>
      </c>
    </row>
    <row r="4918" spans="2:2">
      <c r="B4918" s="21">
        <f>IF(AND(C4918&lt;&gt;"", J4918&lt;&gt;""), HYPERLINK("#'" &amp; C4918 &amp; "'!" &amp; J4918, J4918), "")</f>
        <v>0</v>
      </c>
    </row>
    <row r="4919" spans="2:2">
      <c r="B4919" s="21">
        <f>IF(AND(C4919&lt;&gt;"", J4919&lt;&gt;""), HYPERLINK("#'" &amp; C4919 &amp; "'!" &amp; J4919, J4919), "")</f>
        <v>0</v>
      </c>
    </row>
    <row r="4920" spans="2:2">
      <c r="B4920" s="21">
        <f>IF(AND(C4920&lt;&gt;"", J4920&lt;&gt;""), HYPERLINK("#'" &amp; C4920 &amp; "'!" &amp; J4920, J4920), "")</f>
        <v>0</v>
      </c>
    </row>
    <row r="4921" spans="2:2">
      <c r="B4921" s="21">
        <f>IF(AND(C4921&lt;&gt;"", J4921&lt;&gt;""), HYPERLINK("#'" &amp; C4921 &amp; "'!" &amp; J4921, J4921), "")</f>
        <v>0</v>
      </c>
    </row>
    <row r="4922" spans="2:2">
      <c r="B4922" s="21">
        <f>IF(AND(C4922&lt;&gt;"", J4922&lt;&gt;""), HYPERLINK("#'" &amp; C4922 &amp; "'!" &amp; J4922, J4922), "")</f>
        <v>0</v>
      </c>
    </row>
    <row r="4923" spans="2:2">
      <c r="B4923" s="21">
        <f>IF(AND(C4923&lt;&gt;"", J4923&lt;&gt;""), HYPERLINK("#'" &amp; C4923 &amp; "'!" &amp; J4923, J4923), "")</f>
        <v>0</v>
      </c>
    </row>
    <row r="4924" spans="2:2">
      <c r="B4924" s="21">
        <f>IF(AND(C4924&lt;&gt;"", J4924&lt;&gt;""), HYPERLINK("#'" &amp; C4924 &amp; "'!" &amp; J4924, J4924), "")</f>
        <v>0</v>
      </c>
    </row>
    <row r="4925" spans="2:2">
      <c r="B4925" s="21">
        <f>IF(AND(C4925&lt;&gt;"", J4925&lt;&gt;""), HYPERLINK("#'" &amp; C4925 &amp; "'!" &amp; J4925, J4925), "")</f>
        <v>0</v>
      </c>
    </row>
    <row r="4926" spans="2:2">
      <c r="B4926" s="21">
        <f>IF(AND(C4926&lt;&gt;"", J4926&lt;&gt;""), HYPERLINK("#'" &amp; C4926 &amp; "'!" &amp; J4926, J4926), "")</f>
        <v>0</v>
      </c>
    </row>
    <row r="4927" spans="2:2">
      <c r="B4927" s="21">
        <f>IF(AND(C4927&lt;&gt;"", J4927&lt;&gt;""), HYPERLINK("#'" &amp; C4927 &amp; "'!" &amp; J4927, J4927), "")</f>
        <v>0</v>
      </c>
    </row>
    <row r="4928" spans="2:2">
      <c r="B4928" s="21">
        <f>IF(AND(C4928&lt;&gt;"", J4928&lt;&gt;""), HYPERLINK("#'" &amp; C4928 &amp; "'!" &amp; J4928, J4928), "")</f>
        <v>0</v>
      </c>
    </row>
    <row r="4929" spans="2:2">
      <c r="B4929" s="21">
        <f>IF(AND(C4929&lt;&gt;"", J4929&lt;&gt;""), HYPERLINK("#'" &amp; C4929 &amp; "'!" &amp; J4929, J4929), "")</f>
        <v>0</v>
      </c>
    </row>
    <row r="4930" spans="2:2">
      <c r="B4930" s="21">
        <f>IF(AND(C4930&lt;&gt;"", J4930&lt;&gt;""), HYPERLINK("#'" &amp; C4930 &amp; "'!" &amp; J4930, J4930), "")</f>
        <v>0</v>
      </c>
    </row>
    <row r="4931" spans="2:2">
      <c r="B4931" s="21">
        <f>IF(AND(C4931&lt;&gt;"", J4931&lt;&gt;""), HYPERLINK("#'" &amp; C4931 &amp; "'!" &amp; J4931, J4931), "")</f>
        <v>0</v>
      </c>
    </row>
    <row r="4932" spans="2:2">
      <c r="B4932" s="21">
        <f>IF(AND(C4932&lt;&gt;"", J4932&lt;&gt;""), HYPERLINK("#'" &amp; C4932 &amp; "'!" &amp; J4932, J4932), "")</f>
        <v>0</v>
      </c>
    </row>
    <row r="4933" spans="2:2">
      <c r="B4933" s="21">
        <f>IF(AND(C4933&lt;&gt;"", J4933&lt;&gt;""), HYPERLINK("#'" &amp; C4933 &amp; "'!" &amp; J4933, J4933), "")</f>
        <v>0</v>
      </c>
    </row>
    <row r="4934" spans="2:2">
      <c r="B4934" s="21">
        <f>IF(AND(C4934&lt;&gt;"", J4934&lt;&gt;""), HYPERLINK("#'" &amp; C4934 &amp; "'!" &amp; J4934, J4934), "")</f>
        <v>0</v>
      </c>
    </row>
    <row r="4935" spans="2:2">
      <c r="B4935" s="21">
        <f>IF(AND(C4935&lt;&gt;"", J4935&lt;&gt;""), HYPERLINK("#'" &amp; C4935 &amp; "'!" &amp; J4935, J4935), "")</f>
        <v>0</v>
      </c>
    </row>
    <row r="4936" spans="2:2">
      <c r="B4936" s="21">
        <f>IF(AND(C4936&lt;&gt;"", J4936&lt;&gt;""), HYPERLINK("#'" &amp; C4936 &amp; "'!" &amp; J4936, J4936), "")</f>
        <v>0</v>
      </c>
    </row>
    <row r="4937" spans="2:2">
      <c r="B4937" s="21">
        <f>IF(AND(C4937&lt;&gt;"", J4937&lt;&gt;""), HYPERLINK("#'" &amp; C4937 &amp; "'!" &amp; J4937, J4937), "")</f>
        <v>0</v>
      </c>
    </row>
    <row r="4938" spans="2:2">
      <c r="B4938" s="21">
        <f>IF(AND(C4938&lt;&gt;"", J4938&lt;&gt;""), HYPERLINK("#'" &amp; C4938 &amp; "'!" &amp; J4938, J4938), "")</f>
        <v>0</v>
      </c>
    </row>
    <row r="4939" spans="2:2">
      <c r="B4939" s="21">
        <f>IF(AND(C4939&lt;&gt;"", J4939&lt;&gt;""), HYPERLINK("#'" &amp; C4939 &amp; "'!" &amp; J4939, J4939), "")</f>
        <v>0</v>
      </c>
    </row>
    <row r="4940" spans="2:2">
      <c r="B4940" s="21">
        <f>IF(AND(C4940&lt;&gt;"", J4940&lt;&gt;""), HYPERLINK("#'" &amp; C4940 &amp; "'!" &amp; J4940, J4940), "")</f>
        <v>0</v>
      </c>
    </row>
    <row r="4941" spans="2:2">
      <c r="B4941" s="21">
        <f>IF(AND(C4941&lt;&gt;"", J4941&lt;&gt;""), HYPERLINK("#'" &amp; C4941 &amp; "'!" &amp; J4941, J4941), "")</f>
        <v>0</v>
      </c>
    </row>
    <row r="4942" spans="2:2">
      <c r="B4942" s="21">
        <f>IF(AND(C4942&lt;&gt;"", J4942&lt;&gt;""), HYPERLINK("#'" &amp; C4942 &amp; "'!" &amp; J4942, J4942), "")</f>
        <v>0</v>
      </c>
    </row>
    <row r="4943" spans="2:2">
      <c r="B4943" s="21">
        <f>IF(AND(C4943&lt;&gt;"", J4943&lt;&gt;""), HYPERLINK("#'" &amp; C4943 &amp; "'!" &amp; J4943, J4943), "")</f>
        <v>0</v>
      </c>
    </row>
    <row r="4944" spans="2:2">
      <c r="B4944" s="21">
        <f>IF(AND(C4944&lt;&gt;"", J4944&lt;&gt;""), HYPERLINK("#'" &amp; C4944 &amp; "'!" &amp; J4944, J4944), "")</f>
        <v>0</v>
      </c>
    </row>
    <row r="4945" spans="2:2">
      <c r="B4945" s="21">
        <f>IF(AND(C4945&lt;&gt;"", J4945&lt;&gt;""), HYPERLINK("#'" &amp; C4945 &amp; "'!" &amp; J4945, J4945), "")</f>
        <v>0</v>
      </c>
    </row>
    <row r="4946" spans="2:2">
      <c r="B4946" s="21">
        <f>IF(AND(C4946&lt;&gt;"", J4946&lt;&gt;""), HYPERLINK("#'" &amp; C4946 &amp; "'!" &amp; J4946, J4946), "")</f>
        <v>0</v>
      </c>
    </row>
    <row r="4947" spans="2:2">
      <c r="B4947" s="21">
        <f>IF(AND(C4947&lt;&gt;"", J4947&lt;&gt;""), HYPERLINK("#'" &amp; C4947 &amp; "'!" &amp; J4947, J4947), "")</f>
        <v>0</v>
      </c>
    </row>
    <row r="4948" spans="2:2">
      <c r="B4948" s="21">
        <f>IF(AND(C4948&lt;&gt;"", J4948&lt;&gt;""), HYPERLINK("#'" &amp; C4948 &amp; "'!" &amp; J4948, J4948), "")</f>
        <v>0</v>
      </c>
    </row>
    <row r="4949" spans="2:2">
      <c r="B4949" s="21">
        <f>IF(AND(C4949&lt;&gt;"", J4949&lt;&gt;""), HYPERLINK("#'" &amp; C4949 &amp; "'!" &amp; J4949, J4949), "")</f>
        <v>0</v>
      </c>
    </row>
    <row r="4950" spans="2:2">
      <c r="B4950" s="21">
        <f>IF(AND(C4950&lt;&gt;"", J4950&lt;&gt;""), HYPERLINK("#'" &amp; C4950 &amp; "'!" &amp; J4950, J4950), "")</f>
        <v>0</v>
      </c>
    </row>
    <row r="4951" spans="2:2">
      <c r="B4951" s="21">
        <f>IF(AND(C4951&lt;&gt;"", J4951&lt;&gt;""), HYPERLINK("#'" &amp; C4951 &amp; "'!" &amp; J4951, J4951), "")</f>
        <v>0</v>
      </c>
    </row>
    <row r="4952" spans="2:2">
      <c r="B4952" s="21">
        <f>IF(AND(C4952&lt;&gt;"", J4952&lt;&gt;""), HYPERLINK("#'" &amp; C4952 &amp; "'!" &amp; J4952, J4952), "")</f>
        <v>0</v>
      </c>
    </row>
    <row r="4953" spans="2:2">
      <c r="B4953" s="21">
        <f>IF(AND(C4953&lt;&gt;"", J4953&lt;&gt;""), HYPERLINK("#'" &amp; C4953 &amp; "'!" &amp; J4953, J4953), "")</f>
        <v>0</v>
      </c>
    </row>
    <row r="4954" spans="2:2">
      <c r="B4954" s="21">
        <f>IF(AND(C4954&lt;&gt;"", J4954&lt;&gt;""), HYPERLINK("#'" &amp; C4954 &amp; "'!" &amp; J4954, J4954), "")</f>
        <v>0</v>
      </c>
    </row>
    <row r="4955" spans="2:2">
      <c r="B4955" s="21">
        <f>IF(AND(C4955&lt;&gt;"", J4955&lt;&gt;""), HYPERLINK("#'" &amp; C4955 &amp; "'!" &amp; J4955, J4955), "")</f>
        <v>0</v>
      </c>
    </row>
    <row r="4956" spans="2:2">
      <c r="B4956" s="21">
        <f>IF(AND(C4956&lt;&gt;"", J4956&lt;&gt;""), HYPERLINK("#'" &amp; C4956 &amp; "'!" &amp; J4956, J4956), "")</f>
        <v>0</v>
      </c>
    </row>
    <row r="4957" spans="2:2">
      <c r="B4957" s="21">
        <f>IF(AND(C4957&lt;&gt;"", J4957&lt;&gt;""), HYPERLINK("#'" &amp; C4957 &amp; "'!" &amp; J4957, J4957), "")</f>
        <v>0</v>
      </c>
    </row>
    <row r="4958" spans="2:2">
      <c r="B4958" s="21">
        <f>IF(AND(C4958&lt;&gt;"", J4958&lt;&gt;""), HYPERLINK("#'" &amp; C4958 &amp; "'!" &amp; J4958, J4958), "")</f>
        <v>0</v>
      </c>
    </row>
    <row r="4959" spans="2:2">
      <c r="B4959" s="21">
        <f>IF(AND(C4959&lt;&gt;"", J4959&lt;&gt;""), HYPERLINK("#'" &amp; C4959 &amp; "'!" &amp; J4959, J4959), "")</f>
        <v>0</v>
      </c>
    </row>
    <row r="4960" spans="2:2">
      <c r="B4960" s="21">
        <f>IF(AND(C4960&lt;&gt;"", J4960&lt;&gt;""), HYPERLINK("#'" &amp; C4960 &amp; "'!" &amp; J4960, J4960), "")</f>
        <v>0</v>
      </c>
    </row>
    <row r="4961" spans="2:2">
      <c r="B4961" s="21">
        <f>IF(AND(C4961&lt;&gt;"", J4961&lt;&gt;""), HYPERLINK("#'" &amp; C4961 &amp; "'!" &amp; J4961, J4961), "")</f>
        <v>0</v>
      </c>
    </row>
    <row r="4962" spans="2:2">
      <c r="B4962" s="21">
        <f>IF(AND(C4962&lt;&gt;"", J4962&lt;&gt;""), HYPERLINK("#'" &amp; C4962 &amp; "'!" &amp; J4962, J4962), "")</f>
        <v>0</v>
      </c>
    </row>
    <row r="4963" spans="2:2">
      <c r="B4963" s="21">
        <f>IF(AND(C4963&lt;&gt;"", J4963&lt;&gt;""), HYPERLINK("#'" &amp; C4963 &amp; "'!" &amp; J4963, J4963), "")</f>
        <v>0</v>
      </c>
    </row>
    <row r="4964" spans="2:2">
      <c r="B4964" s="21">
        <f>IF(AND(C4964&lt;&gt;"", J4964&lt;&gt;""), HYPERLINK("#'" &amp; C4964 &amp; "'!" &amp; J4964, J4964), "")</f>
        <v>0</v>
      </c>
    </row>
    <row r="4965" spans="2:2">
      <c r="B4965" s="21">
        <f>IF(AND(C4965&lt;&gt;"", J4965&lt;&gt;""), HYPERLINK("#'" &amp; C4965 &amp; "'!" &amp; J4965, J4965), "")</f>
        <v>0</v>
      </c>
    </row>
    <row r="4966" spans="2:2">
      <c r="B4966" s="21">
        <f>IF(AND(C4966&lt;&gt;"", J4966&lt;&gt;""), HYPERLINK("#'" &amp; C4966 &amp; "'!" &amp; J4966, J4966), "")</f>
        <v>0</v>
      </c>
    </row>
    <row r="4967" spans="2:2">
      <c r="B4967" s="21">
        <f>IF(AND(C4967&lt;&gt;"", J4967&lt;&gt;""), HYPERLINK("#'" &amp; C4967 &amp; "'!" &amp; J4967, J4967), "")</f>
        <v>0</v>
      </c>
    </row>
    <row r="4968" spans="2:2">
      <c r="B4968" s="21">
        <f>IF(AND(C4968&lt;&gt;"", J4968&lt;&gt;""), HYPERLINK("#'" &amp; C4968 &amp; "'!" &amp; J4968, J4968), "")</f>
        <v>0</v>
      </c>
    </row>
    <row r="4969" spans="2:2">
      <c r="B4969" s="21">
        <f>IF(AND(C4969&lt;&gt;"", J4969&lt;&gt;""), HYPERLINK("#'" &amp; C4969 &amp; "'!" &amp; J4969, J4969), "")</f>
        <v>0</v>
      </c>
    </row>
    <row r="4970" spans="2:2">
      <c r="B4970" s="21">
        <f>IF(AND(C4970&lt;&gt;"", J4970&lt;&gt;""), HYPERLINK("#'" &amp; C4970 &amp; "'!" &amp; J4970, J4970), "")</f>
        <v>0</v>
      </c>
    </row>
    <row r="4971" spans="2:2">
      <c r="B4971" s="21">
        <f>IF(AND(C4971&lt;&gt;"", J4971&lt;&gt;""), HYPERLINK("#'" &amp; C4971 &amp; "'!" &amp; J4971, J4971), "")</f>
        <v>0</v>
      </c>
    </row>
    <row r="4972" spans="2:2">
      <c r="B4972" s="21">
        <f>IF(AND(C4972&lt;&gt;"", J4972&lt;&gt;""), HYPERLINK("#'" &amp; C4972 &amp; "'!" &amp; J4972, J4972), "")</f>
        <v>0</v>
      </c>
    </row>
    <row r="4973" spans="2:2">
      <c r="B4973" s="21">
        <f>IF(AND(C4973&lt;&gt;"", J4973&lt;&gt;""), HYPERLINK("#'" &amp; C4973 &amp; "'!" &amp; J4973, J4973), "")</f>
        <v>0</v>
      </c>
    </row>
    <row r="4974" spans="2:2">
      <c r="B4974" s="21">
        <f>IF(AND(C4974&lt;&gt;"", J4974&lt;&gt;""), HYPERLINK("#'" &amp; C4974 &amp; "'!" &amp; J4974, J4974), "")</f>
        <v>0</v>
      </c>
    </row>
    <row r="4975" spans="2:2">
      <c r="B4975" s="21">
        <f>IF(AND(C4975&lt;&gt;"", J4975&lt;&gt;""), HYPERLINK("#'" &amp; C4975 &amp; "'!" &amp; J4975, J4975), "")</f>
        <v>0</v>
      </c>
    </row>
    <row r="4976" spans="2:2">
      <c r="B4976" s="21">
        <f>IF(AND(C4976&lt;&gt;"", J4976&lt;&gt;""), HYPERLINK("#'" &amp; C4976 &amp; "'!" &amp; J4976, J4976), "")</f>
        <v>0</v>
      </c>
    </row>
    <row r="4977" spans="2:2">
      <c r="B4977" s="21">
        <f>IF(AND(C4977&lt;&gt;"", J4977&lt;&gt;""), HYPERLINK("#'" &amp; C4977 &amp; "'!" &amp; J4977, J4977), "")</f>
        <v>0</v>
      </c>
    </row>
    <row r="4978" spans="2:2">
      <c r="B4978" s="21">
        <f>IF(AND(C4978&lt;&gt;"", J4978&lt;&gt;""), HYPERLINK("#'" &amp; C4978 &amp; "'!" &amp; J4978, J4978), "")</f>
        <v>0</v>
      </c>
    </row>
    <row r="4979" spans="2:2">
      <c r="B4979" s="21">
        <f>IF(AND(C4979&lt;&gt;"", J4979&lt;&gt;""), HYPERLINK("#'" &amp; C4979 &amp; "'!" &amp; J4979, J4979), "")</f>
        <v>0</v>
      </c>
    </row>
    <row r="4980" spans="2:2">
      <c r="B4980" s="21">
        <f>IF(AND(C4980&lt;&gt;"", J4980&lt;&gt;""), HYPERLINK("#'" &amp; C4980 &amp; "'!" &amp; J4980, J4980), "")</f>
        <v>0</v>
      </c>
    </row>
    <row r="4981" spans="2:2">
      <c r="B4981" s="21">
        <f>IF(AND(C4981&lt;&gt;"", J4981&lt;&gt;""), HYPERLINK("#'" &amp; C4981 &amp; "'!" &amp; J4981, J4981), "")</f>
        <v>0</v>
      </c>
    </row>
    <row r="4982" spans="2:2">
      <c r="B4982" s="21">
        <f>IF(AND(C4982&lt;&gt;"", J4982&lt;&gt;""), HYPERLINK("#'" &amp; C4982 &amp; "'!" &amp; J4982, J4982), "")</f>
        <v>0</v>
      </c>
    </row>
    <row r="4983" spans="2:2">
      <c r="B4983" s="21">
        <f>IF(AND(C4983&lt;&gt;"", J4983&lt;&gt;""), HYPERLINK("#'" &amp; C4983 &amp; "'!" &amp; J4983, J4983), "")</f>
        <v>0</v>
      </c>
    </row>
    <row r="4984" spans="2:2">
      <c r="B4984" s="21">
        <f>IF(AND(C4984&lt;&gt;"", J4984&lt;&gt;""), HYPERLINK("#'" &amp; C4984 &amp; "'!" &amp; J4984, J4984), "")</f>
        <v>0</v>
      </c>
    </row>
    <row r="4985" spans="2:2">
      <c r="B4985" s="21">
        <f>IF(AND(C4985&lt;&gt;"", J4985&lt;&gt;""), HYPERLINK("#'" &amp; C4985 &amp; "'!" &amp; J4985, J4985), "")</f>
        <v>0</v>
      </c>
    </row>
    <row r="4986" spans="2:2">
      <c r="B4986" s="21">
        <f>IF(AND(C4986&lt;&gt;"", J4986&lt;&gt;""), HYPERLINK("#'" &amp; C4986 &amp; "'!" &amp; J4986, J4986), "")</f>
        <v>0</v>
      </c>
    </row>
    <row r="4987" spans="2:2">
      <c r="B4987" s="21">
        <f>IF(AND(C4987&lt;&gt;"", J4987&lt;&gt;""), HYPERLINK("#'" &amp; C4987 &amp; "'!" &amp; J4987, J4987), "")</f>
        <v>0</v>
      </c>
    </row>
    <row r="4988" spans="2:2">
      <c r="B4988" s="21">
        <f>IF(AND(C4988&lt;&gt;"", J4988&lt;&gt;""), HYPERLINK("#'" &amp; C4988 &amp; "'!" &amp; J4988, J4988), "")</f>
        <v>0</v>
      </c>
    </row>
    <row r="4989" spans="2:2">
      <c r="B4989" s="21">
        <f>IF(AND(C4989&lt;&gt;"", J4989&lt;&gt;""), HYPERLINK("#'" &amp; C4989 &amp; "'!" &amp; J4989, J4989), "")</f>
        <v>0</v>
      </c>
    </row>
    <row r="4990" spans="2:2">
      <c r="B4990" s="21">
        <f>IF(AND(C4990&lt;&gt;"", J4990&lt;&gt;""), HYPERLINK("#'" &amp; C4990 &amp; "'!" &amp; J4990, J4990), "")</f>
        <v>0</v>
      </c>
    </row>
    <row r="4991" spans="2:2">
      <c r="B4991" s="21">
        <f>IF(AND(C4991&lt;&gt;"", J4991&lt;&gt;""), HYPERLINK("#'" &amp; C4991 &amp; "'!" &amp; J4991, J4991), "")</f>
        <v>0</v>
      </c>
    </row>
    <row r="4992" spans="2:2">
      <c r="B4992" s="21">
        <f>IF(AND(C4992&lt;&gt;"", J4992&lt;&gt;""), HYPERLINK("#'" &amp; C4992 &amp; "'!" &amp; J4992, J4992), "")</f>
        <v>0</v>
      </c>
    </row>
    <row r="4993" spans="2:2">
      <c r="B4993" s="21">
        <f>IF(AND(C4993&lt;&gt;"", J4993&lt;&gt;""), HYPERLINK("#'" &amp; C4993 &amp; "'!" &amp; J4993, J4993), "")</f>
        <v>0</v>
      </c>
    </row>
    <row r="4994" spans="2:2">
      <c r="B4994" s="21">
        <f>IF(AND(C4994&lt;&gt;"", J4994&lt;&gt;""), HYPERLINK("#'" &amp; C4994 &amp; "'!" &amp; J4994, J4994), "")</f>
        <v>0</v>
      </c>
    </row>
    <row r="4995" spans="2:2">
      <c r="B4995" s="21">
        <f>IF(AND(C4995&lt;&gt;"", J4995&lt;&gt;""), HYPERLINK("#'" &amp; C4995 &amp; "'!" &amp; J4995, J4995), "")</f>
        <v>0</v>
      </c>
    </row>
    <row r="4996" spans="2:2">
      <c r="B4996" s="21">
        <f>IF(AND(C4996&lt;&gt;"", J4996&lt;&gt;""), HYPERLINK("#'" &amp; C4996 &amp; "'!" &amp; J4996, J4996), "")</f>
        <v>0</v>
      </c>
    </row>
    <row r="4997" spans="2:2">
      <c r="B4997" s="21">
        <f>IF(AND(C4997&lt;&gt;"", J4997&lt;&gt;""), HYPERLINK("#'" &amp; C4997 &amp; "'!" &amp; J4997, J4997), "")</f>
        <v>0</v>
      </c>
    </row>
    <row r="4998" spans="2:2">
      <c r="B4998" s="21">
        <f>IF(AND(C4998&lt;&gt;"", J4998&lt;&gt;""), HYPERLINK("#'" &amp; C4998 &amp; "'!" &amp; J4998, J4998), "")</f>
        <v>0</v>
      </c>
    </row>
    <row r="4999" spans="2:2">
      <c r="B4999" s="21">
        <f>IF(AND(C4999&lt;&gt;"", J4999&lt;&gt;""), HYPERLINK("#'" &amp; C4999 &amp; "'!" &amp; J4999, J4999), "")</f>
        <v>0</v>
      </c>
    </row>
    <row r="5000" spans="2:2">
      <c r="B5000" s="21">
        <f>IF(AND(C5000&lt;&gt;"", J5000&lt;&gt;""), HYPERLINK("#'" &amp; C5000 &amp; "'!" &amp; J5000, J5000), "")</f>
        <v>0</v>
      </c>
    </row>
    <row r="5001" spans="2:2">
      <c r="B5001" s="21">
        <f>IF(AND(C5001&lt;&gt;"", J5001&lt;&gt;""), HYPERLINK("#'" &amp; C5001 &amp; "'!" &amp; J5001, J5001), "")</f>
        <v>0</v>
      </c>
    </row>
    <row r="5002" spans="2:2">
      <c r="B5002" s="21">
        <f>IF(AND(C5002&lt;&gt;"", J5002&lt;&gt;""), HYPERLINK("#'" &amp; C5002 &amp; "'!" &amp; J5002, J5002), "")</f>
        <v>0</v>
      </c>
    </row>
    <row r="5003" spans="2:2">
      <c r="B5003" s="21">
        <f>IF(AND(C5003&lt;&gt;"", J5003&lt;&gt;""), HYPERLINK("#'" &amp; C5003 &amp; "'!" &amp; J5003, J5003), "")</f>
        <v>0</v>
      </c>
    </row>
    <row r="5004" spans="2:2">
      <c r="B5004" s="21">
        <f>IF(AND(C5004&lt;&gt;"", J5004&lt;&gt;""), HYPERLINK("#'" &amp; C5004 &amp; "'!" &amp; J5004, J5004), "")</f>
        <v>0</v>
      </c>
    </row>
    <row r="5005" spans="2:2">
      <c r="B5005" s="21">
        <f>IF(AND(C5005&lt;&gt;"", J5005&lt;&gt;""), HYPERLINK("#'" &amp; C5005 &amp; "'!" &amp; J5005, J5005), "")</f>
        <v>0</v>
      </c>
    </row>
    <row r="5006" spans="2:2">
      <c r="B5006" s="21">
        <f>IF(AND(C5006&lt;&gt;"", J5006&lt;&gt;""), HYPERLINK("#'" &amp; C5006 &amp; "'!" &amp; J5006, J5006), "")</f>
        <v>0</v>
      </c>
    </row>
    <row r="5007" spans="2:2">
      <c r="B5007" s="21">
        <f>IF(AND(C5007&lt;&gt;"", J5007&lt;&gt;""), HYPERLINK("#'" &amp; C5007 &amp; "'!" &amp; J5007, J5007), "")</f>
        <v>0</v>
      </c>
    </row>
    <row r="5008" spans="2:2">
      <c r="B5008" s="21">
        <f>IF(AND(C5008&lt;&gt;"", J5008&lt;&gt;""), HYPERLINK("#'" &amp; C5008 &amp; "'!" &amp; J5008, J5008), "")</f>
        <v>0</v>
      </c>
    </row>
    <row r="5009" spans="2:2">
      <c r="B5009" s="21">
        <f>IF(AND(C5009&lt;&gt;"", J5009&lt;&gt;""), HYPERLINK("#'" &amp; C5009 &amp; "'!" &amp; J5009, J5009), "")</f>
        <v>0</v>
      </c>
    </row>
    <row r="5010" spans="2:2">
      <c r="B5010" s="21">
        <f>IF(AND(C5010&lt;&gt;"", J5010&lt;&gt;""), HYPERLINK("#'" &amp; C5010 &amp; "'!" &amp; J5010, J5010), "")</f>
        <v>0</v>
      </c>
    </row>
    <row r="5011" spans="2:2">
      <c r="B5011" s="21">
        <f>IF(AND(C5011&lt;&gt;"", J5011&lt;&gt;""), HYPERLINK("#'" &amp; C5011 &amp; "'!" &amp; J5011, J5011), "")</f>
        <v>0</v>
      </c>
    </row>
    <row r="5012" spans="2:2">
      <c r="B5012" s="21">
        <f>IF(AND(C5012&lt;&gt;"", J5012&lt;&gt;""), HYPERLINK("#'" &amp; C5012 &amp; "'!" &amp; J5012, J5012), "")</f>
        <v>0</v>
      </c>
    </row>
    <row r="5013" spans="2:2">
      <c r="B5013" s="21">
        <f>IF(AND(C5013&lt;&gt;"", J5013&lt;&gt;""), HYPERLINK("#'" &amp; C5013 &amp; "'!" &amp; J5013, J5013), "")</f>
        <v>0</v>
      </c>
    </row>
    <row r="5014" spans="2:2">
      <c r="B5014" s="21">
        <f>IF(AND(C5014&lt;&gt;"", J5014&lt;&gt;""), HYPERLINK("#'" &amp; C5014 &amp; "'!" &amp; J5014, J5014), "")</f>
        <v>0</v>
      </c>
    </row>
    <row r="5015" spans="2:2">
      <c r="B5015" s="21">
        <f>IF(AND(C5015&lt;&gt;"", J5015&lt;&gt;""), HYPERLINK("#'" &amp; C5015 &amp; "'!" &amp; J5015, J5015), "")</f>
        <v>0</v>
      </c>
    </row>
    <row r="5016" spans="2:2">
      <c r="B5016" s="21">
        <f>IF(AND(C5016&lt;&gt;"", J5016&lt;&gt;""), HYPERLINK("#'" &amp; C5016 &amp; "'!" &amp; J5016, J5016), "")</f>
        <v>0</v>
      </c>
    </row>
    <row r="5017" spans="2:2">
      <c r="B5017" s="21">
        <f>IF(AND(C5017&lt;&gt;"", J5017&lt;&gt;""), HYPERLINK("#'" &amp; C5017 &amp; "'!" &amp; J5017, J5017), "")</f>
        <v>0</v>
      </c>
    </row>
    <row r="5018" spans="2:2">
      <c r="B5018" s="21">
        <f>IF(AND(C5018&lt;&gt;"", J5018&lt;&gt;""), HYPERLINK("#'" &amp; C5018 &amp; "'!" &amp; J5018, J5018), "")</f>
        <v>0</v>
      </c>
    </row>
    <row r="5019" spans="2:2">
      <c r="B5019" s="21">
        <f>IF(AND(C5019&lt;&gt;"", J5019&lt;&gt;""), HYPERLINK("#'" &amp; C5019 &amp; "'!" &amp; J5019, J5019), "")</f>
        <v>0</v>
      </c>
    </row>
    <row r="5020" spans="2:2">
      <c r="B5020" s="21">
        <f>IF(AND(C5020&lt;&gt;"", J5020&lt;&gt;""), HYPERLINK("#'" &amp; C5020 &amp; "'!" &amp; J5020, J5020), "")</f>
        <v>0</v>
      </c>
    </row>
    <row r="5021" spans="2:2">
      <c r="B5021" s="21">
        <f>IF(AND(C5021&lt;&gt;"", J5021&lt;&gt;""), HYPERLINK("#'" &amp; C5021 &amp; "'!" &amp; J5021, J5021), "")</f>
        <v>0</v>
      </c>
    </row>
    <row r="5022" spans="2:2">
      <c r="B5022" s="21">
        <f>IF(AND(C5022&lt;&gt;"", J5022&lt;&gt;""), HYPERLINK("#'" &amp; C5022 &amp; "'!" &amp; J5022, J5022), "")</f>
        <v>0</v>
      </c>
    </row>
    <row r="5023" spans="2:2">
      <c r="B5023" s="21">
        <f>IF(AND(C5023&lt;&gt;"", J5023&lt;&gt;""), HYPERLINK("#'" &amp; C5023 &amp; "'!" &amp; J5023, J5023), "")</f>
        <v>0</v>
      </c>
    </row>
    <row r="5024" spans="2:2">
      <c r="B5024" s="21">
        <f>IF(AND(C5024&lt;&gt;"", J5024&lt;&gt;""), HYPERLINK("#'" &amp; C5024 &amp; "'!" &amp; J5024, J5024), "")</f>
        <v>0</v>
      </c>
    </row>
    <row r="5025" spans="2:2">
      <c r="B5025" s="21">
        <f>IF(AND(C5025&lt;&gt;"", J5025&lt;&gt;""), HYPERLINK("#'" &amp; C5025 &amp; "'!" &amp; J5025, J5025), "")</f>
        <v>0</v>
      </c>
    </row>
    <row r="5026" spans="2:2">
      <c r="B5026" s="21">
        <f>IF(AND(C5026&lt;&gt;"", J5026&lt;&gt;""), HYPERLINK("#'" &amp; C5026 &amp; "'!" &amp; J5026, J5026), "")</f>
        <v>0</v>
      </c>
    </row>
    <row r="5027" spans="2:2">
      <c r="B5027" s="21">
        <f>IF(AND(C5027&lt;&gt;"", J5027&lt;&gt;""), HYPERLINK("#'" &amp; C5027 &amp; "'!" &amp; J5027, J5027), "")</f>
        <v>0</v>
      </c>
    </row>
    <row r="5028" spans="2:2">
      <c r="B5028" s="21">
        <f>IF(AND(C5028&lt;&gt;"", J5028&lt;&gt;""), HYPERLINK("#'" &amp; C5028 &amp; "'!" &amp; J5028, J5028), "")</f>
        <v>0</v>
      </c>
    </row>
    <row r="5029" spans="2:2">
      <c r="B5029" s="21">
        <f>IF(AND(C5029&lt;&gt;"", J5029&lt;&gt;""), HYPERLINK("#'" &amp; C5029 &amp; "'!" &amp; J5029, J5029), "")</f>
        <v>0</v>
      </c>
    </row>
    <row r="5030" spans="2:2">
      <c r="B5030" s="21">
        <f>IF(AND(C5030&lt;&gt;"", J5030&lt;&gt;""), HYPERLINK("#'" &amp; C5030 &amp; "'!" &amp; J5030, J5030), "")</f>
        <v>0</v>
      </c>
    </row>
    <row r="5031" spans="2:2">
      <c r="B5031" s="21">
        <f>IF(AND(C5031&lt;&gt;"", J5031&lt;&gt;""), HYPERLINK("#'" &amp; C5031 &amp; "'!" &amp; J5031, J5031), "")</f>
        <v>0</v>
      </c>
    </row>
    <row r="5032" spans="2:2">
      <c r="B5032" s="21">
        <f>IF(AND(C5032&lt;&gt;"", J5032&lt;&gt;""), HYPERLINK("#'" &amp; C5032 &amp; "'!" &amp; J5032, J5032), "")</f>
        <v>0</v>
      </c>
    </row>
    <row r="5033" spans="2:2">
      <c r="B5033" s="21">
        <f>IF(AND(C5033&lt;&gt;"", J5033&lt;&gt;""), HYPERLINK("#'" &amp; C5033 &amp; "'!" &amp; J5033, J5033), "")</f>
        <v>0</v>
      </c>
    </row>
    <row r="5034" spans="2:2">
      <c r="B5034" s="21">
        <f>IF(AND(C5034&lt;&gt;"", J5034&lt;&gt;""), HYPERLINK("#'" &amp; C5034 &amp; "'!" &amp; J5034, J5034), "")</f>
        <v>0</v>
      </c>
    </row>
    <row r="5035" spans="2:2">
      <c r="B5035" s="21">
        <f>IF(AND(C5035&lt;&gt;"", J5035&lt;&gt;""), HYPERLINK("#'" &amp; C5035 &amp; "'!" &amp; J5035, J5035), "")</f>
        <v>0</v>
      </c>
    </row>
    <row r="5036" spans="2:2">
      <c r="B5036" s="21">
        <f>IF(AND(C5036&lt;&gt;"", J5036&lt;&gt;""), HYPERLINK("#'" &amp; C5036 &amp; "'!" &amp; J5036, J5036), "")</f>
        <v>0</v>
      </c>
    </row>
    <row r="5037" spans="2:2">
      <c r="B5037" s="21">
        <f>IF(AND(C5037&lt;&gt;"", J5037&lt;&gt;""), HYPERLINK("#'" &amp; C5037 &amp; "'!" &amp; J5037, J5037), "")</f>
        <v>0</v>
      </c>
    </row>
    <row r="5038" spans="2:2">
      <c r="B5038" s="21">
        <f>IF(AND(C5038&lt;&gt;"", J5038&lt;&gt;""), HYPERLINK("#'" &amp; C5038 &amp; "'!" &amp; J5038, J5038), "")</f>
        <v>0</v>
      </c>
    </row>
    <row r="5039" spans="2:2">
      <c r="B5039" s="21">
        <f>IF(AND(C5039&lt;&gt;"", J5039&lt;&gt;""), HYPERLINK("#'" &amp; C5039 &amp; "'!" &amp; J5039, J5039), "")</f>
        <v>0</v>
      </c>
    </row>
    <row r="5040" spans="2:2">
      <c r="B5040" s="21">
        <f>IF(AND(C5040&lt;&gt;"", J5040&lt;&gt;""), HYPERLINK("#'" &amp; C5040 &amp; "'!" &amp; J5040, J5040), "")</f>
        <v>0</v>
      </c>
    </row>
    <row r="5041" spans="2:2">
      <c r="B5041" s="21">
        <f>IF(AND(C5041&lt;&gt;"", J5041&lt;&gt;""), HYPERLINK("#'" &amp; C5041 &amp; "'!" &amp; J5041, J5041), "")</f>
        <v>0</v>
      </c>
    </row>
    <row r="5042" spans="2:2">
      <c r="B5042" s="21">
        <f>IF(AND(C5042&lt;&gt;"", J5042&lt;&gt;""), HYPERLINK("#'" &amp; C5042 &amp; "'!" &amp; J5042, J5042), "")</f>
        <v>0</v>
      </c>
    </row>
    <row r="5043" spans="2:2">
      <c r="B5043" s="21">
        <f>IF(AND(C5043&lt;&gt;"", J5043&lt;&gt;""), HYPERLINK("#'" &amp; C5043 &amp; "'!" &amp; J5043, J5043), "")</f>
        <v>0</v>
      </c>
    </row>
    <row r="5044" spans="2:2">
      <c r="B5044" s="21">
        <f>IF(AND(C5044&lt;&gt;"", J5044&lt;&gt;""), HYPERLINK("#'" &amp; C5044 &amp; "'!" &amp; J5044, J5044), "")</f>
        <v>0</v>
      </c>
    </row>
    <row r="5045" spans="2:2">
      <c r="B5045" s="21">
        <f>IF(AND(C5045&lt;&gt;"", J5045&lt;&gt;""), HYPERLINK("#'" &amp; C5045 &amp; "'!" &amp; J5045, J5045), "")</f>
        <v>0</v>
      </c>
    </row>
    <row r="5046" spans="2:2">
      <c r="B5046" s="21">
        <f>IF(AND(C5046&lt;&gt;"", J5046&lt;&gt;""), HYPERLINK("#'" &amp; C5046 &amp; "'!" &amp; J5046, J5046), "")</f>
        <v>0</v>
      </c>
    </row>
    <row r="5047" spans="2:2">
      <c r="B5047" s="21">
        <f>IF(AND(C5047&lt;&gt;"", J5047&lt;&gt;""), HYPERLINK("#'" &amp; C5047 &amp; "'!" &amp; J5047, J5047), "")</f>
        <v>0</v>
      </c>
    </row>
    <row r="5048" spans="2:2">
      <c r="B5048" s="21">
        <f>IF(AND(C5048&lt;&gt;"", J5048&lt;&gt;""), HYPERLINK("#'" &amp; C5048 &amp; "'!" &amp; J5048, J5048), "")</f>
        <v>0</v>
      </c>
    </row>
    <row r="5049" spans="2:2">
      <c r="B5049" s="21">
        <f>IF(AND(C5049&lt;&gt;"", J5049&lt;&gt;""), HYPERLINK("#'" &amp; C5049 &amp; "'!" &amp; J5049, J5049), "")</f>
        <v>0</v>
      </c>
    </row>
    <row r="5050" spans="2:2">
      <c r="B5050" s="21">
        <f>IF(AND(C5050&lt;&gt;"", J5050&lt;&gt;""), HYPERLINK("#'" &amp; C5050 &amp; "'!" &amp; J5050, J5050), "")</f>
        <v>0</v>
      </c>
    </row>
    <row r="5051" spans="2:2">
      <c r="B5051" s="21">
        <f>IF(AND(C5051&lt;&gt;"", J5051&lt;&gt;""), HYPERLINK("#'" &amp; C5051 &amp; "'!" &amp; J5051, J5051), "")</f>
        <v>0</v>
      </c>
    </row>
    <row r="5052" spans="2:2">
      <c r="B5052" s="21">
        <f>IF(AND(C5052&lt;&gt;"", J5052&lt;&gt;""), HYPERLINK("#'" &amp; C5052 &amp; "'!" &amp; J5052, J5052), "")</f>
        <v>0</v>
      </c>
    </row>
    <row r="5053" spans="2:2">
      <c r="B5053" s="21">
        <f>IF(AND(C5053&lt;&gt;"", J5053&lt;&gt;""), HYPERLINK("#'" &amp; C5053 &amp; "'!" &amp; J5053, J5053), "")</f>
        <v>0</v>
      </c>
    </row>
    <row r="5054" spans="2:2">
      <c r="B5054" s="21">
        <f>IF(AND(C5054&lt;&gt;"", J5054&lt;&gt;""), HYPERLINK("#'" &amp; C5054 &amp; "'!" &amp; J5054, J5054), "")</f>
        <v>0</v>
      </c>
    </row>
    <row r="5055" spans="2:2">
      <c r="B5055" s="21">
        <f>IF(AND(C5055&lt;&gt;"", J5055&lt;&gt;""), HYPERLINK("#'" &amp; C5055 &amp; "'!" &amp; J5055, J5055), "")</f>
        <v>0</v>
      </c>
    </row>
    <row r="5056" spans="2:2">
      <c r="B5056" s="21">
        <f>IF(AND(C5056&lt;&gt;"", J5056&lt;&gt;""), HYPERLINK("#'" &amp; C5056 &amp; "'!" &amp; J5056, J5056), "")</f>
        <v>0</v>
      </c>
    </row>
    <row r="5057" spans="2:2">
      <c r="B5057" s="21">
        <f>IF(AND(C5057&lt;&gt;"", J5057&lt;&gt;""), HYPERLINK("#'" &amp; C5057 &amp; "'!" &amp; J5057, J5057), "")</f>
        <v>0</v>
      </c>
    </row>
    <row r="5058" spans="2:2">
      <c r="B5058" s="21">
        <f>IF(AND(C5058&lt;&gt;"", J5058&lt;&gt;""), HYPERLINK("#'" &amp; C5058 &amp; "'!" &amp; J5058, J5058), "")</f>
        <v>0</v>
      </c>
    </row>
    <row r="5059" spans="2:2">
      <c r="B5059" s="21">
        <f>IF(AND(C5059&lt;&gt;"", J5059&lt;&gt;""), HYPERLINK("#'" &amp; C5059 &amp; "'!" &amp; J5059, J5059), "")</f>
        <v>0</v>
      </c>
    </row>
    <row r="5060" spans="2:2">
      <c r="B5060" s="21">
        <f>IF(AND(C5060&lt;&gt;"", J5060&lt;&gt;""), HYPERLINK("#'" &amp; C5060 &amp; "'!" &amp; J5060, J5060), "")</f>
        <v>0</v>
      </c>
    </row>
    <row r="5061" spans="2:2">
      <c r="B5061" s="21">
        <f>IF(AND(C5061&lt;&gt;"", J5061&lt;&gt;""), HYPERLINK("#'" &amp; C5061 &amp; "'!" &amp; J5061, J5061), "")</f>
        <v>0</v>
      </c>
    </row>
    <row r="5062" spans="2:2">
      <c r="B5062" s="21">
        <f>IF(AND(C5062&lt;&gt;"", J5062&lt;&gt;""), HYPERLINK("#'" &amp; C5062 &amp; "'!" &amp; J5062, J5062), "")</f>
        <v>0</v>
      </c>
    </row>
    <row r="5063" spans="2:2">
      <c r="B5063" s="21">
        <f>IF(AND(C5063&lt;&gt;"", J5063&lt;&gt;""), HYPERLINK("#'" &amp; C5063 &amp; "'!" &amp; J5063, J5063), "")</f>
        <v>0</v>
      </c>
    </row>
    <row r="5064" spans="2:2">
      <c r="B5064" s="21">
        <f>IF(AND(C5064&lt;&gt;"", J5064&lt;&gt;""), HYPERLINK("#'" &amp; C5064 &amp; "'!" &amp; J5064, J5064), "")</f>
        <v>0</v>
      </c>
    </row>
    <row r="5065" spans="2:2">
      <c r="B5065" s="21">
        <f>IF(AND(C5065&lt;&gt;"", J5065&lt;&gt;""), HYPERLINK("#'" &amp; C5065 &amp; "'!" &amp; J5065, J5065), "")</f>
        <v>0</v>
      </c>
    </row>
    <row r="5066" spans="2:2">
      <c r="B5066" s="21">
        <f>IF(AND(C5066&lt;&gt;"", J5066&lt;&gt;""), HYPERLINK("#'" &amp; C5066 &amp; "'!" &amp; J5066, J5066), "")</f>
        <v>0</v>
      </c>
    </row>
    <row r="5067" spans="2:2">
      <c r="B5067" s="21">
        <f>IF(AND(C5067&lt;&gt;"", J5067&lt;&gt;""), HYPERLINK("#'" &amp; C5067 &amp; "'!" &amp; J5067, J5067), "")</f>
        <v>0</v>
      </c>
    </row>
    <row r="5068" spans="2:2">
      <c r="B5068" s="21">
        <f>IF(AND(C5068&lt;&gt;"", J5068&lt;&gt;""), HYPERLINK("#'" &amp; C5068 &amp; "'!" &amp; J5068, J5068), "")</f>
        <v>0</v>
      </c>
    </row>
    <row r="5069" spans="2:2">
      <c r="B5069" s="21">
        <f>IF(AND(C5069&lt;&gt;"", J5069&lt;&gt;""), HYPERLINK("#'" &amp; C5069 &amp; "'!" &amp; J5069, J5069), "")</f>
        <v>0</v>
      </c>
    </row>
    <row r="5070" spans="2:2">
      <c r="B5070" s="21">
        <f>IF(AND(C5070&lt;&gt;"", J5070&lt;&gt;""), HYPERLINK("#'" &amp; C5070 &amp; "'!" &amp; J5070, J5070), "")</f>
        <v>0</v>
      </c>
    </row>
    <row r="5071" spans="2:2">
      <c r="B5071" s="21">
        <f>IF(AND(C5071&lt;&gt;"", J5071&lt;&gt;""), HYPERLINK("#'" &amp; C5071 &amp; "'!" &amp; J5071, J5071), "")</f>
        <v>0</v>
      </c>
    </row>
    <row r="5072" spans="2:2">
      <c r="B5072" s="21">
        <f>IF(AND(C5072&lt;&gt;"", J5072&lt;&gt;""), HYPERLINK("#'" &amp; C5072 &amp; "'!" &amp; J5072, J5072), "")</f>
        <v>0</v>
      </c>
    </row>
    <row r="5073" spans="2:2">
      <c r="B5073" s="21">
        <f>IF(AND(C5073&lt;&gt;"", J5073&lt;&gt;""), HYPERLINK("#'" &amp; C5073 &amp; "'!" &amp; J5073, J5073), "")</f>
        <v>0</v>
      </c>
    </row>
    <row r="5074" spans="2:2">
      <c r="B5074" s="21">
        <f>IF(AND(C5074&lt;&gt;"", J5074&lt;&gt;""), HYPERLINK("#'" &amp; C5074 &amp; "'!" &amp; J5074, J5074), "")</f>
        <v>0</v>
      </c>
    </row>
    <row r="5075" spans="2:2">
      <c r="B5075" s="21">
        <f>IF(AND(C5075&lt;&gt;"", J5075&lt;&gt;""), HYPERLINK("#'" &amp; C5075 &amp; "'!" &amp; J5075, J5075), "")</f>
        <v>0</v>
      </c>
    </row>
    <row r="5076" spans="2:2">
      <c r="B5076" s="21">
        <f>IF(AND(C5076&lt;&gt;"", J5076&lt;&gt;""), HYPERLINK("#'" &amp; C5076 &amp; "'!" &amp; J5076, J5076), "")</f>
        <v>0</v>
      </c>
    </row>
    <row r="5077" spans="2:2">
      <c r="B5077" s="21">
        <f>IF(AND(C5077&lt;&gt;"", J5077&lt;&gt;""), HYPERLINK("#'" &amp; C5077 &amp; "'!" &amp; J5077, J5077), "")</f>
        <v>0</v>
      </c>
    </row>
    <row r="5078" spans="2:2">
      <c r="B5078" s="21">
        <f>IF(AND(C5078&lt;&gt;"", J5078&lt;&gt;""), HYPERLINK("#'" &amp; C5078 &amp; "'!" &amp; J5078, J5078), "")</f>
        <v>0</v>
      </c>
    </row>
    <row r="5079" spans="2:2">
      <c r="B5079" s="21">
        <f>IF(AND(C5079&lt;&gt;"", J5079&lt;&gt;""), HYPERLINK("#'" &amp; C5079 &amp; "'!" &amp; J5079, J5079), "")</f>
        <v>0</v>
      </c>
    </row>
    <row r="5080" spans="2:2">
      <c r="B5080" s="21">
        <f>IF(AND(C5080&lt;&gt;"", J5080&lt;&gt;""), HYPERLINK("#'" &amp; C5080 &amp; "'!" &amp; J5080, J5080), "")</f>
        <v>0</v>
      </c>
    </row>
    <row r="5081" spans="2:2">
      <c r="B5081" s="21">
        <f>IF(AND(C5081&lt;&gt;"", J5081&lt;&gt;""), HYPERLINK("#'" &amp; C5081 &amp; "'!" &amp; J5081, J5081), "")</f>
        <v>0</v>
      </c>
    </row>
    <row r="5082" spans="2:2">
      <c r="B5082" s="21">
        <f>IF(AND(C5082&lt;&gt;"", J5082&lt;&gt;""), HYPERLINK("#'" &amp; C5082 &amp; "'!" &amp; J5082, J5082), "")</f>
        <v>0</v>
      </c>
    </row>
    <row r="5083" spans="2:2">
      <c r="B5083" s="21">
        <f>IF(AND(C5083&lt;&gt;"", J5083&lt;&gt;""), HYPERLINK("#'" &amp; C5083 &amp; "'!" &amp; J5083, J5083), "")</f>
        <v>0</v>
      </c>
    </row>
    <row r="5084" spans="2:2">
      <c r="B5084" s="21">
        <f>IF(AND(C5084&lt;&gt;"", J5084&lt;&gt;""), HYPERLINK("#'" &amp; C5084 &amp; "'!" &amp; J5084, J5084), "")</f>
        <v>0</v>
      </c>
    </row>
    <row r="5085" spans="2:2">
      <c r="B5085" s="21">
        <f>IF(AND(C5085&lt;&gt;"", J5085&lt;&gt;""), HYPERLINK("#'" &amp; C5085 &amp; "'!" &amp; J5085, J5085), "")</f>
        <v>0</v>
      </c>
    </row>
    <row r="5086" spans="2:2">
      <c r="B5086" s="21">
        <f>IF(AND(C5086&lt;&gt;"", J5086&lt;&gt;""), HYPERLINK("#'" &amp; C5086 &amp; "'!" &amp; J5086, J5086), "")</f>
        <v>0</v>
      </c>
    </row>
    <row r="5087" spans="2:2">
      <c r="B5087" s="21">
        <f>IF(AND(C5087&lt;&gt;"", J5087&lt;&gt;""), HYPERLINK("#'" &amp; C5087 &amp; "'!" &amp; J5087, J5087), "")</f>
        <v>0</v>
      </c>
    </row>
    <row r="5088" spans="2:2">
      <c r="B5088" s="21">
        <f>IF(AND(C5088&lt;&gt;"", J5088&lt;&gt;""), HYPERLINK("#'" &amp; C5088 &amp; "'!" &amp; J5088, J5088), "")</f>
        <v>0</v>
      </c>
    </row>
    <row r="5089" spans="2:2">
      <c r="B5089" s="21">
        <f>IF(AND(C5089&lt;&gt;"", J5089&lt;&gt;""), HYPERLINK("#'" &amp; C5089 &amp; "'!" &amp; J5089, J5089), "")</f>
        <v>0</v>
      </c>
    </row>
    <row r="5090" spans="2:2">
      <c r="B5090" s="21">
        <f>IF(AND(C5090&lt;&gt;"", J5090&lt;&gt;""), HYPERLINK("#'" &amp; C5090 &amp; "'!" &amp; J5090, J5090), "")</f>
        <v>0</v>
      </c>
    </row>
    <row r="5091" spans="2:2">
      <c r="B5091" s="21">
        <f>IF(AND(C5091&lt;&gt;"", J5091&lt;&gt;""), HYPERLINK("#'" &amp; C5091 &amp; "'!" &amp; J5091, J5091), "")</f>
        <v>0</v>
      </c>
    </row>
    <row r="5092" spans="2:2">
      <c r="B5092" s="21">
        <f>IF(AND(C5092&lt;&gt;"", J5092&lt;&gt;""), HYPERLINK("#'" &amp; C5092 &amp; "'!" &amp; J5092, J5092), "")</f>
        <v>0</v>
      </c>
    </row>
    <row r="5093" spans="2:2">
      <c r="B5093" s="21">
        <f>IF(AND(C5093&lt;&gt;"", J5093&lt;&gt;""), HYPERLINK("#'" &amp; C5093 &amp; "'!" &amp; J5093, J5093), "")</f>
        <v>0</v>
      </c>
    </row>
    <row r="5094" spans="2:2">
      <c r="B5094" s="21">
        <f>IF(AND(C5094&lt;&gt;"", J5094&lt;&gt;""), HYPERLINK("#'" &amp; C5094 &amp; "'!" &amp; J5094, J5094), "")</f>
        <v>0</v>
      </c>
    </row>
    <row r="5095" spans="2:2">
      <c r="B5095" s="21">
        <f>IF(AND(C5095&lt;&gt;"", J5095&lt;&gt;""), HYPERLINK("#'" &amp; C5095 &amp; "'!" &amp; J5095, J5095), "")</f>
        <v>0</v>
      </c>
    </row>
    <row r="5096" spans="2:2">
      <c r="B5096" s="21">
        <f>IF(AND(C5096&lt;&gt;"", J5096&lt;&gt;""), HYPERLINK("#'" &amp; C5096 &amp; "'!" &amp; J5096, J5096), "")</f>
        <v>0</v>
      </c>
    </row>
    <row r="5097" spans="2:2">
      <c r="B5097" s="21">
        <f>IF(AND(C5097&lt;&gt;"", J5097&lt;&gt;""), HYPERLINK("#'" &amp; C5097 &amp; "'!" &amp; J5097, J5097), "")</f>
        <v>0</v>
      </c>
    </row>
    <row r="5098" spans="2:2">
      <c r="B5098" s="21">
        <f>IF(AND(C5098&lt;&gt;"", J5098&lt;&gt;""), HYPERLINK("#'" &amp; C5098 &amp; "'!" &amp; J5098, J5098), "")</f>
        <v>0</v>
      </c>
    </row>
    <row r="5099" spans="2:2">
      <c r="B5099" s="21">
        <f>IF(AND(C5099&lt;&gt;"", J5099&lt;&gt;""), HYPERLINK("#'" &amp; C5099 &amp; "'!" &amp; J5099, J5099), "")</f>
        <v>0</v>
      </c>
    </row>
    <row r="5100" spans="2:2">
      <c r="B5100" s="21">
        <f>IF(AND(C5100&lt;&gt;"", J5100&lt;&gt;""), HYPERLINK("#'" &amp; C5100 &amp; "'!" &amp; J5100, J5100), "")</f>
        <v>0</v>
      </c>
    </row>
    <row r="5101" spans="2:2">
      <c r="B5101" s="21">
        <f>IF(AND(C5101&lt;&gt;"", J5101&lt;&gt;""), HYPERLINK("#'" &amp; C5101 &amp; "'!" &amp; J5101, J5101), "")</f>
        <v>0</v>
      </c>
    </row>
    <row r="5102" spans="2:2">
      <c r="B5102" s="21">
        <f>IF(AND(C5102&lt;&gt;"", J5102&lt;&gt;""), HYPERLINK("#'" &amp; C5102 &amp; "'!" &amp; J5102, J5102), "")</f>
        <v>0</v>
      </c>
    </row>
    <row r="5103" spans="2:2">
      <c r="B5103" s="21">
        <f>IF(AND(C5103&lt;&gt;"", J5103&lt;&gt;""), HYPERLINK("#'" &amp; C5103 &amp; "'!" &amp; J5103, J5103), "")</f>
        <v>0</v>
      </c>
    </row>
    <row r="5104" spans="2:2">
      <c r="B5104" s="21">
        <f>IF(AND(C5104&lt;&gt;"", J5104&lt;&gt;""), HYPERLINK("#'" &amp; C5104 &amp; "'!" &amp; J5104, J5104), "")</f>
        <v>0</v>
      </c>
    </row>
    <row r="5105" spans="2:2">
      <c r="B5105" s="21">
        <f>IF(AND(C5105&lt;&gt;"", J5105&lt;&gt;""), HYPERLINK("#'" &amp; C5105 &amp; "'!" &amp; J5105, J5105), "")</f>
        <v>0</v>
      </c>
    </row>
    <row r="5106" spans="2:2">
      <c r="B5106" s="21">
        <f>IF(AND(C5106&lt;&gt;"", J5106&lt;&gt;""), HYPERLINK("#'" &amp; C5106 &amp; "'!" &amp; J5106, J5106), "")</f>
        <v>0</v>
      </c>
    </row>
    <row r="5107" spans="2:2">
      <c r="B5107" s="21">
        <f>IF(AND(C5107&lt;&gt;"", J5107&lt;&gt;""), HYPERLINK("#'" &amp; C5107 &amp; "'!" &amp; J5107, J5107), "")</f>
        <v>0</v>
      </c>
    </row>
    <row r="5108" spans="2:2">
      <c r="B5108" s="21">
        <f>IF(AND(C5108&lt;&gt;"", J5108&lt;&gt;""), HYPERLINK("#'" &amp; C5108 &amp; "'!" &amp; J5108, J5108), "")</f>
        <v>0</v>
      </c>
    </row>
    <row r="5109" spans="2:2">
      <c r="B5109" s="21">
        <f>IF(AND(C5109&lt;&gt;"", J5109&lt;&gt;""), HYPERLINK("#'" &amp; C5109 &amp; "'!" &amp; J5109, J5109), "")</f>
        <v>0</v>
      </c>
    </row>
    <row r="5110" spans="2:2">
      <c r="B5110" s="21">
        <f>IF(AND(C5110&lt;&gt;"", J5110&lt;&gt;""), HYPERLINK("#'" &amp; C5110 &amp; "'!" &amp; J5110, J5110), "")</f>
        <v>0</v>
      </c>
    </row>
    <row r="5111" spans="2:2">
      <c r="B5111" s="21">
        <f>IF(AND(C5111&lt;&gt;"", J5111&lt;&gt;""), HYPERLINK("#'" &amp; C5111 &amp; "'!" &amp; J5111, J5111), "")</f>
        <v>0</v>
      </c>
    </row>
    <row r="5112" spans="2:2">
      <c r="B5112" s="21">
        <f>IF(AND(C5112&lt;&gt;"", J5112&lt;&gt;""), HYPERLINK("#'" &amp; C5112 &amp; "'!" &amp; J5112, J5112), "")</f>
        <v>0</v>
      </c>
    </row>
    <row r="5113" spans="2:2">
      <c r="B5113" s="21">
        <f>IF(AND(C5113&lt;&gt;"", J5113&lt;&gt;""), HYPERLINK("#'" &amp; C5113 &amp; "'!" &amp; J5113, J5113), "")</f>
        <v>0</v>
      </c>
    </row>
    <row r="5114" spans="2:2">
      <c r="B5114" s="21">
        <f>IF(AND(C5114&lt;&gt;"", J5114&lt;&gt;""), HYPERLINK("#'" &amp; C5114 &amp; "'!" &amp; J5114, J5114), "")</f>
        <v>0</v>
      </c>
    </row>
    <row r="5115" spans="2:2">
      <c r="B5115" s="21">
        <f>IF(AND(C5115&lt;&gt;"", J5115&lt;&gt;""), HYPERLINK("#'" &amp; C5115 &amp; "'!" &amp; J5115, J5115), "")</f>
        <v>0</v>
      </c>
    </row>
    <row r="5116" spans="2:2">
      <c r="B5116" s="21">
        <f>IF(AND(C5116&lt;&gt;"", J5116&lt;&gt;""), HYPERLINK("#'" &amp; C5116 &amp; "'!" &amp; J5116, J5116), "")</f>
        <v>0</v>
      </c>
    </row>
    <row r="5117" spans="2:2">
      <c r="B5117" s="21">
        <f>IF(AND(C5117&lt;&gt;"", J5117&lt;&gt;""), HYPERLINK("#'" &amp; C5117 &amp; "'!" &amp; J5117, J5117), "")</f>
        <v>0</v>
      </c>
    </row>
    <row r="5118" spans="2:2">
      <c r="B5118" s="21">
        <f>IF(AND(C5118&lt;&gt;"", J5118&lt;&gt;""), HYPERLINK("#'" &amp; C5118 &amp; "'!" &amp; J5118, J5118), "")</f>
        <v>0</v>
      </c>
    </row>
    <row r="5119" spans="2:2">
      <c r="B5119" s="21">
        <f>IF(AND(C5119&lt;&gt;"", J5119&lt;&gt;""), HYPERLINK("#'" &amp; C5119 &amp; "'!" &amp; J5119, J5119), "")</f>
        <v>0</v>
      </c>
    </row>
    <row r="5120" spans="2:2">
      <c r="B5120" s="21">
        <f>IF(AND(C5120&lt;&gt;"", J5120&lt;&gt;""), HYPERLINK("#'" &amp; C5120 &amp; "'!" &amp; J5120, J5120), "")</f>
        <v>0</v>
      </c>
    </row>
    <row r="5121" spans="2:2">
      <c r="B5121" s="21">
        <f>IF(AND(C5121&lt;&gt;"", J5121&lt;&gt;""), HYPERLINK("#'" &amp; C5121 &amp; "'!" &amp; J5121, J5121), "")</f>
        <v>0</v>
      </c>
    </row>
    <row r="5122" spans="2:2">
      <c r="B5122" s="21">
        <f>IF(AND(C5122&lt;&gt;"", J5122&lt;&gt;""), HYPERLINK("#'" &amp; C5122 &amp; "'!" &amp; J5122, J5122), "")</f>
        <v>0</v>
      </c>
    </row>
    <row r="5123" spans="2:2">
      <c r="B5123" s="21">
        <f>IF(AND(C5123&lt;&gt;"", J5123&lt;&gt;""), HYPERLINK("#'" &amp; C5123 &amp; "'!" &amp; J5123, J5123), "")</f>
        <v>0</v>
      </c>
    </row>
    <row r="5124" spans="2:2">
      <c r="B5124" s="21">
        <f>IF(AND(C5124&lt;&gt;"", J5124&lt;&gt;""), HYPERLINK("#'" &amp; C5124 &amp; "'!" &amp; J5124, J5124), "")</f>
        <v>0</v>
      </c>
    </row>
    <row r="5125" spans="2:2">
      <c r="B5125" s="21">
        <f>IF(AND(C5125&lt;&gt;"", J5125&lt;&gt;""), HYPERLINK("#'" &amp; C5125 &amp; "'!" &amp; J5125, J5125), "")</f>
        <v>0</v>
      </c>
    </row>
    <row r="5126" spans="2:2">
      <c r="B5126" s="21">
        <f>IF(AND(C5126&lt;&gt;"", J5126&lt;&gt;""), HYPERLINK("#'" &amp; C5126 &amp; "'!" &amp; J5126, J5126), "")</f>
        <v>0</v>
      </c>
    </row>
    <row r="5127" spans="2:2">
      <c r="B5127" s="21">
        <f>IF(AND(C5127&lt;&gt;"", J5127&lt;&gt;""), HYPERLINK("#'" &amp; C5127 &amp; "'!" &amp; J5127, J5127), "")</f>
        <v>0</v>
      </c>
    </row>
    <row r="5128" spans="2:2">
      <c r="B5128" s="21">
        <f>IF(AND(C5128&lt;&gt;"", J5128&lt;&gt;""), HYPERLINK("#'" &amp; C5128 &amp; "'!" &amp; J5128, J5128), "")</f>
        <v>0</v>
      </c>
    </row>
    <row r="5129" spans="2:2">
      <c r="B5129" s="21">
        <f>IF(AND(C5129&lt;&gt;"", J5129&lt;&gt;""), HYPERLINK("#'" &amp; C5129 &amp; "'!" &amp; J5129, J5129), "")</f>
        <v>0</v>
      </c>
    </row>
    <row r="5130" spans="2:2">
      <c r="B5130" s="21">
        <f>IF(AND(C5130&lt;&gt;"", J5130&lt;&gt;""), HYPERLINK("#'" &amp; C5130 &amp; "'!" &amp; J5130, J5130), "")</f>
        <v>0</v>
      </c>
    </row>
    <row r="5131" spans="2:2">
      <c r="B5131" s="21">
        <f>IF(AND(C5131&lt;&gt;"", J5131&lt;&gt;""), HYPERLINK("#'" &amp; C5131 &amp; "'!" &amp; J5131, J5131), "")</f>
        <v>0</v>
      </c>
    </row>
    <row r="5132" spans="2:2">
      <c r="B5132" s="21">
        <f>IF(AND(C5132&lt;&gt;"", J5132&lt;&gt;""), HYPERLINK("#'" &amp; C5132 &amp; "'!" &amp; J5132, J5132), "")</f>
        <v>0</v>
      </c>
    </row>
    <row r="5133" spans="2:2">
      <c r="B5133" s="21">
        <f>IF(AND(C5133&lt;&gt;"", J5133&lt;&gt;""), HYPERLINK("#'" &amp; C5133 &amp; "'!" &amp; J5133, J5133), "")</f>
        <v>0</v>
      </c>
    </row>
    <row r="5134" spans="2:2">
      <c r="B5134" s="21">
        <f>IF(AND(C5134&lt;&gt;"", J5134&lt;&gt;""), HYPERLINK("#'" &amp; C5134 &amp; "'!" &amp; J5134, J5134), "")</f>
        <v>0</v>
      </c>
    </row>
    <row r="5135" spans="2:2">
      <c r="B5135" s="21">
        <f>IF(AND(C5135&lt;&gt;"", J5135&lt;&gt;""), HYPERLINK("#'" &amp; C5135 &amp; "'!" &amp; J5135, J5135), "")</f>
        <v>0</v>
      </c>
    </row>
    <row r="5136" spans="2:2">
      <c r="B5136" s="21">
        <f>IF(AND(C5136&lt;&gt;"", J5136&lt;&gt;""), HYPERLINK("#'" &amp; C5136 &amp; "'!" &amp; J5136, J5136), "")</f>
        <v>0</v>
      </c>
    </row>
    <row r="5137" spans="2:2">
      <c r="B5137" s="21">
        <f>IF(AND(C5137&lt;&gt;"", J5137&lt;&gt;""), HYPERLINK("#'" &amp; C5137 &amp; "'!" &amp; J5137, J5137), "")</f>
        <v>0</v>
      </c>
    </row>
    <row r="5138" spans="2:2">
      <c r="B5138" s="21">
        <f>IF(AND(C5138&lt;&gt;"", J5138&lt;&gt;""), HYPERLINK("#'" &amp; C5138 &amp; "'!" &amp; J5138, J5138), "")</f>
        <v>0</v>
      </c>
    </row>
    <row r="5139" spans="2:2">
      <c r="B5139" s="21">
        <f>IF(AND(C5139&lt;&gt;"", J5139&lt;&gt;""), HYPERLINK("#'" &amp; C5139 &amp; "'!" &amp; J5139, J5139), "")</f>
        <v>0</v>
      </c>
    </row>
    <row r="5140" spans="2:2">
      <c r="B5140" s="21">
        <f>IF(AND(C5140&lt;&gt;"", J5140&lt;&gt;""), HYPERLINK("#'" &amp; C5140 &amp; "'!" &amp; J5140, J5140), "")</f>
        <v>0</v>
      </c>
    </row>
    <row r="5141" spans="2:2">
      <c r="B5141" s="21">
        <f>IF(AND(C5141&lt;&gt;"", J5141&lt;&gt;""), HYPERLINK("#'" &amp; C5141 &amp; "'!" &amp; J5141, J5141), "")</f>
        <v>0</v>
      </c>
    </row>
    <row r="5142" spans="2:2">
      <c r="B5142" s="21">
        <f>IF(AND(C5142&lt;&gt;"", J5142&lt;&gt;""), HYPERLINK("#'" &amp; C5142 &amp; "'!" &amp; J5142, J5142), "")</f>
        <v>0</v>
      </c>
    </row>
    <row r="5143" spans="2:2">
      <c r="B5143" s="21">
        <f>IF(AND(C5143&lt;&gt;"", J5143&lt;&gt;""), HYPERLINK("#'" &amp; C5143 &amp; "'!" &amp; J5143, J5143), "")</f>
        <v>0</v>
      </c>
    </row>
    <row r="5144" spans="2:2">
      <c r="B5144" s="21">
        <f>IF(AND(C5144&lt;&gt;"", J5144&lt;&gt;""), HYPERLINK("#'" &amp; C5144 &amp; "'!" &amp; J5144, J5144), "")</f>
        <v>0</v>
      </c>
    </row>
    <row r="5145" spans="2:2">
      <c r="B5145" s="21">
        <f>IF(AND(C5145&lt;&gt;"", J5145&lt;&gt;""), HYPERLINK("#'" &amp; C5145 &amp; "'!" &amp; J5145, J5145), "")</f>
        <v>0</v>
      </c>
    </row>
    <row r="5146" spans="2:2">
      <c r="B5146" s="21">
        <f>IF(AND(C5146&lt;&gt;"", J5146&lt;&gt;""), HYPERLINK("#'" &amp; C5146 &amp; "'!" &amp; J5146, J5146), "")</f>
        <v>0</v>
      </c>
    </row>
    <row r="5147" spans="2:2">
      <c r="B5147" s="21">
        <f>IF(AND(C5147&lt;&gt;"", J5147&lt;&gt;""), HYPERLINK("#'" &amp; C5147 &amp; "'!" &amp; J5147, J5147), "")</f>
        <v>0</v>
      </c>
    </row>
    <row r="5148" spans="2:2">
      <c r="B5148" s="21">
        <f>IF(AND(C5148&lt;&gt;"", J5148&lt;&gt;""), HYPERLINK("#'" &amp; C5148 &amp; "'!" &amp; J5148, J5148), "")</f>
        <v>0</v>
      </c>
    </row>
    <row r="5149" spans="2:2">
      <c r="B5149" s="21">
        <f>IF(AND(C5149&lt;&gt;"", J5149&lt;&gt;""), HYPERLINK("#'" &amp; C5149 &amp; "'!" &amp; J5149, J5149), "")</f>
        <v>0</v>
      </c>
    </row>
    <row r="5150" spans="2:2">
      <c r="B5150" s="21">
        <f>IF(AND(C5150&lt;&gt;"", J5150&lt;&gt;""), HYPERLINK("#'" &amp; C5150 &amp; "'!" &amp; J5150, J5150), "")</f>
        <v>0</v>
      </c>
    </row>
    <row r="5151" spans="2:2">
      <c r="B5151" s="21">
        <f>IF(AND(C5151&lt;&gt;"", J5151&lt;&gt;""), HYPERLINK("#'" &amp; C5151 &amp; "'!" &amp; J5151, J5151), "")</f>
        <v>0</v>
      </c>
    </row>
    <row r="5152" spans="2:2">
      <c r="B5152" s="21">
        <f>IF(AND(C5152&lt;&gt;"", J5152&lt;&gt;""), HYPERLINK("#'" &amp; C5152 &amp; "'!" &amp; J5152, J5152), "")</f>
        <v>0</v>
      </c>
    </row>
    <row r="5153" spans="2:2">
      <c r="B5153" s="21">
        <f>IF(AND(C5153&lt;&gt;"", J5153&lt;&gt;""), HYPERLINK("#'" &amp; C5153 &amp; "'!" &amp; J5153, J5153), "")</f>
        <v>0</v>
      </c>
    </row>
    <row r="5154" spans="2:2">
      <c r="B5154" s="21">
        <f>IF(AND(C5154&lt;&gt;"", J5154&lt;&gt;""), HYPERLINK("#'" &amp; C5154 &amp; "'!" &amp; J5154, J5154), "")</f>
        <v>0</v>
      </c>
    </row>
    <row r="5155" spans="2:2">
      <c r="B5155" s="21">
        <f>IF(AND(C5155&lt;&gt;"", J5155&lt;&gt;""), HYPERLINK("#'" &amp; C5155 &amp; "'!" &amp; J5155, J5155), "")</f>
        <v>0</v>
      </c>
    </row>
    <row r="5156" spans="2:2">
      <c r="B5156" s="21">
        <f>IF(AND(C5156&lt;&gt;"", J5156&lt;&gt;""), HYPERLINK("#'" &amp; C5156 &amp; "'!" &amp; J5156, J5156), "")</f>
        <v>0</v>
      </c>
    </row>
    <row r="5157" spans="2:2">
      <c r="B5157" s="21">
        <f>IF(AND(C5157&lt;&gt;"", J5157&lt;&gt;""), HYPERLINK("#'" &amp; C5157 &amp; "'!" &amp; J5157, J5157), "")</f>
        <v>0</v>
      </c>
    </row>
    <row r="5158" spans="2:2">
      <c r="B5158" s="21">
        <f>IF(AND(C5158&lt;&gt;"", J5158&lt;&gt;""), HYPERLINK("#'" &amp; C5158 &amp; "'!" &amp; J5158, J5158), "")</f>
        <v>0</v>
      </c>
    </row>
    <row r="5159" spans="2:2">
      <c r="B5159" s="21">
        <f>IF(AND(C5159&lt;&gt;"", J5159&lt;&gt;""), HYPERLINK("#'" &amp; C5159 &amp; "'!" &amp; J5159, J5159), "")</f>
        <v>0</v>
      </c>
    </row>
    <row r="5160" spans="2:2">
      <c r="B5160" s="21">
        <f>IF(AND(C5160&lt;&gt;"", J5160&lt;&gt;""), HYPERLINK("#'" &amp; C5160 &amp; "'!" &amp; J5160, J5160), "")</f>
        <v>0</v>
      </c>
    </row>
    <row r="5161" spans="2:2">
      <c r="B5161" s="21">
        <f>IF(AND(C5161&lt;&gt;"", J5161&lt;&gt;""), HYPERLINK("#'" &amp; C5161 &amp; "'!" &amp; J5161, J5161), "")</f>
        <v>0</v>
      </c>
    </row>
    <row r="5162" spans="2:2">
      <c r="B5162" s="21">
        <f>IF(AND(C5162&lt;&gt;"", J5162&lt;&gt;""), HYPERLINK("#'" &amp; C5162 &amp; "'!" &amp; J5162, J5162), "")</f>
        <v>0</v>
      </c>
    </row>
    <row r="5163" spans="2:2">
      <c r="B5163" s="21">
        <f>IF(AND(C5163&lt;&gt;"", J5163&lt;&gt;""), HYPERLINK("#'" &amp; C5163 &amp; "'!" &amp; J5163, J5163), "")</f>
        <v>0</v>
      </c>
    </row>
    <row r="5164" spans="2:2">
      <c r="B5164" s="21">
        <f>IF(AND(C5164&lt;&gt;"", J5164&lt;&gt;""), HYPERLINK("#'" &amp; C5164 &amp; "'!" &amp; J5164, J5164), "")</f>
        <v>0</v>
      </c>
    </row>
    <row r="5165" spans="2:2">
      <c r="B5165" s="21">
        <f>IF(AND(C5165&lt;&gt;"", J5165&lt;&gt;""), HYPERLINK("#'" &amp; C5165 &amp; "'!" &amp; J5165, J5165), "")</f>
        <v>0</v>
      </c>
    </row>
    <row r="5166" spans="2:2">
      <c r="B5166" s="21">
        <f>IF(AND(C5166&lt;&gt;"", J5166&lt;&gt;""), HYPERLINK("#'" &amp; C5166 &amp; "'!" &amp; J5166, J5166), "")</f>
        <v>0</v>
      </c>
    </row>
    <row r="5167" spans="2:2">
      <c r="B5167" s="21">
        <f>IF(AND(C5167&lt;&gt;"", J5167&lt;&gt;""), HYPERLINK("#'" &amp; C5167 &amp; "'!" &amp; J5167, J5167), "")</f>
        <v>0</v>
      </c>
    </row>
    <row r="5168" spans="2:2">
      <c r="B5168" s="21">
        <f>IF(AND(C5168&lt;&gt;"", J5168&lt;&gt;""), HYPERLINK("#'" &amp; C5168 &amp; "'!" &amp; J5168, J5168), "")</f>
        <v>0</v>
      </c>
    </row>
    <row r="5169" spans="2:2">
      <c r="B5169" s="21">
        <f>IF(AND(C5169&lt;&gt;"", J5169&lt;&gt;""), HYPERLINK("#'" &amp; C5169 &amp; "'!" &amp; J5169, J5169), "")</f>
        <v>0</v>
      </c>
    </row>
    <row r="5170" spans="2:2">
      <c r="B5170" s="21">
        <f>IF(AND(C5170&lt;&gt;"", J5170&lt;&gt;""), HYPERLINK("#'" &amp; C5170 &amp; "'!" &amp; J5170, J5170), "")</f>
        <v>0</v>
      </c>
    </row>
    <row r="5171" spans="2:2">
      <c r="B5171" s="21">
        <f>IF(AND(C5171&lt;&gt;"", J5171&lt;&gt;""), HYPERLINK("#'" &amp; C5171 &amp; "'!" &amp; J5171, J5171), "")</f>
        <v>0</v>
      </c>
    </row>
    <row r="5172" spans="2:2">
      <c r="B5172" s="21">
        <f>IF(AND(C5172&lt;&gt;"", J5172&lt;&gt;""), HYPERLINK("#'" &amp; C5172 &amp; "'!" &amp; J5172, J5172), "")</f>
        <v>0</v>
      </c>
    </row>
    <row r="5173" spans="2:2">
      <c r="B5173" s="21">
        <f>IF(AND(C5173&lt;&gt;"", J5173&lt;&gt;""), HYPERLINK("#'" &amp; C5173 &amp; "'!" &amp; J5173, J5173), "")</f>
        <v>0</v>
      </c>
    </row>
    <row r="5174" spans="2:2">
      <c r="B5174" s="21">
        <f>IF(AND(C5174&lt;&gt;"", J5174&lt;&gt;""), HYPERLINK("#'" &amp; C5174 &amp; "'!" &amp; J5174, J5174), "")</f>
        <v>0</v>
      </c>
    </row>
    <row r="5175" spans="2:2">
      <c r="B5175" s="21">
        <f>IF(AND(C5175&lt;&gt;"", J5175&lt;&gt;""), HYPERLINK("#'" &amp; C5175 &amp; "'!" &amp; J5175, J5175), "")</f>
        <v>0</v>
      </c>
    </row>
    <row r="5176" spans="2:2">
      <c r="B5176" s="21">
        <f>IF(AND(C5176&lt;&gt;"", J5176&lt;&gt;""), HYPERLINK("#'" &amp; C5176 &amp; "'!" &amp; J5176, J5176), "")</f>
        <v>0</v>
      </c>
    </row>
    <row r="5177" spans="2:2">
      <c r="B5177" s="21">
        <f>IF(AND(C5177&lt;&gt;"", J5177&lt;&gt;""), HYPERLINK("#'" &amp; C5177 &amp; "'!" &amp; J5177, J5177), "")</f>
        <v>0</v>
      </c>
    </row>
    <row r="5178" spans="2:2">
      <c r="B5178" s="21">
        <f>IF(AND(C5178&lt;&gt;"", J5178&lt;&gt;""), HYPERLINK("#'" &amp; C5178 &amp; "'!" &amp; J5178, J5178), "")</f>
        <v>0</v>
      </c>
    </row>
    <row r="5179" spans="2:2">
      <c r="B5179" s="21">
        <f>IF(AND(C5179&lt;&gt;"", J5179&lt;&gt;""), HYPERLINK("#'" &amp; C5179 &amp; "'!" &amp; J5179, J5179), "")</f>
        <v>0</v>
      </c>
    </row>
    <row r="5180" spans="2:2">
      <c r="B5180" s="21">
        <f>IF(AND(C5180&lt;&gt;"", J5180&lt;&gt;""), HYPERLINK("#'" &amp; C5180 &amp; "'!" &amp; J5180, J5180), "")</f>
        <v>0</v>
      </c>
    </row>
    <row r="5181" spans="2:2">
      <c r="B5181" s="21">
        <f>IF(AND(C5181&lt;&gt;"", J5181&lt;&gt;""), HYPERLINK("#'" &amp; C5181 &amp; "'!" &amp; J5181, J5181), "")</f>
        <v>0</v>
      </c>
    </row>
    <row r="5182" spans="2:2">
      <c r="B5182" s="21">
        <f>IF(AND(C5182&lt;&gt;"", J5182&lt;&gt;""), HYPERLINK("#'" &amp; C5182 &amp; "'!" &amp; J5182, J5182), "")</f>
        <v>0</v>
      </c>
    </row>
    <row r="5183" spans="2:2">
      <c r="B5183" s="21">
        <f>IF(AND(C5183&lt;&gt;"", J5183&lt;&gt;""), HYPERLINK("#'" &amp; C5183 &amp; "'!" &amp; J5183, J5183), "")</f>
        <v>0</v>
      </c>
    </row>
    <row r="5184" spans="2:2">
      <c r="B5184" s="21">
        <f>IF(AND(C5184&lt;&gt;"", J5184&lt;&gt;""), HYPERLINK("#'" &amp; C5184 &amp; "'!" &amp; J5184, J5184), "")</f>
        <v>0</v>
      </c>
    </row>
    <row r="5185" spans="2:2">
      <c r="B5185" s="21">
        <f>IF(AND(C5185&lt;&gt;"", J5185&lt;&gt;""), HYPERLINK("#'" &amp; C5185 &amp; "'!" &amp; J5185, J5185), "")</f>
        <v>0</v>
      </c>
    </row>
    <row r="5186" spans="2:2">
      <c r="B5186" s="21">
        <f>IF(AND(C5186&lt;&gt;"", J5186&lt;&gt;""), HYPERLINK("#'" &amp; C5186 &amp; "'!" &amp; J5186, J5186), "")</f>
        <v>0</v>
      </c>
    </row>
    <row r="5187" spans="2:2">
      <c r="B5187" s="21">
        <f>IF(AND(C5187&lt;&gt;"", J5187&lt;&gt;""), HYPERLINK("#'" &amp; C5187 &amp; "'!" &amp; J5187, J5187), "")</f>
        <v>0</v>
      </c>
    </row>
    <row r="5188" spans="2:2">
      <c r="B5188" s="21">
        <f>IF(AND(C5188&lt;&gt;"", J5188&lt;&gt;""), HYPERLINK("#'" &amp; C5188 &amp; "'!" &amp; J5188, J5188), "")</f>
        <v>0</v>
      </c>
    </row>
    <row r="5189" spans="2:2">
      <c r="B5189" s="21">
        <f>IF(AND(C5189&lt;&gt;"", J5189&lt;&gt;""), HYPERLINK("#'" &amp; C5189 &amp; "'!" &amp; J5189, J5189), "")</f>
        <v>0</v>
      </c>
    </row>
    <row r="5190" spans="2:2">
      <c r="B5190" s="21">
        <f>IF(AND(C5190&lt;&gt;"", J5190&lt;&gt;""), HYPERLINK("#'" &amp; C5190 &amp; "'!" &amp; J5190, J5190), "")</f>
        <v>0</v>
      </c>
    </row>
    <row r="5191" spans="2:2">
      <c r="B5191" s="21">
        <f>IF(AND(C5191&lt;&gt;"", J5191&lt;&gt;""), HYPERLINK("#'" &amp; C5191 &amp; "'!" &amp; J5191, J5191), "")</f>
        <v>0</v>
      </c>
    </row>
    <row r="5192" spans="2:2">
      <c r="B5192" s="21">
        <f>IF(AND(C5192&lt;&gt;"", J5192&lt;&gt;""), HYPERLINK("#'" &amp; C5192 &amp; "'!" &amp; J5192, J5192), "")</f>
        <v>0</v>
      </c>
    </row>
    <row r="5193" spans="2:2">
      <c r="B5193" s="21">
        <f>IF(AND(C5193&lt;&gt;"", J5193&lt;&gt;""), HYPERLINK("#'" &amp; C5193 &amp; "'!" &amp; J5193, J5193), "")</f>
        <v>0</v>
      </c>
    </row>
    <row r="5194" spans="2:2">
      <c r="B5194" s="21">
        <f>IF(AND(C5194&lt;&gt;"", J5194&lt;&gt;""), HYPERLINK("#'" &amp; C5194 &amp; "'!" &amp; J5194, J5194), "")</f>
        <v>0</v>
      </c>
    </row>
    <row r="5195" spans="2:2">
      <c r="B5195" s="21">
        <f>IF(AND(C5195&lt;&gt;"", J5195&lt;&gt;""), HYPERLINK("#'" &amp; C5195 &amp; "'!" &amp; J5195, J5195), "")</f>
        <v>0</v>
      </c>
    </row>
    <row r="5196" spans="2:2">
      <c r="B5196" s="21">
        <f>IF(AND(C5196&lt;&gt;"", J5196&lt;&gt;""), HYPERLINK("#'" &amp; C5196 &amp; "'!" &amp; J5196, J5196), "")</f>
        <v>0</v>
      </c>
    </row>
    <row r="5197" spans="2:2">
      <c r="B5197" s="21">
        <f>IF(AND(C5197&lt;&gt;"", J5197&lt;&gt;""), HYPERLINK("#'" &amp; C5197 &amp; "'!" &amp; J5197, J5197), "")</f>
        <v>0</v>
      </c>
    </row>
    <row r="5198" spans="2:2">
      <c r="B5198" s="21">
        <f>IF(AND(C5198&lt;&gt;"", J5198&lt;&gt;""), HYPERLINK("#'" &amp; C5198 &amp; "'!" &amp; J5198, J5198), "")</f>
        <v>0</v>
      </c>
    </row>
    <row r="5199" spans="2:2">
      <c r="B5199" s="21">
        <f>IF(AND(C5199&lt;&gt;"", J5199&lt;&gt;""), HYPERLINK("#'" &amp; C5199 &amp; "'!" &amp; J5199, J5199), "")</f>
        <v>0</v>
      </c>
    </row>
    <row r="5200" spans="2:2">
      <c r="B5200" s="21">
        <f>IF(AND(C5200&lt;&gt;"", J5200&lt;&gt;""), HYPERLINK("#'" &amp; C5200 &amp; "'!" &amp; J5200, J5200), "")</f>
        <v>0</v>
      </c>
    </row>
    <row r="5201" spans="2:2">
      <c r="B5201" s="21">
        <f>IF(AND(C5201&lt;&gt;"", J5201&lt;&gt;""), HYPERLINK("#'" &amp; C5201 &amp; "'!" &amp; J5201, J5201), "")</f>
        <v>0</v>
      </c>
    </row>
    <row r="5202" spans="2:2">
      <c r="B5202" s="21">
        <f>IF(AND(C5202&lt;&gt;"", J5202&lt;&gt;""), HYPERLINK("#'" &amp; C5202 &amp; "'!" &amp; J5202, J5202), "")</f>
        <v>0</v>
      </c>
    </row>
    <row r="5203" spans="2:2">
      <c r="B5203" s="21">
        <f>IF(AND(C5203&lt;&gt;"", J5203&lt;&gt;""), HYPERLINK("#'" &amp; C5203 &amp; "'!" &amp; J5203, J5203), "")</f>
        <v>0</v>
      </c>
    </row>
    <row r="5204" spans="2:2">
      <c r="B5204" s="21">
        <f>IF(AND(C5204&lt;&gt;"", J5204&lt;&gt;""), HYPERLINK("#'" &amp; C5204 &amp; "'!" &amp; J5204, J5204), "")</f>
        <v>0</v>
      </c>
    </row>
    <row r="5205" spans="2:2">
      <c r="B5205" s="21">
        <f>IF(AND(C5205&lt;&gt;"", J5205&lt;&gt;""), HYPERLINK("#'" &amp; C5205 &amp; "'!" &amp; J5205, J5205), "")</f>
        <v>0</v>
      </c>
    </row>
    <row r="5206" spans="2:2">
      <c r="B5206" s="21">
        <f>IF(AND(C5206&lt;&gt;"", J5206&lt;&gt;""), HYPERLINK("#'" &amp; C5206 &amp; "'!" &amp; J5206, J5206), "")</f>
        <v>0</v>
      </c>
    </row>
    <row r="5207" spans="2:2">
      <c r="B5207" s="21">
        <f>IF(AND(C5207&lt;&gt;"", J5207&lt;&gt;""), HYPERLINK("#'" &amp; C5207 &amp; "'!" &amp; J5207, J5207), "")</f>
        <v>0</v>
      </c>
    </row>
    <row r="5208" spans="2:2">
      <c r="B5208" s="21">
        <f>IF(AND(C5208&lt;&gt;"", J5208&lt;&gt;""), HYPERLINK("#'" &amp; C5208 &amp; "'!" &amp; J5208, J5208), "")</f>
        <v>0</v>
      </c>
    </row>
    <row r="5209" spans="2:2">
      <c r="B5209" s="21">
        <f>IF(AND(C5209&lt;&gt;"", J5209&lt;&gt;""), HYPERLINK("#'" &amp; C5209 &amp; "'!" &amp; J5209, J5209), "")</f>
        <v>0</v>
      </c>
    </row>
    <row r="5210" spans="2:2">
      <c r="B5210" s="21">
        <f>IF(AND(C5210&lt;&gt;"", J5210&lt;&gt;""), HYPERLINK("#'" &amp; C5210 &amp; "'!" &amp; J5210, J5210), "")</f>
        <v>0</v>
      </c>
    </row>
    <row r="5211" spans="2:2">
      <c r="B5211" s="21">
        <f>IF(AND(C5211&lt;&gt;"", J5211&lt;&gt;""), HYPERLINK("#'" &amp; C5211 &amp; "'!" &amp; J5211, J5211), "")</f>
        <v>0</v>
      </c>
    </row>
    <row r="5212" spans="2:2">
      <c r="B5212" s="21">
        <f>IF(AND(C5212&lt;&gt;"", J5212&lt;&gt;""), HYPERLINK("#'" &amp; C5212 &amp; "'!" &amp; J5212, J5212), "")</f>
        <v>0</v>
      </c>
    </row>
    <row r="5213" spans="2:2">
      <c r="B5213" s="21">
        <f>IF(AND(C5213&lt;&gt;"", J5213&lt;&gt;""), HYPERLINK("#'" &amp; C5213 &amp; "'!" &amp; J5213, J5213), "")</f>
        <v>0</v>
      </c>
    </row>
    <row r="5214" spans="2:2">
      <c r="B5214" s="21">
        <f>IF(AND(C5214&lt;&gt;"", J5214&lt;&gt;""), HYPERLINK("#'" &amp; C5214 &amp; "'!" &amp; J5214, J5214), "")</f>
        <v>0</v>
      </c>
    </row>
    <row r="5215" spans="2:2">
      <c r="B5215" s="21">
        <f>IF(AND(C5215&lt;&gt;"", J5215&lt;&gt;""), HYPERLINK("#'" &amp; C5215 &amp; "'!" &amp; J5215, J5215), "")</f>
        <v>0</v>
      </c>
    </row>
    <row r="5216" spans="2:2">
      <c r="B5216" s="21">
        <f>IF(AND(C5216&lt;&gt;"", J5216&lt;&gt;""), HYPERLINK("#'" &amp; C5216 &amp; "'!" &amp; J5216, J5216), "")</f>
        <v>0</v>
      </c>
    </row>
    <row r="5217" spans="2:2">
      <c r="B5217" s="21">
        <f>IF(AND(C5217&lt;&gt;"", J5217&lt;&gt;""), HYPERLINK("#'" &amp; C5217 &amp; "'!" &amp; J5217, J5217), "")</f>
        <v>0</v>
      </c>
    </row>
    <row r="5218" spans="2:2">
      <c r="B5218" s="21">
        <f>IF(AND(C5218&lt;&gt;"", J5218&lt;&gt;""), HYPERLINK("#'" &amp; C5218 &amp; "'!" &amp; J5218, J5218), "")</f>
        <v>0</v>
      </c>
    </row>
    <row r="5219" spans="2:2">
      <c r="B5219" s="21">
        <f>IF(AND(C5219&lt;&gt;"", J5219&lt;&gt;""), HYPERLINK("#'" &amp; C5219 &amp; "'!" &amp; J5219, J5219), "")</f>
        <v>0</v>
      </c>
    </row>
    <row r="5220" spans="2:2">
      <c r="B5220" s="21">
        <f>IF(AND(C5220&lt;&gt;"", J5220&lt;&gt;""), HYPERLINK("#'" &amp; C5220 &amp; "'!" &amp; J5220, J5220), "")</f>
        <v>0</v>
      </c>
    </row>
    <row r="5221" spans="2:2">
      <c r="B5221" s="21">
        <f>IF(AND(C5221&lt;&gt;"", J5221&lt;&gt;""), HYPERLINK("#'" &amp; C5221 &amp; "'!" &amp; J5221, J5221), "")</f>
        <v>0</v>
      </c>
    </row>
    <row r="5222" spans="2:2">
      <c r="B5222" s="21">
        <f>IF(AND(C5222&lt;&gt;"", J5222&lt;&gt;""), HYPERLINK("#'" &amp; C5222 &amp; "'!" &amp; J5222, J5222), "")</f>
        <v>0</v>
      </c>
    </row>
    <row r="5223" spans="2:2">
      <c r="B5223" s="21">
        <f>IF(AND(C5223&lt;&gt;"", J5223&lt;&gt;""), HYPERLINK("#'" &amp; C5223 &amp; "'!" &amp; J5223, J5223), "")</f>
        <v>0</v>
      </c>
    </row>
    <row r="5224" spans="2:2">
      <c r="B5224" s="21">
        <f>IF(AND(C5224&lt;&gt;"", J5224&lt;&gt;""), HYPERLINK("#'" &amp; C5224 &amp; "'!" &amp; J5224, J5224), "")</f>
        <v>0</v>
      </c>
    </row>
    <row r="5225" spans="2:2">
      <c r="B5225" s="21">
        <f>IF(AND(C5225&lt;&gt;"", J5225&lt;&gt;""), HYPERLINK("#'" &amp; C5225 &amp; "'!" &amp; J5225, J5225), "")</f>
        <v>0</v>
      </c>
    </row>
    <row r="5226" spans="2:2">
      <c r="B5226" s="21">
        <f>IF(AND(C5226&lt;&gt;"", J5226&lt;&gt;""), HYPERLINK("#'" &amp; C5226 &amp; "'!" &amp; J5226, J5226), "")</f>
        <v>0</v>
      </c>
    </row>
    <row r="5227" spans="2:2">
      <c r="B5227" s="21">
        <f>IF(AND(C5227&lt;&gt;"", J5227&lt;&gt;""), HYPERLINK("#'" &amp; C5227 &amp; "'!" &amp; J5227, J5227), "")</f>
        <v>0</v>
      </c>
    </row>
    <row r="5228" spans="2:2">
      <c r="B5228" s="21">
        <f>IF(AND(C5228&lt;&gt;"", J5228&lt;&gt;""), HYPERLINK("#'" &amp; C5228 &amp; "'!" &amp; J5228, J5228), "")</f>
        <v>0</v>
      </c>
    </row>
    <row r="5229" spans="2:2">
      <c r="B5229" s="21">
        <f>IF(AND(C5229&lt;&gt;"", J5229&lt;&gt;""), HYPERLINK("#'" &amp; C5229 &amp; "'!" &amp; J5229, J5229), "")</f>
        <v>0</v>
      </c>
    </row>
    <row r="5230" spans="2:2">
      <c r="B5230" s="21">
        <f>IF(AND(C5230&lt;&gt;"", J5230&lt;&gt;""), HYPERLINK("#'" &amp; C5230 &amp; "'!" &amp; J5230, J5230), "")</f>
        <v>0</v>
      </c>
    </row>
    <row r="5231" spans="2:2">
      <c r="B5231" s="21">
        <f>IF(AND(C5231&lt;&gt;"", J5231&lt;&gt;""), HYPERLINK("#'" &amp; C5231 &amp; "'!" &amp; J5231, J5231), "")</f>
        <v>0</v>
      </c>
    </row>
    <row r="5232" spans="2:2">
      <c r="B5232" s="21">
        <f>IF(AND(C5232&lt;&gt;"", J5232&lt;&gt;""), HYPERLINK("#'" &amp; C5232 &amp; "'!" &amp; J5232, J5232), "")</f>
        <v>0</v>
      </c>
    </row>
    <row r="5233" spans="2:2">
      <c r="B5233" s="21">
        <f>IF(AND(C5233&lt;&gt;"", J5233&lt;&gt;""), HYPERLINK("#'" &amp; C5233 &amp; "'!" &amp; J5233, J5233), "")</f>
        <v>0</v>
      </c>
    </row>
    <row r="5234" spans="2:2">
      <c r="B5234" s="21">
        <f>IF(AND(C5234&lt;&gt;"", J5234&lt;&gt;""), HYPERLINK("#'" &amp; C5234 &amp; "'!" &amp; J5234, J5234), "")</f>
        <v>0</v>
      </c>
    </row>
    <row r="5235" spans="2:2">
      <c r="B5235" s="21">
        <f>IF(AND(C5235&lt;&gt;"", J5235&lt;&gt;""), HYPERLINK("#'" &amp; C5235 &amp; "'!" &amp; J5235, J5235), "")</f>
        <v>0</v>
      </c>
    </row>
    <row r="5236" spans="2:2">
      <c r="B5236" s="21">
        <f>IF(AND(C5236&lt;&gt;"", J5236&lt;&gt;""), HYPERLINK("#'" &amp; C5236 &amp; "'!" &amp; J5236, J5236), "")</f>
        <v>0</v>
      </c>
    </row>
    <row r="5237" spans="2:2">
      <c r="B5237" s="21">
        <f>IF(AND(C5237&lt;&gt;"", J5237&lt;&gt;""), HYPERLINK("#'" &amp; C5237 &amp; "'!" &amp; J5237, J5237), "")</f>
        <v>0</v>
      </c>
    </row>
    <row r="5238" spans="2:2">
      <c r="B5238" s="21">
        <f>IF(AND(C5238&lt;&gt;"", J5238&lt;&gt;""), HYPERLINK("#'" &amp; C5238 &amp; "'!" &amp; J5238, J5238), "")</f>
        <v>0</v>
      </c>
    </row>
    <row r="5239" spans="2:2">
      <c r="B5239" s="21">
        <f>IF(AND(C5239&lt;&gt;"", J5239&lt;&gt;""), HYPERLINK("#'" &amp; C5239 &amp; "'!" &amp; J5239, J5239), "")</f>
        <v>0</v>
      </c>
    </row>
    <row r="5240" spans="2:2">
      <c r="B5240" s="21">
        <f>IF(AND(C5240&lt;&gt;"", J5240&lt;&gt;""), HYPERLINK("#'" &amp; C5240 &amp; "'!" &amp; J5240, J5240), "")</f>
        <v>0</v>
      </c>
    </row>
    <row r="5241" spans="2:2">
      <c r="B5241" s="21">
        <f>IF(AND(C5241&lt;&gt;"", J5241&lt;&gt;""), HYPERLINK("#'" &amp; C5241 &amp; "'!" &amp; J5241, J5241), "")</f>
        <v>0</v>
      </c>
    </row>
    <row r="5242" spans="2:2">
      <c r="B5242" s="21">
        <f>IF(AND(C5242&lt;&gt;"", J5242&lt;&gt;""), HYPERLINK("#'" &amp; C5242 &amp; "'!" &amp; J5242, J5242), "")</f>
        <v>0</v>
      </c>
    </row>
    <row r="5243" spans="2:2">
      <c r="B5243" s="21">
        <f>IF(AND(C5243&lt;&gt;"", J5243&lt;&gt;""), HYPERLINK("#'" &amp; C5243 &amp; "'!" &amp; J5243, J5243), "")</f>
        <v>0</v>
      </c>
    </row>
    <row r="5244" spans="2:2">
      <c r="B5244" s="21">
        <f>IF(AND(C5244&lt;&gt;"", J5244&lt;&gt;""), HYPERLINK("#'" &amp; C5244 &amp; "'!" &amp; J5244, J5244), "")</f>
        <v>0</v>
      </c>
    </row>
    <row r="5245" spans="2:2">
      <c r="B5245" s="21">
        <f>IF(AND(C5245&lt;&gt;"", J5245&lt;&gt;""), HYPERLINK("#'" &amp; C5245 &amp; "'!" &amp; J5245, J5245), "")</f>
        <v>0</v>
      </c>
    </row>
    <row r="5246" spans="2:2">
      <c r="B5246" s="21">
        <f>IF(AND(C5246&lt;&gt;"", J5246&lt;&gt;""), HYPERLINK("#'" &amp; C5246 &amp; "'!" &amp; J5246, J5246), "")</f>
        <v>0</v>
      </c>
    </row>
    <row r="5247" spans="2:2">
      <c r="B5247" s="21">
        <f>IF(AND(C5247&lt;&gt;"", J5247&lt;&gt;""), HYPERLINK("#'" &amp; C5247 &amp; "'!" &amp; J5247, J5247), "")</f>
        <v>0</v>
      </c>
    </row>
    <row r="5248" spans="2:2">
      <c r="B5248" s="21">
        <f>IF(AND(C5248&lt;&gt;"", J5248&lt;&gt;""), HYPERLINK("#'" &amp; C5248 &amp; "'!" &amp; J5248, J5248), "")</f>
        <v>0</v>
      </c>
    </row>
    <row r="5249" spans="2:2">
      <c r="B5249" s="21">
        <f>IF(AND(C5249&lt;&gt;"", J5249&lt;&gt;""), HYPERLINK("#'" &amp; C5249 &amp; "'!" &amp; J5249, J5249), "")</f>
        <v>0</v>
      </c>
    </row>
    <row r="5250" spans="2:2">
      <c r="B5250" s="21">
        <f>IF(AND(C5250&lt;&gt;"", J5250&lt;&gt;""), HYPERLINK("#'" &amp; C5250 &amp; "'!" &amp; J5250, J5250), "")</f>
        <v>0</v>
      </c>
    </row>
    <row r="5251" spans="2:2">
      <c r="B5251" s="21">
        <f>IF(AND(C5251&lt;&gt;"", J5251&lt;&gt;""), HYPERLINK("#'" &amp; C5251 &amp; "'!" &amp; J5251, J5251), "")</f>
        <v>0</v>
      </c>
    </row>
    <row r="5252" spans="2:2">
      <c r="B5252" s="21">
        <f>IF(AND(C5252&lt;&gt;"", J5252&lt;&gt;""), HYPERLINK("#'" &amp; C5252 &amp; "'!" &amp; J5252, J5252), "")</f>
        <v>0</v>
      </c>
    </row>
    <row r="5253" spans="2:2">
      <c r="B5253" s="21">
        <f>IF(AND(C5253&lt;&gt;"", J5253&lt;&gt;""), HYPERLINK("#'" &amp; C5253 &amp; "'!" &amp; J5253, J5253), "")</f>
        <v>0</v>
      </c>
    </row>
    <row r="5254" spans="2:2">
      <c r="B5254" s="21">
        <f>IF(AND(C5254&lt;&gt;"", J5254&lt;&gt;""), HYPERLINK("#'" &amp; C5254 &amp; "'!" &amp; J5254, J5254), "")</f>
        <v>0</v>
      </c>
    </row>
    <row r="5255" spans="2:2">
      <c r="B5255" s="21">
        <f>IF(AND(C5255&lt;&gt;"", J5255&lt;&gt;""), HYPERLINK("#'" &amp; C5255 &amp; "'!" &amp; J5255, J5255), "")</f>
        <v>0</v>
      </c>
    </row>
    <row r="5256" spans="2:2">
      <c r="B5256" s="21">
        <f>IF(AND(C5256&lt;&gt;"", J5256&lt;&gt;""), HYPERLINK("#'" &amp; C5256 &amp; "'!" &amp; J5256, J5256), "")</f>
        <v>0</v>
      </c>
    </row>
    <row r="5257" spans="2:2">
      <c r="B5257" s="21">
        <f>IF(AND(C5257&lt;&gt;"", J5257&lt;&gt;""), HYPERLINK("#'" &amp; C5257 &amp; "'!" &amp; J5257, J5257), "")</f>
        <v>0</v>
      </c>
    </row>
    <row r="5258" spans="2:2">
      <c r="B5258" s="21">
        <f>IF(AND(C5258&lt;&gt;"", J5258&lt;&gt;""), HYPERLINK("#'" &amp; C5258 &amp; "'!" &amp; J5258, J5258), "")</f>
        <v>0</v>
      </c>
    </row>
    <row r="5259" spans="2:2">
      <c r="B5259" s="21">
        <f>IF(AND(C5259&lt;&gt;"", J5259&lt;&gt;""), HYPERLINK("#'" &amp; C5259 &amp; "'!" &amp; J5259, J5259), "")</f>
        <v>0</v>
      </c>
    </row>
    <row r="5260" spans="2:2">
      <c r="B5260" s="21">
        <f>IF(AND(C5260&lt;&gt;"", J5260&lt;&gt;""), HYPERLINK("#'" &amp; C5260 &amp; "'!" &amp; J5260, J5260), "")</f>
        <v>0</v>
      </c>
    </row>
    <row r="5261" spans="2:2">
      <c r="B5261" s="21">
        <f>IF(AND(C5261&lt;&gt;"", J5261&lt;&gt;""), HYPERLINK("#'" &amp; C5261 &amp; "'!" &amp; J5261, J5261), "")</f>
        <v>0</v>
      </c>
    </row>
    <row r="5262" spans="2:2">
      <c r="B5262" s="21">
        <f>IF(AND(C5262&lt;&gt;"", J5262&lt;&gt;""), HYPERLINK("#'" &amp; C5262 &amp; "'!" &amp; J5262, J5262), "")</f>
        <v>0</v>
      </c>
    </row>
    <row r="5263" spans="2:2">
      <c r="B5263" s="21">
        <f>IF(AND(C5263&lt;&gt;"", J5263&lt;&gt;""), HYPERLINK("#'" &amp; C5263 &amp; "'!" &amp; J5263, J5263), "")</f>
        <v>0</v>
      </c>
    </row>
    <row r="5264" spans="2:2">
      <c r="B5264" s="21">
        <f>IF(AND(C5264&lt;&gt;"", J5264&lt;&gt;""), HYPERLINK("#'" &amp; C5264 &amp; "'!" &amp; J5264, J5264), "")</f>
        <v>0</v>
      </c>
    </row>
    <row r="5265" spans="2:2">
      <c r="B5265" s="21">
        <f>IF(AND(C5265&lt;&gt;"", J5265&lt;&gt;""), HYPERLINK("#'" &amp; C5265 &amp; "'!" &amp; J5265, J5265), "")</f>
        <v>0</v>
      </c>
    </row>
    <row r="5266" spans="2:2">
      <c r="B5266" s="21">
        <f>IF(AND(C5266&lt;&gt;"", J5266&lt;&gt;""), HYPERLINK("#'" &amp; C5266 &amp; "'!" &amp; J5266, J5266), "")</f>
        <v>0</v>
      </c>
    </row>
    <row r="5267" spans="2:2">
      <c r="B5267" s="21">
        <f>IF(AND(C5267&lt;&gt;"", J5267&lt;&gt;""), HYPERLINK("#'" &amp; C5267 &amp; "'!" &amp; J5267, J5267), "")</f>
        <v>0</v>
      </c>
    </row>
    <row r="5268" spans="2:2">
      <c r="B5268" s="21">
        <f>IF(AND(C5268&lt;&gt;"", J5268&lt;&gt;""), HYPERLINK("#'" &amp; C5268 &amp; "'!" &amp; J5268, J5268), "")</f>
        <v>0</v>
      </c>
    </row>
    <row r="5269" spans="2:2">
      <c r="B5269" s="21">
        <f>IF(AND(C5269&lt;&gt;"", J5269&lt;&gt;""), HYPERLINK("#'" &amp; C5269 &amp; "'!" &amp; J5269, J5269), "")</f>
        <v>0</v>
      </c>
    </row>
    <row r="5270" spans="2:2">
      <c r="B5270" s="21">
        <f>IF(AND(C5270&lt;&gt;"", J5270&lt;&gt;""), HYPERLINK("#'" &amp; C5270 &amp; "'!" &amp; J5270, J5270), "")</f>
        <v>0</v>
      </c>
    </row>
    <row r="5271" spans="2:2">
      <c r="B5271" s="21">
        <f>IF(AND(C5271&lt;&gt;"", J5271&lt;&gt;""), HYPERLINK("#'" &amp; C5271 &amp; "'!" &amp; J5271, J5271), "")</f>
        <v>0</v>
      </c>
    </row>
    <row r="5272" spans="2:2">
      <c r="B5272" s="21">
        <f>IF(AND(C5272&lt;&gt;"", J5272&lt;&gt;""), HYPERLINK("#'" &amp; C5272 &amp; "'!" &amp; J5272, J5272), "")</f>
        <v>0</v>
      </c>
    </row>
    <row r="5273" spans="2:2">
      <c r="B5273" s="21">
        <f>IF(AND(C5273&lt;&gt;"", J5273&lt;&gt;""), HYPERLINK("#'" &amp; C5273 &amp; "'!" &amp; J5273, J5273), "")</f>
        <v>0</v>
      </c>
    </row>
    <row r="5274" spans="2:2">
      <c r="B5274" s="21">
        <f>IF(AND(C5274&lt;&gt;"", J5274&lt;&gt;""), HYPERLINK("#'" &amp; C5274 &amp; "'!" &amp; J5274, J5274), "")</f>
        <v>0</v>
      </c>
    </row>
    <row r="5275" spans="2:2">
      <c r="B5275" s="21">
        <f>IF(AND(C5275&lt;&gt;"", J5275&lt;&gt;""), HYPERLINK("#'" &amp; C5275 &amp; "'!" &amp; J5275, J5275), "")</f>
        <v>0</v>
      </c>
    </row>
    <row r="5276" spans="2:2">
      <c r="B5276" s="21">
        <f>IF(AND(C5276&lt;&gt;"", J5276&lt;&gt;""), HYPERLINK("#'" &amp; C5276 &amp; "'!" &amp; J5276, J5276), "")</f>
        <v>0</v>
      </c>
    </row>
    <row r="5277" spans="2:2">
      <c r="B5277" s="21">
        <f>IF(AND(C5277&lt;&gt;"", J5277&lt;&gt;""), HYPERLINK("#'" &amp; C5277 &amp; "'!" &amp; J5277, J5277), "")</f>
        <v>0</v>
      </c>
    </row>
    <row r="5278" spans="2:2">
      <c r="B5278" s="21">
        <f>IF(AND(C5278&lt;&gt;"", J5278&lt;&gt;""), HYPERLINK("#'" &amp; C5278 &amp; "'!" &amp; J5278, J5278), "")</f>
        <v>0</v>
      </c>
    </row>
    <row r="5279" spans="2:2">
      <c r="B5279" s="21">
        <f>IF(AND(C5279&lt;&gt;"", J5279&lt;&gt;""), HYPERLINK("#'" &amp; C5279 &amp; "'!" &amp; J5279, J5279), "")</f>
        <v>0</v>
      </c>
    </row>
    <row r="5280" spans="2:2">
      <c r="B5280" s="21">
        <f>IF(AND(C5280&lt;&gt;"", J5280&lt;&gt;""), HYPERLINK("#'" &amp; C5280 &amp; "'!" &amp; J5280, J5280), "")</f>
        <v>0</v>
      </c>
    </row>
    <row r="5281" spans="2:2">
      <c r="B5281" s="21">
        <f>IF(AND(C5281&lt;&gt;"", J5281&lt;&gt;""), HYPERLINK("#'" &amp; C5281 &amp; "'!" &amp; J5281, J5281), "")</f>
        <v>0</v>
      </c>
    </row>
    <row r="5282" spans="2:2">
      <c r="B5282" s="21">
        <f>IF(AND(C5282&lt;&gt;"", J5282&lt;&gt;""), HYPERLINK("#'" &amp; C5282 &amp; "'!" &amp; J5282, J5282), "")</f>
        <v>0</v>
      </c>
    </row>
    <row r="5283" spans="2:2">
      <c r="B5283" s="21">
        <f>IF(AND(C5283&lt;&gt;"", J5283&lt;&gt;""), HYPERLINK("#'" &amp; C5283 &amp; "'!" &amp; J5283, J5283), "")</f>
        <v>0</v>
      </c>
    </row>
    <row r="5284" spans="2:2">
      <c r="B5284" s="21">
        <f>IF(AND(C5284&lt;&gt;"", J5284&lt;&gt;""), HYPERLINK("#'" &amp; C5284 &amp; "'!" &amp; J5284, J5284), "")</f>
        <v>0</v>
      </c>
    </row>
    <row r="5285" spans="2:2">
      <c r="B5285" s="21">
        <f>IF(AND(C5285&lt;&gt;"", J5285&lt;&gt;""), HYPERLINK("#'" &amp; C5285 &amp; "'!" &amp; J5285, J5285), "")</f>
        <v>0</v>
      </c>
    </row>
    <row r="5286" spans="2:2">
      <c r="B5286" s="21">
        <f>IF(AND(C5286&lt;&gt;"", J5286&lt;&gt;""), HYPERLINK("#'" &amp; C5286 &amp; "'!" &amp; J5286, J5286), "")</f>
        <v>0</v>
      </c>
    </row>
    <row r="5287" spans="2:2">
      <c r="B5287" s="21">
        <f>IF(AND(C5287&lt;&gt;"", J5287&lt;&gt;""), HYPERLINK("#'" &amp; C5287 &amp; "'!" &amp; J5287, J5287), "")</f>
        <v>0</v>
      </c>
    </row>
    <row r="5288" spans="2:2">
      <c r="B5288" s="21">
        <f>IF(AND(C5288&lt;&gt;"", J5288&lt;&gt;""), HYPERLINK("#'" &amp; C5288 &amp; "'!" &amp; J5288, J5288), "")</f>
        <v>0</v>
      </c>
    </row>
    <row r="5289" spans="2:2">
      <c r="B5289" s="21">
        <f>IF(AND(C5289&lt;&gt;"", J5289&lt;&gt;""), HYPERLINK("#'" &amp; C5289 &amp; "'!" &amp; J5289, J5289), "")</f>
        <v>0</v>
      </c>
    </row>
    <row r="5290" spans="2:2">
      <c r="B5290" s="21">
        <f>IF(AND(C5290&lt;&gt;"", J5290&lt;&gt;""), HYPERLINK("#'" &amp; C5290 &amp; "'!" &amp; J5290, J5290), "")</f>
        <v>0</v>
      </c>
    </row>
    <row r="5291" spans="2:2">
      <c r="B5291" s="21">
        <f>IF(AND(C5291&lt;&gt;"", J5291&lt;&gt;""), HYPERLINK("#'" &amp; C5291 &amp; "'!" &amp; J5291, J5291), "")</f>
        <v>0</v>
      </c>
    </row>
    <row r="5292" spans="2:2">
      <c r="B5292" s="21">
        <f>IF(AND(C5292&lt;&gt;"", J5292&lt;&gt;""), HYPERLINK("#'" &amp; C5292 &amp; "'!" &amp; J5292, J5292), "")</f>
        <v>0</v>
      </c>
    </row>
    <row r="5293" spans="2:2">
      <c r="B5293" s="21">
        <f>IF(AND(C5293&lt;&gt;"", J5293&lt;&gt;""), HYPERLINK("#'" &amp; C5293 &amp; "'!" &amp; J5293, J5293), "")</f>
        <v>0</v>
      </c>
    </row>
    <row r="5294" spans="2:2">
      <c r="B5294" s="21">
        <f>IF(AND(C5294&lt;&gt;"", J5294&lt;&gt;""), HYPERLINK("#'" &amp; C5294 &amp; "'!" &amp; J5294, J5294), "")</f>
        <v>0</v>
      </c>
    </row>
    <row r="5295" spans="2:2">
      <c r="B5295" s="21">
        <f>IF(AND(C5295&lt;&gt;"", J5295&lt;&gt;""), HYPERLINK("#'" &amp; C5295 &amp; "'!" &amp; J5295, J5295), "")</f>
        <v>0</v>
      </c>
    </row>
    <row r="5296" spans="2:2">
      <c r="B5296" s="21">
        <f>IF(AND(C5296&lt;&gt;"", J5296&lt;&gt;""), HYPERLINK("#'" &amp; C5296 &amp; "'!" &amp; J5296, J5296), "")</f>
        <v>0</v>
      </c>
    </row>
    <row r="5297" spans="2:2">
      <c r="B5297" s="21">
        <f>IF(AND(C5297&lt;&gt;"", J5297&lt;&gt;""), HYPERLINK("#'" &amp; C5297 &amp; "'!" &amp; J5297, J5297), "")</f>
        <v>0</v>
      </c>
    </row>
    <row r="5298" spans="2:2">
      <c r="B5298" s="21">
        <f>IF(AND(C5298&lt;&gt;"", J5298&lt;&gt;""), HYPERLINK("#'" &amp; C5298 &amp; "'!" &amp; J5298, J5298), "")</f>
        <v>0</v>
      </c>
    </row>
    <row r="5299" spans="2:2">
      <c r="B5299" s="21">
        <f>IF(AND(C5299&lt;&gt;"", J5299&lt;&gt;""), HYPERLINK("#'" &amp; C5299 &amp; "'!" &amp; J5299, J5299), "")</f>
        <v>0</v>
      </c>
    </row>
    <row r="5300" spans="2:2">
      <c r="B5300" s="21">
        <f>IF(AND(C5300&lt;&gt;"", J5300&lt;&gt;""), HYPERLINK("#'" &amp; C5300 &amp; "'!" &amp; J5300, J5300), "")</f>
        <v>0</v>
      </c>
    </row>
    <row r="5301" spans="2:2">
      <c r="B5301" s="21">
        <f>IF(AND(C5301&lt;&gt;"", J5301&lt;&gt;""), HYPERLINK("#'" &amp; C5301 &amp; "'!" &amp; J5301, J5301), "")</f>
        <v>0</v>
      </c>
    </row>
    <row r="5302" spans="2:2">
      <c r="B5302" s="21">
        <f>IF(AND(C5302&lt;&gt;"", J5302&lt;&gt;""), HYPERLINK("#'" &amp; C5302 &amp; "'!" &amp; J5302, J5302), "")</f>
        <v>0</v>
      </c>
    </row>
    <row r="5303" spans="2:2">
      <c r="B5303" s="21">
        <f>IF(AND(C5303&lt;&gt;"", J5303&lt;&gt;""), HYPERLINK("#'" &amp; C5303 &amp; "'!" &amp; J5303, J5303), "")</f>
        <v>0</v>
      </c>
    </row>
    <row r="5304" spans="2:2">
      <c r="B5304" s="21">
        <f>IF(AND(C5304&lt;&gt;"", J5304&lt;&gt;""), HYPERLINK("#'" &amp; C5304 &amp; "'!" &amp; J5304, J5304), "")</f>
        <v>0</v>
      </c>
    </row>
    <row r="5305" spans="2:2">
      <c r="B5305" s="21">
        <f>IF(AND(C5305&lt;&gt;"", J5305&lt;&gt;""), HYPERLINK("#'" &amp; C5305 &amp; "'!" &amp; J5305, J5305), "")</f>
        <v>0</v>
      </c>
    </row>
    <row r="5306" spans="2:2">
      <c r="B5306" s="21">
        <f>IF(AND(C5306&lt;&gt;"", J5306&lt;&gt;""), HYPERLINK("#'" &amp; C5306 &amp; "'!" &amp; J5306, J5306), "")</f>
        <v>0</v>
      </c>
    </row>
    <row r="5307" spans="2:2">
      <c r="B5307" s="21">
        <f>IF(AND(C5307&lt;&gt;"", J5307&lt;&gt;""), HYPERLINK("#'" &amp; C5307 &amp; "'!" &amp; J5307, J5307), "")</f>
        <v>0</v>
      </c>
    </row>
    <row r="5308" spans="2:2">
      <c r="B5308" s="21">
        <f>IF(AND(C5308&lt;&gt;"", J5308&lt;&gt;""), HYPERLINK("#'" &amp; C5308 &amp; "'!" &amp; J5308, J5308), "")</f>
        <v>0</v>
      </c>
    </row>
    <row r="5309" spans="2:2">
      <c r="B5309" s="21">
        <f>IF(AND(C5309&lt;&gt;"", J5309&lt;&gt;""), HYPERLINK("#'" &amp; C5309 &amp; "'!" &amp; J5309, J5309), "")</f>
        <v>0</v>
      </c>
    </row>
    <row r="5310" spans="2:2">
      <c r="B5310" s="21">
        <f>IF(AND(C5310&lt;&gt;"", J5310&lt;&gt;""), HYPERLINK("#'" &amp; C5310 &amp; "'!" &amp; J5310, J5310), "")</f>
        <v>0</v>
      </c>
    </row>
    <row r="5311" spans="2:2">
      <c r="B5311" s="21">
        <f>IF(AND(C5311&lt;&gt;"", J5311&lt;&gt;""), HYPERLINK("#'" &amp; C5311 &amp; "'!" &amp; J5311, J5311), "")</f>
        <v>0</v>
      </c>
    </row>
    <row r="5312" spans="2:2">
      <c r="B5312" s="21">
        <f>IF(AND(C5312&lt;&gt;"", J5312&lt;&gt;""), HYPERLINK("#'" &amp; C5312 &amp; "'!" &amp; J5312, J5312), "")</f>
        <v>0</v>
      </c>
    </row>
    <row r="5313" spans="2:2">
      <c r="B5313" s="21">
        <f>IF(AND(C5313&lt;&gt;"", J5313&lt;&gt;""), HYPERLINK("#'" &amp; C5313 &amp; "'!" &amp; J5313, J5313), "")</f>
        <v>0</v>
      </c>
    </row>
    <row r="5314" spans="2:2">
      <c r="B5314" s="21">
        <f>IF(AND(C5314&lt;&gt;"", J5314&lt;&gt;""), HYPERLINK("#'" &amp; C5314 &amp; "'!" &amp; J5314, J5314), "")</f>
        <v>0</v>
      </c>
    </row>
    <row r="5315" spans="2:2">
      <c r="B5315" s="21">
        <f>IF(AND(C5315&lt;&gt;"", J5315&lt;&gt;""), HYPERLINK("#'" &amp; C5315 &amp; "'!" &amp; J5315, J5315), "")</f>
        <v>0</v>
      </c>
    </row>
    <row r="5316" spans="2:2">
      <c r="B5316" s="21">
        <f>IF(AND(C5316&lt;&gt;"", J5316&lt;&gt;""), HYPERLINK("#'" &amp; C5316 &amp; "'!" &amp; J5316, J5316), "")</f>
        <v>0</v>
      </c>
    </row>
    <row r="5317" spans="2:2">
      <c r="B5317" s="21">
        <f>IF(AND(C5317&lt;&gt;"", J5317&lt;&gt;""), HYPERLINK("#'" &amp; C5317 &amp; "'!" &amp; J5317, J5317), "")</f>
        <v>0</v>
      </c>
    </row>
    <row r="5318" spans="2:2">
      <c r="B5318" s="21">
        <f>IF(AND(C5318&lt;&gt;"", J5318&lt;&gt;""), HYPERLINK("#'" &amp; C5318 &amp; "'!" &amp; J5318, J5318), "")</f>
        <v>0</v>
      </c>
    </row>
    <row r="5319" spans="2:2">
      <c r="B5319" s="21">
        <f>IF(AND(C5319&lt;&gt;"", J5319&lt;&gt;""), HYPERLINK("#'" &amp; C5319 &amp; "'!" &amp; J5319, J5319), "")</f>
        <v>0</v>
      </c>
    </row>
    <row r="5320" spans="2:2">
      <c r="B5320" s="21">
        <f>IF(AND(C5320&lt;&gt;"", J5320&lt;&gt;""), HYPERLINK("#'" &amp; C5320 &amp; "'!" &amp; J5320, J5320), "")</f>
        <v>0</v>
      </c>
    </row>
    <row r="5321" spans="2:2">
      <c r="B5321" s="21">
        <f>IF(AND(C5321&lt;&gt;"", J5321&lt;&gt;""), HYPERLINK("#'" &amp; C5321 &amp; "'!" &amp; J5321, J5321), "")</f>
        <v>0</v>
      </c>
    </row>
    <row r="5322" spans="2:2">
      <c r="B5322" s="21">
        <f>IF(AND(C5322&lt;&gt;"", J5322&lt;&gt;""), HYPERLINK("#'" &amp; C5322 &amp; "'!" &amp; J5322, J5322), "")</f>
        <v>0</v>
      </c>
    </row>
    <row r="5323" spans="2:2">
      <c r="B5323" s="21">
        <f>IF(AND(C5323&lt;&gt;"", J5323&lt;&gt;""), HYPERLINK("#'" &amp; C5323 &amp; "'!" &amp; J5323, J5323), "")</f>
        <v>0</v>
      </c>
    </row>
    <row r="5324" spans="2:2">
      <c r="B5324" s="21">
        <f>IF(AND(C5324&lt;&gt;"", J5324&lt;&gt;""), HYPERLINK("#'" &amp; C5324 &amp; "'!" &amp; J5324, J5324), "")</f>
        <v>0</v>
      </c>
    </row>
    <row r="5325" spans="2:2">
      <c r="B5325" s="21">
        <f>IF(AND(C5325&lt;&gt;"", J5325&lt;&gt;""), HYPERLINK("#'" &amp; C5325 &amp; "'!" &amp; J5325, J5325), "")</f>
        <v>0</v>
      </c>
    </row>
    <row r="5326" spans="2:2">
      <c r="B5326" s="21">
        <f>IF(AND(C5326&lt;&gt;"", J5326&lt;&gt;""), HYPERLINK("#'" &amp; C5326 &amp; "'!" &amp; J5326, J5326), "")</f>
        <v>0</v>
      </c>
    </row>
    <row r="5327" spans="2:2">
      <c r="B5327" s="21">
        <f>IF(AND(C5327&lt;&gt;"", J5327&lt;&gt;""), HYPERLINK("#'" &amp; C5327 &amp; "'!" &amp; J5327, J5327), "")</f>
        <v>0</v>
      </c>
    </row>
    <row r="5328" spans="2:2">
      <c r="B5328" s="21">
        <f>IF(AND(C5328&lt;&gt;"", J5328&lt;&gt;""), HYPERLINK("#'" &amp; C5328 &amp; "'!" &amp; J5328, J5328), "")</f>
        <v>0</v>
      </c>
    </row>
    <row r="5329" spans="2:2">
      <c r="B5329" s="21">
        <f>IF(AND(C5329&lt;&gt;"", J5329&lt;&gt;""), HYPERLINK("#'" &amp; C5329 &amp; "'!" &amp; J5329, J5329), "")</f>
        <v>0</v>
      </c>
    </row>
    <row r="5330" spans="2:2">
      <c r="B5330" s="21">
        <f>IF(AND(C5330&lt;&gt;"", J5330&lt;&gt;""), HYPERLINK("#'" &amp; C5330 &amp; "'!" &amp; J5330, J5330), "")</f>
        <v>0</v>
      </c>
    </row>
    <row r="5331" spans="2:2">
      <c r="B5331" s="21">
        <f>IF(AND(C5331&lt;&gt;"", J5331&lt;&gt;""), HYPERLINK("#'" &amp; C5331 &amp; "'!" &amp; J5331, J5331), "")</f>
        <v>0</v>
      </c>
    </row>
    <row r="5332" spans="2:2">
      <c r="B5332" s="21">
        <f>IF(AND(C5332&lt;&gt;"", J5332&lt;&gt;""), HYPERLINK("#'" &amp; C5332 &amp; "'!" &amp; J5332, J5332), "")</f>
        <v>0</v>
      </c>
    </row>
    <row r="5333" spans="2:2">
      <c r="B5333" s="21">
        <f>IF(AND(C5333&lt;&gt;"", J5333&lt;&gt;""), HYPERLINK("#'" &amp; C5333 &amp; "'!" &amp; J5333, J5333), "")</f>
        <v>0</v>
      </c>
    </row>
    <row r="5334" spans="2:2">
      <c r="B5334" s="21">
        <f>IF(AND(C5334&lt;&gt;"", J5334&lt;&gt;""), HYPERLINK("#'" &amp; C5334 &amp; "'!" &amp; J5334, J5334), "")</f>
        <v>0</v>
      </c>
    </row>
    <row r="5335" spans="2:2">
      <c r="B5335" s="21">
        <f>IF(AND(C5335&lt;&gt;"", J5335&lt;&gt;""), HYPERLINK("#'" &amp; C5335 &amp; "'!" &amp; J5335, J5335), "")</f>
        <v>0</v>
      </c>
    </row>
    <row r="5336" spans="2:2">
      <c r="B5336" s="21">
        <f>IF(AND(C5336&lt;&gt;"", J5336&lt;&gt;""), HYPERLINK("#'" &amp; C5336 &amp; "'!" &amp; J5336, J5336), "")</f>
        <v>0</v>
      </c>
    </row>
    <row r="5337" spans="2:2">
      <c r="B5337" s="21">
        <f>IF(AND(C5337&lt;&gt;"", J5337&lt;&gt;""), HYPERLINK("#'" &amp; C5337 &amp; "'!" &amp; J5337, J5337), "")</f>
        <v>0</v>
      </c>
    </row>
    <row r="5338" spans="2:2">
      <c r="B5338" s="21">
        <f>IF(AND(C5338&lt;&gt;"", J5338&lt;&gt;""), HYPERLINK("#'" &amp; C5338 &amp; "'!" &amp; J5338, J5338), "")</f>
        <v>0</v>
      </c>
    </row>
    <row r="5339" spans="2:2">
      <c r="B5339" s="21">
        <f>IF(AND(C5339&lt;&gt;"", J5339&lt;&gt;""), HYPERLINK("#'" &amp; C5339 &amp; "'!" &amp; J5339, J5339), "")</f>
        <v>0</v>
      </c>
    </row>
    <row r="5340" spans="2:2">
      <c r="B5340" s="21">
        <f>IF(AND(C5340&lt;&gt;"", J5340&lt;&gt;""), HYPERLINK("#'" &amp; C5340 &amp; "'!" &amp; J5340, J5340), "")</f>
        <v>0</v>
      </c>
    </row>
    <row r="5341" spans="2:2">
      <c r="B5341" s="21">
        <f>IF(AND(C5341&lt;&gt;"", J5341&lt;&gt;""), HYPERLINK("#'" &amp; C5341 &amp; "'!" &amp; J5341, J5341), "")</f>
        <v>0</v>
      </c>
    </row>
    <row r="5342" spans="2:2">
      <c r="B5342" s="21">
        <f>IF(AND(C5342&lt;&gt;"", J5342&lt;&gt;""), HYPERLINK("#'" &amp; C5342 &amp; "'!" &amp; J5342, J5342), "")</f>
        <v>0</v>
      </c>
    </row>
    <row r="5343" spans="2:2">
      <c r="B5343" s="21">
        <f>IF(AND(C5343&lt;&gt;"", J5343&lt;&gt;""), HYPERLINK("#'" &amp; C5343 &amp; "'!" &amp; J5343, J5343), "")</f>
        <v>0</v>
      </c>
    </row>
    <row r="5344" spans="2:2">
      <c r="B5344" s="21">
        <f>IF(AND(C5344&lt;&gt;"", J5344&lt;&gt;""), HYPERLINK("#'" &amp; C5344 &amp; "'!" &amp; J5344, J5344), "")</f>
        <v>0</v>
      </c>
    </row>
    <row r="5345" spans="2:2">
      <c r="B5345" s="21">
        <f>IF(AND(C5345&lt;&gt;"", J5345&lt;&gt;""), HYPERLINK("#'" &amp; C5345 &amp; "'!" &amp; J5345, J5345), "")</f>
        <v>0</v>
      </c>
    </row>
    <row r="5346" spans="2:2">
      <c r="B5346" s="21">
        <f>IF(AND(C5346&lt;&gt;"", J5346&lt;&gt;""), HYPERLINK("#'" &amp; C5346 &amp; "'!" &amp; J5346, J5346), "")</f>
        <v>0</v>
      </c>
    </row>
    <row r="5347" spans="2:2">
      <c r="B5347" s="21">
        <f>IF(AND(C5347&lt;&gt;"", J5347&lt;&gt;""), HYPERLINK("#'" &amp; C5347 &amp; "'!" &amp; J5347, J5347), "")</f>
        <v>0</v>
      </c>
    </row>
    <row r="5348" spans="2:2">
      <c r="B5348" s="21">
        <f>IF(AND(C5348&lt;&gt;"", J5348&lt;&gt;""), HYPERLINK("#'" &amp; C5348 &amp; "'!" &amp; J5348, J5348), "")</f>
        <v>0</v>
      </c>
    </row>
    <row r="5349" spans="2:2">
      <c r="B5349" s="21">
        <f>IF(AND(C5349&lt;&gt;"", J5349&lt;&gt;""), HYPERLINK("#'" &amp; C5349 &amp; "'!" &amp; J5349, J5349), "")</f>
        <v>0</v>
      </c>
    </row>
    <row r="5350" spans="2:2">
      <c r="B5350" s="21">
        <f>IF(AND(C5350&lt;&gt;"", J5350&lt;&gt;""), HYPERLINK("#'" &amp; C5350 &amp; "'!" &amp; J5350, J5350), "")</f>
        <v>0</v>
      </c>
    </row>
    <row r="5351" spans="2:2">
      <c r="B5351" s="21">
        <f>IF(AND(C5351&lt;&gt;"", J5351&lt;&gt;""), HYPERLINK("#'" &amp; C5351 &amp; "'!" &amp; J5351, J5351), "")</f>
        <v>0</v>
      </c>
    </row>
    <row r="5352" spans="2:2">
      <c r="B5352" s="21">
        <f>IF(AND(C5352&lt;&gt;"", J5352&lt;&gt;""), HYPERLINK("#'" &amp; C5352 &amp; "'!" &amp; J5352, J5352), "")</f>
        <v>0</v>
      </c>
    </row>
    <row r="5353" spans="2:2">
      <c r="B5353" s="21">
        <f>IF(AND(C5353&lt;&gt;"", J5353&lt;&gt;""), HYPERLINK("#'" &amp; C5353 &amp; "'!" &amp; J5353, J5353), "")</f>
        <v>0</v>
      </c>
    </row>
    <row r="5354" spans="2:2">
      <c r="B5354" s="21">
        <f>IF(AND(C5354&lt;&gt;"", J5354&lt;&gt;""), HYPERLINK("#'" &amp; C5354 &amp; "'!" &amp; J5354, J5354), "")</f>
        <v>0</v>
      </c>
    </row>
    <row r="5355" spans="2:2">
      <c r="B5355" s="21">
        <f>IF(AND(C5355&lt;&gt;"", J5355&lt;&gt;""), HYPERLINK("#'" &amp; C5355 &amp; "'!" &amp; J5355, J5355), "")</f>
        <v>0</v>
      </c>
    </row>
    <row r="5356" spans="2:2">
      <c r="B5356" s="21">
        <f>IF(AND(C5356&lt;&gt;"", J5356&lt;&gt;""), HYPERLINK("#'" &amp; C5356 &amp; "'!" &amp; J5356, J5356), "")</f>
        <v>0</v>
      </c>
    </row>
    <row r="5357" spans="2:2">
      <c r="B5357" s="21">
        <f>IF(AND(C5357&lt;&gt;"", J5357&lt;&gt;""), HYPERLINK("#'" &amp; C5357 &amp; "'!" &amp; J5357, J5357), "")</f>
        <v>0</v>
      </c>
    </row>
    <row r="5358" spans="2:2">
      <c r="B5358" s="21">
        <f>IF(AND(C5358&lt;&gt;"", J5358&lt;&gt;""), HYPERLINK("#'" &amp; C5358 &amp; "'!" &amp; J5358, J5358), "")</f>
        <v>0</v>
      </c>
    </row>
    <row r="5359" spans="2:2">
      <c r="B5359" s="21">
        <f>IF(AND(C5359&lt;&gt;"", J5359&lt;&gt;""), HYPERLINK("#'" &amp; C5359 &amp; "'!" &amp; J5359, J5359), "")</f>
        <v>0</v>
      </c>
    </row>
    <row r="5360" spans="2:2">
      <c r="B5360" s="21">
        <f>IF(AND(C5360&lt;&gt;"", J5360&lt;&gt;""), HYPERLINK("#'" &amp; C5360 &amp; "'!" &amp; J5360, J5360), "")</f>
        <v>0</v>
      </c>
    </row>
    <row r="5361" spans="2:2">
      <c r="B5361" s="21">
        <f>IF(AND(C5361&lt;&gt;"", J5361&lt;&gt;""), HYPERLINK("#'" &amp; C5361 &amp; "'!" &amp; J5361, J5361), "")</f>
        <v>0</v>
      </c>
    </row>
    <row r="5362" spans="2:2">
      <c r="B5362" s="21">
        <f>IF(AND(C5362&lt;&gt;"", J5362&lt;&gt;""), HYPERLINK("#'" &amp; C5362 &amp; "'!" &amp; J5362, J5362), "")</f>
        <v>0</v>
      </c>
    </row>
    <row r="5363" spans="2:2">
      <c r="B5363" s="21">
        <f>IF(AND(C5363&lt;&gt;"", J5363&lt;&gt;""), HYPERLINK("#'" &amp; C5363 &amp; "'!" &amp; J5363, J5363), "")</f>
        <v>0</v>
      </c>
    </row>
    <row r="5364" spans="2:2">
      <c r="B5364" s="21">
        <f>IF(AND(C5364&lt;&gt;"", J5364&lt;&gt;""), HYPERLINK("#'" &amp; C5364 &amp; "'!" &amp; J5364, J5364), "")</f>
        <v>0</v>
      </c>
    </row>
    <row r="5365" spans="2:2">
      <c r="B5365" s="21">
        <f>IF(AND(C5365&lt;&gt;"", J5365&lt;&gt;""), HYPERLINK("#'" &amp; C5365 &amp; "'!" &amp; J5365, J5365), "")</f>
        <v>0</v>
      </c>
    </row>
    <row r="5366" spans="2:2">
      <c r="B5366" s="21">
        <f>IF(AND(C5366&lt;&gt;"", J5366&lt;&gt;""), HYPERLINK("#'" &amp; C5366 &amp; "'!" &amp; J5366, J5366), "")</f>
        <v>0</v>
      </c>
    </row>
    <row r="5367" spans="2:2">
      <c r="B5367" s="21">
        <f>IF(AND(C5367&lt;&gt;"", J5367&lt;&gt;""), HYPERLINK("#'" &amp; C5367 &amp; "'!" &amp; J5367, J5367), "")</f>
        <v>0</v>
      </c>
    </row>
    <row r="5368" spans="2:2">
      <c r="B5368" s="21">
        <f>IF(AND(C5368&lt;&gt;"", J5368&lt;&gt;""), HYPERLINK("#'" &amp; C5368 &amp; "'!" &amp; J5368, J5368), "")</f>
        <v>0</v>
      </c>
    </row>
    <row r="5369" spans="2:2">
      <c r="B5369" s="21">
        <f>IF(AND(C5369&lt;&gt;"", J5369&lt;&gt;""), HYPERLINK("#'" &amp; C5369 &amp; "'!" &amp; J5369, J5369), "")</f>
        <v>0</v>
      </c>
    </row>
    <row r="5370" spans="2:2">
      <c r="B5370" s="21">
        <f>IF(AND(C5370&lt;&gt;"", J5370&lt;&gt;""), HYPERLINK("#'" &amp; C5370 &amp; "'!" &amp; J5370, J5370), "")</f>
        <v>0</v>
      </c>
    </row>
    <row r="5371" spans="2:2">
      <c r="B5371" s="21">
        <f>IF(AND(C5371&lt;&gt;"", J5371&lt;&gt;""), HYPERLINK("#'" &amp; C5371 &amp; "'!" &amp; J5371, J5371), "")</f>
        <v>0</v>
      </c>
    </row>
    <row r="5372" spans="2:2">
      <c r="B5372" s="21">
        <f>IF(AND(C5372&lt;&gt;"", J5372&lt;&gt;""), HYPERLINK("#'" &amp; C5372 &amp; "'!" &amp; J5372, J5372), "")</f>
        <v>0</v>
      </c>
    </row>
    <row r="5373" spans="2:2">
      <c r="B5373" s="21">
        <f>IF(AND(C5373&lt;&gt;"", J5373&lt;&gt;""), HYPERLINK("#'" &amp; C5373 &amp; "'!" &amp; J5373, J5373), "")</f>
        <v>0</v>
      </c>
    </row>
    <row r="5374" spans="2:2">
      <c r="B5374" s="21">
        <f>IF(AND(C5374&lt;&gt;"", J5374&lt;&gt;""), HYPERLINK("#'" &amp; C5374 &amp; "'!" &amp; J5374, J5374), "")</f>
        <v>0</v>
      </c>
    </row>
    <row r="5375" spans="2:2">
      <c r="B5375" s="21">
        <f>IF(AND(C5375&lt;&gt;"", J5375&lt;&gt;""), HYPERLINK("#'" &amp; C5375 &amp; "'!" &amp; J5375, J5375), "")</f>
        <v>0</v>
      </c>
    </row>
    <row r="5376" spans="2:2">
      <c r="B5376" s="21">
        <f>IF(AND(C5376&lt;&gt;"", J5376&lt;&gt;""), HYPERLINK("#'" &amp; C5376 &amp; "'!" &amp; J5376, J5376), "")</f>
        <v>0</v>
      </c>
    </row>
    <row r="5377" spans="2:2">
      <c r="B5377" s="21">
        <f>IF(AND(C5377&lt;&gt;"", J5377&lt;&gt;""), HYPERLINK("#'" &amp; C5377 &amp; "'!" &amp; J5377, J5377), "")</f>
        <v>0</v>
      </c>
    </row>
    <row r="5378" spans="2:2">
      <c r="B5378" s="21">
        <f>IF(AND(C5378&lt;&gt;"", J5378&lt;&gt;""), HYPERLINK("#'" &amp; C5378 &amp; "'!" &amp; J5378, J5378), "")</f>
        <v>0</v>
      </c>
    </row>
    <row r="5379" spans="2:2">
      <c r="B5379" s="21">
        <f>IF(AND(C5379&lt;&gt;"", J5379&lt;&gt;""), HYPERLINK("#'" &amp; C5379 &amp; "'!" &amp; J5379, J5379), "")</f>
        <v>0</v>
      </c>
    </row>
    <row r="5380" spans="2:2">
      <c r="B5380" s="21">
        <f>IF(AND(C5380&lt;&gt;"", J5380&lt;&gt;""), HYPERLINK("#'" &amp; C5380 &amp; "'!" &amp; J5380, J5380), "")</f>
        <v>0</v>
      </c>
    </row>
    <row r="5381" spans="2:2">
      <c r="B5381" s="21">
        <f>IF(AND(C5381&lt;&gt;"", J5381&lt;&gt;""), HYPERLINK("#'" &amp; C5381 &amp; "'!" &amp; J5381, J5381), "")</f>
        <v>0</v>
      </c>
    </row>
    <row r="5382" spans="2:2">
      <c r="B5382" s="21">
        <f>IF(AND(C5382&lt;&gt;"", J5382&lt;&gt;""), HYPERLINK("#'" &amp; C5382 &amp; "'!" &amp; J5382, J5382), "")</f>
        <v>0</v>
      </c>
    </row>
    <row r="5383" spans="2:2">
      <c r="B5383" s="21">
        <f>IF(AND(C5383&lt;&gt;"", J5383&lt;&gt;""), HYPERLINK("#'" &amp; C5383 &amp; "'!" &amp; J5383, J5383), "")</f>
        <v>0</v>
      </c>
    </row>
    <row r="5384" spans="2:2">
      <c r="B5384" s="21">
        <f>IF(AND(C5384&lt;&gt;"", J5384&lt;&gt;""), HYPERLINK("#'" &amp; C5384 &amp; "'!" &amp; J5384, J5384), "")</f>
        <v>0</v>
      </c>
    </row>
    <row r="5385" spans="2:2">
      <c r="B5385" s="21">
        <f>IF(AND(C5385&lt;&gt;"", J5385&lt;&gt;""), HYPERLINK("#'" &amp; C5385 &amp; "'!" &amp; J5385, J5385), "")</f>
        <v>0</v>
      </c>
    </row>
    <row r="5386" spans="2:2">
      <c r="B5386" s="21">
        <f>IF(AND(C5386&lt;&gt;"", J5386&lt;&gt;""), HYPERLINK("#'" &amp; C5386 &amp; "'!" &amp; J5386, J5386), "")</f>
        <v>0</v>
      </c>
    </row>
    <row r="5387" spans="2:2">
      <c r="B5387" s="21">
        <f>IF(AND(C5387&lt;&gt;"", J5387&lt;&gt;""), HYPERLINK("#'" &amp; C5387 &amp; "'!" &amp; J5387, J5387), "")</f>
        <v>0</v>
      </c>
    </row>
    <row r="5388" spans="2:2">
      <c r="B5388" s="21">
        <f>IF(AND(C5388&lt;&gt;"", J5388&lt;&gt;""), HYPERLINK("#'" &amp; C5388 &amp; "'!" &amp; J5388, J5388), "")</f>
        <v>0</v>
      </c>
    </row>
    <row r="5389" spans="2:2">
      <c r="B5389" s="21">
        <f>IF(AND(C5389&lt;&gt;"", J5389&lt;&gt;""), HYPERLINK("#'" &amp; C5389 &amp; "'!" &amp; J5389, J5389), "")</f>
        <v>0</v>
      </c>
    </row>
    <row r="5390" spans="2:2">
      <c r="B5390" s="21">
        <f>IF(AND(C5390&lt;&gt;"", J5390&lt;&gt;""), HYPERLINK("#'" &amp; C5390 &amp; "'!" &amp; J5390, J5390), "")</f>
        <v>0</v>
      </c>
    </row>
    <row r="5391" spans="2:2">
      <c r="B5391" s="21">
        <f>IF(AND(C5391&lt;&gt;"", J5391&lt;&gt;""), HYPERLINK("#'" &amp; C5391 &amp; "'!" &amp; J5391, J5391), "")</f>
        <v>0</v>
      </c>
    </row>
    <row r="5392" spans="2:2">
      <c r="B5392" s="21">
        <f>IF(AND(C5392&lt;&gt;"", J5392&lt;&gt;""), HYPERLINK("#'" &amp; C5392 &amp; "'!" &amp; J5392, J5392), "")</f>
        <v>0</v>
      </c>
    </row>
    <row r="5393" spans="2:2">
      <c r="B5393" s="21">
        <f>IF(AND(C5393&lt;&gt;"", J5393&lt;&gt;""), HYPERLINK("#'" &amp; C5393 &amp; "'!" &amp; J5393, J5393), "")</f>
        <v>0</v>
      </c>
    </row>
    <row r="5394" spans="2:2">
      <c r="B5394" s="21">
        <f>IF(AND(C5394&lt;&gt;"", J5394&lt;&gt;""), HYPERLINK("#'" &amp; C5394 &amp; "'!" &amp; J5394, J5394), "")</f>
        <v>0</v>
      </c>
    </row>
    <row r="5395" spans="2:2">
      <c r="B5395" s="21">
        <f>IF(AND(C5395&lt;&gt;"", J5395&lt;&gt;""), HYPERLINK("#'" &amp; C5395 &amp; "'!" &amp; J5395, J5395), "")</f>
        <v>0</v>
      </c>
    </row>
    <row r="5396" spans="2:2">
      <c r="B5396" s="21">
        <f>IF(AND(C5396&lt;&gt;"", J5396&lt;&gt;""), HYPERLINK("#'" &amp; C5396 &amp; "'!" &amp; J5396, J5396), "")</f>
        <v>0</v>
      </c>
    </row>
    <row r="5397" spans="2:2">
      <c r="B5397" s="21">
        <f>IF(AND(C5397&lt;&gt;"", J5397&lt;&gt;""), HYPERLINK("#'" &amp; C5397 &amp; "'!" &amp; J5397, J5397), "")</f>
        <v>0</v>
      </c>
    </row>
    <row r="5398" spans="2:2">
      <c r="B5398" s="21">
        <f>IF(AND(C5398&lt;&gt;"", J5398&lt;&gt;""), HYPERLINK("#'" &amp; C5398 &amp; "'!" &amp; J5398, J5398), "")</f>
        <v>0</v>
      </c>
    </row>
    <row r="5399" spans="2:2">
      <c r="B5399" s="21">
        <f>IF(AND(C5399&lt;&gt;"", J5399&lt;&gt;""), HYPERLINK("#'" &amp; C5399 &amp; "'!" &amp; J5399, J5399), "")</f>
        <v>0</v>
      </c>
    </row>
    <row r="5400" spans="2:2">
      <c r="B5400" s="21">
        <f>IF(AND(C5400&lt;&gt;"", J5400&lt;&gt;""), HYPERLINK("#'" &amp; C5400 &amp; "'!" &amp; J5400, J5400), "")</f>
        <v>0</v>
      </c>
    </row>
    <row r="5401" spans="2:2">
      <c r="B5401" s="21">
        <f>IF(AND(C5401&lt;&gt;"", J5401&lt;&gt;""), HYPERLINK("#'" &amp; C5401 &amp; "'!" &amp; J5401, J5401), "")</f>
        <v>0</v>
      </c>
    </row>
    <row r="5402" spans="2:2">
      <c r="B5402" s="21">
        <f>IF(AND(C5402&lt;&gt;"", J5402&lt;&gt;""), HYPERLINK("#'" &amp; C5402 &amp; "'!" &amp; J5402, J5402), "")</f>
        <v>0</v>
      </c>
    </row>
    <row r="5403" spans="2:2">
      <c r="B5403" s="21">
        <f>IF(AND(C5403&lt;&gt;"", J5403&lt;&gt;""), HYPERLINK("#'" &amp; C5403 &amp; "'!" &amp; J5403, J5403), "")</f>
        <v>0</v>
      </c>
    </row>
    <row r="5404" spans="2:2">
      <c r="B5404" s="21">
        <f>IF(AND(C5404&lt;&gt;"", J5404&lt;&gt;""), HYPERLINK("#'" &amp; C5404 &amp; "'!" &amp; J5404, J5404), "")</f>
        <v>0</v>
      </c>
    </row>
    <row r="5405" spans="2:2">
      <c r="B5405" s="21">
        <f>IF(AND(C5405&lt;&gt;"", J5405&lt;&gt;""), HYPERLINK("#'" &amp; C5405 &amp; "'!" &amp; J5405, J5405), "")</f>
        <v>0</v>
      </c>
    </row>
    <row r="5406" spans="2:2">
      <c r="B5406" s="21">
        <f>IF(AND(C5406&lt;&gt;"", J5406&lt;&gt;""), HYPERLINK("#'" &amp; C5406 &amp; "'!" &amp; J5406, J5406), "")</f>
        <v>0</v>
      </c>
    </row>
    <row r="5407" spans="2:2">
      <c r="B5407" s="21">
        <f>IF(AND(C5407&lt;&gt;"", J5407&lt;&gt;""), HYPERLINK("#'" &amp; C5407 &amp; "'!" &amp; J5407, J5407), "")</f>
        <v>0</v>
      </c>
    </row>
    <row r="5408" spans="2:2">
      <c r="B5408" s="21">
        <f>IF(AND(C5408&lt;&gt;"", J5408&lt;&gt;""), HYPERLINK("#'" &amp; C5408 &amp; "'!" &amp; J5408, J5408), "")</f>
        <v>0</v>
      </c>
    </row>
    <row r="5409" spans="2:2">
      <c r="B5409" s="21">
        <f>IF(AND(C5409&lt;&gt;"", J5409&lt;&gt;""), HYPERLINK("#'" &amp; C5409 &amp; "'!" &amp; J5409, J5409), "")</f>
        <v>0</v>
      </c>
    </row>
    <row r="5410" spans="2:2">
      <c r="B5410" s="21">
        <f>IF(AND(C5410&lt;&gt;"", J5410&lt;&gt;""), HYPERLINK("#'" &amp; C5410 &amp; "'!" &amp; J5410, J5410), "")</f>
        <v>0</v>
      </c>
    </row>
    <row r="5411" spans="2:2">
      <c r="B5411" s="21">
        <f>IF(AND(C5411&lt;&gt;"", J5411&lt;&gt;""), HYPERLINK("#'" &amp; C5411 &amp; "'!" &amp; J5411, J5411), "")</f>
        <v>0</v>
      </c>
    </row>
    <row r="5412" spans="2:2">
      <c r="B5412" s="21">
        <f>IF(AND(C5412&lt;&gt;"", J5412&lt;&gt;""), HYPERLINK("#'" &amp; C5412 &amp; "'!" &amp; J5412, J5412), "")</f>
        <v>0</v>
      </c>
    </row>
    <row r="5413" spans="2:2">
      <c r="B5413" s="21">
        <f>IF(AND(C5413&lt;&gt;"", J5413&lt;&gt;""), HYPERLINK("#'" &amp; C5413 &amp; "'!" &amp; J5413, J5413), "")</f>
        <v>0</v>
      </c>
    </row>
    <row r="5414" spans="2:2">
      <c r="B5414" s="21">
        <f>IF(AND(C5414&lt;&gt;"", J5414&lt;&gt;""), HYPERLINK("#'" &amp; C5414 &amp; "'!" &amp; J5414, J5414), "")</f>
        <v>0</v>
      </c>
    </row>
    <row r="5415" spans="2:2">
      <c r="B5415" s="21">
        <f>IF(AND(C5415&lt;&gt;"", J5415&lt;&gt;""), HYPERLINK("#'" &amp; C5415 &amp; "'!" &amp; J5415, J5415), "")</f>
        <v>0</v>
      </c>
    </row>
    <row r="5416" spans="2:2">
      <c r="B5416" s="21">
        <f>IF(AND(C5416&lt;&gt;"", J5416&lt;&gt;""), HYPERLINK("#'" &amp; C5416 &amp; "'!" &amp; J5416, J5416), "")</f>
        <v>0</v>
      </c>
    </row>
    <row r="5417" spans="2:2">
      <c r="B5417" s="21">
        <f>IF(AND(C5417&lt;&gt;"", J5417&lt;&gt;""), HYPERLINK("#'" &amp; C5417 &amp; "'!" &amp; J5417, J5417), "")</f>
        <v>0</v>
      </c>
    </row>
    <row r="5418" spans="2:2">
      <c r="B5418" s="21">
        <f>IF(AND(C5418&lt;&gt;"", J5418&lt;&gt;""), HYPERLINK("#'" &amp; C5418 &amp; "'!" &amp; J5418, J5418), "")</f>
        <v>0</v>
      </c>
    </row>
    <row r="5419" spans="2:2">
      <c r="B5419" s="21">
        <f>IF(AND(C5419&lt;&gt;"", J5419&lt;&gt;""), HYPERLINK("#'" &amp; C5419 &amp; "'!" &amp; J5419, J5419), "")</f>
        <v>0</v>
      </c>
    </row>
    <row r="5420" spans="2:2">
      <c r="B5420" s="21">
        <f>IF(AND(C5420&lt;&gt;"", J5420&lt;&gt;""), HYPERLINK("#'" &amp; C5420 &amp; "'!" &amp; J5420, J5420), "")</f>
        <v>0</v>
      </c>
    </row>
    <row r="5421" spans="2:2">
      <c r="B5421" s="21">
        <f>IF(AND(C5421&lt;&gt;"", J5421&lt;&gt;""), HYPERLINK("#'" &amp; C5421 &amp; "'!" &amp; J5421, J5421), "")</f>
        <v>0</v>
      </c>
    </row>
    <row r="5422" spans="2:2">
      <c r="B5422" s="21">
        <f>IF(AND(C5422&lt;&gt;"", J5422&lt;&gt;""), HYPERLINK("#'" &amp; C5422 &amp; "'!" &amp; J5422, J5422), "")</f>
        <v>0</v>
      </c>
    </row>
    <row r="5423" spans="2:2">
      <c r="B5423" s="21">
        <f>IF(AND(C5423&lt;&gt;"", J5423&lt;&gt;""), HYPERLINK("#'" &amp; C5423 &amp; "'!" &amp; J5423, J5423), "")</f>
        <v>0</v>
      </c>
    </row>
    <row r="5424" spans="2:2">
      <c r="B5424" s="21">
        <f>IF(AND(C5424&lt;&gt;"", J5424&lt;&gt;""), HYPERLINK("#'" &amp; C5424 &amp; "'!" &amp; J5424, J5424), "")</f>
        <v>0</v>
      </c>
    </row>
    <row r="5425" spans="2:2">
      <c r="B5425" s="21">
        <f>IF(AND(C5425&lt;&gt;"", J5425&lt;&gt;""), HYPERLINK("#'" &amp; C5425 &amp; "'!" &amp; J5425, J5425), "")</f>
        <v>0</v>
      </c>
    </row>
    <row r="5426" spans="2:2">
      <c r="B5426" s="21">
        <f>IF(AND(C5426&lt;&gt;"", J5426&lt;&gt;""), HYPERLINK("#'" &amp; C5426 &amp; "'!" &amp; J5426, J5426), "")</f>
        <v>0</v>
      </c>
    </row>
    <row r="5427" spans="2:2">
      <c r="B5427" s="21">
        <f>IF(AND(C5427&lt;&gt;"", J5427&lt;&gt;""), HYPERLINK("#'" &amp; C5427 &amp; "'!" &amp; J5427, J5427), "")</f>
        <v>0</v>
      </c>
    </row>
    <row r="5428" spans="2:2">
      <c r="B5428" s="21">
        <f>IF(AND(C5428&lt;&gt;"", J5428&lt;&gt;""), HYPERLINK("#'" &amp; C5428 &amp; "'!" &amp; J5428, J5428), "")</f>
        <v>0</v>
      </c>
    </row>
    <row r="5429" spans="2:2">
      <c r="B5429" s="21">
        <f>IF(AND(C5429&lt;&gt;"", J5429&lt;&gt;""), HYPERLINK("#'" &amp; C5429 &amp; "'!" &amp; J5429, J5429), "")</f>
        <v>0</v>
      </c>
    </row>
    <row r="5430" spans="2:2">
      <c r="B5430" s="21">
        <f>IF(AND(C5430&lt;&gt;"", J5430&lt;&gt;""), HYPERLINK("#'" &amp; C5430 &amp; "'!" &amp; J5430, J5430), "")</f>
        <v>0</v>
      </c>
    </row>
    <row r="5431" spans="2:2">
      <c r="B5431" s="21">
        <f>IF(AND(C5431&lt;&gt;"", J5431&lt;&gt;""), HYPERLINK("#'" &amp; C5431 &amp; "'!" &amp; J5431, J5431), "")</f>
        <v>0</v>
      </c>
    </row>
    <row r="5432" spans="2:2">
      <c r="B5432" s="21">
        <f>IF(AND(C5432&lt;&gt;"", J5432&lt;&gt;""), HYPERLINK("#'" &amp; C5432 &amp; "'!" &amp; J5432, J5432), "")</f>
        <v>0</v>
      </c>
    </row>
    <row r="5433" spans="2:2">
      <c r="B5433" s="21">
        <f>IF(AND(C5433&lt;&gt;"", J5433&lt;&gt;""), HYPERLINK("#'" &amp; C5433 &amp; "'!" &amp; J5433, J5433), "")</f>
        <v>0</v>
      </c>
    </row>
    <row r="5434" spans="2:2">
      <c r="B5434" s="21">
        <f>IF(AND(C5434&lt;&gt;"", J5434&lt;&gt;""), HYPERLINK("#'" &amp; C5434 &amp; "'!" &amp; J5434, J5434), "")</f>
        <v>0</v>
      </c>
    </row>
    <row r="5435" spans="2:2">
      <c r="B5435" s="21">
        <f>IF(AND(C5435&lt;&gt;"", J5435&lt;&gt;""), HYPERLINK("#'" &amp; C5435 &amp; "'!" &amp; J5435, J5435), "")</f>
        <v>0</v>
      </c>
    </row>
    <row r="5436" spans="2:2">
      <c r="B5436" s="21">
        <f>IF(AND(C5436&lt;&gt;"", J5436&lt;&gt;""), HYPERLINK("#'" &amp; C5436 &amp; "'!" &amp; J5436, J5436), "")</f>
        <v>0</v>
      </c>
    </row>
    <row r="5437" spans="2:2">
      <c r="B5437" s="21">
        <f>IF(AND(C5437&lt;&gt;"", J5437&lt;&gt;""), HYPERLINK("#'" &amp; C5437 &amp; "'!" &amp; J5437, J5437), "")</f>
        <v>0</v>
      </c>
    </row>
    <row r="5438" spans="2:2">
      <c r="B5438" s="21">
        <f>IF(AND(C5438&lt;&gt;"", J5438&lt;&gt;""), HYPERLINK("#'" &amp; C5438 &amp; "'!" &amp; J5438, J5438), "")</f>
        <v>0</v>
      </c>
    </row>
    <row r="5439" spans="2:2">
      <c r="B5439" s="21">
        <f>IF(AND(C5439&lt;&gt;"", J5439&lt;&gt;""), HYPERLINK("#'" &amp; C5439 &amp; "'!" &amp; J5439, J5439), "")</f>
        <v>0</v>
      </c>
    </row>
    <row r="5440" spans="2:2">
      <c r="B5440" s="21">
        <f>IF(AND(C5440&lt;&gt;"", J5440&lt;&gt;""), HYPERLINK("#'" &amp; C5440 &amp; "'!" &amp; J5440, J5440), "")</f>
        <v>0</v>
      </c>
    </row>
    <row r="5441" spans="2:2">
      <c r="B5441" s="21">
        <f>IF(AND(C5441&lt;&gt;"", J5441&lt;&gt;""), HYPERLINK("#'" &amp; C5441 &amp; "'!" &amp; J5441, J5441), "")</f>
        <v>0</v>
      </c>
    </row>
    <row r="5442" spans="2:2">
      <c r="B5442" s="21">
        <f>IF(AND(C5442&lt;&gt;"", J5442&lt;&gt;""), HYPERLINK("#'" &amp; C5442 &amp; "'!" &amp; J5442, J5442), "")</f>
        <v>0</v>
      </c>
    </row>
    <row r="5443" spans="2:2">
      <c r="B5443" s="21">
        <f>IF(AND(C5443&lt;&gt;"", J5443&lt;&gt;""), HYPERLINK("#'" &amp; C5443 &amp; "'!" &amp; J5443, J5443), "")</f>
        <v>0</v>
      </c>
    </row>
    <row r="5444" spans="2:2">
      <c r="B5444" s="21">
        <f>IF(AND(C5444&lt;&gt;"", J5444&lt;&gt;""), HYPERLINK("#'" &amp; C5444 &amp; "'!" &amp; J5444, J5444), "")</f>
        <v>0</v>
      </c>
    </row>
    <row r="5445" spans="2:2">
      <c r="B5445" s="21">
        <f>IF(AND(C5445&lt;&gt;"", J5445&lt;&gt;""), HYPERLINK("#'" &amp; C5445 &amp; "'!" &amp; J5445, J5445), "")</f>
        <v>0</v>
      </c>
    </row>
    <row r="5446" spans="2:2">
      <c r="B5446" s="21">
        <f>IF(AND(C5446&lt;&gt;"", J5446&lt;&gt;""), HYPERLINK("#'" &amp; C5446 &amp; "'!" &amp; J5446, J5446), "")</f>
        <v>0</v>
      </c>
    </row>
    <row r="5447" spans="2:2">
      <c r="B5447" s="21">
        <f>IF(AND(C5447&lt;&gt;"", J5447&lt;&gt;""), HYPERLINK("#'" &amp; C5447 &amp; "'!" &amp; J5447, J5447), "")</f>
        <v>0</v>
      </c>
    </row>
    <row r="5448" spans="2:2">
      <c r="B5448" s="21">
        <f>IF(AND(C5448&lt;&gt;"", J5448&lt;&gt;""), HYPERLINK("#'" &amp; C5448 &amp; "'!" &amp; J5448, J5448), "")</f>
        <v>0</v>
      </c>
    </row>
    <row r="5449" spans="2:2">
      <c r="B5449" s="21">
        <f>IF(AND(C5449&lt;&gt;"", J5449&lt;&gt;""), HYPERLINK("#'" &amp; C5449 &amp; "'!" &amp; J5449, J5449), "")</f>
        <v>0</v>
      </c>
    </row>
    <row r="5450" spans="2:2">
      <c r="B5450" s="21">
        <f>IF(AND(C5450&lt;&gt;"", J5450&lt;&gt;""), HYPERLINK("#'" &amp; C5450 &amp; "'!" &amp; J5450, J5450), "")</f>
        <v>0</v>
      </c>
    </row>
    <row r="5451" spans="2:2">
      <c r="B5451" s="21">
        <f>IF(AND(C5451&lt;&gt;"", J5451&lt;&gt;""), HYPERLINK("#'" &amp; C5451 &amp; "'!" &amp; J5451, J5451), "")</f>
        <v>0</v>
      </c>
    </row>
    <row r="5452" spans="2:2">
      <c r="B5452" s="21">
        <f>IF(AND(C5452&lt;&gt;"", J5452&lt;&gt;""), HYPERLINK("#'" &amp; C5452 &amp; "'!" &amp; J5452, J5452), "")</f>
        <v>0</v>
      </c>
    </row>
    <row r="5453" spans="2:2">
      <c r="B5453" s="21">
        <f>IF(AND(C5453&lt;&gt;"", J5453&lt;&gt;""), HYPERLINK("#'" &amp; C5453 &amp; "'!" &amp; J5453, J5453), "")</f>
        <v>0</v>
      </c>
    </row>
    <row r="5454" spans="2:2">
      <c r="B5454" s="21">
        <f>IF(AND(C5454&lt;&gt;"", J5454&lt;&gt;""), HYPERLINK("#'" &amp; C5454 &amp; "'!" &amp; J5454, J5454), "")</f>
        <v>0</v>
      </c>
    </row>
    <row r="5455" spans="2:2">
      <c r="B5455" s="21">
        <f>IF(AND(C5455&lt;&gt;"", J5455&lt;&gt;""), HYPERLINK("#'" &amp; C5455 &amp; "'!" &amp; J5455, J5455), "")</f>
        <v>0</v>
      </c>
    </row>
    <row r="5456" spans="2:2">
      <c r="B5456" s="21">
        <f>IF(AND(C5456&lt;&gt;"", J5456&lt;&gt;""), HYPERLINK("#'" &amp; C5456 &amp; "'!" &amp; J5456, J5456), "")</f>
        <v>0</v>
      </c>
    </row>
    <row r="5457" spans="2:2">
      <c r="B5457" s="21">
        <f>IF(AND(C5457&lt;&gt;"", J5457&lt;&gt;""), HYPERLINK("#'" &amp; C5457 &amp; "'!" &amp; J5457, J5457), "")</f>
        <v>0</v>
      </c>
    </row>
    <row r="5458" spans="2:2">
      <c r="B5458" s="21">
        <f>IF(AND(C5458&lt;&gt;"", J5458&lt;&gt;""), HYPERLINK("#'" &amp; C5458 &amp; "'!" &amp; J5458, J5458), "")</f>
        <v>0</v>
      </c>
    </row>
    <row r="5459" spans="2:2">
      <c r="B5459" s="21">
        <f>IF(AND(C5459&lt;&gt;"", J5459&lt;&gt;""), HYPERLINK("#'" &amp; C5459 &amp; "'!" &amp; J5459, J5459), "")</f>
        <v>0</v>
      </c>
    </row>
    <row r="5460" spans="2:2">
      <c r="B5460" s="21">
        <f>IF(AND(C5460&lt;&gt;"", J5460&lt;&gt;""), HYPERLINK("#'" &amp; C5460 &amp; "'!" &amp; J5460, J5460), "")</f>
        <v>0</v>
      </c>
    </row>
    <row r="5461" spans="2:2">
      <c r="B5461" s="21">
        <f>IF(AND(C5461&lt;&gt;"", J5461&lt;&gt;""), HYPERLINK("#'" &amp; C5461 &amp; "'!" &amp; J5461, J5461), "")</f>
        <v>0</v>
      </c>
    </row>
    <row r="5462" spans="2:2">
      <c r="B5462" s="21">
        <f>IF(AND(C5462&lt;&gt;"", J5462&lt;&gt;""), HYPERLINK("#'" &amp; C5462 &amp; "'!" &amp; J5462, J5462), "")</f>
        <v>0</v>
      </c>
    </row>
    <row r="5463" spans="2:2">
      <c r="B5463" s="21">
        <f>IF(AND(C5463&lt;&gt;"", J5463&lt;&gt;""), HYPERLINK("#'" &amp; C5463 &amp; "'!" &amp; J5463, J5463), "")</f>
        <v>0</v>
      </c>
    </row>
    <row r="5464" spans="2:2">
      <c r="B5464" s="21">
        <f>IF(AND(C5464&lt;&gt;"", J5464&lt;&gt;""), HYPERLINK("#'" &amp; C5464 &amp; "'!" &amp; J5464, J5464), "")</f>
        <v>0</v>
      </c>
    </row>
    <row r="5465" spans="2:2">
      <c r="B5465" s="21">
        <f>IF(AND(C5465&lt;&gt;"", J5465&lt;&gt;""), HYPERLINK("#'" &amp; C5465 &amp; "'!" &amp; J5465, J5465), "")</f>
        <v>0</v>
      </c>
    </row>
    <row r="5466" spans="2:2">
      <c r="B5466" s="21">
        <f>IF(AND(C5466&lt;&gt;"", J5466&lt;&gt;""), HYPERLINK("#'" &amp; C5466 &amp; "'!" &amp; J5466, J5466), "")</f>
        <v>0</v>
      </c>
    </row>
    <row r="5467" spans="2:2">
      <c r="B5467" s="21">
        <f>IF(AND(C5467&lt;&gt;"", J5467&lt;&gt;""), HYPERLINK("#'" &amp; C5467 &amp; "'!" &amp; J5467, J5467), "")</f>
        <v>0</v>
      </c>
    </row>
    <row r="5468" spans="2:2">
      <c r="B5468" s="21">
        <f>IF(AND(C5468&lt;&gt;"", J5468&lt;&gt;""), HYPERLINK("#'" &amp; C5468 &amp; "'!" &amp; J5468, J5468), "")</f>
        <v>0</v>
      </c>
    </row>
    <row r="5469" spans="2:2">
      <c r="B5469" s="21">
        <f>IF(AND(C5469&lt;&gt;"", J5469&lt;&gt;""), HYPERLINK("#'" &amp; C5469 &amp; "'!" &amp; J5469, J5469), "")</f>
        <v>0</v>
      </c>
    </row>
    <row r="5470" spans="2:2">
      <c r="B5470" s="21">
        <f>IF(AND(C5470&lt;&gt;"", J5470&lt;&gt;""), HYPERLINK("#'" &amp; C5470 &amp; "'!" &amp; J5470, J5470), "")</f>
        <v>0</v>
      </c>
    </row>
    <row r="5471" spans="2:2">
      <c r="B5471" s="21">
        <f>IF(AND(C5471&lt;&gt;"", J5471&lt;&gt;""), HYPERLINK("#'" &amp; C5471 &amp; "'!" &amp; J5471, J5471), "")</f>
        <v>0</v>
      </c>
    </row>
    <row r="5472" spans="2:2">
      <c r="B5472" s="21">
        <f>IF(AND(C5472&lt;&gt;"", J5472&lt;&gt;""), HYPERLINK("#'" &amp; C5472 &amp; "'!" &amp; J5472, J5472), "")</f>
        <v>0</v>
      </c>
    </row>
    <row r="5473" spans="2:2">
      <c r="B5473" s="21">
        <f>IF(AND(C5473&lt;&gt;"", J5473&lt;&gt;""), HYPERLINK("#'" &amp; C5473 &amp; "'!" &amp; J5473, J5473), "")</f>
        <v>0</v>
      </c>
    </row>
    <row r="5474" spans="2:2">
      <c r="B5474" s="21">
        <f>IF(AND(C5474&lt;&gt;"", J5474&lt;&gt;""), HYPERLINK("#'" &amp; C5474 &amp; "'!" &amp; J5474, J5474), "")</f>
        <v>0</v>
      </c>
    </row>
    <row r="5475" spans="2:2">
      <c r="B5475" s="21">
        <f>IF(AND(C5475&lt;&gt;"", J5475&lt;&gt;""), HYPERLINK("#'" &amp; C5475 &amp; "'!" &amp; J5475, J5475), "")</f>
        <v>0</v>
      </c>
    </row>
    <row r="5476" spans="2:2">
      <c r="B5476" s="21">
        <f>IF(AND(C5476&lt;&gt;"", J5476&lt;&gt;""), HYPERLINK("#'" &amp; C5476 &amp; "'!" &amp; J5476, J5476), "")</f>
        <v>0</v>
      </c>
    </row>
    <row r="5477" spans="2:2">
      <c r="B5477" s="21">
        <f>IF(AND(C5477&lt;&gt;"", J5477&lt;&gt;""), HYPERLINK("#'" &amp; C5477 &amp; "'!" &amp; J5477, J5477), "")</f>
        <v>0</v>
      </c>
    </row>
    <row r="5478" spans="2:2">
      <c r="B5478" s="21">
        <f>IF(AND(C5478&lt;&gt;"", J5478&lt;&gt;""), HYPERLINK("#'" &amp; C5478 &amp; "'!" &amp; J5478, J5478), "")</f>
        <v>0</v>
      </c>
    </row>
    <row r="5479" spans="2:2">
      <c r="B5479" s="21">
        <f>IF(AND(C5479&lt;&gt;"", J5479&lt;&gt;""), HYPERLINK("#'" &amp; C5479 &amp; "'!" &amp; J5479, J5479), "")</f>
        <v>0</v>
      </c>
    </row>
    <row r="5480" spans="2:2">
      <c r="B5480" s="21">
        <f>IF(AND(C5480&lt;&gt;"", J5480&lt;&gt;""), HYPERLINK("#'" &amp; C5480 &amp; "'!" &amp; J5480, J5480), "")</f>
        <v>0</v>
      </c>
    </row>
    <row r="5481" spans="2:2">
      <c r="B5481" s="21">
        <f>IF(AND(C5481&lt;&gt;"", J5481&lt;&gt;""), HYPERLINK("#'" &amp; C5481 &amp; "'!" &amp; J5481, J5481), "")</f>
        <v>0</v>
      </c>
    </row>
    <row r="5482" spans="2:2">
      <c r="B5482" s="21">
        <f>IF(AND(C5482&lt;&gt;"", J5482&lt;&gt;""), HYPERLINK("#'" &amp; C5482 &amp; "'!" &amp; J5482, J5482), "")</f>
        <v>0</v>
      </c>
    </row>
    <row r="5483" spans="2:2">
      <c r="B5483" s="21">
        <f>IF(AND(C5483&lt;&gt;"", J5483&lt;&gt;""), HYPERLINK("#'" &amp; C5483 &amp; "'!" &amp; J5483, J5483), "")</f>
        <v>0</v>
      </c>
    </row>
    <row r="5484" spans="2:2">
      <c r="B5484" s="21">
        <f>IF(AND(C5484&lt;&gt;"", J5484&lt;&gt;""), HYPERLINK("#'" &amp; C5484 &amp; "'!" &amp; J5484, J5484), "")</f>
        <v>0</v>
      </c>
    </row>
    <row r="5485" spans="2:2">
      <c r="B5485" s="21">
        <f>IF(AND(C5485&lt;&gt;"", J5485&lt;&gt;""), HYPERLINK("#'" &amp; C5485 &amp; "'!" &amp; J5485, J5485), "")</f>
        <v>0</v>
      </c>
    </row>
    <row r="5486" spans="2:2">
      <c r="B5486" s="21">
        <f>IF(AND(C5486&lt;&gt;"", J5486&lt;&gt;""), HYPERLINK("#'" &amp; C5486 &amp; "'!" &amp; J5486, J5486), "")</f>
        <v>0</v>
      </c>
    </row>
    <row r="5487" spans="2:2">
      <c r="B5487" s="21">
        <f>IF(AND(C5487&lt;&gt;"", J5487&lt;&gt;""), HYPERLINK("#'" &amp; C5487 &amp; "'!" &amp; J5487, J5487), "")</f>
        <v>0</v>
      </c>
    </row>
    <row r="5488" spans="2:2">
      <c r="B5488" s="21">
        <f>IF(AND(C5488&lt;&gt;"", J5488&lt;&gt;""), HYPERLINK("#'" &amp; C5488 &amp; "'!" &amp; J5488, J5488), "")</f>
        <v>0</v>
      </c>
    </row>
    <row r="5489" spans="2:2">
      <c r="B5489" s="21">
        <f>IF(AND(C5489&lt;&gt;"", J5489&lt;&gt;""), HYPERLINK("#'" &amp; C5489 &amp; "'!" &amp; J5489, J5489), "")</f>
        <v>0</v>
      </c>
    </row>
    <row r="5490" spans="2:2">
      <c r="B5490" s="21">
        <f>IF(AND(C5490&lt;&gt;"", J5490&lt;&gt;""), HYPERLINK("#'" &amp; C5490 &amp; "'!" &amp; J5490, J5490), "")</f>
        <v>0</v>
      </c>
    </row>
    <row r="5491" spans="2:2">
      <c r="B5491" s="21">
        <f>IF(AND(C5491&lt;&gt;"", J5491&lt;&gt;""), HYPERLINK("#'" &amp; C5491 &amp; "'!" &amp; J5491, J5491), "")</f>
        <v>0</v>
      </c>
    </row>
    <row r="5492" spans="2:2">
      <c r="B5492" s="21">
        <f>IF(AND(C5492&lt;&gt;"", J5492&lt;&gt;""), HYPERLINK("#'" &amp; C5492 &amp; "'!" &amp; J5492, J5492), "")</f>
        <v>0</v>
      </c>
    </row>
    <row r="5493" spans="2:2">
      <c r="B5493" s="21">
        <f>IF(AND(C5493&lt;&gt;"", J5493&lt;&gt;""), HYPERLINK("#'" &amp; C5493 &amp; "'!" &amp; J5493, J5493), "")</f>
        <v>0</v>
      </c>
    </row>
    <row r="5494" spans="2:2">
      <c r="B5494" s="21">
        <f>IF(AND(C5494&lt;&gt;"", J5494&lt;&gt;""), HYPERLINK("#'" &amp; C5494 &amp; "'!" &amp; J5494, J5494), "")</f>
        <v>0</v>
      </c>
    </row>
    <row r="5495" spans="2:2">
      <c r="B5495" s="21">
        <f>IF(AND(C5495&lt;&gt;"", J5495&lt;&gt;""), HYPERLINK("#'" &amp; C5495 &amp; "'!" &amp; J5495, J5495), "")</f>
        <v>0</v>
      </c>
    </row>
    <row r="5496" spans="2:2">
      <c r="B5496" s="21">
        <f>IF(AND(C5496&lt;&gt;"", J5496&lt;&gt;""), HYPERLINK("#'" &amp; C5496 &amp; "'!" &amp; J5496, J5496), "")</f>
        <v>0</v>
      </c>
    </row>
    <row r="5497" spans="2:2">
      <c r="B5497" s="21">
        <f>IF(AND(C5497&lt;&gt;"", J5497&lt;&gt;""), HYPERLINK("#'" &amp; C5497 &amp; "'!" &amp; J5497, J5497), "")</f>
        <v>0</v>
      </c>
    </row>
    <row r="5498" spans="2:2">
      <c r="B5498" s="21">
        <f>IF(AND(C5498&lt;&gt;"", J5498&lt;&gt;""), HYPERLINK("#'" &amp; C5498 &amp; "'!" &amp; J5498, J5498), "")</f>
        <v>0</v>
      </c>
    </row>
    <row r="5499" spans="2:2">
      <c r="B5499" s="21">
        <f>IF(AND(C5499&lt;&gt;"", J5499&lt;&gt;""), HYPERLINK("#'" &amp; C5499 &amp; "'!" &amp; J5499, J5499), "")</f>
        <v>0</v>
      </c>
    </row>
    <row r="5500" spans="2:2">
      <c r="B5500" s="21">
        <f>IF(AND(C5500&lt;&gt;"", J5500&lt;&gt;""), HYPERLINK("#'" &amp; C5500 &amp; "'!" &amp; J5500, J5500), "")</f>
        <v>0</v>
      </c>
    </row>
    <row r="5501" spans="2:2">
      <c r="B5501" s="21">
        <f>IF(AND(C5501&lt;&gt;"", J5501&lt;&gt;""), HYPERLINK("#'" &amp; C5501 &amp; "'!" &amp; J5501, J5501), "")</f>
        <v>0</v>
      </c>
    </row>
    <row r="5502" spans="2:2">
      <c r="B5502" s="21">
        <f>IF(AND(C5502&lt;&gt;"", J5502&lt;&gt;""), HYPERLINK("#'" &amp; C5502 &amp; "'!" &amp; J5502, J5502), "")</f>
        <v>0</v>
      </c>
    </row>
    <row r="5503" spans="2:2">
      <c r="B5503" s="21">
        <f>IF(AND(C5503&lt;&gt;"", J5503&lt;&gt;""), HYPERLINK("#'" &amp; C5503 &amp; "'!" &amp; J5503, J5503), "")</f>
        <v>0</v>
      </c>
    </row>
    <row r="5504" spans="2:2">
      <c r="B5504" s="21">
        <f>IF(AND(C5504&lt;&gt;"", J5504&lt;&gt;""), HYPERLINK("#'" &amp; C5504 &amp; "'!" &amp; J5504, J5504), "")</f>
        <v>0</v>
      </c>
    </row>
    <row r="5505" spans="2:2">
      <c r="B5505" s="21">
        <f>IF(AND(C5505&lt;&gt;"", J5505&lt;&gt;""), HYPERLINK("#'" &amp; C5505 &amp; "'!" &amp; J5505, J5505), "")</f>
        <v>0</v>
      </c>
    </row>
    <row r="5506" spans="2:2">
      <c r="B5506" s="21">
        <f>IF(AND(C5506&lt;&gt;"", J5506&lt;&gt;""), HYPERLINK("#'" &amp; C5506 &amp; "'!" &amp; J5506, J5506), "")</f>
        <v>0</v>
      </c>
    </row>
    <row r="5507" spans="2:2">
      <c r="B5507" s="21">
        <f>IF(AND(C5507&lt;&gt;"", J5507&lt;&gt;""), HYPERLINK("#'" &amp; C5507 &amp; "'!" &amp; J5507, J5507), "")</f>
        <v>0</v>
      </c>
    </row>
    <row r="5508" spans="2:2">
      <c r="B5508" s="21">
        <f>IF(AND(C5508&lt;&gt;"", J5508&lt;&gt;""), HYPERLINK("#'" &amp; C5508 &amp; "'!" &amp; J5508, J5508), "")</f>
        <v>0</v>
      </c>
    </row>
    <row r="5509" spans="2:2">
      <c r="B5509" s="21">
        <f>IF(AND(C5509&lt;&gt;"", J5509&lt;&gt;""), HYPERLINK("#'" &amp; C5509 &amp; "'!" &amp; J5509, J5509), "")</f>
        <v>0</v>
      </c>
    </row>
    <row r="5510" spans="2:2">
      <c r="B5510" s="21">
        <f>IF(AND(C5510&lt;&gt;"", J5510&lt;&gt;""), HYPERLINK("#'" &amp; C5510 &amp; "'!" &amp; J5510, J5510), "")</f>
        <v>0</v>
      </c>
    </row>
    <row r="5511" spans="2:2">
      <c r="B5511" s="21">
        <f>IF(AND(C5511&lt;&gt;"", J5511&lt;&gt;""), HYPERLINK("#'" &amp; C5511 &amp; "'!" &amp; J5511, J5511), "")</f>
        <v>0</v>
      </c>
    </row>
    <row r="5512" spans="2:2">
      <c r="B5512" s="21">
        <f>IF(AND(C5512&lt;&gt;"", J5512&lt;&gt;""), HYPERLINK("#'" &amp; C5512 &amp; "'!" &amp; J5512, J5512), "")</f>
        <v>0</v>
      </c>
    </row>
    <row r="5513" spans="2:2">
      <c r="B5513" s="21">
        <f>IF(AND(C5513&lt;&gt;"", J5513&lt;&gt;""), HYPERLINK("#'" &amp; C5513 &amp; "'!" &amp; J5513, J5513), "")</f>
        <v>0</v>
      </c>
    </row>
    <row r="5514" spans="2:2">
      <c r="B5514" s="21">
        <f>IF(AND(C5514&lt;&gt;"", J5514&lt;&gt;""), HYPERLINK("#'" &amp; C5514 &amp; "'!" &amp; J5514, J5514), "")</f>
        <v>0</v>
      </c>
    </row>
    <row r="5515" spans="2:2">
      <c r="B5515" s="21">
        <f>IF(AND(C5515&lt;&gt;"", J5515&lt;&gt;""), HYPERLINK("#'" &amp; C5515 &amp; "'!" &amp; J5515, J5515), "")</f>
        <v>0</v>
      </c>
    </row>
    <row r="5516" spans="2:2">
      <c r="B5516" s="21">
        <f>IF(AND(C5516&lt;&gt;"", J5516&lt;&gt;""), HYPERLINK("#'" &amp; C5516 &amp; "'!" &amp; J5516, J5516), "")</f>
        <v>0</v>
      </c>
    </row>
    <row r="5517" spans="2:2">
      <c r="B5517" s="21">
        <f>IF(AND(C5517&lt;&gt;"", J5517&lt;&gt;""), HYPERLINK("#'" &amp; C5517 &amp; "'!" &amp; J5517, J5517), "")</f>
        <v>0</v>
      </c>
    </row>
    <row r="5518" spans="2:2">
      <c r="B5518" s="21">
        <f>IF(AND(C5518&lt;&gt;"", J5518&lt;&gt;""), HYPERLINK("#'" &amp; C5518 &amp; "'!" &amp; J5518, J5518), "")</f>
        <v>0</v>
      </c>
    </row>
    <row r="5519" spans="2:2">
      <c r="B5519" s="21">
        <f>IF(AND(C5519&lt;&gt;"", J5519&lt;&gt;""), HYPERLINK("#'" &amp; C5519 &amp; "'!" &amp; J5519, J5519), "")</f>
        <v>0</v>
      </c>
    </row>
    <row r="5520" spans="2:2">
      <c r="B5520" s="21">
        <f>IF(AND(C5520&lt;&gt;"", J5520&lt;&gt;""), HYPERLINK("#'" &amp; C5520 &amp; "'!" &amp; J5520, J5520), "")</f>
        <v>0</v>
      </c>
    </row>
    <row r="5521" spans="2:2">
      <c r="B5521" s="21">
        <f>IF(AND(C5521&lt;&gt;"", J5521&lt;&gt;""), HYPERLINK("#'" &amp; C5521 &amp; "'!" &amp; J5521, J5521), "")</f>
        <v>0</v>
      </c>
    </row>
    <row r="5522" spans="2:2">
      <c r="B5522" s="21">
        <f>IF(AND(C5522&lt;&gt;"", J5522&lt;&gt;""), HYPERLINK("#'" &amp; C5522 &amp; "'!" &amp; J5522, J5522), "")</f>
        <v>0</v>
      </c>
    </row>
    <row r="5523" spans="2:2">
      <c r="B5523" s="21">
        <f>IF(AND(C5523&lt;&gt;"", J5523&lt;&gt;""), HYPERLINK("#'" &amp; C5523 &amp; "'!" &amp; J5523, J5523), "")</f>
        <v>0</v>
      </c>
    </row>
    <row r="5524" spans="2:2">
      <c r="B5524" s="21">
        <f>IF(AND(C5524&lt;&gt;"", J5524&lt;&gt;""), HYPERLINK("#'" &amp; C5524 &amp; "'!" &amp; J5524, J5524), "")</f>
        <v>0</v>
      </c>
    </row>
    <row r="5525" spans="2:2">
      <c r="B5525" s="21">
        <f>IF(AND(C5525&lt;&gt;"", J5525&lt;&gt;""), HYPERLINK("#'" &amp; C5525 &amp; "'!" &amp; J5525, J5525), "")</f>
        <v>0</v>
      </c>
    </row>
    <row r="5526" spans="2:2">
      <c r="B5526" s="21">
        <f>IF(AND(C5526&lt;&gt;"", J5526&lt;&gt;""), HYPERLINK("#'" &amp; C5526 &amp; "'!" &amp; J5526, J5526), "")</f>
        <v>0</v>
      </c>
    </row>
    <row r="5527" spans="2:2">
      <c r="B5527" s="21">
        <f>IF(AND(C5527&lt;&gt;"", J5527&lt;&gt;""), HYPERLINK("#'" &amp; C5527 &amp; "'!" &amp; J5527, J5527), "")</f>
        <v>0</v>
      </c>
    </row>
    <row r="5528" spans="2:2">
      <c r="B5528" s="21">
        <f>IF(AND(C5528&lt;&gt;"", J5528&lt;&gt;""), HYPERLINK("#'" &amp; C5528 &amp; "'!" &amp; J5528, J5528), "")</f>
        <v>0</v>
      </c>
    </row>
    <row r="5529" spans="2:2">
      <c r="B5529" s="21">
        <f>IF(AND(C5529&lt;&gt;"", J5529&lt;&gt;""), HYPERLINK("#'" &amp; C5529 &amp; "'!" &amp; J5529, J5529), "")</f>
        <v>0</v>
      </c>
    </row>
    <row r="5530" spans="2:2">
      <c r="B5530" s="21">
        <f>IF(AND(C5530&lt;&gt;"", J5530&lt;&gt;""), HYPERLINK("#'" &amp; C5530 &amp; "'!" &amp; J5530, J5530), "")</f>
        <v>0</v>
      </c>
    </row>
    <row r="5531" spans="2:2">
      <c r="B5531" s="21">
        <f>IF(AND(C5531&lt;&gt;"", J5531&lt;&gt;""), HYPERLINK("#'" &amp; C5531 &amp; "'!" &amp; J5531, J5531), "")</f>
        <v>0</v>
      </c>
    </row>
    <row r="5532" spans="2:2">
      <c r="B5532" s="21">
        <f>IF(AND(C5532&lt;&gt;"", J5532&lt;&gt;""), HYPERLINK("#'" &amp; C5532 &amp; "'!" &amp; J5532, J5532), "")</f>
        <v>0</v>
      </c>
    </row>
    <row r="5533" spans="2:2">
      <c r="B5533" s="21">
        <f>IF(AND(C5533&lt;&gt;"", J5533&lt;&gt;""), HYPERLINK("#'" &amp; C5533 &amp; "'!" &amp; J5533, J5533), "")</f>
        <v>0</v>
      </c>
    </row>
    <row r="5534" spans="2:2">
      <c r="B5534" s="21">
        <f>IF(AND(C5534&lt;&gt;"", J5534&lt;&gt;""), HYPERLINK("#'" &amp; C5534 &amp; "'!" &amp; J5534, J5534), "")</f>
        <v>0</v>
      </c>
    </row>
    <row r="5535" spans="2:2">
      <c r="B5535" s="21">
        <f>IF(AND(C5535&lt;&gt;"", J5535&lt;&gt;""), HYPERLINK("#'" &amp; C5535 &amp; "'!" &amp; J5535, J5535), "")</f>
        <v>0</v>
      </c>
    </row>
    <row r="5536" spans="2:2">
      <c r="B5536" s="21">
        <f>IF(AND(C5536&lt;&gt;"", J5536&lt;&gt;""), HYPERLINK("#'" &amp; C5536 &amp; "'!" &amp; J5536, J5536), "")</f>
        <v>0</v>
      </c>
    </row>
    <row r="5537" spans="2:2">
      <c r="B5537" s="21">
        <f>IF(AND(C5537&lt;&gt;"", J5537&lt;&gt;""), HYPERLINK("#'" &amp; C5537 &amp; "'!" &amp; J5537, J5537), "")</f>
        <v>0</v>
      </c>
    </row>
    <row r="5538" spans="2:2">
      <c r="B5538" s="21">
        <f>IF(AND(C5538&lt;&gt;"", J5538&lt;&gt;""), HYPERLINK("#'" &amp; C5538 &amp; "'!" &amp; J5538, J5538), "")</f>
        <v>0</v>
      </c>
    </row>
    <row r="5539" spans="2:2">
      <c r="B5539" s="21">
        <f>IF(AND(C5539&lt;&gt;"", J5539&lt;&gt;""), HYPERLINK("#'" &amp; C5539 &amp; "'!" &amp; J5539, J5539), "")</f>
        <v>0</v>
      </c>
    </row>
    <row r="5540" spans="2:2">
      <c r="B5540" s="21">
        <f>IF(AND(C5540&lt;&gt;"", J5540&lt;&gt;""), HYPERLINK("#'" &amp; C5540 &amp; "'!" &amp; J5540, J5540), "")</f>
        <v>0</v>
      </c>
    </row>
    <row r="5541" spans="2:2">
      <c r="B5541" s="21">
        <f>IF(AND(C5541&lt;&gt;"", J5541&lt;&gt;""), HYPERLINK("#'" &amp; C5541 &amp; "'!" &amp; J5541, J5541), "")</f>
        <v>0</v>
      </c>
    </row>
    <row r="5542" spans="2:2">
      <c r="B5542" s="21">
        <f>IF(AND(C5542&lt;&gt;"", J5542&lt;&gt;""), HYPERLINK("#'" &amp; C5542 &amp; "'!" &amp; J5542, J5542), "")</f>
        <v>0</v>
      </c>
    </row>
    <row r="5543" spans="2:2">
      <c r="B5543" s="21">
        <f>IF(AND(C5543&lt;&gt;"", J5543&lt;&gt;""), HYPERLINK("#'" &amp; C5543 &amp; "'!" &amp; J5543, J5543), "")</f>
        <v>0</v>
      </c>
    </row>
    <row r="5544" spans="2:2">
      <c r="B5544" s="21">
        <f>IF(AND(C5544&lt;&gt;"", J5544&lt;&gt;""), HYPERLINK("#'" &amp; C5544 &amp; "'!" &amp; J5544, J5544), "")</f>
        <v>0</v>
      </c>
    </row>
    <row r="5545" spans="2:2">
      <c r="B5545" s="21">
        <f>IF(AND(C5545&lt;&gt;"", J5545&lt;&gt;""), HYPERLINK("#'" &amp; C5545 &amp; "'!" &amp; J5545, J5545), "")</f>
        <v>0</v>
      </c>
    </row>
    <row r="5546" spans="2:2">
      <c r="B5546" s="21">
        <f>IF(AND(C5546&lt;&gt;"", J5546&lt;&gt;""), HYPERLINK("#'" &amp; C5546 &amp; "'!" &amp; J5546, J5546), "")</f>
        <v>0</v>
      </c>
    </row>
    <row r="5547" spans="2:2">
      <c r="B5547" s="21">
        <f>IF(AND(C5547&lt;&gt;"", J5547&lt;&gt;""), HYPERLINK("#'" &amp; C5547 &amp; "'!" &amp; J5547, J5547), "")</f>
        <v>0</v>
      </c>
    </row>
    <row r="5548" spans="2:2">
      <c r="B5548" s="21">
        <f>IF(AND(C5548&lt;&gt;"", J5548&lt;&gt;""), HYPERLINK("#'" &amp; C5548 &amp; "'!" &amp; J5548, J5548), "")</f>
        <v>0</v>
      </c>
    </row>
    <row r="5549" spans="2:2">
      <c r="B5549" s="21">
        <f>IF(AND(C5549&lt;&gt;"", J5549&lt;&gt;""), HYPERLINK("#'" &amp; C5549 &amp; "'!" &amp; J5549, J5549), "")</f>
        <v>0</v>
      </c>
    </row>
    <row r="5550" spans="2:2">
      <c r="B5550" s="21">
        <f>IF(AND(C5550&lt;&gt;"", J5550&lt;&gt;""), HYPERLINK("#'" &amp; C5550 &amp; "'!" &amp; J5550, J5550), "")</f>
        <v>0</v>
      </c>
    </row>
    <row r="5551" spans="2:2">
      <c r="B5551" s="21">
        <f>IF(AND(C5551&lt;&gt;"", J5551&lt;&gt;""), HYPERLINK("#'" &amp; C5551 &amp; "'!" &amp; J5551, J5551), "")</f>
        <v>0</v>
      </c>
    </row>
    <row r="5552" spans="2:2">
      <c r="B5552" s="21">
        <f>IF(AND(C5552&lt;&gt;"", J5552&lt;&gt;""), HYPERLINK("#'" &amp; C5552 &amp; "'!" &amp; J5552, J5552), "")</f>
        <v>0</v>
      </c>
    </row>
    <row r="5553" spans="2:2">
      <c r="B5553" s="21">
        <f>IF(AND(C5553&lt;&gt;"", J5553&lt;&gt;""), HYPERLINK("#'" &amp; C5553 &amp; "'!" &amp; J5553, J5553), "")</f>
        <v>0</v>
      </c>
    </row>
    <row r="5554" spans="2:2">
      <c r="B5554" s="21">
        <f>IF(AND(C5554&lt;&gt;"", J5554&lt;&gt;""), HYPERLINK("#'" &amp; C5554 &amp; "'!" &amp; J5554, J5554), "")</f>
        <v>0</v>
      </c>
    </row>
    <row r="5555" spans="2:2">
      <c r="B5555" s="21">
        <f>IF(AND(C5555&lt;&gt;"", J5555&lt;&gt;""), HYPERLINK("#'" &amp; C5555 &amp; "'!" &amp; J5555, J5555), "")</f>
        <v>0</v>
      </c>
    </row>
    <row r="5556" spans="2:2">
      <c r="B5556" s="21">
        <f>IF(AND(C5556&lt;&gt;"", J5556&lt;&gt;""), HYPERLINK("#'" &amp; C5556 &amp; "'!" &amp; J5556, J5556), "")</f>
        <v>0</v>
      </c>
    </row>
    <row r="5557" spans="2:2">
      <c r="B5557" s="21">
        <f>IF(AND(C5557&lt;&gt;"", J5557&lt;&gt;""), HYPERLINK("#'" &amp; C5557 &amp; "'!" &amp; J5557, J5557), "")</f>
        <v>0</v>
      </c>
    </row>
    <row r="5558" spans="2:2">
      <c r="B5558" s="21">
        <f>IF(AND(C5558&lt;&gt;"", J5558&lt;&gt;""), HYPERLINK("#'" &amp; C5558 &amp; "'!" &amp; J5558, J5558), "")</f>
        <v>0</v>
      </c>
    </row>
    <row r="5559" spans="2:2">
      <c r="B5559" s="21">
        <f>IF(AND(C5559&lt;&gt;"", J5559&lt;&gt;""), HYPERLINK("#'" &amp; C5559 &amp; "'!" &amp; J5559, J5559), "")</f>
        <v>0</v>
      </c>
    </row>
    <row r="5560" spans="2:2">
      <c r="B5560" s="21">
        <f>IF(AND(C5560&lt;&gt;"", J5560&lt;&gt;""), HYPERLINK("#'" &amp; C5560 &amp; "'!" &amp; J5560, J5560), "")</f>
        <v>0</v>
      </c>
    </row>
    <row r="5561" spans="2:2">
      <c r="B5561" s="21">
        <f>IF(AND(C5561&lt;&gt;"", J5561&lt;&gt;""), HYPERLINK("#'" &amp; C5561 &amp; "'!" &amp; J5561, J5561), "")</f>
        <v>0</v>
      </c>
    </row>
    <row r="5562" spans="2:2">
      <c r="B5562" s="21">
        <f>IF(AND(C5562&lt;&gt;"", J5562&lt;&gt;""), HYPERLINK("#'" &amp; C5562 &amp; "'!" &amp; J5562, J5562), "")</f>
        <v>0</v>
      </c>
    </row>
    <row r="5563" spans="2:2">
      <c r="B5563" s="21">
        <f>IF(AND(C5563&lt;&gt;"", J5563&lt;&gt;""), HYPERLINK("#'" &amp; C5563 &amp; "'!" &amp; J5563, J5563), "")</f>
        <v>0</v>
      </c>
    </row>
    <row r="5564" spans="2:2">
      <c r="B5564" s="21">
        <f>IF(AND(C5564&lt;&gt;"", J5564&lt;&gt;""), HYPERLINK("#'" &amp; C5564 &amp; "'!" &amp; J5564, J5564), "")</f>
        <v>0</v>
      </c>
    </row>
    <row r="5565" spans="2:2">
      <c r="B5565" s="21">
        <f>IF(AND(C5565&lt;&gt;"", J5565&lt;&gt;""), HYPERLINK("#'" &amp; C5565 &amp; "'!" &amp; J5565, J5565), "")</f>
        <v>0</v>
      </c>
    </row>
    <row r="5566" spans="2:2">
      <c r="B5566" s="21">
        <f>IF(AND(C5566&lt;&gt;"", J5566&lt;&gt;""), HYPERLINK("#'" &amp; C5566 &amp; "'!" &amp; J5566, J5566), "")</f>
        <v>0</v>
      </c>
    </row>
    <row r="5567" spans="2:2">
      <c r="B5567" s="21">
        <f>IF(AND(C5567&lt;&gt;"", J5567&lt;&gt;""), HYPERLINK("#'" &amp; C5567 &amp; "'!" &amp; J5567, J5567), "")</f>
        <v>0</v>
      </c>
    </row>
    <row r="5568" spans="2:2">
      <c r="B5568" s="21">
        <f>IF(AND(C5568&lt;&gt;"", J5568&lt;&gt;""), HYPERLINK("#'" &amp; C5568 &amp; "'!" &amp; J5568, J5568), "")</f>
        <v>0</v>
      </c>
    </row>
    <row r="5569" spans="2:2">
      <c r="B5569" s="21">
        <f>IF(AND(C5569&lt;&gt;"", J5569&lt;&gt;""), HYPERLINK("#'" &amp; C5569 &amp; "'!" &amp; J5569, J5569), "")</f>
        <v>0</v>
      </c>
    </row>
    <row r="5570" spans="2:2">
      <c r="B5570" s="21">
        <f>IF(AND(C5570&lt;&gt;"", J5570&lt;&gt;""), HYPERLINK("#'" &amp; C5570 &amp; "'!" &amp; J5570, J5570), "")</f>
        <v>0</v>
      </c>
    </row>
    <row r="5571" spans="2:2">
      <c r="B5571" s="21">
        <f>IF(AND(C5571&lt;&gt;"", J5571&lt;&gt;""), HYPERLINK("#'" &amp; C5571 &amp; "'!" &amp; J5571, J5571), "")</f>
        <v>0</v>
      </c>
    </row>
    <row r="5572" spans="2:2">
      <c r="B5572" s="21">
        <f>IF(AND(C5572&lt;&gt;"", J5572&lt;&gt;""), HYPERLINK("#'" &amp; C5572 &amp; "'!" &amp; J5572, J5572), "")</f>
        <v>0</v>
      </c>
    </row>
    <row r="5573" spans="2:2">
      <c r="B5573" s="21">
        <f>IF(AND(C5573&lt;&gt;"", J5573&lt;&gt;""), HYPERLINK("#'" &amp; C5573 &amp; "'!" &amp; J5573, J5573), "")</f>
        <v>0</v>
      </c>
    </row>
    <row r="5574" spans="2:2">
      <c r="B5574" s="21">
        <f>IF(AND(C5574&lt;&gt;"", J5574&lt;&gt;""), HYPERLINK("#'" &amp; C5574 &amp; "'!" &amp; J5574, J5574), "")</f>
        <v>0</v>
      </c>
    </row>
    <row r="5575" spans="2:2">
      <c r="B5575" s="21">
        <f>IF(AND(C5575&lt;&gt;"", J5575&lt;&gt;""), HYPERLINK("#'" &amp; C5575 &amp; "'!" &amp; J5575, J5575), "")</f>
        <v>0</v>
      </c>
    </row>
    <row r="5576" spans="2:2">
      <c r="B5576" s="21">
        <f>IF(AND(C5576&lt;&gt;"", J5576&lt;&gt;""), HYPERLINK("#'" &amp; C5576 &amp; "'!" &amp; J5576, J5576), "")</f>
        <v>0</v>
      </c>
    </row>
    <row r="5577" spans="2:2">
      <c r="B5577" s="21">
        <f>IF(AND(C5577&lt;&gt;"", J5577&lt;&gt;""), HYPERLINK("#'" &amp; C5577 &amp; "'!" &amp; J5577, J5577), "")</f>
        <v>0</v>
      </c>
    </row>
    <row r="5578" spans="2:2">
      <c r="B5578" s="21">
        <f>IF(AND(C5578&lt;&gt;"", J5578&lt;&gt;""), HYPERLINK("#'" &amp; C5578 &amp; "'!" &amp; J5578, J5578), "")</f>
        <v>0</v>
      </c>
    </row>
    <row r="5579" spans="2:2">
      <c r="B5579" s="21">
        <f>IF(AND(C5579&lt;&gt;"", J5579&lt;&gt;""), HYPERLINK("#'" &amp; C5579 &amp; "'!" &amp; J5579, J5579), "")</f>
        <v>0</v>
      </c>
    </row>
    <row r="5580" spans="2:2">
      <c r="B5580" s="21">
        <f>IF(AND(C5580&lt;&gt;"", J5580&lt;&gt;""), HYPERLINK("#'" &amp; C5580 &amp; "'!" &amp; J5580, J5580), "")</f>
        <v>0</v>
      </c>
    </row>
    <row r="5581" spans="2:2">
      <c r="B5581" s="21">
        <f>IF(AND(C5581&lt;&gt;"", J5581&lt;&gt;""), HYPERLINK("#'" &amp; C5581 &amp; "'!" &amp; J5581, J5581), "")</f>
        <v>0</v>
      </c>
    </row>
    <row r="5582" spans="2:2">
      <c r="B5582" s="21">
        <f>IF(AND(C5582&lt;&gt;"", J5582&lt;&gt;""), HYPERLINK("#'" &amp; C5582 &amp; "'!" &amp; J5582, J5582), "")</f>
        <v>0</v>
      </c>
    </row>
    <row r="5583" spans="2:2">
      <c r="B5583" s="21">
        <f>IF(AND(C5583&lt;&gt;"", J5583&lt;&gt;""), HYPERLINK("#'" &amp; C5583 &amp; "'!" &amp; J5583, J5583), "")</f>
        <v>0</v>
      </c>
    </row>
    <row r="5584" spans="2:2">
      <c r="B5584" s="21">
        <f>IF(AND(C5584&lt;&gt;"", J5584&lt;&gt;""), HYPERLINK("#'" &amp; C5584 &amp; "'!" &amp; J5584, J5584), "")</f>
        <v>0</v>
      </c>
    </row>
    <row r="5585" spans="2:2">
      <c r="B5585" s="21">
        <f>IF(AND(C5585&lt;&gt;"", J5585&lt;&gt;""), HYPERLINK("#'" &amp; C5585 &amp; "'!" &amp; J5585, J5585), "")</f>
        <v>0</v>
      </c>
    </row>
    <row r="5586" spans="2:2">
      <c r="B5586" s="21">
        <f>IF(AND(C5586&lt;&gt;"", J5586&lt;&gt;""), HYPERLINK("#'" &amp; C5586 &amp; "'!" &amp; J5586, J5586), "")</f>
        <v>0</v>
      </c>
    </row>
    <row r="5587" spans="2:2">
      <c r="B5587" s="21">
        <f>IF(AND(C5587&lt;&gt;"", J5587&lt;&gt;""), HYPERLINK("#'" &amp; C5587 &amp; "'!" &amp; J5587, J5587), "")</f>
        <v>0</v>
      </c>
    </row>
    <row r="5588" spans="2:2">
      <c r="B5588" s="21">
        <f>IF(AND(C5588&lt;&gt;"", J5588&lt;&gt;""), HYPERLINK("#'" &amp; C5588 &amp; "'!" &amp; J5588, J5588), "")</f>
        <v>0</v>
      </c>
    </row>
    <row r="5589" spans="2:2">
      <c r="B5589" s="21">
        <f>IF(AND(C5589&lt;&gt;"", J5589&lt;&gt;""), HYPERLINK("#'" &amp; C5589 &amp; "'!" &amp; J5589, J5589), "")</f>
        <v>0</v>
      </c>
    </row>
    <row r="5590" spans="2:2">
      <c r="B5590" s="21">
        <f>IF(AND(C5590&lt;&gt;"", J5590&lt;&gt;""), HYPERLINK("#'" &amp; C5590 &amp; "'!" &amp; J5590, J5590), "")</f>
        <v>0</v>
      </c>
    </row>
    <row r="5591" spans="2:2">
      <c r="B5591" s="21">
        <f>IF(AND(C5591&lt;&gt;"", J5591&lt;&gt;""), HYPERLINK("#'" &amp; C5591 &amp; "'!" &amp; J5591, J5591), "")</f>
        <v>0</v>
      </c>
    </row>
    <row r="5592" spans="2:2">
      <c r="B5592" s="21">
        <f>IF(AND(C5592&lt;&gt;"", J5592&lt;&gt;""), HYPERLINK("#'" &amp; C5592 &amp; "'!" &amp; J5592, J5592), "")</f>
        <v>0</v>
      </c>
    </row>
    <row r="5593" spans="2:2">
      <c r="B5593" s="21">
        <f>IF(AND(C5593&lt;&gt;"", J5593&lt;&gt;""), HYPERLINK("#'" &amp; C5593 &amp; "'!" &amp; J5593, J5593), "")</f>
        <v>0</v>
      </c>
    </row>
    <row r="5594" spans="2:2">
      <c r="B5594" s="21">
        <f>IF(AND(C5594&lt;&gt;"", J5594&lt;&gt;""), HYPERLINK("#'" &amp; C5594 &amp; "'!" &amp; J5594, J5594), "")</f>
        <v>0</v>
      </c>
    </row>
    <row r="5595" spans="2:2">
      <c r="B5595" s="21">
        <f>IF(AND(C5595&lt;&gt;"", J5595&lt;&gt;""), HYPERLINK("#'" &amp; C5595 &amp; "'!" &amp; J5595, J5595), "")</f>
        <v>0</v>
      </c>
    </row>
    <row r="5596" spans="2:2">
      <c r="B5596" s="21">
        <f>IF(AND(C5596&lt;&gt;"", J5596&lt;&gt;""), HYPERLINK("#'" &amp; C5596 &amp; "'!" &amp; J5596, J5596), "")</f>
        <v>0</v>
      </c>
    </row>
    <row r="5597" spans="2:2">
      <c r="B5597" s="21">
        <f>IF(AND(C5597&lt;&gt;"", J5597&lt;&gt;""), HYPERLINK("#'" &amp; C5597 &amp; "'!" &amp; J5597, J5597), "")</f>
        <v>0</v>
      </c>
    </row>
    <row r="5598" spans="2:2">
      <c r="B5598" s="21">
        <f>IF(AND(C5598&lt;&gt;"", J5598&lt;&gt;""), HYPERLINK("#'" &amp; C5598 &amp; "'!" &amp; J5598, J5598), "")</f>
        <v>0</v>
      </c>
    </row>
    <row r="5599" spans="2:2">
      <c r="B5599" s="21">
        <f>IF(AND(C5599&lt;&gt;"", J5599&lt;&gt;""), HYPERLINK("#'" &amp; C5599 &amp; "'!" &amp; J5599, J5599), "")</f>
        <v>0</v>
      </c>
    </row>
    <row r="5600" spans="2:2">
      <c r="B5600" s="21">
        <f>IF(AND(C5600&lt;&gt;"", J5600&lt;&gt;""), HYPERLINK("#'" &amp; C5600 &amp; "'!" &amp; J5600, J5600), "")</f>
        <v>0</v>
      </c>
    </row>
    <row r="5601" spans="2:2">
      <c r="B5601" s="21">
        <f>IF(AND(C5601&lt;&gt;"", J5601&lt;&gt;""), HYPERLINK("#'" &amp; C5601 &amp; "'!" &amp; J5601, J5601), "")</f>
        <v>0</v>
      </c>
    </row>
    <row r="5602" spans="2:2">
      <c r="B5602" s="21">
        <f>IF(AND(C5602&lt;&gt;"", J5602&lt;&gt;""), HYPERLINK("#'" &amp; C5602 &amp; "'!" &amp; J5602, J5602), "")</f>
        <v>0</v>
      </c>
    </row>
    <row r="5603" spans="2:2">
      <c r="B5603" s="21">
        <f>IF(AND(C5603&lt;&gt;"", J5603&lt;&gt;""), HYPERLINK("#'" &amp; C5603 &amp; "'!" &amp; J5603, J5603), "")</f>
        <v>0</v>
      </c>
    </row>
    <row r="5604" spans="2:2">
      <c r="B5604" s="21">
        <f>IF(AND(C5604&lt;&gt;"", J5604&lt;&gt;""), HYPERLINK("#'" &amp; C5604 &amp; "'!" &amp; J5604, J5604), "")</f>
        <v>0</v>
      </c>
    </row>
    <row r="5605" spans="2:2">
      <c r="B5605" s="21">
        <f>IF(AND(C5605&lt;&gt;"", J5605&lt;&gt;""), HYPERLINK("#'" &amp; C5605 &amp; "'!" &amp; J5605, J5605), "")</f>
        <v>0</v>
      </c>
    </row>
    <row r="5606" spans="2:2">
      <c r="B5606" s="21">
        <f>IF(AND(C5606&lt;&gt;"", J5606&lt;&gt;""), HYPERLINK("#'" &amp; C5606 &amp; "'!" &amp; J5606, J5606), "")</f>
        <v>0</v>
      </c>
    </row>
    <row r="5607" spans="2:2">
      <c r="B5607" s="21">
        <f>IF(AND(C5607&lt;&gt;"", J5607&lt;&gt;""), HYPERLINK("#'" &amp; C5607 &amp; "'!" &amp; J5607, J5607), "")</f>
        <v>0</v>
      </c>
    </row>
    <row r="5608" spans="2:2">
      <c r="B5608" s="21">
        <f>IF(AND(C5608&lt;&gt;"", J5608&lt;&gt;""), HYPERLINK("#'" &amp; C5608 &amp; "'!" &amp; J5608, J5608), "")</f>
        <v>0</v>
      </c>
    </row>
    <row r="5609" spans="2:2">
      <c r="B5609" s="21">
        <f>IF(AND(C5609&lt;&gt;"", J5609&lt;&gt;""), HYPERLINK("#'" &amp; C5609 &amp; "'!" &amp; J5609, J5609), "")</f>
        <v>0</v>
      </c>
    </row>
    <row r="5610" spans="2:2">
      <c r="B5610" s="21">
        <f>IF(AND(C5610&lt;&gt;"", J5610&lt;&gt;""), HYPERLINK("#'" &amp; C5610 &amp; "'!" &amp; J5610, J5610), "")</f>
        <v>0</v>
      </c>
    </row>
    <row r="5611" spans="2:2">
      <c r="B5611" s="21">
        <f>IF(AND(C5611&lt;&gt;"", J5611&lt;&gt;""), HYPERLINK("#'" &amp; C5611 &amp; "'!" &amp; J5611, J5611), "")</f>
        <v>0</v>
      </c>
    </row>
    <row r="5612" spans="2:2">
      <c r="B5612" s="21">
        <f>IF(AND(C5612&lt;&gt;"", J5612&lt;&gt;""), HYPERLINK("#'" &amp; C5612 &amp; "'!" &amp; J5612, J5612), "")</f>
        <v>0</v>
      </c>
    </row>
    <row r="5613" spans="2:2">
      <c r="B5613" s="21">
        <f>IF(AND(C5613&lt;&gt;"", J5613&lt;&gt;""), HYPERLINK("#'" &amp; C5613 &amp; "'!" &amp; J5613, J5613), "")</f>
        <v>0</v>
      </c>
    </row>
    <row r="5614" spans="2:2">
      <c r="B5614" s="21">
        <f>IF(AND(C5614&lt;&gt;"", J5614&lt;&gt;""), HYPERLINK("#'" &amp; C5614 &amp; "'!" &amp; J5614, J5614), "")</f>
        <v>0</v>
      </c>
    </row>
    <row r="5615" spans="2:2">
      <c r="B5615" s="21">
        <f>IF(AND(C5615&lt;&gt;"", J5615&lt;&gt;""), HYPERLINK("#'" &amp; C5615 &amp; "'!" &amp; J5615, J5615), "")</f>
        <v>0</v>
      </c>
    </row>
    <row r="5616" spans="2:2">
      <c r="B5616" s="21">
        <f>IF(AND(C5616&lt;&gt;"", J5616&lt;&gt;""), HYPERLINK("#'" &amp; C5616 &amp; "'!" &amp; J5616, J5616), "")</f>
        <v>0</v>
      </c>
    </row>
    <row r="5617" spans="2:2">
      <c r="B5617" s="21">
        <f>IF(AND(C5617&lt;&gt;"", J5617&lt;&gt;""), HYPERLINK("#'" &amp; C5617 &amp; "'!" &amp; J5617, J5617), "")</f>
        <v>0</v>
      </c>
    </row>
    <row r="5618" spans="2:2">
      <c r="B5618" s="21">
        <f>IF(AND(C5618&lt;&gt;"", J5618&lt;&gt;""), HYPERLINK("#'" &amp; C5618 &amp; "'!" &amp; J5618, J5618), "")</f>
        <v>0</v>
      </c>
    </row>
    <row r="5619" spans="2:2">
      <c r="B5619" s="21">
        <f>IF(AND(C5619&lt;&gt;"", J5619&lt;&gt;""), HYPERLINK("#'" &amp; C5619 &amp; "'!" &amp; J5619, J5619), "")</f>
        <v>0</v>
      </c>
    </row>
    <row r="5620" spans="2:2">
      <c r="B5620" s="21">
        <f>IF(AND(C5620&lt;&gt;"", J5620&lt;&gt;""), HYPERLINK("#'" &amp; C5620 &amp; "'!" &amp; J5620, J5620), "")</f>
        <v>0</v>
      </c>
    </row>
    <row r="5621" spans="2:2">
      <c r="B5621" s="21">
        <f>IF(AND(C5621&lt;&gt;"", J5621&lt;&gt;""), HYPERLINK("#'" &amp; C5621 &amp; "'!" &amp; J5621, J5621), "")</f>
        <v>0</v>
      </c>
    </row>
    <row r="5622" spans="2:2">
      <c r="B5622" s="21">
        <f>IF(AND(C5622&lt;&gt;"", J5622&lt;&gt;""), HYPERLINK("#'" &amp; C5622 &amp; "'!" &amp; J5622, J5622), "")</f>
        <v>0</v>
      </c>
    </row>
    <row r="5623" spans="2:2">
      <c r="B5623" s="21">
        <f>IF(AND(C5623&lt;&gt;"", J5623&lt;&gt;""), HYPERLINK("#'" &amp; C5623 &amp; "'!" &amp; J5623, J5623), "")</f>
        <v>0</v>
      </c>
    </row>
    <row r="5624" spans="2:2">
      <c r="B5624" s="21">
        <f>IF(AND(C5624&lt;&gt;"", J5624&lt;&gt;""), HYPERLINK("#'" &amp; C5624 &amp; "'!" &amp; J5624, J5624), "")</f>
        <v>0</v>
      </c>
    </row>
    <row r="5625" spans="2:2">
      <c r="B5625" s="21">
        <f>IF(AND(C5625&lt;&gt;"", J5625&lt;&gt;""), HYPERLINK("#'" &amp; C5625 &amp; "'!" &amp; J5625, J5625), "")</f>
        <v>0</v>
      </c>
    </row>
    <row r="5626" spans="2:2">
      <c r="B5626" s="21">
        <f>IF(AND(C5626&lt;&gt;"", J5626&lt;&gt;""), HYPERLINK("#'" &amp; C5626 &amp; "'!" &amp; J5626, J5626), "")</f>
        <v>0</v>
      </c>
    </row>
    <row r="5627" spans="2:2">
      <c r="B5627" s="21">
        <f>IF(AND(C5627&lt;&gt;"", J5627&lt;&gt;""), HYPERLINK("#'" &amp; C5627 &amp; "'!" &amp; J5627, J5627), "")</f>
        <v>0</v>
      </c>
    </row>
    <row r="5628" spans="2:2">
      <c r="B5628" s="21">
        <f>IF(AND(C5628&lt;&gt;"", J5628&lt;&gt;""), HYPERLINK("#'" &amp; C5628 &amp; "'!" &amp; J5628, J5628), "")</f>
        <v>0</v>
      </c>
    </row>
    <row r="5629" spans="2:2">
      <c r="B5629" s="21">
        <f>IF(AND(C5629&lt;&gt;"", J5629&lt;&gt;""), HYPERLINK("#'" &amp; C5629 &amp; "'!" &amp; J5629, J5629), "")</f>
        <v>0</v>
      </c>
    </row>
    <row r="5630" spans="2:2">
      <c r="B5630" s="21">
        <f>IF(AND(C5630&lt;&gt;"", J5630&lt;&gt;""), HYPERLINK("#'" &amp; C5630 &amp; "'!" &amp; J5630, J5630), "")</f>
        <v>0</v>
      </c>
    </row>
    <row r="5631" spans="2:2">
      <c r="B5631" s="21">
        <f>IF(AND(C5631&lt;&gt;"", J5631&lt;&gt;""), HYPERLINK("#'" &amp; C5631 &amp; "'!" &amp; J5631, J5631), "")</f>
        <v>0</v>
      </c>
    </row>
    <row r="5632" spans="2:2">
      <c r="B5632" s="21">
        <f>IF(AND(C5632&lt;&gt;"", J5632&lt;&gt;""), HYPERLINK("#'" &amp; C5632 &amp; "'!" &amp; J5632, J5632), "")</f>
        <v>0</v>
      </c>
    </row>
    <row r="5633" spans="2:2">
      <c r="B5633" s="21">
        <f>IF(AND(C5633&lt;&gt;"", J5633&lt;&gt;""), HYPERLINK("#'" &amp; C5633 &amp; "'!" &amp; J5633, J5633), "")</f>
        <v>0</v>
      </c>
    </row>
    <row r="5634" spans="2:2">
      <c r="B5634" s="21">
        <f>IF(AND(C5634&lt;&gt;"", J5634&lt;&gt;""), HYPERLINK("#'" &amp; C5634 &amp; "'!" &amp; J5634, J5634), "")</f>
        <v>0</v>
      </c>
    </row>
    <row r="5635" spans="2:2">
      <c r="B5635" s="21">
        <f>IF(AND(C5635&lt;&gt;"", J5635&lt;&gt;""), HYPERLINK("#'" &amp; C5635 &amp; "'!" &amp; J5635, J5635), "")</f>
        <v>0</v>
      </c>
    </row>
    <row r="5636" spans="2:2">
      <c r="B5636" s="21">
        <f>IF(AND(C5636&lt;&gt;"", J5636&lt;&gt;""), HYPERLINK("#'" &amp; C5636 &amp; "'!" &amp; J5636, J5636), "")</f>
        <v>0</v>
      </c>
    </row>
    <row r="5637" spans="2:2">
      <c r="B5637" s="21">
        <f>IF(AND(C5637&lt;&gt;"", J5637&lt;&gt;""), HYPERLINK("#'" &amp; C5637 &amp; "'!" &amp; J5637, J5637), "")</f>
        <v>0</v>
      </c>
    </row>
    <row r="5638" spans="2:2">
      <c r="B5638" s="21">
        <f>IF(AND(C5638&lt;&gt;"", J5638&lt;&gt;""), HYPERLINK("#'" &amp; C5638 &amp; "'!" &amp; J5638, J5638), "")</f>
        <v>0</v>
      </c>
    </row>
    <row r="5639" spans="2:2">
      <c r="B5639" s="21">
        <f>IF(AND(C5639&lt;&gt;"", J5639&lt;&gt;""), HYPERLINK("#'" &amp; C5639 &amp; "'!" &amp; J5639, J5639), "")</f>
        <v>0</v>
      </c>
    </row>
    <row r="5640" spans="2:2">
      <c r="B5640" s="21">
        <f>IF(AND(C5640&lt;&gt;"", J5640&lt;&gt;""), HYPERLINK("#'" &amp; C5640 &amp; "'!" &amp; J5640, J5640), "")</f>
        <v>0</v>
      </c>
    </row>
    <row r="5641" spans="2:2">
      <c r="B5641" s="21">
        <f>IF(AND(C5641&lt;&gt;"", J5641&lt;&gt;""), HYPERLINK("#'" &amp; C5641 &amp; "'!" &amp; J5641, J5641), "")</f>
        <v>0</v>
      </c>
    </row>
    <row r="5642" spans="2:2">
      <c r="B5642" s="21">
        <f>IF(AND(C5642&lt;&gt;"", J5642&lt;&gt;""), HYPERLINK("#'" &amp; C5642 &amp; "'!" &amp; J5642, J5642), "")</f>
        <v>0</v>
      </c>
    </row>
    <row r="5643" spans="2:2">
      <c r="B5643" s="21">
        <f>IF(AND(C5643&lt;&gt;"", J5643&lt;&gt;""), HYPERLINK("#'" &amp; C5643 &amp; "'!" &amp; J5643, J5643), "")</f>
        <v>0</v>
      </c>
    </row>
    <row r="5644" spans="2:2">
      <c r="B5644" s="21">
        <f>IF(AND(C5644&lt;&gt;"", J5644&lt;&gt;""), HYPERLINK("#'" &amp; C5644 &amp; "'!" &amp; J5644, J5644), "")</f>
        <v>0</v>
      </c>
    </row>
    <row r="5645" spans="2:2">
      <c r="B5645" s="21">
        <f>IF(AND(C5645&lt;&gt;"", J5645&lt;&gt;""), HYPERLINK("#'" &amp; C5645 &amp; "'!" &amp; J5645, J5645), "")</f>
        <v>0</v>
      </c>
    </row>
    <row r="5646" spans="2:2">
      <c r="B5646" s="21">
        <f>IF(AND(C5646&lt;&gt;"", J5646&lt;&gt;""), HYPERLINK("#'" &amp; C5646 &amp; "'!" &amp; J5646, J5646), "")</f>
        <v>0</v>
      </c>
    </row>
    <row r="5647" spans="2:2">
      <c r="B5647" s="21">
        <f>IF(AND(C5647&lt;&gt;"", J5647&lt;&gt;""), HYPERLINK("#'" &amp; C5647 &amp; "'!" &amp; J5647, J5647), "")</f>
        <v>0</v>
      </c>
    </row>
    <row r="5648" spans="2:2">
      <c r="B5648" s="21">
        <f>IF(AND(C5648&lt;&gt;"", J5648&lt;&gt;""), HYPERLINK("#'" &amp; C5648 &amp; "'!" &amp; J5648, J5648), "")</f>
        <v>0</v>
      </c>
    </row>
    <row r="5649" spans="2:2">
      <c r="B5649" s="21">
        <f>IF(AND(C5649&lt;&gt;"", J5649&lt;&gt;""), HYPERLINK("#'" &amp; C5649 &amp; "'!" &amp; J5649, J5649), "")</f>
        <v>0</v>
      </c>
    </row>
    <row r="5650" spans="2:2">
      <c r="B5650" s="21">
        <f>IF(AND(C5650&lt;&gt;"", J5650&lt;&gt;""), HYPERLINK("#'" &amp; C5650 &amp; "'!" &amp; J5650, J5650), "")</f>
        <v>0</v>
      </c>
    </row>
    <row r="5651" spans="2:2">
      <c r="B5651" s="21">
        <f>IF(AND(C5651&lt;&gt;"", J5651&lt;&gt;""), HYPERLINK("#'" &amp; C5651 &amp; "'!" &amp; J5651, J5651), "")</f>
        <v>0</v>
      </c>
    </row>
    <row r="5652" spans="2:2">
      <c r="B5652" s="21">
        <f>IF(AND(C5652&lt;&gt;"", J5652&lt;&gt;""), HYPERLINK("#'" &amp; C5652 &amp; "'!" &amp; J5652, J5652), "")</f>
        <v>0</v>
      </c>
    </row>
    <row r="5653" spans="2:2">
      <c r="B5653" s="21">
        <f>IF(AND(C5653&lt;&gt;"", J5653&lt;&gt;""), HYPERLINK("#'" &amp; C5653 &amp; "'!" &amp; J5653, J5653), "")</f>
        <v>0</v>
      </c>
    </row>
    <row r="5654" spans="2:2">
      <c r="B5654" s="21">
        <f>IF(AND(C5654&lt;&gt;"", J5654&lt;&gt;""), HYPERLINK("#'" &amp; C5654 &amp; "'!" &amp; J5654, J5654), "")</f>
        <v>0</v>
      </c>
    </row>
    <row r="5655" spans="2:2">
      <c r="B5655" s="21">
        <f>IF(AND(C5655&lt;&gt;"", J5655&lt;&gt;""), HYPERLINK("#'" &amp; C5655 &amp; "'!" &amp; J5655, J5655), "")</f>
        <v>0</v>
      </c>
    </row>
    <row r="5656" spans="2:2">
      <c r="B5656" s="21">
        <f>IF(AND(C5656&lt;&gt;"", J5656&lt;&gt;""), HYPERLINK("#'" &amp; C5656 &amp; "'!" &amp; J5656, J5656), "")</f>
        <v>0</v>
      </c>
    </row>
    <row r="5657" spans="2:2">
      <c r="B5657" s="21">
        <f>IF(AND(C5657&lt;&gt;"", J5657&lt;&gt;""), HYPERLINK("#'" &amp; C5657 &amp; "'!" &amp; J5657, J5657), "")</f>
        <v>0</v>
      </c>
    </row>
    <row r="5658" spans="2:2">
      <c r="B5658" s="21">
        <f>IF(AND(C5658&lt;&gt;"", J5658&lt;&gt;""), HYPERLINK("#'" &amp; C5658 &amp; "'!" &amp; J5658, J5658), "")</f>
        <v>0</v>
      </c>
    </row>
    <row r="5659" spans="2:2">
      <c r="B5659" s="21">
        <f>IF(AND(C5659&lt;&gt;"", J5659&lt;&gt;""), HYPERLINK("#'" &amp; C5659 &amp; "'!" &amp; J5659, J5659), "")</f>
        <v>0</v>
      </c>
    </row>
    <row r="5660" spans="2:2">
      <c r="B5660" s="21">
        <f>IF(AND(C5660&lt;&gt;"", J5660&lt;&gt;""), HYPERLINK("#'" &amp; C5660 &amp; "'!" &amp; J5660, J5660), "")</f>
        <v>0</v>
      </c>
    </row>
    <row r="5661" spans="2:2">
      <c r="B5661" s="21">
        <f>IF(AND(C5661&lt;&gt;"", J5661&lt;&gt;""), HYPERLINK("#'" &amp; C5661 &amp; "'!" &amp; J5661, J5661), "")</f>
        <v>0</v>
      </c>
    </row>
    <row r="5662" spans="2:2">
      <c r="B5662" s="21">
        <f>IF(AND(C5662&lt;&gt;"", J5662&lt;&gt;""), HYPERLINK("#'" &amp; C5662 &amp; "'!" &amp; J5662, J5662), "")</f>
        <v>0</v>
      </c>
    </row>
    <row r="5663" spans="2:2">
      <c r="B5663" s="21">
        <f>IF(AND(C5663&lt;&gt;"", J5663&lt;&gt;""), HYPERLINK("#'" &amp; C5663 &amp; "'!" &amp; J5663, J5663), "")</f>
        <v>0</v>
      </c>
    </row>
    <row r="5664" spans="2:2">
      <c r="B5664" s="21">
        <f>IF(AND(C5664&lt;&gt;"", J5664&lt;&gt;""), HYPERLINK("#'" &amp; C5664 &amp; "'!" &amp; J5664, J5664), "")</f>
        <v>0</v>
      </c>
    </row>
    <row r="5665" spans="2:2">
      <c r="B5665" s="21">
        <f>IF(AND(C5665&lt;&gt;"", J5665&lt;&gt;""), HYPERLINK("#'" &amp; C5665 &amp; "'!" &amp; J5665, J5665), "")</f>
        <v>0</v>
      </c>
    </row>
    <row r="5666" spans="2:2">
      <c r="B5666" s="21">
        <f>IF(AND(C5666&lt;&gt;"", J5666&lt;&gt;""), HYPERLINK("#'" &amp; C5666 &amp; "'!" &amp; J5666, J5666), "")</f>
        <v>0</v>
      </c>
    </row>
    <row r="5667" spans="2:2">
      <c r="B5667" s="21">
        <f>IF(AND(C5667&lt;&gt;"", J5667&lt;&gt;""), HYPERLINK("#'" &amp; C5667 &amp; "'!" &amp; J5667, J5667), "")</f>
        <v>0</v>
      </c>
    </row>
    <row r="5668" spans="2:2">
      <c r="B5668" s="21">
        <f>IF(AND(C5668&lt;&gt;"", J5668&lt;&gt;""), HYPERLINK("#'" &amp; C5668 &amp; "'!" &amp; J5668, J5668), "")</f>
        <v>0</v>
      </c>
    </row>
    <row r="5669" spans="2:2">
      <c r="B5669" s="21">
        <f>IF(AND(C5669&lt;&gt;"", J5669&lt;&gt;""), HYPERLINK("#'" &amp; C5669 &amp; "'!" &amp; J5669, J5669), "")</f>
        <v>0</v>
      </c>
    </row>
    <row r="5670" spans="2:2">
      <c r="B5670" s="21">
        <f>IF(AND(C5670&lt;&gt;"", J5670&lt;&gt;""), HYPERLINK("#'" &amp; C5670 &amp; "'!" &amp; J5670, J5670), "")</f>
        <v>0</v>
      </c>
    </row>
    <row r="5671" spans="2:2">
      <c r="B5671" s="21">
        <f>IF(AND(C5671&lt;&gt;"", J5671&lt;&gt;""), HYPERLINK("#'" &amp; C5671 &amp; "'!" &amp; J5671, J5671), "")</f>
        <v>0</v>
      </c>
    </row>
    <row r="5672" spans="2:2">
      <c r="B5672" s="21">
        <f>IF(AND(C5672&lt;&gt;"", J5672&lt;&gt;""), HYPERLINK("#'" &amp; C5672 &amp; "'!" &amp; J5672, J5672), "")</f>
        <v>0</v>
      </c>
    </row>
    <row r="5673" spans="2:2">
      <c r="B5673" s="21">
        <f>IF(AND(C5673&lt;&gt;"", J5673&lt;&gt;""), HYPERLINK("#'" &amp; C5673 &amp; "'!" &amp; J5673, J5673), "")</f>
        <v>0</v>
      </c>
    </row>
    <row r="5674" spans="2:2">
      <c r="B5674" s="21">
        <f>IF(AND(C5674&lt;&gt;"", J5674&lt;&gt;""), HYPERLINK("#'" &amp; C5674 &amp; "'!" &amp; J5674, J5674), "")</f>
        <v>0</v>
      </c>
    </row>
    <row r="5675" spans="2:2">
      <c r="B5675" s="21">
        <f>IF(AND(C5675&lt;&gt;"", J5675&lt;&gt;""), HYPERLINK("#'" &amp; C5675 &amp; "'!" &amp; J5675, J5675), "")</f>
        <v>0</v>
      </c>
    </row>
    <row r="5676" spans="2:2">
      <c r="B5676" s="21">
        <f>IF(AND(C5676&lt;&gt;"", J5676&lt;&gt;""), HYPERLINK("#'" &amp; C5676 &amp; "'!" &amp; J5676, J5676), "")</f>
        <v>0</v>
      </c>
    </row>
    <row r="5677" spans="2:2">
      <c r="B5677" s="21">
        <f>IF(AND(C5677&lt;&gt;"", J5677&lt;&gt;""), HYPERLINK("#'" &amp; C5677 &amp; "'!" &amp; J5677, J5677), "")</f>
        <v>0</v>
      </c>
    </row>
    <row r="5678" spans="2:2">
      <c r="B5678" s="21">
        <f>IF(AND(C5678&lt;&gt;"", J5678&lt;&gt;""), HYPERLINK("#'" &amp; C5678 &amp; "'!" &amp; J5678, J5678), "")</f>
        <v>0</v>
      </c>
    </row>
    <row r="5679" spans="2:2">
      <c r="B5679" s="21">
        <f>IF(AND(C5679&lt;&gt;"", J5679&lt;&gt;""), HYPERLINK("#'" &amp; C5679 &amp; "'!" &amp; J5679, J5679), "")</f>
        <v>0</v>
      </c>
    </row>
    <row r="5680" spans="2:2">
      <c r="B5680" s="21">
        <f>IF(AND(C5680&lt;&gt;"", J5680&lt;&gt;""), HYPERLINK("#'" &amp; C5680 &amp; "'!" &amp; J5680, J5680), "")</f>
        <v>0</v>
      </c>
    </row>
    <row r="5681" spans="2:2">
      <c r="B5681" s="21">
        <f>IF(AND(C5681&lt;&gt;"", J5681&lt;&gt;""), HYPERLINK("#'" &amp; C5681 &amp; "'!" &amp; J5681, J5681), "")</f>
        <v>0</v>
      </c>
    </row>
    <row r="5682" spans="2:2">
      <c r="B5682" s="21">
        <f>IF(AND(C5682&lt;&gt;"", J5682&lt;&gt;""), HYPERLINK("#'" &amp; C5682 &amp; "'!" &amp; J5682, J5682), "")</f>
        <v>0</v>
      </c>
    </row>
    <row r="5683" spans="2:2">
      <c r="B5683" s="21">
        <f>IF(AND(C5683&lt;&gt;"", J5683&lt;&gt;""), HYPERLINK("#'" &amp; C5683 &amp; "'!" &amp; J5683, J5683), "")</f>
        <v>0</v>
      </c>
    </row>
    <row r="5684" spans="2:2">
      <c r="B5684" s="21">
        <f>IF(AND(C5684&lt;&gt;"", J5684&lt;&gt;""), HYPERLINK("#'" &amp; C5684 &amp; "'!" &amp; J5684, J5684), "")</f>
        <v>0</v>
      </c>
    </row>
    <row r="5685" spans="2:2">
      <c r="B5685" s="21">
        <f>IF(AND(C5685&lt;&gt;"", J5685&lt;&gt;""), HYPERLINK("#'" &amp; C5685 &amp; "'!" &amp; J5685, J5685), "")</f>
        <v>0</v>
      </c>
    </row>
    <row r="5686" spans="2:2">
      <c r="B5686" s="21">
        <f>IF(AND(C5686&lt;&gt;"", J5686&lt;&gt;""), HYPERLINK("#'" &amp; C5686 &amp; "'!" &amp; J5686, J5686), "")</f>
        <v>0</v>
      </c>
    </row>
    <row r="5687" spans="2:2">
      <c r="B5687" s="21">
        <f>IF(AND(C5687&lt;&gt;"", J5687&lt;&gt;""), HYPERLINK("#'" &amp; C5687 &amp; "'!" &amp; J5687, J5687), "")</f>
        <v>0</v>
      </c>
    </row>
    <row r="5688" spans="2:2">
      <c r="B5688" s="21">
        <f>IF(AND(C5688&lt;&gt;"", J5688&lt;&gt;""), HYPERLINK("#'" &amp; C5688 &amp; "'!" &amp; J5688, J5688), "")</f>
        <v>0</v>
      </c>
    </row>
    <row r="5689" spans="2:2">
      <c r="B5689" s="21">
        <f>IF(AND(C5689&lt;&gt;"", J5689&lt;&gt;""), HYPERLINK("#'" &amp; C5689 &amp; "'!" &amp; J5689, J5689), "")</f>
        <v>0</v>
      </c>
    </row>
    <row r="5690" spans="2:2">
      <c r="B5690" s="21">
        <f>IF(AND(C5690&lt;&gt;"", J5690&lt;&gt;""), HYPERLINK("#'" &amp; C5690 &amp; "'!" &amp; J5690, J5690), "")</f>
        <v>0</v>
      </c>
    </row>
    <row r="5691" spans="2:2">
      <c r="B5691" s="21">
        <f>IF(AND(C5691&lt;&gt;"", J5691&lt;&gt;""), HYPERLINK("#'" &amp; C5691 &amp; "'!" &amp; J5691, J5691), "")</f>
        <v>0</v>
      </c>
    </row>
    <row r="5692" spans="2:2">
      <c r="B5692" s="21">
        <f>IF(AND(C5692&lt;&gt;"", J5692&lt;&gt;""), HYPERLINK("#'" &amp; C5692 &amp; "'!" &amp; J5692, J5692), "")</f>
        <v>0</v>
      </c>
    </row>
    <row r="5693" spans="2:2">
      <c r="B5693" s="21">
        <f>IF(AND(C5693&lt;&gt;"", J5693&lt;&gt;""), HYPERLINK("#'" &amp; C5693 &amp; "'!" &amp; J5693, J5693), "")</f>
        <v>0</v>
      </c>
    </row>
    <row r="5694" spans="2:2">
      <c r="B5694" s="21">
        <f>IF(AND(C5694&lt;&gt;"", J5694&lt;&gt;""), HYPERLINK("#'" &amp; C5694 &amp; "'!" &amp; J5694, J5694), "")</f>
        <v>0</v>
      </c>
    </row>
    <row r="5695" spans="2:2">
      <c r="B5695" s="21">
        <f>IF(AND(C5695&lt;&gt;"", J5695&lt;&gt;""), HYPERLINK("#'" &amp; C5695 &amp; "'!" &amp; J5695, J5695), "")</f>
        <v>0</v>
      </c>
    </row>
    <row r="5696" spans="2:2">
      <c r="B5696" s="21">
        <f>IF(AND(C5696&lt;&gt;"", J5696&lt;&gt;""), HYPERLINK("#'" &amp; C5696 &amp; "'!" &amp; J5696, J5696), "")</f>
        <v>0</v>
      </c>
    </row>
    <row r="5697" spans="2:2">
      <c r="B5697" s="21">
        <f>IF(AND(C5697&lt;&gt;"", J5697&lt;&gt;""), HYPERLINK("#'" &amp; C5697 &amp; "'!" &amp; J5697, J5697), "")</f>
        <v>0</v>
      </c>
    </row>
    <row r="5698" spans="2:2">
      <c r="B5698" s="21">
        <f>IF(AND(C5698&lt;&gt;"", J5698&lt;&gt;""), HYPERLINK("#'" &amp; C5698 &amp; "'!" &amp; J5698, J5698), "")</f>
        <v>0</v>
      </c>
    </row>
    <row r="5699" spans="2:2">
      <c r="B5699" s="21">
        <f>IF(AND(C5699&lt;&gt;"", J5699&lt;&gt;""), HYPERLINK("#'" &amp; C5699 &amp; "'!" &amp; J5699, J5699), "")</f>
        <v>0</v>
      </c>
    </row>
    <row r="5700" spans="2:2">
      <c r="B5700" s="21">
        <f>IF(AND(C5700&lt;&gt;"", J5700&lt;&gt;""), HYPERLINK("#'" &amp; C5700 &amp; "'!" &amp; J5700, J5700), "")</f>
        <v>0</v>
      </c>
    </row>
    <row r="5701" spans="2:2">
      <c r="B5701" s="21">
        <f>IF(AND(C5701&lt;&gt;"", J5701&lt;&gt;""), HYPERLINK("#'" &amp; C5701 &amp; "'!" &amp; J5701, J5701), "")</f>
        <v>0</v>
      </c>
    </row>
    <row r="5702" spans="2:2">
      <c r="B5702" s="21">
        <f>IF(AND(C5702&lt;&gt;"", J5702&lt;&gt;""), HYPERLINK("#'" &amp; C5702 &amp; "'!" &amp; J5702, J5702), "")</f>
        <v>0</v>
      </c>
    </row>
    <row r="5703" spans="2:2">
      <c r="B5703" s="21">
        <f>IF(AND(C5703&lt;&gt;"", J5703&lt;&gt;""), HYPERLINK("#'" &amp; C5703 &amp; "'!" &amp; J5703, J5703), "")</f>
        <v>0</v>
      </c>
    </row>
    <row r="5704" spans="2:2">
      <c r="B5704" s="21">
        <f>IF(AND(C5704&lt;&gt;"", J5704&lt;&gt;""), HYPERLINK("#'" &amp; C5704 &amp; "'!" &amp; J5704, J5704), "")</f>
        <v>0</v>
      </c>
    </row>
    <row r="5705" spans="2:2">
      <c r="B5705" s="21">
        <f>IF(AND(C5705&lt;&gt;"", J5705&lt;&gt;""), HYPERLINK("#'" &amp; C5705 &amp; "'!" &amp; J5705, J5705), "")</f>
        <v>0</v>
      </c>
    </row>
    <row r="5706" spans="2:2">
      <c r="B5706" s="21">
        <f>IF(AND(C5706&lt;&gt;"", J5706&lt;&gt;""), HYPERLINK("#'" &amp; C5706 &amp; "'!" &amp; J5706, J5706), "")</f>
        <v>0</v>
      </c>
    </row>
    <row r="5707" spans="2:2">
      <c r="B5707" s="21">
        <f>IF(AND(C5707&lt;&gt;"", J5707&lt;&gt;""), HYPERLINK("#'" &amp; C5707 &amp; "'!" &amp; J5707, J5707), "")</f>
        <v>0</v>
      </c>
    </row>
    <row r="5708" spans="2:2">
      <c r="B5708" s="21">
        <f>IF(AND(C5708&lt;&gt;"", J5708&lt;&gt;""), HYPERLINK("#'" &amp; C5708 &amp; "'!" &amp; J5708, J5708), "")</f>
        <v>0</v>
      </c>
    </row>
    <row r="5709" spans="2:2">
      <c r="B5709" s="21">
        <f>IF(AND(C5709&lt;&gt;"", J5709&lt;&gt;""), HYPERLINK("#'" &amp; C5709 &amp; "'!" &amp; J5709, J5709), "")</f>
        <v>0</v>
      </c>
    </row>
    <row r="5710" spans="2:2">
      <c r="B5710" s="21">
        <f>IF(AND(C5710&lt;&gt;"", J5710&lt;&gt;""), HYPERLINK("#'" &amp; C5710 &amp; "'!" &amp; J5710, J5710), "")</f>
        <v>0</v>
      </c>
    </row>
    <row r="5711" spans="2:2">
      <c r="B5711" s="21">
        <f>IF(AND(C5711&lt;&gt;"", J5711&lt;&gt;""), HYPERLINK("#'" &amp; C5711 &amp; "'!" &amp; J5711, J5711), "")</f>
        <v>0</v>
      </c>
    </row>
    <row r="5712" spans="2:2">
      <c r="B5712" s="21">
        <f>IF(AND(C5712&lt;&gt;"", J5712&lt;&gt;""), HYPERLINK("#'" &amp; C5712 &amp; "'!" &amp; J5712, J5712), "")</f>
        <v>0</v>
      </c>
    </row>
    <row r="5713" spans="2:2">
      <c r="B5713" s="21">
        <f>IF(AND(C5713&lt;&gt;"", J5713&lt;&gt;""), HYPERLINK("#'" &amp; C5713 &amp; "'!" &amp; J5713, J5713), "")</f>
        <v>0</v>
      </c>
    </row>
    <row r="5714" spans="2:2">
      <c r="B5714" s="21">
        <f>IF(AND(C5714&lt;&gt;"", J5714&lt;&gt;""), HYPERLINK("#'" &amp; C5714 &amp; "'!" &amp; J5714, J5714), "")</f>
        <v>0</v>
      </c>
    </row>
    <row r="5715" spans="2:2">
      <c r="B5715" s="21">
        <f>IF(AND(C5715&lt;&gt;"", J5715&lt;&gt;""), HYPERLINK("#'" &amp; C5715 &amp; "'!" &amp; J5715, J5715), "")</f>
        <v>0</v>
      </c>
    </row>
    <row r="5716" spans="2:2">
      <c r="B5716" s="21">
        <f>IF(AND(C5716&lt;&gt;"", J5716&lt;&gt;""), HYPERLINK("#'" &amp; C5716 &amp; "'!" &amp; J5716, J5716), "")</f>
        <v>0</v>
      </c>
    </row>
    <row r="5717" spans="2:2">
      <c r="B5717" s="21">
        <f>IF(AND(C5717&lt;&gt;"", J5717&lt;&gt;""), HYPERLINK("#'" &amp; C5717 &amp; "'!" &amp; J5717, J5717), "")</f>
        <v>0</v>
      </c>
    </row>
    <row r="5718" spans="2:2">
      <c r="B5718" s="21">
        <f>IF(AND(C5718&lt;&gt;"", J5718&lt;&gt;""), HYPERLINK("#'" &amp; C5718 &amp; "'!" &amp; J5718, J5718), "")</f>
        <v>0</v>
      </c>
    </row>
    <row r="5719" spans="2:2">
      <c r="B5719" s="21">
        <f>IF(AND(C5719&lt;&gt;"", J5719&lt;&gt;""), HYPERLINK("#'" &amp; C5719 &amp; "'!" &amp; J5719, J5719), "")</f>
        <v>0</v>
      </c>
    </row>
    <row r="5720" spans="2:2">
      <c r="B5720" s="21">
        <f>IF(AND(C5720&lt;&gt;"", J5720&lt;&gt;""), HYPERLINK("#'" &amp; C5720 &amp; "'!" &amp; J5720, J5720), "")</f>
        <v>0</v>
      </c>
    </row>
    <row r="5721" spans="2:2">
      <c r="B5721" s="21">
        <f>IF(AND(C5721&lt;&gt;"", J5721&lt;&gt;""), HYPERLINK("#'" &amp; C5721 &amp; "'!" &amp; J5721, J5721), "")</f>
        <v>0</v>
      </c>
    </row>
    <row r="5722" spans="2:2">
      <c r="B5722" s="21">
        <f>IF(AND(C5722&lt;&gt;"", J5722&lt;&gt;""), HYPERLINK("#'" &amp; C5722 &amp; "'!" &amp; J5722, J5722), "")</f>
        <v>0</v>
      </c>
    </row>
    <row r="5723" spans="2:2">
      <c r="B5723" s="21">
        <f>IF(AND(C5723&lt;&gt;"", J5723&lt;&gt;""), HYPERLINK("#'" &amp; C5723 &amp; "'!" &amp; J5723, J5723), "")</f>
        <v>0</v>
      </c>
    </row>
    <row r="5724" spans="2:2">
      <c r="B5724" s="21">
        <f>IF(AND(C5724&lt;&gt;"", J5724&lt;&gt;""), HYPERLINK("#'" &amp; C5724 &amp; "'!" &amp; J5724, J5724), "")</f>
        <v>0</v>
      </c>
    </row>
    <row r="5725" spans="2:2">
      <c r="B5725" s="21">
        <f>IF(AND(C5725&lt;&gt;"", J5725&lt;&gt;""), HYPERLINK("#'" &amp; C5725 &amp; "'!" &amp; J5725, J5725), "")</f>
        <v>0</v>
      </c>
    </row>
    <row r="5726" spans="2:2">
      <c r="B5726" s="21">
        <f>IF(AND(C5726&lt;&gt;"", J5726&lt;&gt;""), HYPERLINK("#'" &amp; C5726 &amp; "'!" &amp; J5726, J5726), "")</f>
        <v>0</v>
      </c>
    </row>
    <row r="5727" spans="2:2">
      <c r="B5727" s="21">
        <f>IF(AND(C5727&lt;&gt;"", J5727&lt;&gt;""), HYPERLINK("#'" &amp; C5727 &amp; "'!" &amp; J5727, J5727), "")</f>
        <v>0</v>
      </c>
    </row>
    <row r="5728" spans="2:2">
      <c r="B5728" s="21">
        <f>IF(AND(C5728&lt;&gt;"", J5728&lt;&gt;""), HYPERLINK("#'" &amp; C5728 &amp; "'!" &amp; J5728, J5728), "")</f>
        <v>0</v>
      </c>
    </row>
    <row r="5729" spans="2:2">
      <c r="B5729" s="21">
        <f>IF(AND(C5729&lt;&gt;"", J5729&lt;&gt;""), HYPERLINK("#'" &amp; C5729 &amp; "'!" &amp; J5729, J5729), "")</f>
        <v>0</v>
      </c>
    </row>
    <row r="5730" spans="2:2">
      <c r="B5730" s="21">
        <f>IF(AND(C5730&lt;&gt;"", J5730&lt;&gt;""), HYPERLINK("#'" &amp; C5730 &amp; "'!" &amp; J5730, J5730), "")</f>
        <v>0</v>
      </c>
    </row>
    <row r="5731" spans="2:2">
      <c r="B5731" s="21">
        <f>IF(AND(C5731&lt;&gt;"", J5731&lt;&gt;""), HYPERLINK("#'" &amp; C5731 &amp; "'!" &amp; J5731, J5731), "")</f>
        <v>0</v>
      </c>
    </row>
    <row r="5732" spans="2:2">
      <c r="B5732" s="21">
        <f>IF(AND(C5732&lt;&gt;"", J5732&lt;&gt;""), HYPERLINK("#'" &amp; C5732 &amp; "'!" &amp; J5732, J5732), "")</f>
        <v>0</v>
      </c>
    </row>
    <row r="5733" spans="2:2">
      <c r="B5733" s="21">
        <f>IF(AND(C5733&lt;&gt;"", J5733&lt;&gt;""), HYPERLINK("#'" &amp; C5733 &amp; "'!" &amp; J5733, J5733), "")</f>
        <v>0</v>
      </c>
    </row>
    <row r="5734" spans="2:2">
      <c r="B5734" s="21">
        <f>IF(AND(C5734&lt;&gt;"", J5734&lt;&gt;""), HYPERLINK("#'" &amp; C5734 &amp; "'!" &amp; J5734, J5734), "")</f>
        <v>0</v>
      </c>
    </row>
    <row r="5735" spans="2:2">
      <c r="B5735" s="21">
        <f>IF(AND(C5735&lt;&gt;"", J5735&lt;&gt;""), HYPERLINK("#'" &amp; C5735 &amp; "'!" &amp; J5735, J5735), "")</f>
        <v>0</v>
      </c>
    </row>
    <row r="5736" spans="2:2">
      <c r="B5736" s="21">
        <f>IF(AND(C5736&lt;&gt;"", J5736&lt;&gt;""), HYPERLINK("#'" &amp; C5736 &amp; "'!" &amp; J5736, J5736), "")</f>
        <v>0</v>
      </c>
    </row>
    <row r="5737" spans="2:2">
      <c r="B5737" s="21">
        <f>IF(AND(C5737&lt;&gt;"", J5737&lt;&gt;""), HYPERLINK("#'" &amp; C5737 &amp; "'!" &amp; J5737, J5737), "")</f>
        <v>0</v>
      </c>
    </row>
    <row r="5738" spans="2:2">
      <c r="B5738" s="21">
        <f>IF(AND(C5738&lt;&gt;"", J5738&lt;&gt;""), HYPERLINK("#'" &amp; C5738 &amp; "'!" &amp; J5738, J5738), "")</f>
        <v>0</v>
      </c>
    </row>
    <row r="5739" spans="2:2">
      <c r="B5739" s="21">
        <f>IF(AND(C5739&lt;&gt;"", J5739&lt;&gt;""), HYPERLINK("#'" &amp; C5739 &amp; "'!" &amp; J5739, J5739), "")</f>
        <v>0</v>
      </c>
    </row>
    <row r="5740" spans="2:2">
      <c r="B5740" s="21">
        <f>IF(AND(C5740&lt;&gt;"", J5740&lt;&gt;""), HYPERLINK("#'" &amp; C5740 &amp; "'!" &amp; J5740, J5740), "")</f>
        <v>0</v>
      </c>
    </row>
    <row r="5741" spans="2:2">
      <c r="B5741" s="21">
        <f>IF(AND(C5741&lt;&gt;"", J5741&lt;&gt;""), HYPERLINK("#'" &amp; C5741 &amp; "'!" &amp; J5741, J5741), "")</f>
        <v>0</v>
      </c>
    </row>
    <row r="5742" spans="2:2">
      <c r="B5742" s="21">
        <f>IF(AND(C5742&lt;&gt;"", J5742&lt;&gt;""), HYPERLINK("#'" &amp; C5742 &amp; "'!" &amp; J5742, J5742), "")</f>
        <v>0</v>
      </c>
    </row>
    <row r="5743" spans="2:2">
      <c r="B5743" s="21">
        <f>IF(AND(C5743&lt;&gt;"", J5743&lt;&gt;""), HYPERLINK("#'" &amp; C5743 &amp; "'!" &amp; J5743, J5743), "")</f>
        <v>0</v>
      </c>
    </row>
    <row r="5744" spans="2:2">
      <c r="B5744" s="21">
        <f>IF(AND(C5744&lt;&gt;"", J5744&lt;&gt;""), HYPERLINK("#'" &amp; C5744 &amp; "'!" &amp; J5744, J5744), "")</f>
        <v>0</v>
      </c>
    </row>
    <row r="5745" spans="2:2">
      <c r="B5745" s="21">
        <f>IF(AND(C5745&lt;&gt;"", J5745&lt;&gt;""), HYPERLINK("#'" &amp; C5745 &amp; "'!" &amp; J5745, J5745), "")</f>
        <v>0</v>
      </c>
    </row>
    <row r="5746" spans="2:2">
      <c r="B5746" s="21">
        <f>IF(AND(C5746&lt;&gt;"", J5746&lt;&gt;""), HYPERLINK("#'" &amp; C5746 &amp; "'!" &amp; J5746, J5746), "")</f>
        <v>0</v>
      </c>
    </row>
    <row r="5747" spans="2:2">
      <c r="B5747" s="21">
        <f>IF(AND(C5747&lt;&gt;"", J5747&lt;&gt;""), HYPERLINK("#'" &amp; C5747 &amp; "'!" &amp; J5747, J5747), "")</f>
        <v>0</v>
      </c>
    </row>
    <row r="5748" spans="2:2">
      <c r="B5748" s="21">
        <f>IF(AND(C5748&lt;&gt;"", J5748&lt;&gt;""), HYPERLINK("#'" &amp; C5748 &amp; "'!" &amp; J5748, J5748), "")</f>
        <v>0</v>
      </c>
    </row>
    <row r="5749" spans="2:2">
      <c r="B5749" s="21">
        <f>IF(AND(C5749&lt;&gt;"", J5749&lt;&gt;""), HYPERLINK("#'" &amp; C5749 &amp; "'!" &amp; J5749, J5749), "")</f>
        <v>0</v>
      </c>
    </row>
    <row r="5750" spans="2:2">
      <c r="B5750" s="21">
        <f>IF(AND(C5750&lt;&gt;"", J5750&lt;&gt;""), HYPERLINK("#'" &amp; C5750 &amp; "'!" &amp; J5750, J5750), "")</f>
        <v>0</v>
      </c>
    </row>
    <row r="5751" spans="2:2">
      <c r="B5751" s="21">
        <f>IF(AND(C5751&lt;&gt;"", J5751&lt;&gt;""), HYPERLINK("#'" &amp; C5751 &amp; "'!" &amp; J5751, J5751), "")</f>
        <v>0</v>
      </c>
    </row>
    <row r="5752" spans="2:2">
      <c r="B5752" s="21">
        <f>IF(AND(C5752&lt;&gt;"", J5752&lt;&gt;""), HYPERLINK("#'" &amp; C5752 &amp; "'!" &amp; J5752, J5752), "")</f>
        <v>0</v>
      </c>
    </row>
    <row r="5753" spans="2:2">
      <c r="B5753" s="21">
        <f>IF(AND(C5753&lt;&gt;"", J5753&lt;&gt;""), HYPERLINK("#'" &amp; C5753 &amp; "'!" &amp; J5753, J5753), "")</f>
        <v>0</v>
      </c>
    </row>
    <row r="5754" spans="2:2">
      <c r="B5754" s="21">
        <f>IF(AND(C5754&lt;&gt;"", J5754&lt;&gt;""), HYPERLINK("#'" &amp; C5754 &amp; "'!" &amp; J5754, J5754), "")</f>
        <v>0</v>
      </c>
    </row>
    <row r="5755" spans="2:2">
      <c r="B5755" s="21">
        <f>IF(AND(C5755&lt;&gt;"", J5755&lt;&gt;""), HYPERLINK("#'" &amp; C5755 &amp; "'!" &amp; J5755, J5755), "")</f>
        <v>0</v>
      </c>
    </row>
    <row r="5756" spans="2:2">
      <c r="B5756" s="21">
        <f>IF(AND(C5756&lt;&gt;"", J5756&lt;&gt;""), HYPERLINK("#'" &amp; C5756 &amp; "'!" &amp; J5756, J5756), "")</f>
        <v>0</v>
      </c>
    </row>
    <row r="5757" spans="2:2">
      <c r="B5757" s="21">
        <f>IF(AND(C5757&lt;&gt;"", J5757&lt;&gt;""), HYPERLINK("#'" &amp; C5757 &amp; "'!" &amp; J5757, J5757), "")</f>
        <v>0</v>
      </c>
    </row>
    <row r="5758" spans="2:2">
      <c r="B5758" s="21">
        <f>IF(AND(C5758&lt;&gt;"", J5758&lt;&gt;""), HYPERLINK("#'" &amp; C5758 &amp; "'!" &amp; J5758, J5758), "")</f>
        <v>0</v>
      </c>
    </row>
    <row r="5759" spans="2:2">
      <c r="B5759" s="21">
        <f>IF(AND(C5759&lt;&gt;"", J5759&lt;&gt;""), HYPERLINK("#'" &amp; C5759 &amp; "'!" &amp; J5759, J5759), "")</f>
        <v>0</v>
      </c>
    </row>
    <row r="5760" spans="2:2">
      <c r="B5760" s="21">
        <f>IF(AND(C5760&lt;&gt;"", J5760&lt;&gt;""), HYPERLINK("#'" &amp; C5760 &amp; "'!" &amp; J5760, J5760), "")</f>
        <v>0</v>
      </c>
    </row>
    <row r="5761" spans="2:2">
      <c r="B5761" s="21">
        <f>IF(AND(C5761&lt;&gt;"", J5761&lt;&gt;""), HYPERLINK("#'" &amp; C5761 &amp; "'!" &amp; J5761, J5761), "")</f>
        <v>0</v>
      </c>
    </row>
    <row r="5762" spans="2:2">
      <c r="B5762" s="21">
        <f>IF(AND(C5762&lt;&gt;"", J5762&lt;&gt;""), HYPERLINK("#'" &amp; C5762 &amp; "'!" &amp; J5762, J5762), "")</f>
        <v>0</v>
      </c>
    </row>
    <row r="5763" spans="2:2">
      <c r="B5763" s="21">
        <f>IF(AND(C5763&lt;&gt;"", J5763&lt;&gt;""), HYPERLINK("#'" &amp; C5763 &amp; "'!" &amp; J5763, J5763), "")</f>
        <v>0</v>
      </c>
    </row>
    <row r="5764" spans="2:2">
      <c r="B5764" s="21">
        <f>IF(AND(C5764&lt;&gt;"", J5764&lt;&gt;""), HYPERLINK("#'" &amp; C5764 &amp; "'!" &amp; J5764, J5764), "")</f>
        <v>0</v>
      </c>
    </row>
    <row r="5765" spans="2:2">
      <c r="B5765" s="21">
        <f>IF(AND(C5765&lt;&gt;"", J5765&lt;&gt;""), HYPERLINK("#'" &amp; C5765 &amp; "'!" &amp; J5765, J5765), "")</f>
        <v>0</v>
      </c>
    </row>
    <row r="5766" spans="2:2">
      <c r="B5766" s="21">
        <f>IF(AND(C5766&lt;&gt;"", J5766&lt;&gt;""), HYPERLINK("#'" &amp; C5766 &amp; "'!" &amp; J5766, J5766), "")</f>
        <v>0</v>
      </c>
    </row>
    <row r="5767" spans="2:2">
      <c r="B5767" s="21">
        <f>IF(AND(C5767&lt;&gt;"", J5767&lt;&gt;""), HYPERLINK("#'" &amp; C5767 &amp; "'!" &amp; J5767, J5767), "")</f>
        <v>0</v>
      </c>
    </row>
    <row r="5768" spans="2:2">
      <c r="B5768" s="21">
        <f>IF(AND(C5768&lt;&gt;"", J5768&lt;&gt;""), HYPERLINK("#'" &amp; C5768 &amp; "'!" &amp; J5768, J5768), "")</f>
        <v>0</v>
      </c>
    </row>
    <row r="5769" spans="2:2">
      <c r="B5769" s="21">
        <f>IF(AND(C5769&lt;&gt;"", J5769&lt;&gt;""), HYPERLINK("#'" &amp; C5769 &amp; "'!" &amp; J5769, J5769), "")</f>
        <v>0</v>
      </c>
    </row>
    <row r="5770" spans="2:2">
      <c r="B5770" s="21">
        <f>IF(AND(C5770&lt;&gt;"", J5770&lt;&gt;""), HYPERLINK("#'" &amp; C5770 &amp; "'!" &amp; J5770, J5770), "")</f>
        <v>0</v>
      </c>
    </row>
    <row r="5771" spans="2:2">
      <c r="B5771" s="21">
        <f>IF(AND(C5771&lt;&gt;"", J5771&lt;&gt;""), HYPERLINK("#'" &amp; C5771 &amp; "'!" &amp; J5771, J5771), "")</f>
        <v>0</v>
      </c>
    </row>
    <row r="5772" spans="2:2">
      <c r="B5772" s="21">
        <f>IF(AND(C5772&lt;&gt;"", J5772&lt;&gt;""), HYPERLINK("#'" &amp; C5772 &amp; "'!" &amp; J5772, J5772), "")</f>
        <v>0</v>
      </c>
    </row>
    <row r="5773" spans="2:2">
      <c r="B5773" s="21">
        <f>IF(AND(C5773&lt;&gt;"", J5773&lt;&gt;""), HYPERLINK("#'" &amp; C5773 &amp; "'!" &amp; J5773, J5773), "")</f>
        <v>0</v>
      </c>
    </row>
    <row r="5774" spans="2:2">
      <c r="B5774" s="21">
        <f>IF(AND(C5774&lt;&gt;"", J5774&lt;&gt;""), HYPERLINK("#'" &amp; C5774 &amp; "'!" &amp; J5774, J5774), "")</f>
        <v>0</v>
      </c>
    </row>
    <row r="5775" spans="2:2">
      <c r="B5775" s="21">
        <f>IF(AND(C5775&lt;&gt;"", J5775&lt;&gt;""), HYPERLINK("#'" &amp; C5775 &amp; "'!" &amp; J5775, J5775), "")</f>
        <v>0</v>
      </c>
    </row>
    <row r="5776" spans="2:2">
      <c r="B5776" s="21">
        <f>IF(AND(C5776&lt;&gt;"", J5776&lt;&gt;""), HYPERLINK("#'" &amp; C5776 &amp; "'!" &amp; J5776, J5776), "")</f>
        <v>0</v>
      </c>
    </row>
    <row r="5777" spans="2:2">
      <c r="B5777" s="21">
        <f>IF(AND(C5777&lt;&gt;"", J5777&lt;&gt;""), HYPERLINK("#'" &amp; C5777 &amp; "'!" &amp; J5777, J5777), "")</f>
        <v>0</v>
      </c>
    </row>
    <row r="5778" spans="2:2">
      <c r="B5778" s="21">
        <f>IF(AND(C5778&lt;&gt;"", J5778&lt;&gt;""), HYPERLINK("#'" &amp; C5778 &amp; "'!" &amp; J5778, J5778), "")</f>
        <v>0</v>
      </c>
    </row>
    <row r="5779" spans="2:2">
      <c r="B5779" s="21">
        <f>IF(AND(C5779&lt;&gt;"", J5779&lt;&gt;""), HYPERLINK("#'" &amp; C5779 &amp; "'!" &amp; J5779, J5779), "")</f>
        <v>0</v>
      </c>
    </row>
    <row r="5780" spans="2:2">
      <c r="B5780" s="21">
        <f>IF(AND(C5780&lt;&gt;"", J5780&lt;&gt;""), HYPERLINK("#'" &amp; C5780 &amp; "'!" &amp; J5780, J5780), "")</f>
        <v>0</v>
      </c>
    </row>
    <row r="5781" spans="2:2">
      <c r="B5781" s="21">
        <f>IF(AND(C5781&lt;&gt;"", J5781&lt;&gt;""), HYPERLINK("#'" &amp; C5781 &amp; "'!" &amp; J5781, J5781), "")</f>
        <v>0</v>
      </c>
    </row>
    <row r="5782" spans="2:2">
      <c r="B5782" s="21">
        <f>IF(AND(C5782&lt;&gt;"", J5782&lt;&gt;""), HYPERLINK("#'" &amp; C5782 &amp; "'!" &amp; J5782, J5782), "")</f>
        <v>0</v>
      </c>
    </row>
    <row r="5783" spans="2:2">
      <c r="B5783" s="21">
        <f>IF(AND(C5783&lt;&gt;"", J5783&lt;&gt;""), HYPERLINK("#'" &amp; C5783 &amp; "'!" &amp; J5783, J5783), "")</f>
        <v>0</v>
      </c>
    </row>
    <row r="5784" spans="2:2">
      <c r="B5784" s="21">
        <f>IF(AND(C5784&lt;&gt;"", J5784&lt;&gt;""), HYPERLINK("#'" &amp; C5784 &amp; "'!" &amp; J5784, J5784), "")</f>
        <v>0</v>
      </c>
    </row>
    <row r="5785" spans="2:2">
      <c r="B5785" s="21">
        <f>IF(AND(C5785&lt;&gt;"", J5785&lt;&gt;""), HYPERLINK("#'" &amp; C5785 &amp; "'!" &amp; J5785, J5785), "")</f>
        <v>0</v>
      </c>
    </row>
    <row r="5786" spans="2:2">
      <c r="B5786" s="21">
        <f>IF(AND(C5786&lt;&gt;"", J5786&lt;&gt;""), HYPERLINK("#'" &amp; C5786 &amp; "'!" &amp; J5786, J5786), "")</f>
        <v>0</v>
      </c>
    </row>
    <row r="5787" spans="2:2">
      <c r="B5787" s="21">
        <f>IF(AND(C5787&lt;&gt;"", J5787&lt;&gt;""), HYPERLINK("#'" &amp; C5787 &amp; "'!" &amp; J5787, J5787), "")</f>
        <v>0</v>
      </c>
    </row>
    <row r="5788" spans="2:2">
      <c r="B5788" s="21">
        <f>IF(AND(C5788&lt;&gt;"", J5788&lt;&gt;""), HYPERLINK("#'" &amp; C5788 &amp; "'!" &amp; J5788, J5788), "")</f>
        <v>0</v>
      </c>
    </row>
    <row r="5789" spans="2:2">
      <c r="B5789" s="21">
        <f>IF(AND(C5789&lt;&gt;"", J5789&lt;&gt;""), HYPERLINK("#'" &amp; C5789 &amp; "'!" &amp; J5789, J5789), "")</f>
        <v>0</v>
      </c>
    </row>
    <row r="5790" spans="2:2">
      <c r="B5790" s="21">
        <f>IF(AND(C5790&lt;&gt;"", J5790&lt;&gt;""), HYPERLINK("#'" &amp; C5790 &amp; "'!" &amp; J5790, J5790), "")</f>
        <v>0</v>
      </c>
    </row>
    <row r="5791" spans="2:2">
      <c r="B5791" s="21">
        <f>IF(AND(C5791&lt;&gt;"", J5791&lt;&gt;""), HYPERLINK("#'" &amp; C5791 &amp; "'!" &amp; J5791, J5791), "")</f>
        <v>0</v>
      </c>
    </row>
    <row r="5792" spans="2:2">
      <c r="B5792" s="21">
        <f>IF(AND(C5792&lt;&gt;"", J5792&lt;&gt;""), HYPERLINK("#'" &amp; C5792 &amp; "'!" &amp; J5792, J5792), "")</f>
        <v>0</v>
      </c>
    </row>
    <row r="5793" spans="2:2">
      <c r="B5793" s="21">
        <f>IF(AND(C5793&lt;&gt;"", J5793&lt;&gt;""), HYPERLINK("#'" &amp; C5793 &amp; "'!" &amp; J5793, J5793), "")</f>
        <v>0</v>
      </c>
    </row>
    <row r="5794" spans="2:2">
      <c r="B5794" s="21">
        <f>IF(AND(C5794&lt;&gt;"", J5794&lt;&gt;""), HYPERLINK("#'" &amp; C5794 &amp; "'!" &amp; J5794, J5794), "")</f>
        <v>0</v>
      </c>
    </row>
    <row r="5795" spans="2:2">
      <c r="B5795" s="21">
        <f>IF(AND(C5795&lt;&gt;"", J5795&lt;&gt;""), HYPERLINK("#'" &amp; C5795 &amp; "'!" &amp; J5795, J5795), "")</f>
        <v>0</v>
      </c>
    </row>
    <row r="5796" spans="2:2">
      <c r="B5796" s="21">
        <f>IF(AND(C5796&lt;&gt;"", J5796&lt;&gt;""), HYPERLINK("#'" &amp; C5796 &amp; "'!" &amp; J5796, J5796), "")</f>
        <v>0</v>
      </c>
    </row>
    <row r="5797" spans="2:2">
      <c r="B5797" s="21">
        <f>IF(AND(C5797&lt;&gt;"", J5797&lt;&gt;""), HYPERLINK("#'" &amp; C5797 &amp; "'!" &amp; J5797, J5797), "")</f>
        <v>0</v>
      </c>
    </row>
    <row r="5798" spans="2:2">
      <c r="B5798" s="21">
        <f>IF(AND(C5798&lt;&gt;"", J5798&lt;&gt;""), HYPERLINK("#'" &amp; C5798 &amp; "'!" &amp; J5798, J5798), "")</f>
        <v>0</v>
      </c>
    </row>
    <row r="5799" spans="2:2">
      <c r="B5799" s="21">
        <f>IF(AND(C5799&lt;&gt;"", J5799&lt;&gt;""), HYPERLINK("#'" &amp; C5799 &amp; "'!" &amp; J5799, J5799), "")</f>
        <v>0</v>
      </c>
    </row>
    <row r="5800" spans="2:2">
      <c r="B5800" s="21">
        <f>IF(AND(C5800&lt;&gt;"", J5800&lt;&gt;""), HYPERLINK("#'" &amp; C5800 &amp; "'!" &amp; J5800, J5800), "")</f>
        <v>0</v>
      </c>
    </row>
    <row r="5801" spans="2:2">
      <c r="B5801" s="21">
        <f>IF(AND(C5801&lt;&gt;"", J5801&lt;&gt;""), HYPERLINK("#'" &amp; C5801 &amp; "'!" &amp; J5801, J5801), "")</f>
        <v>0</v>
      </c>
    </row>
    <row r="5802" spans="2:2">
      <c r="B5802" s="21">
        <f>IF(AND(C5802&lt;&gt;"", J5802&lt;&gt;""), HYPERLINK("#'" &amp; C5802 &amp; "'!" &amp; J5802, J5802), "")</f>
        <v>0</v>
      </c>
    </row>
    <row r="5803" spans="2:2">
      <c r="B5803" s="21">
        <f>IF(AND(C5803&lt;&gt;"", J5803&lt;&gt;""), HYPERLINK("#'" &amp; C5803 &amp; "'!" &amp; J5803, J5803), "")</f>
        <v>0</v>
      </c>
    </row>
    <row r="5804" spans="2:2">
      <c r="B5804" s="21">
        <f>IF(AND(C5804&lt;&gt;"", J5804&lt;&gt;""), HYPERLINK("#'" &amp; C5804 &amp; "'!" &amp; J5804, J5804), "")</f>
        <v>0</v>
      </c>
    </row>
    <row r="5805" spans="2:2">
      <c r="B5805" s="21">
        <f>IF(AND(C5805&lt;&gt;"", J5805&lt;&gt;""), HYPERLINK("#'" &amp; C5805 &amp; "'!" &amp; J5805, J5805), "")</f>
        <v>0</v>
      </c>
    </row>
    <row r="5806" spans="2:2">
      <c r="B5806" s="21">
        <f>IF(AND(C5806&lt;&gt;"", J5806&lt;&gt;""), HYPERLINK("#'" &amp; C5806 &amp; "'!" &amp; J5806, J5806), "")</f>
        <v>0</v>
      </c>
    </row>
    <row r="5807" spans="2:2">
      <c r="B5807" s="21">
        <f>IF(AND(C5807&lt;&gt;"", J5807&lt;&gt;""), HYPERLINK("#'" &amp; C5807 &amp; "'!" &amp; J5807, J5807), "")</f>
        <v>0</v>
      </c>
    </row>
    <row r="5808" spans="2:2">
      <c r="B5808" s="21">
        <f>IF(AND(C5808&lt;&gt;"", J5808&lt;&gt;""), HYPERLINK("#'" &amp; C5808 &amp; "'!" &amp; J5808, J5808), "")</f>
        <v>0</v>
      </c>
    </row>
    <row r="5809" spans="2:2">
      <c r="B5809" s="21">
        <f>IF(AND(C5809&lt;&gt;"", J5809&lt;&gt;""), HYPERLINK("#'" &amp; C5809 &amp; "'!" &amp; J5809, J5809), "")</f>
        <v>0</v>
      </c>
    </row>
    <row r="5810" spans="2:2">
      <c r="B5810" s="21">
        <f>IF(AND(C5810&lt;&gt;"", J5810&lt;&gt;""), HYPERLINK("#'" &amp; C5810 &amp; "'!" &amp; J5810, J5810), "")</f>
        <v>0</v>
      </c>
    </row>
    <row r="5811" spans="2:2">
      <c r="B5811" s="21">
        <f>IF(AND(C5811&lt;&gt;"", J5811&lt;&gt;""), HYPERLINK("#'" &amp; C5811 &amp; "'!" &amp; J5811, J5811), "")</f>
        <v>0</v>
      </c>
    </row>
    <row r="5812" spans="2:2">
      <c r="B5812" s="21">
        <f>IF(AND(C5812&lt;&gt;"", J5812&lt;&gt;""), HYPERLINK("#'" &amp; C5812 &amp; "'!" &amp; J5812, J5812), "")</f>
        <v>0</v>
      </c>
    </row>
    <row r="5813" spans="2:2">
      <c r="B5813" s="21">
        <f>IF(AND(C5813&lt;&gt;"", J5813&lt;&gt;""), HYPERLINK("#'" &amp; C5813 &amp; "'!" &amp; J5813, J5813), "")</f>
        <v>0</v>
      </c>
    </row>
    <row r="5814" spans="2:2">
      <c r="B5814" s="21">
        <f>IF(AND(C5814&lt;&gt;"", J5814&lt;&gt;""), HYPERLINK("#'" &amp; C5814 &amp; "'!" &amp; J5814, J5814), "")</f>
        <v>0</v>
      </c>
    </row>
    <row r="5815" spans="2:2">
      <c r="B5815" s="21">
        <f>IF(AND(C5815&lt;&gt;"", J5815&lt;&gt;""), HYPERLINK("#'" &amp; C5815 &amp; "'!" &amp; J5815, J5815), "")</f>
        <v>0</v>
      </c>
    </row>
    <row r="5816" spans="2:2">
      <c r="B5816" s="21">
        <f>IF(AND(C5816&lt;&gt;"", J5816&lt;&gt;""), HYPERLINK("#'" &amp; C5816 &amp; "'!" &amp; J5816, J5816), "")</f>
        <v>0</v>
      </c>
    </row>
    <row r="5817" spans="2:2">
      <c r="B5817" s="21">
        <f>IF(AND(C5817&lt;&gt;"", J5817&lt;&gt;""), HYPERLINK("#'" &amp; C5817 &amp; "'!" &amp; J5817, J5817), "")</f>
        <v>0</v>
      </c>
    </row>
    <row r="5818" spans="2:2">
      <c r="B5818" s="21">
        <f>IF(AND(C5818&lt;&gt;"", J5818&lt;&gt;""), HYPERLINK("#'" &amp; C5818 &amp; "'!" &amp; J5818, J5818), "")</f>
        <v>0</v>
      </c>
    </row>
    <row r="5819" spans="2:2">
      <c r="B5819" s="21">
        <f>IF(AND(C5819&lt;&gt;"", J5819&lt;&gt;""), HYPERLINK("#'" &amp; C5819 &amp; "'!" &amp; J5819, J5819), "")</f>
        <v>0</v>
      </c>
    </row>
    <row r="5820" spans="2:2">
      <c r="B5820" s="21">
        <f>IF(AND(C5820&lt;&gt;"", J5820&lt;&gt;""), HYPERLINK("#'" &amp; C5820 &amp; "'!" &amp; J5820, J5820), "")</f>
        <v>0</v>
      </c>
    </row>
    <row r="5821" spans="2:2">
      <c r="B5821" s="21">
        <f>IF(AND(C5821&lt;&gt;"", J5821&lt;&gt;""), HYPERLINK("#'" &amp; C5821 &amp; "'!" &amp; J5821, J5821), "")</f>
        <v>0</v>
      </c>
    </row>
    <row r="5822" spans="2:2">
      <c r="B5822" s="21">
        <f>IF(AND(C5822&lt;&gt;"", J5822&lt;&gt;""), HYPERLINK("#'" &amp; C5822 &amp; "'!" &amp; J5822, J5822), "")</f>
        <v>0</v>
      </c>
    </row>
    <row r="5823" spans="2:2">
      <c r="B5823" s="21">
        <f>IF(AND(C5823&lt;&gt;"", J5823&lt;&gt;""), HYPERLINK("#'" &amp; C5823 &amp; "'!" &amp; J5823, J5823), "")</f>
        <v>0</v>
      </c>
    </row>
    <row r="5824" spans="2:2">
      <c r="B5824" s="21">
        <f>IF(AND(C5824&lt;&gt;"", J5824&lt;&gt;""), HYPERLINK("#'" &amp; C5824 &amp; "'!" &amp; J5824, J5824), "")</f>
        <v>0</v>
      </c>
    </row>
    <row r="5825" spans="2:2">
      <c r="B5825" s="21">
        <f>IF(AND(C5825&lt;&gt;"", J5825&lt;&gt;""), HYPERLINK("#'" &amp; C5825 &amp; "'!" &amp; J5825, J5825), "")</f>
        <v>0</v>
      </c>
    </row>
    <row r="5826" spans="2:2">
      <c r="B5826" s="21">
        <f>IF(AND(C5826&lt;&gt;"", J5826&lt;&gt;""), HYPERLINK("#'" &amp; C5826 &amp; "'!" &amp; J5826, J5826), "")</f>
        <v>0</v>
      </c>
    </row>
    <row r="5827" spans="2:2">
      <c r="B5827" s="21">
        <f>IF(AND(C5827&lt;&gt;"", J5827&lt;&gt;""), HYPERLINK("#'" &amp; C5827 &amp; "'!" &amp; J5827, J5827), "")</f>
        <v>0</v>
      </c>
    </row>
    <row r="5828" spans="2:2">
      <c r="B5828" s="21">
        <f>IF(AND(C5828&lt;&gt;"", J5828&lt;&gt;""), HYPERLINK("#'" &amp; C5828 &amp; "'!" &amp; J5828, J5828), "")</f>
        <v>0</v>
      </c>
    </row>
    <row r="5829" spans="2:2">
      <c r="B5829" s="21">
        <f>IF(AND(C5829&lt;&gt;"", J5829&lt;&gt;""), HYPERLINK("#'" &amp; C5829 &amp; "'!" &amp; J5829, J5829), "")</f>
        <v>0</v>
      </c>
    </row>
    <row r="5830" spans="2:2">
      <c r="B5830" s="21">
        <f>IF(AND(C5830&lt;&gt;"", J5830&lt;&gt;""), HYPERLINK("#'" &amp; C5830 &amp; "'!" &amp; J5830, J5830), "")</f>
        <v>0</v>
      </c>
    </row>
    <row r="5831" spans="2:2">
      <c r="B5831" s="21">
        <f>IF(AND(C5831&lt;&gt;"", J5831&lt;&gt;""), HYPERLINK("#'" &amp; C5831 &amp; "'!" &amp; J5831, J5831), "")</f>
        <v>0</v>
      </c>
    </row>
    <row r="5832" spans="2:2">
      <c r="B5832" s="21">
        <f>IF(AND(C5832&lt;&gt;"", J5832&lt;&gt;""), HYPERLINK("#'" &amp; C5832 &amp; "'!" &amp; J5832, J5832), "")</f>
        <v>0</v>
      </c>
    </row>
    <row r="5833" spans="2:2">
      <c r="B5833" s="21">
        <f>IF(AND(C5833&lt;&gt;"", J5833&lt;&gt;""), HYPERLINK("#'" &amp; C5833 &amp; "'!" &amp; J5833, J5833), "")</f>
        <v>0</v>
      </c>
    </row>
    <row r="5834" spans="2:2">
      <c r="B5834" s="21">
        <f>IF(AND(C5834&lt;&gt;"", J5834&lt;&gt;""), HYPERLINK("#'" &amp; C5834 &amp; "'!" &amp; J5834, J5834), "")</f>
        <v>0</v>
      </c>
    </row>
    <row r="5835" spans="2:2">
      <c r="B5835" s="21">
        <f>IF(AND(C5835&lt;&gt;"", J5835&lt;&gt;""), HYPERLINK("#'" &amp; C5835 &amp; "'!" &amp; J5835, J5835), "")</f>
        <v>0</v>
      </c>
    </row>
    <row r="5836" spans="2:2">
      <c r="B5836" s="21">
        <f>IF(AND(C5836&lt;&gt;"", J5836&lt;&gt;""), HYPERLINK("#'" &amp; C5836 &amp; "'!" &amp; J5836, J5836), "")</f>
        <v>0</v>
      </c>
    </row>
    <row r="5837" spans="2:2">
      <c r="B5837" s="21">
        <f>IF(AND(C5837&lt;&gt;"", J5837&lt;&gt;""), HYPERLINK("#'" &amp; C5837 &amp; "'!" &amp; J5837, J5837), "")</f>
        <v>0</v>
      </c>
    </row>
    <row r="5838" spans="2:2">
      <c r="B5838" s="21">
        <f>IF(AND(C5838&lt;&gt;"", J5838&lt;&gt;""), HYPERLINK("#'" &amp; C5838 &amp; "'!" &amp; J5838, J5838), "")</f>
        <v>0</v>
      </c>
    </row>
    <row r="5839" spans="2:2">
      <c r="B5839" s="21">
        <f>IF(AND(C5839&lt;&gt;"", J5839&lt;&gt;""), HYPERLINK("#'" &amp; C5839 &amp; "'!" &amp; J5839, J5839), "")</f>
        <v>0</v>
      </c>
    </row>
    <row r="5840" spans="2:2">
      <c r="B5840" s="21">
        <f>IF(AND(C5840&lt;&gt;"", J5840&lt;&gt;""), HYPERLINK("#'" &amp; C5840 &amp; "'!" &amp; J5840, J5840), "")</f>
        <v>0</v>
      </c>
    </row>
    <row r="5841" spans="2:2">
      <c r="B5841" s="21">
        <f>IF(AND(C5841&lt;&gt;"", J5841&lt;&gt;""), HYPERLINK("#'" &amp; C5841 &amp; "'!" &amp; J5841, J5841), "")</f>
        <v>0</v>
      </c>
    </row>
    <row r="5842" spans="2:2">
      <c r="B5842" s="21">
        <f>IF(AND(C5842&lt;&gt;"", J5842&lt;&gt;""), HYPERLINK("#'" &amp; C5842 &amp; "'!" &amp; J5842, J5842), "")</f>
        <v>0</v>
      </c>
    </row>
    <row r="5843" spans="2:2">
      <c r="B5843" s="21">
        <f>IF(AND(C5843&lt;&gt;"", J5843&lt;&gt;""), HYPERLINK("#'" &amp; C5843 &amp; "'!" &amp; J5843, J5843), "")</f>
        <v>0</v>
      </c>
    </row>
    <row r="5844" spans="2:2">
      <c r="B5844" s="21">
        <f>IF(AND(C5844&lt;&gt;"", J5844&lt;&gt;""), HYPERLINK("#'" &amp; C5844 &amp; "'!" &amp; J5844, J5844), "")</f>
        <v>0</v>
      </c>
    </row>
    <row r="5845" spans="2:2">
      <c r="B5845" s="21">
        <f>IF(AND(C5845&lt;&gt;"", J5845&lt;&gt;""), HYPERLINK("#'" &amp; C5845 &amp; "'!" &amp; J5845, J5845), "")</f>
        <v>0</v>
      </c>
    </row>
    <row r="5846" spans="2:2">
      <c r="B5846" s="21">
        <f>IF(AND(C5846&lt;&gt;"", J5846&lt;&gt;""), HYPERLINK("#'" &amp; C5846 &amp; "'!" &amp; J5846, J5846), "")</f>
        <v>0</v>
      </c>
    </row>
    <row r="5847" spans="2:2">
      <c r="B5847" s="21">
        <f>IF(AND(C5847&lt;&gt;"", J5847&lt;&gt;""), HYPERLINK("#'" &amp; C5847 &amp; "'!" &amp; J5847, J5847), "")</f>
        <v>0</v>
      </c>
    </row>
    <row r="5848" spans="2:2">
      <c r="B5848" s="21">
        <f>IF(AND(C5848&lt;&gt;"", J5848&lt;&gt;""), HYPERLINK("#'" &amp; C5848 &amp; "'!" &amp; J5848, J5848), "")</f>
        <v>0</v>
      </c>
    </row>
    <row r="5849" spans="2:2">
      <c r="B5849" s="21">
        <f>IF(AND(C5849&lt;&gt;"", J5849&lt;&gt;""), HYPERLINK("#'" &amp; C5849 &amp; "'!" &amp; J5849, J5849), "")</f>
        <v>0</v>
      </c>
    </row>
    <row r="5850" spans="2:2">
      <c r="B5850" s="21">
        <f>IF(AND(C5850&lt;&gt;"", J5850&lt;&gt;""), HYPERLINK("#'" &amp; C5850 &amp; "'!" &amp; J5850, J5850), "")</f>
        <v>0</v>
      </c>
    </row>
    <row r="5851" spans="2:2">
      <c r="B5851" s="21">
        <f>IF(AND(C5851&lt;&gt;"", J5851&lt;&gt;""), HYPERLINK("#'" &amp; C5851 &amp; "'!" &amp; J5851, J5851), "")</f>
        <v>0</v>
      </c>
    </row>
    <row r="5852" spans="2:2">
      <c r="B5852" s="21">
        <f>IF(AND(C5852&lt;&gt;"", J5852&lt;&gt;""), HYPERLINK("#'" &amp; C5852 &amp; "'!" &amp; J5852, J5852), "")</f>
        <v>0</v>
      </c>
    </row>
    <row r="5853" spans="2:2">
      <c r="B5853" s="21">
        <f>IF(AND(C5853&lt;&gt;"", J5853&lt;&gt;""), HYPERLINK("#'" &amp; C5853 &amp; "'!" &amp; J5853, J5853), "")</f>
        <v>0</v>
      </c>
    </row>
    <row r="5854" spans="2:2">
      <c r="B5854" s="21">
        <f>IF(AND(C5854&lt;&gt;"", J5854&lt;&gt;""), HYPERLINK("#'" &amp; C5854 &amp; "'!" &amp; J5854, J5854), "")</f>
        <v>0</v>
      </c>
    </row>
    <row r="5855" spans="2:2">
      <c r="B5855" s="21">
        <f>IF(AND(C5855&lt;&gt;"", J5855&lt;&gt;""), HYPERLINK("#'" &amp; C5855 &amp; "'!" &amp; J5855, J5855), "")</f>
        <v>0</v>
      </c>
    </row>
    <row r="5856" spans="2:2">
      <c r="B5856" s="21">
        <f>IF(AND(C5856&lt;&gt;"", J5856&lt;&gt;""), HYPERLINK("#'" &amp; C5856 &amp; "'!" &amp; J5856, J5856), "")</f>
        <v>0</v>
      </c>
    </row>
    <row r="5857" spans="2:2">
      <c r="B5857" s="21">
        <f>IF(AND(C5857&lt;&gt;"", J5857&lt;&gt;""), HYPERLINK("#'" &amp; C5857 &amp; "'!" &amp; J5857, J5857), "")</f>
        <v>0</v>
      </c>
    </row>
    <row r="5858" spans="2:2">
      <c r="B5858" s="21">
        <f>IF(AND(C5858&lt;&gt;"", J5858&lt;&gt;""), HYPERLINK("#'" &amp; C5858 &amp; "'!" &amp; J5858, J5858), "")</f>
        <v>0</v>
      </c>
    </row>
    <row r="5859" spans="2:2">
      <c r="B5859" s="21">
        <f>IF(AND(C5859&lt;&gt;"", J5859&lt;&gt;""), HYPERLINK("#'" &amp; C5859 &amp; "'!" &amp; J5859, J5859), "")</f>
        <v>0</v>
      </c>
    </row>
    <row r="5860" spans="2:2">
      <c r="B5860" s="21">
        <f>IF(AND(C5860&lt;&gt;"", J5860&lt;&gt;""), HYPERLINK("#'" &amp; C5860 &amp; "'!" &amp; J5860, J5860), "")</f>
        <v>0</v>
      </c>
    </row>
    <row r="5861" spans="2:2">
      <c r="B5861" s="21">
        <f>IF(AND(C5861&lt;&gt;"", J5861&lt;&gt;""), HYPERLINK("#'" &amp; C5861 &amp; "'!" &amp; J5861, J5861), "")</f>
        <v>0</v>
      </c>
    </row>
    <row r="5862" spans="2:2">
      <c r="B5862" s="21">
        <f>IF(AND(C5862&lt;&gt;"", J5862&lt;&gt;""), HYPERLINK("#'" &amp; C5862 &amp; "'!" &amp; J5862, J5862), "")</f>
        <v>0</v>
      </c>
    </row>
    <row r="5863" spans="2:2">
      <c r="B5863" s="21">
        <f>IF(AND(C5863&lt;&gt;"", J5863&lt;&gt;""), HYPERLINK("#'" &amp; C5863 &amp; "'!" &amp; J5863, J5863), "")</f>
        <v>0</v>
      </c>
    </row>
    <row r="5864" spans="2:2">
      <c r="B5864" s="21">
        <f>IF(AND(C5864&lt;&gt;"", J5864&lt;&gt;""), HYPERLINK("#'" &amp; C5864 &amp; "'!" &amp; J5864, J5864), "")</f>
        <v>0</v>
      </c>
    </row>
    <row r="5865" spans="2:2">
      <c r="B5865" s="21">
        <f>IF(AND(C5865&lt;&gt;"", J5865&lt;&gt;""), HYPERLINK("#'" &amp; C5865 &amp; "'!" &amp; J5865, J5865), "")</f>
        <v>0</v>
      </c>
    </row>
    <row r="5866" spans="2:2">
      <c r="B5866" s="21">
        <f>IF(AND(C5866&lt;&gt;"", J5866&lt;&gt;""), HYPERLINK("#'" &amp; C5866 &amp; "'!" &amp; J5866, J5866), "")</f>
        <v>0</v>
      </c>
    </row>
    <row r="5867" spans="2:2">
      <c r="B5867" s="21">
        <f>IF(AND(C5867&lt;&gt;"", J5867&lt;&gt;""), HYPERLINK("#'" &amp; C5867 &amp; "'!" &amp; J5867, J5867), "")</f>
        <v>0</v>
      </c>
    </row>
    <row r="5868" spans="2:2">
      <c r="B5868" s="21">
        <f>IF(AND(C5868&lt;&gt;"", J5868&lt;&gt;""), HYPERLINK("#'" &amp; C5868 &amp; "'!" &amp; J5868, J5868), "")</f>
        <v>0</v>
      </c>
    </row>
    <row r="5869" spans="2:2">
      <c r="B5869" s="21">
        <f>IF(AND(C5869&lt;&gt;"", J5869&lt;&gt;""), HYPERLINK("#'" &amp; C5869 &amp; "'!" &amp; J5869, J5869), "")</f>
        <v>0</v>
      </c>
    </row>
    <row r="5870" spans="2:2">
      <c r="B5870" s="21">
        <f>IF(AND(C5870&lt;&gt;"", J5870&lt;&gt;""), HYPERLINK("#'" &amp; C5870 &amp; "'!" &amp; J5870, J5870), "")</f>
        <v>0</v>
      </c>
    </row>
    <row r="5871" spans="2:2">
      <c r="B5871" s="21">
        <f>IF(AND(C5871&lt;&gt;"", J5871&lt;&gt;""), HYPERLINK("#'" &amp; C5871 &amp; "'!" &amp; J5871, J5871), "")</f>
        <v>0</v>
      </c>
    </row>
    <row r="5872" spans="2:2">
      <c r="B5872" s="21">
        <f>IF(AND(C5872&lt;&gt;"", J5872&lt;&gt;""), HYPERLINK("#'" &amp; C5872 &amp; "'!" &amp; J5872, J5872), "")</f>
        <v>0</v>
      </c>
    </row>
    <row r="5873" spans="2:2">
      <c r="B5873" s="21">
        <f>IF(AND(C5873&lt;&gt;"", J5873&lt;&gt;""), HYPERLINK("#'" &amp; C5873 &amp; "'!" &amp; J5873, J5873), "")</f>
        <v>0</v>
      </c>
    </row>
    <row r="5874" spans="2:2">
      <c r="B5874" s="21">
        <f>IF(AND(C5874&lt;&gt;"", J5874&lt;&gt;""), HYPERLINK("#'" &amp; C5874 &amp; "'!" &amp; J5874, J5874), "")</f>
        <v>0</v>
      </c>
    </row>
    <row r="5875" spans="2:2">
      <c r="B5875" s="21">
        <f>IF(AND(C5875&lt;&gt;"", J5875&lt;&gt;""), HYPERLINK("#'" &amp; C5875 &amp; "'!" &amp; J5875, J5875), "")</f>
        <v>0</v>
      </c>
    </row>
    <row r="5876" spans="2:2">
      <c r="B5876" s="21">
        <f>IF(AND(C5876&lt;&gt;"", J5876&lt;&gt;""), HYPERLINK("#'" &amp; C5876 &amp; "'!" &amp; J5876, J5876), "")</f>
        <v>0</v>
      </c>
    </row>
    <row r="5877" spans="2:2">
      <c r="B5877" s="21">
        <f>IF(AND(C5877&lt;&gt;"", J5877&lt;&gt;""), HYPERLINK("#'" &amp; C5877 &amp; "'!" &amp; J5877, J5877), "")</f>
        <v>0</v>
      </c>
    </row>
    <row r="5878" spans="2:2">
      <c r="B5878" s="21">
        <f>IF(AND(C5878&lt;&gt;"", J5878&lt;&gt;""), HYPERLINK("#'" &amp; C5878 &amp; "'!" &amp; J5878, J5878), "")</f>
        <v>0</v>
      </c>
    </row>
    <row r="5879" spans="2:2">
      <c r="B5879" s="21">
        <f>IF(AND(C5879&lt;&gt;"", J5879&lt;&gt;""), HYPERLINK("#'" &amp; C5879 &amp; "'!" &amp; J5879, J5879), "")</f>
        <v>0</v>
      </c>
    </row>
    <row r="5880" spans="2:2">
      <c r="B5880" s="21">
        <f>IF(AND(C5880&lt;&gt;"", J5880&lt;&gt;""), HYPERLINK("#'" &amp; C5880 &amp; "'!" &amp; J5880, J5880), "")</f>
        <v>0</v>
      </c>
    </row>
    <row r="5881" spans="2:2">
      <c r="B5881" s="21">
        <f>IF(AND(C5881&lt;&gt;"", J5881&lt;&gt;""), HYPERLINK("#'" &amp; C5881 &amp; "'!" &amp; J5881, J5881), "")</f>
        <v>0</v>
      </c>
    </row>
    <row r="5882" spans="2:2">
      <c r="B5882" s="21">
        <f>IF(AND(C5882&lt;&gt;"", J5882&lt;&gt;""), HYPERLINK("#'" &amp; C5882 &amp; "'!" &amp; J5882, J5882), "")</f>
        <v>0</v>
      </c>
    </row>
    <row r="5883" spans="2:2">
      <c r="B5883" s="21">
        <f>IF(AND(C5883&lt;&gt;"", J5883&lt;&gt;""), HYPERLINK("#'" &amp; C5883 &amp; "'!" &amp; J5883, J5883), "")</f>
        <v>0</v>
      </c>
    </row>
    <row r="5884" spans="2:2">
      <c r="B5884" s="21">
        <f>IF(AND(C5884&lt;&gt;"", J5884&lt;&gt;""), HYPERLINK("#'" &amp; C5884 &amp; "'!" &amp; J5884, J5884), "")</f>
        <v>0</v>
      </c>
    </row>
    <row r="5885" spans="2:2">
      <c r="B5885" s="21">
        <f>IF(AND(C5885&lt;&gt;"", J5885&lt;&gt;""), HYPERLINK("#'" &amp; C5885 &amp; "'!" &amp; J5885, J5885), "")</f>
        <v>0</v>
      </c>
    </row>
    <row r="5886" spans="2:2">
      <c r="B5886" s="21">
        <f>IF(AND(C5886&lt;&gt;"", J5886&lt;&gt;""), HYPERLINK("#'" &amp; C5886 &amp; "'!" &amp; J5886, J5886), "")</f>
        <v>0</v>
      </c>
    </row>
    <row r="5887" spans="2:2">
      <c r="B5887" s="21">
        <f>IF(AND(C5887&lt;&gt;"", J5887&lt;&gt;""), HYPERLINK("#'" &amp; C5887 &amp; "'!" &amp; J5887, J5887), "")</f>
        <v>0</v>
      </c>
    </row>
    <row r="5888" spans="2:2">
      <c r="B5888" s="21">
        <f>IF(AND(C5888&lt;&gt;"", J5888&lt;&gt;""), HYPERLINK("#'" &amp; C5888 &amp; "'!" &amp; J5888, J5888), "")</f>
        <v>0</v>
      </c>
    </row>
    <row r="5889" spans="2:2">
      <c r="B5889" s="21">
        <f>IF(AND(C5889&lt;&gt;"", J5889&lt;&gt;""), HYPERLINK("#'" &amp; C5889 &amp; "'!" &amp; J5889, J5889), "")</f>
        <v>0</v>
      </c>
    </row>
    <row r="5890" spans="2:2">
      <c r="B5890" s="21">
        <f>IF(AND(C5890&lt;&gt;"", J5890&lt;&gt;""), HYPERLINK("#'" &amp; C5890 &amp; "'!" &amp; J5890, J5890), "")</f>
        <v>0</v>
      </c>
    </row>
    <row r="5891" spans="2:2">
      <c r="B5891" s="21">
        <f>IF(AND(C5891&lt;&gt;"", J5891&lt;&gt;""), HYPERLINK("#'" &amp; C5891 &amp; "'!" &amp; J5891, J5891), "")</f>
        <v>0</v>
      </c>
    </row>
    <row r="5892" spans="2:2">
      <c r="B5892" s="21">
        <f>IF(AND(C5892&lt;&gt;"", J5892&lt;&gt;""), HYPERLINK("#'" &amp; C5892 &amp; "'!" &amp; J5892, J5892), "")</f>
        <v>0</v>
      </c>
    </row>
    <row r="5893" spans="2:2">
      <c r="B5893" s="21">
        <f>IF(AND(C5893&lt;&gt;"", J5893&lt;&gt;""), HYPERLINK("#'" &amp; C5893 &amp; "'!" &amp; J5893, J5893), "")</f>
        <v>0</v>
      </c>
    </row>
    <row r="5894" spans="2:2">
      <c r="B5894" s="21">
        <f>IF(AND(C5894&lt;&gt;"", J5894&lt;&gt;""), HYPERLINK("#'" &amp; C5894 &amp; "'!" &amp; J5894, J5894), "")</f>
        <v>0</v>
      </c>
    </row>
    <row r="5895" spans="2:2">
      <c r="B5895" s="21">
        <f>IF(AND(C5895&lt;&gt;"", J5895&lt;&gt;""), HYPERLINK("#'" &amp; C5895 &amp; "'!" &amp; J5895, J5895), "")</f>
        <v>0</v>
      </c>
    </row>
    <row r="5896" spans="2:2">
      <c r="B5896" s="21">
        <f>IF(AND(C5896&lt;&gt;"", J5896&lt;&gt;""), HYPERLINK("#'" &amp; C5896 &amp; "'!" &amp; J5896, J5896), "")</f>
        <v>0</v>
      </c>
    </row>
    <row r="5897" spans="2:2">
      <c r="B5897" s="21">
        <f>IF(AND(C5897&lt;&gt;"", J5897&lt;&gt;""), HYPERLINK("#'" &amp; C5897 &amp; "'!" &amp; J5897, J5897), "")</f>
        <v>0</v>
      </c>
    </row>
    <row r="5898" spans="2:2">
      <c r="B5898" s="21">
        <f>IF(AND(C5898&lt;&gt;"", J5898&lt;&gt;""), HYPERLINK("#'" &amp; C5898 &amp; "'!" &amp; J5898, J5898), "")</f>
        <v>0</v>
      </c>
    </row>
    <row r="5899" spans="2:2">
      <c r="B5899" s="21">
        <f>IF(AND(C5899&lt;&gt;"", J5899&lt;&gt;""), HYPERLINK("#'" &amp; C5899 &amp; "'!" &amp; J5899, J5899), "")</f>
        <v>0</v>
      </c>
    </row>
    <row r="5900" spans="2:2">
      <c r="B5900" s="21">
        <f>IF(AND(C5900&lt;&gt;"", J5900&lt;&gt;""), HYPERLINK("#'" &amp; C5900 &amp; "'!" &amp; J5900, J5900), "")</f>
        <v>0</v>
      </c>
    </row>
    <row r="5901" spans="2:2">
      <c r="B5901" s="21">
        <f>IF(AND(C5901&lt;&gt;"", J5901&lt;&gt;""), HYPERLINK("#'" &amp; C5901 &amp; "'!" &amp; J5901, J5901), "")</f>
        <v>0</v>
      </c>
    </row>
    <row r="5902" spans="2:2">
      <c r="B5902" s="21">
        <f>IF(AND(C5902&lt;&gt;"", J5902&lt;&gt;""), HYPERLINK("#'" &amp; C5902 &amp; "'!" &amp; J5902, J5902), "")</f>
        <v>0</v>
      </c>
    </row>
    <row r="5903" spans="2:2">
      <c r="B5903" s="21">
        <f>IF(AND(C5903&lt;&gt;"", J5903&lt;&gt;""), HYPERLINK("#'" &amp; C5903 &amp; "'!" &amp; J5903, J5903), "")</f>
        <v>0</v>
      </c>
    </row>
    <row r="5904" spans="2:2">
      <c r="B5904" s="21">
        <f>IF(AND(C5904&lt;&gt;"", J5904&lt;&gt;""), HYPERLINK("#'" &amp; C5904 &amp; "'!" &amp; J5904, J5904), "")</f>
        <v>0</v>
      </c>
    </row>
    <row r="5905" spans="2:2">
      <c r="B5905" s="21">
        <f>IF(AND(C5905&lt;&gt;"", J5905&lt;&gt;""), HYPERLINK("#'" &amp; C5905 &amp; "'!" &amp; J5905, J5905), "")</f>
        <v>0</v>
      </c>
    </row>
    <row r="5906" spans="2:2">
      <c r="B5906" s="21">
        <f>IF(AND(C5906&lt;&gt;"", J5906&lt;&gt;""), HYPERLINK("#'" &amp; C5906 &amp; "'!" &amp; J5906, J5906), "")</f>
        <v>0</v>
      </c>
    </row>
    <row r="5907" spans="2:2">
      <c r="B5907" s="21">
        <f>IF(AND(C5907&lt;&gt;"", J5907&lt;&gt;""), HYPERLINK("#'" &amp; C5907 &amp; "'!" &amp; J5907, J5907), "")</f>
        <v>0</v>
      </c>
    </row>
    <row r="5908" spans="2:2">
      <c r="B5908" s="21">
        <f>IF(AND(C5908&lt;&gt;"", J5908&lt;&gt;""), HYPERLINK("#'" &amp; C5908 &amp; "'!" &amp; J5908, J5908), "")</f>
        <v>0</v>
      </c>
    </row>
    <row r="5909" spans="2:2">
      <c r="B5909" s="21">
        <f>IF(AND(C5909&lt;&gt;"", J5909&lt;&gt;""), HYPERLINK("#'" &amp; C5909 &amp; "'!" &amp; J5909, J5909), "")</f>
        <v>0</v>
      </c>
    </row>
    <row r="5910" spans="2:2">
      <c r="B5910" s="21">
        <f>IF(AND(C5910&lt;&gt;"", J5910&lt;&gt;""), HYPERLINK("#'" &amp; C5910 &amp; "'!" &amp; J5910, J5910), "")</f>
        <v>0</v>
      </c>
    </row>
    <row r="5911" spans="2:2">
      <c r="B5911" s="21">
        <f>IF(AND(C5911&lt;&gt;"", J5911&lt;&gt;""), HYPERLINK("#'" &amp; C5911 &amp; "'!" &amp; J5911, J5911), "")</f>
        <v>0</v>
      </c>
    </row>
    <row r="5912" spans="2:2">
      <c r="B5912" s="21">
        <f>IF(AND(C5912&lt;&gt;"", J5912&lt;&gt;""), HYPERLINK("#'" &amp; C5912 &amp; "'!" &amp; J5912, J5912), "")</f>
        <v>0</v>
      </c>
    </row>
    <row r="5913" spans="2:2">
      <c r="B5913" s="21">
        <f>IF(AND(C5913&lt;&gt;"", J5913&lt;&gt;""), HYPERLINK("#'" &amp; C5913 &amp; "'!" &amp; J5913, J5913), "")</f>
        <v>0</v>
      </c>
    </row>
    <row r="5914" spans="2:2">
      <c r="B5914" s="21">
        <f>IF(AND(C5914&lt;&gt;"", J5914&lt;&gt;""), HYPERLINK("#'" &amp; C5914 &amp; "'!" &amp; J5914, J5914), "")</f>
        <v>0</v>
      </c>
    </row>
    <row r="5915" spans="2:2">
      <c r="B5915" s="21">
        <f>IF(AND(C5915&lt;&gt;"", J5915&lt;&gt;""), HYPERLINK("#'" &amp; C5915 &amp; "'!" &amp; J5915, J5915), "")</f>
        <v>0</v>
      </c>
    </row>
    <row r="5916" spans="2:2">
      <c r="B5916" s="21">
        <f>IF(AND(C5916&lt;&gt;"", J5916&lt;&gt;""), HYPERLINK("#'" &amp; C5916 &amp; "'!" &amp; J5916, J5916), "")</f>
        <v>0</v>
      </c>
    </row>
    <row r="5917" spans="2:2">
      <c r="B5917" s="21">
        <f>IF(AND(C5917&lt;&gt;"", J5917&lt;&gt;""), HYPERLINK("#'" &amp; C5917 &amp; "'!" &amp; J5917, J5917), "")</f>
        <v>0</v>
      </c>
    </row>
    <row r="5918" spans="2:2">
      <c r="B5918" s="21">
        <f>IF(AND(C5918&lt;&gt;"", J5918&lt;&gt;""), HYPERLINK("#'" &amp; C5918 &amp; "'!" &amp; J5918, J5918), "")</f>
        <v>0</v>
      </c>
    </row>
    <row r="5919" spans="2:2">
      <c r="B5919" s="21">
        <f>IF(AND(C5919&lt;&gt;"", J5919&lt;&gt;""), HYPERLINK("#'" &amp; C5919 &amp; "'!" &amp; J5919, J5919), "")</f>
        <v>0</v>
      </c>
    </row>
    <row r="5920" spans="2:2">
      <c r="B5920" s="21">
        <f>IF(AND(C5920&lt;&gt;"", J5920&lt;&gt;""), HYPERLINK("#'" &amp; C5920 &amp; "'!" &amp; J5920, J5920), "")</f>
        <v>0</v>
      </c>
    </row>
    <row r="5921" spans="2:2">
      <c r="B5921" s="21">
        <f>IF(AND(C5921&lt;&gt;"", J5921&lt;&gt;""), HYPERLINK("#'" &amp; C5921 &amp; "'!" &amp; J5921, J5921), "")</f>
        <v>0</v>
      </c>
    </row>
    <row r="5922" spans="2:2">
      <c r="B5922" s="21">
        <f>IF(AND(C5922&lt;&gt;"", J5922&lt;&gt;""), HYPERLINK("#'" &amp; C5922 &amp; "'!" &amp; J5922, J5922), "")</f>
        <v>0</v>
      </c>
    </row>
    <row r="5923" spans="2:2">
      <c r="B5923" s="21">
        <f>IF(AND(C5923&lt;&gt;"", J5923&lt;&gt;""), HYPERLINK("#'" &amp; C5923 &amp; "'!" &amp; J5923, J5923), "")</f>
        <v>0</v>
      </c>
    </row>
    <row r="5924" spans="2:2">
      <c r="B5924" s="21">
        <f>IF(AND(C5924&lt;&gt;"", J5924&lt;&gt;""), HYPERLINK("#'" &amp; C5924 &amp; "'!" &amp; J5924, J5924), "")</f>
        <v>0</v>
      </c>
    </row>
    <row r="5925" spans="2:2">
      <c r="B5925" s="21">
        <f>IF(AND(C5925&lt;&gt;"", J5925&lt;&gt;""), HYPERLINK("#'" &amp; C5925 &amp; "'!" &amp; J5925, J5925), "")</f>
        <v>0</v>
      </c>
    </row>
    <row r="5926" spans="2:2">
      <c r="B5926" s="21">
        <f>IF(AND(C5926&lt;&gt;"", J5926&lt;&gt;""), HYPERLINK("#'" &amp; C5926 &amp; "'!" &amp; J5926, J5926), "")</f>
        <v>0</v>
      </c>
    </row>
    <row r="5927" spans="2:2">
      <c r="B5927" s="21">
        <f>IF(AND(C5927&lt;&gt;"", J5927&lt;&gt;""), HYPERLINK("#'" &amp; C5927 &amp; "'!" &amp; J5927, J5927), "")</f>
        <v>0</v>
      </c>
    </row>
    <row r="5928" spans="2:2">
      <c r="B5928" s="21">
        <f>IF(AND(C5928&lt;&gt;"", J5928&lt;&gt;""), HYPERLINK("#'" &amp; C5928 &amp; "'!" &amp; J5928, J5928), "")</f>
        <v>0</v>
      </c>
    </row>
    <row r="5929" spans="2:2">
      <c r="B5929" s="21">
        <f>IF(AND(C5929&lt;&gt;"", J5929&lt;&gt;""), HYPERLINK("#'" &amp; C5929 &amp; "'!" &amp; J5929, J5929), "")</f>
        <v>0</v>
      </c>
    </row>
    <row r="5930" spans="2:2">
      <c r="B5930" s="21">
        <f>IF(AND(C5930&lt;&gt;"", J5930&lt;&gt;""), HYPERLINK("#'" &amp; C5930 &amp; "'!" &amp; J5930, J5930), "")</f>
        <v>0</v>
      </c>
    </row>
    <row r="5931" spans="2:2">
      <c r="B5931" s="21">
        <f>IF(AND(C5931&lt;&gt;"", J5931&lt;&gt;""), HYPERLINK("#'" &amp; C5931 &amp; "'!" &amp; J5931, J5931), "")</f>
        <v>0</v>
      </c>
    </row>
    <row r="5932" spans="2:2">
      <c r="B5932" s="21">
        <f>IF(AND(C5932&lt;&gt;"", J5932&lt;&gt;""), HYPERLINK("#'" &amp; C5932 &amp; "'!" &amp; J5932, J5932), "")</f>
        <v>0</v>
      </c>
    </row>
    <row r="5933" spans="2:2">
      <c r="B5933" s="21">
        <f>IF(AND(C5933&lt;&gt;"", J5933&lt;&gt;""), HYPERLINK("#'" &amp; C5933 &amp; "'!" &amp; J5933, J5933), "")</f>
        <v>0</v>
      </c>
    </row>
    <row r="5934" spans="2:2">
      <c r="B5934" s="21">
        <f>IF(AND(C5934&lt;&gt;"", J5934&lt;&gt;""), HYPERLINK("#'" &amp; C5934 &amp; "'!" &amp; J5934, J5934), "")</f>
        <v>0</v>
      </c>
    </row>
    <row r="5935" spans="2:2">
      <c r="B5935" s="21">
        <f>IF(AND(C5935&lt;&gt;"", J5935&lt;&gt;""), HYPERLINK("#'" &amp; C5935 &amp; "'!" &amp; J5935, J5935), "")</f>
        <v>0</v>
      </c>
    </row>
    <row r="5936" spans="2:2">
      <c r="B5936" s="21">
        <f>IF(AND(C5936&lt;&gt;"", J5936&lt;&gt;""), HYPERLINK("#'" &amp; C5936 &amp; "'!" &amp; J5936, J5936), "")</f>
        <v>0</v>
      </c>
    </row>
    <row r="5937" spans="2:2">
      <c r="B5937" s="21">
        <f>IF(AND(C5937&lt;&gt;"", J5937&lt;&gt;""), HYPERLINK("#'" &amp; C5937 &amp; "'!" &amp; J5937, J5937), "")</f>
        <v>0</v>
      </c>
    </row>
    <row r="5938" spans="2:2">
      <c r="B5938" s="21">
        <f>IF(AND(C5938&lt;&gt;"", J5938&lt;&gt;""), HYPERLINK("#'" &amp; C5938 &amp; "'!" &amp; J5938, J5938), "")</f>
        <v>0</v>
      </c>
    </row>
    <row r="5939" spans="2:2">
      <c r="B5939" s="21">
        <f>IF(AND(C5939&lt;&gt;"", J5939&lt;&gt;""), HYPERLINK("#'" &amp; C5939 &amp; "'!" &amp; J5939, J5939), "")</f>
        <v>0</v>
      </c>
    </row>
    <row r="5940" spans="2:2">
      <c r="B5940" s="21">
        <f>IF(AND(C5940&lt;&gt;"", J5940&lt;&gt;""), HYPERLINK("#'" &amp; C5940 &amp; "'!" &amp; J5940, J5940), "")</f>
        <v>0</v>
      </c>
    </row>
    <row r="5941" spans="2:2">
      <c r="B5941" s="21">
        <f>IF(AND(C5941&lt;&gt;"", J5941&lt;&gt;""), HYPERLINK("#'" &amp; C5941 &amp; "'!" &amp; J5941, J5941), "")</f>
        <v>0</v>
      </c>
    </row>
    <row r="5942" spans="2:2">
      <c r="B5942" s="21">
        <f>IF(AND(C5942&lt;&gt;"", J5942&lt;&gt;""), HYPERLINK("#'" &amp; C5942 &amp; "'!" &amp; J5942, J5942), "")</f>
        <v>0</v>
      </c>
    </row>
    <row r="5943" spans="2:2">
      <c r="B5943" s="21">
        <f>IF(AND(C5943&lt;&gt;"", J5943&lt;&gt;""), HYPERLINK("#'" &amp; C5943 &amp; "'!" &amp; J5943, J5943), "")</f>
        <v>0</v>
      </c>
    </row>
    <row r="5944" spans="2:2">
      <c r="B5944" s="21">
        <f>IF(AND(C5944&lt;&gt;"", J5944&lt;&gt;""), HYPERLINK("#'" &amp; C5944 &amp; "'!" &amp; J5944, J5944), "")</f>
        <v>0</v>
      </c>
    </row>
    <row r="5945" spans="2:2">
      <c r="B5945" s="21">
        <f>IF(AND(C5945&lt;&gt;"", J5945&lt;&gt;""), HYPERLINK("#'" &amp; C5945 &amp; "'!" &amp; J5945, J5945), "")</f>
        <v>0</v>
      </c>
    </row>
    <row r="5946" spans="2:2">
      <c r="B5946" s="21">
        <f>IF(AND(C5946&lt;&gt;"", J5946&lt;&gt;""), HYPERLINK("#'" &amp; C5946 &amp; "'!" &amp; J5946, J5946), "")</f>
        <v>0</v>
      </c>
    </row>
    <row r="5947" spans="2:2">
      <c r="B5947" s="21">
        <f>IF(AND(C5947&lt;&gt;"", J5947&lt;&gt;""), HYPERLINK("#'" &amp; C5947 &amp; "'!" &amp; J5947, J5947), "")</f>
        <v>0</v>
      </c>
    </row>
    <row r="5948" spans="2:2">
      <c r="B5948" s="21">
        <f>IF(AND(C5948&lt;&gt;"", J5948&lt;&gt;""), HYPERLINK("#'" &amp; C5948 &amp; "'!" &amp; J5948, J5948), "")</f>
        <v>0</v>
      </c>
    </row>
    <row r="5949" spans="2:2">
      <c r="B5949" s="21">
        <f>IF(AND(C5949&lt;&gt;"", J5949&lt;&gt;""), HYPERLINK("#'" &amp; C5949 &amp; "'!" &amp; J5949, J5949), "")</f>
        <v>0</v>
      </c>
    </row>
    <row r="5950" spans="2:2">
      <c r="B5950" s="21">
        <f>IF(AND(C5950&lt;&gt;"", J5950&lt;&gt;""), HYPERLINK("#'" &amp; C5950 &amp; "'!" &amp; J5950, J5950), "")</f>
        <v>0</v>
      </c>
    </row>
    <row r="5951" spans="2:2">
      <c r="B5951" s="21">
        <f>IF(AND(C5951&lt;&gt;"", J5951&lt;&gt;""), HYPERLINK("#'" &amp; C5951 &amp; "'!" &amp; J5951, J5951), "")</f>
        <v>0</v>
      </c>
    </row>
    <row r="5952" spans="2:2">
      <c r="B5952" s="21">
        <f>IF(AND(C5952&lt;&gt;"", J5952&lt;&gt;""), HYPERLINK("#'" &amp; C5952 &amp; "'!" &amp; J5952, J5952), "")</f>
        <v>0</v>
      </c>
    </row>
    <row r="5953" spans="2:2">
      <c r="B5953" s="21">
        <f>IF(AND(C5953&lt;&gt;"", J5953&lt;&gt;""), HYPERLINK("#'" &amp; C5953 &amp; "'!" &amp; J5953, J5953), "")</f>
        <v>0</v>
      </c>
    </row>
    <row r="5954" spans="2:2">
      <c r="B5954" s="21">
        <f>IF(AND(C5954&lt;&gt;"", J5954&lt;&gt;""), HYPERLINK("#'" &amp; C5954 &amp; "'!" &amp; J5954, J5954), "")</f>
        <v>0</v>
      </c>
    </row>
    <row r="5955" spans="2:2">
      <c r="B5955" s="21">
        <f>IF(AND(C5955&lt;&gt;"", J5955&lt;&gt;""), HYPERLINK("#'" &amp; C5955 &amp; "'!" &amp; J5955, J5955), "")</f>
        <v>0</v>
      </c>
    </row>
    <row r="5956" spans="2:2">
      <c r="B5956" s="21">
        <f>IF(AND(C5956&lt;&gt;"", J5956&lt;&gt;""), HYPERLINK("#'" &amp; C5956 &amp; "'!" &amp; J5956, J5956), "")</f>
        <v>0</v>
      </c>
    </row>
    <row r="5957" spans="2:2">
      <c r="B5957" s="21">
        <f>IF(AND(C5957&lt;&gt;"", J5957&lt;&gt;""), HYPERLINK("#'" &amp; C5957 &amp; "'!" &amp; J5957, J5957), "")</f>
        <v>0</v>
      </c>
    </row>
    <row r="5958" spans="2:2">
      <c r="B5958" s="21">
        <f>IF(AND(C5958&lt;&gt;"", J5958&lt;&gt;""), HYPERLINK("#'" &amp; C5958 &amp; "'!" &amp; J5958, J5958), "")</f>
        <v>0</v>
      </c>
    </row>
    <row r="5959" spans="2:2">
      <c r="B5959" s="21">
        <f>IF(AND(C5959&lt;&gt;"", J5959&lt;&gt;""), HYPERLINK("#'" &amp; C5959 &amp; "'!" &amp; J5959, J5959), "")</f>
        <v>0</v>
      </c>
    </row>
    <row r="5960" spans="2:2">
      <c r="B5960" s="21">
        <f>IF(AND(C5960&lt;&gt;"", J5960&lt;&gt;""), HYPERLINK("#'" &amp; C5960 &amp; "'!" &amp; J5960, J5960), "")</f>
        <v>0</v>
      </c>
    </row>
    <row r="5961" spans="2:2">
      <c r="B5961" s="21">
        <f>IF(AND(C5961&lt;&gt;"", J5961&lt;&gt;""), HYPERLINK("#'" &amp; C5961 &amp; "'!" &amp; J5961, J5961), "")</f>
        <v>0</v>
      </c>
    </row>
    <row r="5962" spans="2:2">
      <c r="B5962" s="21">
        <f>IF(AND(C5962&lt;&gt;"", J5962&lt;&gt;""), HYPERLINK("#'" &amp; C5962 &amp; "'!" &amp; J5962, J5962), "")</f>
        <v>0</v>
      </c>
    </row>
    <row r="5963" spans="2:2">
      <c r="B5963" s="21">
        <f>IF(AND(C5963&lt;&gt;"", J5963&lt;&gt;""), HYPERLINK("#'" &amp; C5963 &amp; "'!" &amp; J5963, J5963), "")</f>
        <v>0</v>
      </c>
    </row>
    <row r="5964" spans="2:2">
      <c r="B5964" s="21">
        <f>IF(AND(C5964&lt;&gt;"", J5964&lt;&gt;""), HYPERLINK("#'" &amp; C5964 &amp; "'!" &amp; J5964, J5964), "")</f>
        <v>0</v>
      </c>
    </row>
    <row r="5965" spans="2:2">
      <c r="B5965" s="21">
        <f>IF(AND(C5965&lt;&gt;"", J5965&lt;&gt;""), HYPERLINK("#'" &amp; C5965 &amp; "'!" &amp; J5965, J5965), "")</f>
        <v>0</v>
      </c>
    </row>
    <row r="5966" spans="2:2">
      <c r="B5966" s="21">
        <f>IF(AND(C5966&lt;&gt;"", J5966&lt;&gt;""), HYPERLINK("#'" &amp; C5966 &amp; "'!" &amp; J5966, J5966), "")</f>
        <v>0</v>
      </c>
    </row>
    <row r="5967" spans="2:2">
      <c r="B5967" s="21">
        <f>IF(AND(C5967&lt;&gt;"", J5967&lt;&gt;""), HYPERLINK("#'" &amp; C5967 &amp; "'!" &amp; J5967, J5967), "")</f>
        <v>0</v>
      </c>
    </row>
    <row r="5968" spans="2:2">
      <c r="B5968" s="21">
        <f>IF(AND(C5968&lt;&gt;"", J5968&lt;&gt;""), HYPERLINK("#'" &amp; C5968 &amp; "'!" &amp; J5968, J5968), "")</f>
        <v>0</v>
      </c>
    </row>
    <row r="5969" spans="2:2">
      <c r="B5969" s="21">
        <f>IF(AND(C5969&lt;&gt;"", J5969&lt;&gt;""), HYPERLINK("#'" &amp; C5969 &amp; "'!" &amp; J5969, J5969), "")</f>
        <v>0</v>
      </c>
    </row>
    <row r="5970" spans="2:2">
      <c r="B5970" s="21">
        <f>IF(AND(C5970&lt;&gt;"", J5970&lt;&gt;""), HYPERLINK("#'" &amp; C5970 &amp; "'!" &amp; J5970, J5970), "")</f>
        <v>0</v>
      </c>
    </row>
    <row r="5971" spans="2:2">
      <c r="B5971" s="21">
        <f>IF(AND(C5971&lt;&gt;"", J5971&lt;&gt;""), HYPERLINK("#'" &amp; C5971 &amp; "'!" &amp; J5971, J5971), "")</f>
        <v>0</v>
      </c>
    </row>
    <row r="5972" spans="2:2">
      <c r="B5972" s="21">
        <f>IF(AND(C5972&lt;&gt;"", J5972&lt;&gt;""), HYPERLINK("#'" &amp; C5972 &amp; "'!" &amp; J5972, J5972), "")</f>
        <v>0</v>
      </c>
    </row>
    <row r="5973" spans="2:2">
      <c r="B5973" s="21">
        <f>IF(AND(C5973&lt;&gt;"", J5973&lt;&gt;""), HYPERLINK("#'" &amp; C5973 &amp; "'!" &amp; J5973, J5973), "")</f>
        <v>0</v>
      </c>
    </row>
    <row r="5974" spans="2:2">
      <c r="B5974" s="21">
        <f>IF(AND(C5974&lt;&gt;"", J5974&lt;&gt;""), HYPERLINK("#'" &amp; C5974 &amp; "'!" &amp; J5974, J5974), "")</f>
        <v>0</v>
      </c>
    </row>
    <row r="5975" spans="2:2">
      <c r="B5975" s="21">
        <f>IF(AND(C5975&lt;&gt;"", J5975&lt;&gt;""), HYPERLINK("#'" &amp; C5975 &amp; "'!" &amp; J5975, J5975), "")</f>
        <v>0</v>
      </c>
    </row>
    <row r="5976" spans="2:2">
      <c r="B5976" s="21">
        <f>IF(AND(C5976&lt;&gt;"", J5976&lt;&gt;""), HYPERLINK("#'" &amp; C5976 &amp; "'!" &amp; J5976, J5976), "")</f>
        <v>0</v>
      </c>
    </row>
    <row r="5977" spans="2:2">
      <c r="B5977" s="21">
        <f>IF(AND(C5977&lt;&gt;"", J5977&lt;&gt;""), HYPERLINK("#'" &amp; C5977 &amp; "'!" &amp; J5977, J5977), "")</f>
        <v>0</v>
      </c>
    </row>
    <row r="5978" spans="2:2">
      <c r="B5978" s="21">
        <f>IF(AND(C5978&lt;&gt;"", J5978&lt;&gt;""), HYPERLINK("#'" &amp; C5978 &amp; "'!" &amp; J5978, J5978), "")</f>
        <v>0</v>
      </c>
    </row>
    <row r="5979" spans="2:2">
      <c r="B5979" s="21">
        <f>IF(AND(C5979&lt;&gt;"", J5979&lt;&gt;""), HYPERLINK("#'" &amp; C5979 &amp; "'!" &amp; J5979, J5979), "")</f>
        <v>0</v>
      </c>
    </row>
    <row r="5980" spans="2:2">
      <c r="B5980" s="21">
        <f>IF(AND(C5980&lt;&gt;"", J5980&lt;&gt;""), HYPERLINK("#'" &amp; C5980 &amp; "'!" &amp; J5980, J5980), "")</f>
        <v>0</v>
      </c>
    </row>
    <row r="5981" spans="2:2">
      <c r="B5981" s="21">
        <f>IF(AND(C5981&lt;&gt;"", J5981&lt;&gt;""), HYPERLINK("#'" &amp; C5981 &amp; "'!" &amp; J5981, J5981), "")</f>
        <v>0</v>
      </c>
    </row>
    <row r="5982" spans="2:2">
      <c r="B5982" s="21">
        <f>IF(AND(C5982&lt;&gt;"", J5982&lt;&gt;""), HYPERLINK("#'" &amp; C5982 &amp; "'!" &amp; J5982, J5982), "")</f>
        <v>0</v>
      </c>
    </row>
    <row r="5983" spans="2:2">
      <c r="B5983" s="21">
        <f>IF(AND(C5983&lt;&gt;"", J5983&lt;&gt;""), HYPERLINK("#'" &amp; C5983 &amp; "'!" &amp; J5983, J5983), "")</f>
        <v>0</v>
      </c>
    </row>
    <row r="5984" spans="2:2">
      <c r="B5984" s="21">
        <f>IF(AND(C5984&lt;&gt;"", J5984&lt;&gt;""), HYPERLINK("#'" &amp; C5984 &amp; "'!" &amp; J5984, J5984), "")</f>
        <v>0</v>
      </c>
    </row>
    <row r="5985" spans="2:2">
      <c r="B5985" s="21">
        <f>IF(AND(C5985&lt;&gt;"", J5985&lt;&gt;""), HYPERLINK("#'" &amp; C5985 &amp; "'!" &amp; J5985, J5985), "")</f>
        <v>0</v>
      </c>
    </row>
    <row r="5986" spans="2:2">
      <c r="B5986" s="21">
        <f>IF(AND(C5986&lt;&gt;"", J5986&lt;&gt;""), HYPERLINK("#'" &amp; C5986 &amp; "'!" &amp; J5986, J5986), "")</f>
        <v>0</v>
      </c>
    </row>
    <row r="5987" spans="2:2">
      <c r="B5987" s="21">
        <f>IF(AND(C5987&lt;&gt;"", J5987&lt;&gt;""), HYPERLINK("#'" &amp; C5987 &amp; "'!" &amp; J5987, J5987), "")</f>
        <v>0</v>
      </c>
    </row>
    <row r="5988" spans="2:2">
      <c r="B5988" s="21">
        <f>IF(AND(C5988&lt;&gt;"", J5988&lt;&gt;""), HYPERLINK("#'" &amp; C5988 &amp; "'!" &amp; J5988, J5988), "")</f>
        <v>0</v>
      </c>
    </row>
    <row r="5989" spans="2:2">
      <c r="B5989" s="21">
        <f>IF(AND(C5989&lt;&gt;"", J5989&lt;&gt;""), HYPERLINK("#'" &amp; C5989 &amp; "'!" &amp; J5989, J5989), "")</f>
        <v>0</v>
      </c>
    </row>
    <row r="5990" spans="2:2">
      <c r="B5990" s="21">
        <f>IF(AND(C5990&lt;&gt;"", J5990&lt;&gt;""), HYPERLINK("#'" &amp; C5990 &amp; "'!" &amp; J5990, J5990), "")</f>
        <v>0</v>
      </c>
    </row>
    <row r="5991" spans="2:2">
      <c r="B5991" s="21">
        <f>IF(AND(C5991&lt;&gt;"", J5991&lt;&gt;""), HYPERLINK("#'" &amp; C5991 &amp; "'!" &amp; J5991, J5991), "")</f>
        <v>0</v>
      </c>
    </row>
    <row r="5992" spans="2:2">
      <c r="B5992" s="21">
        <f>IF(AND(C5992&lt;&gt;"", J5992&lt;&gt;""), HYPERLINK("#'" &amp; C5992 &amp; "'!" &amp; J5992, J5992), "")</f>
        <v>0</v>
      </c>
    </row>
    <row r="5993" spans="2:2">
      <c r="B5993" s="21">
        <f>IF(AND(C5993&lt;&gt;"", J5993&lt;&gt;""), HYPERLINK("#'" &amp; C5993 &amp; "'!" &amp; J5993, J5993), "")</f>
        <v>0</v>
      </c>
    </row>
    <row r="5994" spans="2:2">
      <c r="B5994" s="21">
        <f>IF(AND(C5994&lt;&gt;"", J5994&lt;&gt;""), HYPERLINK("#'" &amp; C5994 &amp; "'!" &amp; J5994, J5994), "")</f>
        <v>0</v>
      </c>
    </row>
    <row r="5995" spans="2:2">
      <c r="B5995" s="21">
        <f>IF(AND(C5995&lt;&gt;"", J5995&lt;&gt;""), HYPERLINK("#'" &amp; C5995 &amp; "'!" &amp; J5995, J5995), "")</f>
        <v>0</v>
      </c>
    </row>
    <row r="5996" spans="2:2">
      <c r="B5996" s="21">
        <f>IF(AND(C5996&lt;&gt;"", J5996&lt;&gt;""), HYPERLINK("#'" &amp; C5996 &amp; "'!" &amp; J5996, J5996), "")</f>
        <v>0</v>
      </c>
    </row>
    <row r="5997" spans="2:2">
      <c r="B5997" s="21">
        <f>IF(AND(C5997&lt;&gt;"", J5997&lt;&gt;""), HYPERLINK("#'" &amp; C5997 &amp; "'!" &amp; J5997, J5997), "")</f>
        <v>0</v>
      </c>
    </row>
    <row r="5998" spans="2:2">
      <c r="B5998" s="21">
        <f>IF(AND(C5998&lt;&gt;"", J5998&lt;&gt;""), HYPERLINK("#'" &amp; C5998 &amp; "'!" &amp; J5998, J5998), "")</f>
        <v>0</v>
      </c>
    </row>
    <row r="5999" spans="2:2">
      <c r="B5999" s="21">
        <f>IF(AND(C5999&lt;&gt;"", J5999&lt;&gt;""), HYPERLINK("#'" &amp; C5999 &amp; "'!" &amp; J5999, J5999), "")</f>
        <v>0</v>
      </c>
    </row>
    <row r="6000" spans="2:2">
      <c r="B6000" s="21">
        <f>IF(AND(C6000&lt;&gt;"", J6000&lt;&gt;""), HYPERLINK("#'" &amp; C6000 &amp; "'!" &amp; J6000, J6000), "")</f>
        <v>0</v>
      </c>
    </row>
    <row r="6001" spans="2:2">
      <c r="B6001" s="21">
        <f>IF(AND(C6001&lt;&gt;"", J6001&lt;&gt;""), HYPERLINK("#'" &amp; C6001 &amp; "'!" &amp; J6001, J6001), "")</f>
        <v>0</v>
      </c>
    </row>
    <row r="6002" spans="2:2">
      <c r="B6002" s="21">
        <f>IF(AND(C6002&lt;&gt;"", J6002&lt;&gt;""), HYPERLINK("#'" &amp; C6002 &amp; "'!" &amp; J6002, J6002), "")</f>
        <v>0</v>
      </c>
    </row>
  </sheetData>
  <sheetProtection password="F6B0" sheet="1" objects="1" scenarios="1" formatColumns="0" formatRows="0" sort="0" autoFilter="0"/>
  <autoFilter ref="A2:H2"/>
  <mergeCells count="1">
    <mergeCell ref="A1:H1"/>
  </mergeCells>
  <conditionalFormatting sqref="A3:A65001">
    <cfRule type="cellIs" dxfId="9" priority="1" operator="equal">
      <formula>"Error"</formula>
    </cfRule>
    <cfRule type="cellIs" dxfId="10" priority="2" operator="equal">
      <formula>"Warning"</formula>
    </cfRule>
    <cfRule type="cellIs" dxfId="11" priority="3" operator="equal">
      <formula>"Required"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M908"/>
  <sheetViews>
    <sheetView workbookViewId="0"/>
  </sheetViews>
  <sheetFormatPr defaultRowHeight="15"/>
  <sheetData>
    <row r="1" spans="1:39">
      <c r="A1" t="s">
        <v>80</v>
      </c>
      <c r="C1">
        <f>_xlfn.INFO("release")</f>
        <v>0</v>
      </c>
    </row>
    <row r="2" spans="1:39">
      <c r="C2">
        <f>_xlfn.INFO("system")</f>
        <v>0</v>
      </c>
    </row>
    <row r="3" spans="1:39">
      <c r="C3" cm="1">
        <f t="array" ref="C3">IF(ISERROR(_xlfn.MAP(A8:A8,_xlfn.LAMBDA(_xlpm.class,_xlpm.class&lt;&gt;""))), "Not Available", "Supported")</f>
        <v>0</v>
      </c>
    </row>
    <row r="8" spans="1:39">
      <c r="A8" t="s">
        <v>81</v>
      </c>
      <c r="B8" t="s">
        <v>924</v>
      </c>
      <c r="C8" t="s">
        <v>932</v>
      </c>
      <c r="D8" t="s">
        <v>938</v>
      </c>
      <c r="E8" t="s">
        <v>941</v>
      </c>
      <c r="F8" t="s">
        <v>1188</v>
      </c>
      <c r="G8" t="s">
        <v>1190</v>
      </c>
      <c r="H8" t="s">
        <v>1188</v>
      </c>
      <c r="I8" t="s">
        <v>1189</v>
      </c>
      <c r="J8" t="s">
        <v>1188</v>
      </c>
      <c r="K8" t="s">
        <v>1188</v>
      </c>
      <c r="L8" t="s">
        <v>1188</v>
      </c>
      <c r="M8" t="s">
        <v>1214</v>
      </c>
      <c r="N8" t="s">
        <v>1215</v>
      </c>
      <c r="O8" t="s">
        <v>1188</v>
      </c>
      <c r="P8" t="s">
        <v>1219</v>
      </c>
      <c r="Q8" t="s">
        <v>2120</v>
      </c>
      <c r="R8" t="s">
        <v>2122</v>
      </c>
      <c r="S8" t="s">
        <v>2140</v>
      </c>
      <c r="T8" t="s">
        <v>2140</v>
      </c>
      <c r="U8" t="s">
        <v>1188</v>
      </c>
      <c r="V8" t="s">
        <v>1188</v>
      </c>
      <c r="W8" t="s">
        <v>2157</v>
      </c>
      <c r="X8" t="s">
        <v>2160</v>
      </c>
      <c r="Y8" t="s">
        <v>2163</v>
      </c>
      <c r="Z8" t="s">
        <v>2176</v>
      </c>
      <c r="AA8" t="s">
        <v>1188</v>
      </c>
      <c r="AB8" t="s">
        <v>941</v>
      </c>
      <c r="AC8" t="s">
        <v>2185</v>
      </c>
      <c r="AD8" t="s">
        <v>1188</v>
      </c>
      <c r="AE8" t="s">
        <v>2210</v>
      </c>
      <c r="AF8" t="s">
        <v>1190</v>
      </c>
      <c r="AG8" t="s">
        <v>1188</v>
      </c>
      <c r="AH8" t="s">
        <v>1189</v>
      </c>
      <c r="AI8" t="s">
        <v>1188</v>
      </c>
      <c r="AJ8" t="s">
        <v>1188</v>
      </c>
      <c r="AK8" t="s">
        <v>2215</v>
      </c>
      <c r="AL8" t="s">
        <v>1188</v>
      </c>
      <c r="AM8" t="s">
        <v>2160</v>
      </c>
    </row>
    <row r="9" spans="1:39">
      <c r="A9" t="s">
        <v>82</v>
      </c>
      <c r="B9" t="s">
        <v>925</v>
      </c>
      <c r="C9" t="s">
        <v>933</v>
      </c>
      <c r="D9" t="s">
        <v>939</v>
      </c>
      <c r="E9" t="s">
        <v>942</v>
      </c>
      <c r="F9" t="s">
        <v>1189</v>
      </c>
      <c r="G9" t="s">
        <v>1191</v>
      </c>
      <c r="H9" t="s">
        <v>1189</v>
      </c>
      <c r="I9" t="s">
        <v>1188</v>
      </c>
      <c r="J9" t="s">
        <v>1189</v>
      </c>
      <c r="K9" t="s">
        <v>1189</v>
      </c>
      <c r="L9" t="s">
        <v>1189</v>
      </c>
      <c r="N9" t="s">
        <v>1216</v>
      </c>
      <c r="O9" t="s">
        <v>1189</v>
      </c>
      <c r="P9" t="s">
        <v>1220</v>
      </c>
      <c r="Q9" t="s">
        <v>2121</v>
      </c>
      <c r="R9" t="s">
        <v>2123</v>
      </c>
      <c r="S9" t="s">
        <v>2141</v>
      </c>
      <c r="T9" t="s">
        <v>2141</v>
      </c>
      <c r="U9" t="s">
        <v>1189</v>
      </c>
      <c r="V9" t="s">
        <v>1189</v>
      </c>
      <c r="W9" t="s">
        <v>2158</v>
      </c>
      <c r="X9" t="s">
        <v>2161</v>
      </c>
      <c r="Y9" t="s">
        <v>2164</v>
      </c>
      <c r="Z9" t="s">
        <v>2177</v>
      </c>
      <c r="AA9" t="s">
        <v>1189</v>
      </c>
      <c r="AB9" t="s">
        <v>942</v>
      </c>
      <c r="AC9" t="s">
        <v>2186</v>
      </c>
      <c r="AD9" t="s">
        <v>1189</v>
      </c>
      <c r="AE9" t="s">
        <v>2211</v>
      </c>
      <c r="AF9" t="s">
        <v>1191</v>
      </c>
      <c r="AG9" t="s">
        <v>1189</v>
      </c>
      <c r="AH9" t="s">
        <v>1188</v>
      </c>
      <c r="AI9" t="s">
        <v>1189</v>
      </c>
      <c r="AJ9" t="s">
        <v>1189</v>
      </c>
      <c r="AK9" t="s">
        <v>2216</v>
      </c>
      <c r="AL9" t="s">
        <v>1189</v>
      </c>
      <c r="AM9" t="s">
        <v>2161</v>
      </c>
    </row>
    <row r="10" spans="1:39">
      <c r="A10" t="s">
        <v>83</v>
      </c>
      <c r="B10" t="s">
        <v>926</v>
      </c>
      <c r="C10" t="s">
        <v>934</v>
      </c>
      <c r="D10" t="s">
        <v>940</v>
      </c>
      <c r="E10" t="s">
        <v>943</v>
      </c>
      <c r="F10" t="s">
        <v>936</v>
      </c>
      <c r="G10" t="s">
        <v>1192</v>
      </c>
      <c r="H10" t="s">
        <v>937</v>
      </c>
      <c r="L10" t="s">
        <v>937</v>
      </c>
      <c r="N10" t="s">
        <v>1217</v>
      </c>
      <c r="P10" t="s">
        <v>1221</v>
      </c>
      <c r="R10" t="s">
        <v>2124</v>
      </c>
      <c r="S10" t="s">
        <v>2142</v>
      </c>
      <c r="T10" t="s">
        <v>2142</v>
      </c>
      <c r="W10" t="s">
        <v>2159</v>
      </c>
      <c r="X10" t="s">
        <v>2162</v>
      </c>
      <c r="Y10" t="s">
        <v>2165</v>
      </c>
      <c r="Z10" t="s">
        <v>2178</v>
      </c>
      <c r="AA10" t="s">
        <v>936</v>
      </c>
      <c r="AB10" t="s">
        <v>943</v>
      </c>
      <c r="AC10" t="s">
        <v>523</v>
      </c>
      <c r="AD10" t="s">
        <v>936</v>
      </c>
      <c r="AE10" t="s">
        <v>2212</v>
      </c>
      <c r="AF10" t="s">
        <v>1192</v>
      </c>
      <c r="AG10" t="s">
        <v>937</v>
      </c>
      <c r="AK10" t="s">
        <v>937</v>
      </c>
      <c r="AL10" t="s">
        <v>937</v>
      </c>
    </row>
    <row r="11" spans="1:39">
      <c r="A11" t="s">
        <v>84</v>
      </c>
      <c r="B11" t="s">
        <v>927</v>
      </c>
      <c r="C11" t="s">
        <v>935</v>
      </c>
      <c r="D11" t="s">
        <v>936</v>
      </c>
      <c r="E11" t="s">
        <v>944</v>
      </c>
      <c r="F11" t="s">
        <v>937</v>
      </c>
      <c r="G11" t="s">
        <v>1193</v>
      </c>
      <c r="N11" t="s">
        <v>1218</v>
      </c>
      <c r="P11" t="s">
        <v>1222</v>
      </c>
      <c r="R11" t="s">
        <v>2125</v>
      </c>
      <c r="S11" t="s">
        <v>2143</v>
      </c>
      <c r="T11" t="s">
        <v>2143</v>
      </c>
      <c r="Y11" t="s">
        <v>2166</v>
      </c>
      <c r="Z11" t="s">
        <v>2179</v>
      </c>
      <c r="AA11" t="s">
        <v>937</v>
      </c>
      <c r="AB11" t="s">
        <v>944</v>
      </c>
      <c r="AC11" t="s">
        <v>2187</v>
      </c>
      <c r="AD11" t="s">
        <v>937</v>
      </c>
      <c r="AE11" t="s">
        <v>2213</v>
      </c>
      <c r="AF11" t="s">
        <v>1193</v>
      </c>
    </row>
    <row r="12" spans="1:39">
      <c r="A12" t="s">
        <v>85</v>
      </c>
      <c r="B12" t="s">
        <v>928</v>
      </c>
      <c r="C12" t="s">
        <v>936</v>
      </c>
      <c r="D12" t="s">
        <v>937</v>
      </c>
      <c r="E12" t="s">
        <v>945</v>
      </c>
      <c r="G12" t="s">
        <v>1194</v>
      </c>
      <c r="P12" t="s">
        <v>1223</v>
      </c>
      <c r="R12" t="s">
        <v>2126</v>
      </c>
      <c r="S12" t="s">
        <v>2144</v>
      </c>
      <c r="T12" t="s">
        <v>2144</v>
      </c>
      <c r="Y12" t="s">
        <v>2167</v>
      </c>
      <c r="Z12" t="s">
        <v>2180</v>
      </c>
      <c r="AB12" t="s">
        <v>945</v>
      </c>
      <c r="AC12" t="s">
        <v>2188</v>
      </c>
      <c r="AE12" t="s">
        <v>2214</v>
      </c>
      <c r="AF12" t="s">
        <v>1194</v>
      </c>
    </row>
    <row r="13" spans="1:39">
      <c r="A13" t="s">
        <v>86</v>
      </c>
      <c r="B13" t="s">
        <v>929</v>
      </c>
      <c r="C13" t="s">
        <v>937</v>
      </c>
      <c r="E13" t="s">
        <v>946</v>
      </c>
      <c r="G13" t="s">
        <v>1195</v>
      </c>
      <c r="P13" t="s">
        <v>1224</v>
      </c>
      <c r="R13" t="s">
        <v>2127</v>
      </c>
      <c r="S13" t="s">
        <v>2145</v>
      </c>
      <c r="T13" t="s">
        <v>2145</v>
      </c>
      <c r="Y13" t="s">
        <v>2168</v>
      </c>
      <c r="Z13" t="s">
        <v>2181</v>
      </c>
      <c r="AB13" t="s">
        <v>946</v>
      </c>
      <c r="AC13" t="s">
        <v>2189</v>
      </c>
      <c r="AE13" t="s">
        <v>936</v>
      </c>
      <c r="AF13" t="s">
        <v>1195</v>
      </c>
    </row>
    <row r="14" spans="1:39">
      <c r="A14" t="s">
        <v>87</v>
      </c>
      <c r="B14" t="s">
        <v>930</v>
      </c>
      <c r="E14" t="s">
        <v>947</v>
      </c>
      <c r="G14" t="s">
        <v>1196</v>
      </c>
      <c r="P14" t="s">
        <v>1225</v>
      </c>
      <c r="R14" t="s">
        <v>2128</v>
      </c>
      <c r="S14" t="s">
        <v>2146</v>
      </c>
      <c r="Y14" t="s">
        <v>2169</v>
      </c>
      <c r="Z14" t="s">
        <v>2182</v>
      </c>
      <c r="AB14" t="s">
        <v>947</v>
      </c>
      <c r="AC14" t="s">
        <v>2190</v>
      </c>
      <c r="AE14" t="s">
        <v>937</v>
      </c>
      <c r="AF14" t="s">
        <v>1196</v>
      </c>
    </row>
    <row r="15" spans="1:39">
      <c r="A15" t="s">
        <v>88</v>
      </c>
      <c r="B15" t="s">
        <v>931</v>
      </c>
      <c r="E15" t="s">
        <v>948</v>
      </c>
      <c r="G15" t="s">
        <v>1197</v>
      </c>
      <c r="P15" t="s">
        <v>1226</v>
      </c>
      <c r="R15" t="s">
        <v>2129</v>
      </c>
      <c r="S15" t="s">
        <v>2147</v>
      </c>
      <c r="Y15" t="s">
        <v>2170</v>
      </c>
      <c r="Z15" t="s">
        <v>2183</v>
      </c>
      <c r="AB15" t="s">
        <v>948</v>
      </c>
      <c r="AC15" t="s">
        <v>2191</v>
      </c>
      <c r="AF15" t="s">
        <v>1197</v>
      </c>
    </row>
    <row r="16" spans="1:39">
      <c r="A16" t="s">
        <v>89</v>
      </c>
      <c r="E16" t="s">
        <v>949</v>
      </c>
      <c r="G16" t="s">
        <v>1198</v>
      </c>
      <c r="P16" t="s">
        <v>1227</v>
      </c>
      <c r="R16" t="s">
        <v>2130</v>
      </c>
      <c r="S16" t="s">
        <v>2148</v>
      </c>
      <c r="Y16" t="s">
        <v>2171</v>
      </c>
      <c r="Z16" t="s">
        <v>2184</v>
      </c>
      <c r="AB16" t="s">
        <v>949</v>
      </c>
      <c r="AC16" t="s">
        <v>2192</v>
      </c>
      <c r="AF16" t="s">
        <v>1198</v>
      </c>
    </row>
    <row r="17" spans="1:32">
      <c r="A17" t="s">
        <v>90</v>
      </c>
      <c r="E17" t="s">
        <v>950</v>
      </c>
      <c r="G17" t="s">
        <v>1199</v>
      </c>
      <c r="P17" t="s">
        <v>1228</v>
      </c>
      <c r="R17" t="s">
        <v>2131</v>
      </c>
      <c r="S17" t="s">
        <v>2149</v>
      </c>
      <c r="Y17" t="s">
        <v>2172</v>
      </c>
      <c r="Z17" t="s">
        <v>936</v>
      </c>
      <c r="AB17" t="s">
        <v>950</v>
      </c>
      <c r="AC17" t="s">
        <v>2193</v>
      </c>
      <c r="AF17" t="s">
        <v>1199</v>
      </c>
    </row>
    <row r="18" spans="1:32">
      <c r="A18" t="s">
        <v>91</v>
      </c>
      <c r="E18" t="s">
        <v>951</v>
      </c>
      <c r="G18" t="s">
        <v>1200</v>
      </c>
      <c r="P18" t="s">
        <v>1229</v>
      </c>
      <c r="R18" t="s">
        <v>2132</v>
      </c>
      <c r="S18" t="s">
        <v>2150</v>
      </c>
      <c r="Y18" t="s">
        <v>2173</v>
      </c>
      <c r="AB18" t="s">
        <v>951</v>
      </c>
      <c r="AC18" t="s">
        <v>2194</v>
      </c>
      <c r="AF18" t="s">
        <v>1200</v>
      </c>
    </row>
    <row r="19" spans="1:32">
      <c r="A19" t="s">
        <v>92</v>
      </c>
      <c r="E19" t="s">
        <v>952</v>
      </c>
      <c r="G19" t="s">
        <v>1201</v>
      </c>
      <c r="P19" t="s">
        <v>1230</v>
      </c>
      <c r="R19" t="s">
        <v>2133</v>
      </c>
      <c r="S19" t="s">
        <v>2151</v>
      </c>
      <c r="Y19" t="s">
        <v>2174</v>
      </c>
      <c r="AB19" t="s">
        <v>952</v>
      </c>
      <c r="AC19" t="s">
        <v>2195</v>
      </c>
      <c r="AF19" t="s">
        <v>1201</v>
      </c>
    </row>
    <row r="20" spans="1:32">
      <c r="A20" t="s">
        <v>93</v>
      </c>
      <c r="E20" t="s">
        <v>953</v>
      </c>
      <c r="G20" t="s">
        <v>1202</v>
      </c>
      <c r="P20" t="s">
        <v>1231</v>
      </c>
      <c r="R20" t="s">
        <v>2134</v>
      </c>
      <c r="S20" t="s">
        <v>2152</v>
      </c>
      <c r="Y20" t="s">
        <v>2175</v>
      </c>
      <c r="AB20" t="s">
        <v>953</v>
      </c>
      <c r="AC20" t="s">
        <v>2196</v>
      </c>
      <c r="AF20" t="s">
        <v>1202</v>
      </c>
    </row>
    <row r="21" spans="1:32">
      <c r="A21" t="s">
        <v>94</v>
      </c>
      <c r="E21" t="s">
        <v>954</v>
      </c>
      <c r="G21" t="s">
        <v>1203</v>
      </c>
      <c r="P21" t="s">
        <v>1232</v>
      </c>
      <c r="R21" t="s">
        <v>2135</v>
      </c>
      <c r="S21" t="s">
        <v>2153</v>
      </c>
      <c r="AB21" t="s">
        <v>954</v>
      </c>
      <c r="AC21" t="s">
        <v>2197</v>
      </c>
      <c r="AF21" t="s">
        <v>1203</v>
      </c>
    </row>
    <row r="22" spans="1:32">
      <c r="A22" t="s">
        <v>95</v>
      </c>
      <c r="E22" t="s">
        <v>955</v>
      </c>
      <c r="G22" t="s">
        <v>1204</v>
      </c>
      <c r="P22" t="s">
        <v>1233</v>
      </c>
      <c r="R22" t="s">
        <v>2136</v>
      </c>
      <c r="S22" t="s">
        <v>2154</v>
      </c>
      <c r="AB22" t="s">
        <v>955</v>
      </c>
      <c r="AC22" t="s">
        <v>2198</v>
      </c>
      <c r="AF22" t="s">
        <v>1204</v>
      </c>
    </row>
    <row r="23" spans="1:32">
      <c r="A23" t="s">
        <v>96</v>
      </c>
      <c r="E23" t="s">
        <v>956</v>
      </c>
      <c r="G23" t="s">
        <v>1205</v>
      </c>
      <c r="P23" t="s">
        <v>1234</v>
      </c>
      <c r="R23" t="s">
        <v>2137</v>
      </c>
      <c r="S23" t="s">
        <v>2155</v>
      </c>
      <c r="AB23" t="s">
        <v>956</v>
      </c>
      <c r="AC23" t="s">
        <v>2199</v>
      </c>
      <c r="AF23" t="s">
        <v>1205</v>
      </c>
    </row>
    <row r="24" spans="1:32">
      <c r="A24" t="s">
        <v>97</v>
      </c>
      <c r="E24" t="s">
        <v>957</v>
      </c>
      <c r="G24" t="s">
        <v>1206</v>
      </c>
      <c r="P24" t="s">
        <v>1235</v>
      </c>
      <c r="R24" t="s">
        <v>2138</v>
      </c>
      <c r="S24" t="s">
        <v>2156</v>
      </c>
      <c r="AB24" t="s">
        <v>957</v>
      </c>
      <c r="AC24" t="s">
        <v>2200</v>
      </c>
      <c r="AF24" t="s">
        <v>1206</v>
      </c>
    </row>
    <row r="25" spans="1:32">
      <c r="A25" t="s">
        <v>98</v>
      </c>
      <c r="E25" t="s">
        <v>958</v>
      </c>
      <c r="G25" t="s">
        <v>1207</v>
      </c>
      <c r="P25" t="s">
        <v>1236</v>
      </c>
      <c r="R25" t="s">
        <v>2139</v>
      </c>
      <c r="AB25" t="s">
        <v>958</v>
      </c>
      <c r="AC25" t="s">
        <v>2201</v>
      </c>
      <c r="AF25" t="s">
        <v>1207</v>
      </c>
    </row>
    <row r="26" spans="1:32">
      <c r="A26" t="s">
        <v>99</v>
      </c>
      <c r="E26" t="s">
        <v>959</v>
      </c>
      <c r="G26" t="s">
        <v>1208</v>
      </c>
      <c r="P26" t="s">
        <v>1237</v>
      </c>
      <c r="AB26" t="s">
        <v>959</v>
      </c>
      <c r="AC26" t="s">
        <v>2202</v>
      </c>
      <c r="AF26" t="s">
        <v>1208</v>
      </c>
    </row>
    <row r="27" spans="1:32">
      <c r="A27" t="s">
        <v>100</v>
      </c>
      <c r="E27" t="s">
        <v>960</v>
      </c>
      <c r="G27" t="s">
        <v>1209</v>
      </c>
      <c r="P27" t="s">
        <v>1238</v>
      </c>
      <c r="AB27" t="s">
        <v>960</v>
      </c>
      <c r="AC27" t="s">
        <v>2203</v>
      </c>
      <c r="AF27" t="s">
        <v>1209</v>
      </c>
    </row>
    <row r="28" spans="1:32">
      <c r="A28" t="s">
        <v>101</v>
      </c>
      <c r="E28" t="s">
        <v>961</v>
      </c>
      <c r="G28" t="s">
        <v>1210</v>
      </c>
      <c r="P28" t="s">
        <v>1239</v>
      </c>
      <c r="AB28" t="s">
        <v>961</v>
      </c>
      <c r="AC28" t="s">
        <v>2204</v>
      </c>
      <c r="AF28" t="s">
        <v>1210</v>
      </c>
    </row>
    <row r="29" spans="1:32">
      <c r="A29" t="s">
        <v>102</v>
      </c>
      <c r="E29" t="s">
        <v>962</v>
      </c>
      <c r="G29" t="s">
        <v>1211</v>
      </c>
      <c r="P29" t="s">
        <v>1240</v>
      </c>
      <c r="AB29" t="s">
        <v>962</v>
      </c>
      <c r="AC29" t="s">
        <v>2205</v>
      </c>
      <c r="AF29" t="s">
        <v>1211</v>
      </c>
    </row>
    <row r="30" spans="1:32">
      <c r="A30" t="s">
        <v>103</v>
      </c>
      <c r="E30" t="s">
        <v>963</v>
      </c>
      <c r="G30" t="s">
        <v>1212</v>
      </c>
      <c r="P30" t="s">
        <v>1241</v>
      </c>
      <c r="AB30" t="s">
        <v>963</v>
      </c>
      <c r="AC30" t="s">
        <v>2206</v>
      </c>
      <c r="AF30" t="s">
        <v>1212</v>
      </c>
    </row>
    <row r="31" spans="1:32">
      <c r="A31" t="s">
        <v>104</v>
      </c>
      <c r="E31" t="s">
        <v>964</v>
      </c>
      <c r="G31" t="s">
        <v>1213</v>
      </c>
      <c r="P31" t="s">
        <v>1242</v>
      </c>
      <c r="AB31" t="s">
        <v>964</v>
      </c>
      <c r="AC31" t="s">
        <v>2207</v>
      </c>
      <c r="AF31" t="s">
        <v>1213</v>
      </c>
    </row>
    <row r="32" spans="1:32">
      <c r="A32" t="s">
        <v>105</v>
      </c>
      <c r="E32" t="s">
        <v>965</v>
      </c>
      <c r="G32" t="s">
        <v>937</v>
      </c>
      <c r="P32" t="s">
        <v>1243</v>
      </c>
      <c r="AB32" t="s">
        <v>965</v>
      </c>
      <c r="AC32" t="s">
        <v>2208</v>
      </c>
      <c r="AF32" t="s">
        <v>937</v>
      </c>
    </row>
    <row r="33" spans="1:29">
      <c r="A33" t="s">
        <v>106</v>
      </c>
      <c r="E33" t="s">
        <v>966</v>
      </c>
      <c r="P33" t="s">
        <v>1244</v>
      </c>
      <c r="AB33" t="s">
        <v>966</v>
      </c>
      <c r="AC33" t="s">
        <v>2209</v>
      </c>
    </row>
    <row r="34" spans="1:29">
      <c r="A34" t="s">
        <v>107</v>
      </c>
      <c r="E34" t="s">
        <v>967</v>
      </c>
      <c r="P34" t="s">
        <v>1245</v>
      </c>
      <c r="AB34" t="s">
        <v>967</v>
      </c>
    </row>
    <row r="35" spans="1:29">
      <c r="A35" t="s">
        <v>108</v>
      </c>
      <c r="E35" t="s">
        <v>968</v>
      </c>
      <c r="P35" t="s">
        <v>1246</v>
      </c>
      <c r="AB35" t="s">
        <v>968</v>
      </c>
    </row>
    <row r="36" spans="1:29">
      <c r="A36" t="s">
        <v>109</v>
      </c>
      <c r="E36" t="s">
        <v>969</v>
      </c>
      <c r="P36" t="s">
        <v>1247</v>
      </c>
      <c r="AB36" t="s">
        <v>969</v>
      </c>
    </row>
    <row r="37" spans="1:29">
      <c r="A37" t="s">
        <v>110</v>
      </c>
      <c r="E37" t="s">
        <v>970</v>
      </c>
      <c r="P37" t="s">
        <v>1248</v>
      </c>
      <c r="AB37" t="s">
        <v>970</v>
      </c>
    </row>
    <row r="38" spans="1:29">
      <c r="A38" t="s">
        <v>111</v>
      </c>
      <c r="E38" t="s">
        <v>971</v>
      </c>
      <c r="P38" t="s">
        <v>1249</v>
      </c>
      <c r="AB38" t="s">
        <v>971</v>
      </c>
    </row>
    <row r="39" spans="1:29">
      <c r="A39" t="s">
        <v>112</v>
      </c>
      <c r="E39" t="s">
        <v>972</v>
      </c>
      <c r="P39" t="s">
        <v>1250</v>
      </c>
      <c r="AB39" t="s">
        <v>972</v>
      </c>
    </row>
    <row r="40" spans="1:29">
      <c r="A40" t="s">
        <v>113</v>
      </c>
      <c r="E40" t="s">
        <v>973</v>
      </c>
      <c r="P40" t="s">
        <v>1251</v>
      </c>
      <c r="AB40" t="s">
        <v>973</v>
      </c>
    </row>
    <row r="41" spans="1:29">
      <c r="A41" t="s">
        <v>114</v>
      </c>
      <c r="E41" t="s">
        <v>974</v>
      </c>
      <c r="P41" t="s">
        <v>1252</v>
      </c>
      <c r="AB41" t="s">
        <v>974</v>
      </c>
    </row>
    <row r="42" spans="1:29">
      <c r="A42" t="s">
        <v>115</v>
      </c>
      <c r="E42" t="s">
        <v>975</v>
      </c>
      <c r="P42" t="s">
        <v>1253</v>
      </c>
      <c r="AB42" t="s">
        <v>975</v>
      </c>
    </row>
    <row r="43" spans="1:29">
      <c r="A43" t="s">
        <v>116</v>
      </c>
      <c r="E43" t="s">
        <v>976</v>
      </c>
      <c r="P43" t="s">
        <v>1254</v>
      </c>
      <c r="AB43" t="s">
        <v>976</v>
      </c>
    </row>
    <row r="44" spans="1:29">
      <c r="A44" t="s">
        <v>117</v>
      </c>
      <c r="E44" t="s">
        <v>977</v>
      </c>
      <c r="P44" t="s">
        <v>1255</v>
      </c>
      <c r="AB44" t="s">
        <v>977</v>
      </c>
    </row>
    <row r="45" spans="1:29">
      <c r="A45" t="s">
        <v>118</v>
      </c>
      <c r="E45" t="s">
        <v>978</v>
      </c>
      <c r="P45" t="s">
        <v>1256</v>
      </c>
      <c r="AB45" t="s">
        <v>978</v>
      </c>
    </row>
    <row r="46" spans="1:29">
      <c r="A46" t="s">
        <v>119</v>
      </c>
      <c r="E46" t="s">
        <v>979</v>
      </c>
      <c r="P46" t="s">
        <v>1257</v>
      </c>
      <c r="AB46" t="s">
        <v>979</v>
      </c>
    </row>
    <row r="47" spans="1:29">
      <c r="A47" t="s">
        <v>120</v>
      </c>
      <c r="E47" t="s">
        <v>980</v>
      </c>
      <c r="P47" t="s">
        <v>1258</v>
      </c>
      <c r="AB47" t="s">
        <v>980</v>
      </c>
    </row>
    <row r="48" spans="1:29">
      <c r="A48" t="s">
        <v>121</v>
      </c>
      <c r="E48" t="s">
        <v>981</v>
      </c>
      <c r="P48" t="s">
        <v>1259</v>
      </c>
      <c r="AB48" t="s">
        <v>981</v>
      </c>
    </row>
    <row r="49" spans="1:28">
      <c r="A49" t="s">
        <v>122</v>
      </c>
      <c r="E49" t="s">
        <v>982</v>
      </c>
      <c r="P49" t="s">
        <v>1260</v>
      </c>
      <c r="AB49" t="s">
        <v>982</v>
      </c>
    </row>
    <row r="50" spans="1:28">
      <c r="A50" t="s">
        <v>123</v>
      </c>
      <c r="E50" t="s">
        <v>983</v>
      </c>
      <c r="P50" t="s">
        <v>1261</v>
      </c>
      <c r="AB50" t="s">
        <v>983</v>
      </c>
    </row>
    <row r="51" spans="1:28">
      <c r="A51" t="s">
        <v>124</v>
      </c>
      <c r="E51" t="s">
        <v>984</v>
      </c>
      <c r="P51" t="s">
        <v>1262</v>
      </c>
      <c r="AB51" t="s">
        <v>984</v>
      </c>
    </row>
    <row r="52" spans="1:28">
      <c r="A52" t="s">
        <v>125</v>
      </c>
      <c r="E52" t="s">
        <v>985</v>
      </c>
      <c r="P52" t="s">
        <v>1263</v>
      </c>
      <c r="AB52" t="s">
        <v>985</v>
      </c>
    </row>
    <row r="53" spans="1:28">
      <c r="A53" t="s">
        <v>126</v>
      </c>
      <c r="E53" t="s">
        <v>986</v>
      </c>
      <c r="P53" t="s">
        <v>1264</v>
      </c>
      <c r="AB53" t="s">
        <v>986</v>
      </c>
    </row>
    <row r="54" spans="1:28">
      <c r="A54" t="s">
        <v>127</v>
      </c>
      <c r="E54" t="s">
        <v>987</v>
      </c>
      <c r="P54" t="s">
        <v>1265</v>
      </c>
      <c r="AB54" t="s">
        <v>987</v>
      </c>
    </row>
    <row r="55" spans="1:28">
      <c r="A55" t="s">
        <v>128</v>
      </c>
      <c r="E55" t="s">
        <v>988</v>
      </c>
      <c r="P55" t="s">
        <v>1266</v>
      </c>
      <c r="AB55" t="s">
        <v>988</v>
      </c>
    </row>
    <row r="56" spans="1:28">
      <c r="A56" t="s">
        <v>129</v>
      </c>
      <c r="E56" t="s">
        <v>989</v>
      </c>
      <c r="P56" t="s">
        <v>1267</v>
      </c>
      <c r="AB56" t="s">
        <v>989</v>
      </c>
    </row>
    <row r="57" spans="1:28">
      <c r="A57" t="s">
        <v>130</v>
      </c>
      <c r="E57" t="s">
        <v>990</v>
      </c>
      <c r="P57" t="s">
        <v>1268</v>
      </c>
      <c r="AB57" t="s">
        <v>990</v>
      </c>
    </row>
    <row r="58" spans="1:28">
      <c r="A58" t="s">
        <v>131</v>
      </c>
      <c r="E58" t="s">
        <v>991</v>
      </c>
      <c r="P58" t="s">
        <v>1269</v>
      </c>
      <c r="AB58" t="s">
        <v>991</v>
      </c>
    </row>
    <row r="59" spans="1:28">
      <c r="A59" t="s">
        <v>132</v>
      </c>
      <c r="E59" t="s">
        <v>992</v>
      </c>
      <c r="P59" t="s">
        <v>1270</v>
      </c>
      <c r="AB59" t="s">
        <v>992</v>
      </c>
    </row>
    <row r="60" spans="1:28">
      <c r="A60" t="s">
        <v>133</v>
      </c>
      <c r="E60" t="s">
        <v>993</v>
      </c>
      <c r="P60" t="s">
        <v>1271</v>
      </c>
      <c r="AB60" t="s">
        <v>993</v>
      </c>
    </row>
    <row r="61" spans="1:28">
      <c r="A61" t="s">
        <v>134</v>
      </c>
      <c r="E61" t="s">
        <v>994</v>
      </c>
      <c r="P61" t="s">
        <v>1272</v>
      </c>
      <c r="AB61" t="s">
        <v>994</v>
      </c>
    </row>
    <row r="62" spans="1:28">
      <c r="A62" t="s">
        <v>135</v>
      </c>
      <c r="E62" t="s">
        <v>995</v>
      </c>
      <c r="P62" t="s">
        <v>1273</v>
      </c>
      <c r="AB62" t="s">
        <v>995</v>
      </c>
    </row>
    <row r="63" spans="1:28">
      <c r="A63" t="s">
        <v>136</v>
      </c>
      <c r="E63" t="s">
        <v>996</v>
      </c>
      <c r="P63" t="s">
        <v>1274</v>
      </c>
      <c r="AB63" t="s">
        <v>996</v>
      </c>
    </row>
    <row r="64" spans="1:28">
      <c r="A64" t="s">
        <v>137</v>
      </c>
      <c r="E64" t="s">
        <v>997</v>
      </c>
      <c r="P64" t="s">
        <v>1275</v>
      </c>
      <c r="AB64" t="s">
        <v>997</v>
      </c>
    </row>
    <row r="65" spans="1:28">
      <c r="A65" t="s">
        <v>138</v>
      </c>
      <c r="E65" t="s">
        <v>998</v>
      </c>
      <c r="P65" t="s">
        <v>1276</v>
      </c>
      <c r="AB65" t="s">
        <v>998</v>
      </c>
    </row>
    <row r="66" spans="1:28">
      <c r="A66" t="s">
        <v>139</v>
      </c>
      <c r="E66" t="s">
        <v>999</v>
      </c>
      <c r="P66" t="s">
        <v>1277</v>
      </c>
      <c r="AB66" t="s">
        <v>999</v>
      </c>
    </row>
    <row r="67" spans="1:28">
      <c r="A67" t="s">
        <v>140</v>
      </c>
      <c r="E67" t="s">
        <v>1000</v>
      </c>
      <c r="P67" t="s">
        <v>1278</v>
      </c>
      <c r="AB67" t="s">
        <v>1000</v>
      </c>
    </row>
    <row r="68" spans="1:28">
      <c r="A68" t="s">
        <v>141</v>
      </c>
      <c r="E68" t="s">
        <v>1001</v>
      </c>
      <c r="P68" t="s">
        <v>1279</v>
      </c>
      <c r="AB68" t="s">
        <v>1001</v>
      </c>
    </row>
    <row r="69" spans="1:28">
      <c r="A69" t="s">
        <v>142</v>
      </c>
      <c r="E69" t="s">
        <v>1002</v>
      </c>
      <c r="P69" t="s">
        <v>1280</v>
      </c>
      <c r="AB69" t="s">
        <v>1002</v>
      </c>
    </row>
    <row r="70" spans="1:28">
      <c r="A70" t="s">
        <v>143</v>
      </c>
      <c r="E70" t="s">
        <v>1003</v>
      </c>
      <c r="P70" t="s">
        <v>1281</v>
      </c>
      <c r="AB70" t="s">
        <v>1003</v>
      </c>
    </row>
    <row r="71" spans="1:28">
      <c r="A71" t="s">
        <v>144</v>
      </c>
      <c r="E71" t="s">
        <v>1004</v>
      </c>
      <c r="P71" t="s">
        <v>1282</v>
      </c>
      <c r="AB71" t="s">
        <v>1004</v>
      </c>
    </row>
    <row r="72" spans="1:28">
      <c r="A72" t="s">
        <v>145</v>
      </c>
      <c r="E72" t="s">
        <v>1005</v>
      </c>
      <c r="P72" t="s">
        <v>1283</v>
      </c>
      <c r="AB72" t="s">
        <v>1005</v>
      </c>
    </row>
    <row r="73" spans="1:28">
      <c r="A73" t="s">
        <v>146</v>
      </c>
      <c r="E73" t="s">
        <v>1006</v>
      </c>
      <c r="P73" t="s">
        <v>1284</v>
      </c>
      <c r="AB73" t="s">
        <v>1006</v>
      </c>
    </row>
    <row r="74" spans="1:28">
      <c r="A74" t="s">
        <v>147</v>
      </c>
      <c r="E74" t="s">
        <v>1007</v>
      </c>
      <c r="P74" t="s">
        <v>1285</v>
      </c>
      <c r="AB74" t="s">
        <v>1007</v>
      </c>
    </row>
    <row r="75" spans="1:28">
      <c r="A75" t="s">
        <v>148</v>
      </c>
      <c r="E75" t="s">
        <v>1008</v>
      </c>
      <c r="P75" t="s">
        <v>1286</v>
      </c>
      <c r="AB75" t="s">
        <v>1008</v>
      </c>
    </row>
    <row r="76" spans="1:28">
      <c r="A76" t="s">
        <v>149</v>
      </c>
      <c r="E76" t="s">
        <v>1009</v>
      </c>
      <c r="P76" t="s">
        <v>1287</v>
      </c>
      <c r="AB76" t="s">
        <v>1009</v>
      </c>
    </row>
    <row r="77" spans="1:28">
      <c r="A77" t="s">
        <v>150</v>
      </c>
      <c r="E77" t="s">
        <v>1010</v>
      </c>
      <c r="P77" t="s">
        <v>1288</v>
      </c>
      <c r="AB77" t="s">
        <v>1010</v>
      </c>
    </row>
    <row r="78" spans="1:28">
      <c r="A78" t="s">
        <v>151</v>
      </c>
      <c r="E78" t="s">
        <v>1011</v>
      </c>
      <c r="P78" t="s">
        <v>1289</v>
      </c>
      <c r="AB78" t="s">
        <v>1011</v>
      </c>
    </row>
    <row r="79" spans="1:28">
      <c r="A79" t="s">
        <v>152</v>
      </c>
      <c r="E79" t="s">
        <v>1012</v>
      </c>
      <c r="P79" t="s">
        <v>1290</v>
      </c>
      <c r="AB79" t="s">
        <v>1012</v>
      </c>
    </row>
    <row r="80" spans="1:28">
      <c r="A80" t="s">
        <v>153</v>
      </c>
      <c r="E80" t="s">
        <v>1013</v>
      </c>
      <c r="P80" t="s">
        <v>1291</v>
      </c>
      <c r="AB80" t="s">
        <v>1013</v>
      </c>
    </row>
    <row r="81" spans="1:28">
      <c r="A81" t="s">
        <v>154</v>
      </c>
      <c r="E81" t="s">
        <v>1014</v>
      </c>
      <c r="P81" t="s">
        <v>1292</v>
      </c>
      <c r="AB81" t="s">
        <v>1014</v>
      </c>
    </row>
    <row r="82" spans="1:28">
      <c r="A82" t="s">
        <v>155</v>
      </c>
      <c r="E82" t="s">
        <v>1015</v>
      </c>
      <c r="P82" t="s">
        <v>1293</v>
      </c>
      <c r="AB82" t="s">
        <v>1015</v>
      </c>
    </row>
    <row r="83" spans="1:28">
      <c r="A83" t="s">
        <v>156</v>
      </c>
      <c r="E83" t="s">
        <v>1016</v>
      </c>
      <c r="P83" t="s">
        <v>1294</v>
      </c>
      <c r="AB83" t="s">
        <v>1016</v>
      </c>
    </row>
    <row r="84" spans="1:28">
      <c r="A84" t="s">
        <v>157</v>
      </c>
      <c r="E84" t="s">
        <v>1017</v>
      </c>
      <c r="P84" t="s">
        <v>1295</v>
      </c>
      <c r="AB84" t="s">
        <v>1017</v>
      </c>
    </row>
    <row r="85" spans="1:28">
      <c r="A85" t="s">
        <v>158</v>
      </c>
      <c r="E85" t="s">
        <v>1018</v>
      </c>
      <c r="P85" t="s">
        <v>1296</v>
      </c>
      <c r="AB85" t="s">
        <v>1018</v>
      </c>
    </row>
    <row r="86" spans="1:28">
      <c r="A86" t="s">
        <v>159</v>
      </c>
      <c r="E86" t="s">
        <v>1019</v>
      </c>
      <c r="P86" t="s">
        <v>1297</v>
      </c>
      <c r="AB86" t="s">
        <v>1019</v>
      </c>
    </row>
    <row r="87" spans="1:28">
      <c r="A87" t="s">
        <v>160</v>
      </c>
      <c r="E87" t="s">
        <v>1020</v>
      </c>
      <c r="P87" t="s">
        <v>1298</v>
      </c>
      <c r="AB87" t="s">
        <v>1020</v>
      </c>
    </row>
    <row r="88" spans="1:28">
      <c r="A88" t="s">
        <v>161</v>
      </c>
      <c r="E88" t="s">
        <v>1021</v>
      </c>
      <c r="P88" t="s">
        <v>1299</v>
      </c>
      <c r="AB88" t="s">
        <v>1021</v>
      </c>
    </row>
    <row r="89" spans="1:28">
      <c r="A89" t="s">
        <v>162</v>
      </c>
      <c r="E89" t="s">
        <v>1022</v>
      </c>
      <c r="P89" t="s">
        <v>1300</v>
      </c>
      <c r="AB89" t="s">
        <v>1022</v>
      </c>
    </row>
    <row r="90" spans="1:28">
      <c r="A90" t="s">
        <v>163</v>
      </c>
      <c r="E90" t="s">
        <v>1023</v>
      </c>
      <c r="P90" t="s">
        <v>1301</v>
      </c>
      <c r="AB90" t="s">
        <v>1023</v>
      </c>
    </row>
    <row r="91" spans="1:28">
      <c r="A91" t="s">
        <v>164</v>
      </c>
      <c r="E91" t="s">
        <v>1024</v>
      </c>
      <c r="P91" t="s">
        <v>1302</v>
      </c>
      <c r="AB91" t="s">
        <v>1024</v>
      </c>
    </row>
    <row r="92" spans="1:28">
      <c r="A92" t="s">
        <v>165</v>
      </c>
      <c r="E92" t="s">
        <v>1025</v>
      </c>
      <c r="P92" t="s">
        <v>1303</v>
      </c>
      <c r="AB92" t="s">
        <v>1025</v>
      </c>
    </row>
    <row r="93" spans="1:28">
      <c r="A93" t="s">
        <v>166</v>
      </c>
      <c r="E93" t="s">
        <v>1026</v>
      </c>
      <c r="P93" t="s">
        <v>1304</v>
      </c>
      <c r="AB93" t="s">
        <v>1026</v>
      </c>
    </row>
    <row r="94" spans="1:28">
      <c r="A94" t="s">
        <v>167</v>
      </c>
      <c r="E94" t="s">
        <v>1027</v>
      </c>
      <c r="P94" t="s">
        <v>1305</v>
      </c>
      <c r="AB94" t="s">
        <v>1027</v>
      </c>
    </row>
    <row r="95" spans="1:28">
      <c r="A95" t="s">
        <v>168</v>
      </c>
      <c r="E95" t="s">
        <v>1028</v>
      </c>
      <c r="P95" t="s">
        <v>1306</v>
      </c>
      <c r="AB95" t="s">
        <v>1028</v>
      </c>
    </row>
    <row r="96" spans="1:28">
      <c r="A96" t="s">
        <v>169</v>
      </c>
      <c r="E96" t="s">
        <v>1029</v>
      </c>
      <c r="P96" t="s">
        <v>1307</v>
      </c>
      <c r="AB96" t="s">
        <v>1029</v>
      </c>
    </row>
    <row r="97" spans="1:28">
      <c r="A97" t="s">
        <v>170</v>
      </c>
      <c r="E97" t="s">
        <v>1030</v>
      </c>
      <c r="P97" t="s">
        <v>1308</v>
      </c>
      <c r="AB97" t="s">
        <v>1030</v>
      </c>
    </row>
    <row r="98" spans="1:28">
      <c r="A98" t="s">
        <v>171</v>
      </c>
      <c r="E98" t="s">
        <v>1031</v>
      </c>
      <c r="P98" t="s">
        <v>1309</v>
      </c>
      <c r="AB98" t="s">
        <v>1031</v>
      </c>
    </row>
    <row r="99" spans="1:28">
      <c r="A99" t="s">
        <v>172</v>
      </c>
      <c r="E99" t="s">
        <v>1032</v>
      </c>
      <c r="P99" t="s">
        <v>1310</v>
      </c>
      <c r="AB99" t="s">
        <v>1032</v>
      </c>
    </row>
    <row r="100" spans="1:28">
      <c r="A100" t="s">
        <v>173</v>
      </c>
      <c r="E100" t="s">
        <v>1033</v>
      </c>
      <c r="P100" t="s">
        <v>1311</v>
      </c>
      <c r="AB100" t="s">
        <v>1033</v>
      </c>
    </row>
    <row r="101" spans="1:28">
      <c r="A101" t="s">
        <v>174</v>
      </c>
      <c r="E101" t="s">
        <v>1034</v>
      </c>
      <c r="P101" t="s">
        <v>1312</v>
      </c>
      <c r="AB101" t="s">
        <v>1034</v>
      </c>
    </row>
    <row r="102" spans="1:28">
      <c r="A102" t="s">
        <v>175</v>
      </c>
      <c r="E102" t="s">
        <v>1035</v>
      </c>
      <c r="P102" t="s">
        <v>1313</v>
      </c>
      <c r="AB102" t="s">
        <v>1035</v>
      </c>
    </row>
    <row r="103" spans="1:28">
      <c r="A103" t="s">
        <v>176</v>
      </c>
      <c r="E103" t="s">
        <v>1036</v>
      </c>
      <c r="P103" t="s">
        <v>1314</v>
      </c>
      <c r="AB103" t="s">
        <v>1036</v>
      </c>
    </row>
    <row r="104" spans="1:28">
      <c r="A104" t="s">
        <v>177</v>
      </c>
      <c r="E104" t="s">
        <v>1037</v>
      </c>
      <c r="P104" t="s">
        <v>1315</v>
      </c>
      <c r="AB104" t="s">
        <v>1037</v>
      </c>
    </row>
    <row r="105" spans="1:28">
      <c r="A105" t="s">
        <v>178</v>
      </c>
      <c r="E105" t="s">
        <v>1038</v>
      </c>
      <c r="P105" t="s">
        <v>1316</v>
      </c>
      <c r="AB105" t="s">
        <v>1038</v>
      </c>
    </row>
    <row r="106" spans="1:28">
      <c r="A106" t="s">
        <v>179</v>
      </c>
      <c r="E106" t="s">
        <v>1039</v>
      </c>
      <c r="P106" t="s">
        <v>1317</v>
      </c>
      <c r="AB106" t="s">
        <v>1039</v>
      </c>
    </row>
    <row r="107" spans="1:28">
      <c r="A107" t="s">
        <v>180</v>
      </c>
      <c r="E107" t="s">
        <v>1040</v>
      </c>
      <c r="P107" t="s">
        <v>1318</v>
      </c>
      <c r="AB107" t="s">
        <v>1040</v>
      </c>
    </row>
    <row r="108" spans="1:28">
      <c r="A108" t="s">
        <v>181</v>
      </c>
      <c r="E108" t="s">
        <v>1041</v>
      </c>
      <c r="P108" t="s">
        <v>1319</v>
      </c>
      <c r="AB108" t="s">
        <v>1041</v>
      </c>
    </row>
    <row r="109" spans="1:28">
      <c r="A109" t="s">
        <v>182</v>
      </c>
      <c r="E109" t="s">
        <v>1042</v>
      </c>
      <c r="P109" t="s">
        <v>1320</v>
      </c>
      <c r="AB109" t="s">
        <v>1042</v>
      </c>
    </row>
    <row r="110" spans="1:28">
      <c r="A110" t="s">
        <v>183</v>
      </c>
      <c r="E110" t="s">
        <v>1043</v>
      </c>
      <c r="P110" t="s">
        <v>1321</v>
      </c>
      <c r="AB110" t="s">
        <v>1043</v>
      </c>
    </row>
    <row r="111" spans="1:28">
      <c r="A111" t="s">
        <v>184</v>
      </c>
      <c r="E111" t="s">
        <v>1044</v>
      </c>
      <c r="P111" t="s">
        <v>1322</v>
      </c>
      <c r="AB111" t="s">
        <v>1044</v>
      </c>
    </row>
    <row r="112" spans="1:28">
      <c r="A112" t="s">
        <v>185</v>
      </c>
      <c r="E112" t="s">
        <v>1045</v>
      </c>
      <c r="P112" t="s">
        <v>1323</v>
      </c>
      <c r="AB112" t="s">
        <v>1045</v>
      </c>
    </row>
    <row r="113" spans="1:28">
      <c r="A113" t="s">
        <v>186</v>
      </c>
      <c r="E113" t="s">
        <v>1046</v>
      </c>
      <c r="P113" t="s">
        <v>1324</v>
      </c>
      <c r="AB113" t="s">
        <v>1046</v>
      </c>
    </row>
    <row r="114" spans="1:28">
      <c r="A114" t="s">
        <v>187</v>
      </c>
      <c r="E114" t="s">
        <v>1047</v>
      </c>
      <c r="P114" t="s">
        <v>1325</v>
      </c>
      <c r="AB114" t="s">
        <v>1047</v>
      </c>
    </row>
    <row r="115" spans="1:28">
      <c r="A115" t="s">
        <v>188</v>
      </c>
      <c r="E115" t="s">
        <v>1048</v>
      </c>
      <c r="P115" t="s">
        <v>1326</v>
      </c>
      <c r="AB115" t="s">
        <v>1048</v>
      </c>
    </row>
    <row r="116" spans="1:28">
      <c r="A116" t="s">
        <v>189</v>
      </c>
      <c r="E116" t="s">
        <v>1049</v>
      </c>
      <c r="P116" t="s">
        <v>1327</v>
      </c>
      <c r="AB116" t="s">
        <v>1049</v>
      </c>
    </row>
    <row r="117" spans="1:28">
      <c r="A117" t="s">
        <v>190</v>
      </c>
      <c r="E117" t="s">
        <v>1050</v>
      </c>
      <c r="P117" t="s">
        <v>1328</v>
      </c>
      <c r="AB117" t="s">
        <v>1050</v>
      </c>
    </row>
    <row r="118" spans="1:28">
      <c r="A118" t="s">
        <v>191</v>
      </c>
      <c r="E118" t="s">
        <v>1051</v>
      </c>
      <c r="P118" t="s">
        <v>1329</v>
      </c>
      <c r="AB118" t="s">
        <v>1051</v>
      </c>
    </row>
    <row r="119" spans="1:28">
      <c r="A119" t="s">
        <v>192</v>
      </c>
      <c r="E119" t="s">
        <v>1052</v>
      </c>
      <c r="P119" t="s">
        <v>1330</v>
      </c>
      <c r="AB119" t="s">
        <v>1052</v>
      </c>
    </row>
    <row r="120" spans="1:28">
      <c r="A120" t="s">
        <v>193</v>
      </c>
      <c r="E120" t="s">
        <v>1053</v>
      </c>
      <c r="P120" t="s">
        <v>1331</v>
      </c>
      <c r="AB120" t="s">
        <v>1053</v>
      </c>
    </row>
    <row r="121" spans="1:28">
      <c r="A121" t="s">
        <v>194</v>
      </c>
      <c r="E121" t="s">
        <v>1054</v>
      </c>
      <c r="P121" t="s">
        <v>1332</v>
      </c>
      <c r="AB121" t="s">
        <v>1054</v>
      </c>
    </row>
    <row r="122" spans="1:28">
      <c r="A122" t="s">
        <v>195</v>
      </c>
      <c r="E122" t="s">
        <v>1055</v>
      </c>
      <c r="P122" t="s">
        <v>1333</v>
      </c>
      <c r="AB122" t="s">
        <v>1055</v>
      </c>
    </row>
    <row r="123" spans="1:28">
      <c r="A123" t="s">
        <v>196</v>
      </c>
      <c r="E123" t="s">
        <v>1056</v>
      </c>
      <c r="P123" t="s">
        <v>1334</v>
      </c>
      <c r="AB123" t="s">
        <v>1056</v>
      </c>
    </row>
    <row r="124" spans="1:28">
      <c r="A124" t="s">
        <v>197</v>
      </c>
      <c r="E124" t="s">
        <v>1057</v>
      </c>
      <c r="P124" t="s">
        <v>1335</v>
      </c>
      <c r="AB124" t="s">
        <v>1057</v>
      </c>
    </row>
    <row r="125" spans="1:28">
      <c r="A125" t="s">
        <v>198</v>
      </c>
      <c r="E125" t="s">
        <v>1058</v>
      </c>
      <c r="P125" t="s">
        <v>1336</v>
      </c>
      <c r="AB125" t="s">
        <v>1058</v>
      </c>
    </row>
    <row r="126" spans="1:28">
      <c r="A126" t="s">
        <v>199</v>
      </c>
      <c r="E126" t="s">
        <v>1059</v>
      </c>
      <c r="P126" t="s">
        <v>1337</v>
      </c>
      <c r="AB126" t="s">
        <v>1059</v>
      </c>
    </row>
    <row r="127" spans="1:28">
      <c r="A127" t="s">
        <v>200</v>
      </c>
      <c r="E127" t="s">
        <v>1060</v>
      </c>
      <c r="P127" t="s">
        <v>1338</v>
      </c>
      <c r="AB127" t="s">
        <v>1060</v>
      </c>
    </row>
    <row r="128" spans="1:28">
      <c r="A128" t="s">
        <v>201</v>
      </c>
      <c r="E128" t="s">
        <v>1061</v>
      </c>
      <c r="P128" t="s">
        <v>1339</v>
      </c>
      <c r="AB128" t="s">
        <v>1061</v>
      </c>
    </row>
    <row r="129" spans="1:28">
      <c r="A129" t="s">
        <v>202</v>
      </c>
      <c r="E129" t="s">
        <v>1062</v>
      </c>
      <c r="P129" t="s">
        <v>1340</v>
      </c>
      <c r="AB129" t="s">
        <v>1062</v>
      </c>
    </row>
    <row r="130" spans="1:28">
      <c r="A130" t="s">
        <v>203</v>
      </c>
      <c r="E130" t="s">
        <v>1063</v>
      </c>
      <c r="P130" t="s">
        <v>1341</v>
      </c>
      <c r="AB130" t="s">
        <v>1063</v>
      </c>
    </row>
    <row r="131" spans="1:28">
      <c r="A131" t="s">
        <v>204</v>
      </c>
      <c r="E131" t="s">
        <v>1064</v>
      </c>
      <c r="P131" t="s">
        <v>1342</v>
      </c>
      <c r="AB131" t="s">
        <v>1064</v>
      </c>
    </row>
    <row r="132" spans="1:28">
      <c r="A132" t="s">
        <v>205</v>
      </c>
      <c r="E132" t="s">
        <v>1065</v>
      </c>
      <c r="P132" t="s">
        <v>1343</v>
      </c>
      <c r="AB132" t="s">
        <v>1065</v>
      </c>
    </row>
    <row r="133" spans="1:28">
      <c r="A133" t="s">
        <v>206</v>
      </c>
      <c r="E133" t="s">
        <v>1066</v>
      </c>
      <c r="P133" t="s">
        <v>1344</v>
      </c>
      <c r="AB133" t="s">
        <v>1066</v>
      </c>
    </row>
    <row r="134" spans="1:28">
      <c r="A134" t="s">
        <v>207</v>
      </c>
      <c r="E134" t="s">
        <v>1067</v>
      </c>
      <c r="P134" t="s">
        <v>1345</v>
      </c>
      <c r="AB134" t="s">
        <v>1067</v>
      </c>
    </row>
    <row r="135" spans="1:28">
      <c r="A135" t="s">
        <v>208</v>
      </c>
      <c r="E135" t="s">
        <v>1068</v>
      </c>
      <c r="P135" t="s">
        <v>1346</v>
      </c>
      <c r="AB135" t="s">
        <v>1068</v>
      </c>
    </row>
    <row r="136" spans="1:28">
      <c r="A136" t="s">
        <v>209</v>
      </c>
      <c r="E136" t="s">
        <v>1069</v>
      </c>
      <c r="P136" t="s">
        <v>1347</v>
      </c>
      <c r="AB136" t="s">
        <v>1069</v>
      </c>
    </row>
    <row r="137" spans="1:28">
      <c r="A137" t="s">
        <v>210</v>
      </c>
      <c r="E137" t="s">
        <v>1070</v>
      </c>
      <c r="P137" t="s">
        <v>1348</v>
      </c>
      <c r="AB137" t="s">
        <v>1070</v>
      </c>
    </row>
    <row r="138" spans="1:28">
      <c r="A138" t="s">
        <v>211</v>
      </c>
      <c r="E138" t="s">
        <v>1071</v>
      </c>
      <c r="P138" t="s">
        <v>1349</v>
      </c>
      <c r="AB138" t="s">
        <v>1071</v>
      </c>
    </row>
    <row r="139" spans="1:28">
      <c r="A139" t="s">
        <v>212</v>
      </c>
      <c r="E139" t="s">
        <v>1072</v>
      </c>
      <c r="P139" t="s">
        <v>1350</v>
      </c>
      <c r="AB139" t="s">
        <v>1072</v>
      </c>
    </row>
    <row r="140" spans="1:28">
      <c r="A140" t="s">
        <v>213</v>
      </c>
      <c r="E140" t="s">
        <v>1073</v>
      </c>
      <c r="P140" t="s">
        <v>1351</v>
      </c>
      <c r="AB140" t="s">
        <v>1073</v>
      </c>
    </row>
    <row r="141" spans="1:28">
      <c r="A141" t="s">
        <v>214</v>
      </c>
      <c r="E141" t="s">
        <v>1074</v>
      </c>
      <c r="P141" t="s">
        <v>1352</v>
      </c>
      <c r="AB141" t="s">
        <v>1074</v>
      </c>
    </row>
    <row r="142" spans="1:28">
      <c r="A142" t="s">
        <v>215</v>
      </c>
      <c r="E142" t="s">
        <v>1075</v>
      </c>
      <c r="P142" t="s">
        <v>1353</v>
      </c>
      <c r="AB142" t="s">
        <v>1075</v>
      </c>
    </row>
    <row r="143" spans="1:28">
      <c r="A143" t="s">
        <v>216</v>
      </c>
      <c r="E143" t="s">
        <v>1076</v>
      </c>
      <c r="P143" t="s">
        <v>1354</v>
      </c>
      <c r="AB143" t="s">
        <v>1076</v>
      </c>
    </row>
    <row r="144" spans="1:28">
      <c r="A144" t="s">
        <v>217</v>
      </c>
      <c r="E144" t="s">
        <v>1077</v>
      </c>
      <c r="P144" t="s">
        <v>1355</v>
      </c>
      <c r="AB144" t="s">
        <v>1077</v>
      </c>
    </row>
    <row r="145" spans="1:28">
      <c r="A145" t="s">
        <v>218</v>
      </c>
      <c r="E145" t="s">
        <v>1078</v>
      </c>
      <c r="P145" t="s">
        <v>1356</v>
      </c>
      <c r="AB145" t="s">
        <v>1078</v>
      </c>
    </row>
    <row r="146" spans="1:28">
      <c r="A146" t="s">
        <v>219</v>
      </c>
      <c r="E146" t="s">
        <v>1079</v>
      </c>
      <c r="P146" t="s">
        <v>1357</v>
      </c>
      <c r="AB146" t="s">
        <v>1079</v>
      </c>
    </row>
    <row r="147" spans="1:28">
      <c r="A147" t="s">
        <v>220</v>
      </c>
      <c r="E147" t="s">
        <v>1080</v>
      </c>
      <c r="P147" t="s">
        <v>1358</v>
      </c>
      <c r="AB147" t="s">
        <v>1080</v>
      </c>
    </row>
    <row r="148" spans="1:28">
      <c r="A148" t="s">
        <v>221</v>
      </c>
      <c r="E148" t="s">
        <v>1081</v>
      </c>
      <c r="P148" t="s">
        <v>1359</v>
      </c>
      <c r="AB148" t="s">
        <v>1081</v>
      </c>
    </row>
    <row r="149" spans="1:28">
      <c r="A149" t="s">
        <v>222</v>
      </c>
      <c r="E149" t="s">
        <v>1082</v>
      </c>
      <c r="P149" t="s">
        <v>1360</v>
      </c>
      <c r="AB149" t="s">
        <v>1082</v>
      </c>
    </row>
    <row r="150" spans="1:28">
      <c r="A150" t="s">
        <v>223</v>
      </c>
      <c r="E150" t="s">
        <v>1083</v>
      </c>
      <c r="P150" t="s">
        <v>1361</v>
      </c>
      <c r="AB150" t="s">
        <v>1083</v>
      </c>
    </row>
    <row r="151" spans="1:28">
      <c r="A151" t="s">
        <v>224</v>
      </c>
      <c r="E151" t="s">
        <v>1084</v>
      </c>
      <c r="P151" t="s">
        <v>1362</v>
      </c>
      <c r="AB151" t="s">
        <v>1084</v>
      </c>
    </row>
    <row r="152" spans="1:28">
      <c r="A152" t="s">
        <v>225</v>
      </c>
      <c r="E152" t="s">
        <v>1085</v>
      </c>
      <c r="P152" t="s">
        <v>1363</v>
      </c>
      <c r="AB152" t="s">
        <v>1085</v>
      </c>
    </row>
    <row r="153" spans="1:28">
      <c r="A153" t="s">
        <v>226</v>
      </c>
      <c r="E153" t="s">
        <v>1086</v>
      </c>
      <c r="P153" t="s">
        <v>1364</v>
      </c>
      <c r="AB153" t="s">
        <v>1086</v>
      </c>
    </row>
    <row r="154" spans="1:28">
      <c r="A154" t="s">
        <v>227</v>
      </c>
      <c r="E154" t="s">
        <v>1087</v>
      </c>
      <c r="P154" t="s">
        <v>1365</v>
      </c>
      <c r="AB154" t="s">
        <v>1087</v>
      </c>
    </row>
    <row r="155" spans="1:28">
      <c r="A155" t="s">
        <v>228</v>
      </c>
      <c r="E155" t="s">
        <v>1088</v>
      </c>
      <c r="P155" t="s">
        <v>1366</v>
      </c>
      <c r="AB155" t="s">
        <v>1088</v>
      </c>
    </row>
    <row r="156" spans="1:28">
      <c r="A156" t="s">
        <v>229</v>
      </c>
      <c r="E156" t="s">
        <v>1089</v>
      </c>
      <c r="P156" t="s">
        <v>1367</v>
      </c>
      <c r="AB156" t="s">
        <v>1089</v>
      </c>
    </row>
    <row r="157" spans="1:28">
      <c r="A157" t="s">
        <v>230</v>
      </c>
      <c r="E157" t="s">
        <v>1090</v>
      </c>
      <c r="P157" t="s">
        <v>1368</v>
      </c>
      <c r="AB157" t="s">
        <v>1090</v>
      </c>
    </row>
    <row r="158" spans="1:28">
      <c r="A158" t="s">
        <v>231</v>
      </c>
      <c r="E158" t="s">
        <v>1091</v>
      </c>
      <c r="P158" t="s">
        <v>1369</v>
      </c>
      <c r="AB158" t="s">
        <v>1091</v>
      </c>
    </row>
    <row r="159" spans="1:28">
      <c r="A159" t="s">
        <v>232</v>
      </c>
      <c r="E159" t="s">
        <v>1092</v>
      </c>
      <c r="P159" t="s">
        <v>1370</v>
      </c>
      <c r="AB159" t="s">
        <v>1092</v>
      </c>
    </row>
    <row r="160" spans="1:28">
      <c r="A160" t="s">
        <v>233</v>
      </c>
      <c r="E160" t="s">
        <v>1093</v>
      </c>
      <c r="P160" t="s">
        <v>1371</v>
      </c>
      <c r="AB160" t="s">
        <v>1093</v>
      </c>
    </row>
    <row r="161" spans="1:28">
      <c r="A161" t="s">
        <v>234</v>
      </c>
      <c r="E161" t="s">
        <v>1094</v>
      </c>
      <c r="P161" t="s">
        <v>1372</v>
      </c>
      <c r="AB161" t="s">
        <v>1094</v>
      </c>
    </row>
    <row r="162" spans="1:28">
      <c r="A162" t="s">
        <v>235</v>
      </c>
      <c r="E162" t="s">
        <v>1095</v>
      </c>
      <c r="P162" t="s">
        <v>1373</v>
      </c>
      <c r="AB162" t="s">
        <v>1095</v>
      </c>
    </row>
    <row r="163" spans="1:28">
      <c r="A163" t="s">
        <v>236</v>
      </c>
      <c r="E163" t="s">
        <v>1096</v>
      </c>
      <c r="P163" t="s">
        <v>1374</v>
      </c>
      <c r="AB163" t="s">
        <v>1096</v>
      </c>
    </row>
    <row r="164" spans="1:28">
      <c r="A164" t="s">
        <v>237</v>
      </c>
      <c r="E164" t="s">
        <v>1097</v>
      </c>
      <c r="P164" t="s">
        <v>1375</v>
      </c>
      <c r="AB164" t="s">
        <v>1097</v>
      </c>
    </row>
    <row r="165" spans="1:28">
      <c r="A165" t="s">
        <v>238</v>
      </c>
      <c r="E165" t="s">
        <v>1098</v>
      </c>
      <c r="P165" t="s">
        <v>1376</v>
      </c>
      <c r="AB165" t="s">
        <v>1098</v>
      </c>
    </row>
    <row r="166" spans="1:28">
      <c r="A166" t="s">
        <v>239</v>
      </c>
      <c r="E166" t="s">
        <v>1099</v>
      </c>
      <c r="P166" t="s">
        <v>1377</v>
      </c>
      <c r="AB166" t="s">
        <v>1099</v>
      </c>
    </row>
    <row r="167" spans="1:28">
      <c r="A167" t="s">
        <v>240</v>
      </c>
      <c r="E167" t="s">
        <v>1100</v>
      </c>
      <c r="P167" t="s">
        <v>1378</v>
      </c>
      <c r="AB167" t="s">
        <v>1100</v>
      </c>
    </row>
    <row r="168" spans="1:28">
      <c r="A168" t="s">
        <v>241</v>
      </c>
      <c r="E168" t="s">
        <v>1101</v>
      </c>
      <c r="P168" t="s">
        <v>1379</v>
      </c>
      <c r="AB168" t="s">
        <v>1101</v>
      </c>
    </row>
    <row r="169" spans="1:28">
      <c r="A169" t="s">
        <v>242</v>
      </c>
      <c r="E169" t="s">
        <v>1102</v>
      </c>
      <c r="P169" t="s">
        <v>1380</v>
      </c>
      <c r="AB169" t="s">
        <v>1102</v>
      </c>
    </row>
    <row r="170" spans="1:28">
      <c r="A170" t="s">
        <v>243</v>
      </c>
      <c r="E170" t="s">
        <v>1103</v>
      </c>
      <c r="P170" t="s">
        <v>1381</v>
      </c>
      <c r="AB170" t="s">
        <v>1103</v>
      </c>
    </row>
    <row r="171" spans="1:28">
      <c r="A171" t="s">
        <v>244</v>
      </c>
      <c r="E171" t="s">
        <v>1104</v>
      </c>
      <c r="P171" t="s">
        <v>1382</v>
      </c>
      <c r="AB171" t="s">
        <v>1104</v>
      </c>
    </row>
    <row r="172" spans="1:28">
      <c r="A172" t="s">
        <v>245</v>
      </c>
      <c r="E172" t="s">
        <v>1105</v>
      </c>
      <c r="P172" t="s">
        <v>1383</v>
      </c>
      <c r="AB172" t="s">
        <v>1105</v>
      </c>
    </row>
    <row r="173" spans="1:28">
      <c r="A173" t="s">
        <v>246</v>
      </c>
      <c r="E173" t="s">
        <v>1106</v>
      </c>
      <c r="P173" t="s">
        <v>1384</v>
      </c>
      <c r="AB173" t="s">
        <v>1106</v>
      </c>
    </row>
    <row r="174" spans="1:28">
      <c r="A174" t="s">
        <v>247</v>
      </c>
      <c r="E174" t="s">
        <v>1107</v>
      </c>
      <c r="P174" t="s">
        <v>1385</v>
      </c>
      <c r="AB174" t="s">
        <v>1107</v>
      </c>
    </row>
    <row r="175" spans="1:28">
      <c r="A175" t="s">
        <v>248</v>
      </c>
      <c r="E175" t="s">
        <v>1108</v>
      </c>
      <c r="P175" t="s">
        <v>1386</v>
      </c>
      <c r="AB175" t="s">
        <v>1108</v>
      </c>
    </row>
    <row r="176" spans="1:28">
      <c r="A176" t="s">
        <v>249</v>
      </c>
      <c r="E176" t="s">
        <v>1109</v>
      </c>
      <c r="P176" t="s">
        <v>1387</v>
      </c>
      <c r="AB176" t="s">
        <v>1109</v>
      </c>
    </row>
    <row r="177" spans="1:28">
      <c r="A177" t="s">
        <v>250</v>
      </c>
      <c r="E177" t="s">
        <v>1110</v>
      </c>
      <c r="P177" t="s">
        <v>1388</v>
      </c>
      <c r="AB177" t="s">
        <v>1110</v>
      </c>
    </row>
    <row r="178" spans="1:28">
      <c r="A178" t="s">
        <v>251</v>
      </c>
      <c r="E178" t="s">
        <v>1111</v>
      </c>
      <c r="P178" t="s">
        <v>1389</v>
      </c>
      <c r="AB178" t="s">
        <v>1111</v>
      </c>
    </row>
    <row r="179" spans="1:28">
      <c r="A179" t="s">
        <v>252</v>
      </c>
      <c r="E179" t="s">
        <v>1112</v>
      </c>
      <c r="P179" t="s">
        <v>1390</v>
      </c>
      <c r="AB179" t="s">
        <v>1112</v>
      </c>
    </row>
    <row r="180" spans="1:28">
      <c r="A180" t="s">
        <v>253</v>
      </c>
      <c r="E180" t="s">
        <v>1113</v>
      </c>
      <c r="P180" t="s">
        <v>1391</v>
      </c>
      <c r="AB180" t="s">
        <v>1113</v>
      </c>
    </row>
    <row r="181" spans="1:28">
      <c r="A181" t="s">
        <v>254</v>
      </c>
      <c r="E181" t="s">
        <v>1114</v>
      </c>
      <c r="P181" t="s">
        <v>1392</v>
      </c>
      <c r="AB181" t="s">
        <v>1114</v>
      </c>
    </row>
    <row r="182" spans="1:28">
      <c r="A182" t="s">
        <v>255</v>
      </c>
      <c r="E182" t="s">
        <v>1115</v>
      </c>
      <c r="P182" t="s">
        <v>1393</v>
      </c>
      <c r="AB182" t="s">
        <v>1115</v>
      </c>
    </row>
    <row r="183" spans="1:28">
      <c r="A183" t="s">
        <v>256</v>
      </c>
      <c r="E183" t="s">
        <v>1116</v>
      </c>
      <c r="P183" t="s">
        <v>1394</v>
      </c>
      <c r="AB183" t="s">
        <v>1116</v>
      </c>
    </row>
    <row r="184" spans="1:28">
      <c r="A184" t="s">
        <v>257</v>
      </c>
      <c r="E184" t="s">
        <v>1117</v>
      </c>
      <c r="P184" t="s">
        <v>1395</v>
      </c>
      <c r="AB184" t="s">
        <v>1117</v>
      </c>
    </row>
    <row r="185" spans="1:28">
      <c r="A185" t="s">
        <v>258</v>
      </c>
      <c r="E185" t="s">
        <v>1118</v>
      </c>
      <c r="P185" t="s">
        <v>1396</v>
      </c>
      <c r="AB185" t="s">
        <v>1118</v>
      </c>
    </row>
    <row r="186" spans="1:28">
      <c r="A186" t="s">
        <v>259</v>
      </c>
      <c r="E186" t="s">
        <v>1119</v>
      </c>
      <c r="P186" t="s">
        <v>1397</v>
      </c>
      <c r="AB186" t="s">
        <v>1119</v>
      </c>
    </row>
    <row r="187" spans="1:28">
      <c r="A187" t="s">
        <v>260</v>
      </c>
      <c r="E187" t="s">
        <v>1120</v>
      </c>
      <c r="P187" t="s">
        <v>1398</v>
      </c>
      <c r="AB187" t="s">
        <v>1120</v>
      </c>
    </row>
    <row r="188" spans="1:28">
      <c r="A188" t="s">
        <v>261</v>
      </c>
      <c r="E188" t="s">
        <v>1121</v>
      </c>
      <c r="P188" t="s">
        <v>1399</v>
      </c>
      <c r="AB188" t="s">
        <v>1121</v>
      </c>
    </row>
    <row r="189" spans="1:28">
      <c r="A189" t="s">
        <v>262</v>
      </c>
      <c r="E189" t="s">
        <v>1122</v>
      </c>
      <c r="P189" t="s">
        <v>1400</v>
      </c>
      <c r="AB189" t="s">
        <v>1122</v>
      </c>
    </row>
    <row r="190" spans="1:28">
      <c r="A190" t="s">
        <v>263</v>
      </c>
      <c r="E190" t="s">
        <v>1123</v>
      </c>
      <c r="P190" t="s">
        <v>1401</v>
      </c>
      <c r="AB190" t="s">
        <v>1123</v>
      </c>
    </row>
    <row r="191" spans="1:28">
      <c r="A191" t="s">
        <v>264</v>
      </c>
      <c r="E191" t="s">
        <v>1124</v>
      </c>
      <c r="P191" t="s">
        <v>1402</v>
      </c>
      <c r="AB191" t="s">
        <v>1124</v>
      </c>
    </row>
    <row r="192" spans="1:28">
      <c r="A192" t="s">
        <v>265</v>
      </c>
      <c r="E192" t="s">
        <v>1125</v>
      </c>
      <c r="P192" t="s">
        <v>1403</v>
      </c>
      <c r="AB192" t="s">
        <v>1125</v>
      </c>
    </row>
    <row r="193" spans="1:28">
      <c r="A193" t="s">
        <v>266</v>
      </c>
      <c r="E193" t="s">
        <v>1126</v>
      </c>
      <c r="P193" t="s">
        <v>1404</v>
      </c>
      <c r="AB193" t="s">
        <v>1126</v>
      </c>
    </row>
    <row r="194" spans="1:28">
      <c r="A194" t="s">
        <v>267</v>
      </c>
      <c r="E194" t="s">
        <v>1127</v>
      </c>
      <c r="P194" t="s">
        <v>1405</v>
      </c>
      <c r="AB194" t="s">
        <v>1127</v>
      </c>
    </row>
    <row r="195" spans="1:28">
      <c r="A195" t="s">
        <v>268</v>
      </c>
      <c r="E195" t="s">
        <v>1128</v>
      </c>
      <c r="P195" t="s">
        <v>1406</v>
      </c>
      <c r="AB195" t="s">
        <v>1128</v>
      </c>
    </row>
    <row r="196" spans="1:28">
      <c r="A196" t="s">
        <v>269</v>
      </c>
      <c r="E196" t="s">
        <v>1129</v>
      </c>
      <c r="P196" t="s">
        <v>1407</v>
      </c>
      <c r="AB196" t="s">
        <v>1129</v>
      </c>
    </row>
    <row r="197" spans="1:28">
      <c r="A197" t="s">
        <v>270</v>
      </c>
      <c r="E197" t="s">
        <v>1130</v>
      </c>
      <c r="P197" t="s">
        <v>1408</v>
      </c>
      <c r="AB197" t="s">
        <v>1130</v>
      </c>
    </row>
    <row r="198" spans="1:28">
      <c r="A198" t="s">
        <v>271</v>
      </c>
      <c r="E198" t="s">
        <v>1131</v>
      </c>
      <c r="P198" t="s">
        <v>1409</v>
      </c>
      <c r="AB198" t="s">
        <v>1131</v>
      </c>
    </row>
    <row r="199" spans="1:28">
      <c r="A199" t="s">
        <v>272</v>
      </c>
      <c r="E199" t="s">
        <v>1132</v>
      </c>
      <c r="P199" t="s">
        <v>1410</v>
      </c>
      <c r="AB199" t="s">
        <v>1132</v>
      </c>
    </row>
    <row r="200" spans="1:28">
      <c r="A200" t="s">
        <v>273</v>
      </c>
      <c r="E200" t="s">
        <v>1133</v>
      </c>
      <c r="P200" t="s">
        <v>1411</v>
      </c>
      <c r="AB200" t="s">
        <v>1133</v>
      </c>
    </row>
    <row r="201" spans="1:28">
      <c r="A201" t="s">
        <v>274</v>
      </c>
      <c r="E201" t="s">
        <v>1134</v>
      </c>
      <c r="P201" t="s">
        <v>1412</v>
      </c>
      <c r="AB201" t="s">
        <v>1134</v>
      </c>
    </row>
    <row r="202" spans="1:28">
      <c r="A202" t="s">
        <v>275</v>
      </c>
      <c r="E202" t="s">
        <v>1135</v>
      </c>
      <c r="P202" t="s">
        <v>1413</v>
      </c>
      <c r="AB202" t="s">
        <v>1135</v>
      </c>
    </row>
    <row r="203" spans="1:28">
      <c r="A203" t="s">
        <v>276</v>
      </c>
      <c r="E203" t="s">
        <v>1136</v>
      </c>
      <c r="P203" t="s">
        <v>1414</v>
      </c>
      <c r="AB203" t="s">
        <v>1136</v>
      </c>
    </row>
    <row r="204" spans="1:28">
      <c r="A204" t="s">
        <v>277</v>
      </c>
      <c r="E204" t="s">
        <v>1137</v>
      </c>
      <c r="P204" t="s">
        <v>1415</v>
      </c>
      <c r="AB204" t="s">
        <v>1137</v>
      </c>
    </row>
    <row r="205" spans="1:28">
      <c r="A205" t="s">
        <v>278</v>
      </c>
      <c r="E205" t="s">
        <v>1138</v>
      </c>
      <c r="P205" t="s">
        <v>1416</v>
      </c>
      <c r="AB205" t="s">
        <v>1138</v>
      </c>
    </row>
    <row r="206" spans="1:28">
      <c r="A206" t="s">
        <v>279</v>
      </c>
      <c r="E206" t="s">
        <v>1139</v>
      </c>
      <c r="P206" t="s">
        <v>1417</v>
      </c>
      <c r="AB206" t="s">
        <v>1139</v>
      </c>
    </row>
    <row r="207" spans="1:28">
      <c r="A207" t="s">
        <v>280</v>
      </c>
      <c r="E207" t="s">
        <v>1140</v>
      </c>
      <c r="P207" t="s">
        <v>1418</v>
      </c>
      <c r="AB207" t="s">
        <v>1140</v>
      </c>
    </row>
    <row r="208" spans="1:28">
      <c r="A208" t="s">
        <v>281</v>
      </c>
      <c r="E208" t="s">
        <v>1141</v>
      </c>
      <c r="P208" t="s">
        <v>1419</v>
      </c>
      <c r="AB208" t="s">
        <v>1141</v>
      </c>
    </row>
    <row r="209" spans="1:28">
      <c r="A209" t="s">
        <v>282</v>
      </c>
      <c r="E209" t="s">
        <v>1142</v>
      </c>
      <c r="P209" t="s">
        <v>1420</v>
      </c>
      <c r="AB209" t="s">
        <v>1142</v>
      </c>
    </row>
    <row r="210" spans="1:28">
      <c r="A210" t="s">
        <v>283</v>
      </c>
      <c r="E210" t="s">
        <v>1143</v>
      </c>
      <c r="P210" t="s">
        <v>1421</v>
      </c>
      <c r="AB210" t="s">
        <v>1143</v>
      </c>
    </row>
    <row r="211" spans="1:28">
      <c r="A211" t="s">
        <v>284</v>
      </c>
      <c r="E211" t="s">
        <v>1144</v>
      </c>
      <c r="P211" t="s">
        <v>1422</v>
      </c>
      <c r="AB211" t="s">
        <v>1144</v>
      </c>
    </row>
    <row r="212" spans="1:28">
      <c r="A212" t="s">
        <v>285</v>
      </c>
      <c r="E212" t="s">
        <v>1145</v>
      </c>
      <c r="P212" t="s">
        <v>1423</v>
      </c>
      <c r="AB212" t="s">
        <v>1145</v>
      </c>
    </row>
    <row r="213" spans="1:28">
      <c r="A213" t="s">
        <v>286</v>
      </c>
      <c r="E213" t="s">
        <v>1146</v>
      </c>
      <c r="P213" t="s">
        <v>1424</v>
      </c>
      <c r="AB213" t="s">
        <v>1146</v>
      </c>
    </row>
    <row r="214" spans="1:28">
      <c r="A214" t="s">
        <v>287</v>
      </c>
      <c r="E214" t="s">
        <v>1147</v>
      </c>
      <c r="P214" t="s">
        <v>1425</v>
      </c>
      <c r="AB214" t="s">
        <v>1147</v>
      </c>
    </row>
    <row r="215" spans="1:28">
      <c r="A215" t="s">
        <v>288</v>
      </c>
      <c r="E215" t="s">
        <v>1148</v>
      </c>
      <c r="P215" t="s">
        <v>1426</v>
      </c>
      <c r="AB215" t="s">
        <v>1148</v>
      </c>
    </row>
    <row r="216" spans="1:28">
      <c r="A216" t="s">
        <v>289</v>
      </c>
      <c r="E216" t="s">
        <v>1149</v>
      </c>
      <c r="P216" t="s">
        <v>1427</v>
      </c>
      <c r="AB216" t="s">
        <v>1149</v>
      </c>
    </row>
    <row r="217" spans="1:28">
      <c r="A217" t="s">
        <v>290</v>
      </c>
      <c r="E217" t="s">
        <v>1150</v>
      </c>
      <c r="P217" t="s">
        <v>1428</v>
      </c>
      <c r="AB217" t="s">
        <v>1150</v>
      </c>
    </row>
    <row r="218" spans="1:28">
      <c r="A218" t="s">
        <v>291</v>
      </c>
      <c r="E218" t="s">
        <v>1151</v>
      </c>
      <c r="P218" t="s">
        <v>1429</v>
      </c>
      <c r="AB218" t="s">
        <v>1151</v>
      </c>
    </row>
    <row r="219" spans="1:28">
      <c r="A219" t="s">
        <v>292</v>
      </c>
      <c r="E219" t="s">
        <v>1152</v>
      </c>
      <c r="P219" t="s">
        <v>1430</v>
      </c>
      <c r="AB219" t="s">
        <v>1152</v>
      </c>
    </row>
    <row r="220" spans="1:28">
      <c r="A220" t="s">
        <v>293</v>
      </c>
      <c r="E220" t="s">
        <v>1153</v>
      </c>
      <c r="P220" t="s">
        <v>1431</v>
      </c>
      <c r="AB220" t="s">
        <v>1153</v>
      </c>
    </row>
    <row r="221" spans="1:28">
      <c r="A221" t="s">
        <v>294</v>
      </c>
      <c r="E221" t="s">
        <v>1154</v>
      </c>
      <c r="P221" t="s">
        <v>1432</v>
      </c>
      <c r="AB221" t="s">
        <v>1154</v>
      </c>
    </row>
    <row r="222" spans="1:28">
      <c r="A222" t="s">
        <v>295</v>
      </c>
      <c r="E222" t="s">
        <v>1155</v>
      </c>
      <c r="P222" t="s">
        <v>1433</v>
      </c>
      <c r="AB222" t="s">
        <v>1155</v>
      </c>
    </row>
    <row r="223" spans="1:28">
      <c r="A223" t="s">
        <v>296</v>
      </c>
      <c r="E223" t="s">
        <v>1156</v>
      </c>
      <c r="P223" t="s">
        <v>1434</v>
      </c>
      <c r="AB223" t="s">
        <v>1156</v>
      </c>
    </row>
    <row r="224" spans="1:28">
      <c r="A224" t="s">
        <v>297</v>
      </c>
      <c r="E224" t="s">
        <v>1157</v>
      </c>
      <c r="P224" t="s">
        <v>1435</v>
      </c>
      <c r="AB224" t="s">
        <v>1157</v>
      </c>
    </row>
    <row r="225" spans="1:28">
      <c r="A225" t="s">
        <v>298</v>
      </c>
      <c r="E225" t="s">
        <v>1158</v>
      </c>
      <c r="P225" t="s">
        <v>1436</v>
      </c>
      <c r="AB225" t="s">
        <v>1158</v>
      </c>
    </row>
    <row r="226" spans="1:28">
      <c r="A226" t="s">
        <v>299</v>
      </c>
      <c r="E226" t="s">
        <v>1159</v>
      </c>
      <c r="P226" t="s">
        <v>1437</v>
      </c>
      <c r="AB226" t="s">
        <v>1159</v>
      </c>
    </row>
    <row r="227" spans="1:28">
      <c r="A227" t="s">
        <v>300</v>
      </c>
      <c r="E227" t="s">
        <v>1160</v>
      </c>
      <c r="P227" t="s">
        <v>1438</v>
      </c>
      <c r="AB227" t="s">
        <v>1160</v>
      </c>
    </row>
    <row r="228" spans="1:28">
      <c r="A228" t="s">
        <v>301</v>
      </c>
      <c r="E228" t="s">
        <v>1161</v>
      </c>
      <c r="P228" t="s">
        <v>1439</v>
      </c>
      <c r="AB228" t="s">
        <v>1161</v>
      </c>
    </row>
    <row r="229" spans="1:28">
      <c r="A229" t="s">
        <v>302</v>
      </c>
      <c r="E229" t="s">
        <v>1162</v>
      </c>
      <c r="P229" t="s">
        <v>1440</v>
      </c>
      <c r="AB229" t="s">
        <v>1162</v>
      </c>
    </row>
    <row r="230" spans="1:28">
      <c r="A230" t="s">
        <v>303</v>
      </c>
      <c r="E230" t="s">
        <v>1163</v>
      </c>
      <c r="P230" t="s">
        <v>1441</v>
      </c>
      <c r="AB230" t="s">
        <v>1163</v>
      </c>
    </row>
    <row r="231" spans="1:28">
      <c r="A231" t="s">
        <v>304</v>
      </c>
      <c r="E231" t="s">
        <v>1164</v>
      </c>
      <c r="P231" t="s">
        <v>1442</v>
      </c>
      <c r="AB231" t="s">
        <v>1164</v>
      </c>
    </row>
    <row r="232" spans="1:28">
      <c r="A232" t="s">
        <v>305</v>
      </c>
      <c r="E232" t="s">
        <v>1165</v>
      </c>
      <c r="P232" t="s">
        <v>1443</v>
      </c>
      <c r="AB232" t="s">
        <v>1165</v>
      </c>
    </row>
    <row r="233" spans="1:28">
      <c r="A233" t="s">
        <v>306</v>
      </c>
      <c r="E233" t="s">
        <v>1166</v>
      </c>
      <c r="P233" t="s">
        <v>1444</v>
      </c>
      <c r="AB233" t="s">
        <v>1166</v>
      </c>
    </row>
    <row r="234" spans="1:28">
      <c r="A234" t="s">
        <v>307</v>
      </c>
      <c r="E234" t="s">
        <v>1167</v>
      </c>
      <c r="P234" t="s">
        <v>1445</v>
      </c>
      <c r="AB234" t="s">
        <v>1167</v>
      </c>
    </row>
    <row r="235" spans="1:28">
      <c r="A235" t="s">
        <v>308</v>
      </c>
      <c r="E235" t="s">
        <v>1168</v>
      </c>
      <c r="P235" t="s">
        <v>1446</v>
      </c>
      <c r="AB235" t="s">
        <v>1168</v>
      </c>
    </row>
    <row r="236" spans="1:28">
      <c r="A236" t="s">
        <v>309</v>
      </c>
      <c r="E236" t="s">
        <v>1169</v>
      </c>
      <c r="P236" t="s">
        <v>1447</v>
      </c>
      <c r="AB236" t="s">
        <v>1169</v>
      </c>
    </row>
    <row r="237" spans="1:28">
      <c r="A237" t="s">
        <v>310</v>
      </c>
      <c r="E237" t="s">
        <v>1170</v>
      </c>
      <c r="P237" t="s">
        <v>1448</v>
      </c>
      <c r="AB237" t="s">
        <v>1170</v>
      </c>
    </row>
    <row r="238" spans="1:28">
      <c r="A238" t="s">
        <v>311</v>
      </c>
      <c r="E238" t="s">
        <v>1171</v>
      </c>
      <c r="P238" t="s">
        <v>1449</v>
      </c>
      <c r="AB238" t="s">
        <v>1171</v>
      </c>
    </row>
    <row r="239" spans="1:28">
      <c r="A239" t="s">
        <v>312</v>
      </c>
      <c r="E239" t="s">
        <v>1172</v>
      </c>
      <c r="P239" t="s">
        <v>1450</v>
      </c>
      <c r="AB239" t="s">
        <v>1172</v>
      </c>
    </row>
    <row r="240" spans="1:28">
      <c r="A240" t="s">
        <v>313</v>
      </c>
      <c r="E240" t="s">
        <v>1173</v>
      </c>
      <c r="P240" t="s">
        <v>1451</v>
      </c>
      <c r="AB240" t="s">
        <v>1173</v>
      </c>
    </row>
    <row r="241" spans="1:28">
      <c r="A241" t="s">
        <v>314</v>
      </c>
      <c r="E241" t="s">
        <v>1174</v>
      </c>
      <c r="P241" t="s">
        <v>1452</v>
      </c>
      <c r="AB241" t="s">
        <v>1174</v>
      </c>
    </row>
    <row r="242" spans="1:28">
      <c r="A242" t="s">
        <v>315</v>
      </c>
      <c r="E242" t="s">
        <v>1175</v>
      </c>
      <c r="P242" t="s">
        <v>1453</v>
      </c>
      <c r="AB242" t="s">
        <v>1175</v>
      </c>
    </row>
    <row r="243" spans="1:28">
      <c r="A243" t="s">
        <v>316</v>
      </c>
      <c r="E243" t="s">
        <v>1176</v>
      </c>
      <c r="P243" t="s">
        <v>1454</v>
      </c>
      <c r="AB243" t="s">
        <v>1176</v>
      </c>
    </row>
    <row r="244" spans="1:28">
      <c r="A244" t="s">
        <v>317</v>
      </c>
      <c r="E244" t="s">
        <v>1177</v>
      </c>
      <c r="P244" t="s">
        <v>1455</v>
      </c>
      <c r="AB244" t="s">
        <v>1177</v>
      </c>
    </row>
    <row r="245" spans="1:28">
      <c r="A245" t="s">
        <v>318</v>
      </c>
      <c r="E245" t="s">
        <v>1178</v>
      </c>
      <c r="P245" t="s">
        <v>1456</v>
      </c>
      <c r="AB245" t="s">
        <v>1178</v>
      </c>
    </row>
    <row r="246" spans="1:28">
      <c r="A246" t="s">
        <v>319</v>
      </c>
      <c r="E246" t="s">
        <v>1179</v>
      </c>
      <c r="P246" t="s">
        <v>1457</v>
      </c>
      <c r="AB246" t="s">
        <v>1179</v>
      </c>
    </row>
    <row r="247" spans="1:28">
      <c r="A247" t="s">
        <v>320</v>
      </c>
      <c r="E247" t="s">
        <v>1180</v>
      </c>
      <c r="P247" t="s">
        <v>1458</v>
      </c>
      <c r="AB247" t="s">
        <v>1180</v>
      </c>
    </row>
    <row r="248" spans="1:28">
      <c r="A248" t="s">
        <v>321</v>
      </c>
      <c r="E248" t="s">
        <v>1181</v>
      </c>
      <c r="P248" t="s">
        <v>1459</v>
      </c>
      <c r="AB248" t="s">
        <v>1181</v>
      </c>
    </row>
    <row r="249" spans="1:28">
      <c r="A249" t="s">
        <v>322</v>
      </c>
      <c r="E249" t="s">
        <v>1182</v>
      </c>
      <c r="P249" t="s">
        <v>1460</v>
      </c>
      <c r="AB249" t="s">
        <v>1182</v>
      </c>
    </row>
    <row r="250" spans="1:28">
      <c r="A250" t="s">
        <v>323</v>
      </c>
      <c r="E250" t="s">
        <v>1183</v>
      </c>
      <c r="P250" t="s">
        <v>1461</v>
      </c>
      <c r="AB250" t="s">
        <v>1183</v>
      </c>
    </row>
    <row r="251" spans="1:28">
      <c r="A251" t="s">
        <v>324</v>
      </c>
      <c r="E251" t="s">
        <v>1184</v>
      </c>
      <c r="P251" t="s">
        <v>1462</v>
      </c>
      <c r="AB251" t="s">
        <v>1184</v>
      </c>
    </row>
    <row r="252" spans="1:28">
      <c r="A252" t="s">
        <v>325</v>
      </c>
      <c r="E252" t="s">
        <v>1185</v>
      </c>
      <c r="P252" t="s">
        <v>1463</v>
      </c>
      <c r="AB252" t="s">
        <v>1185</v>
      </c>
    </row>
    <row r="253" spans="1:28">
      <c r="A253" t="s">
        <v>326</v>
      </c>
      <c r="E253" t="s">
        <v>1186</v>
      </c>
      <c r="P253" t="s">
        <v>1464</v>
      </c>
      <c r="AB253" t="s">
        <v>1186</v>
      </c>
    </row>
    <row r="254" spans="1:28">
      <c r="A254" t="s">
        <v>327</v>
      </c>
      <c r="E254" t="s">
        <v>1187</v>
      </c>
      <c r="P254" t="s">
        <v>1465</v>
      </c>
      <c r="AB254" t="s">
        <v>1187</v>
      </c>
    </row>
    <row r="255" spans="1:28">
      <c r="A255" t="s">
        <v>328</v>
      </c>
      <c r="P255" t="s">
        <v>1466</v>
      </c>
    </row>
    <row r="256" spans="1:28">
      <c r="A256" t="s">
        <v>329</v>
      </c>
      <c r="P256" t="s">
        <v>1467</v>
      </c>
    </row>
    <row r="257" spans="1:16">
      <c r="A257" t="s">
        <v>330</v>
      </c>
      <c r="P257" t="s">
        <v>1468</v>
      </c>
    </row>
    <row r="258" spans="1:16">
      <c r="A258" t="s">
        <v>331</v>
      </c>
      <c r="P258" t="s">
        <v>1469</v>
      </c>
    </row>
    <row r="259" spans="1:16">
      <c r="A259" t="s">
        <v>332</v>
      </c>
      <c r="P259" t="s">
        <v>1470</v>
      </c>
    </row>
    <row r="260" spans="1:16">
      <c r="A260" t="s">
        <v>333</v>
      </c>
      <c r="P260" t="s">
        <v>1471</v>
      </c>
    </row>
    <row r="261" spans="1:16">
      <c r="A261" t="s">
        <v>334</v>
      </c>
      <c r="P261" t="s">
        <v>1472</v>
      </c>
    </row>
    <row r="262" spans="1:16">
      <c r="A262" t="s">
        <v>335</v>
      </c>
      <c r="P262" t="s">
        <v>1473</v>
      </c>
    </row>
    <row r="263" spans="1:16">
      <c r="A263" t="s">
        <v>336</v>
      </c>
      <c r="P263" t="s">
        <v>1474</v>
      </c>
    </row>
    <row r="264" spans="1:16">
      <c r="A264" t="s">
        <v>337</v>
      </c>
      <c r="P264" t="s">
        <v>1475</v>
      </c>
    </row>
    <row r="265" spans="1:16">
      <c r="A265" t="s">
        <v>338</v>
      </c>
      <c r="P265" t="s">
        <v>1476</v>
      </c>
    </row>
    <row r="266" spans="1:16">
      <c r="A266" t="s">
        <v>339</v>
      </c>
      <c r="P266" t="s">
        <v>1477</v>
      </c>
    </row>
    <row r="267" spans="1:16">
      <c r="A267" t="s">
        <v>340</v>
      </c>
      <c r="P267" t="s">
        <v>1478</v>
      </c>
    </row>
    <row r="268" spans="1:16">
      <c r="A268" t="s">
        <v>341</v>
      </c>
      <c r="P268" t="s">
        <v>1479</v>
      </c>
    </row>
    <row r="269" spans="1:16">
      <c r="A269" t="s">
        <v>342</v>
      </c>
      <c r="P269" t="s">
        <v>1480</v>
      </c>
    </row>
    <row r="270" spans="1:16">
      <c r="A270" t="s">
        <v>343</v>
      </c>
      <c r="P270" t="s">
        <v>1481</v>
      </c>
    </row>
    <row r="271" spans="1:16">
      <c r="A271" t="s">
        <v>344</v>
      </c>
      <c r="P271" t="s">
        <v>1482</v>
      </c>
    </row>
    <row r="272" spans="1:16">
      <c r="A272" t="s">
        <v>345</v>
      </c>
      <c r="P272" t="s">
        <v>1483</v>
      </c>
    </row>
    <row r="273" spans="1:16">
      <c r="A273" t="s">
        <v>346</v>
      </c>
      <c r="P273" t="s">
        <v>1484</v>
      </c>
    </row>
    <row r="274" spans="1:16">
      <c r="A274" t="s">
        <v>347</v>
      </c>
      <c r="P274" t="s">
        <v>1485</v>
      </c>
    </row>
    <row r="275" spans="1:16">
      <c r="A275" t="s">
        <v>348</v>
      </c>
      <c r="P275" t="s">
        <v>1486</v>
      </c>
    </row>
    <row r="276" spans="1:16">
      <c r="A276" t="s">
        <v>349</v>
      </c>
      <c r="P276" t="s">
        <v>1487</v>
      </c>
    </row>
    <row r="277" spans="1:16">
      <c r="A277" t="s">
        <v>350</v>
      </c>
      <c r="P277" t="s">
        <v>1488</v>
      </c>
    </row>
    <row r="278" spans="1:16">
      <c r="A278" t="s">
        <v>351</v>
      </c>
      <c r="P278" t="s">
        <v>1489</v>
      </c>
    </row>
    <row r="279" spans="1:16">
      <c r="A279" t="s">
        <v>352</v>
      </c>
      <c r="P279" t="s">
        <v>1490</v>
      </c>
    </row>
    <row r="280" spans="1:16">
      <c r="A280" t="s">
        <v>353</v>
      </c>
      <c r="P280" t="s">
        <v>1491</v>
      </c>
    </row>
    <row r="281" spans="1:16">
      <c r="A281" t="s">
        <v>354</v>
      </c>
      <c r="P281" t="s">
        <v>1492</v>
      </c>
    </row>
    <row r="282" spans="1:16">
      <c r="A282" t="s">
        <v>355</v>
      </c>
      <c r="P282" t="s">
        <v>1493</v>
      </c>
    </row>
    <row r="283" spans="1:16">
      <c r="A283" t="s">
        <v>356</v>
      </c>
      <c r="P283" t="s">
        <v>1494</v>
      </c>
    </row>
    <row r="284" spans="1:16">
      <c r="A284" t="s">
        <v>357</v>
      </c>
      <c r="P284" t="s">
        <v>1495</v>
      </c>
    </row>
    <row r="285" spans="1:16">
      <c r="A285" t="s">
        <v>358</v>
      </c>
      <c r="P285" t="s">
        <v>1496</v>
      </c>
    </row>
    <row r="286" spans="1:16">
      <c r="A286" t="s">
        <v>359</v>
      </c>
      <c r="P286" t="s">
        <v>1497</v>
      </c>
    </row>
    <row r="287" spans="1:16">
      <c r="A287" t="s">
        <v>360</v>
      </c>
      <c r="P287" t="s">
        <v>1498</v>
      </c>
    </row>
    <row r="288" spans="1:16">
      <c r="A288" t="s">
        <v>361</v>
      </c>
      <c r="P288" t="s">
        <v>1499</v>
      </c>
    </row>
    <row r="289" spans="1:16">
      <c r="A289" t="s">
        <v>362</v>
      </c>
      <c r="P289" t="s">
        <v>1500</v>
      </c>
    </row>
    <row r="290" spans="1:16">
      <c r="A290" t="s">
        <v>363</v>
      </c>
      <c r="P290" t="s">
        <v>1501</v>
      </c>
    </row>
    <row r="291" spans="1:16">
      <c r="A291" t="s">
        <v>364</v>
      </c>
      <c r="P291" t="s">
        <v>1502</v>
      </c>
    </row>
    <row r="292" spans="1:16">
      <c r="A292" t="s">
        <v>365</v>
      </c>
      <c r="P292" t="s">
        <v>1503</v>
      </c>
    </row>
    <row r="293" spans="1:16">
      <c r="A293" t="s">
        <v>366</v>
      </c>
      <c r="P293" t="s">
        <v>1504</v>
      </c>
    </row>
    <row r="294" spans="1:16">
      <c r="A294" t="s">
        <v>367</v>
      </c>
      <c r="P294" t="s">
        <v>1505</v>
      </c>
    </row>
    <row r="295" spans="1:16">
      <c r="A295" t="s">
        <v>368</v>
      </c>
      <c r="P295" t="s">
        <v>1506</v>
      </c>
    </row>
    <row r="296" spans="1:16">
      <c r="A296" t="s">
        <v>369</v>
      </c>
      <c r="P296" t="s">
        <v>1507</v>
      </c>
    </row>
    <row r="297" spans="1:16">
      <c r="A297" t="s">
        <v>370</v>
      </c>
      <c r="P297" t="s">
        <v>1508</v>
      </c>
    </row>
    <row r="298" spans="1:16">
      <c r="A298" t="s">
        <v>371</v>
      </c>
      <c r="P298" t="s">
        <v>1509</v>
      </c>
    </row>
    <row r="299" spans="1:16">
      <c r="A299" t="s">
        <v>372</v>
      </c>
      <c r="P299" t="s">
        <v>1510</v>
      </c>
    </row>
    <row r="300" spans="1:16">
      <c r="A300" t="s">
        <v>373</v>
      </c>
      <c r="P300" t="s">
        <v>1511</v>
      </c>
    </row>
    <row r="301" spans="1:16">
      <c r="A301" t="s">
        <v>374</v>
      </c>
      <c r="P301" t="s">
        <v>1512</v>
      </c>
    </row>
    <row r="302" spans="1:16">
      <c r="A302" t="s">
        <v>375</v>
      </c>
      <c r="P302" t="s">
        <v>1513</v>
      </c>
    </row>
    <row r="303" spans="1:16">
      <c r="A303" t="s">
        <v>376</v>
      </c>
      <c r="P303" t="s">
        <v>1514</v>
      </c>
    </row>
    <row r="304" spans="1:16">
      <c r="A304" t="s">
        <v>377</v>
      </c>
      <c r="P304" t="s">
        <v>1515</v>
      </c>
    </row>
    <row r="305" spans="1:16">
      <c r="A305" t="s">
        <v>378</v>
      </c>
      <c r="P305" t="s">
        <v>1516</v>
      </c>
    </row>
    <row r="306" spans="1:16">
      <c r="A306" t="s">
        <v>379</v>
      </c>
      <c r="P306" t="s">
        <v>1517</v>
      </c>
    </row>
    <row r="307" spans="1:16">
      <c r="A307" t="s">
        <v>380</v>
      </c>
      <c r="P307" t="s">
        <v>1518</v>
      </c>
    </row>
    <row r="308" spans="1:16">
      <c r="A308" t="s">
        <v>381</v>
      </c>
      <c r="P308" t="s">
        <v>1519</v>
      </c>
    </row>
    <row r="309" spans="1:16">
      <c r="A309" t="s">
        <v>382</v>
      </c>
      <c r="P309" t="s">
        <v>1520</v>
      </c>
    </row>
    <row r="310" spans="1:16">
      <c r="A310" t="s">
        <v>383</v>
      </c>
      <c r="P310" t="s">
        <v>1521</v>
      </c>
    </row>
    <row r="311" spans="1:16">
      <c r="A311" t="s">
        <v>384</v>
      </c>
      <c r="P311" t="s">
        <v>1522</v>
      </c>
    </row>
    <row r="312" spans="1:16">
      <c r="A312" t="s">
        <v>385</v>
      </c>
      <c r="P312" t="s">
        <v>1523</v>
      </c>
    </row>
    <row r="313" spans="1:16">
      <c r="A313" t="s">
        <v>386</v>
      </c>
      <c r="P313" t="s">
        <v>1524</v>
      </c>
    </row>
    <row r="314" spans="1:16">
      <c r="A314" t="s">
        <v>387</v>
      </c>
      <c r="P314" t="s">
        <v>1525</v>
      </c>
    </row>
    <row r="315" spans="1:16">
      <c r="A315" t="s">
        <v>388</v>
      </c>
      <c r="P315" t="s">
        <v>1526</v>
      </c>
    </row>
    <row r="316" spans="1:16">
      <c r="A316" t="s">
        <v>389</v>
      </c>
      <c r="P316" t="s">
        <v>1527</v>
      </c>
    </row>
    <row r="317" spans="1:16">
      <c r="A317" t="s">
        <v>390</v>
      </c>
      <c r="P317" t="s">
        <v>1528</v>
      </c>
    </row>
    <row r="318" spans="1:16">
      <c r="A318" t="s">
        <v>391</v>
      </c>
      <c r="P318" t="s">
        <v>1529</v>
      </c>
    </row>
    <row r="319" spans="1:16">
      <c r="A319" t="s">
        <v>392</v>
      </c>
      <c r="P319" t="s">
        <v>1530</v>
      </c>
    </row>
    <row r="320" spans="1:16">
      <c r="A320" t="s">
        <v>393</v>
      </c>
      <c r="P320" t="s">
        <v>1531</v>
      </c>
    </row>
    <row r="321" spans="1:16">
      <c r="A321" t="s">
        <v>394</v>
      </c>
      <c r="P321" t="s">
        <v>1532</v>
      </c>
    </row>
    <row r="322" spans="1:16">
      <c r="A322" t="s">
        <v>395</v>
      </c>
      <c r="P322" t="s">
        <v>1533</v>
      </c>
    </row>
    <row r="323" spans="1:16">
      <c r="A323" t="s">
        <v>396</v>
      </c>
      <c r="P323" t="s">
        <v>1534</v>
      </c>
    </row>
    <row r="324" spans="1:16">
      <c r="A324" t="s">
        <v>397</v>
      </c>
      <c r="P324" t="s">
        <v>1535</v>
      </c>
    </row>
    <row r="325" spans="1:16">
      <c r="A325" t="s">
        <v>398</v>
      </c>
      <c r="P325" t="s">
        <v>1536</v>
      </c>
    </row>
    <row r="326" spans="1:16">
      <c r="A326" t="s">
        <v>399</v>
      </c>
      <c r="P326" t="s">
        <v>1537</v>
      </c>
    </row>
    <row r="327" spans="1:16">
      <c r="A327" t="s">
        <v>400</v>
      </c>
      <c r="P327" t="s">
        <v>1538</v>
      </c>
    </row>
    <row r="328" spans="1:16">
      <c r="A328" t="s">
        <v>401</v>
      </c>
      <c r="P328" t="s">
        <v>1539</v>
      </c>
    </row>
    <row r="329" spans="1:16">
      <c r="A329" t="s">
        <v>402</v>
      </c>
      <c r="P329" t="s">
        <v>1540</v>
      </c>
    </row>
    <row r="330" spans="1:16">
      <c r="A330" t="s">
        <v>403</v>
      </c>
      <c r="P330" t="s">
        <v>1541</v>
      </c>
    </row>
    <row r="331" spans="1:16">
      <c r="A331" t="s">
        <v>404</v>
      </c>
      <c r="P331" t="s">
        <v>1542</v>
      </c>
    </row>
    <row r="332" spans="1:16">
      <c r="A332" t="s">
        <v>405</v>
      </c>
      <c r="P332" t="s">
        <v>1543</v>
      </c>
    </row>
    <row r="333" spans="1:16">
      <c r="A333" t="s">
        <v>406</v>
      </c>
      <c r="P333" t="s">
        <v>1544</v>
      </c>
    </row>
    <row r="334" spans="1:16">
      <c r="A334" t="s">
        <v>407</v>
      </c>
      <c r="P334" t="s">
        <v>1545</v>
      </c>
    </row>
    <row r="335" spans="1:16">
      <c r="A335" t="s">
        <v>408</v>
      </c>
      <c r="P335" t="s">
        <v>1546</v>
      </c>
    </row>
    <row r="336" spans="1:16">
      <c r="A336" t="s">
        <v>409</v>
      </c>
      <c r="P336" t="s">
        <v>1547</v>
      </c>
    </row>
    <row r="337" spans="1:16">
      <c r="A337" t="s">
        <v>410</v>
      </c>
      <c r="P337" t="s">
        <v>1548</v>
      </c>
    </row>
    <row r="338" spans="1:16">
      <c r="A338" t="s">
        <v>411</v>
      </c>
      <c r="P338" t="s">
        <v>1549</v>
      </c>
    </row>
    <row r="339" spans="1:16">
      <c r="A339" t="s">
        <v>412</v>
      </c>
      <c r="P339" t="s">
        <v>1550</v>
      </c>
    </row>
    <row r="340" spans="1:16">
      <c r="A340" t="s">
        <v>413</v>
      </c>
      <c r="P340" t="s">
        <v>1551</v>
      </c>
    </row>
    <row r="341" spans="1:16">
      <c r="A341" t="s">
        <v>414</v>
      </c>
      <c r="P341" t="s">
        <v>1552</v>
      </c>
    </row>
    <row r="342" spans="1:16">
      <c r="A342" t="s">
        <v>415</v>
      </c>
      <c r="P342" t="s">
        <v>1553</v>
      </c>
    </row>
    <row r="343" spans="1:16">
      <c r="A343" t="s">
        <v>416</v>
      </c>
      <c r="P343" t="s">
        <v>1554</v>
      </c>
    </row>
    <row r="344" spans="1:16">
      <c r="A344" t="s">
        <v>417</v>
      </c>
      <c r="P344" t="s">
        <v>1555</v>
      </c>
    </row>
    <row r="345" spans="1:16">
      <c r="A345" t="s">
        <v>418</v>
      </c>
      <c r="P345" t="s">
        <v>1556</v>
      </c>
    </row>
    <row r="346" spans="1:16">
      <c r="A346" t="s">
        <v>419</v>
      </c>
      <c r="P346" t="s">
        <v>1557</v>
      </c>
    </row>
    <row r="347" spans="1:16">
      <c r="A347" t="s">
        <v>420</v>
      </c>
      <c r="P347" t="s">
        <v>1558</v>
      </c>
    </row>
    <row r="348" spans="1:16">
      <c r="A348" t="s">
        <v>421</v>
      </c>
      <c r="P348" t="s">
        <v>1559</v>
      </c>
    </row>
    <row r="349" spans="1:16">
      <c r="A349" t="s">
        <v>422</v>
      </c>
      <c r="P349" t="s">
        <v>1560</v>
      </c>
    </row>
    <row r="350" spans="1:16">
      <c r="A350" t="s">
        <v>423</v>
      </c>
      <c r="P350" t="s">
        <v>1561</v>
      </c>
    </row>
    <row r="351" spans="1:16">
      <c r="A351" t="s">
        <v>424</v>
      </c>
      <c r="P351" t="s">
        <v>1562</v>
      </c>
    </row>
    <row r="352" spans="1:16">
      <c r="A352" t="s">
        <v>425</v>
      </c>
      <c r="P352" t="s">
        <v>1563</v>
      </c>
    </row>
    <row r="353" spans="1:16">
      <c r="A353" t="s">
        <v>426</v>
      </c>
      <c r="P353" t="s">
        <v>1564</v>
      </c>
    </row>
    <row r="354" spans="1:16">
      <c r="A354" t="s">
        <v>427</v>
      </c>
      <c r="P354" t="s">
        <v>1565</v>
      </c>
    </row>
    <row r="355" spans="1:16">
      <c r="A355" t="s">
        <v>428</v>
      </c>
      <c r="P355" t="s">
        <v>1566</v>
      </c>
    </row>
    <row r="356" spans="1:16">
      <c r="A356" t="s">
        <v>429</v>
      </c>
      <c r="P356" t="s">
        <v>1567</v>
      </c>
    </row>
    <row r="357" spans="1:16">
      <c r="A357" t="s">
        <v>430</v>
      </c>
      <c r="P357" t="s">
        <v>1568</v>
      </c>
    </row>
    <row r="358" spans="1:16">
      <c r="A358" t="s">
        <v>431</v>
      </c>
      <c r="P358" t="s">
        <v>1569</v>
      </c>
    </row>
    <row r="359" spans="1:16">
      <c r="A359" t="s">
        <v>432</v>
      </c>
      <c r="P359" t="s">
        <v>1570</v>
      </c>
    </row>
    <row r="360" spans="1:16">
      <c r="A360" t="s">
        <v>433</v>
      </c>
      <c r="P360" t="s">
        <v>1571</v>
      </c>
    </row>
    <row r="361" spans="1:16">
      <c r="A361" t="s">
        <v>434</v>
      </c>
      <c r="P361" t="s">
        <v>1572</v>
      </c>
    </row>
    <row r="362" spans="1:16">
      <c r="A362" t="s">
        <v>435</v>
      </c>
      <c r="P362" t="s">
        <v>1573</v>
      </c>
    </row>
    <row r="363" spans="1:16">
      <c r="A363" t="s">
        <v>436</v>
      </c>
      <c r="P363" t="s">
        <v>1574</v>
      </c>
    </row>
    <row r="364" spans="1:16">
      <c r="A364" t="s">
        <v>437</v>
      </c>
      <c r="P364" t="s">
        <v>1575</v>
      </c>
    </row>
    <row r="365" spans="1:16">
      <c r="A365" t="s">
        <v>438</v>
      </c>
      <c r="P365" t="s">
        <v>1576</v>
      </c>
    </row>
    <row r="366" spans="1:16">
      <c r="A366" t="s">
        <v>439</v>
      </c>
      <c r="P366" t="s">
        <v>1577</v>
      </c>
    </row>
    <row r="367" spans="1:16">
      <c r="A367" t="s">
        <v>440</v>
      </c>
      <c r="P367" t="s">
        <v>1578</v>
      </c>
    </row>
    <row r="368" spans="1:16">
      <c r="A368" t="s">
        <v>441</v>
      </c>
      <c r="P368" t="s">
        <v>1579</v>
      </c>
    </row>
    <row r="369" spans="1:16">
      <c r="A369" t="s">
        <v>442</v>
      </c>
      <c r="P369" t="s">
        <v>1580</v>
      </c>
    </row>
    <row r="370" spans="1:16">
      <c r="A370" t="s">
        <v>443</v>
      </c>
      <c r="P370" t="s">
        <v>1581</v>
      </c>
    </row>
    <row r="371" spans="1:16">
      <c r="A371" t="s">
        <v>444</v>
      </c>
      <c r="P371" t="s">
        <v>1582</v>
      </c>
    </row>
    <row r="372" spans="1:16">
      <c r="A372" t="s">
        <v>445</v>
      </c>
      <c r="P372" t="s">
        <v>1583</v>
      </c>
    </row>
    <row r="373" spans="1:16">
      <c r="A373" t="s">
        <v>446</v>
      </c>
      <c r="P373" t="s">
        <v>1584</v>
      </c>
    </row>
    <row r="374" spans="1:16">
      <c r="A374" t="s">
        <v>447</v>
      </c>
      <c r="P374" t="s">
        <v>1585</v>
      </c>
    </row>
    <row r="375" spans="1:16">
      <c r="A375" t="s">
        <v>448</v>
      </c>
      <c r="P375" t="s">
        <v>1586</v>
      </c>
    </row>
    <row r="376" spans="1:16">
      <c r="A376" t="s">
        <v>449</v>
      </c>
      <c r="P376" t="s">
        <v>1587</v>
      </c>
    </row>
    <row r="377" spans="1:16">
      <c r="A377" t="s">
        <v>450</v>
      </c>
      <c r="P377" t="s">
        <v>1588</v>
      </c>
    </row>
    <row r="378" spans="1:16">
      <c r="A378" t="s">
        <v>451</v>
      </c>
      <c r="P378" t="s">
        <v>1589</v>
      </c>
    </row>
    <row r="379" spans="1:16">
      <c r="A379" t="s">
        <v>452</v>
      </c>
      <c r="P379" t="s">
        <v>1590</v>
      </c>
    </row>
    <row r="380" spans="1:16">
      <c r="A380" t="s">
        <v>453</v>
      </c>
      <c r="P380" t="s">
        <v>1591</v>
      </c>
    </row>
    <row r="381" spans="1:16">
      <c r="A381" t="s">
        <v>454</v>
      </c>
      <c r="P381" t="s">
        <v>1592</v>
      </c>
    </row>
    <row r="382" spans="1:16">
      <c r="A382" t="s">
        <v>455</v>
      </c>
      <c r="P382" t="s">
        <v>1593</v>
      </c>
    </row>
    <row r="383" spans="1:16">
      <c r="A383" t="s">
        <v>456</v>
      </c>
      <c r="P383" t="s">
        <v>1594</v>
      </c>
    </row>
    <row r="384" spans="1:16">
      <c r="A384" t="s">
        <v>457</v>
      </c>
      <c r="P384" t="s">
        <v>1595</v>
      </c>
    </row>
    <row r="385" spans="1:16">
      <c r="A385" t="s">
        <v>458</v>
      </c>
      <c r="P385" t="s">
        <v>1596</v>
      </c>
    </row>
    <row r="386" spans="1:16">
      <c r="A386" t="s">
        <v>459</v>
      </c>
      <c r="P386" t="s">
        <v>1597</v>
      </c>
    </row>
    <row r="387" spans="1:16">
      <c r="A387" t="s">
        <v>460</v>
      </c>
      <c r="P387" t="s">
        <v>1598</v>
      </c>
    </row>
    <row r="388" spans="1:16">
      <c r="A388" t="s">
        <v>461</v>
      </c>
      <c r="P388" t="s">
        <v>1599</v>
      </c>
    </row>
    <row r="389" spans="1:16">
      <c r="A389" t="s">
        <v>462</v>
      </c>
      <c r="P389" t="s">
        <v>1600</v>
      </c>
    </row>
    <row r="390" spans="1:16">
      <c r="A390" t="s">
        <v>463</v>
      </c>
      <c r="P390" t="s">
        <v>1601</v>
      </c>
    </row>
    <row r="391" spans="1:16">
      <c r="A391" t="s">
        <v>464</v>
      </c>
      <c r="P391" t="s">
        <v>1602</v>
      </c>
    </row>
    <row r="392" spans="1:16">
      <c r="A392" t="s">
        <v>465</v>
      </c>
      <c r="P392" t="s">
        <v>1603</v>
      </c>
    </row>
    <row r="393" spans="1:16">
      <c r="A393" t="s">
        <v>466</v>
      </c>
      <c r="P393" t="s">
        <v>1604</v>
      </c>
    </row>
    <row r="394" spans="1:16">
      <c r="A394" t="s">
        <v>467</v>
      </c>
      <c r="P394" t="s">
        <v>1605</v>
      </c>
    </row>
    <row r="395" spans="1:16">
      <c r="A395" t="s">
        <v>468</v>
      </c>
      <c r="P395" t="s">
        <v>1606</v>
      </c>
    </row>
    <row r="396" spans="1:16">
      <c r="A396" t="s">
        <v>469</v>
      </c>
      <c r="P396" t="s">
        <v>1607</v>
      </c>
    </row>
    <row r="397" spans="1:16">
      <c r="A397" t="s">
        <v>470</v>
      </c>
      <c r="P397" t="s">
        <v>1608</v>
      </c>
    </row>
    <row r="398" spans="1:16">
      <c r="A398" t="s">
        <v>471</v>
      </c>
      <c r="P398" t="s">
        <v>1609</v>
      </c>
    </row>
    <row r="399" spans="1:16">
      <c r="A399" t="s">
        <v>472</v>
      </c>
      <c r="P399" t="s">
        <v>1610</v>
      </c>
    </row>
    <row r="400" spans="1:16">
      <c r="A400" t="s">
        <v>473</v>
      </c>
      <c r="P400" t="s">
        <v>1611</v>
      </c>
    </row>
    <row r="401" spans="1:16">
      <c r="A401" t="s">
        <v>474</v>
      </c>
      <c r="P401" t="s">
        <v>1612</v>
      </c>
    </row>
    <row r="402" spans="1:16">
      <c r="A402" t="s">
        <v>475</v>
      </c>
      <c r="P402" t="s">
        <v>1613</v>
      </c>
    </row>
    <row r="403" spans="1:16">
      <c r="A403" t="s">
        <v>476</v>
      </c>
      <c r="P403" t="s">
        <v>1614</v>
      </c>
    </row>
    <row r="404" spans="1:16">
      <c r="A404" t="s">
        <v>477</v>
      </c>
      <c r="P404" t="s">
        <v>1615</v>
      </c>
    </row>
    <row r="405" spans="1:16">
      <c r="A405" t="s">
        <v>478</v>
      </c>
      <c r="P405" t="s">
        <v>1616</v>
      </c>
    </row>
    <row r="406" spans="1:16">
      <c r="A406" t="s">
        <v>479</v>
      </c>
      <c r="P406" t="s">
        <v>1617</v>
      </c>
    </row>
    <row r="407" spans="1:16">
      <c r="A407" t="s">
        <v>480</v>
      </c>
      <c r="P407" t="s">
        <v>1618</v>
      </c>
    </row>
    <row r="408" spans="1:16">
      <c r="A408" t="s">
        <v>481</v>
      </c>
      <c r="P408" t="s">
        <v>1619</v>
      </c>
    </row>
    <row r="409" spans="1:16">
      <c r="A409" t="s">
        <v>482</v>
      </c>
      <c r="P409" t="s">
        <v>1620</v>
      </c>
    </row>
    <row r="410" spans="1:16">
      <c r="A410" t="s">
        <v>483</v>
      </c>
      <c r="P410" t="s">
        <v>1621</v>
      </c>
    </row>
    <row r="411" spans="1:16">
      <c r="A411" t="s">
        <v>484</v>
      </c>
      <c r="P411" t="s">
        <v>1622</v>
      </c>
    </row>
    <row r="412" spans="1:16">
      <c r="A412" t="s">
        <v>485</v>
      </c>
      <c r="P412" t="s">
        <v>1623</v>
      </c>
    </row>
    <row r="413" spans="1:16">
      <c r="A413" t="s">
        <v>486</v>
      </c>
      <c r="P413" t="s">
        <v>1624</v>
      </c>
    </row>
    <row r="414" spans="1:16">
      <c r="A414" t="s">
        <v>487</v>
      </c>
      <c r="P414" t="s">
        <v>1625</v>
      </c>
    </row>
    <row r="415" spans="1:16">
      <c r="A415" t="s">
        <v>488</v>
      </c>
      <c r="P415" t="s">
        <v>1626</v>
      </c>
    </row>
    <row r="416" spans="1:16">
      <c r="A416" t="s">
        <v>489</v>
      </c>
      <c r="P416" t="s">
        <v>1627</v>
      </c>
    </row>
    <row r="417" spans="1:16">
      <c r="A417" t="s">
        <v>490</v>
      </c>
      <c r="P417" t="s">
        <v>1628</v>
      </c>
    </row>
    <row r="418" spans="1:16">
      <c r="A418" t="s">
        <v>491</v>
      </c>
      <c r="P418" t="s">
        <v>1629</v>
      </c>
    </row>
    <row r="419" spans="1:16">
      <c r="A419" t="s">
        <v>492</v>
      </c>
      <c r="P419" t="s">
        <v>1630</v>
      </c>
    </row>
    <row r="420" spans="1:16">
      <c r="A420" t="s">
        <v>493</v>
      </c>
      <c r="P420" t="s">
        <v>1631</v>
      </c>
    </row>
    <row r="421" spans="1:16">
      <c r="A421" t="s">
        <v>494</v>
      </c>
      <c r="P421" t="s">
        <v>1632</v>
      </c>
    </row>
    <row r="422" spans="1:16">
      <c r="A422" t="s">
        <v>495</v>
      </c>
      <c r="P422" t="s">
        <v>1633</v>
      </c>
    </row>
    <row r="423" spans="1:16">
      <c r="A423" t="s">
        <v>496</v>
      </c>
      <c r="P423" t="s">
        <v>1634</v>
      </c>
    </row>
    <row r="424" spans="1:16">
      <c r="A424" t="s">
        <v>497</v>
      </c>
      <c r="P424" t="s">
        <v>1635</v>
      </c>
    </row>
    <row r="425" spans="1:16">
      <c r="A425" t="s">
        <v>498</v>
      </c>
      <c r="P425" t="s">
        <v>1636</v>
      </c>
    </row>
    <row r="426" spans="1:16">
      <c r="A426" t="s">
        <v>499</v>
      </c>
      <c r="P426" t="s">
        <v>1637</v>
      </c>
    </row>
    <row r="427" spans="1:16">
      <c r="A427" t="s">
        <v>500</v>
      </c>
      <c r="P427" t="s">
        <v>1638</v>
      </c>
    </row>
    <row r="428" spans="1:16">
      <c r="A428" t="s">
        <v>501</v>
      </c>
      <c r="P428" t="s">
        <v>1639</v>
      </c>
    </row>
    <row r="429" spans="1:16">
      <c r="A429" t="s">
        <v>502</v>
      </c>
      <c r="P429" t="s">
        <v>1640</v>
      </c>
    </row>
    <row r="430" spans="1:16">
      <c r="A430" t="s">
        <v>503</v>
      </c>
      <c r="P430" t="s">
        <v>1641</v>
      </c>
    </row>
    <row r="431" spans="1:16">
      <c r="A431" t="s">
        <v>504</v>
      </c>
      <c r="P431" t="s">
        <v>1642</v>
      </c>
    </row>
    <row r="432" spans="1:16">
      <c r="A432" t="s">
        <v>505</v>
      </c>
      <c r="P432" t="s">
        <v>1643</v>
      </c>
    </row>
    <row r="433" spans="1:16">
      <c r="A433" t="s">
        <v>506</v>
      </c>
      <c r="P433" t="s">
        <v>1644</v>
      </c>
    </row>
    <row r="434" spans="1:16">
      <c r="A434" t="s">
        <v>507</v>
      </c>
      <c r="P434" t="s">
        <v>1645</v>
      </c>
    </row>
    <row r="435" spans="1:16">
      <c r="A435" t="s">
        <v>508</v>
      </c>
      <c r="P435" t="s">
        <v>1646</v>
      </c>
    </row>
    <row r="436" spans="1:16">
      <c r="A436" t="s">
        <v>509</v>
      </c>
      <c r="P436" t="s">
        <v>1647</v>
      </c>
    </row>
    <row r="437" spans="1:16">
      <c r="A437" t="s">
        <v>510</v>
      </c>
      <c r="P437" t="s">
        <v>1648</v>
      </c>
    </row>
    <row r="438" spans="1:16">
      <c r="A438" t="s">
        <v>511</v>
      </c>
      <c r="P438" t="s">
        <v>1649</v>
      </c>
    </row>
    <row r="439" spans="1:16">
      <c r="A439" t="s">
        <v>512</v>
      </c>
      <c r="P439" t="s">
        <v>1650</v>
      </c>
    </row>
    <row r="440" spans="1:16">
      <c r="A440" t="s">
        <v>513</v>
      </c>
      <c r="P440" t="s">
        <v>1651</v>
      </c>
    </row>
    <row r="441" spans="1:16">
      <c r="A441" t="s">
        <v>514</v>
      </c>
      <c r="P441" t="s">
        <v>1652</v>
      </c>
    </row>
    <row r="442" spans="1:16">
      <c r="A442" t="s">
        <v>515</v>
      </c>
      <c r="P442" t="s">
        <v>1653</v>
      </c>
    </row>
    <row r="443" spans="1:16">
      <c r="A443" t="s">
        <v>516</v>
      </c>
      <c r="P443" t="s">
        <v>1654</v>
      </c>
    </row>
    <row r="444" spans="1:16">
      <c r="A444" t="s">
        <v>517</v>
      </c>
      <c r="P444" t="s">
        <v>1655</v>
      </c>
    </row>
    <row r="445" spans="1:16">
      <c r="A445" t="s">
        <v>518</v>
      </c>
      <c r="P445" t="s">
        <v>1656</v>
      </c>
    </row>
    <row r="446" spans="1:16">
      <c r="A446" t="s">
        <v>519</v>
      </c>
      <c r="P446" t="s">
        <v>1657</v>
      </c>
    </row>
    <row r="447" spans="1:16">
      <c r="A447" t="s">
        <v>520</v>
      </c>
      <c r="P447" t="s">
        <v>1658</v>
      </c>
    </row>
    <row r="448" spans="1:16">
      <c r="A448" t="s">
        <v>521</v>
      </c>
      <c r="P448" t="s">
        <v>1659</v>
      </c>
    </row>
    <row r="449" spans="1:16">
      <c r="A449" t="s">
        <v>522</v>
      </c>
      <c r="P449" t="s">
        <v>1660</v>
      </c>
    </row>
    <row r="450" spans="1:16">
      <c r="A450" t="s">
        <v>523</v>
      </c>
      <c r="P450" t="s">
        <v>1661</v>
      </c>
    </row>
    <row r="451" spans="1:16">
      <c r="A451" t="s">
        <v>524</v>
      </c>
      <c r="P451" t="s">
        <v>1662</v>
      </c>
    </row>
    <row r="452" spans="1:16">
      <c r="A452" t="s">
        <v>525</v>
      </c>
      <c r="P452" t="s">
        <v>1663</v>
      </c>
    </row>
    <row r="453" spans="1:16">
      <c r="A453" t="s">
        <v>526</v>
      </c>
      <c r="P453" t="s">
        <v>1664</v>
      </c>
    </row>
    <row r="454" spans="1:16">
      <c r="A454" t="s">
        <v>527</v>
      </c>
      <c r="P454" t="s">
        <v>1665</v>
      </c>
    </row>
    <row r="455" spans="1:16">
      <c r="A455" t="s">
        <v>528</v>
      </c>
      <c r="P455" t="s">
        <v>1666</v>
      </c>
    </row>
    <row r="456" spans="1:16">
      <c r="A456" t="s">
        <v>529</v>
      </c>
      <c r="P456" t="s">
        <v>1667</v>
      </c>
    </row>
    <row r="457" spans="1:16">
      <c r="A457" t="s">
        <v>530</v>
      </c>
      <c r="P457" t="s">
        <v>1668</v>
      </c>
    </row>
    <row r="458" spans="1:16">
      <c r="A458" t="s">
        <v>531</v>
      </c>
      <c r="P458" t="s">
        <v>1669</v>
      </c>
    </row>
    <row r="459" spans="1:16">
      <c r="A459" t="s">
        <v>532</v>
      </c>
      <c r="P459" t="s">
        <v>1670</v>
      </c>
    </row>
    <row r="460" spans="1:16">
      <c r="A460" t="s">
        <v>533</v>
      </c>
      <c r="P460" t="s">
        <v>1671</v>
      </c>
    </row>
    <row r="461" spans="1:16">
      <c r="A461" t="s">
        <v>534</v>
      </c>
      <c r="P461" t="s">
        <v>1672</v>
      </c>
    </row>
    <row r="462" spans="1:16">
      <c r="A462" t="s">
        <v>535</v>
      </c>
      <c r="P462" t="s">
        <v>1673</v>
      </c>
    </row>
    <row r="463" spans="1:16">
      <c r="A463" t="s">
        <v>536</v>
      </c>
      <c r="P463" t="s">
        <v>1674</v>
      </c>
    </row>
    <row r="464" spans="1:16">
      <c r="A464" t="s">
        <v>537</v>
      </c>
      <c r="P464" t="s">
        <v>1675</v>
      </c>
    </row>
    <row r="465" spans="1:16">
      <c r="A465" t="s">
        <v>538</v>
      </c>
      <c r="P465" t="s">
        <v>1676</v>
      </c>
    </row>
    <row r="466" spans="1:16">
      <c r="A466" t="s">
        <v>539</v>
      </c>
      <c r="P466" t="s">
        <v>1677</v>
      </c>
    </row>
    <row r="467" spans="1:16">
      <c r="A467" t="s">
        <v>540</v>
      </c>
      <c r="P467" t="s">
        <v>1678</v>
      </c>
    </row>
    <row r="468" spans="1:16">
      <c r="A468" t="s">
        <v>541</v>
      </c>
      <c r="P468" t="s">
        <v>1679</v>
      </c>
    </row>
    <row r="469" spans="1:16">
      <c r="A469" t="s">
        <v>542</v>
      </c>
      <c r="P469" t="s">
        <v>1680</v>
      </c>
    </row>
    <row r="470" spans="1:16">
      <c r="A470" t="s">
        <v>543</v>
      </c>
      <c r="P470" t="s">
        <v>1681</v>
      </c>
    </row>
    <row r="471" spans="1:16">
      <c r="A471" t="s">
        <v>544</v>
      </c>
      <c r="P471" t="s">
        <v>1682</v>
      </c>
    </row>
    <row r="472" spans="1:16">
      <c r="A472" t="s">
        <v>545</v>
      </c>
      <c r="P472" t="s">
        <v>1683</v>
      </c>
    </row>
    <row r="473" spans="1:16">
      <c r="A473" t="s">
        <v>546</v>
      </c>
      <c r="P473" t="s">
        <v>1684</v>
      </c>
    </row>
    <row r="474" spans="1:16">
      <c r="A474" t="s">
        <v>547</v>
      </c>
      <c r="P474" t="s">
        <v>1685</v>
      </c>
    </row>
    <row r="475" spans="1:16">
      <c r="A475" t="s">
        <v>548</v>
      </c>
      <c r="P475" t="s">
        <v>1686</v>
      </c>
    </row>
    <row r="476" spans="1:16">
      <c r="A476" t="s">
        <v>549</v>
      </c>
      <c r="P476" t="s">
        <v>1687</v>
      </c>
    </row>
    <row r="477" spans="1:16">
      <c r="A477" t="s">
        <v>550</v>
      </c>
      <c r="P477" t="s">
        <v>1688</v>
      </c>
    </row>
    <row r="478" spans="1:16">
      <c r="A478" t="s">
        <v>551</v>
      </c>
      <c r="P478" t="s">
        <v>1689</v>
      </c>
    </row>
    <row r="479" spans="1:16">
      <c r="A479" t="s">
        <v>552</v>
      </c>
      <c r="P479" t="s">
        <v>1690</v>
      </c>
    </row>
    <row r="480" spans="1:16">
      <c r="A480" t="s">
        <v>553</v>
      </c>
      <c r="P480" t="s">
        <v>1691</v>
      </c>
    </row>
    <row r="481" spans="1:16">
      <c r="A481" t="s">
        <v>554</v>
      </c>
      <c r="P481" t="s">
        <v>1692</v>
      </c>
    </row>
    <row r="482" spans="1:16">
      <c r="A482" t="s">
        <v>555</v>
      </c>
      <c r="P482" t="s">
        <v>1693</v>
      </c>
    </row>
    <row r="483" spans="1:16">
      <c r="A483" t="s">
        <v>556</v>
      </c>
      <c r="P483" t="s">
        <v>1694</v>
      </c>
    </row>
    <row r="484" spans="1:16">
      <c r="A484" t="s">
        <v>557</v>
      </c>
      <c r="P484" t="s">
        <v>1695</v>
      </c>
    </row>
    <row r="485" spans="1:16">
      <c r="A485" t="s">
        <v>558</v>
      </c>
      <c r="P485" t="s">
        <v>1696</v>
      </c>
    </row>
    <row r="486" spans="1:16">
      <c r="A486" t="s">
        <v>559</v>
      </c>
      <c r="P486" t="s">
        <v>1697</v>
      </c>
    </row>
    <row r="487" spans="1:16">
      <c r="A487" t="s">
        <v>560</v>
      </c>
      <c r="P487" t="s">
        <v>1698</v>
      </c>
    </row>
    <row r="488" spans="1:16">
      <c r="A488" t="s">
        <v>561</v>
      </c>
      <c r="P488" t="s">
        <v>1699</v>
      </c>
    </row>
    <row r="489" spans="1:16">
      <c r="A489" t="s">
        <v>562</v>
      </c>
      <c r="P489" t="s">
        <v>1700</v>
      </c>
    </row>
    <row r="490" spans="1:16">
      <c r="A490" t="s">
        <v>563</v>
      </c>
      <c r="P490" t="s">
        <v>1701</v>
      </c>
    </row>
    <row r="491" spans="1:16">
      <c r="A491" t="s">
        <v>564</v>
      </c>
      <c r="P491" t="s">
        <v>1702</v>
      </c>
    </row>
    <row r="492" spans="1:16">
      <c r="A492" t="s">
        <v>565</v>
      </c>
      <c r="P492" t="s">
        <v>1703</v>
      </c>
    </row>
    <row r="493" spans="1:16">
      <c r="A493" t="s">
        <v>566</v>
      </c>
      <c r="P493" t="s">
        <v>1704</v>
      </c>
    </row>
    <row r="494" spans="1:16">
      <c r="A494" t="s">
        <v>567</v>
      </c>
      <c r="P494" t="s">
        <v>1705</v>
      </c>
    </row>
    <row r="495" spans="1:16">
      <c r="A495" t="s">
        <v>568</v>
      </c>
      <c r="P495" t="s">
        <v>1706</v>
      </c>
    </row>
    <row r="496" spans="1:16">
      <c r="A496" t="s">
        <v>569</v>
      </c>
      <c r="P496" t="s">
        <v>1707</v>
      </c>
    </row>
    <row r="497" spans="1:16">
      <c r="A497" t="s">
        <v>570</v>
      </c>
      <c r="P497" t="s">
        <v>1708</v>
      </c>
    </row>
    <row r="498" spans="1:16">
      <c r="A498" t="s">
        <v>571</v>
      </c>
      <c r="P498" t="s">
        <v>1709</v>
      </c>
    </row>
    <row r="499" spans="1:16">
      <c r="A499" t="s">
        <v>572</v>
      </c>
      <c r="P499" t="s">
        <v>1710</v>
      </c>
    </row>
    <row r="500" spans="1:16">
      <c r="A500" t="s">
        <v>573</v>
      </c>
      <c r="P500" t="s">
        <v>1711</v>
      </c>
    </row>
    <row r="501" spans="1:16">
      <c r="A501" t="s">
        <v>574</v>
      </c>
      <c r="P501" t="s">
        <v>1712</v>
      </c>
    </row>
    <row r="502" spans="1:16">
      <c r="A502" t="s">
        <v>575</v>
      </c>
      <c r="P502" t="s">
        <v>1713</v>
      </c>
    </row>
    <row r="503" spans="1:16">
      <c r="A503" t="s">
        <v>576</v>
      </c>
      <c r="P503" t="s">
        <v>1714</v>
      </c>
    </row>
    <row r="504" spans="1:16">
      <c r="A504" t="s">
        <v>577</v>
      </c>
      <c r="P504" t="s">
        <v>1715</v>
      </c>
    </row>
    <row r="505" spans="1:16">
      <c r="A505" t="s">
        <v>578</v>
      </c>
      <c r="P505" t="s">
        <v>1716</v>
      </c>
    </row>
    <row r="506" spans="1:16">
      <c r="A506" t="s">
        <v>579</v>
      </c>
      <c r="P506" t="s">
        <v>1717</v>
      </c>
    </row>
    <row r="507" spans="1:16">
      <c r="A507" t="s">
        <v>580</v>
      </c>
      <c r="P507" t="s">
        <v>1718</v>
      </c>
    </row>
    <row r="508" spans="1:16">
      <c r="A508" t="s">
        <v>581</v>
      </c>
      <c r="P508" t="s">
        <v>1719</v>
      </c>
    </row>
    <row r="509" spans="1:16">
      <c r="A509" t="s">
        <v>582</v>
      </c>
      <c r="P509" t="s">
        <v>1720</v>
      </c>
    </row>
    <row r="510" spans="1:16">
      <c r="A510" t="s">
        <v>583</v>
      </c>
      <c r="P510" t="s">
        <v>1721</v>
      </c>
    </row>
    <row r="511" spans="1:16">
      <c r="A511" t="s">
        <v>584</v>
      </c>
      <c r="P511" t="s">
        <v>1722</v>
      </c>
    </row>
    <row r="512" spans="1:16">
      <c r="A512" t="s">
        <v>585</v>
      </c>
      <c r="P512" t="s">
        <v>1723</v>
      </c>
    </row>
    <row r="513" spans="1:16">
      <c r="A513" t="s">
        <v>586</v>
      </c>
      <c r="P513" t="s">
        <v>1724</v>
      </c>
    </row>
    <row r="514" spans="1:16">
      <c r="A514" t="s">
        <v>587</v>
      </c>
      <c r="P514" t="s">
        <v>1725</v>
      </c>
    </row>
    <row r="515" spans="1:16">
      <c r="A515" t="s">
        <v>588</v>
      </c>
      <c r="P515" t="s">
        <v>1726</v>
      </c>
    </row>
    <row r="516" spans="1:16">
      <c r="A516" t="s">
        <v>589</v>
      </c>
      <c r="P516" t="s">
        <v>1727</v>
      </c>
    </row>
    <row r="517" spans="1:16">
      <c r="A517" t="s">
        <v>590</v>
      </c>
      <c r="P517" t="s">
        <v>1728</v>
      </c>
    </row>
    <row r="518" spans="1:16">
      <c r="A518" t="s">
        <v>591</v>
      </c>
      <c r="P518" t="s">
        <v>1729</v>
      </c>
    </row>
    <row r="519" spans="1:16">
      <c r="A519" t="s">
        <v>592</v>
      </c>
      <c r="P519" t="s">
        <v>1730</v>
      </c>
    </row>
    <row r="520" spans="1:16">
      <c r="A520" t="s">
        <v>593</v>
      </c>
      <c r="P520" t="s">
        <v>1731</v>
      </c>
    </row>
    <row r="521" spans="1:16">
      <c r="A521" t="s">
        <v>594</v>
      </c>
      <c r="P521" t="s">
        <v>1732</v>
      </c>
    </row>
    <row r="522" spans="1:16">
      <c r="A522" t="s">
        <v>595</v>
      </c>
      <c r="P522" t="s">
        <v>1733</v>
      </c>
    </row>
    <row r="523" spans="1:16">
      <c r="A523" t="s">
        <v>596</v>
      </c>
      <c r="P523" t="s">
        <v>1734</v>
      </c>
    </row>
    <row r="524" spans="1:16">
      <c r="A524" t="s">
        <v>597</v>
      </c>
      <c r="P524" t="s">
        <v>1735</v>
      </c>
    </row>
    <row r="525" spans="1:16">
      <c r="A525" t="s">
        <v>598</v>
      </c>
      <c r="P525" t="s">
        <v>1736</v>
      </c>
    </row>
    <row r="526" spans="1:16">
      <c r="A526" t="s">
        <v>599</v>
      </c>
      <c r="P526" t="s">
        <v>1737</v>
      </c>
    </row>
    <row r="527" spans="1:16">
      <c r="A527" t="s">
        <v>600</v>
      </c>
      <c r="P527" t="s">
        <v>1738</v>
      </c>
    </row>
    <row r="528" spans="1:16">
      <c r="A528" t="s">
        <v>601</v>
      </c>
      <c r="P528" t="s">
        <v>1739</v>
      </c>
    </row>
    <row r="529" spans="1:16">
      <c r="A529" t="s">
        <v>602</v>
      </c>
      <c r="P529" t="s">
        <v>1740</v>
      </c>
    </row>
    <row r="530" spans="1:16">
      <c r="A530" t="s">
        <v>603</v>
      </c>
      <c r="P530" t="s">
        <v>1741</v>
      </c>
    </row>
    <row r="531" spans="1:16">
      <c r="A531" t="s">
        <v>604</v>
      </c>
      <c r="P531" t="s">
        <v>1742</v>
      </c>
    </row>
    <row r="532" spans="1:16">
      <c r="A532" t="s">
        <v>605</v>
      </c>
      <c r="P532" t="s">
        <v>1743</v>
      </c>
    </row>
    <row r="533" spans="1:16">
      <c r="A533" t="s">
        <v>606</v>
      </c>
      <c r="P533" t="s">
        <v>1744</v>
      </c>
    </row>
    <row r="534" spans="1:16">
      <c r="A534" t="s">
        <v>607</v>
      </c>
      <c r="P534" t="s">
        <v>1745</v>
      </c>
    </row>
    <row r="535" spans="1:16">
      <c r="A535" t="s">
        <v>608</v>
      </c>
      <c r="P535" t="s">
        <v>1746</v>
      </c>
    </row>
    <row r="536" spans="1:16">
      <c r="A536" t="s">
        <v>609</v>
      </c>
      <c r="P536" t="s">
        <v>1747</v>
      </c>
    </row>
    <row r="537" spans="1:16">
      <c r="A537" t="s">
        <v>610</v>
      </c>
      <c r="P537" t="s">
        <v>1748</v>
      </c>
    </row>
    <row r="538" spans="1:16">
      <c r="A538" t="s">
        <v>611</v>
      </c>
      <c r="P538" t="s">
        <v>1749</v>
      </c>
    </row>
    <row r="539" spans="1:16">
      <c r="A539" t="s">
        <v>612</v>
      </c>
      <c r="P539" t="s">
        <v>1750</v>
      </c>
    </row>
    <row r="540" spans="1:16">
      <c r="A540" t="s">
        <v>613</v>
      </c>
      <c r="P540" t="s">
        <v>1751</v>
      </c>
    </row>
    <row r="541" spans="1:16">
      <c r="A541" t="s">
        <v>614</v>
      </c>
      <c r="P541" t="s">
        <v>1752</v>
      </c>
    </row>
    <row r="542" spans="1:16">
      <c r="A542" t="s">
        <v>615</v>
      </c>
      <c r="P542" t="s">
        <v>1753</v>
      </c>
    </row>
    <row r="543" spans="1:16">
      <c r="A543" t="s">
        <v>616</v>
      </c>
      <c r="P543" t="s">
        <v>1754</v>
      </c>
    </row>
    <row r="544" spans="1:16">
      <c r="A544" t="s">
        <v>617</v>
      </c>
      <c r="P544" t="s">
        <v>1755</v>
      </c>
    </row>
    <row r="545" spans="1:16">
      <c r="A545" t="s">
        <v>618</v>
      </c>
      <c r="P545" t="s">
        <v>1756</v>
      </c>
    </row>
    <row r="546" spans="1:16">
      <c r="A546" t="s">
        <v>619</v>
      </c>
      <c r="P546" t="s">
        <v>1757</v>
      </c>
    </row>
    <row r="547" spans="1:16">
      <c r="A547" t="s">
        <v>620</v>
      </c>
      <c r="P547" t="s">
        <v>1758</v>
      </c>
    </row>
    <row r="548" spans="1:16">
      <c r="A548" t="s">
        <v>621</v>
      </c>
      <c r="P548" t="s">
        <v>1759</v>
      </c>
    </row>
    <row r="549" spans="1:16">
      <c r="A549" t="s">
        <v>622</v>
      </c>
      <c r="P549" t="s">
        <v>1760</v>
      </c>
    </row>
    <row r="550" spans="1:16">
      <c r="A550" t="s">
        <v>623</v>
      </c>
      <c r="P550" t="s">
        <v>1761</v>
      </c>
    </row>
    <row r="551" spans="1:16">
      <c r="A551" t="s">
        <v>624</v>
      </c>
      <c r="P551" t="s">
        <v>1762</v>
      </c>
    </row>
    <row r="552" spans="1:16">
      <c r="A552" t="s">
        <v>625</v>
      </c>
      <c r="P552" t="s">
        <v>1763</v>
      </c>
    </row>
    <row r="553" spans="1:16">
      <c r="A553" t="s">
        <v>626</v>
      </c>
      <c r="P553" t="s">
        <v>1764</v>
      </c>
    </row>
    <row r="554" spans="1:16">
      <c r="A554" t="s">
        <v>627</v>
      </c>
      <c r="P554" t="s">
        <v>1765</v>
      </c>
    </row>
    <row r="555" spans="1:16">
      <c r="A555" t="s">
        <v>628</v>
      </c>
      <c r="P555" t="s">
        <v>1766</v>
      </c>
    </row>
    <row r="556" spans="1:16">
      <c r="A556" t="s">
        <v>629</v>
      </c>
      <c r="P556" t="s">
        <v>1767</v>
      </c>
    </row>
    <row r="557" spans="1:16">
      <c r="A557" t="s">
        <v>630</v>
      </c>
      <c r="P557" t="s">
        <v>1768</v>
      </c>
    </row>
    <row r="558" spans="1:16">
      <c r="A558" t="s">
        <v>631</v>
      </c>
      <c r="P558" t="s">
        <v>1769</v>
      </c>
    </row>
    <row r="559" spans="1:16">
      <c r="A559" t="s">
        <v>632</v>
      </c>
      <c r="P559" t="s">
        <v>1770</v>
      </c>
    </row>
    <row r="560" spans="1:16">
      <c r="A560" t="s">
        <v>633</v>
      </c>
      <c r="P560" t="s">
        <v>1771</v>
      </c>
    </row>
    <row r="561" spans="1:16">
      <c r="A561" t="s">
        <v>634</v>
      </c>
      <c r="P561" t="s">
        <v>1772</v>
      </c>
    </row>
    <row r="562" spans="1:16">
      <c r="A562" t="s">
        <v>635</v>
      </c>
      <c r="P562" t="s">
        <v>1773</v>
      </c>
    </row>
    <row r="563" spans="1:16">
      <c r="A563" t="s">
        <v>636</v>
      </c>
      <c r="P563" t="s">
        <v>1774</v>
      </c>
    </row>
    <row r="564" spans="1:16">
      <c r="A564" t="s">
        <v>637</v>
      </c>
      <c r="P564" t="s">
        <v>1775</v>
      </c>
    </row>
    <row r="565" spans="1:16">
      <c r="A565" t="s">
        <v>638</v>
      </c>
      <c r="P565" t="s">
        <v>1776</v>
      </c>
    </row>
    <row r="566" spans="1:16">
      <c r="A566" t="s">
        <v>639</v>
      </c>
      <c r="P566" t="s">
        <v>1777</v>
      </c>
    </row>
    <row r="567" spans="1:16">
      <c r="A567" t="s">
        <v>640</v>
      </c>
      <c r="P567" t="s">
        <v>1778</v>
      </c>
    </row>
    <row r="568" spans="1:16">
      <c r="A568" t="s">
        <v>641</v>
      </c>
      <c r="P568" t="s">
        <v>1779</v>
      </c>
    </row>
    <row r="569" spans="1:16">
      <c r="A569" t="s">
        <v>642</v>
      </c>
      <c r="P569" t="s">
        <v>1780</v>
      </c>
    </row>
    <row r="570" spans="1:16">
      <c r="A570" t="s">
        <v>643</v>
      </c>
      <c r="P570" t="s">
        <v>1781</v>
      </c>
    </row>
    <row r="571" spans="1:16">
      <c r="A571" t="s">
        <v>644</v>
      </c>
      <c r="P571" t="s">
        <v>1782</v>
      </c>
    </row>
    <row r="572" spans="1:16">
      <c r="A572" t="s">
        <v>645</v>
      </c>
      <c r="P572" t="s">
        <v>1783</v>
      </c>
    </row>
    <row r="573" spans="1:16">
      <c r="A573" t="s">
        <v>646</v>
      </c>
      <c r="P573" t="s">
        <v>1784</v>
      </c>
    </row>
    <row r="574" spans="1:16">
      <c r="A574" t="s">
        <v>647</v>
      </c>
      <c r="P574" t="s">
        <v>1785</v>
      </c>
    </row>
    <row r="575" spans="1:16">
      <c r="A575" t="s">
        <v>648</v>
      </c>
      <c r="P575" t="s">
        <v>1786</v>
      </c>
    </row>
    <row r="576" spans="1:16">
      <c r="A576" t="s">
        <v>649</v>
      </c>
      <c r="P576" t="s">
        <v>1787</v>
      </c>
    </row>
    <row r="577" spans="1:16">
      <c r="A577" t="s">
        <v>650</v>
      </c>
      <c r="P577" t="s">
        <v>1788</v>
      </c>
    </row>
    <row r="578" spans="1:16">
      <c r="A578" t="s">
        <v>651</v>
      </c>
      <c r="P578" t="s">
        <v>1789</v>
      </c>
    </row>
    <row r="579" spans="1:16">
      <c r="A579" t="s">
        <v>652</v>
      </c>
      <c r="P579" t="s">
        <v>1790</v>
      </c>
    </row>
    <row r="580" spans="1:16">
      <c r="A580" t="s">
        <v>653</v>
      </c>
      <c r="P580" t="s">
        <v>1791</v>
      </c>
    </row>
    <row r="581" spans="1:16">
      <c r="A581" t="s">
        <v>654</v>
      </c>
      <c r="P581" t="s">
        <v>1792</v>
      </c>
    </row>
    <row r="582" spans="1:16">
      <c r="A582" t="s">
        <v>655</v>
      </c>
      <c r="P582" t="s">
        <v>1793</v>
      </c>
    </row>
    <row r="583" spans="1:16">
      <c r="A583" t="s">
        <v>656</v>
      </c>
      <c r="P583" t="s">
        <v>1794</v>
      </c>
    </row>
    <row r="584" spans="1:16">
      <c r="A584" t="s">
        <v>657</v>
      </c>
      <c r="P584" t="s">
        <v>1795</v>
      </c>
    </row>
    <row r="585" spans="1:16">
      <c r="A585" t="s">
        <v>658</v>
      </c>
      <c r="P585" t="s">
        <v>1796</v>
      </c>
    </row>
    <row r="586" spans="1:16">
      <c r="A586" t="s">
        <v>659</v>
      </c>
      <c r="P586" t="s">
        <v>1797</v>
      </c>
    </row>
    <row r="587" spans="1:16">
      <c r="A587" t="s">
        <v>660</v>
      </c>
      <c r="P587" t="s">
        <v>1798</v>
      </c>
    </row>
    <row r="588" spans="1:16">
      <c r="A588" t="s">
        <v>661</v>
      </c>
      <c r="P588" t="s">
        <v>1799</v>
      </c>
    </row>
    <row r="589" spans="1:16">
      <c r="A589" t="s">
        <v>662</v>
      </c>
      <c r="P589" t="s">
        <v>1800</v>
      </c>
    </row>
    <row r="590" spans="1:16">
      <c r="A590" t="s">
        <v>663</v>
      </c>
      <c r="P590" t="s">
        <v>1801</v>
      </c>
    </row>
    <row r="591" spans="1:16">
      <c r="A591" t="s">
        <v>664</v>
      </c>
      <c r="P591" t="s">
        <v>1802</v>
      </c>
    </row>
    <row r="592" spans="1:16">
      <c r="A592" t="s">
        <v>665</v>
      </c>
      <c r="P592" t="s">
        <v>1803</v>
      </c>
    </row>
    <row r="593" spans="1:16">
      <c r="A593" t="s">
        <v>666</v>
      </c>
      <c r="P593" t="s">
        <v>1804</v>
      </c>
    </row>
    <row r="594" spans="1:16">
      <c r="A594" t="s">
        <v>667</v>
      </c>
      <c r="P594" t="s">
        <v>1805</v>
      </c>
    </row>
    <row r="595" spans="1:16">
      <c r="A595" t="s">
        <v>668</v>
      </c>
      <c r="P595" t="s">
        <v>1806</v>
      </c>
    </row>
    <row r="596" spans="1:16">
      <c r="A596" t="s">
        <v>669</v>
      </c>
      <c r="P596" t="s">
        <v>1807</v>
      </c>
    </row>
    <row r="597" spans="1:16">
      <c r="A597" t="s">
        <v>670</v>
      </c>
      <c r="P597" t="s">
        <v>1808</v>
      </c>
    </row>
    <row r="598" spans="1:16">
      <c r="A598" t="s">
        <v>671</v>
      </c>
      <c r="P598" t="s">
        <v>1809</v>
      </c>
    </row>
    <row r="599" spans="1:16">
      <c r="A599" t="s">
        <v>672</v>
      </c>
      <c r="P599" t="s">
        <v>1810</v>
      </c>
    </row>
    <row r="600" spans="1:16">
      <c r="A600" t="s">
        <v>673</v>
      </c>
      <c r="P600" t="s">
        <v>1811</v>
      </c>
    </row>
    <row r="601" spans="1:16">
      <c r="A601" t="s">
        <v>674</v>
      </c>
      <c r="P601" t="s">
        <v>1812</v>
      </c>
    </row>
    <row r="602" spans="1:16">
      <c r="A602" t="s">
        <v>675</v>
      </c>
      <c r="P602" t="s">
        <v>1813</v>
      </c>
    </row>
    <row r="603" spans="1:16">
      <c r="A603" t="s">
        <v>676</v>
      </c>
      <c r="P603" t="s">
        <v>1814</v>
      </c>
    </row>
    <row r="604" spans="1:16">
      <c r="A604" t="s">
        <v>677</v>
      </c>
      <c r="P604" t="s">
        <v>1815</v>
      </c>
    </row>
    <row r="605" spans="1:16">
      <c r="A605" t="s">
        <v>678</v>
      </c>
      <c r="P605" t="s">
        <v>1816</v>
      </c>
    </row>
    <row r="606" spans="1:16">
      <c r="A606" t="s">
        <v>679</v>
      </c>
      <c r="P606" t="s">
        <v>1817</v>
      </c>
    </row>
    <row r="607" spans="1:16">
      <c r="A607" t="s">
        <v>680</v>
      </c>
      <c r="P607" t="s">
        <v>1818</v>
      </c>
    </row>
    <row r="608" spans="1:16">
      <c r="A608" t="s">
        <v>681</v>
      </c>
      <c r="P608" t="s">
        <v>1819</v>
      </c>
    </row>
    <row r="609" spans="1:16">
      <c r="A609" t="s">
        <v>682</v>
      </c>
      <c r="P609" t="s">
        <v>1820</v>
      </c>
    </row>
    <row r="610" spans="1:16">
      <c r="A610" t="s">
        <v>683</v>
      </c>
      <c r="P610" t="s">
        <v>1821</v>
      </c>
    </row>
    <row r="611" spans="1:16">
      <c r="A611" t="s">
        <v>684</v>
      </c>
      <c r="P611" t="s">
        <v>1822</v>
      </c>
    </row>
    <row r="612" spans="1:16">
      <c r="A612" t="s">
        <v>685</v>
      </c>
      <c r="P612" t="s">
        <v>1823</v>
      </c>
    </row>
    <row r="613" spans="1:16">
      <c r="A613" t="s">
        <v>686</v>
      </c>
      <c r="P613" t="s">
        <v>1824</v>
      </c>
    </row>
    <row r="614" spans="1:16">
      <c r="A614" t="s">
        <v>687</v>
      </c>
      <c r="P614" t="s">
        <v>1825</v>
      </c>
    </row>
    <row r="615" spans="1:16">
      <c r="A615" t="s">
        <v>688</v>
      </c>
      <c r="P615" t="s">
        <v>1826</v>
      </c>
    </row>
    <row r="616" spans="1:16">
      <c r="A616" t="s">
        <v>689</v>
      </c>
      <c r="P616" t="s">
        <v>1827</v>
      </c>
    </row>
    <row r="617" spans="1:16">
      <c r="A617" t="s">
        <v>690</v>
      </c>
      <c r="P617" t="s">
        <v>1828</v>
      </c>
    </row>
    <row r="618" spans="1:16">
      <c r="A618" t="s">
        <v>691</v>
      </c>
      <c r="P618" t="s">
        <v>1829</v>
      </c>
    </row>
    <row r="619" spans="1:16">
      <c r="A619" t="s">
        <v>692</v>
      </c>
      <c r="P619" t="s">
        <v>1830</v>
      </c>
    </row>
    <row r="620" spans="1:16">
      <c r="A620" t="s">
        <v>693</v>
      </c>
      <c r="P620" t="s">
        <v>1831</v>
      </c>
    </row>
    <row r="621" spans="1:16">
      <c r="A621" t="s">
        <v>694</v>
      </c>
      <c r="P621" t="s">
        <v>1832</v>
      </c>
    </row>
    <row r="622" spans="1:16">
      <c r="A622" t="s">
        <v>695</v>
      </c>
      <c r="P622" t="s">
        <v>1833</v>
      </c>
    </row>
    <row r="623" spans="1:16">
      <c r="A623" t="s">
        <v>696</v>
      </c>
      <c r="P623" t="s">
        <v>1834</v>
      </c>
    </row>
    <row r="624" spans="1:16">
      <c r="A624" t="s">
        <v>697</v>
      </c>
      <c r="P624" t="s">
        <v>1835</v>
      </c>
    </row>
    <row r="625" spans="1:16">
      <c r="A625" t="s">
        <v>698</v>
      </c>
      <c r="P625" t="s">
        <v>1836</v>
      </c>
    </row>
    <row r="626" spans="1:16">
      <c r="A626" t="s">
        <v>699</v>
      </c>
      <c r="P626" t="s">
        <v>1837</v>
      </c>
    </row>
    <row r="627" spans="1:16">
      <c r="A627" t="s">
        <v>700</v>
      </c>
      <c r="P627" t="s">
        <v>1838</v>
      </c>
    </row>
    <row r="628" spans="1:16">
      <c r="A628" t="s">
        <v>701</v>
      </c>
      <c r="P628" t="s">
        <v>1839</v>
      </c>
    </row>
    <row r="629" spans="1:16">
      <c r="A629" t="s">
        <v>702</v>
      </c>
      <c r="P629" t="s">
        <v>1840</v>
      </c>
    </row>
    <row r="630" spans="1:16">
      <c r="A630" t="s">
        <v>703</v>
      </c>
      <c r="P630" t="s">
        <v>1841</v>
      </c>
    </row>
    <row r="631" spans="1:16">
      <c r="A631" t="s">
        <v>704</v>
      </c>
      <c r="P631" t="s">
        <v>1842</v>
      </c>
    </row>
    <row r="632" spans="1:16">
      <c r="A632" t="s">
        <v>705</v>
      </c>
      <c r="P632" t="s">
        <v>1843</v>
      </c>
    </row>
    <row r="633" spans="1:16">
      <c r="A633" t="s">
        <v>706</v>
      </c>
      <c r="P633" t="s">
        <v>1844</v>
      </c>
    </row>
    <row r="634" spans="1:16">
      <c r="A634" t="s">
        <v>707</v>
      </c>
      <c r="P634" t="s">
        <v>1845</v>
      </c>
    </row>
    <row r="635" spans="1:16">
      <c r="A635" t="s">
        <v>708</v>
      </c>
      <c r="P635" t="s">
        <v>1846</v>
      </c>
    </row>
    <row r="636" spans="1:16">
      <c r="A636" t="s">
        <v>709</v>
      </c>
      <c r="P636" t="s">
        <v>1847</v>
      </c>
    </row>
    <row r="637" spans="1:16">
      <c r="A637" t="s">
        <v>710</v>
      </c>
      <c r="P637" t="s">
        <v>1848</v>
      </c>
    </row>
    <row r="638" spans="1:16">
      <c r="A638" t="s">
        <v>711</v>
      </c>
      <c r="P638" t="s">
        <v>1849</v>
      </c>
    </row>
    <row r="639" spans="1:16">
      <c r="A639" t="s">
        <v>712</v>
      </c>
      <c r="P639" t="s">
        <v>1850</v>
      </c>
    </row>
    <row r="640" spans="1:16">
      <c r="A640" t="s">
        <v>713</v>
      </c>
      <c r="P640" t="s">
        <v>1851</v>
      </c>
    </row>
    <row r="641" spans="1:16">
      <c r="A641" t="s">
        <v>714</v>
      </c>
      <c r="P641" t="s">
        <v>1852</v>
      </c>
    </row>
    <row r="642" spans="1:16">
      <c r="A642" t="s">
        <v>715</v>
      </c>
      <c r="P642" t="s">
        <v>1853</v>
      </c>
    </row>
    <row r="643" spans="1:16">
      <c r="A643" t="s">
        <v>716</v>
      </c>
      <c r="P643" t="s">
        <v>1854</v>
      </c>
    </row>
    <row r="644" spans="1:16">
      <c r="A644" t="s">
        <v>717</v>
      </c>
      <c r="P644" t="s">
        <v>1855</v>
      </c>
    </row>
    <row r="645" spans="1:16">
      <c r="A645" t="s">
        <v>718</v>
      </c>
      <c r="P645" t="s">
        <v>1856</v>
      </c>
    </row>
    <row r="646" spans="1:16">
      <c r="A646" t="s">
        <v>719</v>
      </c>
      <c r="P646" t="s">
        <v>1857</v>
      </c>
    </row>
    <row r="647" spans="1:16">
      <c r="A647" t="s">
        <v>720</v>
      </c>
      <c r="P647" t="s">
        <v>1858</v>
      </c>
    </row>
    <row r="648" spans="1:16">
      <c r="A648" t="s">
        <v>721</v>
      </c>
      <c r="P648" t="s">
        <v>1859</v>
      </c>
    </row>
    <row r="649" spans="1:16">
      <c r="A649" t="s">
        <v>722</v>
      </c>
      <c r="P649" t="s">
        <v>1860</v>
      </c>
    </row>
    <row r="650" spans="1:16">
      <c r="A650" t="s">
        <v>723</v>
      </c>
      <c r="P650" t="s">
        <v>1861</v>
      </c>
    </row>
    <row r="651" spans="1:16">
      <c r="A651" t="s">
        <v>724</v>
      </c>
      <c r="P651" t="s">
        <v>1862</v>
      </c>
    </row>
    <row r="652" spans="1:16">
      <c r="A652" t="s">
        <v>725</v>
      </c>
      <c r="P652" t="s">
        <v>1863</v>
      </c>
    </row>
    <row r="653" spans="1:16">
      <c r="A653" t="s">
        <v>726</v>
      </c>
      <c r="P653" t="s">
        <v>1864</v>
      </c>
    </row>
    <row r="654" spans="1:16">
      <c r="A654" t="s">
        <v>727</v>
      </c>
      <c r="P654" t="s">
        <v>1865</v>
      </c>
    </row>
    <row r="655" spans="1:16">
      <c r="A655" t="s">
        <v>728</v>
      </c>
      <c r="P655" t="s">
        <v>1866</v>
      </c>
    </row>
    <row r="656" spans="1:16">
      <c r="A656" t="s">
        <v>729</v>
      </c>
      <c r="P656" t="s">
        <v>1867</v>
      </c>
    </row>
    <row r="657" spans="1:16">
      <c r="A657" t="s">
        <v>730</v>
      </c>
      <c r="P657" t="s">
        <v>1868</v>
      </c>
    </row>
    <row r="658" spans="1:16">
      <c r="A658" t="s">
        <v>731</v>
      </c>
      <c r="P658" t="s">
        <v>1869</v>
      </c>
    </row>
    <row r="659" spans="1:16">
      <c r="A659" t="s">
        <v>732</v>
      </c>
      <c r="P659" t="s">
        <v>1870</v>
      </c>
    </row>
    <row r="660" spans="1:16">
      <c r="A660" t="s">
        <v>733</v>
      </c>
      <c r="P660" t="s">
        <v>1871</v>
      </c>
    </row>
    <row r="661" spans="1:16">
      <c r="A661" t="s">
        <v>734</v>
      </c>
      <c r="P661" t="s">
        <v>1872</v>
      </c>
    </row>
    <row r="662" spans="1:16">
      <c r="A662" t="s">
        <v>735</v>
      </c>
      <c r="P662" t="s">
        <v>1873</v>
      </c>
    </row>
    <row r="663" spans="1:16">
      <c r="A663" t="s">
        <v>736</v>
      </c>
      <c r="P663" t="s">
        <v>1874</v>
      </c>
    </row>
    <row r="664" spans="1:16">
      <c r="A664" t="s">
        <v>737</v>
      </c>
      <c r="P664" t="s">
        <v>1875</v>
      </c>
    </row>
    <row r="665" spans="1:16">
      <c r="A665" t="s">
        <v>738</v>
      </c>
      <c r="P665" t="s">
        <v>1876</v>
      </c>
    </row>
    <row r="666" spans="1:16">
      <c r="A666" t="s">
        <v>739</v>
      </c>
      <c r="P666" t="s">
        <v>1877</v>
      </c>
    </row>
    <row r="667" spans="1:16">
      <c r="A667" t="s">
        <v>740</v>
      </c>
      <c r="P667" t="s">
        <v>1878</v>
      </c>
    </row>
    <row r="668" spans="1:16">
      <c r="A668" t="s">
        <v>741</v>
      </c>
      <c r="P668" t="s">
        <v>1879</v>
      </c>
    </row>
    <row r="669" spans="1:16">
      <c r="A669" t="s">
        <v>742</v>
      </c>
      <c r="P669" t="s">
        <v>1880</v>
      </c>
    </row>
    <row r="670" spans="1:16">
      <c r="A670" t="s">
        <v>743</v>
      </c>
      <c r="P670" t="s">
        <v>1881</v>
      </c>
    </row>
    <row r="671" spans="1:16">
      <c r="A671" t="s">
        <v>744</v>
      </c>
      <c r="P671" t="s">
        <v>1882</v>
      </c>
    </row>
    <row r="672" spans="1:16">
      <c r="A672" t="s">
        <v>745</v>
      </c>
      <c r="P672" t="s">
        <v>1883</v>
      </c>
    </row>
    <row r="673" spans="1:16">
      <c r="A673" t="s">
        <v>746</v>
      </c>
      <c r="P673" t="s">
        <v>1884</v>
      </c>
    </row>
    <row r="674" spans="1:16">
      <c r="A674" t="s">
        <v>747</v>
      </c>
      <c r="P674" t="s">
        <v>1885</v>
      </c>
    </row>
    <row r="675" spans="1:16">
      <c r="A675" t="s">
        <v>748</v>
      </c>
      <c r="P675" t="s">
        <v>1886</v>
      </c>
    </row>
    <row r="676" spans="1:16">
      <c r="A676" t="s">
        <v>749</v>
      </c>
      <c r="P676" t="s">
        <v>1887</v>
      </c>
    </row>
    <row r="677" spans="1:16">
      <c r="A677" t="s">
        <v>750</v>
      </c>
      <c r="P677" t="s">
        <v>1888</v>
      </c>
    </row>
    <row r="678" spans="1:16">
      <c r="A678" t="s">
        <v>751</v>
      </c>
      <c r="P678" t="s">
        <v>1889</v>
      </c>
    </row>
    <row r="679" spans="1:16">
      <c r="A679" t="s">
        <v>752</v>
      </c>
      <c r="P679" t="s">
        <v>1890</v>
      </c>
    </row>
    <row r="680" spans="1:16">
      <c r="A680" t="s">
        <v>753</v>
      </c>
      <c r="P680" t="s">
        <v>1891</v>
      </c>
    </row>
    <row r="681" spans="1:16">
      <c r="A681" t="s">
        <v>754</v>
      </c>
      <c r="P681" t="s">
        <v>1892</v>
      </c>
    </row>
    <row r="682" spans="1:16">
      <c r="A682" t="s">
        <v>755</v>
      </c>
      <c r="P682" t="s">
        <v>1893</v>
      </c>
    </row>
    <row r="683" spans="1:16">
      <c r="A683" t="s">
        <v>756</v>
      </c>
      <c r="P683" t="s">
        <v>1894</v>
      </c>
    </row>
    <row r="684" spans="1:16">
      <c r="A684" t="s">
        <v>757</v>
      </c>
      <c r="P684" t="s">
        <v>1895</v>
      </c>
    </row>
    <row r="685" spans="1:16">
      <c r="A685" t="s">
        <v>758</v>
      </c>
      <c r="P685" t="s">
        <v>1896</v>
      </c>
    </row>
    <row r="686" spans="1:16">
      <c r="A686" t="s">
        <v>759</v>
      </c>
      <c r="P686" t="s">
        <v>1897</v>
      </c>
    </row>
    <row r="687" spans="1:16">
      <c r="A687" t="s">
        <v>760</v>
      </c>
      <c r="P687" t="s">
        <v>1898</v>
      </c>
    </row>
    <row r="688" spans="1:16">
      <c r="A688" t="s">
        <v>761</v>
      </c>
      <c r="P688" t="s">
        <v>1899</v>
      </c>
    </row>
    <row r="689" spans="1:16">
      <c r="A689" t="s">
        <v>762</v>
      </c>
      <c r="P689" t="s">
        <v>1900</v>
      </c>
    </row>
    <row r="690" spans="1:16">
      <c r="A690" t="s">
        <v>763</v>
      </c>
      <c r="P690" t="s">
        <v>1901</v>
      </c>
    </row>
    <row r="691" spans="1:16">
      <c r="A691" t="s">
        <v>764</v>
      </c>
      <c r="P691" t="s">
        <v>1902</v>
      </c>
    </row>
    <row r="692" spans="1:16">
      <c r="A692" t="s">
        <v>765</v>
      </c>
      <c r="P692" t="s">
        <v>1903</v>
      </c>
    </row>
    <row r="693" spans="1:16">
      <c r="A693" t="s">
        <v>766</v>
      </c>
      <c r="P693" t="s">
        <v>1904</v>
      </c>
    </row>
    <row r="694" spans="1:16">
      <c r="A694" t="s">
        <v>767</v>
      </c>
      <c r="P694" t="s">
        <v>1905</v>
      </c>
    </row>
    <row r="695" spans="1:16">
      <c r="A695" t="s">
        <v>768</v>
      </c>
      <c r="P695" t="s">
        <v>1906</v>
      </c>
    </row>
    <row r="696" spans="1:16">
      <c r="A696" t="s">
        <v>769</v>
      </c>
      <c r="P696" t="s">
        <v>1907</v>
      </c>
    </row>
    <row r="697" spans="1:16">
      <c r="A697" t="s">
        <v>770</v>
      </c>
      <c r="P697" t="s">
        <v>1908</v>
      </c>
    </row>
    <row r="698" spans="1:16">
      <c r="A698" t="s">
        <v>771</v>
      </c>
      <c r="P698" t="s">
        <v>1909</v>
      </c>
    </row>
    <row r="699" spans="1:16">
      <c r="A699" t="s">
        <v>772</v>
      </c>
      <c r="P699" t="s">
        <v>1910</v>
      </c>
    </row>
    <row r="700" spans="1:16">
      <c r="A700" t="s">
        <v>773</v>
      </c>
      <c r="P700" t="s">
        <v>1911</v>
      </c>
    </row>
    <row r="701" spans="1:16">
      <c r="A701" t="s">
        <v>774</v>
      </c>
      <c r="P701" t="s">
        <v>1912</v>
      </c>
    </row>
    <row r="702" spans="1:16">
      <c r="A702" t="s">
        <v>775</v>
      </c>
      <c r="P702" t="s">
        <v>1913</v>
      </c>
    </row>
    <row r="703" spans="1:16">
      <c r="A703" t="s">
        <v>776</v>
      </c>
      <c r="P703" t="s">
        <v>1914</v>
      </c>
    </row>
    <row r="704" spans="1:16">
      <c r="A704" t="s">
        <v>777</v>
      </c>
      <c r="P704" t="s">
        <v>1915</v>
      </c>
    </row>
    <row r="705" spans="1:16">
      <c r="A705" t="s">
        <v>778</v>
      </c>
      <c r="P705" t="s">
        <v>1916</v>
      </c>
    </row>
    <row r="706" spans="1:16">
      <c r="A706" t="s">
        <v>779</v>
      </c>
      <c r="P706" t="s">
        <v>1917</v>
      </c>
    </row>
    <row r="707" spans="1:16">
      <c r="A707" t="s">
        <v>780</v>
      </c>
      <c r="P707" t="s">
        <v>1918</v>
      </c>
    </row>
    <row r="708" spans="1:16">
      <c r="A708" t="s">
        <v>781</v>
      </c>
      <c r="P708" t="s">
        <v>1919</v>
      </c>
    </row>
    <row r="709" spans="1:16">
      <c r="A709" t="s">
        <v>782</v>
      </c>
      <c r="P709" t="s">
        <v>1920</v>
      </c>
    </row>
    <row r="710" spans="1:16">
      <c r="A710" t="s">
        <v>783</v>
      </c>
      <c r="P710" t="s">
        <v>1921</v>
      </c>
    </row>
    <row r="711" spans="1:16">
      <c r="A711" t="s">
        <v>784</v>
      </c>
      <c r="P711" t="s">
        <v>1922</v>
      </c>
    </row>
    <row r="712" spans="1:16">
      <c r="A712" t="s">
        <v>785</v>
      </c>
      <c r="P712" t="s">
        <v>1923</v>
      </c>
    </row>
    <row r="713" spans="1:16">
      <c r="A713" t="s">
        <v>786</v>
      </c>
      <c r="P713" t="s">
        <v>1924</v>
      </c>
    </row>
    <row r="714" spans="1:16">
      <c r="A714" t="s">
        <v>787</v>
      </c>
      <c r="P714" t="s">
        <v>1925</v>
      </c>
    </row>
    <row r="715" spans="1:16">
      <c r="A715" t="s">
        <v>788</v>
      </c>
      <c r="P715" t="s">
        <v>1926</v>
      </c>
    </row>
    <row r="716" spans="1:16">
      <c r="A716" t="s">
        <v>789</v>
      </c>
      <c r="P716" t="s">
        <v>1927</v>
      </c>
    </row>
    <row r="717" spans="1:16">
      <c r="A717" t="s">
        <v>790</v>
      </c>
      <c r="P717" t="s">
        <v>1928</v>
      </c>
    </row>
    <row r="718" spans="1:16">
      <c r="A718" t="s">
        <v>791</v>
      </c>
      <c r="P718" t="s">
        <v>1929</v>
      </c>
    </row>
    <row r="719" spans="1:16">
      <c r="A719" t="s">
        <v>792</v>
      </c>
      <c r="P719" t="s">
        <v>1930</v>
      </c>
    </row>
    <row r="720" spans="1:16">
      <c r="A720" t="s">
        <v>793</v>
      </c>
      <c r="P720" t="s">
        <v>1931</v>
      </c>
    </row>
    <row r="721" spans="1:16">
      <c r="A721" t="s">
        <v>794</v>
      </c>
      <c r="P721" t="s">
        <v>1932</v>
      </c>
    </row>
    <row r="722" spans="1:16">
      <c r="A722" t="s">
        <v>795</v>
      </c>
      <c r="P722" t="s">
        <v>1933</v>
      </c>
    </row>
    <row r="723" spans="1:16">
      <c r="A723" t="s">
        <v>796</v>
      </c>
      <c r="P723" t="s">
        <v>1934</v>
      </c>
    </row>
    <row r="724" spans="1:16">
      <c r="A724" t="s">
        <v>797</v>
      </c>
      <c r="P724" t="s">
        <v>1935</v>
      </c>
    </row>
    <row r="725" spans="1:16">
      <c r="A725" t="s">
        <v>798</v>
      </c>
      <c r="P725" t="s">
        <v>1936</v>
      </c>
    </row>
    <row r="726" spans="1:16">
      <c r="A726" t="s">
        <v>799</v>
      </c>
      <c r="P726" t="s">
        <v>1937</v>
      </c>
    </row>
    <row r="727" spans="1:16">
      <c r="A727" t="s">
        <v>800</v>
      </c>
      <c r="P727" t="s">
        <v>1938</v>
      </c>
    </row>
    <row r="728" spans="1:16">
      <c r="A728" t="s">
        <v>801</v>
      </c>
      <c r="P728" t="s">
        <v>1939</v>
      </c>
    </row>
    <row r="729" spans="1:16">
      <c r="A729" t="s">
        <v>802</v>
      </c>
      <c r="P729" t="s">
        <v>1940</v>
      </c>
    </row>
    <row r="730" spans="1:16">
      <c r="A730" t="s">
        <v>803</v>
      </c>
      <c r="P730" t="s">
        <v>1941</v>
      </c>
    </row>
    <row r="731" spans="1:16">
      <c r="A731" t="s">
        <v>804</v>
      </c>
      <c r="P731" t="s">
        <v>1942</v>
      </c>
    </row>
    <row r="732" spans="1:16">
      <c r="A732" t="s">
        <v>805</v>
      </c>
      <c r="P732" t="s">
        <v>1943</v>
      </c>
    </row>
    <row r="733" spans="1:16">
      <c r="A733" t="s">
        <v>806</v>
      </c>
      <c r="P733" t="s">
        <v>1944</v>
      </c>
    </row>
    <row r="734" spans="1:16">
      <c r="A734" t="s">
        <v>807</v>
      </c>
      <c r="P734" t="s">
        <v>1945</v>
      </c>
    </row>
    <row r="735" spans="1:16">
      <c r="A735" t="s">
        <v>808</v>
      </c>
      <c r="P735" t="s">
        <v>1946</v>
      </c>
    </row>
    <row r="736" spans="1:16">
      <c r="A736" t="s">
        <v>809</v>
      </c>
      <c r="P736" t="s">
        <v>1947</v>
      </c>
    </row>
    <row r="737" spans="1:16">
      <c r="A737" t="s">
        <v>810</v>
      </c>
      <c r="P737" t="s">
        <v>1948</v>
      </c>
    </row>
    <row r="738" spans="1:16">
      <c r="A738" t="s">
        <v>811</v>
      </c>
      <c r="P738" t="s">
        <v>1949</v>
      </c>
    </row>
    <row r="739" spans="1:16">
      <c r="A739" t="s">
        <v>812</v>
      </c>
      <c r="P739" t="s">
        <v>1950</v>
      </c>
    </row>
    <row r="740" spans="1:16">
      <c r="A740" t="s">
        <v>813</v>
      </c>
      <c r="P740" t="s">
        <v>1951</v>
      </c>
    </row>
    <row r="741" spans="1:16">
      <c r="A741" t="s">
        <v>814</v>
      </c>
      <c r="P741" t="s">
        <v>1952</v>
      </c>
    </row>
    <row r="742" spans="1:16">
      <c r="A742" t="s">
        <v>815</v>
      </c>
      <c r="P742" t="s">
        <v>1953</v>
      </c>
    </row>
    <row r="743" spans="1:16">
      <c r="A743" t="s">
        <v>816</v>
      </c>
      <c r="P743" t="s">
        <v>1954</v>
      </c>
    </row>
    <row r="744" spans="1:16">
      <c r="A744" t="s">
        <v>817</v>
      </c>
      <c r="P744" t="s">
        <v>1955</v>
      </c>
    </row>
    <row r="745" spans="1:16">
      <c r="A745" t="s">
        <v>818</v>
      </c>
      <c r="P745" t="s">
        <v>1956</v>
      </c>
    </row>
    <row r="746" spans="1:16">
      <c r="A746" t="s">
        <v>819</v>
      </c>
      <c r="P746" t="s">
        <v>1957</v>
      </c>
    </row>
    <row r="747" spans="1:16">
      <c r="A747" t="s">
        <v>820</v>
      </c>
      <c r="P747" t="s">
        <v>1958</v>
      </c>
    </row>
    <row r="748" spans="1:16">
      <c r="A748" t="s">
        <v>821</v>
      </c>
      <c r="P748" t="s">
        <v>1959</v>
      </c>
    </row>
    <row r="749" spans="1:16">
      <c r="A749" t="s">
        <v>822</v>
      </c>
      <c r="P749" t="s">
        <v>1960</v>
      </c>
    </row>
    <row r="750" spans="1:16">
      <c r="A750" t="s">
        <v>823</v>
      </c>
      <c r="P750" t="s">
        <v>1961</v>
      </c>
    </row>
    <row r="751" spans="1:16">
      <c r="A751" t="s">
        <v>824</v>
      </c>
      <c r="P751" t="s">
        <v>1962</v>
      </c>
    </row>
    <row r="752" spans="1:16">
      <c r="A752" t="s">
        <v>825</v>
      </c>
      <c r="P752" t="s">
        <v>1963</v>
      </c>
    </row>
    <row r="753" spans="1:16">
      <c r="A753" t="s">
        <v>826</v>
      </c>
      <c r="P753" t="s">
        <v>1964</v>
      </c>
    </row>
    <row r="754" spans="1:16">
      <c r="A754" t="s">
        <v>827</v>
      </c>
      <c r="P754" t="s">
        <v>1965</v>
      </c>
    </row>
    <row r="755" spans="1:16">
      <c r="A755" t="s">
        <v>828</v>
      </c>
      <c r="P755" t="s">
        <v>1966</v>
      </c>
    </row>
    <row r="756" spans="1:16">
      <c r="A756" t="s">
        <v>829</v>
      </c>
      <c r="P756" t="s">
        <v>1967</v>
      </c>
    </row>
    <row r="757" spans="1:16">
      <c r="A757" t="s">
        <v>830</v>
      </c>
      <c r="P757" t="s">
        <v>1968</v>
      </c>
    </row>
    <row r="758" spans="1:16">
      <c r="A758" t="s">
        <v>831</v>
      </c>
      <c r="P758" t="s">
        <v>1969</v>
      </c>
    </row>
    <row r="759" spans="1:16">
      <c r="A759" t="s">
        <v>832</v>
      </c>
      <c r="P759" t="s">
        <v>1970</v>
      </c>
    </row>
    <row r="760" spans="1:16">
      <c r="A760" t="s">
        <v>833</v>
      </c>
      <c r="P760" t="s">
        <v>1971</v>
      </c>
    </row>
    <row r="761" spans="1:16">
      <c r="A761" t="s">
        <v>834</v>
      </c>
      <c r="P761" t="s">
        <v>1972</v>
      </c>
    </row>
    <row r="762" spans="1:16">
      <c r="A762" t="s">
        <v>835</v>
      </c>
      <c r="P762" t="s">
        <v>1973</v>
      </c>
    </row>
    <row r="763" spans="1:16">
      <c r="A763" t="s">
        <v>836</v>
      </c>
      <c r="P763" t="s">
        <v>1974</v>
      </c>
    </row>
    <row r="764" spans="1:16">
      <c r="A764" t="s">
        <v>837</v>
      </c>
      <c r="P764" t="s">
        <v>1975</v>
      </c>
    </row>
    <row r="765" spans="1:16">
      <c r="A765" t="s">
        <v>838</v>
      </c>
      <c r="P765" t="s">
        <v>1976</v>
      </c>
    </row>
    <row r="766" spans="1:16">
      <c r="A766" t="s">
        <v>839</v>
      </c>
      <c r="P766" t="s">
        <v>1977</v>
      </c>
    </row>
    <row r="767" spans="1:16">
      <c r="A767" t="s">
        <v>840</v>
      </c>
      <c r="P767" t="s">
        <v>1978</v>
      </c>
    </row>
    <row r="768" spans="1:16">
      <c r="A768" t="s">
        <v>841</v>
      </c>
      <c r="P768" t="s">
        <v>1979</v>
      </c>
    </row>
    <row r="769" spans="1:16">
      <c r="A769" t="s">
        <v>842</v>
      </c>
      <c r="P769" t="s">
        <v>1980</v>
      </c>
    </row>
    <row r="770" spans="1:16">
      <c r="A770" t="s">
        <v>843</v>
      </c>
      <c r="P770" t="s">
        <v>1981</v>
      </c>
    </row>
    <row r="771" spans="1:16">
      <c r="A771" t="s">
        <v>844</v>
      </c>
      <c r="P771" t="s">
        <v>1982</v>
      </c>
    </row>
    <row r="772" spans="1:16">
      <c r="A772" t="s">
        <v>845</v>
      </c>
      <c r="P772" t="s">
        <v>1983</v>
      </c>
    </row>
    <row r="773" spans="1:16">
      <c r="A773" t="s">
        <v>846</v>
      </c>
      <c r="P773" t="s">
        <v>1984</v>
      </c>
    </row>
    <row r="774" spans="1:16">
      <c r="A774" t="s">
        <v>847</v>
      </c>
      <c r="P774" t="s">
        <v>1985</v>
      </c>
    </row>
    <row r="775" spans="1:16">
      <c r="A775" t="s">
        <v>848</v>
      </c>
      <c r="P775" t="s">
        <v>1986</v>
      </c>
    </row>
    <row r="776" spans="1:16">
      <c r="A776" t="s">
        <v>849</v>
      </c>
      <c r="P776" t="s">
        <v>1987</v>
      </c>
    </row>
    <row r="777" spans="1:16">
      <c r="A777" t="s">
        <v>850</v>
      </c>
      <c r="P777" t="s">
        <v>1988</v>
      </c>
    </row>
    <row r="778" spans="1:16">
      <c r="A778" t="s">
        <v>851</v>
      </c>
      <c r="P778" t="s">
        <v>1989</v>
      </c>
    </row>
    <row r="779" spans="1:16">
      <c r="A779" t="s">
        <v>852</v>
      </c>
      <c r="P779" t="s">
        <v>1990</v>
      </c>
    </row>
    <row r="780" spans="1:16">
      <c r="A780" t="s">
        <v>853</v>
      </c>
      <c r="P780" t="s">
        <v>1991</v>
      </c>
    </row>
    <row r="781" spans="1:16">
      <c r="A781" t="s">
        <v>854</v>
      </c>
      <c r="P781" t="s">
        <v>1992</v>
      </c>
    </row>
    <row r="782" spans="1:16">
      <c r="A782" t="s">
        <v>855</v>
      </c>
      <c r="P782" t="s">
        <v>1993</v>
      </c>
    </row>
    <row r="783" spans="1:16">
      <c r="A783" t="s">
        <v>856</v>
      </c>
      <c r="P783" t="s">
        <v>1994</v>
      </c>
    </row>
    <row r="784" spans="1:16">
      <c r="A784" t="s">
        <v>857</v>
      </c>
      <c r="P784" t="s">
        <v>1995</v>
      </c>
    </row>
    <row r="785" spans="1:16">
      <c r="A785" t="s">
        <v>858</v>
      </c>
      <c r="P785" t="s">
        <v>1996</v>
      </c>
    </row>
    <row r="786" spans="1:16">
      <c r="A786" t="s">
        <v>859</v>
      </c>
      <c r="P786" t="s">
        <v>1997</v>
      </c>
    </row>
    <row r="787" spans="1:16">
      <c r="A787" t="s">
        <v>860</v>
      </c>
      <c r="P787" t="s">
        <v>1998</v>
      </c>
    </row>
    <row r="788" spans="1:16">
      <c r="A788" t="s">
        <v>861</v>
      </c>
      <c r="P788" t="s">
        <v>1999</v>
      </c>
    </row>
    <row r="789" spans="1:16">
      <c r="A789" t="s">
        <v>862</v>
      </c>
      <c r="P789" t="s">
        <v>2000</v>
      </c>
    </row>
    <row r="790" spans="1:16">
      <c r="A790" t="s">
        <v>863</v>
      </c>
      <c r="P790" t="s">
        <v>2001</v>
      </c>
    </row>
    <row r="791" spans="1:16">
      <c r="A791" t="s">
        <v>864</v>
      </c>
      <c r="P791" t="s">
        <v>2002</v>
      </c>
    </row>
    <row r="792" spans="1:16">
      <c r="A792" t="s">
        <v>865</v>
      </c>
      <c r="P792" t="s">
        <v>2003</v>
      </c>
    </row>
    <row r="793" spans="1:16">
      <c r="A793" t="s">
        <v>866</v>
      </c>
      <c r="P793" t="s">
        <v>2004</v>
      </c>
    </row>
    <row r="794" spans="1:16">
      <c r="A794" t="s">
        <v>867</v>
      </c>
      <c r="P794" t="s">
        <v>2005</v>
      </c>
    </row>
    <row r="795" spans="1:16">
      <c r="A795" t="s">
        <v>868</v>
      </c>
      <c r="P795" t="s">
        <v>2006</v>
      </c>
    </row>
    <row r="796" spans="1:16">
      <c r="A796" t="s">
        <v>869</v>
      </c>
      <c r="P796" t="s">
        <v>2007</v>
      </c>
    </row>
    <row r="797" spans="1:16">
      <c r="A797" t="s">
        <v>870</v>
      </c>
      <c r="P797" t="s">
        <v>2008</v>
      </c>
    </row>
    <row r="798" spans="1:16">
      <c r="A798" t="s">
        <v>871</v>
      </c>
      <c r="P798" t="s">
        <v>2009</v>
      </c>
    </row>
    <row r="799" spans="1:16">
      <c r="A799" t="s">
        <v>872</v>
      </c>
      <c r="P799" t="s">
        <v>2010</v>
      </c>
    </row>
    <row r="800" spans="1:16">
      <c r="A800" t="s">
        <v>873</v>
      </c>
      <c r="P800" t="s">
        <v>2011</v>
      </c>
    </row>
    <row r="801" spans="1:16">
      <c r="A801" t="s">
        <v>874</v>
      </c>
      <c r="P801" t="s">
        <v>2012</v>
      </c>
    </row>
    <row r="802" spans="1:16">
      <c r="A802" t="s">
        <v>875</v>
      </c>
      <c r="P802" t="s">
        <v>2013</v>
      </c>
    </row>
    <row r="803" spans="1:16">
      <c r="A803" t="s">
        <v>876</v>
      </c>
      <c r="P803" t="s">
        <v>2014</v>
      </c>
    </row>
    <row r="804" spans="1:16">
      <c r="A804" t="s">
        <v>877</v>
      </c>
      <c r="P804" t="s">
        <v>2015</v>
      </c>
    </row>
    <row r="805" spans="1:16">
      <c r="A805" t="s">
        <v>878</v>
      </c>
      <c r="P805" t="s">
        <v>2016</v>
      </c>
    </row>
    <row r="806" spans="1:16">
      <c r="A806" t="s">
        <v>879</v>
      </c>
      <c r="P806" t="s">
        <v>2017</v>
      </c>
    </row>
    <row r="807" spans="1:16">
      <c r="A807" t="s">
        <v>880</v>
      </c>
      <c r="P807" t="s">
        <v>2018</v>
      </c>
    </row>
    <row r="808" spans="1:16">
      <c r="A808" t="s">
        <v>881</v>
      </c>
      <c r="P808" t="s">
        <v>2019</v>
      </c>
    </row>
    <row r="809" spans="1:16">
      <c r="A809" t="s">
        <v>882</v>
      </c>
      <c r="P809" t="s">
        <v>2020</v>
      </c>
    </row>
    <row r="810" spans="1:16">
      <c r="A810" t="s">
        <v>883</v>
      </c>
      <c r="P810" t="s">
        <v>2021</v>
      </c>
    </row>
    <row r="811" spans="1:16">
      <c r="A811" t="s">
        <v>884</v>
      </c>
      <c r="P811" t="s">
        <v>2022</v>
      </c>
    </row>
    <row r="812" spans="1:16">
      <c r="A812" t="s">
        <v>885</v>
      </c>
      <c r="P812" t="s">
        <v>2023</v>
      </c>
    </row>
    <row r="813" spans="1:16">
      <c r="A813" t="s">
        <v>886</v>
      </c>
      <c r="P813" t="s">
        <v>2024</v>
      </c>
    </row>
    <row r="814" spans="1:16">
      <c r="A814" t="s">
        <v>887</v>
      </c>
      <c r="P814" t="s">
        <v>2025</v>
      </c>
    </row>
    <row r="815" spans="1:16">
      <c r="A815" t="s">
        <v>888</v>
      </c>
      <c r="P815" t="s">
        <v>2026</v>
      </c>
    </row>
    <row r="816" spans="1:16">
      <c r="A816" t="s">
        <v>889</v>
      </c>
      <c r="P816" t="s">
        <v>2027</v>
      </c>
    </row>
    <row r="817" spans="1:16">
      <c r="A817" t="s">
        <v>890</v>
      </c>
      <c r="P817" t="s">
        <v>2028</v>
      </c>
    </row>
    <row r="818" spans="1:16">
      <c r="A818" t="s">
        <v>891</v>
      </c>
      <c r="P818" t="s">
        <v>2029</v>
      </c>
    </row>
    <row r="819" spans="1:16">
      <c r="A819" t="s">
        <v>892</v>
      </c>
      <c r="P819" t="s">
        <v>2030</v>
      </c>
    </row>
    <row r="820" spans="1:16">
      <c r="A820" t="s">
        <v>893</v>
      </c>
      <c r="P820" t="s">
        <v>2031</v>
      </c>
    </row>
    <row r="821" spans="1:16">
      <c r="A821" t="s">
        <v>894</v>
      </c>
      <c r="P821" t="s">
        <v>2032</v>
      </c>
    </row>
    <row r="822" spans="1:16">
      <c r="A822" t="s">
        <v>895</v>
      </c>
      <c r="P822" t="s">
        <v>2033</v>
      </c>
    </row>
    <row r="823" spans="1:16">
      <c r="A823" t="s">
        <v>896</v>
      </c>
      <c r="P823" t="s">
        <v>2034</v>
      </c>
    </row>
    <row r="824" spans="1:16">
      <c r="A824" t="s">
        <v>897</v>
      </c>
      <c r="P824" t="s">
        <v>2035</v>
      </c>
    </row>
    <row r="825" spans="1:16">
      <c r="A825" t="s">
        <v>898</v>
      </c>
      <c r="P825" t="s">
        <v>2036</v>
      </c>
    </row>
    <row r="826" spans="1:16">
      <c r="A826" t="s">
        <v>899</v>
      </c>
      <c r="P826" t="s">
        <v>2037</v>
      </c>
    </row>
    <row r="827" spans="1:16">
      <c r="A827" t="s">
        <v>900</v>
      </c>
      <c r="P827" t="s">
        <v>2038</v>
      </c>
    </row>
    <row r="828" spans="1:16">
      <c r="A828" t="s">
        <v>901</v>
      </c>
      <c r="P828" t="s">
        <v>2039</v>
      </c>
    </row>
    <row r="829" spans="1:16">
      <c r="A829" t="s">
        <v>902</v>
      </c>
      <c r="P829" t="s">
        <v>2040</v>
      </c>
    </row>
    <row r="830" spans="1:16">
      <c r="A830" t="s">
        <v>903</v>
      </c>
      <c r="P830" t="s">
        <v>2041</v>
      </c>
    </row>
    <row r="831" spans="1:16">
      <c r="A831" t="s">
        <v>904</v>
      </c>
      <c r="P831" t="s">
        <v>2042</v>
      </c>
    </row>
    <row r="832" spans="1:16">
      <c r="A832" t="s">
        <v>905</v>
      </c>
      <c r="P832" t="s">
        <v>2043</v>
      </c>
    </row>
    <row r="833" spans="1:16">
      <c r="A833" t="s">
        <v>906</v>
      </c>
      <c r="P833" t="s">
        <v>2044</v>
      </c>
    </row>
    <row r="834" spans="1:16">
      <c r="A834" t="s">
        <v>907</v>
      </c>
      <c r="P834" t="s">
        <v>2045</v>
      </c>
    </row>
    <row r="835" spans="1:16">
      <c r="A835" t="s">
        <v>908</v>
      </c>
      <c r="P835" t="s">
        <v>2046</v>
      </c>
    </row>
    <row r="836" spans="1:16">
      <c r="A836" t="s">
        <v>909</v>
      </c>
      <c r="P836" t="s">
        <v>2047</v>
      </c>
    </row>
    <row r="837" spans="1:16">
      <c r="A837" t="s">
        <v>910</v>
      </c>
      <c r="P837" t="s">
        <v>2048</v>
      </c>
    </row>
    <row r="838" spans="1:16">
      <c r="A838" t="s">
        <v>911</v>
      </c>
      <c r="P838" t="s">
        <v>2049</v>
      </c>
    </row>
    <row r="839" spans="1:16">
      <c r="A839" t="s">
        <v>912</v>
      </c>
      <c r="P839" t="s">
        <v>2050</v>
      </c>
    </row>
    <row r="840" spans="1:16">
      <c r="A840" t="s">
        <v>913</v>
      </c>
      <c r="P840" t="s">
        <v>2051</v>
      </c>
    </row>
    <row r="841" spans="1:16">
      <c r="A841" t="s">
        <v>914</v>
      </c>
      <c r="P841" t="s">
        <v>2052</v>
      </c>
    </row>
    <row r="842" spans="1:16">
      <c r="A842" t="s">
        <v>915</v>
      </c>
      <c r="P842" t="s">
        <v>2053</v>
      </c>
    </row>
    <row r="843" spans="1:16">
      <c r="A843" t="s">
        <v>916</v>
      </c>
      <c r="P843" t="s">
        <v>2054</v>
      </c>
    </row>
    <row r="844" spans="1:16">
      <c r="A844" t="s">
        <v>917</v>
      </c>
      <c r="P844" t="s">
        <v>2055</v>
      </c>
    </row>
    <row r="845" spans="1:16">
      <c r="A845" t="s">
        <v>918</v>
      </c>
      <c r="P845" t="s">
        <v>2056</v>
      </c>
    </row>
    <row r="846" spans="1:16">
      <c r="A846" t="s">
        <v>919</v>
      </c>
      <c r="P846" t="s">
        <v>2057</v>
      </c>
    </row>
    <row r="847" spans="1:16">
      <c r="A847" t="s">
        <v>920</v>
      </c>
      <c r="P847" t="s">
        <v>2058</v>
      </c>
    </row>
    <row r="848" spans="1:16">
      <c r="A848" t="s">
        <v>921</v>
      </c>
      <c r="P848" t="s">
        <v>2059</v>
      </c>
    </row>
    <row r="849" spans="1:16">
      <c r="A849" t="s">
        <v>922</v>
      </c>
      <c r="P849" t="s">
        <v>2060</v>
      </c>
    </row>
    <row r="850" spans="1:16">
      <c r="A850" t="s">
        <v>923</v>
      </c>
      <c r="P850" t="s">
        <v>2061</v>
      </c>
    </row>
    <row r="851" spans="1:16">
      <c r="P851" t="s">
        <v>2062</v>
      </c>
    </row>
    <row r="852" spans="1:16">
      <c r="P852" t="s">
        <v>2063</v>
      </c>
    </row>
    <row r="853" spans="1:16">
      <c r="P853" t="s">
        <v>2064</v>
      </c>
    </row>
    <row r="854" spans="1:16">
      <c r="P854" t="s">
        <v>2065</v>
      </c>
    </row>
    <row r="855" spans="1:16">
      <c r="P855" t="s">
        <v>2066</v>
      </c>
    </row>
    <row r="856" spans="1:16">
      <c r="P856" t="s">
        <v>2067</v>
      </c>
    </row>
    <row r="857" spans="1:16">
      <c r="P857" t="s">
        <v>2068</v>
      </c>
    </row>
    <row r="858" spans="1:16">
      <c r="P858" t="s">
        <v>2069</v>
      </c>
    </row>
    <row r="859" spans="1:16">
      <c r="P859" t="s">
        <v>2070</v>
      </c>
    </row>
    <row r="860" spans="1:16">
      <c r="P860" t="s">
        <v>2071</v>
      </c>
    </row>
    <row r="861" spans="1:16">
      <c r="P861" t="s">
        <v>2072</v>
      </c>
    </row>
    <row r="862" spans="1:16">
      <c r="P862" t="s">
        <v>2073</v>
      </c>
    </row>
    <row r="863" spans="1:16">
      <c r="P863" t="s">
        <v>2074</v>
      </c>
    </row>
    <row r="864" spans="1:16">
      <c r="P864" t="s">
        <v>2075</v>
      </c>
    </row>
    <row r="865" spans="16:16">
      <c r="P865" t="s">
        <v>2076</v>
      </c>
    </row>
    <row r="866" spans="16:16">
      <c r="P866" t="s">
        <v>2077</v>
      </c>
    </row>
    <row r="867" spans="16:16">
      <c r="P867" t="s">
        <v>2078</v>
      </c>
    </row>
    <row r="868" spans="16:16">
      <c r="P868" t="s">
        <v>2079</v>
      </c>
    </row>
    <row r="869" spans="16:16">
      <c r="P869" t="s">
        <v>2080</v>
      </c>
    </row>
    <row r="870" spans="16:16">
      <c r="P870" t="s">
        <v>2081</v>
      </c>
    </row>
    <row r="871" spans="16:16">
      <c r="P871" t="s">
        <v>2082</v>
      </c>
    </row>
    <row r="872" spans="16:16">
      <c r="P872" t="s">
        <v>2083</v>
      </c>
    </row>
    <row r="873" spans="16:16">
      <c r="P873" t="s">
        <v>2084</v>
      </c>
    </row>
    <row r="874" spans="16:16">
      <c r="P874" t="s">
        <v>2085</v>
      </c>
    </row>
    <row r="875" spans="16:16">
      <c r="P875" t="s">
        <v>2086</v>
      </c>
    </row>
    <row r="876" spans="16:16">
      <c r="P876" t="s">
        <v>2087</v>
      </c>
    </row>
    <row r="877" spans="16:16">
      <c r="P877" t="s">
        <v>2088</v>
      </c>
    </row>
    <row r="878" spans="16:16">
      <c r="P878" t="s">
        <v>2089</v>
      </c>
    </row>
    <row r="879" spans="16:16">
      <c r="P879" t="s">
        <v>2090</v>
      </c>
    </row>
    <row r="880" spans="16:16">
      <c r="P880" t="s">
        <v>2091</v>
      </c>
    </row>
    <row r="881" spans="16:16">
      <c r="P881" t="s">
        <v>2092</v>
      </c>
    </row>
    <row r="882" spans="16:16">
      <c r="P882" t="s">
        <v>2093</v>
      </c>
    </row>
    <row r="883" spans="16:16">
      <c r="P883" t="s">
        <v>2094</v>
      </c>
    </row>
    <row r="884" spans="16:16">
      <c r="P884" t="s">
        <v>2095</v>
      </c>
    </row>
    <row r="885" spans="16:16">
      <c r="P885" t="s">
        <v>2096</v>
      </c>
    </row>
    <row r="886" spans="16:16">
      <c r="P886" t="s">
        <v>2097</v>
      </c>
    </row>
    <row r="887" spans="16:16">
      <c r="P887" t="s">
        <v>2098</v>
      </c>
    </row>
    <row r="888" spans="16:16">
      <c r="P888" t="s">
        <v>2099</v>
      </c>
    </row>
    <row r="889" spans="16:16">
      <c r="P889" t="s">
        <v>2100</v>
      </c>
    </row>
    <row r="890" spans="16:16">
      <c r="P890" t="s">
        <v>2101</v>
      </c>
    </row>
    <row r="891" spans="16:16">
      <c r="P891" t="s">
        <v>2102</v>
      </c>
    </row>
    <row r="892" spans="16:16">
      <c r="P892" t="s">
        <v>2103</v>
      </c>
    </row>
    <row r="893" spans="16:16">
      <c r="P893" t="s">
        <v>2104</v>
      </c>
    </row>
    <row r="894" spans="16:16">
      <c r="P894" t="s">
        <v>2105</v>
      </c>
    </row>
    <row r="895" spans="16:16">
      <c r="P895" t="s">
        <v>2106</v>
      </c>
    </row>
    <row r="896" spans="16:16">
      <c r="P896" t="s">
        <v>2107</v>
      </c>
    </row>
    <row r="897" spans="16:16">
      <c r="P897" t="s">
        <v>2108</v>
      </c>
    </row>
    <row r="898" spans="16:16">
      <c r="P898" t="s">
        <v>2109</v>
      </c>
    </row>
    <row r="899" spans="16:16">
      <c r="P899" t="s">
        <v>2110</v>
      </c>
    </row>
    <row r="900" spans="16:16">
      <c r="P900" t="s">
        <v>2111</v>
      </c>
    </row>
    <row r="901" spans="16:16">
      <c r="P901" t="s">
        <v>2112</v>
      </c>
    </row>
    <row r="902" spans="16:16">
      <c r="P902" t="s">
        <v>2113</v>
      </c>
    </row>
    <row r="903" spans="16:16">
      <c r="P903" t="s">
        <v>2114</v>
      </c>
    </row>
    <row r="904" spans="16:16">
      <c r="P904" t="s">
        <v>2115</v>
      </c>
    </row>
    <row r="905" spans="16:16">
      <c r="P905" t="s">
        <v>2116</v>
      </c>
    </row>
    <row r="906" spans="16:16">
      <c r="P906" t="s">
        <v>2117</v>
      </c>
    </row>
    <row r="907" spans="16:16">
      <c r="P907" t="s">
        <v>2118</v>
      </c>
    </row>
    <row r="908" spans="16:16">
      <c r="P908" t="s">
        <v>2119</v>
      </c>
    </row>
  </sheetData>
  <sheetProtection password="FBFF"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Q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22.7109375" style="22" customWidth="1"/>
    <col min="68" max="68" width="43.7109375" style="22" customWidth="1"/>
    <col min="69" max="69" width="39.7109375" style="22" customWidth="1"/>
    <col min="70" max="70" width="13.7109375" style="22" customWidth="1"/>
    <col min="71" max="71" width="15.7109375" style="22" customWidth="1"/>
    <col min="72" max="72" width="13.7109375" style="22" customWidth="1"/>
    <col min="73" max="73" width="17.7109375" style="22" customWidth="1"/>
    <col min="74" max="74" width="10.7109375" style="22" customWidth="1"/>
    <col min="75" max="75" width="29.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79.7109375" style="22" customWidth="1"/>
    <col min="93" max="93" width="21.7109375" style="22" customWidth="1"/>
    <col min="94" max="95" width="15.7109375" style="22" customWidth="1"/>
  </cols>
  <sheetData>
    <row r="1" spans="1:95"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2364</v>
      </c>
      <c r="BJ1" s="22" t="s">
        <v>2367</v>
      </c>
      <c r="BK1" s="22" t="s">
        <v>2371</v>
      </c>
      <c r="BL1" s="22" t="s">
        <v>2374</v>
      </c>
      <c r="BM1" s="22" t="s">
        <v>2377</v>
      </c>
      <c r="BN1" s="22" t="s">
        <v>2381</v>
      </c>
      <c r="BO1" s="22" t="s">
        <v>2385</v>
      </c>
      <c r="BP1" s="22" t="s">
        <v>2388</v>
      </c>
      <c r="BQ1" s="22" t="s">
        <v>2392</v>
      </c>
      <c r="BR1" s="22" t="s">
        <v>2396</v>
      </c>
      <c r="BS1" s="22" t="s">
        <v>2399</v>
      </c>
      <c r="BT1" s="22" t="s">
        <v>2403</v>
      </c>
      <c r="BU1" s="22" t="s">
        <v>2407</v>
      </c>
      <c r="BV1" s="22" t="s">
        <v>2411</v>
      </c>
      <c r="BW1" s="22" t="s">
        <v>2414</v>
      </c>
      <c r="BX1" s="22" t="s">
        <v>2417</v>
      </c>
      <c r="BY1" s="22" t="s">
        <v>2421</v>
      </c>
      <c r="BZ1" s="22" t="s">
        <v>2425</v>
      </c>
      <c r="CA1" s="22" t="s">
        <v>2428</v>
      </c>
      <c r="CB1" s="22" t="s">
        <v>2432</v>
      </c>
      <c r="CC1" s="22" t="s">
        <v>2436</v>
      </c>
      <c r="CD1" s="22" t="s">
        <v>2440</v>
      </c>
      <c r="CE1" s="22" t="s">
        <v>2444</v>
      </c>
      <c r="CF1" s="22" t="s">
        <v>2447</v>
      </c>
      <c r="CG1" s="22" t="s">
        <v>2450</v>
      </c>
      <c r="CH1" s="22" t="s">
        <v>2453</v>
      </c>
      <c r="CI1" s="22" t="s">
        <v>2456</v>
      </c>
      <c r="CJ1" s="22" t="s">
        <v>2459</v>
      </c>
      <c r="CK1" s="22" t="s">
        <v>2462</v>
      </c>
      <c r="CL1" s="22" t="s">
        <v>2465</v>
      </c>
      <c r="CM1" s="22" t="s">
        <v>2468</v>
      </c>
      <c r="CN1" s="22" t="s">
        <v>2471</v>
      </c>
      <c r="CO1" s="22" t="s">
        <v>2474</v>
      </c>
      <c r="CP1" s="22" t="s">
        <v>2477</v>
      </c>
      <c r="CQ1" s="22" t="s">
        <v>2480</v>
      </c>
    </row>
    <row r="2" spans="1:95">
      <c r="B2" s="23" t="s">
        <v>2484</v>
      </c>
      <c r="J2" s="24" t="s">
        <v>2485</v>
      </c>
      <c r="R2" s="25" t="s">
        <v>2486</v>
      </c>
      <c r="V2" s="26" t="s">
        <v>2487</v>
      </c>
      <c r="AB2" s="27" t="s">
        <v>2488</v>
      </c>
      <c r="AM2" s="28" t="s">
        <v>2489</v>
      </c>
      <c r="AQ2" s="29" t="s">
        <v>2490</v>
      </c>
      <c r="BI2" s="30" t="s">
        <v>2491</v>
      </c>
      <c r="CO2" s="31" t="s">
        <v>2492</v>
      </c>
    </row>
    <row r="3" spans="1:95">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58</v>
      </c>
      <c r="BP3" s="32" t="s">
        <v>62</v>
      </c>
      <c r="BQ3" s="32" t="s">
        <v>58</v>
      </c>
      <c r="BR3" s="32" t="s">
        <v>58</v>
      </c>
      <c r="BS3" s="32" t="s">
        <v>60</v>
      </c>
      <c r="BT3" s="32" t="s">
        <v>60</v>
      </c>
      <c r="BU3" s="32" t="s">
        <v>60</v>
      </c>
      <c r="BV3" s="32" t="s">
        <v>58</v>
      </c>
      <c r="BW3" s="32" t="s">
        <v>60</v>
      </c>
      <c r="BX3" s="32" t="s">
        <v>60</v>
      </c>
      <c r="BY3" s="32" t="s">
        <v>60</v>
      </c>
      <c r="BZ3" s="32" t="s">
        <v>60</v>
      </c>
      <c r="CA3" s="32" t="s">
        <v>60</v>
      </c>
      <c r="CB3" s="32" t="s">
        <v>58</v>
      </c>
      <c r="CC3" s="32" t="s">
        <v>60</v>
      </c>
      <c r="CD3" s="32" t="s">
        <v>58</v>
      </c>
      <c r="CE3" s="32" t="s">
        <v>58</v>
      </c>
      <c r="CF3" s="32" t="s">
        <v>58</v>
      </c>
      <c r="CG3" s="32" t="s">
        <v>58</v>
      </c>
      <c r="CH3" s="32" t="s">
        <v>58</v>
      </c>
      <c r="CI3" s="32" t="s">
        <v>58</v>
      </c>
      <c r="CJ3" s="32" t="s">
        <v>60</v>
      </c>
      <c r="CK3" s="32" t="s">
        <v>58</v>
      </c>
      <c r="CL3" s="32" t="s">
        <v>58</v>
      </c>
      <c r="CM3" s="32" t="s">
        <v>58</v>
      </c>
      <c r="CN3" s="32" t="s">
        <v>60</v>
      </c>
      <c r="CO3" s="32" t="s">
        <v>58</v>
      </c>
      <c r="CP3" s="32" t="s">
        <v>64</v>
      </c>
      <c r="CQ3" s="32" t="s">
        <v>64</v>
      </c>
    </row>
    <row r="4" spans="1:95" ht="50" customHeight="1">
      <c r="A4" s="19" t="s">
        <v>2217</v>
      </c>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2368</v>
      </c>
      <c r="BK4" s="19" t="s">
        <v>2372</v>
      </c>
      <c r="BL4" s="19" t="s">
        <v>2375</v>
      </c>
      <c r="BM4" s="19" t="s">
        <v>2378</v>
      </c>
      <c r="BN4" s="19" t="s">
        <v>2382</v>
      </c>
      <c r="BO4" s="19" t="s">
        <v>2386</v>
      </c>
      <c r="BP4" s="19" t="s">
        <v>2389</v>
      </c>
      <c r="BQ4" s="19" t="s">
        <v>2393</v>
      </c>
      <c r="BR4" s="19" t="s">
        <v>2397</v>
      </c>
      <c r="BS4" s="19" t="s">
        <v>2400</v>
      </c>
      <c r="BT4" s="19" t="s">
        <v>2404</v>
      </c>
      <c r="BU4" s="19" t="s">
        <v>2408</v>
      </c>
      <c r="BV4" s="19" t="s">
        <v>2160</v>
      </c>
      <c r="BW4" s="19" t="s">
        <v>2415</v>
      </c>
      <c r="BX4" s="19" t="s">
        <v>2418</v>
      </c>
      <c r="BY4" s="19" t="s">
        <v>2422</v>
      </c>
      <c r="BZ4" s="19" t="s">
        <v>2426</v>
      </c>
      <c r="CA4" s="19" t="s">
        <v>2429</v>
      </c>
      <c r="CB4" s="19" t="s">
        <v>2433</v>
      </c>
      <c r="CC4" s="19" t="s">
        <v>2437</v>
      </c>
      <c r="CD4" s="19" t="s">
        <v>2441</v>
      </c>
      <c r="CE4" s="19" t="s">
        <v>2445</v>
      </c>
      <c r="CF4" s="19" t="s">
        <v>2448</v>
      </c>
      <c r="CG4" s="19" t="s">
        <v>2451</v>
      </c>
      <c r="CH4" s="19" t="s">
        <v>2454</v>
      </c>
      <c r="CI4" s="33" t="s">
        <v>2457</v>
      </c>
      <c r="CJ4" s="34" t="s">
        <v>2460</v>
      </c>
      <c r="CK4" s="19" t="s">
        <v>2463</v>
      </c>
      <c r="CL4" s="19" t="s">
        <v>2466</v>
      </c>
      <c r="CM4" s="19" t="s">
        <v>2469</v>
      </c>
      <c r="CN4" s="19" t="s">
        <v>2472</v>
      </c>
      <c r="CO4" s="19" t="s">
        <v>2475</v>
      </c>
      <c r="CP4" s="19" t="s">
        <v>2478</v>
      </c>
      <c r="CQ4" s="19" t="s">
        <v>2481</v>
      </c>
    </row>
    <row r="5" spans="1:95" ht="50" customHeight="1">
      <c r="A5" s="35" t="s">
        <v>2218</v>
      </c>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2369</v>
      </c>
      <c r="BK5" s="35" t="s">
        <v>2373</v>
      </c>
      <c r="BL5" s="35" t="s">
        <v>2376</v>
      </c>
      <c r="BM5" s="35" t="s">
        <v>2379</v>
      </c>
      <c r="BN5" s="35" t="s">
        <v>2383</v>
      </c>
      <c r="BO5" s="35" t="s">
        <v>2387</v>
      </c>
      <c r="BP5" s="35" t="s">
        <v>2390</v>
      </c>
      <c r="BQ5" s="35" t="s">
        <v>2394</v>
      </c>
      <c r="BR5" s="35" t="s">
        <v>2398</v>
      </c>
      <c r="BS5" s="35" t="s">
        <v>2401</v>
      </c>
      <c r="BT5" s="35" t="s">
        <v>2405</v>
      </c>
      <c r="BU5" s="35" t="s">
        <v>2409</v>
      </c>
      <c r="BV5" s="35" t="s">
        <v>2412</v>
      </c>
      <c r="BW5" s="35" t="s">
        <v>2416</v>
      </c>
      <c r="BX5" s="35" t="s">
        <v>2419</v>
      </c>
      <c r="BY5" s="35" t="s">
        <v>2423</v>
      </c>
      <c r="BZ5" s="35" t="s">
        <v>2427</v>
      </c>
      <c r="CA5" s="35" t="s">
        <v>2430</v>
      </c>
      <c r="CB5" s="35" t="s">
        <v>2434</v>
      </c>
      <c r="CC5" s="35" t="s">
        <v>2438</v>
      </c>
      <c r="CD5" s="35" t="s">
        <v>2442</v>
      </c>
      <c r="CE5" s="35" t="s">
        <v>2446</v>
      </c>
      <c r="CF5" s="35" t="s">
        <v>2449</v>
      </c>
      <c r="CG5" s="35" t="s">
        <v>2452</v>
      </c>
      <c r="CH5" s="35" t="s">
        <v>2455</v>
      </c>
      <c r="CI5" s="35" t="s">
        <v>2458</v>
      </c>
      <c r="CJ5" s="35" t="s">
        <v>2461</v>
      </c>
      <c r="CK5" s="35" t="s">
        <v>2464</v>
      </c>
      <c r="CL5" s="35" t="s">
        <v>2467</v>
      </c>
      <c r="CM5" s="35" t="s">
        <v>2470</v>
      </c>
      <c r="CN5" s="35" t="s">
        <v>2473</v>
      </c>
      <c r="CO5" s="35" t="s">
        <v>2476</v>
      </c>
      <c r="CP5" s="35" t="s">
        <v>2479</v>
      </c>
      <c r="CQ5" s="35" t="s">
        <v>2482</v>
      </c>
    </row>
    <row r="6" spans="1:95" ht="50" customHeight="1">
      <c r="A6" s="35" t="s">
        <v>2219</v>
      </c>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2370</v>
      </c>
      <c r="BK6" s="36" t="s">
        <v>2231</v>
      </c>
      <c r="BL6" s="36" t="s">
        <v>2231</v>
      </c>
      <c r="BM6" s="36" t="s">
        <v>2380</v>
      </c>
      <c r="BN6" s="36" t="s">
        <v>2384</v>
      </c>
      <c r="BO6" s="36" t="s">
        <v>2231</v>
      </c>
      <c r="BP6" s="36" t="s">
        <v>2391</v>
      </c>
      <c r="BQ6" s="36" t="s">
        <v>2395</v>
      </c>
      <c r="BR6" s="35" t="s">
        <v>77</v>
      </c>
      <c r="BS6" s="36" t="s">
        <v>2402</v>
      </c>
      <c r="BT6" s="36" t="s">
        <v>3818</v>
      </c>
      <c r="BU6" s="36" t="s">
        <v>2410</v>
      </c>
      <c r="BV6" s="36" t="s">
        <v>2413</v>
      </c>
      <c r="BW6" s="35" t="s">
        <v>2289</v>
      </c>
      <c r="BX6" s="36" t="s">
        <v>4795</v>
      </c>
      <c r="BY6" s="36" t="s">
        <v>4971</v>
      </c>
      <c r="BZ6" s="35" t="s">
        <v>2266</v>
      </c>
      <c r="CA6" s="36" t="s">
        <v>2431</v>
      </c>
      <c r="CB6" s="36" t="s">
        <v>2435</v>
      </c>
      <c r="CC6" s="36" t="s">
        <v>2439</v>
      </c>
      <c r="CD6" s="36" t="s">
        <v>2443</v>
      </c>
      <c r="CE6" s="35" t="s">
        <v>2266</v>
      </c>
      <c r="CF6" s="35" t="s">
        <v>2266</v>
      </c>
      <c r="CG6" s="35" t="s">
        <v>2266</v>
      </c>
      <c r="CH6" s="35" t="s">
        <v>2266</v>
      </c>
      <c r="CI6" s="35" t="s">
        <v>77</v>
      </c>
      <c r="CJ6" s="36" t="s">
        <v>2231</v>
      </c>
      <c r="CK6" s="36" t="s">
        <v>2231</v>
      </c>
      <c r="CL6" s="36" t="s">
        <v>2231</v>
      </c>
      <c r="CM6" s="35" t="s">
        <v>77</v>
      </c>
      <c r="CN6" s="35" t="s">
        <v>77</v>
      </c>
      <c r="CO6" s="35" t="s">
        <v>77</v>
      </c>
      <c r="CP6" s="36" t="s">
        <v>2231</v>
      </c>
      <c r="CQ6" s="36" t="s">
        <v>2483</v>
      </c>
    </row>
    <row r="7" spans="1:95">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s="39">
        <f>IF('6161 - Wallpaper'!B8 = "", "", IF('6161 - Wallpaper-WUO_ERR'!A8 = "", "Validated", HYPERLINK("#" &amp; ADDRESS(8, '6161 - Wallpaper-WUO_TRK'!A8),_xlfn.TEXTAFTER('6161 - Wallpaper-WUO_ERR'!A8, ":"))))</f>
        <v>0</v>
      </c>
    </row>
    <row r="9" spans="1:95">
      <c r="A9" s="39">
        <f>IF('6161 - Wallpaper'!B9 = "", "", IF('6161 - Wallpaper-WUO_ERR'!A9 = "", "Validated", HYPERLINK("#" &amp; ADDRESS(9, '6161 - Wallpaper-WUO_TRK'!A9),_xlfn.TEXTAFTER('6161 - Wallpaper-WUO_ERR'!A9, ":"))))</f>
        <v>0</v>
      </c>
    </row>
    <row r="10" spans="1:95">
      <c r="A10" s="39">
        <f>IF('6161 - Wallpaper'!B10 = "", "", IF('6161 - Wallpaper-WUO_ERR'!A10 = "", "Validated", HYPERLINK("#" &amp; ADDRESS(10, '6161 - Wallpaper-WUO_TRK'!A10),_xlfn.TEXTAFTER('6161 - Wallpaper-WUO_ERR'!A10, ":"))))</f>
        <v>0</v>
      </c>
    </row>
    <row r="11" spans="1:95">
      <c r="A11" s="39">
        <f>IF('6161 - Wallpaper'!B11 = "", "", IF('6161 - Wallpaper-WUO_ERR'!A11 = "", "Validated", HYPERLINK("#" &amp; ADDRESS(11, '6161 - Wallpaper-WUO_TRK'!A11),_xlfn.TEXTAFTER('6161 - Wallpaper-WUO_ERR'!A11, ":"))))</f>
        <v>0</v>
      </c>
    </row>
    <row r="12" spans="1:95">
      <c r="A12" s="39">
        <f>IF('6161 - Wallpaper'!B12 = "", "", IF('6161 - Wallpaper-WUO_ERR'!A12 = "", "Validated", HYPERLINK("#" &amp; ADDRESS(12, '6161 - Wallpaper-WUO_TRK'!A12),_xlfn.TEXTAFTER('6161 - Wallpaper-WUO_ERR'!A12, ":"))))</f>
        <v>0</v>
      </c>
    </row>
    <row r="13" spans="1:95">
      <c r="A13" s="39">
        <f>IF('6161 - Wallpaper'!B13 = "", "", IF('6161 - Wallpaper-WUO_ERR'!A13 = "", "Validated", HYPERLINK("#" &amp; ADDRESS(13, '6161 - Wallpaper-WUO_TRK'!A13),_xlfn.TEXTAFTER('6161 - Wallpaper-WUO_ERR'!A13, ":"))))</f>
        <v>0</v>
      </c>
    </row>
    <row r="14" spans="1:95">
      <c r="A14" s="39">
        <f>IF('6161 - Wallpaper'!B14 = "", "", IF('6161 - Wallpaper-WUO_ERR'!A14 = "", "Validated", HYPERLINK("#" &amp; ADDRESS(14, '6161 - Wallpaper-WUO_TRK'!A14),_xlfn.TEXTAFTER('6161 - Wallpaper-WUO_ERR'!A14, ":"))))</f>
        <v>0</v>
      </c>
    </row>
    <row r="15" spans="1:95">
      <c r="A15" s="39">
        <f>IF('6161 - Wallpaper'!B15 = "", "", IF('6161 - Wallpaper-WUO_ERR'!A15 = "", "Validated", HYPERLINK("#" &amp; ADDRESS(15, '6161 - Wallpaper-WUO_TRK'!A15),_xlfn.TEXTAFTER('6161 - Wallpaper-WUO_ERR'!A15, ":"))))</f>
        <v>0</v>
      </c>
    </row>
    <row r="16" spans="1:95">
      <c r="A16" s="39">
        <f>IF('6161 - Wallpaper'!B16 = "", "", IF('6161 - Wallpaper-WUO_ERR'!A16 = "", "Validated", HYPERLINK("#" &amp; ADDRESS(16, '6161 - Wallpaper-WUO_TRK'!A16),_xlfn.TEXTAFTER('6161 - Wallpaper-WUO_ERR'!A16, ":"))))</f>
        <v>0</v>
      </c>
    </row>
    <row r="17" spans="1:1">
      <c r="A17" s="39">
        <f>IF('6161 - Wallpaper'!B17 = "", "", IF('6161 - Wallpaper-WUO_ERR'!A17 = "", "Validated", HYPERLINK("#" &amp; ADDRESS(17, '6161 - Wallpaper-WUO_TRK'!A17),_xlfn.TEXTAFTER('6161 - Wallpaper-WUO_ERR'!A17, ":"))))</f>
        <v>0</v>
      </c>
    </row>
    <row r="18" spans="1:1">
      <c r="A18" s="39">
        <f>IF('6161 - Wallpaper'!B18 = "", "", IF('6161 - Wallpaper-WUO_ERR'!A18 = "", "Validated", HYPERLINK("#" &amp; ADDRESS(18, '6161 - Wallpaper-WUO_TRK'!A18),_xlfn.TEXTAFTER('6161 - Wallpaper-WUO_ERR'!A18, ":"))))</f>
        <v>0</v>
      </c>
    </row>
    <row r="19" spans="1:1">
      <c r="A19" s="39">
        <f>IF('6161 - Wallpaper'!B19 = "", "", IF('6161 - Wallpaper-WUO_ERR'!A19 = "", "Validated", HYPERLINK("#" &amp; ADDRESS(19, '6161 - Wallpaper-WUO_TRK'!A19),_xlfn.TEXTAFTER('6161 - Wallpaper-WUO_ERR'!A19, ":"))))</f>
        <v>0</v>
      </c>
    </row>
    <row r="20" spans="1:1">
      <c r="A20" s="39">
        <f>IF('6161 - Wallpaper'!B20 = "", "", IF('6161 - Wallpaper-WUO_ERR'!A20 = "", "Validated", HYPERLINK("#" &amp; ADDRESS(20, '6161 - Wallpaper-WUO_TRK'!A20),_xlfn.TEXTAFTER('6161 - Wallpaper-WUO_ERR'!A20, ":"))))</f>
        <v>0</v>
      </c>
    </row>
    <row r="21" spans="1:1">
      <c r="A21" s="39">
        <f>IF('6161 - Wallpaper'!B21 = "", "", IF('6161 - Wallpaper-WUO_ERR'!A21 = "", "Validated", HYPERLINK("#" &amp; ADDRESS(21, '6161 - Wallpaper-WUO_TRK'!A21),_xlfn.TEXTAFTER('6161 - Wallpaper-WUO_ERR'!A21, ":"))))</f>
        <v>0</v>
      </c>
    </row>
    <row r="22" spans="1:1">
      <c r="A22" s="39">
        <f>IF('6161 - Wallpaper'!B22 = "", "", IF('6161 - Wallpaper-WUO_ERR'!A22 = "", "Validated", HYPERLINK("#" &amp; ADDRESS(22, '6161 - Wallpaper-WUO_TRK'!A22),_xlfn.TEXTAFTER('6161 - Wallpaper-WUO_ERR'!A22, ":"))))</f>
        <v>0</v>
      </c>
    </row>
    <row r="23" spans="1:1">
      <c r="A23" s="39">
        <f>IF('6161 - Wallpaper'!B23 = "", "", IF('6161 - Wallpaper-WUO_ERR'!A23 = "", "Validated", HYPERLINK("#" &amp; ADDRESS(23, '6161 - Wallpaper-WUO_TRK'!A23),_xlfn.TEXTAFTER('6161 - Wallpaper-WUO_ERR'!A23, ":"))))</f>
        <v>0</v>
      </c>
    </row>
    <row r="24" spans="1:1">
      <c r="A24" s="39">
        <f>IF('6161 - Wallpaper'!B24 = "", "", IF('6161 - Wallpaper-WUO_ERR'!A24 = "", "Validated", HYPERLINK("#" &amp; ADDRESS(24, '6161 - Wallpaper-WUO_TRK'!A24),_xlfn.TEXTAFTER('6161 - Wallpaper-WUO_ERR'!A24, ":"))))</f>
        <v>0</v>
      </c>
    </row>
    <row r="25" spans="1:1">
      <c r="A25" s="39">
        <f>IF('6161 - Wallpaper'!B25 = "", "", IF('6161 - Wallpaper-WUO_ERR'!A25 = "", "Validated", HYPERLINK("#" &amp; ADDRESS(25, '6161 - Wallpaper-WUO_TRK'!A25),_xlfn.TEXTAFTER('6161 - Wallpaper-WUO_ERR'!A25, ":"))))</f>
        <v>0</v>
      </c>
    </row>
    <row r="26" spans="1:1">
      <c r="A26" s="39">
        <f>IF('6161 - Wallpaper'!B26 = "", "", IF('6161 - Wallpaper-WUO_ERR'!A26 = "", "Validated", HYPERLINK("#" &amp; ADDRESS(26, '6161 - Wallpaper-WUO_TRK'!A26),_xlfn.TEXTAFTER('6161 - Wallpaper-WUO_ERR'!A26, ":"))))</f>
        <v>0</v>
      </c>
    </row>
    <row r="27" spans="1:1">
      <c r="A27" s="39">
        <f>IF('6161 - Wallpaper'!B27 = "", "", IF('6161 - Wallpaper-WUO_ERR'!A27 = "", "Validated", HYPERLINK("#" &amp; ADDRESS(27, '6161 - Wallpaper-WUO_TRK'!A27),_xlfn.TEXTAFTER('6161 - Wallpaper-WUO_ERR'!A27, ":"))))</f>
        <v>0</v>
      </c>
    </row>
    <row r="28" spans="1:1">
      <c r="A28" s="39">
        <f>IF('6161 - Wallpaper'!B28 = "", "", IF('6161 - Wallpaper-WUO_ERR'!A28 = "", "Validated", HYPERLINK("#" &amp; ADDRESS(28, '6161 - Wallpaper-WUO_TRK'!A28),_xlfn.TEXTAFTER('6161 - Wallpaper-WUO_ERR'!A28, ":"))))</f>
        <v>0</v>
      </c>
    </row>
    <row r="29" spans="1:1">
      <c r="A29" s="39">
        <f>IF('6161 - Wallpaper'!B29 = "", "", IF('6161 - Wallpaper-WUO_ERR'!A29 = "", "Validated", HYPERLINK("#" &amp; ADDRESS(29, '6161 - Wallpaper-WUO_TRK'!A29),_xlfn.TEXTAFTER('6161 - Wallpaper-WUO_ERR'!A29, ":"))))</f>
        <v>0</v>
      </c>
    </row>
    <row r="30" spans="1:1">
      <c r="A30" s="39">
        <f>IF('6161 - Wallpaper'!B30 = "", "", IF('6161 - Wallpaper-WUO_ERR'!A30 = "", "Validated", HYPERLINK("#" &amp; ADDRESS(30, '6161 - Wallpaper-WUO_TRK'!A30),_xlfn.TEXTAFTER('6161 - Wallpaper-WUO_ERR'!A30, ":"))))</f>
        <v>0</v>
      </c>
    </row>
    <row r="31" spans="1:1">
      <c r="A31" s="39">
        <f>IF('6161 - Wallpaper'!B31 = "", "", IF('6161 - Wallpaper-WUO_ERR'!A31 = "", "Validated", HYPERLINK("#" &amp; ADDRESS(31, '6161 - Wallpaper-WUO_TRK'!A31),_xlfn.TEXTAFTER('6161 - Wallpaper-WUO_ERR'!A31, ":"))))</f>
        <v>0</v>
      </c>
    </row>
    <row r="32" spans="1:1">
      <c r="A32" s="39">
        <f>IF('6161 - Wallpaper'!B32 = "", "", IF('6161 - Wallpaper-WUO_ERR'!A32 = "", "Validated", HYPERLINK("#" &amp; ADDRESS(32, '6161 - Wallpaper-WUO_TRK'!A32),_xlfn.TEXTAFTER('6161 - Wallpaper-WUO_ERR'!A32, ":"))))</f>
        <v>0</v>
      </c>
    </row>
    <row r="33" spans="1:1">
      <c r="A33" s="39">
        <f>IF('6161 - Wallpaper'!B33 = "", "", IF('6161 - Wallpaper-WUO_ERR'!A33 = "", "Validated", HYPERLINK("#" &amp; ADDRESS(33, '6161 - Wallpaper-WUO_TRK'!A33),_xlfn.TEXTAFTER('6161 - Wallpaper-WUO_ERR'!A33, ":"))))</f>
        <v>0</v>
      </c>
    </row>
    <row r="34" spans="1:1">
      <c r="A34" s="39">
        <f>IF('6161 - Wallpaper'!B34 = "", "", IF('6161 - Wallpaper-WUO_ERR'!A34 = "", "Validated", HYPERLINK("#" &amp; ADDRESS(34, '6161 - Wallpaper-WUO_TRK'!A34),_xlfn.TEXTAFTER('6161 - Wallpaper-WUO_ERR'!A34, ":"))))</f>
        <v>0</v>
      </c>
    </row>
    <row r="35" spans="1:1">
      <c r="A35" s="39">
        <f>IF('6161 - Wallpaper'!B35 = "", "", IF('6161 - Wallpaper-WUO_ERR'!A35 = "", "Validated", HYPERLINK("#" &amp; ADDRESS(35, '6161 - Wallpaper-WUO_TRK'!A35),_xlfn.TEXTAFTER('6161 - Wallpaper-WUO_ERR'!A35, ":"))))</f>
        <v>0</v>
      </c>
    </row>
    <row r="36" spans="1:1">
      <c r="A36" s="39">
        <f>IF('6161 - Wallpaper'!B36 = "", "", IF('6161 - Wallpaper-WUO_ERR'!A36 = "", "Validated", HYPERLINK("#" &amp; ADDRESS(36, '6161 - Wallpaper-WUO_TRK'!A36),_xlfn.TEXTAFTER('6161 - Wallpaper-WUO_ERR'!A36, ":"))))</f>
        <v>0</v>
      </c>
    </row>
    <row r="37" spans="1:1">
      <c r="A37" s="39">
        <f>IF('6161 - Wallpaper'!B37 = "", "", IF('6161 - Wallpaper-WUO_ERR'!A37 = "", "Validated", HYPERLINK("#" &amp; ADDRESS(37, '6161 - Wallpaper-WUO_TRK'!A37),_xlfn.TEXTAFTER('6161 - Wallpaper-WUO_ERR'!A37, ":"))))</f>
        <v>0</v>
      </c>
    </row>
    <row r="38" spans="1:1">
      <c r="A38" s="39">
        <f>IF('6161 - Wallpaper'!B38 = "", "", IF('6161 - Wallpaper-WUO_ERR'!A38 = "", "Validated", HYPERLINK("#" &amp; ADDRESS(38, '6161 - Wallpaper-WUO_TRK'!A38),_xlfn.TEXTAFTER('6161 - Wallpaper-WUO_ERR'!A38, ":"))))</f>
        <v>0</v>
      </c>
    </row>
    <row r="39" spans="1:1">
      <c r="A39" s="39">
        <f>IF('6161 - Wallpaper'!B39 = "", "", IF('6161 - Wallpaper-WUO_ERR'!A39 = "", "Validated", HYPERLINK("#" &amp; ADDRESS(39, '6161 - Wallpaper-WUO_TRK'!A39),_xlfn.TEXTAFTER('6161 - Wallpaper-WUO_ERR'!A39, ":"))))</f>
        <v>0</v>
      </c>
    </row>
    <row r="40" spans="1:1">
      <c r="A40" s="39">
        <f>IF('6161 - Wallpaper'!B40 = "", "", IF('6161 - Wallpaper-WUO_ERR'!A40 = "", "Validated", HYPERLINK("#" &amp; ADDRESS(40, '6161 - Wallpaper-WUO_TRK'!A40),_xlfn.TEXTAFTER('6161 - Wallpaper-WUO_ERR'!A40, ":"))))</f>
        <v>0</v>
      </c>
    </row>
    <row r="41" spans="1:1">
      <c r="A41" s="39">
        <f>IF('6161 - Wallpaper'!B41 = "", "", IF('6161 - Wallpaper-WUO_ERR'!A41 = "", "Validated", HYPERLINK("#" &amp; ADDRESS(41, '6161 - Wallpaper-WUO_TRK'!A41),_xlfn.TEXTAFTER('6161 - Wallpaper-WUO_ERR'!A41, ":"))))</f>
        <v>0</v>
      </c>
    </row>
    <row r="42" spans="1:1">
      <c r="A42" s="39">
        <f>IF('6161 - Wallpaper'!B42 = "", "", IF('6161 - Wallpaper-WUO_ERR'!A42 = "", "Validated", HYPERLINK("#" &amp; ADDRESS(42, '6161 - Wallpaper-WUO_TRK'!A42),_xlfn.TEXTAFTER('6161 - Wallpaper-WUO_ERR'!A42, ":"))))</f>
        <v>0</v>
      </c>
    </row>
    <row r="43" spans="1:1">
      <c r="A43" s="39">
        <f>IF('6161 - Wallpaper'!B43 = "", "", IF('6161 - Wallpaper-WUO_ERR'!A43 = "", "Validated", HYPERLINK("#" &amp; ADDRESS(43, '6161 - Wallpaper-WUO_TRK'!A43),_xlfn.TEXTAFTER('6161 - Wallpaper-WUO_ERR'!A43, ":"))))</f>
        <v>0</v>
      </c>
    </row>
    <row r="44" spans="1:1">
      <c r="A44" s="39">
        <f>IF('6161 - Wallpaper'!B44 = "", "", IF('6161 - Wallpaper-WUO_ERR'!A44 = "", "Validated", HYPERLINK("#" &amp; ADDRESS(44, '6161 - Wallpaper-WUO_TRK'!A44),_xlfn.TEXTAFTER('6161 - Wallpaper-WUO_ERR'!A44, ":"))))</f>
        <v>0</v>
      </c>
    </row>
    <row r="45" spans="1:1">
      <c r="A45" s="39">
        <f>IF('6161 - Wallpaper'!B45 = "", "", IF('6161 - Wallpaper-WUO_ERR'!A45 = "", "Validated", HYPERLINK("#" &amp; ADDRESS(45, '6161 - Wallpaper-WUO_TRK'!A45),_xlfn.TEXTAFTER('6161 - Wallpaper-WUO_ERR'!A45, ":"))))</f>
        <v>0</v>
      </c>
    </row>
    <row r="46" spans="1:1">
      <c r="A46" s="39">
        <f>IF('6161 - Wallpaper'!B46 = "", "", IF('6161 - Wallpaper-WUO_ERR'!A46 = "", "Validated", HYPERLINK("#" &amp; ADDRESS(46, '6161 - Wallpaper-WUO_TRK'!A46),_xlfn.TEXTAFTER('6161 - Wallpaper-WUO_ERR'!A46, ":"))))</f>
        <v>0</v>
      </c>
    </row>
    <row r="47" spans="1:1">
      <c r="A47" s="39">
        <f>IF('6161 - Wallpaper'!B47 = "", "", IF('6161 - Wallpaper-WUO_ERR'!A47 = "", "Validated", HYPERLINK("#" &amp; ADDRESS(47, '6161 - Wallpaper-WUO_TRK'!A47),_xlfn.TEXTAFTER('6161 - Wallpaper-WUO_ERR'!A47, ":"))))</f>
        <v>0</v>
      </c>
    </row>
    <row r="48" spans="1:1">
      <c r="A48" s="39">
        <f>IF('6161 - Wallpaper'!B48 = "", "", IF('6161 - Wallpaper-WUO_ERR'!A48 = "", "Validated", HYPERLINK("#" &amp; ADDRESS(48, '6161 - Wallpaper-WUO_TRK'!A48),_xlfn.TEXTAFTER('6161 - Wallpaper-WUO_ERR'!A48, ":"))))</f>
        <v>0</v>
      </c>
    </row>
    <row r="49" spans="1:1">
      <c r="A49" s="39">
        <f>IF('6161 - Wallpaper'!B49 = "", "", IF('6161 - Wallpaper-WUO_ERR'!A49 = "", "Validated", HYPERLINK("#" &amp; ADDRESS(49, '6161 - Wallpaper-WUO_TRK'!A49),_xlfn.TEXTAFTER('6161 - Wallpaper-WUO_ERR'!A49, ":"))))</f>
        <v>0</v>
      </c>
    </row>
    <row r="50" spans="1:1">
      <c r="A50" s="39">
        <f>IF('6161 - Wallpaper'!B50 = "", "", IF('6161 - Wallpaper-WUO_ERR'!A50 = "", "Validated", HYPERLINK("#" &amp; ADDRESS(50, '6161 - Wallpaper-WUO_TRK'!A50),_xlfn.TEXTAFTER('6161 - Wallpaper-WUO_ERR'!A50, ":"))))</f>
        <v>0</v>
      </c>
    </row>
    <row r="51" spans="1:1">
      <c r="A51" s="39">
        <f>IF('6161 - Wallpaper'!B51 = "", "", IF('6161 - Wallpaper-WUO_ERR'!A51 = "", "Validated", HYPERLINK("#" &amp; ADDRESS(51, '6161 - Wallpaper-WUO_TRK'!A51),_xlfn.TEXTAFTER('6161 - Wallpaper-WUO_ERR'!A51, ":"))))</f>
        <v>0</v>
      </c>
    </row>
    <row r="52" spans="1:1">
      <c r="A52" s="39">
        <f>IF('6161 - Wallpaper'!B52 = "", "", IF('6161 - Wallpaper-WUO_ERR'!A52 = "", "Validated", HYPERLINK("#" &amp; ADDRESS(52, '6161 - Wallpaper-WUO_TRK'!A52),_xlfn.TEXTAFTER('6161 - Wallpaper-WUO_ERR'!A52, ":"))))</f>
        <v>0</v>
      </c>
    </row>
    <row r="53" spans="1:1">
      <c r="A53" s="39">
        <f>IF('6161 - Wallpaper'!B53 = "", "", IF('6161 - Wallpaper-WUO_ERR'!A53 = "", "Validated", HYPERLINK("#" &amp; ADDRESS(53, '6161 - Wallpaper-WUO_TRK'!A53),_xlfn.TEXTAFTER('6161 - Wallpaper-WUO_ERR'!A53, ":"))))</f>
        <v>0</v>
      </c>
    </row>
    <row r="54" spans="1:1">
      <c r="A54" s="39">
        <f>IF('6161 - Wallpaper'!B54 = "", "", IF('6161 - Wallpaper-WUO_ERR'!A54 = "", "Validated", HYPERLINK("#" &amp; ADDRESS(54, '6161 - Wallpaper-WUO_TRK'!A54),_xlfn.TEXTAFTER('6161 - Wallpaper-WUO_ERR'!A54, ":"))))</f>
        <v>0</v>
      </c>
    </row>
    <row r="55" spans="1:1">
      <c r="A55" s="39">
        <f>IF('6161 - Wallpaper'!B55 = "", "", IF('6161 - Wallpaper-WUO_ERR'!A55 = "", "Validated", HYPERLINK("#" &amp; ADDRESS(55, '6161 - Wallpaper-WUO_TRK'!A55),_xlfn.TEXTAFTER('6161 - Wallpaper-WUO_ERR'!A55, ":"))))</f>
        <v>0</v>
      </c>
    </row>
    <row r="56" spans="1:1">
      <c r="A56" s="39">
        <f>IF('6161 - Wallpaper'!B56 = "", "", IF('6161 - Wallpaper-WUO_ERR'!A56 = "", "Validated", HYPERLINK("#" &amp; ADDRESS(56, '6161 - Wallpaper-WUO_TRK'!A56),_xlfn.TEXTAFTER('6161 - Wallpaper-WUO_ERR'!A56, ":"))))</f>
        <v>0</v>
      </c>
    </row>
    <row r="57" spans="1:1">
      <c r="A57" s="39">
        <f>IF('6161 - Wallpaper'!B57 = "", "", IF('6161 - Wallpaper-WUO_ERR'!A57 = "", "Validated", HYPERLINK("#" &amp; ADDRESS(57, '6161 - Wallpaper-WUO_TRK'!A57),_xlfn.TEXTAFTER('6161 - Wallpaper-WUO_ERR'!A57, ":"))))</f>
        <v>0</v>
      </c>
    </row>
    <row r="58" spans="1:1">
      <c r="A58" s="39">
        <f>IF('6161 - Wallpaper'!B58 = "", "", IF('6161 - Wallpaper-WUO_ERR'!A58 = "", "Validated", HYPERLINK("#" &amp; ADDRESS(58, '6161 - Wallpaper-WUO_TRK'!A58),_xlfn.TEXTAFTER('6161 - Wallpaper-WUO_ERR'!A58, ":"))))</f>
        <v>0</v>
      </c>
    </row>
    <row r="59" spans="1:1">
      <c r="A59" s="39">
        <f>IF('6161 - Wallpaper'!B59 = "", "", IF('6161 - Wallpaper-WUO_ERR'!A59 = "", "Validated", HYPERLINK("#" &amp; ADDRESS(59, '6161 - Wallpaper-WUO_TRK'!A59),_xlfn.TEXTAFTER('6161 - Wallpaper-WUO_ERR'!A59, ":"))))</f>
        <v>0</v>
      </c>
    </row>
    <row r="60" spans="1:1">
      <c r="A60" s="39">
        <f>IF('6161 - Wallpaper'!B60 = "", "", IF('6161 - Wallpaper-WUO_ERR'!A60 = "", "Validated", HYPERLINK("#" &amp; ADDRESS(60, '6161 - Wallpaper-WUO_TRK'!A60),_xlfn.TEXTAFTER('6161 - Wallpaper-WUO_ERR'!A60, ":"))))</f>
        <v>0</v>
      </c>
    </row>
    <row r="61" spans="1:1">
      <c r="A61" s="39">
        <f>IF('6161 - Wallpaper'!B61 = "", "", IF('6161 - Wallpaper-WUO_ERR'!A61 = "", "Validated", HYPERLINK("#" &amp; ADDRESS(61, '6161 - Wallpaper-WUO_TRK'!A61),_xlfn.TEXTAFTER('6161 - Wallpaper-WUO_ERR'!A61, ":"))))</f>
        <v>0</v>
      </c>
    </row>
    <row r="62" spans="1:1">
      <c r="A62" s="39">
        <f>IF('6161 - Wallpaper'!B62 = "", "", IF('6161 - Wallpaper-WUO_ERR'!A62 = "", "Validated", HYPERLINK("#" &amp; ADDRESS(62, '6161 - Wallpaper-WUO_TRK'!A62),_xlfn.TEXTAFTER('6161 - Wallpaper-WUO_ERR'!A62, ":"))))</f>
        <v>0</v>
      </c>
    </row>
    <row r="63" spans="1:1">
      <c r="A63" s="39">
        <f>IF('6161 - Wallpaper'!B63 = "", "", IF('6161 - Wallpaper-WUO_ERR'!A63 = "", "Validated", HYPERLINK("#" &amp; ADDRESS(63, '6161 - Wallpaper-WUO_TRK'!A63),_xlfn.TEXTAFTER('6161 - Wallpaper-WUO_ERR'!A63, ":"))))</f>
        <v>0</v>
      </c>
    </row>
    <row r="64" spans="1:1">
      <c r="A64" s="39">
        <f>IF('6161 - Wallpaper'!B64 = "", "", IF('6161 - Wallpaper-WUO_ERR'!A64 = "", "Validated", HYPERLINK("#" &amp; ADDRESS(64, '6161 - Wallpaper-WUO_TRK'!A64),_xlfn.TEXTAFTER('6161 - Wallpaper-WUO_ERR'!A64, ":"))))</f>
        <v>0</v>
      </c>
    </row>
    <row r="65" spans="1:1">
      <c r="A65" s="39">
        <f>IF('6161 - Wallpaper'!B65 = "", "", IF('6161 - Wallpaper-WUO_ERR'!A65 = "", "Validated", HYPERLINK("#" &amp; ADDRESS(65, '6161 - Wallpaper-WUO_TRK'!A65),_xlfn.TEXTAFTER('6161 - Wallpaper-WUO_ERR'!A65, ":"))))</f>
        <v>0</v>
      </c>
    </row>
    <row r="66" spans="1:1">
      <c r="A66" s="39">
        <f>IF('6161 - Wallpaper'!B66 = "", "", IF('6161 - Wallpaper-WUO_ERR'!A66 = "", "Validated", HYPERLINK("#" &amp; ADDRESS(66, '6161 - Wallpaper-WUO_TRK'!A66),_xlfn.TEXTAFTER('6161 - Wallpaper-WUO_ERR'!A66, ":"))))</f>
        <v>0</v>
      </c>
    </row>
    <row r="67" spans="1:1">
      <c r="A67" s="39">
        <f>IF('6161 - Wallpaper'!B67 = "", "", IF('6161 - Wallpaper-WUO_ERR'!A67 = "", "Validated", HYPERLINK("#" &amp; ADDRESS(67, '6161 - Wallpaper-WUO_TRK'!A67),_xlfn.TEXTAFTER('6161 - Wallpaper-WUO_ERR'!A67, ":"))))</f>
        <v>0</v>
      </c>
    </row>
    <row r="68" spans="1:1">
      <c r="A68" s="39">
        <f>IF('6161 - Wallpaper'!B68 = "", "", IF('6161 - Wallpaper-WUO_ERR'!A68 = "", "Validated", HYPERLINK("#" &amp; ADDRESS(68, '6161 - Wallpaper-WUO_TRK'!A68),_xlfn.TEXTAFTER('6161 - Wallpaper-WUO_ERR'!A68, ":"))))</f>
        <v>0</v>
      </c>
    </row>
    <row r="69" spans="1:1">
      <c r="A69" s="39">
        <f>IF('6161 - Wallpaper'!B69 = "", "", IF('6161 - Wallpaper-WUO_ERR'!A69 = "", "Validated", HYPERLINK("#" &amp; ADDRESS(69, '6161 - Wallpaper-WUO_TRK'!A69),_xlfn.TEXTAFTER('6161 - Wallpaper-WUO_ERR'!A69, ":"))))</f>
        <v>0</v>
      </c>
    </row>
    <row r="70" spans="1:1">
      <c r="A70" s="39">
        <f>IF('6161 - Wallpaper'!B70 = "", "", IF('6161 - Wallpaper-WUO_ERR'!A70 = "", "Validated", HYPERLINK("#" &amp; ADDRESS(70, '6161 - Wallpaper-WUO_TRK'!A70),_xlfn.TEXTAFTER('6161 - Wallpaper-WUO_ERR'!A70, ":"))))</f>
        <v>0</v>
      </c>
    </row>
    <row r="71" spans="1:1">
      <c r="A71" s="39">
        <f>IF('6161 - Wallpaper'!B71 = "", "", IF('6161 - Wallpaper-WUO_ERR'!A71 = "", "Validated", HYPERLINK("#" &amp; ADDRESS(71, '6161 - Wallpaper-WUO_TRK'!A71),_xlfn.TEXTAFTER('6161 - Wallpaper-WUO_ERR'!A71, ":"))))</f>
        <v>0</v>
      </c>
    </row>
    <row r="72" spans="1:1">
      <c r="A72" s="39">
        <f>IF('6161 - Wallpaper'!B72 = "", "", IF('6161 - Wallpaper-WUO_ERR'!A72 = "", "Validated", HYPERLINK("#" &amp; ADDRESS(72, '6161 - Wallpaper-WUO_TRK'!A72),_xlfn.TEXTAFTER('6161 - Wallpaper-WUO_ERR'!A72, ":"))))</f>
        <v>0</v>
      </c>
    </row>
    <row r="73" spans="1:1">
      <c r="A73" s="39">
        <f>IF('6161 - Wallpaper'!B73 = "", "", IF('6161 - Wallpaper-WUO_ERR'!A73 = "", "Validated", HYPERLINK("#" &amp; ADDRESS(73, '6161 - Wallpaper-WUO_TRK'!A73),_xlfn.TEXTAFTER('6161 - Wallpaper-WUO_ERR'!A73, ":"))))</f>
        <v>0</v>
      </c>
    </row>
    <row r="74" spans="1:1">
      <c r="A74" s="39">
        <f>IF('6161 - Wallpaper'!B74 = "", "", IF('6161 - Wallpaper-WUO_ERR'!A74 = "", "Validated", HYPERLINK("#" &amp; ADDRESS(74, '6161 - Wallpaper-WUO_TRK'!A74),_xlfn.TEXTAFTER('6161 - Wallpaper-WUO_ERR'!A74, ":"))))</f>
        <v>0</v>
      </c>
    </row>
    <row r="75" spans="1:1">
      <c r="A75" s="39">
        <f>IF('6161 - Wallpaper'!B75 = "", "", IF('6161 - Wallpaper-WUO_ERR'!A75 = "", "Validated", HYPERLINK("#" &amp; ADDRESS(75, '6161 - Wallpaper-WUO_TRK'!A75),_xlfn.TEXTAFTER('6161 - Wallpaper-WUO_ERR'!A75, ":"))))</f>
        <v>0</v>
      </c>
    </row>
    <row r="76" spans="1:1">
      <c r="A76" s="39">
        <f>IF('6161 - Wallpaper'!B76 = "", "", IF('6161 - Wallpaper-WUO_ERR'!A76 = "", "Validated", HYPERLINK("#" &amp; ADDRESS(76, '6161 - Wallpaper-WUO_TRK'!A76),_xlfn.TEXTAFTER('6161 - Wallpaper-WUO_ERR'!A76, ":"))))</f>
        <v>0</v>
      </c>
    </row>
    <row r="77" spans="1:1">
      <c r="A77" s="39">
        <f>IF('6161 - Wallpaper'!B77 = "", "", IF('6161 - Wallpaper-WUO_ERR'!A77 = "", "Validated", HYPERLINK("#" &amp; ADDRESS(77, '6161 - Wallpaper-WUO_TRK'!A77),_xlfn.TEXTAFTER('6161 - Wallpaper-WUO_ERR'!A77, ":"))))</f>
        <v>0</v>
      </c>
    </row>
    <row r="78" spans="1:1">
      <c r="A78" s="39">
        <f>IF('6161 - Wallpaper'!B78 = "", "", IF('6161 - Wallpaper-WUO_ERR'!A78 = "", "Validated", HYPERLINK("#" &amp; ADDRESS(78, '6161 - Wallpaper-WUO_TRK'!A78),_xlfn.TEXTAFTER('6161 - Wallpaper-WUO_ERR'!A78, ":"))))</f>
        <v>0</v>
      </c>
    </row>
    <row r="79" spans="1:1">
      <c r="A79" s="39">
        <f>IF('6161 - Wallpaper'!B79 = "", "", IF('6161 - Wallpaper-WUO_ERR'!A79 = "", "Validated", HYPERLINK("#" &amp; ADDRESS(79, '6161 - Wallpaper-WUO_TRK'!A79),_xlfn.TEXTAFTER('6161 - Wallpaper-WUO_ERR'!A79, ":"))))</f>
        <v>0</v>
      </c>
    </row>
    <row r="80" spans="1:1">
      <c r="A80" s="39">
        <f>IF('6161 - Wallpaper'!B80 = "", "", IF('6161 - Wallpaper-WUO_ERR'!A80 = "", "Validated", HYPERLINK("#" &amp; ADDRESS(80, '6161 - Wallpaper-WUO_TRK'!A80),_xlfn.TEXTAFTER('6161 - Wallpaper-WUO_ERR'!A80, ":"))))</f>
        <v>0</v>
      </c>
    </row>
    <row r="81" spans="1:1">
      <c r="A81" s="39">
        <f>IF('6161 - Wallpaper'!B81 = "", "", IF('6161 - Wallpaper-WUO_ERR'!A81 = "", "Validated", HYPERLINK("#" &amp; ADDRESS(81, '6161 - Wallpaper-WUO_TRK'!A81),_xlfn.TEXTAFTER('6161 - Wallpaper-WUO_ERR'!A81, ":"))))</f>
        <v>0</v>
      </c>
    </row>
    <row r="82" spans="1:1">
      <c r="A82" s="39">
        <f>IF('6161 - Wallpaper'!B82 = "", "", IF('6161 - Wallpaper-WUO_ERR'!A82 = "", "Validated", HYPERLINK("#" &amp; ADDRESS(82, '6161 - Wallpaper-WUO_TRK'!A82),_xlfn.TEXTAFTER('6161 - Wallpaper-WUO_ERR'!A82, ":"))))</f>
        <v>0</v>
      </c>
    </row>
    <row r="83" spans="1:1">
      <c r="A83" s="39">
        <f>IF('6161 - Wallpaper'!B83 = "", "", IF('6161 - Wallpaper-WUO_ERR'!A83 = "", "Validated", HYPERLINK("#" &amp; ADDRESS(83, '6161 - Wallpaper-WUO_TRK'!A83),_xlfn.TEXTAFTER('6161 - Wallpaper-WUO_ERR'!A83, ":"))))</f>
        <v>0</v>
      </c>
    </row>
    <row r="84" spans="1:1">
      <c r="A84" s="39">
        <f>IF('6161 - Wallpaper'!B84 = "", "", IF('6161 - Wallpaper-WUO_ERR'!A84 = "", "Validated", HYPERLINK("#" &amp; ADDRESS(84, '6161 - Wallpaper-WUO_TRK'!A84),_xlfn.TEXTAFTER('6161 - Wallpaper-WUO_ERR'!A84, ":"))))</f>
        <v>0</v>
      </c>
    </row>
    <row r="85" spans="1:1">
      <c r="A85" s="39">
        <f>IF('6161 - Wallpaper'!B85 = "", "", IF('6161 - Wallpaper-WUO_ERR'!A85 = "", "Validated", HYPERLINK("#" &amp; ADDRESS(85, '6161 - Wallpaper-WUO_TRK'!A85),_xlfn.TEXTAFTER('6161 - Wallpaper-WUO_ERR'!A85, ":"))))</f>
        <v>0</v>
      </c>
    </row>
    <row r="86" spans="1:1">
      <c r="A86" s="39">
        <f>IF('6161 - Wallpaper'!B86 = "", "", IF('6161 - Wallpaper-WUO_ERR'!A86 = "", "Validated", HYPERLINK("#" &amp; ADDRESS(86, '6161 - Wallpaper-WUO_TRK'!A86),_xlfn.TEXTAFTER('6161 - Wallpaper-WUO_ERR'!A86, ":"))))</f>
        <v>0</v>
      </c>
    </row>
    <row r="87" spans="1:1">
      <c r="A87" s="39">
        <f>IF('6161 - Wallpaper'!B87 = "", "", IF('6161 - Wallpaper-WUO_ERR'!A87 = "", "Validated", HYPERLINK("#" &amp; ADDRESS(87, '6161 - Wallpaper-WUO_TRK'!A87),_xlfn.TEXTAFTER('6161 - Wallpaper-WUO_ERR'!A87, ":"))))</f>
        <v>0</v>
      </c>
    </row>
    <row r="88" spans="1:1">
      <c r="A88" s="39">
        <f>IF('6161 - Wallpaper'!B88 = "", "", IF('6161 - Wallpaper-WUO_ERR'!A88 = "", "Validated", HYPERLINK("#" &amp; ADDRESS(88, '6161 - Wallpaper-WUO_TRK'!A88),_xlfn.TEXTAFTER('6161 - Wallpaper-WUO_ERR'!A88, ":"))))</f>
        <v>0</v>
      </c>
    </row>
    <row r="89" spans="1:1">
      <c r="A89" s="39">
        <f>IF('6161 - Wallpaper'!B89 = "", "", IF('6161 - Wallpaper-WUO_ERR'!A89 = "", "Validated", HYPERLINK("#" &amp; ADDRESS(89, '6161 - Wallpaper-WUO_TRK'!A89),_xlfn.TEXTAFTER('6161 - Wallpaper-WUO_ERR'!A89, ":"))))</f>
        <v>0</v>
      </c>
    </row>
    <row r="90" spans="1:1">
      <c r="A90" s="39">
        <f>IF('6161 - Wallpaper'!B90 = "", "", IF('6161 - Wallpaper-WUO_ERR'!A90 = "", "Validated", HYPERLINK("#" &amp; ADDRESS(90, '6161 - Wallpaper-WUO_TRK'!A90),_xlfn.TEXTAFTER('6161 - Wallpaper-WUO_ERR'!A90, ":"))))</f>
        <v>0</v>
      </c>
    </row>
    <row r="91" spans="1:1">
      <c r="A91" s="39">
        <f>IF('6161 - Wallpaper'!B91 = "", "", IF('6161 - Wallpaper-WUO_ERR'!A91 = "", "Validated", HYPERLINK("#" &amp; ADDRESS(91, '6161 - Wallpaper-WUO_TRK'!A91),_xlfn.TEXTAFTER('6161 - Wallpaper-WUO_ERR'!A91, ":"))))</f>
        <v>0</v>
      </c>
    </row>
    <row r="92" spans="1:1">
      <c r="A92" s="39">
        <f>IF('6161 - Wallpaper'!B92 = "", "", IF('6161 - Wallpaper-WUO_ERR'!A92 = "", "Validated", HYPERLINK("#" &amp; ADDRESS(92, '6161 - Wallpaper-WUO_TRK'!A92),_xlfn.TEXTAFTER('6161 - Wallpaper-WUO_ERR'!A92, ":"))))</f>
        <v>0</v>
      </c>
    </row>
    <row r="93" spans="1:1">
      <c r="A93" s="39">
        <f>IF('6161 - Wallpaper'!B93 = "", "", IF('6161 - Wallpaper-WUO_ERR'!A93 = "", "Validated", HYPERLINK("#" &amp; ADDRESS(93, '6161 - Wallpaper-WUO_TRK'!A93),_xlfn.TEXTAFTER('6161 - Wallpaper-WUO_ERR'!A93, ":"))))</f>
        <v>0</v>
      </c>
    </row>
    <row r="94" spans="1:1">
      <c r="A94" s="39">
        <f>IF('6161 - Wallpaper'!B94 = "", "", IF('6161 - Wallpaper-WUO_ERR'!A94 = "", "Validated", HYPERLINK("#" &amp; ADDRESS(94, '6161 - Wallpaper-WUO_TRK'!A94),_xlfn.TEXTAFTER('6161 - Wallpaper-WUO_ERR'!A94, ":"))))</f>
        <v>0</v>
      </c>
    </row>
    <row r="95" spans="1:1">
      <c r="A95" s="39">
        <f>IF('6161 - Wallpaper'!B95 = "", "", IF('6161 - Wallpaper-WUO_ERR'!A95 = "", "Validated", HYPERLINK("#" &amp; ADDRESS(95, '6161 - Wallpaper-WUO_TRK'!A95),_xlfn.TEXTAFTER('6161 - Wallpaper-WUO_ERR'!A95, ":"))))</f>
        <v>0</v>
      </c>
    </row>
    <row r="96" spans="1:1">
      <c r="A96" s="39">
        <f>IF('6161 - Wallpaper'!B96 = "", "", IF('6161 - Wallpaper-WUO_ERR'!A96 = "", "Validated", HYPERLINK("#" &amp; ADDRESS(96, '6161 - Wallpaper-WUO_TRK'!A96),_xlfn.TEXTAFTER('6161 - Wallpaper-WUO_ERR'!A96, ":"))))</f>
        <v>0</v>
      </c>
    </row>
    <row r="97" spans="1:1">
      <c r="A97" s="39">
        <f>IF('6161 - Wallpaper'!B97 = "", "", IF('6161 - Wallpaper-WUO_ERR'!A97 = "", "Validated", HYPERLINK("#" &amp; ADDRESS(97, '6161 - Wallpaper-WUO_TRK'!A97),_xlfn.TEXTAFTER('6161 - Wallpaper-WUO_ERR'!A97, ":"))))</f>
        <v>0</v>
      </c>
    </row>
    <row r="98" spans="1:1">
      <c r="A98" s="39">
        <f>IF('6161 - Wallpaper'!B98 = "", "", IF('6161 - Wallpaper-WUO_ERR'!A98 = "", "Validated", HYPERLINK("#" &amp; ADDRESS(98, '6161 - Wallpaper-WUO_TRK'!A98),_xlfn.TEXTAFTER('6161 - Wallpaper-WUO_ERR'!A98, ":"))))</f>
        <v>0</v>
      </c>
    </row>
    <row r="99" spans="1:1">
      <c r="A99" s="39">
        <f>IF('6161 - Wallpaper'!B99 = "", "", IF('6161 - Wallpaper-WUO_ERR'!A99 = "", "Validated", HYPERLINK("#" &amp; ADDRESS(99, '6161 - Wallpaper-WUO_TRK'!A99),_xlfn.TEXTAFTER('6161 - Wallpaper-WUO_ERR'!A99, ":"))))</f>
        <v>0</v>
      </c>
    </row>
    <row r="100" spans="1:1">
      <c r="A100" s="39">
        <f>IF('6161 - Wallpaper'!B100 = "", "", IF('6161 - Wallpaper-WUO_ERR'!A100 = "", "Validated", HYPERLINK("#" &amp; ADDRESS(100, '6161 - Wallpaper-WUO_TRK'!A100),_xlfn.TEXTAFTER('6161 - Wallpaper-WUO_ERR'!A100, ":"))))</f>
        <v>0</v>
      </c>
    </row>
    <row r="101" spans="1:1">
      <c r="A101" s="39">
        <f>IF('6161 - Wallpaper'!B101 = "", "", IF('6161 - Wallpaper-WUO_ERR'!A101 = "", "Validated", HYPERLINK("#" &amp; ADDRESS(101, '6161 - Wallpaper-WUO_TRK'!A101),_xlfn.TEXTAFTER('6161 - Wallpaper-WUO_ERR'!A101, ":"))))</f>
        <v>0</v>
      </c>
    </row>
    <row r="102" spans="1:1">
      <c r="A102" s="39">
        <f>IF('6161 - Wallpaper'!B102 = "", "", IF('6161 - Wallpaper-WUO_ERR'!A102 = "", "Validated", HYPERLINK("#" &amp; ADDRESS(102, '6161 - Wallpaper-WUO_TRK'!A102),_xlfn.TEXTAFTER('6161 - Wallpaper-WUO_ERR'!A102, ":"))))</f>
        <v>0</v>
      </c>
    </row>
    <row r="103" spans="1:1">
      <c r="A103" s="39">
        <f>IF('6161 - Wallpaper'!B103 = "", "", IF('6161 - Wallpaper-WUO_ERR'!A103 = "", "Validated", HYPERLINK("#" &amp; ADDRESS(103, '6161 - Wallpaper-WUO_TRK'!A103),_xlfn.TEXTAFTER('6161 - Wallpaper-WUO_ERR'!A103, ":"))))</f>
        <v>0</v>
      </c>
    </row>
    <row r="104" spans="1:1">
      <c r="A104" s="39">
        <f>IF('6161 - Wallpaper'!B104 = "", "", IF('6161 - Wallpaper-WUO_ERR'!A104 = "", "Validated", HYPERLINK("#" &amp; ADDRESS(104, '6161 - Wallpaper-WUO_TRK'!A104),_xlfn.TEXTAFTER('6161 - Wallpaper-WUO_ERR'!A104, ":"))))</f>
        <v>0</v>
      </c>
    </row>
    <row r="105" spans="1:1">
      <c r="A105" s="39">
        <f>IF('6161 - Wallpaper'!B105 = "", "", IF('6161 - Wallpaper-WUO_ERR'!A105 = "", "Validated", HYPERLINK("#" &amp; ADDRESS(105, '6161 - Wallpaper-WUO_TRK'!A105),_xlfn.TEXTAFTER('6161 - Wallpaper-WUO_ERR'!A105, ":"))))</f>
        <v>0</v>
      </c>
    </row>
    <row r="106" spans="1:1">
      <c r="A106" s="39">
        <f>IF('6161 - Wallpaper'!B106 = "", "", IF('6161 - Wallpaper-WUO_ERR'!A106 = "", "Validated", HYPERLINK("#" &amp; ADDRESS(106, '6161 - Wallpaper-WUO_TRK'!A106),_xlfn.TEXTAFTER('6161 - Wallpaper-WUO_ERR'!A106, ":"))))</f>
        <v>0</v>
      </c>
    </row>
    <row r="107" spans="1:1">
      <c r="A107" s="39">
        <f>IF('6161 - Wallpaper'!B107 = "", "", IF('6161 - Wallpaper-WUO_ERR'!A107 = "", "Validated", HYPERLINK("#" &amp; ADDRESS(107, '6161 - Wallpaper-WUO_TRK'!A107),_xlfn.TEXTAFTER('6161 - Wallpaper-WUO_ERR'!A107, ":"))))</f>
        <v>0</v>
      </c>
    </row>
    <row r="108" spans="1:1">
      <c r="A108" s="39">
        <f>IF('6161 - Wallpaper'!B108 = "", "", IF('6161 - Wallpaper-WUO_ERR'!A108 = "", "Validated", HYPERLINK("#" &amp; ADDRESS(108, '6161 - Wallpaper-WUO_TRK'!A108),_xlfn.TEXTAFTER('6161 - Wallpaper-WUO_ERR'!A108, ":"))))</f>
        <v>0</v>
      </c>
    </row>
    <row r="109" spans="1:1">
      <c r="A109" s="39">
        <f>IF('6161 - Wallpaper'!B109 = "", "", IF('6161 - Wallpaper-WUO_ERR'!A109 = "", "Validated", HYPERLINK("#" &amp; ADDRESS(109, '6161 - Wallpaper-WUO_TRK'!A109),_xlfn.TEXTAFTER('6161 - Wallpaper-WUO_ERR'!A109, ":"))))</f>
        <v>0</v>
      </c>
    </row>
    <row r="110" spans="1:1">
      <c r="A110" s="39">
        <f>IF('6161 - Wallpaper'!B110 = "", "", IF('6161 - Wallpaper-WUO_ERR'!A110 = "", "Validated", HYPERLINK("#" &amp; ADDRESS(110, '6161 - Wallpaper-WUO_TRK'!A110),_xlfn.TEXTAFTER('6161 - Wallpaper-WUO_ERR'!A110, ":"))))</f>
        <v>0</v>
      </c>
    </row>
    <row r="111" spans="1:1">
      <c r="A111" s="39">
        <f>IF('6161 - Wallpaper'!B111 = "", "", IF('6161 - Wallpaper-WUO_ERR'!A111 = "", "Validated", HYPERLINK("#" &amp; ADDRESS(111, '6161 - Wallpaper-WUO_TRK'!A111),_xlfn.TEXTAFTER('6161 - Wallpaper-WUO_ERR'!A111, ":"))))</f>
        <v>0</v>
      </c>
    </row>
    <row r="112" spans="1:1">
      <c r="A112" s="39">
        <f>IF('6161 - Wallpaper'!B112 = "", "", IF('6161 - Wallpaper-WUO_ERR'!A112 = "", "Validated", HYPERLINK("#" &amp; ADDRESS(112, '6161 - Wallpaper-WUO_TRK'!A112),_xlfn.TEXTAFTER('6161 - Wallpaper-WUO_ERR'!A112, ":"))))</f>
        <v>0</v>
      </c>
    </row>
    <row r="113" spans="1:1">
      <c r="A113" s="39">
        <f>IF('6161 - Wallpaper'!B113 = "", "", IF('6161 - Wallpaper-WUO_ERR'!A113 = "", "Validated", HYPERLINK("#" &amp; ADDRESS(113, '6161 - Wallpaper-WUO_TRK'!A113),_xlfn.TEXTAFTER('6161 - Wallpaper-WUO_ERR'!A113, ":"))))</f>
        <v>0</v>
      </c>
    </row>
    <row r="114" spans="1:1">
      <c r="A114" s="39">
        <f>IF('6161 - Wallpaper'!B114 = "", "", IF('6161 - Wallpaper-WUO_ERR'!A114 = "", "Validated", HYPERLINK("#" &amp; ADDRESS(114, '6161 - Wallpaper-WUO_TRK'!A114),_xlfn.TEXTAFTER('6161 - Wallpaper-WUO_ERR'!A114, ":"))))</f>
        <v>0</v>
      </c>
    </row>
    <row r="115" spans="1:1">
      <c r="A115" s="39">
        <f>IF('6161 - Wallpaper'!B115 = "", "", IF('6161 - Wallpaper-WUO_ERR'!A115 = "", "Validated", HYPERLINK("#" &amp; ADDRESS(115, '6161 - Wallpaper-WUO_TRK'!A115),_xlfn.TEXTAFTER('6161 - Wallpaper-WUO_ERR'!A115, ":"))))</f>
        <v>0</v>
      </c>
    </row>
    <row r="116" spans="1:1">
      <c r="A116" s="39">
        <f>IF('6161 - Wallpaper'!B116 = "", "", IF('6161 - Wallpaper-WUO_ERR'!A116 = "", "Validated", HYPERLINK("#" &amp; ADDRESS(116, '6161 - Wallpaper-WUO_TRK'!A116),_xlfn.TEXTAFTER('6161 - Wallpaper-WUO_ERR'!A116, ":"))))</f>
        <v>0</v>
      </c>
    </row>
    <row r="117" spans="1:1">
      <c r="A117" s="39">
        <f>IF('6161 - Wallpaper'!B117 = "", "", IF('6161 - Wallpaper-WUO_ERR'!A117 = "", "Validated", HYPERLINK("#" &amp; ADDRESS(117, '6161 - Wallpaper-WUO_TRK'!A117),_xlfn.TEXTAFTER('6161 - Wallpaper-WUO_ERR'!A117, ":"))))</f>
        <v>0</v>
      </c>
    </row>
    <row r="118" spans="1:1">
      <c r="A118" s="39">
        <f>IF('6161 - Wallpaper'!B118 = "", "", IF('6161 - Wallpaper-WUO_ERR'!A118 = "", "Validated", HYPERLINK("#" &amp; ADDRESS(118, '6161 - Wallpaper-WUO_TRK'!A118),_xlfn.TEXTAFTER('6161 - Wallpaper-WUO_ERR'!A118, ":"))))</f>
        <v>0</v>
      </c>
    </row>
    <row r="119" spans="1:1">
      <c r="A119" s="39">
        <f>IF('6161 - Wallpaper'!B119 = "", "", IF('6161 - Wallpaper-WUO_ERR'!A119 = "", "Validated", HYPERLINK("#" &amp; ADDRESS(119, '6161 - Wallpaper-WUO_TRK'!A119),_xlfn.TEXTAFTER('6161 - Wallpaper-WUO_ERR'!A119, ":"))))</f>
        <v>0</v>
      </c>
    </row>
    <row r="120" spans="1:1">
      <c r="A120" s="39">
        <f>IF('6161 - Wallpaper'!B120 = "", "", IF('6161 - Wallpaper-WUO_ERR'!A120 = "", "Validated", HYPERLINK("#" &amp; ADDRESS(120, '6161 - Wallpaper-WUO_TRK'!A120),_xlfn.TEXTAFTER('6161 - Wallpaper-WUO_ERR'!A120, ":"))))</f>
        <v>0</v>
      </c>
    </row>
    <row r="121" spans="1:1">
      <c r="A121" s="39">
        <f>IF('6161 - Wallpaper'!B121 = "", "", IF('6161 - Wallpaper-WUO_ERR'!A121 = "", "Validated", HYPERLINK("#" &amp; ADDRESS(121, '6161 - Wallpaper-WUO_TRK'!A121),_xlfn.TEXTAFTER('6161 - Wallpaper-WUO_ERR'!A121, ":"))))</f>
        <v>0</v>
      </c>
    </row>
    <row r="122" spans="1:1">
      <c r="A122" s="39">
        <f>IF('6161 - Wallpaper'!B122 = "", "", IF('6161 - Wallpaper-WUO_ERR'!A122 = "", "Validated", HYPERLINK("#" &amp; ADDRESS(122, '6161 - Wallpaper-WUO_TRK'!A122),_xlfn.TEXTAFTER('6161 - Wallpaper-WUO_ERR'!A122, ":"))))</f>
        <v>0</v>
      </c>
    </row>
    <row r="123" spans="1:1">
      <c r="A123" s="39">
        <f>IF('6161 - Wallpaper'!B123 = "", "", IF('6161 - Wallpaper-WUO_ERR'!A123 = "", "Validated", HYPERLINK("#" &amp; ADDRESS(123, '6161 - Wallpaper-WUO_TRK'!A123),_xlfn.TEXTAFTER('6161 - Wallpaper-WUO_ERR'!A123, ":"))))</f>
        <v>0</v>
      </c>
    </row>
    <row r="124" spans="1:1">
      <c r="A124" s="39">
        <f>IF('6161 - Wallpaper'!B124 = "", "", IF('6161 - Wallpaper-WUO_ERR'!A124 = "", "Validated", HYPERLINK("#" &amp; ADDRESS(124, '6161 - Wallpaper-WUO_TRK'!A124),_xlfn.TEXTAFTER('6161 - Wallpaper-WUO_ERR'!A124, ":"))))</f>
        <v>0</v>
      </c>
    </row>
    <row r="125" spans="1:1">
      <c r="A125" s="39">
        <f>IF('6161 - Wallpaper'!B125 = "", "", IF('6161 - Wallpaper-WUO_ERR'!A125 = "", "Validated", HYPERLINK("#" &amp; ADDRESS(125, '6161 - Wallpaper-WUO_TRK'!A125),_xlfn.TEXTAFTER('6161 - Wallpaper-WUO_ERR'!A125, ":"))))</f>
        <v>0</v>
      </c>
    </row>
    <row r="126" spans="1:1">
      <c r="A126" s="39">
        <f>IF('6161 - Wallpaper'!B126 = "", "", IF('6161 - Wallpaper-WUO_ERR'!A126 = "", "Validated", HYPERLINK("#" &amp; ADDRESS(126, '6161 - Wallpaper-WUO_TRK'!A126),_xlfn.TEXTAFTER('6161 - Wallpaper-WUO_ERR'!A126, ":"))))</f>
        <v>0</v>
      </c>
    </row>
    <row r="127" spans="1:1">
      <c r="A127" s="39">
        <f>IF('6161 - Wallpaper'!B127 = "", "", IF('6161 - Wallpaper-WUO_ERR'!A127 = "", "Validated", HYPERLINK("#" &amp; ADDRESS(127, '6161 - Wallpaper-WUO_TRK'!A127),_xlfn.TEXTAFTER('6161 - Wallpaper-WUO_ERR'!A127, ":"))))</f>
        <v>0</v>
      </c>
    </row>
    <row r="128" spans="1:1">
      <c r="A128" s="39">
        <f>IF('6161 - Wallpaper'!B128 = "", "", IF('6161 - Wallpaper-WUO_ERR'!A128 = "", "Validated", HYPERLINK("#" &amp; ADDRESS(128, '6161 - Wallpaper-WUO_TRK'!A128),_xlfn.TEXTAFTER('6161 - Wallpaper-WUO_ERR'!A128, ":"))))</f>
        <v>0</v>
      </c>
    </row>
    <row r="129" spans="1:1">
      <c r="A129" s="39">
        <f>IF('6161 - Wallpaper'!B129 = "", "", IF('6161 - Wallpaper-WUO_ERR'!A129 = "", "Validated", HYPERLINK("#" &amp; ADDRESS(129, '6161 - Wallpaper-WUO_TRK'!A129),_xlfn.TEXTAFTER('6161 - Wallpaper-WUO_ERR'!A129, ":"))))</f>
        <v>0</v>
      </c>
    </row>
    <row r="130" spans="1:1">
      <c r="A130" s="39">
        <f>IF('6161 - Wallpaper'!B130 = "", "", IF('6161 - Wallpaper-WUO_ERR'!A130 = "", "Validated", HYPERLINK("#" &amp; ADDRESS(130, '6161 - Wallpaper-WUO_TRK'!A130),_xlfn.TEXTAFTER('6161 - Wallpaper-WUO_ERR'!A130, ":"))))</f>
        <v>0</v>
      </c>
    </row>
    <row r="131" spans="1:1">
      <c r="A131" s="39">
        <f>IF('6161 - Wallpaper'!B131 = "", "", IF('6161 - Wallpaper-WUO_ERR'!A131 = "", "Validated", HYPERLINK("#" &amp; ADDRESS(131, '6161 - Wallpaper-WUO_TRK'!A131),_xlfn.TEXTAFTER('6161 - Wallpaper-WUO_ERR'!A131, ":"))))</f>
        <v>0</v>
      </c>
    </row>
    <row r="132" spans="1:1">
      <c r="A132" s="39">
        <f>IF('6161 - Wallpaper'!B132 = "", "", IF('6161 - Wallpaper-WUO_ERR'!A132 = "", "Validated", HYPERLINK("#" &amp; ADDRESS(132, '6161 - Wallpaper-WUO_TRK'!A132),_xlfn.TEXTAFTER('6161 - Wallpaper-WUO_ERR'!A132, ":"))))</f>
        <v>0</v>
      </c>
    </row>
    <row r="133" spans="1:1">
      <c r="A133" s="39">
        <f>IF('6161 - Wallpaper'!B133 = "", "", IF('6161 - Wallpaper-WUO_ERR'!A133 = "", "Validated", HYPERLINK("#" &amp; ADDRESS(133, '6161 - Wallpaper-WUO_TRK'!A133),_xlfn.TEXTAFTER('6161 - Wallpaper-WUO_ERR'!A133, ":"))))</f>
        <v>0</v>
      </c>
    </row>
    <row r="134" spans="1:1">
      <c r="A134" s="39">
        <f>IF('6161 - Wallpaper'!B134 = "", "", IF('6161 - Wallpaper-WUO_ERR'!A134 = "", "Validated", HYPERLINK("#" &amp; ADDRESS(134, '6161 - Wallpaper-WUO_TRK'!A134),_xlfn.TEXTAFTER('6161 - Wallpaper-WUO_ERR'!A134, ":"))))</f>
        <v>0</v>
      </c>
    </row>
    <row r="135" spans="1:1">
      <c r="A135" s="39">
        <f>IF('6161 - Wallpaper'!B135 = "", "", IF('6161 - Wallpaper-WUO_ERR'!A135 = "", "Validated", HYPERLINK("#" &amp; ADDRESS(135, '6161 - Wallpaper-WUO_TRK'!A135),_xlfn.TEXTAFTER('6161 - Wallpaper-WUO_ERR'!A135, ":"))))</f>
        <v>0</v>
      </c>
    </row>
    <row r="136" spans="1:1">
      <c r="A136" s="39">
        <f>IF('6161 - Wallpaper'!B136 = "", "", IF('6161 - Wallpaper-WUO_ERR'!A136 = "", "Validated", HYPERLINK("#" &amp; ADDRESS(136, '6161 - Wallpaper-WUO_TRK'!A136),_xlfn.TEXTAFTER('6161 - Wallpaper-WUO_ERR'!A136, ":"))))</f>
        <v>0</v>
      </c>
    </row>
    <row r="137" spans="1:1">
      <c r="A137" s="39">
        <f>IF('6161 - Wallpaper'!B137 = "", "", IF('6161 - Wallpaper-WUO_ERR'!A137 = "", "Validated", HYPERLINK("#" &amp; ADDRESS(137, '6161 - Wallpaper-WUO_TRK'!A137),_xlfn.TEXTAFTER('6161 - Wallpaper-WUO_ERR'!A137, ":"))))</f>
        <v>0</v>
      </c>
    </row>
    <row r="138" spans="1:1">
      <c r="A138" s="39">
        <f>IF('6161 - Wallpaper'!B138 = "", "", IF('6161 - Wallpaper-WUO_ERR'!A138 = "", "Validated", HYPERLINK("#" &amp; ADDRESS(138, '6161 - Wallpaper-WUO_TRK'!A138),_xlfn.TEXTAFTER('6161 - Wallpaper-WUO_ERR'!A138, ":"))))</f>
        <v>0</v>
      </c>
    </row>
    <row r="139" spans="1:1">
      <c r="A139" s="39">
        <f>IF('6161 - Wallpaper'!B139 = "", "", IF('6161 - Wallpaper-WUO_ERR'!A139 = "", "Validated", HYPERLINK("#" &amp; ADDRESS(139, '6161 - Wallpaper-WUO_TRK'!A139),_xlfn.TEXTAFTER('6161 - Wallpaper-WUO_ERR'!A139, ":"))))</f>
        <v>0</v>
      </c>
    </row>
    <row r="140" spans="1:1">
      <c r="A140" s="39">
        <f>IF('6161 - Wallpaper'!B140 = "", "", IF('6161 - Wallpaper-WUO_ERR'!A140 = "", "Validated", HYPERLINK("#" &amp; ADDRESS(140, '6161 - Wallpaper-WUO_TRK'!A140),_xlfn.TEXTAFTER('6161 - Wallpaper-WUO_ERR'!A140, ":"))))</f>
        <v>0</v>
      </c>
    </row>
    <row r="141" spans="1:1">
      <c r="A141" s="39">
        <f>IF('6161 - Wallpaper'!B141 = "", "", IF('6161 - Wallpaper-WUO_ERR'!A141 = "", "Validated", HYPERLINK("#" &amp; ADDRESS(141, '6161 - Wallpaper-WUO_TRK'!A141),_xlfn.TEXTAFTER('6161 - Wallpaper-WUO_ERR'!A141, ":"))))</f>
        <v>0</v>
      </c>
    </row>
    <row r="142" spans="1:1">
      <c r="A142" s="39">
        <f>IF('6161 - Wallpaper'!B142 = "", "", IF('6161 - Wallpaper-WUO_ERR'!A142 = "", "Validated", HYPERLINK("#" &amp; ADDRESS(142, '6161 - Wallpaper-WUO_TRK'!A142),_xlfn.TEXTAFTER('6161 - Wallpaper-WUO_ERR'!A142, ":"))))</f>
        <v>0</v>
      </c>
    </row>
    <row r="143" spans="1:1">
      <c r="A143" s="39">
        <f>IF('6161 - Wallpaper'!B143 = "", "", IF('6161 - Wallpaper-WUO_ERR'!A143 = "", "Validated", HYPERLINK("#" &amp; ADDRESS(143, '6161 - Wallpaper-WUO_TRK'!A143),_xlfn.TEXTAFTER('6161 - Wallpaper-WUO_ERR'!A143, ":"))))</f>
        <v>0</v>
      </c>
    </row>
    <row r="144" spans="1:1">
      <c r="A144" s="39">
        <f>IF('6161 - Wallpaper'!B144 = "", "", IF('6161 - Wallpaper-WUO_ERR'!A144 = "", "Validated", HYPERLINK("#" &amp; ADDRESS(144, '6161 - Wallpaper-WUO_TRK'!A144),_xlfn.TEXTAFTER('6161 - Wallpaper-WUO_ERR'!A144, ":"))))</f>
        <v>0</v>
      </c>
    </row>
    <row r="145" spans="1:1">
      <c r="A145" s="39">
        <f>IF('6161 - Wallpaper'!B145 = "", "", IF('6161 - Wallpaper-WUO_ERR'!A145 = "", "Validated", HYPERLINK("#" &amp; ADDRESS(145, '6161 - Wallpaper-WUO_TRK'!A145),_xlfn.TEXTAFTER('6161 - Wallpaper-WUO_ERR'!A145, ":"))))</f>
        <v>0</v>
      </c>
    </row>
    <row r="146" spans="1:1">
      <c r="A146" s="39">
        <f>IF('6161 - Wallpaper'!B146 = "", "", IF('6161 - Wallpaper-WUO_ERR'!A146 = "", "Validated", HYPERLINK("#" &amp; ADDRESS(146, '6161 - Wallpaper-WUO_TRK'!A146),_xlfn.TEXTAFTER('6161 - Wallpaper-WUO_ERR'!A146, ":"))))</f>
        <v>0</v>
      </c>
    </row>
    <row r="147" spans="1:1">
      <c r="A147" s="39">
        <f>IF('6161 - Wallpaper'!B147 = "", "", IF('6161 - Wallpaper-WUO_ERR'!A147 = "", "Validated", HYPERLINK("#" &amp; ADDRESS(147, '6161 - Wallpaper-WUO_TRK'!A147),_xlfn.TEXTAFTER('6161 - Wallpaper-WUO_ERR'!A147, ":"))))</f>
        <v>0</v>
      </c>
    </row>
    <row r="148" spans="1:1">
      <c r="A148" s="39">
        <f>IF('6161 - Wallpaper'!B148 = "", "", IF('6161 - Wallpaper-WUO_ERR'!A148 = "", "Validated", HYPERLINK("#" &amp; ADDRESS(148, '6161 - Wallpaper-WUO_TRK'!A148),_xlfn.TEXTAFTER('6161 - Wallpaper-WUO_ERR'!A148, ":"))))</f>
        <v>0</v>
      </c>
    </row>
    <row r="149" spans="1:1">
      <c r="A149" s="39">
        <f>IF('6161 - Wallpaper'!B149 = "", "", IF('6161 - Wallpaper-WUO_ERR'!A149 = "", "Validated", HYPERLINK("#" &amp; ADDRESS(149, '6161 - Wallpaper-WUO_TRK'!A149),_xlfn.TEXTAFTER('6161 - Wallpaper-WUO_ERR'!A149, ":"))))</f>
        <v>0</v>
      </c>
    </row>
    <row r="150" spans="1:1">
      <c r="A150" s="39">
        <f>IF('6161 - Wallpaper'!B150 = "", "", IF('6161 - Wallpaper-WUO_ERR'!A150 = "", "Validated", HYPERLINK("#" &amp; ADDRESS(150, '6161 - Wallpaper-WUO_TRK'!A150),_xlfn.TEXTAFTER('6161 - Wallpaper-WUO_ERR'!A150, ":"))))</f>
        <v>0</v>
      </c>
    </row>
    <row r="151" spans="1:1">
      <c r="A151" s="39">
        <f>IF('6161 - Wallpaper'!B151 = "", "", IF('6161 - Wallpaper-WUO_ERR'!A151 = "", "Validated", HYPERLINK("#" &amp; ADDRESS(151, '6161 - Wallpaper-WUO_TRK'!A151),_xlfn.TEXTAFTER('6161 - Wallpaper-WUO_ERR'!A151, ":"))))</f>
        <v>0</v>
      </c>
    </row>
    <row r="152" spans="1:1">
      <c r="A152" s="39">
        <f>IF('6161 - Wallpaper'!B152 = "", "", IF('6161 - Wallpaper-WUO_ERR'!A152 = "", "Validated", HYPERLINK("#" &amp; ADDRESS(152, '6161 - Wallpaper-WUO_TRK'!A152),_xlfn.TEXTAFTER('6161 - Wallpaper-WUO_ERR'!A152, ":"))))</f>
        <v>0</v>
      </c>
    </row>
    <row r="153" spans="1:1">
      <c r="A153" s="39">
        <f>IF('6161 - Wallpaper'!B153 = "", "", IF('6161 - Wallpaper-WUO_ERR'!A153 = "", "Validated", HYPERLINK("#" &amp; ADDRESS(153, '6161 - Wallpaper-WUO_TRK'!A153),_xlfn.TEXTAFTER('6161 - Wallpaper-WUO_ERR'!A153, ":"))))</f>
        <v>0</v>
      </c>
    </row>
    <row r="154" spans="1:1">
      <c r="A154" s="39">
        <f>IF('6161 - Wallpaper'!B154 = "", "", IF('6161 - Wallpaper-WUO_ERR'!A154 = "", "Validated", HYPERLINK("#" &amp; ADDRESS(154, '6161 - Wallpaper-WUO_TRK'!A154),_xlfn.TEXTAFTER('6161 - Wallpaper-WUO_ERR'!A154, ":"))))</f>
        <v>0</v>
      </c>
    </row>
    <row r="155" spans="1:1">
      <c r="A155" s="39">
        <f>IF('6161 - Wallpaper'!B155 = "", "", IF('6161 - Wallpaper-WUO_ERR'!A155 = "", "Validated", HYPERLINK("#" &amp; ADDRESS(155, '6161 - Wallpaper-WUO_TRK'!A155),_xlfn.TEXTAFTER('6161 - Wallpaper-WUO_ERR'!A155, ":"))))</f>
        <v>0</v>
      </c>
    </row>
    <row r="156" spans="1:1">
      <c r="A156" s="39">
        <f>IF('6161 - Wallpaper'!B156 = "", "", IF('6161 - Wallpaper-WUO_ERR'!A156 = "", "Validated", HYPERLINK("#" &amp; ADDRESS(156, '6161 - Wallpaper-WUO_TRK'!A156),_xlfn.TEXTAFTER('6161 - Wallpaper-WUO_ERR'!A156, ":"))))</f>
        <v>0</v>
      </c>
    </row>
    <row r="157" spans="1:1">
      <c r="A157" s="39">
        <f>IF('6161 - Wallpaper'!B157 = "", "", IF('6161 - Wallpaper-WUO_ERR'!A157 = "", "Validated", HYPERLINK("#" &amp; ADDRESS(157, '6161 - Wallpaper-WUO_TRK'!A157),_xlfn.TEXTAFTER('6161 - Wallpaper-WUO_ERR'!A157, ":"))))</f>
        <v>0</v>
      </c>
    </row>
    <row r="158" spans="1:1">
      <c r="A158" s="39">
        <f>IF('6161 - Wallpaper'!B158 = "", "", IF('6161 - Wallpaper-WUO_ERR'!A158 = "", "Validated", HYPERLINK("#" &amp; ADDRESS(158, '6161 - Wallpaper-WUO_TRK'!A158),_xlfn.TEXTAFTER('6161 - Wallpaper-WUO_ERR'!A158, ":"))))</f>
        <v>0</v>
      </c>
    </row>
    <row r="159" spans="1:1">
      <c r="A159" s="39">
        <f>IF('6161 - Wallpaper'!B159 = "", "", IF('6161 - Wallpaper-WUO_ERR'!A159 = "", "Validated", HYPERLINK("#" &amp; ADDRESS(159, '6161 - Wallpaper-WUO_TRK'!A159),_xlfn.TEXTAFTER('6161 - Wallpaper-WUO_ERR'!A159, ":"))))</f>
        <v>0</v>
      </c>
    </row>
    <row r="160" spans="1:1">
      <c r="A160" s="39">
        <f>IF('6161 - Wallpaper'!B160 = "", "", IF('6161 - Wallpaper-WUO_ERR'!A160 = "", "Validated", HYPERLINK("#" &amp; ADDRESS(160, '6161 - Wallpaper-WUO_TRK'!A160),_xlfn.TEXTAFTER('6161 - Wallpaper-WUO_ERR'!A160, ":"))))</f>
        <v>0</v>
      </c>
    </row>
    <row r="161" spans="1:1">
      <c r="A161" s="39">
        <f>IF('6161 - Wallpaper'!B161 = "", "", IF('6161 - Wallpaper-WUO_ERR'!A161 = "", "Validated", HYPERLINK("#" &amp; ADDRESS(161, '6161 - Wallpaper-WUO_TRK'!A161),_xlfn.TEXTAFTER('6161 - Wallpaper-WUO_ERR'!A161, ":"))))</f>
        <v>0</v>
      </c>
    </row>
    <row r="162" spans="1:1">
      <c r="A162" s="39">
        <f>IF('6161 - Wallpaper'!B162 = "", "", IF('6161 - Wallpaper-WUO_ERR'!A162 = "", "Validated", HYPERLINK("#" &amp; ADDRESS(162, '6161 - Wallpaper-WUO_TRK'!A162),_xlfn.TEXTAFTER('6161 - Wallpaper-WUO_ERR'!A162, ":"))))</f>
        <v>0</v>
      </c>
    </row>
    <row r="163" spans="1:1">
      <c r="A163" s="39">
        <f>IF('6161 - Wallpaper'!B163 = "", "", IF('6161 - Wallpaper-WUO_ERR'!A163 = "", "Validated", HYPERLINK("#" &amp; ADDRESS(163, '6161 - Wallpaper-WUO_TRK'!A163),_xlfn.TEXTAFTER('6161 - Wallpaper-WUO_ERR'!A163, ":"))))</f>
        <v>0</v>
      </c>
    </row>
    <row r="164" spans="1:1">
      <c r="A164" s="39">
        <f>IF('6161 - Wallpaper'!B164 = "", "", IF('6161 - Wallpaper-WUO_ERR'!A164 = "", "Validated", HYPERLINK("#" &amp; ADDRESS(164, '6161 - Wallpaper-WUO_TRK'!A164),_xlfn.TEXTAFTER('6161 - Wallpaper-WUO_ERR'!A164, ":"))))</f>
        <v>0</v>
      </c>
    </row>
    <row r="165" spans="1:1">
      <c r="A165" s="39">
        <f>IF('6161 - Wallpaper'!B165 = "", "", IF('6161 - Wallpaper-WUO_ERR'!A165 = "", "Validated", HYPERLINK("#" &amp; ADDRESS(165, '6161 - Wallpaper-WUO_TRK'!A165),_xlfn.TEXTAFTER('6161 - Wallpaper-WUO_ERR'!A165, ":"))))</f>
        <v>0</v>
      </c>
    </row>
    <row r="166" spans="1:1">
      <c r="A166" s="39">
        <f>IF('6161 - Wallpaper'!B166 = "", "", IF('6161 - Wallpaper-WUO_ERR'!A166 = "", "Validated", HYPERLINK("#" &amp; ADDRESS(166, '6161 - Wallpaper-WUO_TRK'!A166),_xlfn.TEXTAFTER('6161 - Wallpaper-WUO_ERR'!A166, ":"))))</f>
        <v>0</v>
      </c>
    </row>
    <row r="167" spans="1:1">
      <c r="A167" s="39">
        <f>IF('6161 - Wallpaper'!B167 = "", "", IF('6161 - Wallpaper-WUO_ERR'!A167 = "", "Validated", HYPERLINK("#" &amp; ADDRESS(167, '6161 - Wallpaper-WUO_TRK'!A167),_xlfn.TEXTAFTER('6161 - Wallpaper-WUO_ERR'!A167, ":"))))</f>
        <v>0</v>
      </c>
    </row>
    <row r="168" spans="1:1">
      <c r="A168" s="39">
        <f>IF('6161 - Wallpaper'!B168 = "", "", IF('6161 - Wallpaper-WUO_ERR'!A168 = "", "Validated", HYPERLINK("#" &amp; ADDRESS(168, '6161 - Wallpaper-WUO_TRK'!A168),_xlfn.TEXTAFTER('6161 - Wallpaper-WUO_ERR'!A168, ":"))))</f>
        <v>0</v>
      </c>
    </row>
    <row r="169" spans="1:1">
      <c r="A169" s="39">
        <f>IF('6161 - Wallpaper'!B169 = "", "", IF('6161 - Wallpaper-WUO_ERR'!A169 = "", "Validated", HYPERLINK("#" &amp; ADDRESS(169, '6161 - Wallpaper-WUO_TRK'!A169),_xlfn.TEXTAFTER('6161 - Wallpaper-WUO_ERR'!A169, ":"))))</f>
        <v>0</v>
      </c>
    </row>
    <row r="170" spans="1:1">
      <c r="A170" s="39">
        <f>IF('6161 - Wallpaper'!B170 = "", "", IF('6161 - Wallpaper-WUO_ERR'!A170 = "", "Validated", HYPERLINK("#" &amp; ADDRESS(170, '6161 - Wallpaper-WUO_TRK'!A170),_xlfn.TEXTAFTER('6161 - Wallpaper-WUO_ERR'!A170, ":"))))</f>
        <v>0</v>
      </c>
    </row>
    <row r="171" spans="1:1">
      <c r="A171" s="39">
        <f>IF('6161 - Wallpaper'!B171 = "", "", IF('6161 - Wallpaper-WUO_ERR'!A171 = "", "Validated", HYPERLINK("#" &amp; ADDRESS(171, '6161 - Wallpaper-WUO_TRK'!A171),_xlfn.TEXTAFTER('6161 - Wallpaper-WUO_ERR'!A171, ":"))))</f>
        <v>0</v>
      </c>
    </row>
    <row r="172" spans="1:1">
      <c r="A172" s="39">
        <f>IF('6161 - Wallpaper'!B172 = "", "", IF('6161 - Wallpaper-WUO_ERR'!A172 = "", "Validated", HYPERLINK("#" &amp; ADDRESS(172, '6161 - Wallpaper-WUO_TRK'!A172),_xlfn.TEXTAFTER('6161 - Wallpaper-WUO_ERR'!A172, ":"))))</f>
        <v>0</v>
      </c>
    </row>
    <row r="173" spans="1:1">
      <c r="A173" s="39">
        <f>IF('6161 - Wallpaper'!B173 = "", "", IF('6161 - Wallpaper-WUO_ERR'!A173 = "", "Validated", HYPERLINK("#" &amp; ADDRESS(173, '6161 - Wallpaper-WUO_TRK'!A173),_xlfn.TEXTAFTER('6161 - Wallpaper-WUO_ERR'!A173, ":"))))</f>
        <v>0</v>
      </c>
    </row>
    <row r="174" spans="1:1">
      <c r="A174" s="39">
        <f>IF('6161 - Wallpaper'!B174 = "", "", IF('6161 - Wallpaper-WUO_ERR'!A174 = "", "Validated", HYPERLINK("#" &amp; ADDRESS(174, '6161 - Wallpaper-WUO_TRK'!A174),_xlfn.TEXTAFTER('6161 - Wallpaper-WUO_ERR'!A174, ":"))))</f>
        <v>0</v>
      </c>
    </row>
    <row r="175" spans="1:1">
      <c r="A175" s="39">
        <f>IF('6161 - Wallpaper'!B175 = "", "", IF('6161 - Wallpaper-WUO_ERR'!A175 = "", "Validated", HYPERLINK("#" &amp; ADDRESS(175, '6161 - Wallpaper-WUO_TRK'!A175),_xlfn.TEXTAFTER('6161 - Wallpaper-WUO_ERR'!A175, ":"))))</f>
        <v>0</v>
      </c>
    </row>
    <row r="176" spans="1:1">
      <c r="A176" s="39">
        <f>IF('6161 - Wallpaper'!B176 = "", "", IF('6161 - Wallpaper-WUO_ERR'!A176 = "", "Validated", HYPERLINK("#" &amp; ADDRESS(176, '6161 - Wallpaper-WUO_TRK'!A176),_xlfn.TEXTAFTER('6161 - Wallpaper-WUO_ERR'!A176, ":"))))</f>
        <v>0</v>
      </c>
    </row>
    <row r="177" spans="1:1">
      <c r="A177" s="39">
        <f>IF('6161 - Wallpaper'!B177 = "", "", IF('6161 - Wallpaper-WUO_ERR'!A177 = "", "Validated", HYPERLINK("#" &amp; ADDRESS(177, '6161 - Wallpaper-WUO_TRK'!A177),_xlfn.TEXTAFTER('6161 - Wallpaper-WUO_ERR'!A177, ":"))))</f>
        <v>0</v>
      </c>
    </row>
    <row r="178" spans="1:1">
      <c r="A178" s="39">
        <f>IF('6161 - Wallpaper'!B178 = "", "", IF('6161 - Wallpaper-WUO_ERR'!A178 = "", "Validated", HYPERLINK("#" &amp; ADDRESS(178, '6161 - Wallpaper-WUO_TRK'!A178),_xlfn.TEXTAFTER('6161 - Wallpaper-WUO_ERR'!A178, ":"))))</f>
        <v>0</v>
      </c>
    </row>
    <row r="179" spans="1:1">
      <c r="A179" s="39">
        <f>IF('6161 - Wallpaper'!B179 = "", "", IF('6161 - Wallpaper-WUO_ERR'!A179 = "", "Validated", HYPERLINK("#" &amp; ADDRESS(179, '6161 - Wallpaper-WUO_TRK'!A179),_xlfn.TEXTAFTER('6161 - Wallpaper-WUO_ERR'!A179, ":"))))</f>
        <v>0</v>
      </c>
    </row>
    <row r="180" spans="1:1">
      <c r="A180" s="39">
        <f>IF('6161 - Wallpaper'!B180 = "", "", IF('6161 - Wallpaper-WUO_ERR'!A180 = "", "Validated", HYPERLINK("#" &amp; ADDRESS(180, '6161 - Wallpaper-WUO_TRK'!A180),_xlfn.TEXTAFTER('6161 - Wallpaper-WUO_ERR'!A180, ":"))))</f>
        <v>0</v>
      </c>
    </row>
    <row r="181" spans="1:1">
      <c r="A181" s="39">
        <f>IF('6161 - Wallpaper'!B181 = "", "", IF('6161 - Wallpaper-WUO_ERR'!A181 = "", "Validated", HYPERLINK("#" &amp; ADDRESS(181, '6161 - Wallpaper-WUO_TRK'!A181),_xlfn.TEXTAFTER('6161 - Wallpaper-WUO_ERR'!A181, ":"))))</f>
        <v>0</v>
      </c>
    </row>
    <row r="182" spans="1:1">
      <c r="A182" s="39">
        <f>IF('6161 - Wallpaper'!B182 = "", "", IF('6161 - Wallpaper-WUO_ERR'!A182 = "", "Validated", HYPERLINK("#" &amp; ADDRESS(182, '6161 - Wallpaper-WUO_TRK'!A182),_xlfn.TEXTAFTER('6161 - Wallpaper-WUO_ERR'!A182, ":"))))</f>
        <v>0</v>
      </c>
    </row>
    <row r="183" spans="1:1">
      <c r="A183" s="39">
        <f>IF('6161 - Wallpaper'!B183 = "", "", IF('6161 - Wallpaper-WUO_ERR'!A183 = "", "Validated", HYPERLINK("#" &amp; ADDRESS(183, '6161 - Wallpaper-WUO_TRK'!A183),_xlfn.TEXTAFTER('6161 - Wallpaper-WUO_ERR'!A183, ":"))))</f>
        <v>0</v>
      </c>
    </row>
    <row r="184" spans="1:1">
      <c r="A184" s="39">
        <f>IF('6161 - Wallpaper'!B184 = "", "", IF('6161 - Wallpaper-WUO_ERR'!A184 = "", "Validated", HYPERLINK("#" &amp; ADDRESS(184, '6161 - Wallpaper-WUO_TRK'!A184),_xlfn.TEXTAFTER('6161 - Wallpaper-WUO_ERR'!A184, ":"))))</f>
        <v>0</v>
      </c>
    </row>
    <row r="185" spans="1:1">
      <c r="A185" s="39">
        <f>IF('6161 - Wallpaper'!B185 = "", "", IF('6161 - Wallpaper-WUO_ERR'!A185 = "", "Validated", HYPERLINK("#" &amp; ADDRESS(185, '6161 - Wallpaper-WUO_TRK'!A185),_xlfn.TEXTAFTER('6161 - Wallpaper-WUO_ERR'!A185, ":"))))</f>
        <v>0</v>
      </c>
    </row>
    <row r="186" spans="1:1">
      <c r="A186" s="39">
        <f>IF('6161 - Wallpaper'!B186 = "", "", IF('6161 - Wallpaper-WUO_ERR'!A186 = "", "Validated", HYPERLINK("#" &amp; ADDRESS(186, '6161 - Wallpaper-WUO_TRK'!A186),_xlfn.TEXTAFTER('6161 - Wallpaper-WUO_ERR'!A186, ":"))))</f>
        <v>0</v>
      </c>
    </row>
    <row r="187" spans="1:1">
      <c r="A187" s="39">
        <f>IF('6161 - Wallpaper'!B187 = "", "", IF('6161 - Wallpaper-WUO_ERR'!A187 = "", "Validated", HYPERLINK("#" &amp; ADDRESS(187, '6161 - Wallpaper-WUO_TRK'!A187),_xlfn.TEXTAFTER('6161 - Wallpaper-WUO_ERR'!A187, ":"))))</f>
        <v>0</v>
      </c>
    </row>
    <row r="188" spans="1:1">
      <c r="A188" s="39">
        <f>IF('6161 - Wallpaper'!B188 = "", "", IF('6161 - Wallpaper-WUO_ERR'!A188 = "", "Validated", HYPERLINK("#" &amp; ADDRESS(188, '6161 - Wallpaper-WUO_TRK'!A188),_xlfn.TEXTAFTER('6161 - Wallpaper-WUO_ERR'!A188, ":"))))</f>
        <v>0</v>
      </c>
    </row>
    <row r="189" spans="1:1">
      <c r="A189" s="39">
        <f>IF('6161 - Wallpaper'!B189 = "", "", IF('6161 - Wallpaper-WUO_ERR'!A189 = "", "Validated", HYPERLINK("#" &amp; ADDRESS(189, '6161 - Wallpaper-WUO_TRK'!A189),_xlfn.TEXTAFTER('6161 - Wallpaper-WUO_ERR'!A189, ":"))))</f>
        <v>0</v>
      </c>
    </row>
    <row r="190" spans="1:1">
      <c r="A190" s="39">
        <f>IF('6161 - Wallpaper'!B190 = "", "", IF('6161 - Wallpaper-WUO_ERR'!A190 = "", "Validated", HYPERLINK("#" &amp; ADDRESS(190, '6161 - Wallpaper-WUO_TRK'!A190),_xlfn.TEXTAFTER('6161 - Wallpaper-WUO_ERR'!A190, ":"))))</f>
        <v>0</v>
      </c>
    </row>
    <row r="191" spans="1:1">
      <c r="A191" s="39">
        <f>IF('6161 - Wallpaper'!B191 = "", "", IF('6161 - Wallpaper-WUO_ERR'!A191 = "", "Validated", HYPERLINK("#" &amp; ADDRESS(191, '6161 - Wallpaper-WUO_TRK'!A191),_xlfn.TEXTAFTER('6161 - Wallpaper-WUO_ERR'!A191, ":"))))</f>
        <v>0</v>
      </c>
    </row>
    <row r="192" spans="1:1">
      <c r="A192" s="39">
        <f>IF('6161 - Wallpaper'!B192 = "", "", IF('6161 - Wallpaper-WUO_ERR'!A192 = "", "Validated", HYPERLINK("#" &amp; ADDRESS(192, '6161 - Wallpaper-WUO_TRK'!A192),_xlfn.TEXTAFTER('6161 - Wallpaper-WUO_ERR'!A192, ":"))))</f>
        <v>0</v>
      </c>
    </row>
    <row r="193" spans="1:1">
      <c r="A193" s="39">
        <f>IF('6161 - Wallpaper'!B193 = "", "", IF('6161 - Wallpaper-WUO_ERR'!A193 = "", "Validated", HYPERLINK("#" &amp; ADDRESS(193, '6161 - Wallpaper-WUO_TRK'!A193),_xlfn.TEXTAFTER('6161 - Wallpaper-WUO_ERR'!A193, ":"))))</f>
        <v>0</v>
      </c>
    </row>
    <row r="194" spans="1:1">
      <c r="A194" s="39">
        <f>IF('6161 - Wallpaper'!B194 = "", "", IF('6161 - Wallpaper-WUO_ERR'!A194 = "", "Validated", HYPERLINK("#" &amp; ADDRESS(194, '6161 - Wallpaper-WUO_TRK'!A194),_xlfn.TEXTAFTER('6161 - Wallpaper-WUO_ERR'!A194, ":"))))</f>
        <v>0</v>
      </c>
    </row>
    <row r="195" spans="1:1">
      <c r="A195" s="39">
        <f>IF('6161 - Wallpaper'!B195 = "", "", IF('6161 - Wallpaper-WUO_ERR'!A195 = "", "Validated", HYPERLINK("#" &amp; ADDRESS(195, '6161 - Wallpaper-WUO_TRK'!A195),_xlfn.TEXTAFTER('6161 - Wallpaper-WUO_ERR'!A195, ":"))))</f>
        <v>0</v>
      </c>
    </row>
    <row r="196" spans="1:1">
      <c r="A196" s="39">
        <f>IF('6161 - Wallpaper'!B196 = "", "", IF('6161 - Wallpaper-WUO_ERR'!A196 = "", "Validated", HYPERLINK("#" &amp; ADDRESS(196, '6161 - Wallpaper-WUO_TRK'!A196),_xlfn.TEXTAFTER('6161 - Wallpaper-WUO_ERR'!A196, ":"))))</f>
        <v>0</v>
      </c>
    </row>
    <row r="197" spans="1:1">
      <c r="A197" s="39">
        <f>IF('6161 - Wallpaper'!B197 = "", "", IF('6161 - Wallpaper-WUO_ERR'!A197 = "", "Validated", HYPERLINK("#" &amp; ADDRESS(197, '6161 - Wallpaper-WUO_TRK'!A197),_xlfn.TEXTAFTER('6161 - Wallpaper-WUO_ERR'!A197, ":"))))</f>
        <v>0</v>
      </c>
    </row>
    <row r="198" spans="1:1">
      <c r="A198" s="39">
        <f>IF('6161 - Wallpaper'!B198 = "", "", IF('6161 - Wallpaper-WUO_ERR'!A198 = "", "Validated", HYPERLINK("#" &amp; ADDRESS(198, '6161 - Wallpaper-WUO_TRK'!A198),_xlfn.TEXTAFTER('6161 - Wallpaper-WUO_ERR'!A198, ":"))))</f>
        <v>0</v>
      </c>
    </row>
    <row r="199" spans="1:1">
      <c r="A199" s="39">
        <f>IF('6161 - Wallpaper'!B199 = "", "", IF('6161 - Wallpaper-WUO_ERR'!A199 = "", "Validated", HYPERLINK("#" &amp; ADDRESS(199, '6161 - Wallpaper-WUO_TRK'!A199),_xlfn.TEXTAFTER('6161 - Wallpaper-WUO_ERR'!A199, ":"))))</f>
        <v>0</v>
      </c>
    </row>
    <row r="200" spans="1:1">
      <c r="A200" s="39">
        <f>IF('6161 - Wallpaper'!B200 = "", "", IF('6161 - Wallpaper-WUO_ERR'!A200 = "", "Validated", HYPERLINK("#" &amp; ADDRESS(200, '6161 - Wallpaper-WUO_TRK'!A200),_xlfn.TEXTAFTER('6161 - Wallpaper-WUO_ERR'!A200, ":"))))</f>
        <v>0</v>
      </c>
    </row>
    <row r="201" spans="1:1">
      <c r="A201" s="39">
        <f>IF('6161 - Wallpaper'!B201 = "", "", IF('6161 - Wallpaper-WUO_ERR'!A201 = "", "Validated", HYPERLINK("#" &amp; ADDRESS(201, '6161 - Wallpaper-WUO_TRK'!A201),_xlfn.TEXTAFTER('6161 - Wallpaper-WUO_ERR'!A201, ":"))))</f>
        <v>0</v>
      </c>
    </row>
    <row r="202" spans="1:1">
      <c r="A202" s="39">
        <f>IF('6161 - Wallpaper'!B202 = "", "", IF('6161 - Wallpaper-WUO_ERR'!A202 = "", "Validated", HYPERLINK("#" &amp; ADDRESS(202, '6161 - Wallpaper-WUO_TRK'!A202),_xlfn.TEXTAFTER('6161 - Wallpaper-WUO_ERR'!A202, ":"))))</f>
        <v>0</v>
      </c>
    </row>
    <row r="203" spans="1:1">
      <c r="A203" s="39">
        <f>IF('6161 - Wallpaper'!B203 = "", "", IF('6161 - Wallpaper-WUO_ERR'!A203 = "", "Validated", HYPERLINK("#" &amp; ADDRESS(203, '6161 - Wallpaper-WUO_TRK'!A203),_xlfn.TEXTAFTER('6161 - Wallpaper-WUO_ERR'!A203, ":"))))</f>
        <v>0</v>
      </c>
    </row>
    <row r="204" spans="1:1">
      <c r="A204" s="39">
        <f>IF('6161 - Wallpaper'!B204 = "", "", IF('6161 - Wallpaper-WUO_ERR'!A204 = "", "Validated", HYPERLINK("#" &amp; ADDRESS(204, '6161 - Wallpaper-WUO_TRK'!A204),_xlfn.TEXTAFTER('6161 - Wallpaper-WUO_ERR'!A204, ":"))))</f>
        <v>0</v>
      </c>
    </row>
    <row r="205" spans="1:1">
      <c r="A205" s="39">
        <f>IF('6161 - Wallpaper'!B205 = "", "", IF('6161 - Wallpaper-WUO_ERR'!A205 = "", "Validated", HYPERLINK("#" &amp; ADDRESS(205, '6161 - Wallpaper-WUO_TRK'!A205),_xlfn.TEXTAFTER('6161 - Wallpaper-WUO_ERR'!A205, ":"))))</f>
        <v>0</v>
      </c>
    </row>
    <row r="206" spans="1:1">
      <c r="A206" s="39">
        <f>IF('6161 - Wallpaper'!B206 = "", "", IF('6161 - Wallpaper-WUO_ERR'!A206 = "", "Validated", HYPERLINK("#" &amp; ADDRESS(206, '6161 - Wallpaper-WUO_TRK'!A206),_xlfn.TEXTAFTER('6161 - Wallpaper-WUO_ERR'!A206, ":"))))</f>
        <v>0</v>
      </c>
    </row>
    <row r="207" spans="1:1">
      <c r="A207" s="39">
        <f>IF('6161 - Wallpaper'!B207 = "", "", IF('6161 - Wallpaper-WUO_ERR'!A207 = "", "Validated", HYPERLINK("#" &amp; ADDRESS(207, '6161 - Wallpaper-WUO_TRK'!A207),_xlfn.TEXTAFTER('6161 - Wallpaper-WUO_ERR'!A207, ":"))))</f>
        <v>0</v>
      </c>
    </row>
    <row r="208" spans="1:1">
      <c r="A208" s="39">
        <f>IF('6161 - Wallpaper'!B208 = "", "", IF('6161 - Wallpaper-WUO_ERR'!A208 = "", "Validated", HYPERLINK("#" &amp; ADDRESS(208, '6161 - Wallpaper-WUO_TRK'!A208),_xlfn.TEXTAFTER('6161 - Wallpaper-WUO_ERR'!A208, ":"))))</f>
        <v>0</v>
      </c>
    </row>
    <row r="209" spans="1:1">
      <c r="A209" s="39">
        <f>IF('6161 - Wallpaper'!B209 = "", "", IF('6161 - Wallpaper-WUO_ERR'!A209 = "", "Validated", HYPERLINK("#" &amp; ADDRESS(209, '6161 - Wallpaper-WUO_TRK'!A209),_xlfn.TEXTAFTER('6161 - Wallpaper-WUO_ERR'!A209, ":"))))</f>
        <v>0</v>
      </c>
    </row>
    <row r="210" spans="1:1">
      <c r="A210" s="39">
        <f>IF('6161 - Wallpaper'!B210 = "", "", IF('6161 - Wallpaper-WUO_ERR'!A210 = "", "Validated", HYPERLINK("#" &amp; ADDRESS(210, '6161 - Wallpaper-WUO_TRK'!A210),_xlfn.TEXTAFTER('6161 - Wallpaper-WUO_ERR'!A210, ":"))))</f>
        <v>0</v>
      </c>
    </row>
    <row r="211" spans="1:1">
      <c r="A211" s="39">
        <f>IF('6161 - Wallpaper'!B211 = "", "", IF('6161 - Wallpaper-WUO_ERR'!A211 = "", "Validated", HYPERLINK("#" &amp; ADDRESS(211, '6161 - Wallpaper-WUO_TRK'!A211),_xlfn.TEXTAFTER('6161 - Wallpaper-WUO_ERR'!A211, ":"))))</f>
        <v>0</v>
      </c>
    </row>
    <row r="212" spans="1:1">
      <c r="A212" s="39">
        <f>IF('6161 - Wallpaper'!B212 = "", "", IF('6161 - Wallpaper-WUO_ERR'!A212 = "", "Validated", HYPERLINK("#" &amp; ADDRESS(212, '6161 - Wallpaper-WUO_TRK'!A212),_xlfn.TEXTAFTER('6161 - Wallpaper-WUO_ERR'!A212, ":"))))</f>
        <v>0</v>
      </c>
    </row>
    <row r="213" spans="1:1">
      <c r="A213" s="39">
        <f>IF('6161 - Wallpaper'!B213 = "", "", IF('6161 - Wallpaper-WUO_ERR'!A213 = "", "Validated", HYPERLINK("#" &amp; ADDRESS(213, '6161 - Wallpaper-WUO_TRK'!A213),_xlfn.TEXTAFTER('6161 - Wallpaper-WUO_ERR'!A213, ":"))))</f>
        <v>0</v>
      </c>
    </row>
    <row r="214" spans="1:1">
      <c r="A214" s="39">
        <f>IF('6161 - Wallpaper'!B214 = "", "", IF('6161 - Wallpaper-WUO_ERR'!A214 = "", "Validated", HYPERLINK("#" &amp; ADDRESS(214, '6161 - Wallpaper-WUO_TRK'!A214),_xlfn.TEXTAFTER('6161 - Wallpaper-WUO_ERR'!A214, ":"))))</f>
        <v>0</v>
      </c>
    </row>
    <row r="215" spans="1:1">
      <c r="A215" s="39">
        <f>IF('6161 - Wallpaper'!B215 = "", "", IF('6161 - Wallpaper-WUO_ERR'!A215 = "", "Validated", HYPERLINK("#" &amp; ADDRESS(215, '6161 - Wallpaper-WUO_TRK'!A215),_xlfn.TEXTAFTER('6161 - Wallpaper-WUO_ERR'!A215, ":"))))</f>
        <v>0</v>
      </c>
    </row>
    <row r="216" spans="1:1">
      <c r="A216" s="39">
        <f>IF('6161 - Wallpaper'!B216 = "", "", IF('6161 - Wallpaper-WUO_ERR'!A216 = "", "Validated", HYPERLINK("#" &amp; ADDRESS(216, '6161 - Wallpaper-WUO_TRK'!A216),_xlfn.TEXTAFTER('6161 - Wallpaper-WUO_ERR'!A216, ":"))))</f>
        <v>0</v>
      </c>
    </row>
    <row r="217" spans="1:1">
      <c r="A217" s="39">
        <f>IF('6161 - Wallpaper'!B217 = "", "", IF('6161 - Wallpaper-WUO_ERR'!A217 = "", "Validated", HYPERLINK("#" &amp; ADDRESS(217, '6161 - Wallpaper-WUO_TRK'!A217),_xlfn.TEXTAFTER('6161 - Wallpaper-WUO_ERR'!A217, ":"))))</f>
        <v>0</v>
      </c>
    </row>
    <row r="218" spans="1:1">
      <c r="A218" s="39">
        <f>IF('6161 - Wallpaper'!B218 = "", "", IF('6161 - Wallpaper-WUO_ERR'!A218 = "", "Validated", HYPERLINK("#" &amp; ADDRESS(218, '6161 - Wallpaper-WUO_TRK'!A218),_xlfn.TEXTAFTER('6161 - Wallpaper-WUO_ERR'!A218, ":"))))</f>
        <v>0</v>
      </c>
    </row>
    <row r="219" spans="1:1">
      <c r="A219" s="39">
        <f>IF('6161 - Wallpaper'!B219 = "", "", IF('6161 - Wallpaper-WUO_ERR'!A219 = "", "Validated", HYPERLINK("#" &amp; ADDRESS(219, '6161 - Wallpaper-WUO_TRK'!A219),_xlfn.TEXTAFTER('6161 - Wallpaper-WUO_ERR'!A219, ":"))))</f>
        <v>0</v>
      </c>
    </row>
    <row r="220" spans="1:1">
      <c r="A220" s="39">
        <f>IF('6161 - Wallpaper'!B220 = "", "", IF('6161 - Wallpaper-WUO_ERR'!A220 = "", "Validated", HYPERLINK("#" &amp; ADDRESS(220, '6161 - Wallpaper-WUO_TRK'!A220),_xlfn.TEXTAFTER('6161 - Wallpaper-WUO_ERR'!A220, ":"))))</f>
        <v>0</v>
      </c>
    </row>
    <row r="221" spans="1:1">
      <c r="A221" s="39">
        <f>IF('6161 - Wallpaper'!B221 = "", "", IF('6161 - Wallpaper-WUO_ERR'!A221 = "", "Validated", HYPERLINK("#" &amp; ADDRESS(221, '6161 - Wallpaper-WUO_TRK'!A221),_xlfn.TEXTAFTER('6161 - Wallpaper-WUO_ERR'!A221, ":"))))</f>
        <v>0</v>
      </c>
    </row>
    <row r="222" spans="1:1">
      <c r="A222" s="39">
        <f>IF('6161 - Wallpaper'!B222 = "", "", IF('6161 - Wallpaper-WUO_ERR'!A222 = "", "Validated", HYPERLINK("#" &amp; ADDRESS(222, '6161 - Wallpaper-WUO_TRK'!A222),_xlfn.TEXTAFTER('6161 - Wallpaper-WUO_ERR'!A222, ":"))))</f>
        <v>0</v>
      </c>
    </row>
    <row r="223" spans="1:1">
      <c r="A223" s="39">
        <f>IF('6161 - Wallpaper'!B223 = "", "", IF('6161 - Wallpaper-WUO_ERR'!A223 = "", "Validated", HYPERLINK("#" &amp; ADDRESS(223, '6161 - Wallpaper-WUO_TRK'!A223),_xlfn.TEXTAFTER('6161 - Wallpaper-WUO_ERR'!A223, ":"))))</f>
        <v>0</v>
      </c>
    </row>
    <row r="224" spans="1:1">
      <c r="A224" s="39">
        <f>IF('6161 - Wallpaper'!B224 = "", "", IF('6161 - Wallpaper-WUO_ERR'!A224 = "", "Validated", HYPERLINK("#" &amp; ADDRESS(224, '6161 - Wallpaper-WUO_TRK'!A224),_xlfn.TEXTAFTER('6161 - Wallpaper-WUO_ERR'!A224, ":"))))</f>
        <v>0</v>
      </c>
    </row>
    <row r="225" spans="1:1">
      <c r="A225" s="39">
        <f>IF('6161 - Wallpaper'!B225 = "", "", IF('6161 - Wallpaper-WUO_ERR'!A225 = "", "Validated", HYPERLINK("#" &amp; ADDRESS(225, '6161 - Wallpaper-WUO_TRK'!A225),_xlfn.TEXTAFTER('6161 - Wallpaper-WUO_ERR'!A225, ":"))))</f>
        <v>0</v>
      </c>
    </row>
    <row r="226" spans="1:1">
      <c r="A226" s="39">
        <f>IF('6161 - Wallpaper'!B226 = "", "", IF('6161 - Wallpaper-WUO_ERR'!A226 = "", "Validated", HYPERLINK("#" &amp; ADDRESS(226, '6161 - Wallpaper-WUO_TRK'!A226),_xlfn.TEXTAFTER('6161 - Wallpaper-WUO_ERR'!A226, ":"))))</f>
        <v>0</v>
      </c>
    </row>
    <row r="227" spans="1:1">
      <c r="A227" s="39">
        <f>IF('6161 - Wallpaper'!B227 = "", "", IF('6161 - Wallpaper-WUO_ERR'!A227 = "", "Validated", HYPERLINK("#" &amp; ADDRESS(227, '6161 - Wallpaper-WUO_TRK'!A227),_xlfn.TEXTAFTER('6161 - Wallpaper-WUO_ERR'!A227, ":"))))</f>
        <v>0</v>
      </c>
    </row>
    <row r="228" spans="1:1">
      <c r="A228" s="39">
        <f>IF('6161 - Wallpaper'!B228 = "", "", IF('6161 - Wallpaper-WUO_ERR'!A228 = "", "Validated", HYPERLINK("#" &amp; ADDRESS(228, '6161 - Wallpaper-WUO_TRK'!A228),_xlfn.TEXTAFTER('6161 - Wallpaper-WUO_ERR'!A228, ":"))))</f>
        <v>0</v>
      </c>
    </row>
    <row r="229" spans="1:1">
      <c r="A229" s="39">
        <f>IF('6161 - Wallpaper'!B229 = "", "", IF('6161 - Wallpaper-WUO_ERR'!A229 = "", "Validated", HYPERLINK("#" &amp; ADDRESS(229, '6161 - Wallpaper-WUO_TRK'!A229),_xlfn.TEXTAFTER('6161 - Wallpaper-WUO_ERR'!A229, ":"))))</f>
        <v>0</v>
      </c>
    </row>
    <row r="230" spans="1:1">
      <c r="A230" s="39">
        <f>IF('6161 - Wallpaper'!B230 = "", "", IF('6161 - Wallpaper-WUO_ERR'!A230 = "", "Validated", HYPERLINK("#" &amp; ADDRESS(230, '6161 - Wallpaper-WUO_TRK'!A230),_xlfn.TEXTAFTER('6161 - Wallpaper-WUO_ERR'!A230, ":"))))</f>
        <v>0</v>
      </c>
    </row>
    <row r="231" spans="1:1">
      <c r="A231" s="39">
        <f>IF('6161 - Wallpaper'!B231 = "", "", IF('6161 - Wallpaper-WUO_ERR'!A231 = "", "Validated", HYPERLINK("#" &amp; ADDRESS(231, '6161 - Wallpaper-WUO_TRK'!A231),_xlfn.TEXTAFTER('6161 - Wallpaper-WUO_ERR'!A231, ":"))))</f>
        <v>0</v>
      </c>
    </row>
    <row r="232" spans="1:1">
      <c r="A232" s="39">
        <f>IF('6161 - Wallpaper'!B232 = "", "", IF('6161 - Wallpaper-WUO_ERR'!A232 = "", "Validated", HYPERLINK("#" &amp; ADDRESS(232, '6161 - Wallpaper-WUO_TRK'!A232),_xlfn.TEXTAFTER('6161 - Wallpaper-WUO_ERR'!A232, ":"))))</f>
        <v>0</v>
      </c>
    </row>
    <row r="233" spans="1:1">
      <c r="A233" s="39">
        <f>IF('6161 - Wallpaper'!B233 = "", "", IF('6161 - Wallpaper-WUO_ERR'!A233 = "", "Validated", HYPERLINK("#" &amp; ADDRESS(233, '6161 - Wallpaper-WUO_TRK'!A233),_xlfn.TEXTAFTER('6161 - Wallpaper-WUO_ERR'!A233, ":"))))</f>
        <v>0</v>
      </c>
    </row>
    <row r="234" spans="1:1">
      <c r="A234" s="39">
        <f>IF('6161 - Wallpaper'!B234 = "", "", IF('6161 - Wallpaper-WUO_ERR'!A234 = "", "Validated", HYPERLINK("#" &amp; ADDRESS(234, '6161 - Wallpaper-WUO_TRK'!A234),_xlfn.TEXTAFTER('6161 - Wallpaper-WUO_ERR'!A234, ":"))))</f>
        <v>0</v>
      </c>
    </row>
    <row r="235" spans="1:1">
      <c r="A235" s="39">
        <f>IF('6161 - Wallpaper'!B235 = "", "", IF('6161 - Wallpaper-WUO_ERR'!A235 = "", "Validated", HYPERLINK("#" &amp; ADDRESS(235, '6161 - Wallpaper-WUO_TRK'!A235),_xlfn.TEXTAFTER('6161 - Wallpaper-WUO_ERR'!A235, ":"))))</f>
        <v>0</v>
      </c>
    </row>
    <row r="236" spans="1:1">
      <c r="A236" s="39">
        <f>IF('6161 - Wallpaper'!B236 = "", "", IF('6161 - Wallpaper-WUO_ERR'!A236 = "", "Validated", HYPERLINK("#" &amp; ADDRESS(236, '6161 - Wallpaper-WUO_TRK'!A236),_xlfn.TEXTAFTER('6161 - Wallpaper-WUO_ERR'!A236, ":"))))</f>
        <v>0</v>
      </c>
    </row>
    <row r="237" spans="1:1">
      <c r="A237" s="39">
        <f>IF('6161 - Wallpaper'!B237 = "", "", IF('6161 - Wallpaper-WUO_ERR'!A237 = "", "Validated", HYPERLINK("#" &amp; ADDRESS(237, '6161 - Wallpaper-WUO_TRK'!A237),_xlfn.TEXTAFTER('6161 - Wallpaper-WUO_ERR'!A237, ":"))))</f>
        <v>0</v>
      </c>
    </row>
    <row r="238" spans="1:1">
      <c r="A238" s="39">
        <f>IF('6161 - Wallpaper'!B238 = "", "", IF('6161 - Wallpaper-WUO_ERR'!A238 = "", "Validated", HYPERLINK("#" &amp; ADDRESS(238, '6161 - Wallpaper-WUO_TRK'!A238),_xlfn.TEXTAFTER('6161 - Wallpaper-WUO_ERR'!A238, ":"))))</f>
        <v>0</v>
      </c>
    </row>
    <row r="239" spans="1:1">
      <c r="A239" s="39">
        <f>IF('6161 - Wallpaper'!B239 = "", "", IF('6161 - Wallpaper-WUO_ERR'!A239 = "", "Validated", HYPERLINK("#" &amp; ADDRESS(239, '6161 - Wallpaper-WUO_TRK'!A239),_xlfn.TEXTAFTER('6161 - Wallpaper-WUO_ERR'!A239, ":"))))</f>
        <v>0</v>
      </c>
    </row>
    <row r="240" spans="1:1">
      <c r="A240" s="39">
        <f>IF('6161 - Wallpaper'!B240 = "", "", IF('6161 - Wallpaper-WUO_ERR'!A240 = "", "Validated", HYPERLINK("#" &amp; ADDRESS(240, '6161 - Wallpaper-WUO_TRK'!A240),_xlfn.TEXTAFTER('6161 - Wallpaper-WUO_ERR'!A240, ":"))))</f>
        <v>0</v>
      </c>
    </row>
    <row r="241" spans="1:1">
      <c r="A241" s="39">
        <f>IF('6161 - Wallpaper'!B241 = "", "", IF('6161 - Wallpaper-WUO_ERR'!A241 = "", "Validated", HYPERLINK("#" &amp; ADDRESS(241, '6161 - Wallpaper-WUO_TRK'!A241),_xlfn.TEXTAFTER('6161 - Wallpaper-WUO_ERR'!A241, ":"))))</f>
        <v>0</v>
      </c>
    </row>
    <row r="242" spans="1:1">
      <c r="A242" s="39">
        <f>IF('6161 - Wallpaper'!B242 = "", "", IF('6161 - Wallpaper-WUO_ERR'!A242 = "", "Validated", HYPERLINK("#" &amp; ADDRESS(242, '6161 - Wallpaper-WUO_TRK'!A242),_xlfn.TEXTAFTER('6161 - Wallpaper-WUO_ERR'!A242, ":"))))</f>
        <v>0</v>
      </c>
    </row>
    <row r="243" spans="1:1">
      <c r="A243" s="39">
        <f>IF('6161 - Wallpaper'!B243 = "", "", IF('6161 - Wallpaper-WUO_ERR'!A243 = "", "Validated", HYPERLINK("#" &amp; ADDRESS(243, '6161 - Wallpaper-WUO_TRK'!A243),_xlfn.TEXTAFTER('6161 - Wallpaper-WUO_ERR'!A243, ":"))))</f>
        <v>0</v>
      </c>
    </row>
    <row r="244" spans="1:1">
      <c r="A244" s="39">
        <f>IF('6161 - Wallpaper'!B244 = "", "", IF('6161 - Wallpaper-WUO_ERR'!A244 = "", "Validated", HYPERLINK("#" &amp; ADDRESS(244, '6161 - Wallpaper-WUO_TRK'!A244),_xlfn.TEXTAFTER('6161 - Wallpaper-WUO_ERR'!A244, ":"))))</f>
        <v>0</v>
      </c>
    </row>
    <row r="245" spans="1:1">
      <c r="A245" s="39">
        <f>IF('6161 - Wallpaper'!B245 = "", "", IF('6161 - Wallpaper-WUO_ERR'!A245 = "", "Validated", HYPERLINK("#" &amp; ADDRESS(245, '6161 - Wallpaper-WUO_TRK'!A245),_xlfn.TEXTAFTER('6161 - Wallpaper-WUO_ERR'!A245, ":"))))</f>
        <v>0</v>
      </c>
    </row>
    <row r="246" spans="1:1">
      <c r="A246" s="39">
        <f>IF('6161 - Wallpaper'!B246 = "", "", IF('6161 - Wallpaper-WUO_ERR'!A246 = "", "Validated", HYPERLINK("#" &amp; ADDRESS(246, '6161 - Wallpaper-WUO_TRK'!A246),_xlfn.TEXTAFTER('6161 - Wallpaper-WUO_ERR'!A246, ":"))))</f>
        <v>0</v>
      </c>
    </row>
    <row r="247" spans="1:1">
      <c r="A247" s="39">
        <f>IF('6161 - Wallpaper'!B247 = "", "", IF('6161 - Wallpaper-WUO_ERR'!A247 = "", "Validated", HYPERLINK("#" &amp; ADDRESS(247, '6161 - Wallpaper-WUO_TRK'!A247),_xlfn.TEXTAFTER('6161 - Wallpaper-WUO_ERR'!A247, ":"))))</f>
        <v>0</v>
      </c>
    </row>
    <row r="248" spans="1:1">
      <c r="A248" s="39">
        <f>IF('6161 - Wallpaper'!B248 = "", "", IF('6161 - Wallpaper-WUO_ERR'!A248 = "", "Validated", HYPERLINK("#" &amp; ADDRESS(248, '6161 - Wallpaper-WUO_TRK'!A248),_xlfn.TEXTAFTER('6161 - Wallpaper-WUO_ERR'!A248, ":"))))</f>
        <v>0</v>
      </c>
    </row>
    <row r="249" spans="1:1">
      <c r="A249" s="39">
        <f>IF('6161 - Wallpaper'!B249 = "", "", IF('6161 - Wallpaper-WUO_ERR'!A249 = "", "Validated", HYPERLINK("#" &amp; ADDRESS(249, '6161 - Wallpaper-WUO_TRK'!A249),_xlfn.TEXTAFTER('6161 - Wallpaper-WUO_ERR'!A249, ":"))))</f>
        <v>0</v>
      </c>
    </row>
    <row r="250" spans="1:1">
      <c r="A250" s="39">
        <f>IF('6161 - Wallpaper'!B250 = "", "", IF('6161 - Wallpaper-WUO_ERR'!A250 = "", "Validated", HYPERLINK("#" &amp; ADDRESS(250, '6161 - Wallpaper-WUO_TRK'!A250),_xlfn.TEXTAFTER('6161 - Wallpaper-WUO_ERR'!A250, ":"))))</f>
        <v>0</v>
      </c>
    </row>
    <row r="251" spans="1:1">
      <c r="A251" s="39">
        <f>IF('6161 - Wallpaper'!B251 = "", "", IF('6161 - Wallpaper-WUO_ERR'!A251 = "", "Validated", HYPERLINK("#" &amp; ADDRESS(251, '6161 - Wallpaper-WUO_TRK'!A251),_xlfn.TEXTAFTER('6161 - Wallpaper-WUO_ERR'!A251, ":"))))</f>
        <v>0</v>
      </c>
    </row>
    <row r="252" spans="1:1">
      <c r="A252" s="39">
        <f>IF('6161 - Wallpaper'!B252 = "", "", IF('6161 - Wallpaper-WUO_ERR'!A252 = "", "Validated", HYPERLINK("#" &amp; ADDRESS(252, '6161 - Wallpaper-WUO_TRK'!A252),_xlfn.TEXTAFTER('6161 - Wallpaper-WUO_ERR'!A252, ":"))))</f>
        <v>0</v>
      </c>
    </row>
    <row r="253" spans="1:1">
      <c r="A253" s="39">
        <f>IF('6161 - Wallpaper'!B253 = "", "", IF('6161 - Wallpaper-WUO_ERR'!A253 = "", "Validated", HYPERLINK("#" &amp; ADDRESS(253, '6161 - Wallpaper-WUO_TRK'!A253),_xlfn.TEXTAFTER('6161 - Wallpaper-WUO_ERR'!A253, ":"))))</f>
        <v>0</v>
      </c>
    </row>
    <row r="254" spans="1:1">
      <c r="A254" s="39">
        <f>IF('6161 - Wallpaper'!B254 = "", "", IF('6161 - Wallpaper-WUO_ERR'!A254 = "", "Validated", HYPERLINK("#" &amp; ADDRESS(254, '6161 - Wallpaper-WUO_TRK'!A254),_xlfn.TEXTAFTER('6161 - Wallpaper-WUO_ERR'!A254, ":"))))</f>
        <v>0</v>
      </c>
    </row>
    <row r="255" spans="1:1">
      <c r="A255" s="39">
        <f>IF('6161 - Wallpaper'!B255 = "", "", IF('6161 - Wallpaper-WUO_ERR'!A255 = "", "Validated", HYPERLINK("#" &amp; ADDRESS(255, '6161 - Wallpaper-WUO_TRK'!A255),_xlfn.TEXTAFTER('6161 - Wallpaper-WUO_ERR'!A255, ":"))))</f>
        <v>0</v>
      </c>
    </row>
    <row r="256" spans="1:1">
      <c r="A256" s="39">
        <f>IF('6161 - Wallpaper'!B256 = "", "", IF('6161 - Wallpaper-WUO_ERR'!A256 = "", "Validated", HYPERLINK("#" &amp; ADDRESS(256, '6161 - Wallpaper-WUO_TRK'!A256),_xlfn.TEXTAFTER('6161 - Wallpaper-WUO_ERR'!A256, ":"))))</f>
        <v>0</v>
      </c>
    </row>
    <row r="257" spans="1:1">
      <c r="A257" s="39">
        <f>IF('6161 - Wallpaper'!B257 = "", "", IF('6161 - Wallpaper-WUO_ERR'!A257 = "", "Validated", HYPERLINK("#" &amp; ADDRESS(257, '6161 - Wallpaper-WUO_TRK'!A257),_xlfn.TEXTAFTER('6161 - Wallpaper-WUO_ERR'!A257, ":"))))</f>
        <v>0</v>
      </c>
    </row>
    <row r="258" spans="1:1">
      <c r="A258" s="39">
        <f>IF('6161 - Wallpaper'!B258 = "", "", IF('6161 - Wallpaper-WUO_ERR'!A258 = "", "Validated", HYPERLINK("#" &amp; ADDRESS(258, '6161 - Wallpaper-WUO_TRK'!A258),_xlfn.TEXTAFTER('6161 - Wallpaper-WUO_ERR'!A258, ":"))))</f>
        <v>0</v>
      </c>
    </row>
    <row r="259" spans="1:1">
      <c r="A259" s="39">
        <f>IF('6161 - Wallpaper'!B259 = "", "", IF('6161 - Wallpaper-WUO_ERR'!A259 = "", "Validated", HYPERLINK("#" &amp; ADDRESS(259, '6161 - Wallpaper-WUO_TRK'!A259),_xlfn.TEXTAFTER('6161 - Wallpaper-WUO_ERR'!A259, ":"))))</f>
        <v>0</v>
      </c>
    </row>
    <row r="260" spans="1:1">
      <c r="A260" s="39">
        <f>IF('6161 - Wallpaper'!B260 = "", "", IF('6161 - Wallpaper-WUO_ERR'!A260 = "", "Validated", HYPERLINK("#" &amp; ADDRESS(260, '6161 - Wallpaper-WUO_TRK'!A260),_xlfn.TEXTAFTER('6161 - Wallpaper-WUO_ERR'!A260, ":"))))</f>
        <v>0</v>
      </c>
    </row>
    <row r="261" spans="1:1">
      <c r="A261" s="39">
        <f>IF('6161 - Wallpaper'!B261 = "", "", IF('6161 - Wallpaper-WUO_ERR'!A261 = "", "Validated", HYPERLINK("#" &amp; ADDRESS(261, '6161 - Wallpaper-WUO_TRK'!A261),_xlfn.TEXTAFTER('6161 - Wallpaper-WUO_ERR'!A261, ":"))))</f>
        <v>0</v>
      </c>
    </row>
    <row r="262" spans="1:1">
      <c r="A262" s="39">
        <f>IF('6161 - Wallpaper'!B262 = "", "", IF('6161 - Wallpaper-WUO_ERR'!A262 = "", "Validated", HYPERLINK("#" &amp; ADDRESS(262, '6161 - Wallpaper-WUO_TRK'!A262),_xlfn.TEXTAFTER('6161 - Wallpaper-WUO_ERR'!A262, ":"))))</f>
        <v>0</v>
      </c>
    </row>
    <row r="263" spans="1:1">
      <c r="A263" s="39">
        <f>IF('6161 - Wallpaper'!B263 = "", "", IF('6161 - Wallpaper-WUO_ERR'!A263 = "", "Validated", HYPERLINK("#" &amp; ADDRESS(263, '6161 - Wallpaper-WUO_TRK'!A263),_xlfn.TEXTAFTER('6161 - Wallpaper-WUO_ERR'!A263, ":"))))</f>
        <v>0</v>
      </c>
    </row>
    <row r="264" spans="1:1">
      <c r="A264" s="39">
        <f>IF('6161 - Wallpaper'!B264 = "", "", IF('6161 - Wallpaper-WUO_ERR'!A264 = "", "Validated", HYPERLINK("#" &amp; ADDRESS(264, '6161 - Wallpaper-WUO_TRK'!A264),_xlfn.TEXTAFTER('6161 - Wallpaper-WUO_ERR'!A264, ":"))))</f>
        <v>0</v>
      </c>
    </row>
    <row r="265" spans="1:1">
      <c r="A265" s="39">
        <f>IF('6161 - Wallpaper'!B265 = "", "", IF('6161 - Wallpaper-WUO_ERR'!A265 = "", "Validated", HYPERLINK("#" &amp; ADDRESS(265, '6161 - Wallpaper-WUO_TRK'!A265),_xlfn.TEXTAFTER('6161 - Wallpaper-WUO_ERR'!A265, ":"))))</f>
        <v>0</v>
      </c>
    </row>
    <row r="266" spans="1:1">
      <c r="A266" s="39">
        <f>IF('6161 - Wallpaper'!B266 = "", "", IF('6161 - Wallpaper-WUO_ERR'!A266 = "", "Validated", HYPERLINK("#" &amp; ADDRESS(266, '6161 - Wallpaper-WUO_TRK'!A266),_xlfn.TEXTAFTER('6161 - Wallpaper-WUO_ERR'!A266, ":"))))</f>
        <v>0</v>
      </c>
    </row>
    <row r="267" spans="1:1">
      <c r="A267" s="39">
        <f>IF('6161 - Wallpaper'!B267 = "", "", IF('6161 - Wallpaper-WUO_ERR'!A267 = "", "Validated", HYPERLINK("#" &amp; ADDRESS(267, '6161 - Wallpaper-WUO_TRK'!A267),_xlfn.TEXTAFTER('6161 - Wallpaper-WUO_ERR'!A267, ":"))))</f>
        <v>0</v>
      </c>
    </row>
    <row r="268" spans="1:1">
      <c r="A268" s="39">
        <f>IF('6161 - Wallpaper'!B268 = "", "", IF('6161 - Wallpaper-WUO_ERR'!A268 = "", "Validated", HYPERLINK("#" &amp; ADDRESS(268, '6161 - Wallpaper-WUO_TRK'!A268),_xlfn.TEXTAFTER('6161 - Wallpaper-WUO_ERR'!A268, ":"))))</f>
        <v>0</v>
      </c>
    </row>
    <row r="269" spans="1:1">
      <c r="A269" s="39">
        <f>IF('6161 - Wallpaper'!B269 = "", "", IF('6161 - Wallpaper-WUO_ERR'!A269 = "", "Validated", HYPERLINK("#" &amp; ADDRESS(269, '6161 - Wallpaper-WUO_TRK'!A269),_xlfn.TEXTAFTER('6161 - Wallpaper-WUO_ERR'!A269, ":"))))</f>
        <v>0</v>
      </c>
    </row>
    <row r="270" spans="1:1">
      <c r="A270" s="39">
        <f>IF('6161 - Wallpaper'!B270 = "", "", IF('6161 - Wallpaper-WUO_ERR'!A270 = "", "Validated", HYPERLINK("#" &amp; ADDRESS(270, '6161 - Wallpaper-WUO_TRK'!A270),_xlfn.TEXTAFTER('6161 - Wallpaper-WUO_ERR'!A270, ":"))))</f>
        <v>0</v>
      </c>
    </row>
    <row r="271" spans="1:1">
      <c r="A271" s="39">
        <f>IF('6161 - Wallpaper'!B271 = "", "", IF('6161 - Wallpaper-WUO_ERR'!A271 = "", "Validated", HYPERLINK("#" &amp; ADDRESS(271, '6161 - Wallpaper-WUO_TRK'!A271),_xlfn.TEXTAFTER('6161 - Wallpaper-WUO_ERR'!A271, ":"))))</f>
        <v>0</v>
      </c>
    </row>
    <row r="272" spans="1:1">
      <c r="A272" s="39">
        <f>IF('6161 - Wallpaper'!B272 = "", "", IF('6161 - Wallpaper-WUO_ERR'!A272 = "", "Validated", HYPERLINK("#" &amp; ADDRESS(272, '6161 - Wallpaper-WUO_TRK'!A272),_xlfn.TEXTAFTER('6161 - Wallpaper-WUO_ERR'!A272, ":"))))</f>
        <v>0</v>
      </c>
    </row>
    <row r="273" spans="1:1">
      <c r="A273" s="39">
        <f>IF('6161 - Wallpaper'!B273 = "", "", IF('6161 - Wallpaper-WUO_ERR'!A273 = "", "Validated", HYPERLINK("#" &amp; ADDRESS(273, '6161 - Wallpaper-WUO_TRK'!A273),_xlfn.TEXTAFTER('6161 - Wallpaper-WUO_ERR'!A273, ":"))))</f>
        <v>0</v>
      </c>
    </row>
    <row r="274" spans="1:1">
      <c r="A274" s="39">
        <f>IF('6161 - Wallpaper'!B274 = "", "", IF('6161 - Wallpaper-WUO_ERR'!A274 = "", "Validated", HYPERLINK("#" &amp; ADDRESS(274, '6161 - Wallpaper-WUO_TRK'!A274),_xlfn.TEXTAFTER('6161 - Wallpaper-WUO_ERR'!A274, ":"))))</f>
        <v>0</v>
      </c>
    </row>
    <row r="275" spans="1:1">
      <c r="A275" s="39">
        <f>IF('6161 - Wallpaper'!B275 = "", "", IF('6161 - Wallpaper-WUO_ERR'!A275 = "", "Validated", HYPERLINK("#" &amp; ADDRESS(275, '6161 - Wallpaper-WUO_TRK'!A275),_xlfn.TEXTAFTER('6161 - Wallpaper-WUO_ERR'!A275, ":"))))</f>
        <v>0</v>
      </c>
    </row>
    <row r="276" spans="1:1">
      <c r="A276" s="39">
        <f>IF('6161 - Wallpaper'!B276 = "", "", IF('6161 - Wallpaper-WUO_ERR'!A276 = "", "Validated", HYPERLINK("#" &amp; ADDRESS(276, '6161 - Wallpaper-WUO_TRK'!A276),_xlfn.TEXTAFTER('6161 - Wallpaper-WUO_ERR'!A276, ":"))))</f>
        <v>0</v>
      </c>
    </row>
    <row r="277" spans="1:1">
      <c r="A277" s="39">
        <f>IF('6161 - Wallpaper'!B277 = "", "", IF('6161 - Wallpaper-WUO_ERR'!A277 = "", "Validated", HYPERLINK("#" &amp; ADDRESS(277, '6161 - Wallpaper-WUO_TRK'!A277),_xlfn.TEXTAFTER('6161 - Wallpaper-WUO_ERR'!A277, ":"))))</f>
        <v>0</v>
      </c>
    </row>
    <row r="278" spans="1:1">
      <c r="A278" s="39">
        <f>IF('6161 - Wallpaper'!B278 = "", "", IF('6161 - Wallpaper-WUO_ERR'!A278 = "", "Validated", HYPERLINK("#" &amp; ADDRESS(278, '6161 - Wallpaper-WUO_TRK'!A278),_xlfn.TEXTAFTER('6161 - Wallpaper-WUO_ERR'!A278, ":"))))</f>
        <v>0</v>
      </c>
    </row>
    <row r="279" spans="1:1">
      <c r="A279" s="39">
        <f>IF('6161 - Wallpaper'!B279 = "", "", IF('6161 - Wallpaper-WUO_ERR'!A279 = "", "Validated", HYPERLINK("#" &amp; ADDRESS(279, '6161 - Wallpaper-WUO_TRK'!A279),_xlfn.TEXTAFTER('6161 - Wallpaper-WUO_ERR'!A279, ":"))))</f>
        <v>0</v>
      </c>
    </row>
    <row r="280" spans="1:1">
      <c r="A280" s="39">
        <f>IF('6161 - Wallpaper'!B280 = "", "", IF('6161 - Wallpaper-WUO_ERR'!A280 = "", "Validated", HYPERLINK("#" &amp; ADDRESS(280, '6161 - Wallpaper-WUO_TRK'!A280),_xlfn.TEXTAFTER('6161 - Wallpaper-WUO_ERR'!A280, ":"))))</f>
        <v>0</v>
      </c>
    </row>
    <row r="281" spans="1:1">
      <c r="A281" s="39">
        <f>IF('6161 - Wallpaper'!B281 = "", "", IF('6161 - Wallpaper-WUO_ERR'!A281 = "", "Validated", HYPERLINK("#" &amp; ADDRESS(281, '6161 - Wallpaper-WUO_TRK'!A281),_xlfn.TEXTAFTER('6161 - Wallpaper-WUO_ERR'!A281, ":"))))</f>
        <v>0</v>
      </c>
    </row>
    <row r="282" spans="1:1">
      <c r="A282" s="39">
        <f>IF('6161 - Wallpaper'!B282 = "", "", IF('6161 - Wallpaper-WUO_ERR'!A282 = "", "Validated", HYPERLINK("#" &amp; ADDRESS(282, '6161 - Wallpaper-WUO_TRK'!A282),_xlfn.TEXTAFTER('6161 - Wallpaper-WUO_ERR'!A282, ":"))))</f>
        <v>0</v>
      </c>
    </row>
    <row r="283" spans="1:1">
      <c r="A283" s="39">
        <f>IF('6161 - Wallpaper'!B283 = "", "", IF('6161 - Wallpaper-WUO_ERR'!A283 = "", "Validated", HYPERLINK("#" &amp; ADDRESS(283, '6161 - Wallpaper-WUO_TRK'!A283),_xlfn.TEXTAFTER('6161 - Wallpaper-WUO_ERR'!A283, ":"))))</f>
        <v>0</v>
      </c>
    </row>
    <row r="284" spans="1:1">
      <c r="A284" s="39">
        <f>IF('6161 - Wallpaper'!B284 = "", "", IF('6161 - Wallpaper-WUO_ERR'!A284 = "", "Validated", HYPERLINK("#" &amp; ADDRESS(284, '6161 - Wallpaper-WUO_TRK'!A284),_xlfn.TEXTAFTER('6161 - Wallpaper-WUO_ERR'!A284, ":"))))</f>
        <v>0</v>
      </c>
    </row>
    <row r="285" spans="1:1">
      <c r="A285" s="39">
        <f>IF('6161 - Wallpaper'!B285 = "", "", IF('6161 - Wallpaper-WUO_ERR'!A285 = "", "Validated", HYPERLINK("#" &amp; ADDRESS(285, '6161 - Wallpaper-WUO_TRK'!A285),_xlfn.TEXTAFTER('6161 - Wallpaper-WUO_ERR'!A285, ":"))))</f>
        <v>0</v>
      </c>
    </row>
    <row r="286" spans="1:1">
      <c r="A286" s="39">
        <f>IF('6161 - Wallpaper'!B286 = "", "", IF('6161 - Wallpaper-WUO_ERR'!A286 = "", "Validated", HYPERLINK("#" &amp; ADDRESS(286, '6161 - Wallpaper-WUO_TRK'!A286),_xlfn.TEXTAFTER('6161 - Wallpaper-WUO_ERR'!A286, ":"))))</f>
        <v>0</v>
      </c>
    </row>
    <row r="287" spans="1:1">
      <c r="A287" s="39">
        <f>IF('6161 - Wallpaper'!B287 = "", "", IF('6161 - Wallpaper-WUO_ERR'!A287 = "", "Validated", HYPERLINK("#" &amp; ADDRESS(287, '6161 - Wallpaper-WUO_TRK'!A287),_xlfn.TEXTAFTER('6161 - Wallpaper-WUO_ERR'!A287, ":"))))</f>
        <v>0</v>
      </c>
    </row>
    <row r="288" spans="1:1">
      <c r="A288" s="39">
        <f>IF('6161 - Wallpaper'!B288 = "", "", IF('6161 - Wallpaper-WUO_ERR'!A288 = "", "Validated", HYPERLINK("#" &amp; ADDRESS(288, '6161 - Wallpaper-WUO_TRK'!A288),_xlfn.TEXTAFTER('6161 - Wallpaper-WUO_ERR'!A288, ":"))))</f>
        <v>0</v>
      </c>
    </row>
    <row r="289" spans="1:1">
      <c r="A289" s="39">
        <f>IF('6161 - Wallpaper'!B289 = "", "", IF('6161 - Wallpaper-WUO_ERR'!A289 = "", "Validated", HYPERLINK("#" &amp; ADDRESS(289, '6161 - Wallpaper-WUO_TRK'!A289),_xlfn.TEXTAFTER('6161 - Wallpaper-WUO_ERR'!A289, ":"))))</f>
        <v>0</v>
      </c>
    </row>
    <row r="290" spans="1:1">
      <c r="A290" s="39">
        <f>IF('6161 - Wallpaper'!B290 = "", "", IF('6161 - Wallpaper-WUO_ERR'!A290 = "", "Validated", HYPERLINK("#" &amp; ADDRESS(290, '6161 - Wallpaper-WUO_TRK'!A290),_xlfn.TEXTAFTER('6161 - Wallpaper-WUO_ERR'!A290, ":"))))</f>
        <v>0</v>
      </c>
    </row>
    <row r="291" spans="1:1">
      <c r="A291" s="39">
        <f>IF('6161 - Wallpaper'!B291 = "", "", IF('6161 - Wallpaper-WUO_ERR'!A291 = "", "Validated", HYPERLINK("#" &amp; ADDRESS(291, '6161 - Wallpaper-WUO_TRK'!A291),_xlfn.TEXTAFTER('6161 - Wallpaper-WUO_ERR'!A291, ":"))))</f>
        <v>0</v>
      </c>
    </row>
    <row r="292" spans="1:1">
      <c r="A292" s="39">
        <f>IF('6161 - Wallpaper'!B292 = "", "", IF('6161 - Wallpaper-WUO_ERR'!A292 = "", "Validated", HYPERLINK("#" &amp; ADDRESS(292, '6161 - Wallpaper-WUO_TRK'!A292),_xlfn.TEXTAFTER('6161 - Wallpaper-WUO_ERR'!A292, ":"))))</f>
        <v>0</v>
      </c>
    </row>
    <row r="293" spans="1:1">
      <c r="A293" s="39">
        <f>IF('6161 - Wallpaper'!B293 = "", "", IF('6161 - Wallpaper-WUO_ERR'!A293 = "", "Validated", HYPERLINK("#" &amp; ADDRESS(293, '6161 - Wallpaper-WUO_TRK'!A293),_xlfn.TEXTAFTER('6161 - Wallpaper-WUO_ERR'!A293, ":"))))</f>
        <v>0</v>
      </c>
    </row>
    <row r="294" spans="1:1">
      <c r="A294" s="39">
        <f>IF('6161 - Wallpaper'!B294 = "", "", IF('6161 - Wallpaper-WUO_ERR'!A294 = "", "Validated", HYPERLINK("#" &amp; ADDRESS(294, '6161 - Wallpaper-WUO_TRK'!A294),_xlfn.TEXTAFTER('6161 - Wallpaper-WUO_ERR'!A294, ":"))))</f>
        <v>0</v>
      </c>
    </row>
    <row r="295" spans="1:1">
      <c r="A295" s="39">
        <f>IF('6161 - Wallpaper'!B295 = "", "", IF('6161 - Wallpaper-WUO_ERR'!A295 = "", "Validated", HYPERLINK("#" &amp; ADDRESS(295, '6161 - Wallpaper-WUO_TRK'!A295),_xlfn.TEXTAFTER('6161 - Wallpaper-WUO_ERR'!A295, ":"))))</f>
        <v>0</v>
      </c>
    </row>
    <row r="296" spans="1:1">
      <c r="A296" s="39">
        <f>IF('6161 - Wallpaper'!B296 = "", "", IF('6161 - Wallpaper-WUO_ERR'!A296 = "", "Validated", HYPERLINK("#" &amp; ADDRESS(296, '6161 - Wallpaper-WUO_TRK'!A296),_xlfn.TEXTAFTER('6161 - Wallpaper-WUO_ERR'!A296, ":"))))</f>
        <v>0</v>
      </c>
    </row>
    <row r="297" spans="1:1">
      <c r="A297" s="39">
        <f>IF('6161 - Wallpaper'!B297 = "", "", IF('6161 - Wallpaper-WUO_ERR'!A297 = "", "Validated", HYPERLINK("#" &amp; ADDRESS(297, '6161 - Wallpaper-WUO_TRK'!A297),_xlfn.TEXTAFTER('6161 - Wallpaper-WUO_ERR'!A297, ":"))))</f>
        <v>0</v>
      </c>
    </row>
    <row r="298" spans="1:1">
      <c r="A298" s="39">
        <f>IF('6161 - Wallpaper'!B298 = "", "", IF('6161 - Wallpaper-WUO_ERR'!A298 = "", "Validated", HYPERLINK("#" &amp; ADDRESS(298, '6161 - Wallpaper-WUO_TRK'!A298),_xlfn.TEXTAFTER('6161 - Wallpaper-WUO_ERR'!A298, ":"))))</f>
        <v>0</v>
      </c>
    </row>
    <row r="299" spans="1:1">
      <c r="A299" s="39">
        <f>IF('6161 - Wallpaper'!B299 = "", "", IF('6161 - Wallpaper-WUO_ERR'!A299 = "", "Validated", HYPERLINK("#" &amp; ADDRESS(299, '6161 - Wallpaper-WUO_TRK'!A299),_xlfn.TEXTAFTER('6161 - Wallpaper-WUO_ERR'!A299, ":"))))</f>
        <v>0</v>
      </c>
    </row>
    <row r="300" spans="1:1">
      <c r="A300" s="39">
        <f>IF('6161 - Wallpaper'!B300 = "", "", IF('6161 - Wallpaper-WUO_ERR'!A300 = "", "Validated", HYPERLINK("#" &amp; ADDRESS(300, '6161 - Wallpaper-WUO_TRK'!A300),_xlfn.TEXTAFTER('6161 - Wallpaper-WUO_ERR'!A300, ":"))))</f>
        <v>0</v>
      </c>
    </row>
    <row r="301" spans="1:1">
      <c r="A301" s="39">
        <f>IF('6161 - Wallpaper'!B301 = "", "", IF('6161 - Wallpaper-WUO_ERR'!A301 = "", "Validated", HYPERLINK("#" &amp; ADDRESS(301, '6161 - Wallpaper-WUO_TRK'!A301),_xlfn.TEXTAFTER('6161 - Wallpaper-WUO_ERR'!A301, ":"))))</f>
        <v>0</v>
      </c>
    </row>
    <row r="302" spans="1:1">
      <c r="A302" s="39">
        <f>IF('6161 - Wallpaper'!B302 = "", "", IF('6161 - Wallpaper-WUO_ERR'!A302 = "", "Validated", HYPERLINK("#" &amp; ADDRESS(302, '6161 - Wallpaper-WUO_TRK'!A302),_xlfn.TEXTAFTER('6161 - Wallpaper-WUO_ERR'!A302, ":"))))</f>
        <v>0</v>
      </c>
    </row>
    <row r="303" spans="1:1">
      <c r="A303" s="39">
        <f>IF('6161 - Wallpaper'!B303 = "", "", IF('6161 - Wallpaper-WUO_ERR'!A303 = "", "Validated", HYPERLINK("#" &amp; ADDRESS(303, '6161 - Wallpaper-WUO_TRK'!A303),_xlfn.TEXTAFTER('6161 - Wallpaper-WUO_ERR'!A303, ":"))))</f>
        <v>0</v>
      </c>
    </row>
    <row r="304" spans="1:1">
      <c r="A304" s="39">
        <f>IF('6161 - Wallpaper'!B304 = "", "", IF('6161 - Wallpaper-WUO_ERR'!A304 = "", "Validated", HYPERLINK("#" &amp; ADDRESS(304, '6161 - Wallpaper-WUO_TRK'!A304),_xlfn.TEXTAFTER('6161 - Wallpaper-WUO_ERR'!A304, ":"))))</f>
        <v>0</v>
      </c>
    </row>
    <row r="305" spans="1:1">
      <c r="A305" s="39">
        <f>IF('6161 - Wallpaper'!B305 = "", "", IF('6161 - Wallpaper-WUO_ERR'!A305 = "", "Validated", HYPERLINK("#" &amp; ADDRESS(305, '6161 - Wallpaper-WUO_TRK'!A305),_xlfn.TEXTAFTER('6161 - Wallpaper-WUO_ERR'!A305, ":"))))</f>
        <v>0</v>
      </c>
    </row>
    <row r="306" spans="1:1">
      <c r="A306" s="39">
        <f>IF('6161 - Wallpaper'!B306 = "", "", IF('6161 - Wallpaper-WUO_ERR'!A306 = "", "Validated", HYPERLINK("#" &amp; ADDRESS(306, '6161 - Wallpaper-WUO_TRK'!A306),_xlfn.TEXTAFTER('6161 - Wallpaper-WUO_ERR'!A306, ":"))))</f>
        <v>0</v>
      </c>
    </row>
    <row r="307" spans="1:1">
      <c r="A307" s="39">
        <f>IF('6161 - Wallpaper'!B307 = "", "", IF('6161 - Wallpaper-WUO_ERR'!A307 = "", "Validated", HYPERLINK("#" &amp; ADDRESS(307, '6161 - Wallpaper-WUO_TRK'!A307),_xlfn.TEXTAFTER('6161 - Wallpaper-WUO_ERR'!A307, ":"))))</f>
        <v>0</v>
      </c>
    </row>
    <row r="308" spans="1:1">
      <c r="A308" s="39">
        <f>IF('6161 - Wallpaper'!B308 = "", "", IF('6161 - Wallpaper-WUO_ERR'!A308 = "", "Validated", HYPERLINK("#" &amp; ADDRESS(308, '6161 - Wallpaper-WUO_TRK'!A308),_xlfn.TEXTAFTER('6161 - Wallpaper-WUO_ERR'!A308, ":"))))</f>
        <v>0</v>
      </c>
    </row>
    <row r="309" spans="1:1">
      <c r="A309" s="39">
        <f>IF('6161 - Wallpaper'!B309 = "", "", IF('6161 - Wallpaper-WUO_ERR'!A309 = "", "Validated", HYPERLINK("#" &amp; ADDRESS(309, '6161 - Wallpaper-WUO_TRK'!A309),_xlfn.TEXTAFTER('6161 - Wallpaper-WUO_ERR'!A309, ":"))))</f>
        <v>0</v>
      </c>
    </row>
    <row r="310" spans="1:1">
      <c r="A310" s="39">
        <f>IF('6161 - Wallpaper'!B310 = "", "", IF('6161 - Wallpaper-WUO_ERR'!A310 = "", "Validated", HYPERLINK("#" &amp; ADDRESS(310, '6161 - Wallpaper-WUO_TRK'!A310),_xlfn.TEXTAFTER('6161 - Wallpaper-WUO_ERR'!A310, ":"))))</f>
        <v>0</v>
      </c>
    </row>
    <row r="311" spans="1:1">
      <c r="A311" s="39">
        <f>IF('6161 - Wallpaper'!B311 = "", "", IF('6161 - Wallpaper-WUO_ERR'!A311 = "", "Validated", HYPERLINK("#" &amp; ADDRESS(311, '6161 - Wallpaper-WUO_TRK'!A311),_xlfn.TEXTAFTER('6161 - Wallpaper-WUO_ERR'!A311, ":"))))</f>
        <v>0</v>
      </c>
    </row>
    <row r="312" spans="1:1">
      <c r="A312" s="39">
        <f>IF('6161 - Wallpaper'!B312 = "", "", IF('6161 - Wallpaper-WUO_ERR'!A312 = "", "Validated", HYPERLINK("#" &amp; ADDRESS(312, '6161 - Wallpaper-WUO_TRK'!A312),_xlfn.TEXTAFTER('6161 - Wallpaper-WUO_ERR'!A312, ":"))))</f>
        <v>0</v>
      </c>
    </row>
    <row r="313" spans="1:1">
      <c r="A313" s="39">
        <f>IF('6161 - Wallpaper'!B313 = "", "", IF('6161 - Wallpaper-WUO_ERR'!A313 = "", "Validated", HYPERLINK("#" &amp; ADDRESS(313, '6161 - Wallpaper-WUO_TRK'!A313),_xlfn.TEXTAFTER('6161 - Wallpaper-WUO_ERR'!A313, ":"))))</f>
        <v>0</v>
      </c>
    </row>
    <row r="314" spans="1:1">
      <c r="A314" s="39">
        <f>IF('6161 - Wallpaper'!B314 = "", "", IF('6161 - Wallpaper-WUO_ERR'!A314 = "", "Validated", HYPERLINK("#" &amp; ADDRESS(314, '6161 - Wallpaper-WUO_TRK'!A314),_xlfn.TEXTAFTER('6161 - Wallpaper-WUO_ERR'!A314, ":"))))</f>
        <v>0</v>
      </c>
    </row>
    <row r="315" spans="1:1">
      <c r="A315" s="39">
        <f>IF('6161 - Wallpaper'!B315 = "", "", IF('6161 - Wallpaper-WUO_ERR'!A315 = "", "Validated", HYPERLINK("#" &amp; ADDRESS(315, '6161 - Wallpaper-WUO_TRK'!A315),_xlfn.TEXTAFTER('6161 - Wallpaper-WUO_ERR'!A315, ":"))))</f>
        <v>0</v>
      </c>
    </row>
    <row r="316" spans="1:1">
      <c r="A316" s="39">
        <f>IF('6161 - Wallpaper'!B316 = "", "", IF('6161 - Wallpaper-WUO_ERR'!A316 = "", "Validated", HYPERLINK("#" &amp; ADDRESS(316, '6161 - Wallpaper-WUO_TRK'!A316),_xlfn.TEXTAFTER('6161 - Wallpaper-WUO_ERR'!A316, ":"))))</f>
        <v>0</v>
      </c>
    </row>
    <row r="317" spans="1:1">
      <c r="A317" s="39">
        <f>IF('6161 - Wallpaper'!B317 = "", "", IF('6161 - Wallpaper-WUO_ERR'!A317 = "", "Validated", HYPERLINK("#" &amp; ADDRESS(317, '6161 - Wallpaper-WUO_TRK'!A317),_xlfn.TEXTAFTER('6161 - Wallpaper-WUO_ERR'!A317, ":"))))</f>
        <v>0</v>
      </c>
    </row>
    <row r="318" spans="1:1">
      <c r="A318" s="39">
        <f>IF('6161 - Wallpaper'!B318 = "", "", IF('6161 - Wallpaper-WUO_ERR'!A318 = "", "Validated", HYPERLINK("#" &amp; ADDRESS(318, '6161 - Wallpaper-WUO_TRK'!A318),_xlfn.TEXTAFTER('6161 - Wallpaper-WUO_ERR'!A318, ":"))))</f>
        <v>0</v>
      </c>
    </row>
    <row r="319" spans="1:1">
      <c r="A319" s="39">
        <f>IF('6161 - Wallpaper'!B319 = "", "", IF('6161 - Wallpaper-WUO_ERR'!A319 = "", "Validated", HYPERLINK("#" &amp; ADDRESS(319, '6161 - Wallpaper-WUO_TRK'!A319),_xlfn.TEXTAFTER('6161 - Wallpaper-WUO_ERR'!A319, ":"))))</f>
        <v>0</v>
      </c>
    </row>
    <row r="320" spans="1:1">
      <c r="A320" s="39">
        <f>IF('6161 - Wallpaper'!B320 = "", "", IF('6161 - Wallpaper-WUO_ERR'!A320 = "", "Validated", HYPERLINK("#" &amp; ADDRESS(320, '6161 - Wallpaper-WUO_TRK'!A320),_xlfn.TEXTAFTER('6161 - Wallpaper-WUO_ERR'!A320, ":"))))</f>
        <v>0</v>
      </c>
    </row>
    <row r="321" spans="1:1">
      <c r="A321" s="39">
        <f>IF('6161 - Wallpaper'!B321 = "", "", IF('6161 - Wallpaper-WUO_ERR'!A321 = "", "Validated", HYPERLINK("#" &amp; ADDRESS(321, '6161 - Wallpaper-WUO_TRK'!A321),_xlfn.TEXTAFTER('6161 - Wallpaper-WUO_ERR'!A321, ":"))))</f>
        <v>0</v>
      </c>
    </row>
    <row r="322" spans="1:1">
      <c r="A322" s="39">
        <f>IF('6161 - Wallpaper'!B322 = "", "", IF('6161 - Wallpaper-WUO_ERR'!A322 = "", "Validated", HYPERLINK("#" &amp; ADDRESS(322, '6161 - Wallpaper-WUO_TRK'!A322),_xlfn.TEXTAFTER('6161 - Wallpaper-WUO_ERR'!A322, ":"))))</f>
        <v>0</v>
      </c>
    </row>
    <row r="323" spans="1:1">
      <c r="A323" s="39">
        <f>IF('6161 - Wallpaper'!B323 = "", "", IF('6161 - Wallpaper-WUO_ERR'!A323 = "", "Validated", HYPERLINK("#" &amp; ADDRESS(323, '6161 - Wallpaper-WUO_TRK'!A323),_xlfn.TEXTAFTER('6161 - Wallpaper-WUO_ERR'!A323, ":"))))</f>
        <v>0</v>
      </c>
    </row>
    <row r="324" spans="1:1">
      <c r="A324" s="39">
        <f>IF('6161 - Wallpaper'!B324 = "", "", IF('6161 - Wallpaper-WUO_ERR'!A324 = "", "Validated", HYPERLINK("#" &amp; ADDRESS(324, '6161 - Wallpaper-WUO_TRK'!A324),_xlfn.TEXTAFTER('6161 - Wallpaper-WUO_ERR'!A324, ":"))))</f>
        <v>0</v>
      </c>
    </row>
    <row r="325" spans="1:1">
      <c r="A325" s="39">
        <f>IF('6161 - Wallpaper'!B325 = "", "", IF('6161 - Wallpaper-WUO_ERR'!A325 = "", "Validated", HYPERLINK("#" &amp; ADDRESS(325, '6161 - Wallpaper-WUO_TRK'!A325),_xlfn.TEXTAFTER('6161 - Wallpaper-WUO_ERR'!A325, ":"))))</f>
        <v>0</v>
      </c>
    </row>
    <row r="326" spans="1:1">
      <c r="A326" s="39">
        <f>IF('6161 - Wallpaper'!B326 = "", "", IF('6161 - Wallpaper-WUO_ERR'!A326 = "", "Validated", HYPERLINK("#" &amp; ADDRESS(326, '6161 - Wallpaper-WUO_TRK'!A326),_xlfn.TEXTAFTER('6161 - Wallpaper-WUO_ERR'!A326, ":"))))</f>
        <v>0</v>
      </c>
    </row>
    <row r="327" spans="1:1">
      <c r="A327" s="39">
        <f>IF('6161 - Wallpaper'!B327 = "", "", IF('6161 - Wallpaper-WUO_ERR'!A327 = "", "Validated", HYPERLINK("#" &amp; ADDRESS(327, '6161 - Wallpaper-WUO_TRK'!A327),_xlfn.TEXTAFTER('6161 - Wallpaper-WUO_ERR'!A327, ":"))))</f>
        <v>0</v>
      </c>
    </row>
    <row r="328" spans="1:1">
      <c r="A328" s="39">
        <f>IF('6161 - Wallpaper'!B328 = "", "", IF('6161 - Wallpaper-WUO_ERR'!A328 = "", "Validated", HYPERLINK("#" &amp; ADDRESS(328, '6161 - Wallpaper-WUO_TRK'!A328),_xlfn.TEXTAFTER('6161 - Wallpaper-WUO_ERR'!A328, ":"))))</f>
        <v>0</v>
      </c>
    </row>
    <row r="329" spans="1:1">
      <c r="A329" s="39">
        <f>IF('6161 - Wallpaper'!B329 = "", "", IF('6161 - Wallpaper-WUO_ERR'!A329 = "", "Validated", HYPERLINK("#" &amp; ADDRESS(329, '6161 - Wallpaper-WUO_TRK'!A329),_xlfn.TEXTAFTER('6161 - Wallpaper-WUO_ERR'!A329, ":"))))</f>
        <v>0</v>
      </c>
    </row>
    <row r="330" spans="1:1">
      <c r="A330" s="39">
        <f>IF('6161 - Wallpaper'!B330 = "", "", IF('6161 - Wallpaper-WUO_ERR'!A330 = "", "Validated", HYPERLINK("#" &amp; ADDRESS(330, '6161 - Wallpaper-WUO_TRK'!A330),_xlfn.TEXTAFTER('6161 - Wallpaper-WUO_ERR'!A330, ":"))))</f>
        <v>0</v>
      </c>
    </row>
    <row r="331" spans="1:1">
      <c r="A331" s="39">
        <f>IF('6161 - Wallpaper'!B331 = "", "", IF('6161 - Wallpaper-WUO_ERR'!A331 = "", "Validated", HYPERLINK("#" &amp; ADDRESS(331, '6161 - Wallpaper-WUO_TRK'!A331),_xlfn.TEXTAFTER('6161 - Wallpaper-WUO_ERR'!A331, ":"))))</f>
        <v>0</v>
      </c>
    </row>
    <row r="332" spans="1:1">
      <c r="A332" s="39">
        <f>IF('6161 - Wallpaper'!B332 = "", "", IF('6161 - Wallpaper-WUO_ERR'!A332 = "", "Validated", HYPERLINK("#" &amp; ADDRESS(332, '6161 - Wallpaper-WUO_TRK'!A332),_xlfn.TEXTAFTER('6161 - Wallpaper-WUO_ERR'!A332, ":"))))</f>
        <v>0</v>
      </c>
    </row>
    <row r="333" spans="1:1">
      <c r="A333" s="39">
        <f>IF('6161 - Wallpaper'!B333 = "", "", IF('6161 - Wallpaper-WUO_ERR'!A333 = "", "Validated", HYPERLINK("#" &amp; ADDRESS(333, '6161 - Wallpaper-WUO_TRK'!A333),_xlfn.TEXTAFTER('6161 - Wallpaper-WUO_ERR'!A333, ":"))))</f>
        <v>0</v>
      </c>
    </row>
    <row r="334" spans="1:1">
      <c r="A334" s="39">
        <f>IF('6161 - Wallpaper'!B334 = "", "", IF('6161 - Wallpaper-WUO_ERR'!A334 = "", "Validated", HYPERLINK("#" &amp; ADDRESS(334, '6161 - Wallpaper-WUO_TRK'!A334),_xlfn.TEXTAFTER('6161 - Wallpaper-WUO_ERR'!A334, ":"))))</f>
        <v>0</v>
      </c>
    </row>
    <row r="335" spans="1:1">
      <c r="A335" s="39">
        <f>IF('6161 - Wallpaper'!B335 = "", "", IF('6161 - Wallpaper-WUO_ERR'!A335 = "", "Validated", HYPERLINK("#" &amp; ADDRESS(335, '6161 - Wallpaper-WUO_TRK'!A335),_xlfn.TEXTAFTER('6161 - Wallpaper-WUO_ERR'!A335, ":"))))</f>
        <v>0</v>
      </c>
    </row>
    <row r="336" spans="1:1">
      <c r="A336" s="39">
        <f>IF('6161 - Wallpaper'!B336 = "", "", IF('6161 - Wallpaper-WUO_ERR'!A336 = "", "Validated", HYPERLINK("#" &amp; ADDRESS(336, '6161 - Wallpaper-WUO_TRK'!A336),_xlfn.TEXTAFTER('6161 - Wallpaper-WUO_ERR'!A336, ":"))))</f>
        <v>0</v>
      </c>
    </row>
    <row r="337" spans="1:1">
      <c r="A337" s="39">
        <f>IF('6161 - Wallpaper'!B337 = "", "", IF('6161 - Wallpaper-WUO_ERR'!A337 = "", "Validated", HYPERLINK("#" &amp; ADDRESS(337, '6161 - Wallpaper-WUO_TRK'!A337),_xlfn.TEXTAFTER('6161 - Wallpaper-WUO_ERR'!A337, ":"))))</f>
        <v>0</v>
      </c>
    </row>
    <row r="338" spans="1:1">
      <c r="A338" s="39">
        <f>IF('6161 - Wallpaper'!B338 = "", "", IF('6161 - Wallpaper-WUO_ERR'!A338 = "", "Validated", HYPERLINK("#" &amp; ADDRESS(338, '6161 - Wallpaper-WUO_TRK'!A338),_xlfn.TEXTAFTER('6161 - Wallpaper-WUO_ERR'!A338, ":"))))</f>
        <v>0</v>
      </c>
    </row>
    <row r="339" spans="1:1">
      <c r="A339" s="39">
        <f>IF('6161 - Wallpaper'!B339 = "", "", IF('6161 - Wallpaper-WUO_ERR'!A339 = "", "Validated", HYPERLINK("#" &amp; ADDRESS(339, '6161 - Wallpaper-WUO_TRK'!A339),_xlfn.TEXTAFTER('6161 - Wallpaper-WUO_ERR'!A339, ":"))))</f>
        <v>0</v>
      </c>
    </row>
    <row r="340" spans="1:1">
      <c r="A340" s="39">
        <f>IF('6161 - Wallpaper'!B340 = "", "", IF('6161 - Wallpaper-WUO_ERR'!A340 = "", "Validated", HYPERLINK("#" &amp; ADDRESS(340, '6161 - Wallpaper-WUO_TRK'!A340),_xlfn.TEXTAFTER('6161 - Wallpaper-WUO_ERR'!A340, ":"))))</f>
        <v>0</v>
      </c>
    </row>
    <row r="341" spans="1:1">
      <c r="A341" s="39">
        <f>IF('6161 - Wallpaper'!B341 = "", "", IF('6161 - Wallpaper-WUO_ERR'!A341 = "", "Validated", HYPERLINK("#" &amp; ADDRESS(341, '6161 - Wallpaper-WUO_TRK'!A341),_xlfn.TEXTAFTER('6161 - Wallpaper-WUO_ERR'!A341, ":"))))</f>
        <v>0</v>
      </c>
    </row>
    <row r="342" spans="1:1">
      <c r="A342" s="39">
        <f>IF('6161 - Wallpaper'!B342 = "", "", IF('6161 - Wallpaper-WUO_ERR'!A342 = "", "Validated", HYPERLINK("#" &amp; ADDRESS(342, '6161 - Wallpaper-WUO_TRK'!A342),_xlfn.TEXTAFTER('6161 - Wallpaper-WUO_ERR'!A342, ":"))))</f>
        <v>0</v>
      </c>
    </row>
    <row r="343" spans="1:1">
      <c r="A343" s="39">
        <f>IF('6161 - Wallpaper'!B343 = "", "", IF('6161 - Wallpaper-WUO_ERR'!A343 = "", "Validated", HYPERLINK("#" &amp; ADDRESS(343, '6161 - Wallpaper-WUO_TRK'!A343),_xlfn.TEXTAFTER('6161 - Wallpaper-WUO_ERR'!A343, ":"))))</f>
        <v>0</v>
      </c>
    </row>
    <row r="344" spans="1:1">
      <c r="A344" s="39">
        <f>IF('6161 - Wallpaper'!B344 = "", "", IF('6161 - Wallpaper-WUO_ERR'!A344 = "", "Validated", HYPERLINK("#" &amp; ADDRESS(344, '6161 - Wallpaper-WUO_TRK'!A344),_xlfn.TEXTAFTER('6161 - Wallpaper-WUO_ERR'!A344, ":"))))</f>
        <v>0</v>
      </c>
    </row>
    <row r="345" spans="1:1">
      <c r="A345" s="39">
        <f>IF('6161 - Wallpaper'!B345 = "", "", IF('6161 - Wallpaper-WUO_ERR'!A345 = "", "Validated", HYPERLINK("#" &amp; ADDRESS(345, '6161 - Wallpaper-WUO_TRK'!A345),_xlfn.TEXTAFTER('6161 - Wallpaper-WUO_ERR'!A345, ":"))))</f>
        <v>0</v>
      </c>
    </row>
    <row r="346" spans="1:1">
      <c r="A346" s="39">
        <f>IF('6161 - Wallpaper'!B346 = "", "", IF('6161 - Wallpaper-WUO_ERR'!A346 = "", "Validated", HYPERLINK("#" &amp; ADDRESS(346, '6161 - Wallpaper-WUO_TRK'!A346),_xlfn.TEXTAFTER('6161 - Wallpaper-WUO_ERR'!A346, ":"))))</f>
        <v>0</v>
      </c>
    </row>
    <row r="347" spans="1:1">
      <c r="A347" s="39">
        <f>IF('6161 - Wallpaper'!B347 = "", "", IF('6161 - Wallpaper-WUO_ERR'!A347 = "", "Validated", HYPERLINK("#" &amp; ADDRESS(347, '6161 - Wallpaper-WUO_TRK'!A347),_xlfn.TEXTAFTER('6161 - Wallpaper-WUO_ERR'!A347, ":"))))</f>
        <v>0</v>
      </c>
    </row>
    <row r="348" spans="1:1">
      <c r="A348" s="39">
        <f>IF('6161 - Wallpaper'!B348 = "", "", IF('6161 - Wallpaper-WUO_ERR'!A348 = "", "Validated", HYPERLINK("#" &amp; ADDRESS(348, '6161 - Wallpaper-WUO_TRK'!A348),_xlfn.TEXTAFTER('6161 - Wallpaper-WUO_ERR'!A348, ":"))))</f>
        <v>0</v>
      </c>
    </row>
    <row r="349" spans="1:1">
      <c r="A349" s="39">
        <f>IF('6161 - Wallpaper'!B349 = "", "", IF('6161 - Wallpaper-WUO_ERR'!A349 = "", "Validated", HYPERLINK("#" &amp; ADDRESS(349, '6161 - Wallpaper-WUO_TRK'!A349),_xlfn.TEXTAFTER('6161 - Wallpaper-WUO_ERR'!A349, ":"))))</f>
        <v>0</v>
      </c>
    </row>
    <row r="350" spans="1:1">
      <c r="A350" s="39">
        <f>IF('6161 - Wallpaper'!B350 = "", "", IF('6161 - Wallpaper-WUO_ERR'!A350 = "", "Validated", HYPERLINK("#" &amp; ADDRESS(350, '6161 - Wallpaper-WUO_TRK'!A350),_xlfn.TEXTAFTER('6161 - Wallpaper-WUO_ERR'!A350, ":"))))</f>
        <v>0</v>
      </c>
    </row>
    <row r="351" spans="1:1">
      <c r="A351" s="39">
        <f>IF('6161 - Wallpaper'!B351 = "", "", IF('6161 - Wallpaper-WUO_ERR'!A351 = "", "Validated", HYPERLINK("#" &amp; ADDRESS(351, '6161 - Wallpaper-WUO_TRK'!A351),_xlfn.TEXTAFTER('6161 - Wallpaper-WUO_ERR'!A351, ":"))))</f>
        <v>0</v>
      </c>
    </row>
    <row r="352" spans="1:1">
      <c r="A352" s="39">
        <f>IF('6161 - Wallpaper'!B352 = "", "", IF('6161 - Wallpaper-WUO_ERR'!A352 = "", "Validated", HYPERLINK("#" &amp; ADDRESS(352, '6161 - Wallpaper-WUO_TRK'!A352),_xlfn.TEXTAFTER('6161 - Wallpaper-WUO_ERR'!A352, ":"))))</f>
        <v>0</v>
      </c>
    </row>
    <row r="353" spans="1:1">
      <c r="A353" s="39">
        <f>IF('6161 - Wallpaper'!B353 = "", "", IF('6161 - Wallpaper-WUO_ERR'!A353 = "", "Validated", HYPERLINK("#" &amp; ADDRESS(353, '6161 - Wallpaper-WUO_TRK'!A353),_xlfn.TEXTAFTER('6161 - Wallpaper-WUO_ERR'!A353, ":"))))</f>
        <v>0</v>
      </c>
    </row>
    <row r="354" spans="1:1">
      <c r="A354" s="39">
        <f>IF('6161 - Wallpaper'!B354 = "", "", IF('6161 - Wallpaper-WUO_ERR'!A354 = "", "Validated", HYPERLINK("#" &amp; ADDRESS(354, '6161 - Wallpaper-WUO_TRK'!A354),_xlfn.TEXTAFTER('6161 - Wallpaper-WUO_ERR'!A354, ":"))))</f>
        <v>0</v>
      </c>
    </row>
    <row r="355" spans="1:1">
      <c r="A355" s="39">
        <f>IF('6161 - Wallpaper'!B355 = "", "", IF('6161 - Wallpaper-WUO_ERR'!A355 = "", "Validated", HYPERLINK("#" &amp; ADDRESS(355, '6161 - Wallpaper-WUO_TRK'!A355),_xlfn.TEXTAFTER('6161 - Wallpaper-WUO_ERR'!A355, ":"))))</f>
        <v>0</v>
      </c>
    </row>
    <row r="356" spans="1:1">
      <c r="A356" s="39">
        <f>IF('6161 - Wallpaper'!B356 = "", "", IF('6161 - Wallpaper-WUO_ERR'!A356 = "", "Validated", HYPERLINK("#" &amp; ADDRESS(356, '6161 - Wallpaper-WUO_TRK'!A356),_xlfn.TEXTAFTER('6161 - Wallpaper-WUO_ERR'!A356, ":"))))</f>
        <v>0</v>
      </c>
    </row>
    <row r="357" spans="1:1">
      <c r="A357" s="39">
        <f>IF('6161 - Wallpaper'!B357 = "", "", IF('6161 - Wallpaper-WUO_ERR'!A357 = "", "Validated", HYPERLINK("#" &amp; ADDRESS(357, '6161 - Wallpaper-WUO_TRK'!A357),_xlfn.TEXTAFTER('6161 - Wallpaper-WUO_ERR'!A357, ":"))))</f>
        <v>0</v>
      </c>
    </row>
    <row r="358" spans="1:1">
      <c r="A358" s="39">
        <f>IF('6161 - Wallpaper'!B358 = "", "", IF('6161 - Wallpaper-WUO_ERR'!A358 = "", "Validated", HYPERLINK("#" &amp; ADDRESS(358, '6161 - Wallpaper-WUO_TRK'!A358),_xlfn.TEXTAFTER('6161 - Wallpaper-WUO_ERR'!A358, ":"))))</f>
        <v>0</v>
      </c>
    </row>
    <row r="359" spans="1:1">
      <c r="A359" s="39">
        <f>IF('6161 - Wallpaper'!B359 = "", "", IF('6161 - Wallpaper-WUO_ERR'!A359 = "", "Validated", HYPERLINK("#" &amp; ADDRESS(359, '6161 - Wallpaper-WUO_TRK'!A359),_xlfn.TEXTAFTER('6161 - Wallpaper-WUO_ERR'!A359, ":"))))</f>
        <v>0</v>
      </c>
    </row>
    <row r="360" spans="1:1">
      <c r="A360" s="39">
        <f>IF('6161 - Wallpaper'!B360 = "", "", IF('6161 - Wallpaper-WUO_ERR'!A360 = "", "Validated", HYPERLINK("#" &amp; ADDRESS(360, '6161 - Wallpaper-WUO_TRK'!A360),_xlfn.TEXTAFTER('6161 - Wallpaper-WUO_ERR'!A360, ":"))))</f>
        <v>0</v>
      </c>
    </row>
    <row r="361" spans="1:1">
      <c r="A361" s="39">
        <f>IF('6161 - Wallpaper'!B361 = "", "", IF('6161 - Wallpaper-WUO_ERR'!A361 = "", "Validated", HYPERLINK("#" &amp; ADDRESS(361, '6161 - Wallpaper-WUO_TRK'!A361),_xlfn.TEXTAFTER('6161 - Wallpaper-WUO_ERR'!A361, ":"))))</f>
        <v>0</v>
      </c>
    </row>
    <row r="362" spans="1:1">
      <c r="A362" s="39">
        <f>IF('6161 - Wallpaper'!B362 = "", "", IF('6161 - Wallpaper-WUO_ERR'!A362 = "", "Validated", HYPERLINK("#" &amp; ADDRESS(362, '6161 - Wallpaper-WUO_TRK'!A362),_xlfn.TEXTAFTER('6161 - Wallpaper-WUO_ERR'!A362, ":"))))</f>
        <v>0</v>
      </c>
    </row>
    <row r="363" spans="1:1">
      <c r="A363" s="39">
        <f>IF('6161 - Wallpaper'!B363 = "", "", IF('6161 - Wallpaper-WUO_ERR'!A363 = "", "Validated", HYPERLINK("#" &amp; ADDRESS(363, '6161 - Wallpaper-WUO_TRK'!A363),_xlfn.TEXTAFTER('6161 - Wallpaper-WUO_ERR'!A363, ":"))))</f>
        <v>0</v>
      </c>
    </row>
    <row r="364" spans="1:1">
      <c r="A364" s="39">
        <f>IF('6161 - Wallpaper'!B364 = "", "", IF('6161 - Wallpaper-WUO_ERR'!A364 = "", "Validated", HYPERLINK("#" &amp; ADDRESS(364, '6161 - Wallpaper-WUO_TRK'!A364),_xlfn.TEXTAFTER('6161 - Wallpaper-WUO_ERR'!A364, ":"))))</f>
        <v>0</v>
      </c>
    </row>
    <row r="365" spans="1:1">
      <c r="A365" s="39">
        <f>IF('6161 - Wallpaper'!B365 = "", "", IF('6161 - Wallpaper-WUO_ERR'!A365 = "", "Validated", HYPERLINK("#" &amp; ADDRESS(365, '6161 - Wallpaper-WUO_TRK'!A365),_xlfn.TEXTAFTER('6161 - Wallpaper-WUO_ERR'!A365, ":"))))</f>
        <v>0</v>
      </c>
    </row>
    <row r="366" spans="1:1">
      <c r="A366" s="39">
        <f>IF('6161 - Wallpaper'!B366 = "", "", IF('6161 - Wallpaper-WUO_ERR'!A366 = "", "Validated", HYPERLINK("#" &amp; ADDRESS(366, '6161 - Wallpaper-WUO_TRK'!A366),_xlfn.TEXTAFTER('6161 - Wallpaper-WUO_ERR'!A366, ":"))))</f>
        <v>0</v>
      </c>
    </row>
    <row r="367" spans="1:1">
      <c r="A367" s="39">
        <f>IF('6161 - Wallpaper'!B367 = "", "", IF('6161 - Wallpaper-WUO_ERR'!A367 = "", "Validated", HYPERLINK("#" &amp; ADDRESS(367, '6161 - Wallpaper-WUO_TRK'!A367),_xlfn.TEXTAFTER('6161 - Wallpaper-WUO_ERR'!A367, ":"))))</f>
        <v>0</v>
      </c>
    </row>
    <row r="368" spans="1:1">
      <c r="A368" s="39">
        <f>IF('6161 - Wallpaper'!B368 = "", "", IF('6161 - Wallpaper-WUO_ERR'!A368 = "", "Validated", HYPERLINK("#" &amp; ADDRESS(368, '6161 - Wallpaper-WUO_TRK'!A368),_xlfn.TEXTAFTER('6161 - Wallpaper-WUO_ERR'!A368, ":"))))</f>
        <v>0</v>
      </c>
    </row>
    <row r="369" spans="1:1">
      <c r="A369" s="39">
        <f>IF('6161 - Wallpaper'!B369 = "", "", IF('6161 - Wallpaper-WUO_ERR'!A369 = "", "Validated", HYPERLINK("#" &amp; ADDRESS(369, '6161 - Wallpaper-WUO_TRK'!A369),_xlfn.TEXTAFTER('6161 - Wallpaper-WUO_ERR'!A369, ":"))))</f>
        <v>0</v>
      </c>
    </row>
    <row r="370" spans="1:1">
      <c r="A370" s="39">
        <f>IF('6161 - Wallpaper'!B370 = "", "", IF('6161 - Wallpaper-WUO_ERR'!A370 = "", "Validated", HYPERLINK("#" &amp; ADDRESS(370, '6161 - Wallpaper-WUO_TRK'!A370),_xlfn.TEXTAFTER('6161 - Wallpaper-WUO_ERR'!A370, ":"))))</f>
        <v>0</v>
      </c>
    </row>
    <row r="371" spans="1:1">
      <c r="A371" s="39">
        <f>IF('6161 - Wallpaper'!B371 = "", "", IF('6161 - Wallpaper-WUO_ERR'!A371 = "", "Validated", HYPERLINK("#" &amp; ADDRESS(371, '6161 - Wallpaper-WUO_TRK'!A371),_xlfn.TEXTAFTER('6161 - Wallpaper-WUO_ERR'!A371, ":"))))</f>
        <v>0</v>
      </c>
    </row>
    <row r="372" spans="1:1">
      <c r="A372" s="39">
        <f>IF('6161 - Wallpaper'!B372 = "", "", IF('6161 - Wallpaper-WUO_ERR'!A372 = "", "Validated", HYPERLINK("#" &amp; ADDRESS(372, '6161 - Wallpaper-WUO_TRK'!A372),_xlfn.TEXTAFTER('6161 - Wallpaper-WUO_ERR'!A372, ":"))))</f>
        <v>0</v>
      </c>
    </row>
    <row r="373" spans="1:1">
      <c r="A373" s="39">
        <f>IF('6161 - Wallpaper'!B373 = "", "", IF('6161 - Wallpaper-WUO_ERR'!A373 = "", "Validated", HYPERLINK("#" &amp; ADDRESS(373, '6161 - Wallpaper-WUO_TRK'!A373),_xlfn.TEXTAFTER('6161 - Wallpaper-WUO_ERR'!A373, ":"))))</f>
        <v>0</v>
      </c>
    </row>
    <row r="374" spans="1:1">
      <c r="A374" s="39">
        <f>IF('6161 - Wallpaper'!B374 = "", "", IF('6161 - Wallpaper-WUO_ERR'!A374 = "", "Validated", HYPERLINK("#" &amp; ADDRESS(374, '6161 - Wallpaper-WUO_TRK'!A374),_xlfn.TEXTAFTER('6161 - Wallpaper-WUO_ERR'!A374, ":"))))</f>
        <v>0</v>
      </c>
    </row>
    <row r="375" spans="1:1">
      <c r="A375" s="39">
        <f>IF('6161 - Wallpaper'!B375 = "", "", IF('6161 - Wallpaper-WUO_ERR'!A375 = "", "Validated", HYPERLINK("#" &amp; ADDRESS(375, '6161 - Wallpaper-WUO_TRK'!A375),_xlfn.TEXTAFTER('6161 - Wallpaper-WUO_ERR'!A375, ":"))))</f>
        <v>0</v>
      </c>
    </row>
    <row r="376" spans="1:1">
      <c r="A376" s="39">
        <f>IF('6161 - Wallpaper'!B376 = "", "", IF('6161 - Wallpaper-WUO_ERR'!A376 = "", "Validated", HYPERLINK("#" &amp; ADDRESS(376, '6161 - Wallpaper-WUO_TRK'!A376),_xlfn.TEXTAFTER('6161 - Wallpaper-WUO_ERR'!A376, ":"))))</f>
        <v>0</v>
      </c>
    </row>
    <row r="377" spans="1:1">
      <c r="A377" s="39">
        <f>IF('6161 - Wallpaper'!B377 = "", "", IF('6161 - Wallpaper-WUO_ERR'!A377 = "", "Validated", HYPERLINK("#" &amp; ADDRESS(377, '6161 - Wallpaper-WUO_TRK'!A377),_xlfn.TEXTAFTER('6161 - Wallpaper-WUO_ERR'!A377, ":"))))</f>
        <v>0</v>
      </c>
    </row>
    <row r="378" spans="1:1">
      <c r="A378" s="39">
        <f>IF('6161 - Wallpaper'!B378 = "", "", IF('6161 - Wallpaper-WUO_ERR'!A378 = "", "Validated", HYPERLINK("#" &amp; ADDRESS(378, '6161 - Wallpaper-WUO_TRK'!A378),_xlfn.TEXTAFTER('6161 - Wallpaper-WUO_ERR'!A378, ":"))))</f>
        <v>0</v>
      </c>
    </row>
    <row r="379" spans="1:1">
      <c r="A379" s="39">
        <f>IF('6161 - Wallpaper'!B379 = "", "", IF('6161 - Wallpaper-WUO_ERR'!A379 = "", "Validated", HYPERLINK("#" &amp; ADDRESS(379, '6161 - Wallpaper-WUO_TRK'!A379),_xlfn.TEXTAFTER('6161 - Wallpaper-WUO_ERR'!A379, ":"))))</f>
        <v>0</v>
      </c>
    </row>
    <row r="380" spans="1:1">
      <c r="A380" s="39">
        <f>IF('6161 - Wallpaper'!B380 = "", "", IF('6161 - Wallpaper-WUO_ERR'!A380 = "", "Validated", HYPERLINK("#" &amp; ADDRESS(380, '6161 - Wallpaper-WUO_TRK'!A380),_xlfn.TEXTAFTER('6161 - Wallpaper-WUO_ERR'!A380, ":"))))</f>
        <v>0</v>
      </c>
    </row>
    <row r="381" spans="1:1">
      <c r="A381" s="39">
        <f>IF('6161 - Wallpaper'!B381 = "", "", IF('6161 - Wallpaper-WUO_ERR'!A381 = "", "Validated", HYPERLINK("#" &amp; ADDRESS(381, '6161 - Wallpaper-WUO_TRK'!A381),_xlfn.TEXTAFTER('6161 - Wallpaper-WUO_ERR'!A381, ":"))))</f>
        <v>0</v>
      </c>
    </row>
    <row r="382" spans="1:1">
      <c r="A382" s="39">
        <f>IF('6161 - Wallpaper'!B382 = "", "", IF('6161 - Wallpaper-WUO_ERR'!A382 = "", "Validated", HYPERLINK("#" &amp; ADDRESS(382, '6161 - Wallpaper-WUO_TRK'!A382),_xlfn.TEXTAFTER('6161 - Wallpaper-WUO_ERR'!A382, ":"))))</f>
        <v>0</v>
      </c>
    </row>
    <row r="383" spans="1:1">
      <c r="A383" s="39">
        <f>IF('6161 - Wallpaper'!B383 = "", "", IF('6161 - Wallpaper-WUO_ERR'!A383 = "", "Validated", HYPERLINK("#" &amp; ADDRESS(383, '6161 - Wallpaper-WUO_TRK'!A383),_xlfn.TEXTAFTER('6161 - Wallpaper-WUO_ERR'!A383, ":"))))</f>
        <v>0</v>
      </c>
    </row>
    <row r="384" spans="1:1">
      <c r="A384" s="39">
        <f>IF('6161 - Wallpaper'!B384 = "", "", IF('6161 - Wallpaper-WUO_ERR'!A384 = "", "Validated", HYPERLINK("#" &amp; ADDRESS(384, '6161 - Wallpaper-WUO_TRK'!A384),_xlfn.TEXTAFTER('6161 - Wallpaper-WUO_ERR'!A384, ":"))))</f>
        <v>0</v>
      </c>
    </row>
    <row r="385" spans="1:1">
      <c r="A385" s="39">
        <f>IF('6161 - Wallpaper'!B385 = "", "", IF('6161 - Wallpaper-WUO_ERR'!A385 = "", "Validated", HYPERLINK("#" &amp; ADDRESS(385, '6161 - Wallpaper-WUO_TRK'!A385),_xlfn.TEXTAFTER('6161 - Wallpaper-WUO_ERR'!A385, ":"))))</f>
        <v>0</v>
      </c>
    </row>
    <row r="386" spans="1:1">
      <c r="A386" s="39">
        <f>IF('6161 - Wallpaper'!B386 = "", "", IF('6161 - Wallpaper-WUO_ERR'!A386 = "", "Validated", HYPERLINK("#" &amp; ADDRESS(386, '6161 - Wallpaper-WUO_TRK'!A386),_xlfn.TEXTAFTER('6161 - Wallpaper-WUO_ERR'!A386, ":"))))</f>
        <v>0</v>
      </c>
    </row>
    <row r="387" spans="1:1">
      <c r="A387" s="39">
        <f>IF('6161 - Wallpaper'!B387 = "", "", IF('6161 - Wallpaper-WUO_ERR'!A387 = "", "Validated", HYPERLINK("#" &amp; ADDRESS(387, '6161 - Wallpaper-WUO_TRK'!A387),_xlfn.TEXTAFTER('6161 - Wallpaper-WUO_ERR'!A387, ":"))))</f>
        <v>0</v>
      </c>
    </row>
    <row r="388" spans="1:1">
      <c r="A388" s="39">
        <f>IF('6161 - Wallpaper'!B388 = "", "", IF('6161 - Wallpaper-WUO_ERR'!A388 = "", "Validated", HYPERLINK("#" &amp; ADDRESS(388, '6161 - Wallpaper-WUO_TRK'!A388),_xlfn.TEXTAFTER('6161 - Wallpaper-WUO_ERR'!A388, ":"))))</f>
        <v>0</v>
      </c>
    </row>
    <row r="389" spans="1:1">
      <c r="A389" s="39">
        <f>IF('6161 - Wallpaper'!B389 = "", "", IF('6161 - Wallpaper-WUO_ERR'!A389 = "", "Validated", HYPERLINK("#" &amp; ADDRESS(389, '6161 - Wallpaper-WUO_TRK'!A389),_xlfn.TEXTAFTER('6161 - Wallpaper-WUO_ERR'!A389, ":"))))</f>
        <v>0</v>
      </c>
    </row>
    <row r="390" spans="1:1">
      <c r="A390" s="39">
        <f>IF('6161 - Wallpaper'!B390 = "", "", IF('6161 - Wallpaper-WUO_ERR'!A390 = "", "Validated", HYPERLINK("#" &amp; ADDRESS(390, '6161 - Wallpaper-WUO_TRK'!A390),_xlfn.TEXTAFTER('6161 - Wallpaper-WUO_ERR'!A390, ":"))))</f>
        <v>0</v>
      </c>
    </row>
    <row r="391" spans="1:1">
      <c r="A391" s="39">
        <f>IF('6161 - Wallpaper'!B391 = "", "", IF('6161 - Wallpaper-WUO_ERR'!A391 = "", "Validated", HYPERLINK("#" &amp; ADDRESS(391, '6161 - Wallpaper-WUO_TRK'!A391),_xlfn.TEXTAFTER('6161 - Wallpaper-WUO_ERR'!A391, ":"))))</f>
        <v>0</v>
      </c>
    </row>
    <row r="392" spans="1:1">
      <c r="A392" s="39">
        <f>IF('6161 - Wallpaper'!B392 = "", "", IF('6161 - Wallpaper-WUO_ERR'!A392 = "", "Validated", HYPERLINK("#" &amp; ADDRESS(392, '6161 - Wallpaper-WUO_TRK'!A392),_xlfn.TEXTAFTER('6161 - Wallpaper-WUO_ERR'!A392, ":"))))</f>
        <v>0</v>
      </c>
    </row>
    <row r="393" spans="1:1">
      <c r="A393" s="39">
        <f>IF('6161 - Wallpaper'!B393 = "", "", IF('6161 - Wallpaper-WUO_ERR'!A393 = "", "Validated", HYPERLINK("#" &amp; ADDRESS(393, '6161 - Wallpaper-WUO_TRK'!A393),_xlfn.TEXTAFTER('6161 - Wallpaper-WUO_ERR'!A393, ":"))))</f>
        <v>0</v>
      </c>
    </row>
    <row r="394" spans="1:1">
      <c r="A394" s="39">
        <f>IF('6161 - Wallpaper'!B394 = "", "", IF('6161 - Wallpaper-WUO_ERR'!A394 = "", "Validated", HYPERLINK("#" &amp; ADDRESS(394, '6161 - Wallpaper-WUO_TRK'!A394),_xlfn.TEXTAFTER('6161 - Wallpaper-WUO_ERR'!A394, ":"))))</f>
        <v>0</v>
      </c>
    </row>
    <row r="395" spans="1:1">
      <c r="A395" s="39">
        <f>IF('6161 - Wallpaper'!B395 = "", "", IF('6161 - Wallpaper-WUO_ERR'!A395 = "", "Validated", HYPERLINK("#" &amp; ADDRESS(395, '6161 - Wallpaper-WUO_TRK'!A395),_xlfn.TEXTAFTER('6161 - Wallpaper-WUO_ERR'!A395, ":"))))</f>
        <v>0</v>
      </c>
    </row>
    <row r="396" spans="1:1">
      <c r="A396" s="39">
        <f>IF('6161 - Wallpaper'!B396 = "", "", IF('6161 - Wallpaper-WUO_ERR'!A396 = "", "Validated", HYPERLINK("#" &amp; ADDRESS(396, '6161 - Wallpaper-WUO_TRK'!A396),_xlfn.TEXTAFTER('6161 - Wallpaper-WUO_ERR'!A396, ":"))))</f>
        <v>0</v>
      </c>
    </row>
    <row r="397" spans="1:1">
      <c r="A397" s="39">
        <f>IF('6161 - Wallpaper'!B397 = "", "", IF('6161 - Wallpaper-WUO_ERR'!A397 = "", "Validated", HYPERLINK("#" &amp; ADDRESS(397, '6161 - Wallpaper-WUO_TRK'!A397),_xlfn.TEXTAFTER('6161 - Wallpaper-WUO_ERR'!A397, ":"))))</f>
        <v>0</v>
      </c>
    </row>
    <row r="398" spans="1:1">
      <c r="A398" s="39">
        <f>IF('6161 - Wallpaper'!B398 = "", "", IF('6161 - Wallpaper-WUO_ERR'!A398 = "", "Validated", HYPERLINK("#" &amp; ADDRESS(398, '6161 - Wallpaper-WUO_TRK'!A398),_xlfn.TEXTAFTER('6161 - Wallpaper-WUO_ERR'!A398, ":"))))</f>
        <v>0</v>
      </c>
    </row>
    <row r="399" spans="1:1">
      <c r="A399" s="39">
        <f>IF('6161 - Wallpaper'!B399 = "", "", IF('6161 - Wallpaper-WUO_ERR'!A399 = "", "Validated", HYPERLINK("#" &amp; ADDRESS(399, '6161 - Wallpaper-WUO_TRK'!A399),_xlfn.TEXTAFTER('6161 - Wallpaper-WUO_ERR'!A399, ":"))))</f>
        <v>0</v>
      </c>
    </row>
    <row r="400" spans="1:1">
      <c r="A400" s="39">
        <f>IF('6161 - Wallpaper'!B400 = "", "", IF('6161 - Wallpaper-WUO_ERR'!A400 = "", "Validated", HYPERLINK("#" &amp; ADDRESS(400, '6161 - Wallpaper-WUO_TRK'!A400),_xlfn.TEXTAFTER('6161 - Wallpaper-WUO_ERR'!A400, ":"))))</f>
        <v>0</v>
      </c>
    </row>
    <row r="401" spans="1:1">
      <c r="A401" s="39">
        <f>IF('6161 - Wallpaper'!B401 = "", "", IF('6161 - Wallpaper-WUO_ERR'!A401 = "", "Validated", HYPERLINK("#" &amp; ADDRESS(401, '6161 - Wallpaper-WUO_TRK'!A401),_xlfn.TEXTAFTER('6161 - Wallpaper-WUO_ERR'!A401, ":"))))</f>
        <v>0</v>
      </c>
    </row>
    <row r="402" spans="1:1">
      <c r="A402" s="39">
        <f>IF('6161 - Wallpaper'!B402 = "", "", IF('6161 - Wallpaper-WUO_ERR'!A402 = "", "Validated", HYPERLINK("#" &amp; ADDRESS(402, '6161 - Wallpaper-WUO_TRK'!A402),_xlfn.TEXTAFTER('6161 - Wallpaper-WUO_ERR'!A402, ":"))))</f>
        <v>0</v>
      </c>
    </row>
    <row r="403" spans="1:1">
      <c r="A403" s="39">
        <f>IF('6161 - Wallpaper'!B403 = "", "", IF('6161 - Wallpaper-WUO_ERR'!A403 = "", "Validated", HYPERLINK("#" &amp; ADDRESS(403, '6161 - Wallpaper-WUO_TRK'!A403),_xlfn.TEXTAFTER('6161 - Wallpaper-WUO_ERR'!A403, ":"))))</f>
        <v>0</v>
      </c>
    </row>
    <row r="404" spans="1:1">
      <c r="A404" s="39">
        <f>IF('6161 - Wallpaper'!B404 = "", "", IF('6161 - Wallpaper-WUO_ERR'!A404 = "", "Validated", HYPERLINK("#" &amp; ADDRESS(404, '6161 - Wallpaper-WUO_TRK'!A404),_xlfn.TEXTAFTER('6161 - Wallpaper-WUO_ERR'!A404, ":"))))</f>
        <v>0</v>
      </c>
    </row>
    <row r="405" spans="1:1">
      <c r="A405" s="39">
        <f>IF('6161 - Wallpaper'!B405 = "", "", IF('6161 - Wallpaper-WUO_ERR'!A405 = "", "Validated", HYPERLINK("#" &amp; ADDRESS(405, '6161 - Wallpaper-WUO_TRK'!A405),_xlfn.TEXTAFTER('6161 - Wallpaper-WUO_ERR'!A405, ":"))))</f>
        <v>0</v>
      </c>
    </row>
    <row r="406" spans="1:1">
      <c r="A406" s="39">
        <f>IF('6161 - Wallpaper'!B406 = "", "", IF('6161 - Wallpaper-WUO_ERR'!A406 = "", "Validated", HYPERLINK("#" &amp; ADDRESS(406, '6161 - Wallpaper-WUO_TRK'!A406),_xlfn.TEXTAFTER('6161 - Wallpaper-WUO_ERR'!A406, ":"))))</f>
        <v>0</v>
      </c>
    </row>
    <row r="407" spans="1:1">
      <c r="A407" s="39">
        <f>IF('6161 - Wallpaper'!B407 = "", "", IF('6161 - Wallpaper-WUO_ERR'!A407 = "", "Validated", HYPERLINK("#" &amp; ADDRESS(407, '6161 - Wallpaper-WUO_TRK'!A407),_xlfn.TEXTAFTER('6161 - Wallpaper-WUO_ERR'!A407, ":"))))</f>
        <v>0</v>
      </c>
    </row>
    <row r="408" spans="1:1">
      <c r="A408" s="39">
        <f>IF('6161 - Wallpaper'!B408 = "", "", IF('6161 - Wallpaper-WUO_ERR'!A408 = "", "Validated", HYPERLINK("#" &amp; ADDRESS(408, '6161 - Wallpaper-WUO_TRK'!A408),_xlfn.TEXTAFTER('6161 - Wallpaper-WUO_ERR'!A408, ":"))))</f>
        <v>0</v>
      </c>
    </row>
    <row r="409" spans="1:1">
      <c r="A409" s="39">
        <f>IF('6161 - Wallpaper'!B409 = "", "", IF('6161 - Wallpaper-WUO_ERR'!A409 = "", "Validated", HYPERLINK("#" &amp; ADDRESS(409, '6161 - Wallpaper-WUO_TRK'!A409),_xlfn.TEXTAFTER('6161 - Wallpaper-WUO_ERR'!A409, ":"))))</f>
        <v>0</v>
      </c>
    </row>
    <row r="410" spans="1:1">
      <c r="A410" s="39">
        <f>IF('6161 - Wallpaper'!B410 = "", "", IF('6161 - Wallpaper-WUO_ERR'!A410 = "", "Validated", HYPERLINK("#" &amp; ADDRESS(410, '6161 - Wallpaper-WUO_TRK'!A410),_xlfn.TEXTAFTER('6161 - Wallpaper-WUO_ERR'!A410, ":"))))</f>
        <v>0</v>
      </c>
    </row>
    <row r="411" spans="1:1">
      <c r="A411" s="39">
        <f>IF('6161 - Wallpaper'!B411 = "", "", IF('6161 - Wallpaper-WUO_ERR'!A411 = "", "Validated", HYPERLINK("#" &amp; ADDRESS(411, '6161 - Wallpaper-WUO_TRK'!A411),_xlfn.TEXTAFTER('6161 - Wallpaper-WUO_ERR'!A411, ":"))))</f>
        <v>0</v>
      </c>
    </row>
    <row r="412" spans="1:1">
      <c r="A412" s="39">
        <f>IF('6161 - Wallpaper'!B412 = "", "", IF('6161 - Wallpaper-WUO_ERR'!A412 = "", "Validated", HYPERLINK("#" &amp; ADDRESS(412, '6161 - Wallpaper-WUO_TRK'!A412),_xlfn.TEXTAFTER('6161 - Wallpaper-WUO_ERR'!A412, ":"))))</f>
        <v>0</v>
      </c>
    </row>
    <row r="413" spans="1:1">
      <c r="A413" s="39">
        <f>IF('6161 - Wallpaper'!B413 = "", "", IF('6161 - Wallpaper-WUO_ERR'!A413 = "", "Validated", HYPERLINK("#" &amp; ADDRESS(413, '6161 - Wallpaper-WUO_TRK'!A413),_xlfn.TEXTAFTER('6161 - Wallpaper-WUO_ERR'!A413, ":"))))</f>
        <v>0</v>
      </c>
    </row>
    <row r="414" spans="1:1">
      <c r="A414" s="39">
        <f>IF('6161 - Wallpaper'!B414 = "", "", IF('6161 - Wallpaper-WUO_ERR'!A414 = "", "Validated", HYPERLINK("#" &amp; ADDRESS(414, '6161 - Wallpaper-WUO_TRK'!A414),_xlfn.TEXTAFTER('6161 - Wallpaper-WUO_ERR'!A414, ":"))))</f>
        <v>0</v>
      </c>
    </row>
    <row r="415" spans="1:1">
      <c r="A415" s="39">
        <f>IF('6161 - Wallpaper'!B415 = "", "", IF('6161 - Wallpaper-WUO_ERR'!A415 = "", "Validated", HYPERLINK("#" &amp; ADDRESS(415, '6161 - Wallpaper-WUO_TRK'!A415),_xlfn.TEXTAFTER('6161 - Wallpaper-WUO_ERR'!A415, ":"))))</f>
        <v>0</v>
      </c>
    </row>
    <row r="416" spans="1:1">
      <c r="A416" s="39">
        <f>IF('6161 - Wallpaper'!B416 = "", "", IF('6161 - Wallpaper-WUO_ERR'!A416 = "", "Validated", HYPERLINK("#" &amp; ADDRESS(416, '6161 - Wallpaper-WUO_TRK'!A416),_xlfn.TEXTAFTER('6161 - Wallpaper-WUO_ERR'!A416, ":"))))</f>
        <v>0</v>
      </c>
    </row>
    <row r="417" spans="1:1">
      <c r="A417" s="39">
        <f>IF('6161 - Wallpaper'!B417 = "", "", IF('6161 - Wallpaper-WUO_ERR'!A417 = "", "Validated", HYPERLINK("#" &amp; ADDRESS(417, '6161 - Wallpaper-WUO_TRK'!A417),_xlfn.TEXTAFTER('6161 - Wallpaper-WUO_ERR'!A417, ":"))))</f>
        <v>0</v>
      </c>
    </row>
    <row r="418" spans="1:1">
      <c r="A418" s="39">
        <f>IF('6161 - Wallpaper'!B418 = "", "", IF('6161 - Wallpaper-WUO_ERR'!A418 = "", "Validated", HYPERLINK("#" &amp; ADDRESS(418, '6161 - Wallpaper-WUO_TRK'!A418),_xlfn.TEXTAFTER('6161 - Wallpaper-WUO_ERR'!A418, ":"))))</f>
        <v>0</v>
      </c>
    </row>
    <row r="419" spans="1:1">
      <c r="A419" s="39">
        <f>IF('6161 - Wallpaper'!B419 = "", "", IF('6161 - Wallpaper-WUO_ERR'!A419 = "", "Validated", HYPERLINK("#" &amp; ADDRESS(419, '6161 - Wallpaper-WUO_TRK'!A419),_xlfn.TEXTAFTER('6161 - Wallpaper-WUO_ERR'!A419, ":"))))</f>
        <v>0</v>
      </c>
    </row>
    <row r="420" spans="1:1">
      <c r="A420" s="39">
        <f>IF('6161 - Wallpaper'!B420 = "", "", IF('6161 - Wallpaper-WUO_ERR'!A420 = "", "Validated", HYPERLINK("#" &amp; ADDRESS(420, '6161 - Wallpaper-WUO_TRK'!A420),_xlfn.TEXTAFTER('6161 - Wallpaper-WUO_ERR'!A420, ":"))))</f>
        <v>0</v>
      </c>
    </row>
    <row r="421" spans="1:1">
      <c r="A421" s="39">
        <f>IF('6161 - Wallpaper'!B421 = "", "", IF('6161 - Wallpaper-WUO_ERR'!A421 = "", "Validated", HYPERLINK("#" &amp; ADDRESS(421, '6161 - Wallpaper-WUO_TRK'!A421),_xlfn.TEXTAFTER('6161 - Wallpaper-WUO_ERR'!A421, ":"))))</f>
        <v>0</v>
      </c>
    </row>
    <row r="422" spans="1:1">
      <c r="A422" s="39">
        <f>IF('6161 - Wallpaper'!B422 = "", "", IF('6161 - Wallpaper-WUO_ERR'!A422 = "", "Validated", HYPERLINK("#" &amp; ADDRESS(422, '6161 - Wallpaper-WUO_TRK'!A422),_xlfn.TEXTAFTER('6161 - Wallpaper-WUO_ERR'!A422, ":"))))</f>
        <v>0</v>
      </c>
    </row>
    <row r="423" spans="1:1">
      <c r="A423" s="39">
        <f>IF('6161 - Wallpaper'!B423 = "", "", IF('6161 - Wallpaper-WUO_ERR'!A423 = "", "Validated", HYPERLINK("#" &amp; ADDRESS(423, '6161 - Wallpaper-WUO_TRK'!A423),_xlfn.TEXTAFTER('6161 - Wallpaper-WUO_ERR'!A423, ":"))))</f>
        <v>0</v>
      </c>
    </row>
    <row r="424" spans="1:1">
      <c r="A424" s="39">
        <f>IF('6161 - Wallpaper'!B424 = "", "", IF('6161 - Wallpaper-WUO_ERR'!A424 = "", "Validated", HYPERLINK("#" &amp; ADDRESS(424, '6161 - Wallpaper-WUO_TRK'!A424),_xlfn.TEXTAFTER('6161 - Wallpaper-WUO_ERR'!A424, ":"))))</f>
        <v>0</v>
      </c>
    </row>
    <row r="425" spans="1:1">
      <c r="A425" s="39">
        <f>IF('6161 - Wallpaper'!B425 = "", "", IF('6161 - Wallpaper-WUO_ERR'!A425 = "", "Validated", HYPERLINK("#" &amp; ADDRESS(425, '6161 - Wallpaper-WUO_TRK'!A425),_xlfn.TEXTAFTER('6161 - Wallpaper-WUO_ERR'!A425, ":"))))</f>
        <v>0</v>
      </c>
    </row>
    <row r="426" spans="1:1">
      <c r="A426" s="39">
        <f>IF('6161 - Wallpaper'!B426 = "", "", IF('6161 - Wallpaper-WUO_ERR'!A426 = "", "Validated", HYPERLINK("#" &amp; ADDRESS(426, '6161 - Wallpaper-WUO_TRK'!A426),_xlfn.TEXTAFTER('6161 - Wallpaper-WUO_ERR'!A426, ":"))))</f>
        <v>0</v>
      </c>
    </row>
    <row r="427" spans="1:1">
      <c r="A427" s="39">
        <f>IF('6161 - Wallpaper'!B427 = "", "", IF('6161 - Wallpaper-WUO_ERR'!A427 = "", "Validated", HYPERLINK("#" &amp; ADDRESS(427, '6161 - Wallpaper-WUO_TRK'!A427),_xlfn.TEXTAFTER('6161 - Wallpaper-WUO_ERR'!A427, ":"))))</f>
        <v>0</v>
      </c>
    </row>
    <row r="428" spans="1:1">
      <c r="A428" s="39">
        <f>IF('6161 - Wallpaper'!B428 = "", "", IF('6161 - Wallpaper-WUO_ERR'!A428 = "", "Validated", HYPERLINK("#" &amp; ADDRESS(428, '6161 - Wallpaper-WUO_TRK'!A428),_xlfn.TEXTAFTER('6161 - Wallpaper-WUO_ERR'!A428, ":"))))</f>
        <v>0</v>
      </c>
    </row>
    <row r="429" spans="1:1">
      <c r="A429" s="39">
        <f>IF('6161 - Wallpaper'!B429 = "", "", IF('6161 - Wallpaper-WUO_ERR'!A429 = "", "Validated", HYPERLINK("#" &amp; ADDRESS(429, '6161 - Wallpaper-WUO_TRK'!A429),_xlfn.TEXTAFTER('6161 - Wallpaper-WUO_ERR'!A429, ":"))))</f>
        <v>0</v>
      </c>
    </row>
    <row r="430" spans="1:1">
      <c r="A430" s="39">
        <f>IF('6161 - Wallpaper'!B430 = "", "", IF('6161 - Wallpaper-WUO_ERR'!A430 = "", "Validated", HYPERLINK("#" &amp; ADDRESS(430, '6161 - Wallpaper-WUO_TRK'!A430),_xlfn.TEXTAFTER('6161 - Wallpaper-WUO_ERR'!A430, ":"))))</f>
        <v>0</v>
      </c>
    </row>
    <row r="431" spans="1:1">
      <c r="A431" s="39">
        <f>IF('6161 - Wallpaper'!B431 = "", "", IF('6161 - Wallpaper-WUO_ERR'!A431 = "", "Validated", HYPERLINK("#" &amp; ADDRESS(431, '6161 - Wallpaper-WUO_TRK'!A431),_xlfn.TEXTAFTER('6161 - Wallpaper-WUO_ERR'!A431, ":"))))</f>
        <v>0</v>
      </c>
    </row>
    <row r="432" spans="1:1">
      <c r="A432" s="39">
        <f>IF('6161 - Wallpaper'!B432 = "", "", IF('6161 - Wallpaper-WUO_ERR'!A432 = "", "Validated", HYPERLINK("#" &amp; ADDRESS(432, '6161 - Wallpaper-WUO_TRK'!A432),_xlfn.TEXTAFTER('6161 - Wallpaper-WUO_ERR'!A432, ":"))))</f>
        <v>0</v>
      </c>
    </row>
    <row r="433" spans="1:1">
      <c r="A433" s="39">
        <f>IF('6161 - Wallpaper'!B433 = "", "", IF('6161 - Wallpaper-WUO_ERR'!A433 = "", "Validated", HYPERLINK("#" &amp; ADDRESS(433, '6161 - Wallpaper-WUO_TRK'!A433),_xlfn.TEXTAFTER('6161 - Wallpaper-WUO_ERR'!A433, ":"))))</f>
        <v>0</v>
      </c>
    </row>
    <row r="434" spans="1:1">
      <c r="A434" s="39">
        <f>IF('6161 - Wallpaper'!B434 = "", "", IF('6161 - Wallpaper-WUO_ERR'!A434 = "", "Validated", HYPERLINK("#" &amp; ADDRESS(434, '6161 - Wallpaper-WUO_TRK'!A434),_xlfn.TEXTAFTER('6161 - Wallpaper-WUO_ERR'!A434, ":"))))</f>
        <v>0</v>
      </c>
    </row>
    <row r="435" spans="1:1">
      <c r="A435" s="39">
        <f>IF('6161 - Wallpaper'!B435 = "", "", IF('6161 - Wallpaper-WUO_ERR'!A435 = "", "Validated", HYPERLINK("#" &amp; ADDRESS(435, '6161 - Wallpaper-WUO_TRK'!A435),_xlfn.TEXTAFTER('6161 - Wallpaper-WUO_ERR'!A435, ":"))))</f>
        <v>0</v>
      </c>
    </row>
    <row r="436" spans="1:1">
      <c r="A436" s="39">
        <f>IF('6161 - Wallpaper'!B436 = "", "", IF('6161 - Wallpaper-WUO_ERR'!A436 = "", "Validated", HYPERLINK("#" &amp; ADDRESS(436, '6161 - Wallpaper-WUO_TRK'!A436),_xlfn.TEXTAFTER('6161 - Wallpaper-WUO_ERR'!A436, ":"))))</f>
        <v>0</v>
      </c>
    </row>
    <row r="437" spans="1:1">
      <c r="A437" s="39">
        <f>IF('6161 - Wallpaper'!B437 = "", "", IF('6161 - Wallpaper-WUO_ERR'!A437 = "", "Validated", HYPERLINK("#" &amp; ADDRESS(437, '6161 - Wallpaper-WUO_TRK'!A437),_xlfn.TEXTAFTER('6161 - Wallpaper-WUO_ERR'!A437, ":"))))</f>
        <v>0</v>
      </c>
    </row>
    <row r="438" spans="1:1">
      <c r="A438" s="39">
        <f>IF('6161 - Wallpaper'!B438 = "", "", IF('6161 - Wallpaper-WUO_ERR'!A438 = "", "Validated", HYPERLINK("#" &amp; ADDRESS(438, '6161 - Wallpaper-WUO_TRK'!A438),_xlfn.TEXTAFTER('6161 - Wallpaper-WUO_ERR'!A438, ":"))))</f>
        <v>0</v>
      </c>
    </row>
    <row r="439" spans="1:1">
      <c r="A439" s="39">
        <f>IF('6161 - Wallpaper'!B439 = "", "", IF('6161 - Wallpaper-WUO_ERR'!A439 = "", "Validated", HYPERLINK("#" &amp; ADDRESS(439, '6161 - Wallpaper-WUO_TRK'!A439),_xlfn.TEXTAFTER('6161 - Wallpaper-WUO_ERR'!A439, ":"))))</f>
        <v>0</v>
      </c>
    </row>
    <row r="440" spans="1:1">
      <c r="A440" s="39">
        <f>IF('6161 - Wallpaper'!B440 = "", "", IF('6161 - Wallpaper-WUO_ERR'!A440 = "", "Validated", HYPERLINK("#" &amp; ADDRESS(440, '6161 - Wallpaper-WUO_TRK'!A440),_xlfn.TEXTAFTER('6161 - Wallpaper-WUO_ERR'!A440, ":"))))</f>
        <v>0</v>
      </c>
    </row>
    <row r="441" spans="1:1">
      <c r="A441" s="39">
        <f>IF('6161 - Wallpaper'!B441 = "", "", IF('6161 - Wallpaper-WUO_ERR'!A441 = "", "Validated", HYPERLINK("#" &amp; ADDRESS(441, '6161 - Wallpaper-WUO_TRK'!A441),_xlfn.TEXTAFTER('6161 - Wallpaper-WUO_ERR'!A441, ":"))))</f>
        <v>0</v>
      </c>
    </row>
    <row r="442" spans="1:1">
      <c r="A442" s="39">
        <f>IF('6161 - Wallpaper'!B442 = "", "", IF('6161 - Wallpaper-WUO_ERR'!A442 = "", "Validated", HYPERLINK("#" &amp; ADDRESS(442, '6161 - Wallpaper-WUO_TRK'!A442),_xlfn.TEXTAFTER('6161 - Wallpaper-WUO_ERR'!A442, ":"))))</f>
        <v>0</v>
      </c>
    </row>
    <row r="443" spans="1:1">
      <c r="A443" s="39">
        <f>IF('6161 - Wallpaper'!B443 = "", "", IF('6161 - Wallpaper-WUO_ERR'!A443 = "", "Validated", HYPERLINK("#" &amp; ADDRESS(443, '6161 - Wallpaper-WUO_TRK'!A443),_xlfn.TEXTAFTER('6161 - Wallpaper-WUO_ERR'!A443, ":"))))</f>
        <v>0</v>
      </c>
    </row>
    <row r="444" spans="1:1">
      <c r="A444" s="39">
        <f>IF('6161 - Wallpaper'!B444 = "", "", IF('6161 - Wallpaper-WUO_ERR'!A444 = "", "Validated", HYPERLINK("#" &amp; ADDRESS(444, '6161 - Wallpaper-WUO_TRK'!A444),_xlfn.TEXTAFTER('6161 - Wallpaper-WUO_ERR'!A444, ":"))))</f>
        <v>0</v>
      </c>
    </row>
    <row r="445" spans="1:1">
      <c r="A445" s="39">
        <f>IF('6161 - Wallpaper'!B445 = "", "", IF('6161 - Wallpaper-WUO_ERR'!A445 = "", "Validated", HYPERLINK("#" &amp; ADDRESS(445, '6161 - Wallpaper-WUO_TRK'!A445),_xlfn.TEXTAFTER('6161 - Wallpaper-WUO_ERR'!A445, ":"))))</f>
        <v>0</v>
      </c>
    </row>
    <row r="446" spans="1:1">
      <c r="A446" s="39">
        <f>IF('6161 - Wallpaper'!B446 = "", "", IF('6161 - Wallpaper-WUO_ERR'!A446 = "", "Validated", HYPERLINK("#" &amp; ADDRESS(446, '6161 - Wallpaper-WUO_TRK'!A446),_xlfn.TEXTAFTER('6161 - Wallpaper-WUO_ERR'!A446, ":"))))</f>
        <v>0</v>
      </c>
    </row>
    <row r="447" spans="1:1">
      <c r="A447" s="39">
        <f>IF('6161 - Wallpaper'!B447 = "", "", IF('6161 - Wallpaper-WUO_ERR'!A447 = "", "Validated", HYPERLINK("#" &amp; ADDRESS(447, '6161 - Wallpaper-WUO_TRK'!A447),_xlfn.TEXTAFTER('6161 - Wallpaper-WUO_ERR'!A447, ":"))))</f>
        <v>0</v>
      </c>
    </row>
    <row r="448" spans="1:1">
      <c r="A448" s="39">
        <f>IF('6161 - Wallpaper'!B448 = "", "", IF('6161 - Wallpaper-WUO_ERR'!A448 = "", "Validated", HYPERLINK("#" &amp; ADDRESS(448, '6161 - Wallpaper-WUO_TRK'!A448),_xlfn.TEXTAFTER('6161 - Wallpaper-WUO_ERR'!A448, ":"))))</f>
        <v>0</v>
      </c>
    </row>
    <row r="449" spans="1:1">
      <c r="A449" s="39">
        <f>IF('6161 - Wallpaper'!B449 = "", "", IF('6161 - Wallpaper-WUO_ERR'!A449 = "", "Validated", HYPERLINK("#" &amp; ADDRESS(449, '6161 - Wallpaper-WUO_TRK'!A449),_xlfn.TEXTAFTER('6161 - Wallpaper-WUO_ERR'!A449, ":"))))</f>
        <v>0</v>
      </c>
    </row>
    <row r="450" spans="1:1">
      <c r="A450" s="39">
        <f>IF('6161 - Wallpaper'!B450 = "", "", IF('6161 - Wallpaper-WUO_ERR'!A450 = "", "Validated", HYPERLINK("#" &amp; ADDRESS(450, '6161 - Wallpaper-WUO_TRK'!A450),_xlfn.TEXTAFTER('6161 - Wallpaper-WUO_ERR'!A450, ":"))))</f>
        <v>0</v>
      </c>
    </row>
    <row r="451" spans="1:1">
      <c r="A451" s="39">
        <f>IF('6161 - Wallpaper'!B451 = "", "", IF('6161 - Wallpaper-WUO_ERR'!A451 = "", "Validated", HYPERLINK("#" &amp; ADDRESS(451, '6161 - Wallpaper-WUO_TRK'!A451),_xlfn.TEXTAFTER('6161 - Wallpaper-WUO_ERR'!A451, ":"))))</f>
        <v>0</v>
      </c>
    </row>
    <row r="452" spans="1:1">
      <c r="A452" s="39">
        <f>IF('6161 - Wallpaper'!B452 = "", "", IF('6161 - Wallpaper-WUO_ERR'!A452 = "", "Validated", HYPERLINK("#" &amp; ADDRESS(452, '6161 - Wallpaper-WUO_TRK'!A452),_xlfn.TEXTAFTER('6161 - Wallpaper-WUO_ERR'!A452, ":"))))</f>
        <v>0</v>
      </c>
    </row>
    <row r="453" spans="1:1">
      <c r="A453" s="39">
        <f>IF('6161 - Wallpaper'!B453 = "", "", IF('6161 - Wallpaper-WUO_ERR'!A453 = "", "Validated", HYPERLINK("#" &amp; ADDRESS(453, '6161 - Wallpaper-WUO_TRK'!A453),_xlfn.TEXTAFTER('6161 - Wallpaper-WUO_ERR'!A453, ":"))))</f>
        <v>0</v>
      </c>
    </row>
    <row r="454" spans="1:1">
      <c r="A454" s="39">
        <f>IF('6161 - Wallpaper'!B454 = "", "", IF('6161 - Wallpaper-WUO_ERR'!A454 = "", "Validated", HYPERLINK("#" &amp; ADDRESS(454, '6161 - Wallpaper-WUO_TRK'!A454),_xlfn.TEXTAFTER('6161 - Wallpaper-WUO_ERR'!A454, ":"))))</f>
        <v>0</v>
      </c>
    </row>
    <row r="455" spans="1:1">
      <c r="A455" s="39">
        <f>IF('6161 - Wallpaper'!B455 = "", "", IF('6161 - Wallpaper-WUO_ERR'!A455 = "", "Validated", HYPERLINK("#" &amp; ADDRESS(455, '6161 - Wallpaper-WUO_TRK'!A455),_xlfn.TEXTAFTER('6161 - Wallpaper-WUO_ERR'!A455, ":"))))</f>
        <v>0</v>
      </c>
    </row>
    <row r="456" spans="1:1">
      <c r="A456" s="39">
        <f>IF('6161 - Wallpaper'!B456 = "", "", IF('6161 - Wallpaper-WUO_ERR'!A456 = "", "Validated", HYPERLINK("#" &amp; ADDRESS(456, '6161 - Wallpaper-WUO_TRK'!A456),_xlfn.TEXTAFTER('6161 - Wallpaper-WUO_ERR'!A456, ":"))))</f>
        <v>0</v>
      </c>
    </row>
    <row r="457" spans="1:1">
      <c r="A457" s="39">
        <f>IF('6161 - Wallpaper'!B457 = "", "", IF('6161 - Wallpaper-WUO_ERR'!A457 = "", "Validated", HYPERLINK("#" &amp; ADDRESS(457, '6161 - Wallpaper-WUO_TRK'!A457),_xlfn.TEXTAFTER('6161 - Wallpaper-WUO_ERR'!A457, ":"))))</f>
        <v>0</v>
      </c>
    </row>
    <row r="458" spans="1:1">
      <c r="A458" s="39">
        <f>IF('6161 - Wallpaper'!B458 = "", "", IF('6161 - Wallpaper-WUO_ERR'!A458 = "", "Validated", HYPERLINK("#" &amp; ADDRESS(458, '6161 - Wallpaper-WUO_TRK'!A458),_xlfn.TEXTAFTER('6161 - Wallpaper-WUO_ERR'!A458, ":"))))</f>
        <v>0</v>
      </c>
    </row>
    <row r="459" spans="1:1">
      <c r="A459" s="39">
        <f>IF('6161 - Wallpaper'!B459 = "", "", IF('6161 - Wallpaper-WUO_ERR'!A459 = "", "Validated", HYPERLINK("#" &amp; ADDRESS(459, '6161 - Wallpaper-WUO_TRK'!A459),_xlfn.TEXTAFTER('6161 - Wallpaper-WUO_ERR'!A459, ":"))))</f>
        <v>0</v>
      </c>
    </row>
    <row r="460" spans="1:1">
      <c r="A460" s="39">
        <f>IF('6161 - Wallpaper'!B460 = "", "", IF('6161 - Wallpaper-WUO_ERR'!A460 = "", "Validated", HYPERLINK("#" &amp; ADDRESS(460, '6161 - Wallpaper-WUO_TRK'!A460),_xlfn.TEXTAFTER('6161 - Wallpaper-WUO_ERR'!A460, ":"))))</f>
        <v>0</v>
      </c>
    </row>
    <row r="461" spans="1:1">
      <c r="A461" s="39">
        <f>IF('6161 - Wallpaper'!B461 = "", "", IF('6161 - Wallpaper-WUO_ERR'!A461 = "", "Validated", HYPERLINK("#" &amp; ADDRESS(461, '6161 - Wallpaper-WUO_TRK'!A461),_xlfn.TEXTAFTER('6161 - Wallpaper-WUO_ERR'!A461, ":"))))</f>
        <v>0</v>
      </c>
    </row>
    <row r="462" spans="1:1">
      <c r="A462" s="39">
        <f>IF('6161 - Wallpaper'!B462 = "", "", IF('6161 - Wallpaper-WUO_ERR'!A462 = "", "Validated", HYPERLINK("#" &amp; ADDRESS(462, '6161 - Wallpaper-WUO_TRK'!A462),_xlfn.TEXTAFTER('6161 - Wallpaper-WUO_ERR'!A462, ":"))))</f>
        <v>0</v>
      </c>
    </row>
    <row r="463" spans="1:1">
      <c r="A463" s="39">
        <f>IF('6161 - Wallpaper'!B463 = "", "", IF('6161 - Wallpaper-WUO_ERR'!A463 = "", "Validated", HYPERLINK("#" &amp; ADDRESS(463, '6161 - Wallpaper-WUO_TRK'!A463),_xlfn.TEXTAFTER('6161 - Wallpaper-WUO_ERR'!A463, ":"))))</f>
        <v>0</v>
      </c>
    </row>
    <row r="464" spans="1:1">
      <c r="A464" s="39">
        <f>IF('6161 - Wallpaper'!B464 = "", "", IF('6161 - Wallpaper-WUO_ERR'!A464 = "", "Validated", HYPERLINK("#" &amp; ADDRESS(464, '6161 - Wallpaper-WUO_TRK'!A464),_xlfn.TEXTAFTER('6161 - Wallpaper-WUO_ERR'!A464, ":"))))</f>
        <v>0</v>
      </c>
    </row>
    <row r="465" spans="1:1">
      <c r="A465" s="39">
        <f>IF('6161 - Wallpaper'!B465 = "", "", IF('6161 - Wallpaper-WUO_ERR'!A465 = "", "Validated", HYPERLINK("#" &amp; ADDRESS(465, '6161 - Wallpaper-WUO_TRK'!A465),_xlfn.TEXTAFTER('6161 - Wallpaper-WUO_ERR'!A465, ":"))))</f>
        <v>0</v>
      </c>
    </row>
    <row r="466" spans="1:1">
      <c r="A466" s="39">
        <f>IF('6161 - Wallpaper'!B466 = "", "", IF('6161 - Wallpaper-WUO_ERR'!A466 = "", "Validated", HYPERLINK("#" &amp; ADDRESS(466, '6161 - Wallpaper-WUO_TRK'!A466),_xlfn.TEXTAFTER('6161 - Wallpaper-WUO_ERR'!A466, ":"))))</f>
        <v>0</v>
      </c>
    </row>
    <row r="467" spans="1:1">
      <c r="A467" s="39">
        <f>IF('6161 - Wallpaper'!B467 = "", "", IF('6161 - Wallpaper-WUO_ERR'!A467 = "", "Validated", HYPERLINK("#" &amp; ADDRESS(467, '6161 - Wallpaper-WUO_TRK'!A467),_xlfn.TEXTAFTER('6161 - Wallpaper-WUO_ERR'!A467, ":"))))</f>
        <v>0</v>
      </c>
    </row>
    <row r="468" spans="1:1">
      <c r="A468" s="39">
        <f>IF('6161 - Wallpaper'!B468 = "", "", IF('6161 - Wallpaper-WUO_ERR'!A468 = "", "Validated", HYPERLINK("#" &amp; ADDRESS(468, '6161 - Wallpaper-WUO_TRK'!A468),_xlfn.TEXTAFTER('6161 - Wallpaper-WUO_ERR'!A468, ":"))))</f>
        <v>0</v>
      </c>
    </row>
    <row r="469" spans="1:1">
      <c r="A469" s="39">
        <f>IF('6161 - Wallpaper'!B469 = "", "", IF('6161 - Wallpaper-WUO_ERR'!A469 = "", "Validated", HYPERLINK("#" &amp; ADDRESS(469, '6161 - Wallpaper-WUO_TRK'!A469),_xlfn.TEXTAFTER('6161 - Wallpaper-WUO_ERR'!A469, ":"))))</f>
        <v>0</v>
      </c>
    </row>
    <row r="470" spans="1:1">
      <c r="A470" s="39">
        <f>IF('6161 - Wallpaper'!B470 = "", "", IF('6161 - Wallpaper-WUO_ERR'!A470 = "", "Validated", HYPERLINK("#" &amp; ADDRESS(470, '6161 - Wallpaper-WUO_TRK'!A470),_xlfn.TEXTAFTER('6161 - Wallpaper-WUO_ERR'!A470, ":"))))</f>
        <v>0</v>
      </c>
    </row>
    <row r="471" spans="1:1">
      <c r="A471" s="39">
        <f>IF('6161 - Wallpaper'!B471 = "", "", IF('6161 - Wallpaper-WUO_ERR'!A471 = "", "Validated", HYPERLINK("#" &amp; ADDRESS(471, '6161 - Wallpaper-WUO_TRK'!A471),_xlfn.TEXTAFTER('6161 - Wallpaper-WUO_ERR'!A471, ":"))))</f>
        <v>0</v>
      </c>
    </row>
    <row r="472" spans="1:1">
      <c r="A472" s="39">
        <f>IF('6161 - Wallpaper'!B472 = "", "", IF('6161 - Wallpaper-WUO_ERR'!A472 = "", "Validated", HYPERLINK("#" &amp; ADDRESS(472, '6161 - Wallpaper-WUO_TRK'!A472),_xlfn.TEXTAFTER('6161 - Wallpaper-WUO_ERR'!A472, ":"))))</f>
        <v>0</v>
      </c>
    </row>
    <row r="473" spans="1:1">
      <c r="A473" s="39">
        <f>IF('6161 - Wallpaper'!B473 = "", "", IF('6161 - Wallpaper-WUO_ERR'!A473 = "", "Validated", HYPERLINK("#" &amp; ADDRESS(473, '6161 - Wallpaper-WUO_TRK'!A473),_xlfn.TEXTAFTER('6161 - Wallpaper-WUO_ERR'!A473, ":"))))</f>
        <v>0</v>
      </c>
    </row>
    <row r="474" spans="1:1">
      <c r="A474" s="39">
        <f>IF('6161 - Wallpaper'!B474 = "", "", IF('6161 - Wallpaper-WUO_ERR'!A474 = "", "Validated", HYPERLINK("#" &amp; ADDRESS(474, '6161 - Wallpaper-WUO_TRK'!A474),_xlfn.TEXTAFTER('6161 - Wallpaper-WUO_ERR'!A474, ":"))))</f>
        <v>0</v>
      </c>
    </row>
    <row r="475" spans="1:1">
      <c r="A475" s="39">
        <f>IF('6161 - Wallpaper'!B475 = "", "", IF('6161 - Wallpaper-WUO_ERR'!A475 = "", "Validated", HYPERLINK("#" &amp; ADDRESS(475, '6161 - Wallpaper-WUO_TRK'!A475),_xlfn.TEXTAFTER('6161 - Wallpaper-WUO_ERR'!A475, ":"))))</f>
        <v>0</v>
      </c>
    </row>
    <row r="476" spans="1:1">
      <c r="A476" s="39">
        <f>IF('6161 - Wallpaper'!B476 = "", "", IF('6161 - Wallpaper-WUO_ERR'!A476 = "", "Validated", HYPERLINK("#" &amp; ADDRESS(476, '6161 - Wallpaper-WUO_TRK'!A476),_xlfn.TEXTAFTER('6161 - Wallpaper-WUO_ERR'!A476, ":"))))</f>
        <v>0</v>
      </c>
    </row>
    <row r="477" spans="1:1">
      <c r="A477" s="39">
        <f>IF('6161 - Wallpaper'!B477 = "", "", IF('6161 - Wallpaper-WUO_ERR'!A477 = "", "Validated", HYPERLINK("#" &amp; ADDRESS(477, '6161 - Wallpaper-WUO_TRK'!A477),_xlfn.TEXTAFTER('6161 - Wallpaper-WUO_ERR'!A477, ":"))))</f>
        <v>0</v>
      </c>
    </row>
    <row r="478" spans="1:1">
      <c r="A478" s="39">
        <f>IF('6161 - Wallpaper'!B478 = "", "", IF('6161 - Wallpaper-WUO_ERR'!A478 = "", "Validated", HYPERLINK("#" &amp; ADDRESS(478, '6161 - Wallpaper-WUO_TRK'!A478),_xlfn.TEXTAFTER('6161 - Wallpaper-WUO_ERR'!A478, ":"))))</f>
        <v>0</v>
      </c>
    </row>
    <row r="479" spans="1:1">
      <c r="A479" s="39">
        <f>IF('6161 - Wallpaper'!B479 = "", "", IF('6161 - Wallpaper-WUO_ERR'!A479 = "", "Validated", HYPERLINK("#" &amp; ADDRESS(479, '6161 - Wallpaper-WUO_TRK'!A479),_xlfn.TEXTAFTER('6161 - Wallpaper-WUO_ERR'!A479, ":"))))</f>
        <v>0</v>
      </c>
    </row>
    <row r="480" spans="1:1">
      <c r="A480" s="39">
        <f>IF('6161 - Wallpaper'!B480 = "", "", IF('6161 - Wallpaper-WUO_ERR'!A480 = "", "Validated", HYPERLINK("#" &amp; ADDRESS(480, '6161 - Wallpaper-WUO_TRK'!A480),_xlfn.TEXTAFTER('6161 - Wallpaper-WUO_ERR'!A480, ":"))))</f>
        <v>0</v>
      </c>
    </row>
    <row r="481" spans="1:1">
      <c r="A481" s="39">
        <f>IF('6161 - Wallpaper'!B481 = "", "", IF('6161 - Wallpaper-WUO_ERR'!A481 = "", "Validated", HYPERLINK("#" &amp; ADDRESS(481, '6161 - Wallpaper-WUO_TRK'!A481),_xlfn.TEXTAFTER('6161 - Wallpaper-WUO_ERR'!A481, ":"))))</f>
        <v>0</v>
      </c>
    </row>
    <row r="482" spans="1:1">
      <c r="A482" s="39">
        <f>IF('6161 - Wallpaper'!B482 = "", "", IF('6161 - Wallpaper-WUO_ERR'!A482 = "", "Validated", HYPERLINK("#" &amp; ADDRESS(482, '6161 - Wallpaper-WUO_TRK'!A482),_xlfn.TEXTAFTER('6161 - Wallpaper-WUO_ERR'!A482, ":"))))</f>
        <v>0</v>
      </c>
    </row>
    <row r="483" spans="1:1">
      <c r="A483" s="39">
        <f>IF('6161 - Wallpaper'!B483 = "", "", IF('6161 - Wallpaper-WUO_ERR'!A483 = "", "Validated", HYPERLINK("#" &amp; ADDRESS(483, '6161 - Wallpaper-WUO_TRK'!A483),_xlfn.TEXTAFTER('6161 - Wallpaper-WUO_ERR'!A483, ":"))))</f>
        <v>0</v>
      </c>
    </row>
    <row r="484" spans="1:1">
      <c r="A484" s="39">
        <f>IF('6161 - Wallpaper'!B484 = "", "", IF('6161 - Wallpaper-WUO_ERR'!A484 = "", "Validated", HYPERLINK("#" &amp; ADDRESS(484, '6161 - Wallpaper-WUO_TRK'!A484),_xlfn.TEXTAFTER('6161 - Wallpaper-WUO_ERR'!A484, ":"))))</f>
        <v>0</v>
      </c>
    </row>
    <row r="485" spans="1:1">
      <c r="A485" s="39">
        <f>IF('6161 - Wallpaper'!B485 = "", "", IF('6161 - Wallpaper-WUO_ERR'!A485 = "", "Validated", HYPERLINK("#" &amp; ADDRESS(485, '6161 - Wallpaper-WUO_TRK'!A485),_xlfn.TEXTAFTER('6161 - Wallpaper-WUO_ERR'!A485, ":"))))</f>
        <v>0</v>
      </c>
    </row>
    <row r="486" spans="1:1">
      <c r="A486" s="39">
        <f>IF('6161 - Wallpaper'!B486 = "", "", IF('6161 - Wallpaper-WUO_ERR'!A486 = "", "Validated", HYPERLINK("#" &amp; ADDRESS(486, '6161 - Wallpaper-WUO_TRK'!A486),_xlfn.TEXTAFTER('6161 - Wallpaper-WUO_ERR'!A486, ":"))))</f>
        <v>0</v>
      </c>
    </row>
    <row r="487" spans="1:1">
      <c r="A487" s="39">
        <f>IF('6161 - Wallpaper'!B487 = "", "", IF('6161 - Wallpaper-WUO_ERR'!A487 = "", "Validated", HYPERLINK("#" &amp; ADDRESS(487, '6161 - Wallpaper-WUO_TRK'!A487),_xlfn.TEXTAFTER('6161 - Wallpaper-WUO_ERR'!A487, ":"))))</f>
        <v>0</v>
      </c>
    </row>
    <row r="488" spans="1:1">
      <c r="A488" s="39">
        <f>IF('6161 - Wallpaper'!B488 = "", "", IF('6161 - Wallpaper-WUO_ERR'!A488 = "", "Validated", HYPERLINK("#" &amp; ADDRESS(488, '6161 - Wallpaper-WUO_TRK'!A488),_xlfn.TEXTAFTER('6161 - Wallpaper-WUO_ERR'!A488, ":"))))</f>
        <v>0</v>
      </c>
    </row>
    <row r="489" spans="1:1">
      <c r="A489" s="39">
        <f>IF('6161 - Wallpaper'!B489 = "", "", IF('6161 - Wallpaper-WUO_ERR'!A489 = "", "Validated", HYPERLINK("#" &amp; ADDRESS(489, '6161 - Wallpaper-WUO_TRK'!A489),_xlfn.TEXTAFTER('6161 - Wallpaper-WUO_ERR'!A489, ":"))))</f>
        <v>0</v>
      </c>
    </row>
    <row r="490" spans="1:1">
      <c r="A490" s="39">
        <f>IF('6161 - Wallpaper'!B490 = "", "", IF('6161 - Wallpaper-WUO_ERR'!A490 = "", "Validated", HYPERLINK("#" &amp; ADDRESS(490, '6161 - Wallpaper-WUO_TRK'!A490),_xlfn.TEXTAFTER('6161 - Wallpaper-WUO_ERR'!A490, ":"))))</f>
        <v>0</v>
      </c>
    </row>
    <row r="491" spans="1:1">
      <c r="A491" s="39">
        <f>IF('6161 - Wallpaper'!B491 = "", "", IF('6161 - Wallpaper-WUO_ERR'!A491 = "", "Validated", HYPERLINK("#" &amp; ADDRESS(491, '6161 - Wallpaper-WUO_TRK'!A491),_xlfn.TEXTAFTER('6161 - Wallpaper-WUO_ERR'!A491, ":"))))</f>
        <v>0</v>
      </c>
    </row>
    <row r="492" spans="1:1">
      <c r="A492" s="39">
        <f>IF('6161 - Wallpaper'!B492 = "", "", IF('6161 - Wallpaper-WUO_ERR'!A492 = "", "Validated", HYPERLINK("#" &amp; ADDRESS(492, '6161 - Wallpaper-WUO_TRK'!A492),_xlfn.TEXTAFTER('6161 - Wallpaper-WUO_ERR'!A492, ":"))))</f>
        <v>0</v>
      </c>
    </row>
    <row r="493" spans="1:1">
      <c r="A493" s="39">
        <f>IF('6161 - Wallpaper'!B493 = "", "", IF('6161 - Wallpaper-WUO_ERR'!A493 = "", "Validated", HYPERLINK("#" &amp; ADDRESS(493, '6161 - Wallpaper-WUO_TRK'!A493),_xlfn.TEXTAFTER('6161 - Wallpaper-WUO_ERR'!A493, ":"))))</f>
        <v>0</v>
      </c>
    </row>
    <row r="494" spans="1:1">
      <c r="A494" s="39">
        <f>IF('6161 - Wallpaper'!B494 = "", "", IF('6161 - Wallpaper-WUO_ERR'!A494 = "", "Validated", HYPERLINK("#" &amp; ADDRESS(494, '6161 - Wallpaper-WUO_TRK'!A494),_xlfn.TEXTAFTER('6161 - Wallpaper-WUO_ERR'!A494, ":"))))</f>
        <v>0</v>
      </c>
    </row>
    <row r="495" spans="1:1">
      <c r="A495" s="39">
        <f>IF('6161 - Wallpaper'!B495 = "", "", IF('6161 - Wallpaper-WUO_ERR'!A495 = "", "Validated", HYPERLINK("#" &amp; ADDRESS(495, '6161 - Wallpaper-WUO_TRK'!A495),_xlfn.TEXTAFTER('6161 - Wallpaper-WUO_ERR'!A495, ":"))))</f>
        <v>0</v>
      </c>
    </row>
    <row r="496" spans="1:1">
      <c r="A496" s="39">
        <f>IF('6161 - Wallpaper'!B496 = "", "", IF('6161 - Wallpaper-WUO_ERR'!A496 = "", "Validated", HYPERLINK("#" &amp; ADDRESS(496, '6161 - Wallpaper-WUO_TRK'!A496),_xlfn.TEXTAFTER('6161 - Wallpaper-WUO_ERR'!A496, ":"))))</f>
        <v>0</v>
      </c>
    </row>
    <row r="497" spans="1:1">
      <c r="A497" s="39">
        <f>IF('6161 - Wallpaper'!B497 = "", "", IF('6161 - Wallpaper-WUO_ERR'!A497 = "", "Validated", HYPERLINK("#" &amp; ADDRESS(497, '6161 - Wallpaper-WUO_TRK'!A497),_xlfn.TEXTAFTER('6161 - Wallpaper-WUO_ERR'!A497, ":"))))</f>
        <v>0</v>
      </c>
    </row>
    <row r="498" spans="1:1">
      <c r="A498" s="39">
        <f>IF('6161 - Wallpaper'!B498 = "", "", IF('6161 - Wallpaper-WUO_ERR'!A498 = "", "Validated", HYPERLINK("#" &amp; ADDRESS(498, '6161 - Wallpaper-WUO_TRK'!A498),_xlfn.TEXTAFTER('6161 - Wallpaper-WUO_ERR'!A498, ":"))))</f>
        <v>0</v>
      </c>
    </row>
    <row r="499" spans="1:1">
      <c r="A499" s="39">
        <f>IF('6161 - Wallpaper'!B499 = "", "", IF('6161 - Wallpaper-WUO_ERR'!A499 = "", "Validated", HYPERLINK("#" &amp; ADDRESS(499, '6161 - Wallpaper-WUO_TRK'!A499),_xlfn.TEXTAFTER('6161 - Wallpaper-WUO_ERR'!A499, ":"))))</f>
        <v>0</v>
      </c>
    </row>
    <row r="500" spans="1:1">
      <c r="A500" s="39">
        <f>IF('6161 - Wallpaper'!B500 = "", "", IF('6161 - Wallpaper-WUO_ERR'!A500 = "", "Validated", HYPERLINK("#" &amp; ADDRESS(500, '6161 - Wallpaper-WUO_TRK'!A500),_xlfn.TEXTAFTER('6161 - Wallpaper-WUO_ERR'!A500, ":"))))</f>
        <v>0</v>
      </c>
    </row>
    <row r="501" spans="1:1">
      <c r="A501" s="39">
        <f>IF('6161 - Wallpaper'!B501 = "", "", IF('6161 - Wallpaper-WUO_ERR'!A501 = "", "Validated", HYPERLINK("#" &amp; ADDRESS(501, '6161 - Wallpaper-WUO_TRK'!A501),_xlfn.TEXTAFTER('6161 - Wallpaper-WUO_ERR'!A501, ":"))))</f>
        <v>0</v>
      </c>
    </row>
    <row r="502" spans="1:1">
      <c r="A502" s="39">
        <f>IF('6161 - Wallpaper'!B502 = "", "", IF('6161 - Wallpaper-WUO_ERR'!A502 = "", "Validated", HYPERLINK("#" &amp; ADDRESS(502, '6161 - Wallpaper-WUO_TRK'!A502),_xlfn.TEXTAFTER('6161 - Wallpaper-WUO_ERR'!A502, ":"))))</f>
        <v>0</v>
      </c>
    </row>
    <row r="503" spans="1:1">
      <c r="A503" s="39">
        <f>IF('6161 - Wallpaper'!B503 = "", "", IF('6161 - Wallpaper-WUO_ERR'!A503 = "", "Validated", HYPERLINK("#" &amp; ADDRESS(503, '6161 - Wallpaper-WUO_TRK'!A503),_xlfn.TEXTAFTER('6161 - Wallpaper-WUO_ERR'!A503, ":"))))</f>
        <v>0</v>
      </c>
    </row>
    <row r="504" spans="1:1">
      <c r="A504" s="39">
        <f>IF('6161 - Wallpaper'!B504 = "", "", IF('6161 - Wallpaper-WUO_ERR'!A504 = "", "Validated", HYPERLINK("#" &amp; ADDRESS(504, '6161 - Wallpaper-WUO_TRK'!A504),_xlfn.TEXTAFTER('6161 - Wallpaper-WUO_ERR'!A504, ":"))))</f>
        <v>0</v>
      </c>
    </row>
    <row r="505" spans="1:1">
      <c r="A505" s="39">
        <f>IF('6161 - Wallpaper'!B505 = "", "", IF('6161 - Wallpaper-WUO_ERR'!A505 = "", "Validated", HYPERLINK("#" &amp; ADDRESS(505, '6161 - Wallpaper-WUO_TRK'!A505),_xlfn.TEXTAFTER('6161 - Wallpaper-WUO_ERR'!A505, ":"))))</f>
        <v>0</v>
      </c>
    </row>
    <row r="506" spans="1:1">
      <c r="A506" s="39">
        <f>IF('6161 - Wallpaper'!B506 = "", "", IF('6161 - Wallpaper-WUO_ERR'!A506 = "", "Validated", HYPERLINK("#" &amp; ADDRESS(506, '6161 - Wallpaper-WUO_TRK'!A506),_xlfn.TEXTAFTER('6161 - Wallpaper-WUO_ERR'!A506, ":"))))</f>
        <v>0</v>
      </c>
    </row>
    <row r="507" spans="1:1">
      <c r="A507" s="39">
        <f>IF('6161 - Wallpaper'!B507 = "", "", IF('6161 - Wallpaper-WUO_ERR'!A507 = "", "Validated", HYPERLINK("#" &amp; ADDRESS(507, '6161 - Wallpaper-WUO_TRK'!A507),_xlfn.TEXTAFTER('6161 - Wallpaper-WUO_ERR'!A507, ":"))))</f>
        <v>0</v>
      </c>
    </row>
  </sheetData>
  <sheetProtection password="B6B8" sheet="1" objects="1" scenarios="1" formatColumns="0" formatRows="0"/>
  <protectedRanges>
    <protectedRange sqref="B8:CR10000" name="Range1"/>
  </protectedRanges>
  <mergeCells count="9">
    <mergeCell ref="B2:I2"/>
    <mergeCell ref="J2:Q2"/>
    <mergeCell ref="R2:U2"/>
    <mergeCell ref="V2:AA2"/>
    <mergeCell ref="AB2:AL2"/>
    <mergeCell ref="AM2:AP2"/>
    <mergeCell ref="AQ2:BH2"/>
    <mergeCell ref="BI2:CN2"/>
    <mergeCell ref="CO2:CQ2"/>
  </mergeCells>
  <conditionalFormatting sqref="A8:A507">
    <cfRule type="expression" dxfId="4" priority="5">
      <formula>A8="Validated"</formula>
    </cfRule>
    <cfRule type="expression" dxfId="5" priority="6">
      <formula>OR(COUNTIF('6161 - Wallpaper-WUO_TRK'!B8:CR8,"Error"),COUNTIF('6161 - Wallpaper-WUO_TRK'!B8:CR8,"Required"))</formula>
    </cfRule>
    <cfRule type="expression" dxfId="6" priority="7">
      <formula>COUNTIF('6161 - Wallpaper-WUO_TRK'!B8:CR8,"Warning")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R507">
    <cfRule type="expression" dxfId="0" priority="1">
      <formula>'6161 - Wallpaper-WUO_TRK'!B8="Error"</formula>
    </cfRule>
    <cfRule type="expression" dxfId="1" priority="2">
      <formula>'6161 - Wallpaper-WUO_TRK'!B8="Required"</formula>
    </cfRule>
    <cfRule type="expression" dxfId="2" priority="3">
      <formula>'6161 - Wallpaper-WUO_TRK'!B8="Warning"</formula>
    </cfRule>
    <cfRule type="expression" dxfId="3" priority="4">
      <formula>'6161 - Wallpaper-WUO_TRK'!B8="Disabled"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CO7">
    <cfRule type="notContainsBlanks" dxfId="7" priority="218">
      <formula>LEN(TRIM(CO7))&gt;0</formula>
    </cfRule>
    <cfRule type="containsBlanks" dxfId="8" priority="219">
      <formula>LEN(TRIM(CO7))=0</formula>
    </cfRule>
  </conditionalFormatting>
  <conditionalFormatting sqref="CO8:CO2501">
    <cfRule type="expression" dxfId="7" priority="220">
      <formula>AND($CO$7&lt;&gt;"", CO8="")</formula>
    </cfRule>
  </conditionalFormatting>
  <conditionalFormatting sqref="CP7">
    <cfRule type="notContainsBlanks" dxfId="7" priority="221">
      <formula>LEN(TRIM(CP7))&gt;0</formula>
    </cfRule>
    <cfRule type="containsBlanks" dxfId="8" priority="222">
      <formula>LEN(TRIM(CP7))=0</formula>
    </cfRule>
  </conditionalFormatting>
  <conditionalFormatting sqref="CP8:CP2501">
    <cfRule type="expression" dxfId="7" priority="223">
      <formula>AND($CP$7&lt;&gt;"", CP8="")</formula>
    </cfRule>
  </conditionalFormatting>
  <conditionalFormatting sqref="CQ7">
    <cfRule type="notContainsBlanks" dxfId="7" priority="224">
      <formula>LEN(TRIM(CQ7))&gt;0</formula>
    </cfRule>
    <cfRule type="containsBlanks" dxfId="8" priority="225">
      <formula>LEN(TRIM(CQ7))=0</formula>
    </cfRule>
  </conditionalFormatting>
  <conditionalFormatting sqref="CQ8:CQ2501">
    <cfRule type="expression" dxfId="7" priority="226">
      <formula>AND($CQ$7&lt;&gt;"", CQ8="")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6">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'WAYFAIR_USE_ONLY'!$M$7:$M8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'WAYFAIR_USE_ONLY'!$W$7:$W10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'WAYFAIR_USE_ONLY'!$X$7:$X10</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'WAYFAIR_USE_ONLY'!$Q$7:$Q9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'WAYFAIR_USE_ONLY'!$R$7:$R25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Lead Time" prompt="Please select a valid Lead Time" sqref="AH8:AH2500">
      <formula1>'WAYFAIR_USE_ONLY'!$S$7:$S24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'WAYFAIR_USE_ONLY'!$T$7:$T13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'WAYFAIR_USE_ONLY'!$U$7:$U9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'WAYFAIR_USE_ONLY'!$V$7:$V9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I8:BI2500">
      <formula1>'WAYFAIR_USE_ONLY'!$B$7:$B15</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Wallpaper Texture" prompt="Please select a valid Wallpaper Texture" sqref="BK8:BK2500">
      <formula1>'WAYFAIR_USE_ONLY'!$C$7:$C13</formula1>
    </dataValidation>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Application Type" prompt="Please select a valid Application Type" sqref="BL8:BL2500">
      <formula1>'WAYFAIR_USE_ONLY'!$D$7:$D12</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allowBlank="1" showInputMessage="1" showErrorMessage="1" errorTitle="Invalid Country of Origin" error="The value provided is not a valid Country of Origin." promptTitle="Country of Origin" prompt="Please select a valid Country of Origin" sqref="BO8:BO2500">
      <formula1>'WAYFAIR_USE_ONLY'!$E$7:$E254</formula1>
    </dataValidation>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O7">
      <formula1>'WAYFAIR_USE_ONLY'!$E$7:$E254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BPA Free" prompt="Please select a valid BPA Free" sqref="BR8:BR2500">
      <formula1>'WAYFAIR_USE_ONLY'!$F$7:$F11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Pattern Repeat Frequency" prompt="Please enter Whole Number" sqref="BW8:BW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Pattern Interval" prompt="Please enter Number" sqref="BZ8:BZ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Overall Product Length - End to " prompt="Please enter Number" sqref="CE8:C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F8:CF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Square Footage per Unit" prompt="Please enter Number" sqref="CG8:CG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Overall Product Weight" prompt="Please enter Number" sqref="CH8:CH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I8:CI2500">
      <formula1>'WAYFAIR_USE_ONLY'!$H$7:$H10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'WAYFAIR_USE_ONLY'!$H$7:$H10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J8:CJ2500">
      <formula1>'WAYFAIR_USE_ONLY'!$G$7:$G32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'WAYFAIR_USE_ONLY'!$G$7:$G32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K8:CK2500">
      <formula1>'WAYFAIR_USE_ONLY'!$I$7:$I9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'WAYFAIR_USE_ONLY'!$I$7:$I9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L8:CL2500">
      <formula1>'WAYFAIR_USE_ONLY'!$J$7:$J9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'WAYFAIR_USE_ONLY'!$J$7:$J9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M8:CM2500">
      <formula1>'WAYFAIR_USE_ONLY'!$K$7:$K9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'WAYFAIR_USE_ONLY'!$K$7:$K9</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N8:CN2500">
      <formula1>'WAYFAIR_USE_ONLY'!$L$7:$L10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N7">
      <formula1>'WAYFAIR_USE_ONLY'!$L$7:$L10</formula1>
    </dataValidation>
    <dataValidation type="list" allowBlank="1" showInputMessage="1" showErrorMessage="1" errorTitle="Invalid Warning Required" error="The value provided is not a valid Warning Required." promptTitle="Warning Required" prompt="Please select a valid Warning Required" sqref="CO8:CO2500">
      <formula1>'WAYFAIR_USE_ONLY'!$O$7:$O9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O7">
      <formula1>'WAYFAIR_USE_ONLY'!$O$7:$O9</formula1>
    </dataValidation>
    <dataValidation type="list" allowBlank="1" showInputMessage="1" showErrorMessage="1" errorTitle="Invalid Chemical" error="The value provided is not a valid Chemical." promptTitle="Chemical" prompt="Please select a valid Chemical" sqref="CP8:CP2500">
      <formula1>'WAYFAIR_USE_ONLY'!$P$7:$P908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P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Q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N1" display="Please choose one or more from the following, using a semicolon (;) to separate each value: Abstract; Animal Print; Chevron; Damask; Floral; Geometric; Paisley; Plaid; Polka Dots; Striped; Toile; Brick; Solid Color; Stone; Wood &amp; Shiplap; Marble; Gingham; Camouflage; Ikat; Houndstooth; Patchwork; Ombre; Checkered; Argyle; No Pattern; Trellis; Dots; Starburst; Geometric Shapes; Irish Chain; Chevron / Zig Zag; Clear; Drunkard's Path; Moroccan; Oriental; Block Print; Arc; Vintage Look; Does Not Apply"/>
    <hyperlink ref="BK6" location="'Valid Values'!P1" display="Select"/>
    <hyperlink ref="BL6" location="'Valid Values'!R1" display="Select"/>
    <hyperlink ref="BM6" location="'Valid Values'!T1" display="Please choose one or more from the following, using a semicolon (;) to separate each value: Drop; Random; Straight; Unavailable; Does Not Apply"/>
    <hyperlink ref="BN6" location="'Valid Values'!V1" display="Please choose one or more from the following, using a semicolon (;) to separate each value: Peelable; Strippable; Solution Required; Unavailable; Does Not Apply"/>
    <hyperlink ref="BO6" location="'Valid Values'!X1" display="Select"/>
    <hyperlink ref="BP6" location="'Valid Values'!Z1" display="Please choose one or more from the following, using a semicolon (;) to separate each value: Made in USA; Made in USA of Imported Materials; Product of Canada; Made In Canada; Does Not Apply"/>
    <hyperlink ref="BQ6" location="'Valid Values'!AB1" display="Please choose one or more from the following, using a semicolon (;) to separate each value: Non Residential Use; Residential Use"/>
    <hyperlink ref="BS6" location="'Valid Values'!AD1" display="Please choose one or more from the following, using a semicolon (;) to separate each value: Mold / Mildew Resistant; Water Resistant; No Durability Features; Drip Free; Fade Resistant; Heat Resistant; Stain Resistant; Reinforced; Non-Porous; Fray Resistant; Non-Staining"/>
    <hyperlink ref="BT6" location="'Valid Values'!AF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U6" location="'Valid Values'!AH1" display="Please choose one or more from the following, using a semicolon (;) to separate each value: Wipe down with mild soap and water; Use product specific cleaner; Wipe clean with a dry cloth; Dust mop; Hand wash recommended; Spot clean only; Clean with soap and water; Clean spills immediately; Non-Abrasive, Neutral Ph Cleaner; Vacuum with no beater bar/rotating brush; Professional / Dry Clean Recommended; Vacuum with upholstery attachment; Avoid use of abrasive cleaners; Do not wash;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with cloth; Hand Wash Only - Towel Dry Immediately; Wipe Clean Only; Wipe clean with a damp cloth; Does Not Apply"/>
    <hyperlink ref="BV6" location="'Valid Values'!AJ1" display="Please choose one or more from the following, using a semicolon (;) to separate each value: Black; Brown; White; Green; Gray; Red; Beige; Yellow; Pink; Orange; Purple; Silver; Gold; Clear; Cream; Ivory; Tan; Teal; Navy; Blue"/>
    <hyperlink ref="BX6" location="'Valid Values'!AL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M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N1" display="Please choose one or more from the following, using a semicolon (;) to separate each value: Breathable; Dual Sided; Paintable / Stainable; No General Features"/>
    <hyperlink ref="CB6" location="'Valid Values'!AP1" display="Please choose one or more from the following, using a semicolon (;) to separate each value: Aluminum; Cast Iron; Fabric; Paper; Plastic; PVC; Steel; Solid Wood; Vinyl; Wood; Fleece; Grass Cloth; MDF; Non-Woven; Particle Board / Chipboard; Plywood / Laminate Board; Paper / Printed Veneer; Real Wood Veneer"/>
    <hyperlink ref="CC6" location="'Valid Values'!AR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D6" location="'Valid Values'!AT1" display="Please choose one or more from the following, using a semicolon (;) to separate each value: Satin; Gloss; Rubber Coated; Neoprene Dipped; Distressed; Glitter / Shimmer; Low-Gloss; Matte; Metallic; Primed; Semi Gloss; Does Not Apply"/>
    <hyperlink ref="CJ6" location="'Valid Values'!AV1" display="Select"/>
    <hyperlink ref="CK6" location="'Valid Values'!AX1" display="Select"/>
    <hyperlink ref="CL6" location="'Valid Values'!AY1" display="Select"/>
    <hyperlink ref="CP6" location="'Valid Values'!BA1" display="Select"/>
    <hyperlink ref="CQ6" location="'Valid Values'!BB1" display="Please choose one or more from the following, using a semicolon (;) to separate each value: Cancer; Developmental"/>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dimension ref="A1:CQ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22.7109375" style="22" customWidth="1"/>
    <col min="68" max="68" width="43.7109375" style="22" customWidth="1"/>
    <col min="69" max="69" width="39.7109375" style="22" customWidth="1"/>
    <col min="70" max="70" width="13.7109375" style="22" customWidth="1"/>
    <col min="71" max="71" width="15.7109375" style="22" customWidth="1"/>
    <col min="72" max="72" width="13.7109375" style="22" customWidth="1"/>
    <col min="73" max="73" width="17.7109375" style="22" customWidth="1"/>
    <col min="74" max="74" width="10.7109375" style="22" customWidth="1"/>
    <col min="75" max="75" width="29.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79.7109375" style="22" customWidth="1"/>
    <col min="93" max="93" width="21.7109375" style="22" customWidth="1"/>
    <col min="94" max="95" width="15.7109375" style="22" customWidth="1"/>
  </cols>
  <sheetData>
    <row r="1" spans="1:95"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2364</v>
      </c>
      <c r="BJ1" s="22" t="s">
        <v>2367</v>
      </c>
      <c r="BK1" s="22" t="s">
        <v>2371</v>
      </c>
      <c r="BL1" s="22" t="s">
        <v>2374</v>
      </c>
      <c r="BM1" s="22" t="s">
        <v>2377</v>
      </c>
      <c r="BN1" s="22" t="s">
        <v>2381</v>
      </c>
      <c r="BO1" s="22" t="s">
        <v>2385</v>
      </c>
      <c r="BP1" s="22" t="s">
        <v>2388</v>
      </c>
      <c r="BQ1" s="22" t="s">
        <v>2392</v>
      </c>
      <c r="BR1" s="22" t="s">
        <v>2396</v>
      </c>
      <c r="BS1" s="22" t="s">
        <v>2399</v>
      </c>
      <c r="BT1" s="22" t="s">
        <v>2403</v>
      </c>
      <c r="BU1" s="22" t="s">
        <v>2407</v>
      </c>
      <c r="BV1" s="22" t="s">
        <v>2411</v>
      </c>
      <c r="BW1" s="22" t="s">
        <v>2414</v>
      </c>
      <c r="BX1" s="22" t="s">
        <v>2417</v>
      </c>
      <c r="BY1" s="22" t="s">
        <v>2421</v>
      </c>
      <c r="BZ1" s="22" t="s">
        <v>2425</v>
      </c>
      <c r="CA1" s="22" t="s">
        <v>2428</v>
      </c>
      <c r="CB1" s="22" t="s">
        <v>2432</v>
      </c>
      <c r="CC1" s="22" t="s">
        <v>2436</v>
      </c>
      <c r="CD1" s="22" t="s">
        <v>2440</v>
      </c>
      <c r="CE1" s="22" t="s">
        <v>2444</v>
      </c>
      <c r="CF1" s="22" t="s">
        <v>2447</v>
      </c>
      <c r="CG1" s="22" t="s">
        <v>2450</v>
      </c>
      <c r="CH1" s="22" t="s">
        <v>2453</v>
      </c>
      <c r="CI1" s="22" t="s">
        <v>2456</v>
      </c>
      <c r="CJ1" s="22" t="s">
        <v>2459</v>
      </c>
      <c r="CK1" s="22" t="s">
        <v>2462</v>
      </c>
      <c r="CL1" s="22" t="s">
        <v>2465</v>
      </c>
      <c r="CM1" s="22" t="s">
        <v>2468</v>
      </c>
      <c r="CN1" s="22" t="s">
        <v>2471</v>
      </c>
      <c r="CO1" s="22" t="s">
        <v>2474</v>
      </c>
      <c r="CP1" s="22" t="s">
        <v>2477</v>
      </c>
      <c r="CQ1" s="22" t="s">
        <v>2480</v>
      </c>
    </row>
    <row r="2" spans="1:95">
      <c r="B2" s="23" t="s">
        <v>2484</v>
      </c>
      <c r="J2" s="24" t="s">
        <v>2485</v>
      </c>
      <c r="R2" s="25" t="s">
        <v>2486</v>
      </c>
      <c r="V2" s="26" t="s">
        <v>2487</v>
      </c>
      <c r="AB2" s="27" t="s">
        <v>2488</v>
      </c>
      <c r="AM2" s="28" t="s">
        <v>2489</v>
      </c>
      <c r="AQ2" s="29" t="s">
        <v>2490</v>
      </c>
      <c r="BI2" s="30" t="s">
        <v>2491</v>
      </c>
      <c r="CO2" s="31" t="s">
        <v>2492</v>
      </c>
    </row>
    <row r="3" spans="1:95">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58</v>
      </c>
      <c r="BP3" s="32" t="s">
        <v>62</v>
      </c>
      <c r="BQ3" s="32" t="s">
        <v>58</v>
      </c>
      <c r="BR3" s="32" t="s">
        <v>58</v>
      </c>
      <c r="BS3" s="32" t="s">
        <v>60</v>
      </c>
      <c r="BT3" s="32" t="s">
        <v>60</v>
      </c>
      <c r="BU3" s="32" t="s">
        <v>60</v>
      </c>
      <c r="BV3" s="32" t="s">
        <v>58</v>
      </c>
      <c r="BW3" s="32" t="s">
        <v>60</v>
      </c>
      <c r="BX3" s="32" t="s">
        <v>60</v>
      </c>
      <c r="BY3" s="32" t="s">
        <v>60</v>
      </c>
      <c r="BZ3" s="32" t="s">
        <v>60</v>
      </c>
      <c r="CA3" s="32" t="s">
        <v>60</v>
      </c>
      <c r="CB3" s="32" t="s">
        <v>58</v>
      </c>
      <c r="CC3" s="32" t="s">
        <v>60</v>
      </c>
      <c r="CD3" s="32" t="s">
        <v>58</v>
      </c>
      <c r="CE3" s="32" t="s">
        <v>58</v>
      </c>
      <c r="CF3" s="32" t="s">
        <v>58</v>
      </c>
      <c r="CG3" s="32" t="s">
        <v>58</v>
      </c>
      <c r="CH3" s="32" t="s">
        <v>58</v>
      </c>
      <c r="CI3" s="32" t="s">
        <v>58</v>
      </c>
      <c r="CJ3" s="32" t="s">
        <v>60</v>
      </c>
      <c r="CK3" s="32" t="s">
        <v>58</v>
      </c>
      <c r="CL3" s="32" t="s">
        <v>58</v>
      </c>
      <c r="CM3" s="32" t="s">
        <v>58</v>
      </c>
      <c r="CN3" s="32" t="s">
        <v>60</v>
      </c>
      <c r="CO3" s="32" t="s">
        <v>58</v>
      </c>
      <c r="CP3" s="32" t="s">
        <v>64</v>
      </c>
      <c r="CQ3" s="32" t="s">
        <v>64</v>
      </c>
    </row>
    <row r="4" spans="1:95" ht="50" customHeight="1">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2368</v>
      </c>
      <c r="BK4" s="19" t="s">
        <v>2372</v>
      </c>
      <c r="BL4" s="19" t="s">
        <v>2375</v>
      </c>
      <c r="BM4" s="19" t="s">
        <v>2378</v>
      </c>
      <c r="BN4" s="19" t="s">
        <v>2382</v>
      </c>
      <c r="BO4" s="19" t="s">
        <v>2386</v>
      </c>
      <c r="BP4" s="19" t="s">
        <v>2389</v>
      </c>
      <c r="BQ4" s="19" t="s">
        <v>2393</v>
      </c>
      <c r="BR4" s="19" t="s">
        <v>2397</v>
      </c>
      <c r="BS4" s="19" t="s">
        <v>2400</v>
      </c>
      <c r="BT4" s="19" t="s">
        <v>2404</v>
      </c>
      <c r="BU4" s="19" t="s">
        <v>2408</v>
      </c>
      <c r="BV4" s="19" t="s">
        <v>2160</v>
      </c>
      <c r="BW4" s="19" t="s">
        <v>2415</v>
      </c>
      <c r="BX4" s="19" t="s">
        <v>2418</v>
      </c>
      <c r="BY4" s="19" t="s">
        <v>2422</v>
      </c>
      <c r="BZ4" s="19" t="s">
        <v>2426</v>
      </c>
      <c r="CA4" s="19" t="s">
        <v>2429</v>
      </c>
      <c r="CB4" s="19" t="s">
        <v>2433</v>
      </c>
      <c r="CC4" s="19" t="s">
        <v>2437</v>
      </c>
      <c r="CD4" s="19" t="s">
        <v>2441</v>
      </c>
      <c r="CE4" s="19" t="s">
        <v>2445</v>
      </c>
      <c r="CF4" s="19" t="s">
        <v>2448</v>
      </c>
      <c r="CG4" s="19" t="s">
        <v>2451</v>
      </c>
      <c r="CH4" s="19" t="s">
        <v>2454</v>
      </c>
      <c r="CI4" s="33" t="s">
        <v>2457</v>
      </c>
      <c r="CJ4" s="34" t="s">
        <v>2460</v>
      </c>
      <c r="CK4" s="19" t="s">
        <v>2463</v>
      </c>
      <c r="CL4" s="19" t="s">
        <v>2466</v>
      </c>
      <c r="CM4" s="19" t="s">
        <v>2469</v>
      </c>
      <c r="CN4" s="19" t="s">
        <v>2472</v>
      </c>
      <c r="CO4" s="19" t="s">
        <v>2475</v>
      </c>
      <c r="CP4" s="19" t="s">
        <v>2478</v>
      </c>
      <c r="CQ4" s="19" t="s">
        <v>2481</v>
      </c>
    </row>
    <row r="5" spans="1:95" ht="50" customHeight="1">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2369</v>
      </c>
      <c r="BK5" s="35" t="s">
        <v>2373</v>
      </c>
      <c r="BL5" s="35" t="s">
        <v>2376</v>
      </c>
      <c r="BM5" s="35" t="s">
        <v>2379</v>
      </c>
      <c r="BN5" s="35" t="s">
        <v>2383</v>
      </c>
      <c r="BO5" s="35" t="s">
        <v>2387</v>
      </c>
      <c r="BP5" s="35" t="s">
        <v>2390</v>
      </c>
      <c r="BQ5" s="35" t="s">
        <v>2394</v>
      </c>
      <c r="BR5" s="35" t="s">
        <v>2398</v>
      </c>
      <c r="BS5" s="35" t="s">
        <v>2401</v>
      </c>
      <c r="BT5" s="35" t="s">
        <v>2405</v>
      </c>
      <c r="BU5" s="35" t="s">
        <v>2409</v>
      </c>
      <c r="BV5" s="35" t="s">
        <v>2412</v>
      </c>
      <c r="BW5" s="35" t="s">
        <v>2416</v>
      </c>
      <c r="BX5" s="35" t="s">
        <v>2419</v>
      </c>
      <c r="BY5" s="35" t="s">
        <v>2423</v>
      </c>
      <c r="BZ5" s="35" t="s">
        <v>2427</v>
      </c>
      <c r="CA5" s="35" t="s">
        <v>2430</v>
      </c>
      <c r="CB5" s="35" t="s">
        <v>2434</v>
      </c>
      <c r="CC5" s="35" t="s">
        <v>2438</v>
      </c>
      <c r="CD5" s="35" t="s">
        <v>2442</v>
      </c>
      <c r="CE5" s="35" t="s">
        <v>2446</v>
      </c>
      <c r="CF5" s="35" t="s">
        <v>2449</v>
      </c>
      <c r="CG5" s="35" t="s">
        <v>2452</v>
      </c>
      <c r="CH5" s="35" t="s">
        <v>2455</v>
      </c>
      <c r="CI5" s="35" t="s">
        <v>2458</v>
      </c>
      <c r="CJ5" s="35" t="s">
        <v>2461</v>
      </c>
      <c r="CK5" s="35" t="s">
        <v>2464</v>
      </c>
      <c r="CL5" s="35" t="s">
        <v>2467</v>
      </c>
      <c r="CM5" s="35" t="s">
        <v>2470</v>
      </c>
      <c r="CN5" s="35" t="s">
        <v>2473</v>
      </c>
      <c r="CO5" s="35" t="s">
        <v>2476</v>
      </c>
      <c r="CP5" s="35" t="s">
        <v>2479</v>
      </c>
      <c r="CQ5" s="35" t="s">
        <v>2482</v>
      </c>
    </row>
    <row r="6" spans="1:95" ht="50" customHeight="1">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2370</v>
      </c>
      <c r="BK6" s="36" t="s">
        <v>2231</v>
      </c>
      <c r="BL6" s="36" t="s">
        <v>2231</v>
      </c>
      <c r="BM6" s="36" t="s">
        <v>2380</v>
      </c>
      <c r="BN6" s="36" t="s">
        <v>2384</v>
      </c>
      <c r="BO6" s="36" t="s">
        <v>2231</v>
      </c>
      <c r="BP6" s="36" t="s">
        <v>2391</v>
      </c>
      <c r="BQ6" s="36" t="s">
        <v>2395</v>
      </c>
      <c r="BR6" s="35" t="s">
        <v>77</v>
      </c>
      <c r="BS6" s="36" t="s">
        <v>2402</v>
      </c>
      <c r="BT6" s="36" t="s">
        <v>3818</v>
      </c>
      <c r="BU6" s="36" t="s">
        <v>2410</v>
      </c>
      <c r="BV6" s="36" t="s">
        <v>2413</v>
      </c>
      <c r="BW6" s="35" t="s">
        <v>2289</v>
      </c>
      <c r="BX6" s="36" t="s">
        <v>4795</v>
      </c>
      <c r="BY6" s="36" t="s">
        <v>4971</v>
      </c>
      <c r="BZ6" s="35" t="s">
        <v>2266</v>
      </c>
      <c r="CA6" s="36" t="s">
        <v>2431</v>
      </c>
      <c r="CB6" s="36" t="s">
        <v>2435</v>
      </c>
      <c r="CC6" s="36" t="s">
        <v>2439</v>
      </c>
      <c r="CD6" s="36" t="s">
        <v>2443</v>
      </c>
      <c r="CE6" s="35" t="s">
        <v>2266</v>
      </c>
      <c r="CF6" s="35" t="s">
        <v>2266</v>
      </c>
      <c r="CG6" s="35" t="s">
        <v>2266</v>
      </c>
      <c r="CH6" s="35" t="s">
        <v>2266</v>
      </c>
      <c r="CI6" s="35" t="s">
        <v>77</v>
      </c>
      <c r="CJ6" s="36" t="s">
        <v>2231</v>
      </c>
      <c r="CK6" s="36" t="s">
        <v>2231</v>
      </c>
      <c r="CL6" s="36" t="s">
        <v>2231</v>
      </c>
      <c r="CM6" s="35" t="s">
        <v>77</v>
      </c>
      <c r="CN6" s="35" t="s">
        <v>77</v>
      </c>
      <c r="CO6" s="35" t="s">
        <v>77</v>
      </c>
      <c r="CP6" s="36" t="s">
        <v>2231</v>
      </c>
      <c r="CQ6" s="36" t="s">
        <v>2483</v>
      </c>
    </row>
    <row r="7" spans="1:95">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cm="1">
        <f t="array" ref="A8">_xlfn.BYROW(B8:CR507,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_xlfn.MAP('6161 - Wallpaper'!B8:B507, '6161 - Wallpaper'!B8:B507,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IF(OR('6161 - Wallpaper'!B$7 = "", '6161 - Wallpaper'!B$7 = "N/A"), "3:Supplier Part Number - Value is required", ""), ""))))))))</f>
        <v>0</v>
      </c>
      <c r="C8" s="22" cm="1">
        <f t="array" ref="C8">_xlfn.MAP('6161 - Wallpaper'!B8:B507, '6161 - Wallpaper'!C8:C507, _xlfn.LAMBDA(_xlpm.part, _xlpm.val, IF(_xlpm.part = "", "", IF(AND(_xlpm.val = "", C$3="Required"), IF(OR('6161 - Wallpaper'!C$7 = "", '6161 - Wallpaper'!C$7 = "N/A"), "3:Amazon Seller SKU - Value is required", ""), ""))))</f>
        <v>0</v>
      </c>
      <c r="D8" s="22" cm="1">
        <f t="array" ref="D8">_xlfn.MAP('6161 - Wallpaper'!B8:B507, '6161 - Wallpaper'!D8:D507, '6161 - Wallpaper'!J8:J507, _xlfn.LAMBDA(_xlpm.part, _xlpm.val, _xlpm.dep1, IF(_xlpm.part = "", "", _xlfn.LET(_xlpm.check1, IF(AND(_xlpm.val = "", _xlpm.dep1 = "NON-PRIMARY VARIANT"), "2:Autofill", ""), IF(LEN(_xlpm.check1) &gt; 0, _xlpm.check1, IF(AND(_xlpm.val = "", D$3="Required"), IF(OR('6161 - Wallpaper'!D$7 = "", '6161 - Wallpaper'!D$7 = "N/A"), "3:Brand - Value is required", ""), ""))))))</f>
        <v>0</v>
      </c>
      <c r="E8" s="22" cm="1">
        <f t="array" ref="E8">_xlfn.MAP('6161 - Wallpaper'!B8:B507, '6161 - Wallpaper'!E8:E507,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IF(OR('6161 - Wallpaper'!E$7 = "", '6161 - Wallpaper'!E$7 = "N/A"), "3:Manufacturer Part Number - Value is required", ""), ""))))))))))</f>
        <v>0</v>
      </c>
      <c r="F8" s="22" cm="1">
        <f t="array" ref="F8">_xlfn.MAP('6161 - Wallpaper'!B8:B507, '6161 - Wallpaper'!F8:F507,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IF(OR('6161 - Wallpaper'!F$7 = "", '6161 - Wallpaper'!F$7 = "N/A"), "3:Universal Product Code - Value is required", ""), ""))))))))</f>
        <v>0</v>
      </c>
      <c r="G8" s="22" cm="1">
        <f t="array" ref="G8">_xlfn.MAP('6161 - Wallpaper'!B8:B507, '6161 - Wallpaper'!G8:G507, _xlfn.LAMBDA(_xlpm.part, _xlpm.val, IF(_xlpm.part = "", "", _xlfn.LET(_xlpm.check1, IF(OR(ISNUMBER(SEARCH({"&lt;","&gt;","^","Ø","•","‣","⁃","⁌","™","∙","⌀","◦"}, _xlpm.val))), "1:Product name cannot contain special characters ([™Ø⌀•‣◦⁃⁌⁍∙&lt;&gt;])", ""), IF(LEN(_xlpm.check1) &gt; 0, _xlpm.check1, IF(AND(_xlpm.val = "", G$3="Required"), IF(OR('6161 - Wallpaper'!G$7 = "", '6161 - Wallpaper'!G$7 = "N/A"), "3:Product Name - Value is required", ""), ""))))))</f>
        <v>0</v>
      </c>
      <c r="H8" s="22" cm="1">
        <f t="array" ref="H8">_xlfn.MAP('6161 - Wallpaper'!B8:B507, '6161 - Wallpaper'!H8:H507, '6161 - Wallpaper'!J8:J507, _xlfn.LAMBDA(_xlpm.part, _xlpm.val, _xlpm.dep1, IF(_xlpm.part = "", "", _xlfn.LET(_xlpm.check1, IF(AND(_xlpm.val = "", _xlpm.dep1 = "NON-PRIMARY VARIANT"), "2:Autofill", ""), IF(LEN(_xlpm.check1) &gt; 0, _xlpm.check1, IF(AND(_xlpm.val = "", H$3="Required"), IF(OR('6161 - Wallpaper'!H$7 = "", '6161 - Wallpaper'!H$7 = "N/A"), "3:Collection Name - Value is required", ""), ""))))))</f>
        <v>0</v>
      </c>
      <c r="I8" s="22" cm="1">
        <f t="array" ref="I8">_xlfn.MAP('6161 - Wallpaper'!B8:B507, '6161 - Wallpaper'!I8:I507, _xlfn.LAMBDA(_xlpm.part, _xlpm.val, IF(_xlpm.part = "", "", IF(AND(_xlpm.val = "", I$3="Required"), IF(OR('6161 - Wallpaper'!I$7 = "", '6161 - Wallpaper'!I$7 = "N/A"), "3:Manufacturer Product URL - Value is required", ""), ""))))</f>
        <v>0</v>
      </c>
      <c r="J8" s="22" cm="1">
        <f t="array" ref="J8">_xlfn.MAP('6161 - Wallpaper'!B8:B507, '6161 - Wallpaper'!J8:J507, _xlfn.LAMBDA(_xlpm.part, _xlpm.val, IF(_xlpm.part = "", "", IF(AND(_xlpm.val = "", J$3="Required"), IF(OR('6161 - Wallpaper'!J$7 = "", '6161 - Wallpaper'!J$7 = "N/A"), "3:Variant Type - Value is required", ""), ""))))</f>
        <v>0</v>
      </c>
      <c r="K8" s="22" cm="1">
        <f t="array" ref="K8">_xlfn.MAP('6161 - Wallpaper'!B8:B507, '6161 - Wallpaper'!K8:K507, '6161 - Wallpaper'!J8:J507,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IF(OR('6161 - Wallpaper'!K$7 = "", '6161 - Wallpaper'!K$7 = "N/A"), "3:Group Reference ID - Value is required", ""), ""), IF(LEN(_xlpm.check2) &gt; 0, _xlpm.check2, _xlfn.LET(_xlpm.check3, IF(_xlpm.dep1 = "PRIMARY VARIANT", IF(_xlpm.val = "", IF(OR('6161 - Wallpaper'!K$7 = "", '6161 - Wallpaper'!K$7 = "N/A"), "3:Variant Group Reference Id is required for primary-variant", ""), ""), ""), IF(LEN(_xlpm.check3) &gt; 0, _xlpm.check3, IF(_xlpm.dep1 = "NON-PRIMARY VARIANT", IF(_xlpm.val = "", IF(OR('6161 - Wallpaper'!K$7 = "", '6161 - Wallpaper'!K$7 = "N/A"), "3:Variant Group Reference Id is required for non-primary variant", ""), ""), ""))))))))))</f>
        <v>0</v>
      </c>
      <c r="L8" s="22" cm="1">
        <f t="array" ref="L8">_xlfn.MAP('6161 - Wallpaper'!B8:B507, '6161 - Wallpaper'!L8:L507,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IF(OR('6161 - Wallpaper'!L$7 = "", '6161 - Wallpaper'!L$7 = "N/A"), "3:Variant Grouping - Value is required", ""), ""), IF(LEN(_xlpm.check3) &gt; 0, _xlpm.check3, IF(_xlpm.dep1 = "PRIMARY VARIANT", IF(_xlpm.val = "", IF(OR('6161 - Wallpaper'!L$7 = "", '6161 - Wallpaper'!L$7 = "N/A"), "3:Variant grouping value must be specified for primary variant", ""), ""), ""))))))))))</f>
        <v>0</v>
      </c>
      <c r="M8" s="22" cm="1">
        <f t="array" ref="M8">_xlfn.MAP('6161 - Wallpaper'!B8:B507, '6161 - Wallpaper'!M8:M507, '6161 - Wallpaper'!J8:J507, '6161 - Wallpaper'!L8:L507,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IF(OR('6161 - Wallpaper'!M$7 = "", '6161 - Wallpaper'!M$7 = "N/A"), "3:Variant Attribute Name On Site - Value is required", ""), ""), IF(LEN(_xlpm.check3) &gt; 0, _xlpm.check3, _xlfn.LET(_xlpm.check4, IF(AND(_xlpm.dep2 &lt;&gt; "", _xlpm.dep2 &lt;&gt; "Color"), IF(_xlpm.val = "", IF(OR('6161 - Wallpaper'!M$7 = "", '6161 - Wallpaper'!M$7 = "N/A"), "3:Name on site is required when variant grouping value is provided", ""), ""), ""), IF(LEN(_xlpm.check4) &gt; 0, _xlpm.check4, IF(AND(_xlpm.dep2 &lt;&gt; "", _xlpm.dep2 &lt;&gt; "Color", _xlpm.dep2 &lt;&gt; "Size"), IF(_xlpm.val = "", IF(OR('6161 - Wallpaper'!M$7 = "", '6161 - Wallpaper'!M$7 = "N/A"), "3:Name on site is required when variant grouping value is provided", ""), ""), ""))))))))))))</f>
        <v>0</v>
      </c>
      <c r="N8" s="22" cm="1">
        <f t="array" ref="N8">_xlfn.MAP('6161 - Wallpaper'!B8:B507, '6161 - Wallpaper'!N8:N507,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IF(OR('6161 - Wallpaper'!N$7 = "", '6161 - Wallpaper'!N$7 = "N/A"), "3:Variant Grouping - Value is required", ""), ""))))))))</f>
        <v>0</v>
      </c>
      <c r="O8" s="22" cm="1">
        <f t="array" ref="O8">_xlfn.MAP('6161 - Wallpaper'!B8:B507, '6161 - Wallpaper'!O8:O507, '6161 - Wallpaper'!J8:J507, '6161 - Wallpaper'!N8:N507,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IF(OR('6161 - Wallpaper'!O$7 = "", '6161 - Wallpaper'!O$7 = "N/A"), "3:Variant Attribute Name On Site - Value is required", ""), ""), IF(LEN(_xlpm.check3) &gt; 0, _xlpm.check3, _xlfn.LET(_xlpm.check4, IF(AND(_xlpm.dep2 &lt;&gt; "", _xlpm.dep2 &lt;&gt; "Color"), IF(_xlpm.val = "", IF(OR('6161 - Wallpaper'!O$7 = "", '6161 - Wallpaper'!O$7 = "N/A"), "3:Name on site is required when variant grouping value is provided", ""), ""), ""), IF(LEN(_xlpm.check4) &gt; 0, _xlpm.check4, IF(AND(_xlpm.dep2 &lt;&gt; "", _xlpm.dep2 &lt;&gt; "Color", _xlpm.dep2 &lt;&gt; "Size"), IF(_xlpm.val = "", IF(OR('6161 - Wallpaper'!O$7 = "", '6161 - Wallpaper'!O$7 = "N/A"), "3:Name on site is required when variant grouping value is provided", ""), ""), ""))))))))))))</f>
        <v>0</v>
      </c>
      <c r="P8" s="22" cm="1">
        <f t="array" ref="P8">_xlfn.MAP('6161 - Wallpaper'!B8:B507, '6161 - Wallpaper'!P8:P507, '6161 - Wallpaper'!J8:J507,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IF(OR('6161 - Wallpaper'!P$7 = "", '6161 - Wallpaper'!P$7 = "N/A"), "3:Variant Grouping - Value is required", ""), ""))))))))</f>
        <v>0</v>
      </c>
      <c r="Q8" s="22" cm="1">
        <f t="array" ref="Q8">_xlfn.MAP('6161 - Wallpaper'!B8:B507, '6161 - Wallpaper'!Q8:Q507, '6161 - Wallpaper'!J8:J507, '6161 - Wallpaper'!P8:P507,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IF(OR('6161 - Wallpaper'!Q$7 = "", '6161 - Wallpaper'!Q$7 = "N/A"), "3:Variant Attribute Name On Site - Value is required", ""), ""), IF(LEN(_xlpm.check3) &gt; 0, _xlpm.check3, _xlfn.LET(_xlpm.check4, IF(AND(_xlpm.dep2 &lt;&gt; "", _xlpm.dep2 &lt;&gt; "Color"), IF(_xlpm.val = "", IF(OR('6161 - Wallpaper'!Q$7 = "", '6161 - Wallpaper'!Q$7 = "N/A"), "3:Name on site is required when variant grouping value is provided", ""), ""), ""), IF(LEN(_xlpm.check4) &gt; 0, _xlpm.check4, IF(AND(_xlpm.dep2 &lt;&gt; "", _xlpm.dep2 &lt;&gt; "Color", _xlpm.dep2 &lt;&gt; "Size"), IF(_xlpm.val = "", IF(OR('6161 - Wallpaper'!Q$7 = "", '6161 - Wallpaper'!Q$7 = "N/A"), "3:Name on site is required when variant grouping value is provided", ""), ""), ""))))))))))))</f>
        <v>0</v>
      </c>
      <c r="R8" s="22" cm="1">
        <f t="array" ref="R8">_xlfn.MAP('6161 - Wallpaper'!B8:B507, '6161 - Wallpaper'!R8:R507, _xlfn.LAMBDA(_xlpm.part, _xlpm.val, IF(_xlpm.part = "", "", _xlfn.LET(_xlpm.check1, IF(AND(NOT(ISBLANK(_xlpm.val)),OR(NOT(ISNUMBER(IFERROR(VALUE(_xlpm.val), ""))), IFERROR(VALUE(_xlpm.val), -1) &lt; 0)), "1:Base Cost - Value should be numeric", ""), IF(LEN(_xlpm.check1) &gt; 0, _xlpm.check1, IF(AND(_xlpm.val = "", R$3="Required"), IF(OR('6161 - Wallpaper'!R$7 = "", '6161 - Wallpaper'!R$7 = "N/A"), "3:Base Cost - Value is required", ""), ""))))))</f>
        <v>0</v>
      </c>
      <c r="S8" s="22" cm="1">
        <f t="array" ref="S8">_xlfn.MAP('6161 - Wallpaper'!B8:B507, '6161 - Wallpaper'!S8:S507, _xlfn.LAMBDA(_xlpm.part, _xlpm.val, IF(_xlpm.part = "", "", _xlfn.LET(_xlpm.check1, IF(AND(NOT(ISBLANK(_xlpm.val)),OR(NOT(ISNUMBER(IFERROR(VALUE(_xlpm.val), ""))), IFERROR(VALUE(_xlpm.val), -1) &lt; 0)), "1:Minimum Advertised Price - Value should be numeric", ""), IF(LEN(_xlpm.check1) &gt; 0, _xlpm.check1, IF(AND(_xlpm.val = "", S$3="Required"), IF(OR('6161 - Wallpaper'!S$7 = "", '6161 - Wallpaper'!S$7 = "N/A"), "3:Minimum Advertised Price - Value is required", ""), ""))))))</f>
        <v>0</v>
      </c>
      <c r="T8" s="22" cm="1">
        <f t="array" ref="T8">_xlfn.MAP('6161 - Wallpaper'!B8:B507, '6161 - Wallpaper'!T8:T507,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IF(OR('6161 - Wallpaper'!T$7 = "", '6161 - Wallpaper'!T$7 = "N/A"), "3:Manufacturer Suggested Retail Price - Value is required", ""), ""))))))</f>
        <v>0</v>
      </c>
      <c r="U8" s="22" cm="1">
        <f t="array" ref="U8">_xlfn.MAP('6161 - Wallpaper'!B8:B507, '6161 - Wallpaper'!U8:U507, _xlfn.LAMBDA(_xlpm.part, _xlpm.val, IF(_xlpm.part = "", "", _xlfn.LET(_xlpm.check1, IF(AND(NOT(ISBLANK(_xlpm.val)),OR(NOT(ISNUMBER(IFERROR(VALUE(_xlpm.val), ""))), IFERROR(VALUE(_xlpm.val), -1) &lt; 0)), "1:Everyday B2B Discount Rate - Value should be numeric", ""), IF(LEN(_xlpm.check1) &gt; 0, _xlpm.check1, IF(AND(_xlpm.val = "", U$3="Required"), IF(OR('6161 - Wallpaper'!U$7 = "", '6161 - Wallpaper'!U$7 = "N/A"), "3:Everyday B2B Discount Rate - Value is required", ""), ""))))))</f>
        <v>0</v>
      </c>
      <c r="V8" s="22" cm="1">
        <f t="array" ref="V8">_xlfn.MAP('6161 - Wallpaper'!B8:B507, '6161 - Wallpaper'!V8:V507, '6161 - Wallpaper'!J8:J507, '6161 - Wallpaper'!W8:W507, '6161 - Wallpaper'!X8:X507, '6161 - Wallpaper'!Y8:Y507,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IF(OR('6161 - Wallpaper'!V$7 = "", '6161 - Wallpaper'!V$7 = "N/A"), "3:Marketing Copy - Value is required", ""), ""), IF(LEN(_xlpm.check4) &gt; 0, _xlpm.check4, IF(OR(_xlpm.dep2 = "", _xlpm.dep3 = "", _xlpm.dep4 = ""), IF(_xlpm.val = "", IF(OR('6161 - Wallpaper'!V$7 = "", '6161 - Wallpaper'!V$7 = "N/A"), "3:Either the Marketing Copy or at least three Feature Bullets are required for this part.", ""), ""), ""))))))))))))</f>
        <v>0</v>
      </c>
      <c r="W8" s="22" cm="1">
        <f t="array" ref="W8">_xlfn.MAP('6161 - Wallpaper'!B8:B507, '6161 - Wallpaper'!W8:W507, '6161 - Wallpaper'!J8:J507, '6161 - Wallpaper'!X8:X507,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IF(OR('6161 - Wallpaper'!W$7 = "", '6161 - Wallpaper'!W$7 = "N/A"), "3:Feature Bullet - Value is required", ""), ""), IF(LEN(_xlpm.check3) &gt; 0, _xlpm.check3, _xlfn.LET(_xlpm.check4, IF(AND(AND(_xlpm.dep2 = "", _xlpm.dep3 = ""), _xlpm.dep4 = ""), IF(_xlpm.val = "", IF(OR('6161 - Wallpaper'!W$7 = "", '6161 - Wallpaper'!W$7 = "N/A"), "3:Either the Marketing Copy or at least three Feature Bullets are required for this part.", ""), ""), ""), IF(LEN(_xlpm.check4) &gt; 0, _xlpm.check4, IF(_xlpm.dep4 = "", IF(_xlpm.val = "", IF(OR('6161 - Wallpaper'!W$7 = "", '6161 - Wallpaper'!W$7 = "N/A"), "3:Three feature bullets must be filled", ""), ""), ""))))))))))))</f>
        <v>0</v>
      </c>
      <c r="X8" s="22" cm="1">
        <f t="array" ref="X8">_xlfn.MAP('6161 - Wallpaper'!B8:B507, '6161 - Wallpaper'!X8:X507, '6161 - Wallpaper'!J8:J507, '6161 - Wallpaper'!W8:W507, '6161 - Wallpaper'!Y8:Y507,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IF(OR('6161 - Wallpaper'!X$7 = "", '6161 - Wallpaper'!X$7 = "N/A"), "3:Feature Bullet - Value is required", ""), ""), IF(LEN(_xlpm.check3) &gt; 0, _xlpm.check3, _xlfn.LET(_xlpm.check4, IF(AND(AND(_xlpm.dep2 = "", _xlpm.dep3 = ""), _xlpm.dep4 = ""), IF(_xlpm.val = "", IF(OR('6161 - Wallpaper'!X$7 = "", '6161 - Wallpaper'!X$7 = "N/A"), "3:Either the Marketing Copy or at least three Feature Bullets are required for this part.", ""), ""), ""), IF(LEN(_xlpm.check4) &gt; 0, _xlpm.check4, IF(_xlpm.dep4 = "", IF(_xlpm.val = "", IF(OR('6161 - Wallpaper'!X$7 = "", '6161 - Wallpaper'!X$7 = "N/A"), "3:Three feature bullets must be filled", ""), ""), ""))))))))))))</f>
        <v>0</v>
      </c>
      <c r="Y8" s="22" cm="1">
        <f t="array" ref="Y8">_xlfn.MAP('6161 - Wallpaper'!B8:B507, '6161 - Wallpaper'!Y8:Y507, '6161 - Wallpaper'!J8:J507, '6161 - Wallpaper'!W8:W507, '6161 - Wallpaper'!X8:X507, '6161 - Wallpaper'!V8:V507,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IF(OR('6161 - Wallpaper'!Y$7 = "", '6161 - Wallpaper'!Y$7 = "N/A"), "3:Feature Bullet - Value is required", ""), ""), IF(LEN(_xlpm.check3) &gt; 0, _xlpm.check3, _xlfn.LET(_xlpm.check4, IF(AND(AND(_xlpm.dep2 = "", _xlpm.dep3 = ""), _xlpm.dep4 = ""), IF(_xlpm.val = "", IF(OR('6161 - Wallpaper'!Y$7 = "", '6161 - Wallpaper'!Y$7 = "N/A"), "3:Either the Marketing Copy or at least three Feature Bullets are required for this part.", ""), ""), ""), IF(LEN(_xlpm.check4) &gt; 0, _xlpm.check4, IF(_xlpm.dep4 = "", IF(_xlpm.val = "", IF(OR('6161 - Wallpaper'!Y$7 = "", '6161 - Wallpaper'!Y$7 = "N/A"), "3:Three feature bullets must be filled", ""), ""), ""))))))))))))</f>
        <v>0</v>
      </c>
      <c r="Z8" s="22" cm="1">
        <f t="array" ref="Z8">_xlfn.MAP('6161 - Wallpaper'!B8:B507, '6161 - Wallpaper'!Z8:Z507,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IF(OR('6161 - Wallpaper'!Z$7 = "", '6161 - Wallpaper'!Z$7 = "N/A"), "3:Feature Bullet - Value is required", ""), ""))))))))</f>
        <v>0</v>
      </c>
      <c r="AA8" s="22" cm="1">
        <f t="array" ref="AA8">_xlfn.MAP('6161 - Wallpaper'!B8:B507, '6161 - Wallpaper'!AA8:AA507, '6161 - Wallpaper'!J8:J507,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IF(OR('6161 - Wallpaper'!AA$7 = "", '6161 - Wallpaper'!AA$7 = "N/A"), "3:Feature Bullet - Value is required", ""), ""))))))))</f>
        <v>0</v>
      </c>
      <c r="AB8" s="22" cm="1">
        <f t="array" ref="AB8">_xlfn.MAP('6161 - Wallpaper'!B8:B507, '6161 - Wallpaper'!AB8:AB507,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IF(OR('6161 - Wallpaper'!AB$7 = "", '6161 - Wallpaper'!AB$7 = "N/A"), "3:Minimum Order Quantity - Value is required", ""), ""))))))))))))</f>
        <v>0</v>
      </c>
      <c r="AC8" s="22" cm="1">
        <f t="array" ref="AC8">_xlfn.MAP('6161 - Wallpaper'!B8:B507, '6161 - Wallpaper'!AC8:AC507,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IF(OR('6161 - Wallpaper'!AC$7 = "", '6161 - Wallpaper'!AC$7 = "N/A"), "3:Force Quantity Multiplier - Value is required", ""), ""))))))))))))</f>
        <v>0</v>
      </c>
      <c r="AD8" s="22" cm="1">
        <f t="array" ref="AD8">_xlfn.MAP('6161 - Wallpaper'!B8:B507, '6161 - Wallpaper'!AD8:AD507,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IF(OR('6161 - Wallpaper'!AD$7 = "", '6161 - Wallpaper'!AD$7 = "N/A"), "3:Display Set Quantity - Value is required", ""), ""))))))))))))</f>
        <v>0</v>
      </c>
      <c r="AE8" s="22" cm="1">
        <f t="array" ref="AE8">_xlfn.MAP('6161 - Wallpaper'!B8:B507, '6161 - Wallpaper'!AE8:AE507, '6161 - Wallpaper'!J8:J507,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IF(OR('6161 - Wallpaper'!AE$7 = "", '6161 - Wallpaper'!AE$7 = "N/A"), "3:Product Weight - Value is required", ""), ""))))))))))</f>
        <v>0</v>
      </c>
      <c r="AF8" s="22" cm="1">
        <f t="array" ref="AF8">_xlfn.MAP('6161 - Wallpaper'!B8:B507, '6161 - Wallpaper'!AF8:AF507, '6161 - Wallpaper'!J8:J507, _xlfn.LAMBDA(_xlpm.part, _xlpm.val, _xlpm.dep1, IF(_xlpm.part = "", "", _xlfn.LET(_xlpm.check1, IF(AND(_xlpm.val = "", _xlpm.dep1 = "NON-PRIMARY VARIANT"), "2:Autofill", ""), IF(LEN(_xlpm.check1) &gt; 0, _xlpm.check1, IF(AND(_xlpm.val = "", AF$3="Required"), IF(OR('6161 - Wallpaper'!AF$7 = "", '6161 - Wallpaper'!AF$7 = "N/A"), "3:Ship Type - Value is required", ""), ""))))))</f>
        <v>0</v>
      </c>
      <c r="AG8" s="22" cm="1">
        <f t="array" ref="AG8">_xlfn.MAP('6161 - Wallpaper'!B8:B507, '6161 - Wallpaper'!AG8:AG507, '6161 - Wallpaper'!J8:J507, _xlfn.LAMBDA(_xlpm.part, _xlpm.val, _xlpm.dep1, IF(_xlpm.part = "", "", _xlfn.LET(_xlpm.check1, IF(AND(_xlpm.val = "", _xlpm.dep1 = "NON-PRIMARY VARIANT"), "2:Autofill", ""), IF(LEN(_xlpm.check1) &gt; 0, _xlpm.check1, IF(AND(_xlpm.val = "", AG$3="Required"), IF(OR('6161 - Wallpaper'!AG$7 = "", '6161 - Wallpaper'!AG$7 = "N/A"), "3:Freight Class - Value is required", ""), ""))))))</f>
        <v>0</v>
      </c>
      <c r="AH8" s="22" cm="1">
        <f t="array" ref="AH8">_xlfn.MAP('6161 - Wallpaper'!B8:B507, '6161 - Wallpaper'!AH8:AH507, '6161 - Wallpaper'!J8:J507, _xlfn.LAMBDA(_xlpm.part, _xlpm.val, _xlpm.dep1, IF(_xlpm.part = "", "", _xlfn.LET(_xlpm.check1, IF(AND(_xlpm.val = "", _xlpm.dep1 = "NON-PRIMARY VARIANT"), "2:Autofill", ""), IF(LEN(_xlpm.check1) &gt; 0, _xlpm.check1, IF(AND(_xlpm.val = "", AH$3="Required"), IF(OR('6161 - Wallpaper'!AH$7 = "", '6161 - Wallpaper'!AH$7 = "N/A"), "3:Lead Time - Value is required", ""), ""))))))</f>
        <v>0</v>
      </c>
      <c r="AI8" s="22" cm="1">
        <f t="array" ref="AI8">_xlfn.MAP('6161 - Wallpaper'!B8:B507, '6161 - Wallpaper'!AI8:AI507, '6161 - Wallpaper'!J8:J507, _xlfn.LAMBDA(_xlpm.part, _xlpm.val, _xlpm.dep1, IF(_xlpm.part = "", "", _xlfn.LET(_xlpm.check1, IF(AND(_xlpm.val = "", _xlpm.dep1 = "NON-PRIMARY VARIANT"), "2:Autofill", ""), IF(LEN(_xlpm.check1) &gt; 0, _xlpm.check1, IF(AND(_xlpm.val = "", AI$3="Required"), IF(OR('6161 - Wallpaper'!AI$7 = "", '6161 - Wallpaper'!AI$7 = "N/A"), "3:Replacement Lead Time - Value is required", ""), ""))))))</f>
        <v>0</v>
      </c>
      <c r="AJ8" s="22" cm="1">
        <f t="array" ref="AJ8">_xlfn.MAP('6161 - Wallpaper'!B8:B507, '6161 - Wallpaper'!AJ8:AJ507, '6161 - Wallpaper'!J8:J507,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IF(OR('6161 - Wallpaper'!AJ$7 = "", '6161 - Wallpaper'!AJ$7 = "N/A"), "3:National Motor Freight Class - Value is required", ""), ""))))))))</f>
        <v>0</v>
      </c>
      <c r="AK8" s="22" cm="1">
        <f t="array" ref="AK8">_xlfn.MAP('6161 - Wallpaper'!B8:B507, '6161 - Wallpaper'!AK8:AK507, '6161 - Wallpaper'!J8:J507, _xlfn.LAMBDA(_xlpm.part, _xlpm.val, _xlpm.dep1, IF(_xlpm.part = "", "", _xlfn.LET(_xlpm.check1, IF(AND(_xlpm.val = "", _xlpm.dep1 = "NON-PRIMARY VARIANT"), "2:Autofill", ""), IF(LEN(_xlpm.check1) &gt; 0, _xlpm.check1, IF(AND(_xlpm.val = "", AK$3="Required"), IF(OR('6161 - Wallpaper'!AK$7 = "", '6161 - Wallpaper'!AK$7 = "N/A"), "3:Flat Pack - Value is required", ""), ""))))))</f>
        <v>0</v>
      </c>
      <c r="AL8" s="22" cm="1">
        <f t="array" ref="AL8">_xlfn.MAP('6161 - Wallpaper'!B8:B507, '6161 - Wallpaper'!AL8:AL507, '6161 - Wallpaper'!J8:J507, _xlfn.LAMBDA(_xlpm.part, _xlpm.val, _xlpm.dep1, IF(_xlpm.part = "", "", _xlfn.LET(_xlpm.check1, IF(AND(_xlpm.val = "", _xlpm.dep1 = "NON-PRIMARY VARIANT"), "2:Autofill", ""), IF(LEN(_xlpm.check1) &gt; 0, _xlpm.check1, IF(AND(_xlpm.val = "", AL$3="Required"), IF(OR('6161 - Wallpaper'!AL$7 = "", '6161 - Wallpaper'!AL$7 = "N/A"), "3:Ship Palletized - Value is required", ""), ""))))))</f>
        <v>0</v>
      </c>
      <c r="AM8" s="22" cm="1">
        <f t="array" ref="AM8">_xlfn.MAP('6161 - Wallpaper'!B8:B507, '6161 - Wallpaper'!AM8:AM507, '6161 - Wallpaper'!AN8:AN507, '6161 - Wallpaper'!AO8:AO507, '6161 - Wallpaper'!AP8:AP507,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IF(OR('6161 - Wallpaper'!AM$7 = "", '6161 - Wallpaper'!AM$7 = "N/A"), "3:Carton Weight - Value is required", ""), ""), IF(LEN(_xlpm.check3) &gt; 0, _xlpm.check3, _xlfn.LET(_xlpm.check4, IF(OR(_xlpm.dep1 &lt;&gt; "", _xlpm.dep2 &lt;&gt; "", _xlpm.dep3 &lt;&gt; ""), IF(_xlpm.val = "", IF(OR('6161 - Wallpaper'!AM$7 = "", '6161 - Wallpaper'!AM$7 = "N/A"), "3:Shipping weight is required", ""), ""), ""), IF(LEN(_xlpm.check4) &gt; 0, _xlpm.check4, IF(AND(_xlpm.dep3 = "", _xlpm.dep1 = "", _xlpm.dep2 = ""), IF(_xlpm.val = "", IF(OR('6161 - Wallpaper'!AM$7 = "", '6161 - Wallpaper'!AM$7 = "N/A"), "3:Shipping weight is required", ""), ""), ""))))))))))))</f>
        <v>0</v>
      </c>
      <c r="AN8" s="22" cm="1">
        <f t="array" ref="AN8">_xlfn.MAP('6161 - Wallpaper'!B8:B507, '6161 - Wallpaper'!AN8:AN507, '6161 - Wallpaper'!AM8:AM507, '6161 - Wallpaper'!AO8:AO507, '6161 - Wallpaper'!AP8:AP507,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IF(OR('6161 - Wallpaper'!AN$7 = "", '6161 - Wallpaper'!AN$7 = "N/A"), "3:Carton Height - Value is required", ""), ""), IF(LEN(_xlpm.check3) &gt; 0, _xlpm.check3, _xlfn.LET(_xlpm.check4, IF(OR(_xlpm.dep1 &lt;&gt; "", _xlpm.dep2 &lt;&gt; "", _xlpm.dep3 &lt;&gt; ""), IF(_xlpm.val = "", IF(OR('6161 - Wallpaper'!AN$7 = "", '6161 - Wallpaper'!AN$7 = "N/A"), "3:Carton height is required", ""), ""), ""), IF(LEN(_xlpm.check4) &gt; 0, _xlpm.check4, IF(AND(_xlpm.dep1 = "", _xlpm.dep3 = "", _xlpm.dep2 = ""), IF(_xlpm.val = "", IF(OR('6161 - Wallpaper'!AN$7 = "", '6161 - Wallpaper'!AN$7 = "N/A"), "3:Carton height is required", ""), ""), ""))))))))))))</f>
        <v>0</v>
      </c>
      <c r="AO8" s="22" cm="1">
        <f t="array" ref="AO8">_xlfn.MAP('6161 - Wallpaper'!B8:B507, '6161 - Wallpaper'!AO8:AO507, '6161 - Wallpaper'!AM8:AM507, '6161 - Wallpaper'!AN8:AN507, '6161 - Wallpaper'!AP8:AP507,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IF(OR('6161 - Wallpaper'!AO$7 = "", '6161 - Wallpaper'!AO$7 = "N/A"), "3:Carton Width - Value is required", ""), ""), IF(LEN(_xlpm.check3) &gt; 0, _xlpm.check3, _xlfn.LET(_xlpm.check4, IF(OR(_xlpm.dep1 &lt;&gt; "", _xlpm.dep2 &lt;&gt; "", _xlpm.dep3 &lt;&gt; ""), IF(_xlpm.val = "", IF(OR('6161 - Wallpaper'!AO$7 = "", '6161 - Wallpaper'!AO$7 = "N/A"), "3:Carton width is required", ""), ""), ""), IF(LEN(_xlpm.check4) &gt; 0, _xlpm.check4, IF(AND(_xlpm.dep1 = "", _xlpm.dep2 = "", _xlpm.dep3 = ""), IF(_xlpm.val = "", IF(OR('6161 - Wallpaper'!AO$7 = "", '6161 - Wallpaper'!AO$7 = "N/A"), "3:Carton width is required", ""), ""), ""))))))))))))</f>
        <v>0</v>
      </c>
      <c r="AP8" s="22" cm="1">
        <f t="array" ref="AP8">_xlfn.MAP('6161 - Wallpaper'!B8:B507, '6161 - Wallpaper'!AP8:AP507, '6161 - Wallpaper'!AM8:AM507, '6161 - Wallpaper'!AN8:AN507, '6161 - Wallpaper'!AO8:AO507,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IF(OR('6161 - Wallpaper'!AP$7 = "", '6161 - Wallpaper'!AP$7 = "N/A"), "3:Carton Depth - Value is required", ""), ""), IF(LEN(_xlpm.check3) &gt; 0, _xlpm.check3, _xlfn.LET(_xlpm.check4, IF(OR(_xlpm.dep1 &lt;&gt; "", _xlpm.dep2 &lt;&gt; "", _xlpm.dep3 &lt;&gt; ""), IF(_xlpm.val = "", IF(OR('6161 - Wallpaper'!AP$7 = "", '6161 - Wallpaper'!AP$7 = "N/A"), "3:Carton depth is required", ""), ""), ""), IF(LEN(_xlpm.check4) &gt; 0, _xlpm.check4, IF(AND(_xlpm.dep1 = "", _xlpm.dep2 = "", _xlpm.dep3 = ""), IF(_xlpm.val = "", IF(OR('6161 - Wallpaper'!AP$7 = "", '6161 - Wallpaper'!AP$7 = "N/A"), "3:Carton depth is required", ""), ""), ""))))))))))))</f>
        <v>0</v>
      </c>
      <c r="AQ8" s="22" cm="1">
        <f t="array" ref="AQ8">_xlfn.MAP('6161 - Wallpaper'!B8:B507, '6161 - Wallpaper'!AQ8:AQ507, _xlfn.LAMBDA(_xlpm.part, _xlpm.val, IF(_xlpm.part = "", "", IF(AND(_xlpm.val = "", AQ$3="Required"), IF(OR('6161 - Wallpaper'!AQ$7 = "", '6161 - Wallpaper'!AQ$7 = "N/A"), "3:Image File Name or URL - Value is required", ""), ""))))</f>
        <v>0</v>
      </c>
      <c r="AR8" s="22" cm="1">
        <f t="array" ref="AR8">_xlfn.MAP('6161 - Wallpaper'!B8:B507, '6161 - Wallpaper'!AR8:AR507, _xlfn.LAMBDA(_xlpm.part, _xlpm.val, IF(_xlpm.part = "", "", IF(AND(_xlpm.val = "", AR$3="Required"), IF(OR('6161 - Wallpaper'!AR$7 = "", '6161 - Wallpaper'!AR$7 = "N/A"), "3:Image File Name or URL - Value is required", ""), ""))))</f>
        <v>0</v>
      </c>
      <c r="AS8" s="22" cm="1">
        <f t="array" ref="AS8">_xlfn.MAP('6161 - Wallpaper'!B8:B507, '6161 - Wallpaper'!AS8:AS507, _xlfn.LAMBDA(_xlpm.part, _xlpm.val, IF(_xlpm.part = "", "", IF(AND(_xlpm.val = "", AS$3="Required"), IF(OR('6161 - Wallpaper'!AS$7 = "", '6161 - Wallpaper'!AS$7 = "N/A"), "3:Image File Name or URL - Value is required", ""), ""))))</f>
        <v>0</v>
      </c>
      <c r="AT8" s="22" cm="1">
        <f t="array" ref="AT8">_xlfn.MAP('6161 - Wallpaper'!B8:B507, '6161 - Wallpaper'!AT8:AT507, _xlfn.LAMBDA(_xlpm.part, _xlpm.val, IF(_xlpm.part = "", "", IF(AND(_xlpm.val = "", AT$3="Required"), IF(OR('6161 - Wallpaper'!AT$7 = "", '6161 - Wallpaper'!AT$7 = "N/A"), "3:Image File Name or URL - Value is required", ""), ""))))</f>
        <v>0</v>
      </c>
      <c r="AU8" s="22" cm="1">
        <f t="array" ref="AU8">_xlfn.MAP('6161 - Wallpaper'!B8:B507, '6161 - Wallpaper'!AU8:AU507, _xlfn.LAMBDA(_xlpm.part, _xlpm.val, IF(_xlpm.part = "", "", IF(AND(_xlpm.val = "", AU$3="Required"), IF(OR('6161 - Wallpaper'!AU$7 = "", '6161 - Wallpaper'!AU$7 = "N/A"), "3:Image File Name or URL - Value is required", ""), ""))))</f>
        <v>0</v>
      </c>
      <c r="AV8" s="22" cm="1">
        <f t="array" ref="AV8">_xlfn.MAP('6161 - Wallpaper'!B8:B507, '6161 - Wallpaper'!AV8:AV507, _xlfn.LAMBDA(_xlpm.part, _xlpm.val, IF(_xlpm.part = "", "", IF(AND(_xlpm.val = "", AV$3="Required"), IF(OR('6161 - Wallpaper'!AV$7 = "", '6161 - Wallpaper'!AV$7 = "N/A"), "3:Video File Name or URL - Value is required", ""), ""))))</f>
        <v>0</v>
      </c>
      <c r="AW8" s="22" cm="1">
        <f t="array" ref="AW8">_xlfn.MAP('6161 - Wallpaper'!B8:B507, '6161 - Wallpaper'!AW8:AW507, '6161 - Wallpaper'!AX8:AX507, '6161 - Wallpaper'!AY8:AY507, '6161 - Wallpaper'!AZ8:AZ507, _xlfn.LAMBDA(_xlpm.part, _xlpm.val, _xlpm.dep1, _xlpm.dep2, _xlpm.dep3, IF(_xlpm.part = "", "", IF(AND(_xlpm.val = "", AW$3="Required"), IF(OR('6161 - Wallpaper'!AW$7 = "", '6161 - Wallpaper'!AW$7 = "N/A"), "3:Document File Name or URL - Value is required", ""), ""))))</f>
        <v>0</v>
      </c>
      <c r="AX8" s="22" cm="1">
        <f t="array" ref="AX8">_xlfn.MAP('6161 - Wallpaper'!B8:B507, '6161 - Wallpaper'!AX8:AX507,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IF(OR('6161 - Wallpaper'!AX$7 = "", '6161 - Wallpaper'!AX$7 = "N/A"), "3:Document Type - Value is required", ""), ""))))))</f>
        <v>0</v>
      </c>
      <c r="AY8" s="22" cm="1">
        <f t="array" ref="AY8">_xlfn.MAP('6161 - Wallpaper'!B8:B507, '6161 - Wallpaper'!AY8:AY507,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IF(OR('6161 - Wallpaper'!AY$7 = "", '6161 - Wallpaper'!AY$7 = "N/A"), "3:Legal Document Type - Value is required", ""), ""))))))</f>
        <v>0</v>
      </c>
      <c r="AZ8" s="22" cm="1">
        <f t="array" ref="AZ8">_xlfn.MAP('6161 - Wallpaper'!B8:B507, '6161 - Wallpaper'!AZ8:AZ507, _xlfn.LAMBDA(_xlpm.part, _xlpm.val, IF(_xlpm.part = "", "", IF(AND(_xlpm.val = "", AZ$3="Required"), IF(OR('6161 - Wallpaper'!AZ$7 = "", '6161 - Wallpaper'!AZ$7 = "N/A"), "3:Document Region - Value is required", ""), ""))))</f>
        <v>0</v>
      </c>
      <c r="BA8" s="22" cm="1">
        <f t="array" ref="BA8">_xlfn.MAP('6161 - Wallpaper'!B8:B507, '6161 - Wallpaper'!BA8:BA507, '6161 - Wallpaper'!BB8:BB507, '6161 - Wallpaper'!BC8:BC507, '6161 - Wallpaper'!BD8:BD507, _xlfn.LAMBDA(_xlpm.part, _xlpm.val, _xlpm.dep1, _xlpm.dep2, _xlpm.dep3, IF(_xlpm.part = "", "", IF(AND(_xlpm.val = "", BA$3="Required"), IF(OR('6161 - Wallpaper'!BA$7 = "", '6161 - Wallpaper'!BA$7 = "N/A"), "3:Document File Name or URL - Value is required", ""), ""))))</f>
        <v>0</v>
      </c>
      <c r="BB8" s="22" cm="1">
        <f t="array" ref="BB8">_xlfn.MAP('6161 - Wallpaper'!B8:B507, '6161 - Wallpaper'!BB8:BB507,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IF(OR('6161 - Wallpaper'!BB$7 = "", '6161 - Wallpaper'!BB$7 = "N/A"), "3:Document Type - Value is required", ""), ""))))))</f>
        <v>0</v>
      </c>
      <c r="BC8" s="22" cm="1">
        <f t="array" ref="BC8">_xlfn.MAP('6161 - Wallpaper'!B8:B507, '6161 - Wallpaper'!BC8:BC507,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IF(OR('6161 - Wallpaper'!BC$7 = "", '6161 - Wallpaper'!BC$7 = "N/A"), "3:Legal Document Type - Value is required", ""), ""))))))</f>
        <v>0</v>
      </c>
      <c r="BD8" s="22" cm="1">
        <f t="array" ref="BD8">_xlfn.MAP('6161 - Wallpaper'!B8:B507, '6161 - Wallpaper'!BD8:BD507, _xlfn.LAMBDA(_xlpm.part, _xlpm.val, IF(_xlpm.part = "", "", IF(AND(_xlpm.val = "", BD$3="Required"), IF(OR('6161 - Wallpaper'!BD$7 = "", '6161 - Wallpaper'!BD$7 = "N/A"), "3:Document Region - Value is required", ""), ""))))</f>
        <v>0</v>
      </c>
      <c r="BE8" s="22" cm="1">
        <f t="array" ref="BE8">_xlfn.MAP('6161 - Wallpaper'!B8:B507, '6161 - Wallpaper'!BE8:BE507, '6161 - Wallpaper'!BF8:BF507, '6161 - Wallpaper'!BG8:BG507, '6161 - Wallpaper'!BH8:BH507, _xlfn.LAMBDA(_xlpm.part, _xlpm.val, _xlpm.dep1, _xlpm.dep2, _xlpm.dep3, IF(_xlpm.part = "", "", IF(AND(_xlpm.val = "", BE$3="Required"), IF(OR('6161 - Wallpaper'!BE$7 = "", '6161 - Wallpaper'!BE$7 = "N/A"), "3:Document File Name or URL - Value is required", ""), ""))))</f>
        <v>0</v>
      </c>
      <c r="BF8" s="22" cm="1">
        <f t="array" ref="BF8">_xlfn.MAP('6161 - Wallpaper'!B8:B507, '6161 - Wallpaper'!BF8:BF507,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IF(OR('6161 - Wallpaper'!BF$7 = "", '6161 - Wallpaper'!BF$7 = "N/A"), "3:Document Type - Value is required", ""), ""))))))</f>
        <v>0</v>
      </c>
      <c r="BG8" s="22" cm="1">
        <f t="array" ref="BG8">_xlfn.MAP('6161 - Wallpaper'!B8:B507, '6161 - Wallpaper'!BG8:BG507,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IF(OR('6161 - Wallpaper'!BG$7 = "", '6161 - Wallpaper'!BG$7 = "N/A"), "3:Legal Document Type - Value is required", ""), ""))))))</f>
        <v>0</v>
      </c>
      <c r="BH8" s="22" cm="1">
        <f t="array" ref="BH8">_xlfn.MAP('6161 - Wallpaper'!B8:B507, '6161 - Wallpaper'!BH8:BH507, _xlfn.LAMBDA(_xlpm.part, _xlpm.val, IF(_xlpm.part = "", "", IF(AND(_xlpm.val = "", BH$3="Required"), IF(OR('6161 - Wallpaper'!BH$7 = "", '6161 - Wallpaper'!BH$7 = "N/A"), "3:Document Region - Value is required", ""), ""))))</f>
        <v>0</v>
      </c>
      <c r="BI8" s="22" cm="1">
        <f t="array" ref="BI8">_xlfn.MAP('6161 - Wallpaper'!B8:B507, '6161 - Wallpaper'!BI8:BI507, _xlfn.LAMBDA(_xlpm.part, _xlpm.val, IF(_xlpm.part = "", "", IF(AND(_xlpm.val = "", BI$3="Required"), IF(OR('6161 - Wallpaper'!BI$7 = "", '6161 - Wallpaper'!BI$7 = "N/A"), "3:Product Type - Value is required", ""), ""))))</f>
        <v>0</v>
      </c>
      <c r="BJ8" s="22" cm="1">
        <f t="array" ref="BJ8">_xlfn.MAP('6161 - Wallpaper'!B8:B507, '6161 - Wallpaper'!BJ8:BJ507, _xlfn.LAMBDA(_xlpm.part, _xlpm.val, IF(_xlpm.part = "", "", _xlfn.LET(_xlpm.check1, IF(NOT(ISBLANK(_xlpm.val)),_xlfn.LET(_xlpm.items, _xlfn.TEXTSPLIT(_xlpm.val, ";"),_xlpm.trimmed, _xlfn.MAP(_xlpm.items, _xlfn.LAMBDA(_xlpm.x, TRIM(_xlpm.x))),_xlpm.invalid, _xlfn._xlws.FILTER(_xlpm.trimmed, ISNA(MATCH(_xlpm.trimmed, allowed83613, 0)), ""),IF(AND(_xlpm.invalid&lt;&gt;"", COUNTA(_xlpm.invalid)&gt;0),"1:Please select valid values from the provided list. Answers are case-sensitive and must be separated by a semicolon.","")), ""), IF(LEN(_xlpm.check1) &gt; 0, _xlpm.check1, IF(AND(_xlpm.val = "", BJ$3="Required"), IF(OR('6161 - Wallpaper'!BJ$7 = "", '6161 - Wallpaper'!BJ$7 = "N/A"), "3:Pattern - Value is required", ""), ""))))))</f>
        <v>0</v>
      </c>
      <c r="BK8" s="22" cm="1">
        <f t="array" ref="BK8">_xlfn.MAP('6161 - Wallpaper'!B8:B507, '6161 - Wallpaper'!BK8:BK507, _xlfn.LAMBDA(_xlpm.part, _xlpm.val, IF(_xlpm.part = "", "", IF(AND(_xlpm.val = "", BK$3="Required"), IF(OR('6161 - Wallpaper'!BK$7 = "", '6161 - Wallpaper'!BK$7 = "N/A"), "3:Wallpaper Texture - Value is required", ""), ""))))</f>
        <v>0</v>
      </c>
      <c r="BL8" s="22" cm="1">
        <f t="array" ref="BL8">_xlfn.MAP('6161 - Wallpaper'!B8:B507, '6161 - Wallpaper'!BL8:BL507, _xlfn.LAMBDA(_xlpm.part, _xlpm.val, IF(_xlpm.part = "", "", IF(AND(_xlpm.val = "", BL$3="Required"), IF(OR('6161 - Wallpaper'!BL$7 = "", '6161 - Wallpaper'!BL$7 = "N/A"), "3:Application Type - Value is required", ""), ""))))</f>
        <v>0</v>
      </c>
      <c r="BM8" s="22" cm="1">
        <f t="array" ref="BM8">_xlfn.MAP('6161 - Wallpaper'!B8:B507, '6161 - Wallpaper'!BM8:BM507, _xlfn.LAMBDA(_xlpm.part, _xlpm.val, IF(_xlpm.part = "", "", IF(AND(_xlpm.val = "", BM$3="Required"), IF(OR('6161 - Wallpaper'!BM$7 = "", '6161 - Wallpaper'!BM$7 = "N/A"), "3:Match Type - Value is required", ""), ""))))</f>
        <v>0</v>
      </c>
      <c r="BN8" s="22" cm="1">
        <f t="array" ref="BN8">_xlfn.MAP('6161 - Wallpaper'!B8:B507, '6161 - Wallpaper'!BN8:BN507, _xlfn.LAMBDA(_xlpm.part, _xlpm.val, IF(_xlpm.part = "", "", IF(AND(_xlpm.val = "", BN$3="Required"), IF(OR('6161 - Wallpaper'!BN$7 = "", '6161 - Wallpaper'!BN$7 = "N/A"), "3:Removal Type - Value is required", ""), ""))))</f>
        <v>0</v>
      </c>
      <c r="BO8" s="22" cm="1">
        <f t="array" ref="BO8">_xlfn.MAP('6161 - Wallpaper'!B8:B507, '6161 - Wallpaper'!BO8:BO507, _xlfn.LAMBDA(_xlpm.part, _xlpm.val, IF(_xlpm.part = "", "", IF(AND(_xlpm.val = "", BO$3="Required"), IF(OR('6161 - Wallpaper'!BO$7 = "", '6161 - Wallpaper'!BO$7 = "N/A"), "3:Country of Origin - Value is required", ""), ""))))</f>
        <v>0</v>
      </c>
      <c r="BP8" s="22" cm="1">
        <f t="array" ref="BP8">_xlfn.MAP('6161 - Wallpaper'!B8:B507, '6161 - Wallpaper'!BP8:BP507, _xlfn.LAMBDA(_xlpm.part, _xlpm.val, IF(_xlpm.part = "", "", IF(AND(_xlpm.val = "", BP$3="Required"), IF(OR('6161 - Wallpaper'!BP$7 = "", '6161 - Wallpaper'!BP$7 = "N/A"), "3:Country of Origin - Additional Details - Value is required", ""), ""))))</f>
        <v>0</v>
      </c>
      <c r="BQ8" s="22" cm="1">
        <f t="array" ref="BQ8">_xlfn.MAP('6161 - Wallpaper'!B8:B507, '6161 - Wallpaper'!BQ8:BQ507, _xlfn.LAMBDA(_xlpm.part, _xlpm.val, IF(_xlpm.part = "", "", _xlfn.LET(_xlpm.check1, IF(NOT(ISBLANK(_xlpm.val)),_xlfn.LET(_xlpm.items, _xlfn.TEXTSPLIT(_xlpm.val, ";"),_xlpm.trimmed, _xlfn.MAP(_xlpm.items, _xlfn.LAMBDA(_xlpm.x, TRIM(_xlpm.x))),_xlpm.invalid, _xlfn._xlws.FILTER(_xlpm.trimmed, ISNA(MATCH(_xlpm.trimmed, allowed239196, 0)), ""),IF(AND(_xlpm.invalid&lt;&gt;"", COUNTA(_xlpm.invalid)&gt;0),"1:Please select valid values from the provided list. Answers are case-sensitive and must be separated by a semicolon.","")), ""), IF(LEN(_xlpm.check1) &gt; 0, _xlpm.check1, IF(AND(_xlpm.val = "", BQ$3="Required"), IF(OR('6161 - Wallpaper'!BQ$7 = "", '6161 - Wallpaper'!BQ$7 = "N/A"), "3:Supplier Intended and Approved Use - Value is required", ""), ""))))))</f>
        <v>0</v>
      </c>
      <c r="BR8" s="22" cm="1">
        <f t="array" ref="BR8">_xlfn.MAP('6161 - Wallpaper'!B8:B507, '6161 - Wallpaper'!BR8:BR507, _xlfn.LAMBDA(_xlpm.part, _xlpm.val, IF(_xlpm.part = "", "", IF(AND(_xlpm.val = "", BR$3="Required"), IF(OR('6161 - Wallpaper'!BR$7 = "", '6161 - Wallpaper'!BR$7 = "N/A"), "3:BPA Free - Value is required", ""), ""))))</f>
        <v>0</v>
      </c>
      <c r="BS8" s="22" cm="1">
        <f t="array" ref="BS8">_xlfn.MAP('6161 - Wallpaper'!B8:B507, '6161 - Wallpaper'!BS8:BS507, _xlfn.LAMBDA(_xlpm.part, _xlpm.val, IF(_xlpm.part = "", "", IF(AND(_xlpm.val = "", BS$3="Required"), IF(OR('6161 - Wallpaper'!BS$7 = "", '6161 - Wallpaper'!BS$7 = "N/A"), "3:Durability - Value is required", ""), ""))))</f>
        <v>0</v>
      </c>
      <c r="BT8" s="22" cm="1">
        <f t="array" ref="BT8">_xlfn.MAP('6161 - Wallpaper'!B8:B507, '6161 - Wallpaper'!BT8:BT507, _xlfn.LAMBDA(_xlpm.part, _xlpm.val, IF(_xlpm.part = "", "", IF(AND(_xlpm.val = "", BT$3="Required"), IF(OR('6161 - Wallpaper'!BT$7 = "", '6161 - Wallpaper'!BT$7 = "N/A"), "3:Designer - Value is required", ""), ""))))</f>
        <v>0</v>
      </c>
      <c r="BU8" s="22" cm="1">
        <f t="array" ref="BU8">_xlfn.MAP('6161 - Wallpaper'!B8:B507, '6161 - Wallpaper'!BU8:BU507, _xlfn.LAMBDA(_xlpm.part, _xlpm.val, IF(_xlpm.part = "", "", IF(AND(_xlpm.val = "", BU$3="Required"), IF(OR('6161 - Wallpaper'!BU$7 = "", '6161 - Wallpaper'!BU$7 = "N/A"), "3:Product Care - Value is required", ""), ""))))</f>
        <v>0</v>
      </c>
      <c r="BV8" s="22" cm="1">
        <f t="array" ref="BV8">_xlfn.MAP('6161 - Wallpaper'!B8:B507, '6161 - Wallpaper'!BV8:BV507, _xlfn.LAMBDA(_xlpm.part, _xlpm.val, IF(_xlpm.part = "", "", IF(AND(_xlpm.val = "", BV$3="Required"), IF(OR('6161 - Wallpaper'!BV$7 = "", '6161 - Wallpaper'!BV$7 = "N/A"), "3:Color - Value is required", ""), ""))))</f>
        <v>0</v>
      </c>
      <c r="BW8" s="22" cm="1">
        <f t="array" ref="BW8">_xlfn.MAP('6161 - Wallpaper'!B8:B507, '6161 - Wallpaper'!BW8:BW507, _xlfn.LAMBDA(_xlpm.part, _xlpm.val, IF(_xlpm.part = "", "", IF(AND(_xlpm.val = "", BW$3="Required"), IF(OR('6161 - Wallpaper'!BW$7 = "", '6161 - Wallpaper'!BW$7 = "N/A"), "3:Pattern Repeat Frequency - Value is required", ""), ""))))</f>
        <v>0</v>
      </c>
      <c r="BX8" s="22" cm="1">
        <f t="array" ref="BX8">_xlfn.MAP('6161 - Wallpaper'!B8:B507, '6161 - Wallpaper'!BX8:BX507, _xlfn.LAMBDA(_xlpm.part, _xlpm.val, IF(_xlpm.part = "", "", IF(AND(_xlpm.val = "", BX$3="Required"), IF(OR('6161 - Wallpaper'!BX$7 = "", '6161 - Wallpaper'!BX$7 = "N/A"), "3:Sports Team Name - Value is required", ""), ""))))</f>
        <v>0</v>
      </c>
      <c r="BY8" s="22" cm="1">
        <f t="array" ref="BY8">_xlfn.MAP('6161 - Wallpaper'!B8:B507, '6161 - Wallpaper'!BY8:BY507, _xlfn.LAMBDA(_xlpm.part, _xlpm.val, IF(_xlpm.part = "", "", IF(AND(_xlpm.val = "", BY$3="Required"), IF(OR('6161 - Wallpaper'!BY$7 = "", '6161 - Wallpaper'!BY$7 = "N/A"), "3:Movie / Show Series Name - Value is required", ""), ""))))</f>
        <v>0</v>
      </c>
      <c r="BZ8" s="22" cm="1">
        <f t="array" ref="BZ8">_xlfn.MAP('6161 - Wallpaper'!B8:B507, '6161 - Wallpaper'!BZ8:BZ507, '6161 - Wallpaper'!BJ8:BJ507, _xlfn.LAMBDA(_xlpm.part, _xlpm.val, _xlpm.dep1, IF(_xlpm.part = "", "", _xlfn.LET(_xlpm.check1, IF(AND(_xlpm.val = "", ISNUMBER(SEARCH("Solid Color", _xlpm.dep1))), "2:Autofill", ""), IF(LEN(_xlpm.check1) &gt; 0, _xlpm.check1, _xlfn.LET(_xlpm.check2, IF(ISNUMBER(SEARCH("Solid Color", _xlpm.dep1)), IF(_xlpm.val &lt;&gt; "Does Not Apply", "1:Based on Pattern, value should be Does Not Apply", ""), ""), IF(LEN(_xlpm.check2) &gt; 0, _xlpm.check2, IF(AND(_xlpm.val = "", BZ$3="Required"), IF(OR('6161 - Wallpaper'!BZ$7 = "", '6161 - Wallpaper'!BZ$7 = "N/A"), "3:Pattern Interval - Value is required", ""), ""))))))))</f>
        <v>0</v>
      </c>
      <c r="CA8" s="22" cm="1">
        <f t="array" ref="CA8">_xlfn.MAP('6161 - Wallpaper'!B8:B507, '6161 - Wallpaper'!CA8:CA507, _xlfn.LAMBDA(_xlpm.part, _xlpm.val, IF(_xlpm.part = "", "", IF(AND(_xlpm.val = "", CA$3="Required"), IF(OR('6161 - Wallpaper'!CA$7 = "", '6161 - Wallpaper'!CA$7 = "N/A"), "3:General Features - Value is required", ""), ""))))</f>
        <v>0</v>
      </c>
      <c r="CB8" s="22" cm="1">
        <f t="array" ref="CB8">_xlfn.MAP('6161 - Wallpaper'!B8:B507, '6161 - Wallpaper'!CB8:CB507, _xlfn.LAMBDA(_xlpm.part, _xlpm.val, IF(_xlpm.part = "", "", IF(AND(_xlpm.val = "", CB$3="Required"), IF(OR('6161 - Wallpaper'!CB$7 = "", '6161 - Wallpaper'!CB$7 = "N/A"), "3:Material - Value is required", ""), ""))))</f>
        <v>0</v>
      </c>
      <c r="CC8" s="22" cm="1">
        <f t="array" ref="CC8">_xlfn.MAP('6161 - Wallpaper'!B8:B507, '6161 - Wallpaper'!CC8:CC507, _xlfn.LAMBDA(_xlpm.part, _xlpm.val, IF(_xlpm.part = "", "", _xlfn.LET(_xlpm.check1, IF(NOT(ISBLANK(_xlpm.val)),_xlfn.LET(_xlpm.items, _xlfn.TEXTSPLIT(_xlpm.val, ";"),_xlpm.trimmed, _xlfn.MAP(_xlpm.items, _xlfn.LAMBDA(_xlpm.x, TRIM(_xlpm.x))),_xlpm.invalid, _xlfn._xlws.FILTER(_xlpm.trimmed, ISNA(MATCH(_xlpm.trimmed, allowed437136, 0)), ""),IF(AND(_xlpm.invalid&lt;&gt;"", COUNTA(_xlpm.invalid)&gt;0),"1:Please select valid values from the provided list. Answers are case-sensitive and must be separated by a semicolon.","")), ""), IF(LEN(_xlpm.check1) &gt; 0, _xlpm.check1, IF(AND(_xlpm.val = "", CC$3="Required"), IF(OR('6161 - Wallpaper'!CC$7 = "", '6161 - Wallpaper'!CC$7 = "N/A"), "3:Age Group - Value is required", ""), ""))))))</f>
        <v>0</v>
      </c>
      <c r="CD8" s="22" cm="1">
        <f t="array" ref="CD8">_xlfn.MAP('6161 - Wallpaper'!B8:B507, '6161 - Wallpaper'!CD8:CD507, _xlfn.LAMBDA(_xlpm.part, _xlpm.val, IF(_xlpm.part = "", "", IF(AND(_xlpm.val = "", CD$3="Required"), IF(OR('6161 - Wallpaper'!CD$7 = "", '6161 - Wallpaper'!CD$7 = "N/A"), "3:Finish - Value is required", ""), ""))))</f>
        <v>0</v>
      </c>
      <c r="CE8" s="22" cm="1">
        <f t="array" ref="CE8">_xlfn.MAP('6161 - Wallpaper'!B8:B507, '6161 - Wallpaper'!CE8:CE507, _xlfn.LAMBDA(_xlpm.part, _xlpm.val, IF(_xlpm.part = "", "", IF(AND(_xlpm.val = "", CE$3="Required"), IF(OR('6161 - Wallpaper'!CE$7 = "", '6161 - Wallpaper'!CE$7 = "N/A"), "3:Overall Product Length - End to End - Value is required", ""), ""))))</f>
        <v>0</v>
      </c>
      <c r="CF8" s="22" cm="1">
        <f t="array" ref="CF8">_xlfn.MAP('6161 - Wallpaper'!B8:B507, '6161 - Wallpaper'!CF8:CF507, _xlfn.LAMBDA(_xlpm.part, _xlpm.val, IF(_xlpm.part = "", "", IF(AND(_xlpm.val = "", CF$3="Required"), IF(OR('6161 - Wallpaper'!CF$7 = "", '6161 - Wallpaper'!CF$7 = "N/A"), "3:Overall Width - Side to Side - Value is required", ""), ""))))</f>
        <v>0</v>
      </c>
      <c r="CG8" s="22" cm="1">
        <f t="array" ref="CG8">_xlfn.MAP('6161 - Wallpaper'!B8:B507, '6161 - Wallpaper'!CG8:CG507, _xlfn.LAMBDA(_xlpm.part, _xlpm.val, IF(_xlpm.part = "", "", IF(AND(_xlpm.val = "", CG$3="Required"), IF(OR('6161 - Wallpaper'!CG$7 = "", '6161 - Wallpaper'!CG$7 = "N/A"), "3:Square Footage per Unit - Value is required", ""), ""))))</f>
        <v>0</v>
      </c>
      <c r="CH8" s="22" cm="1">
        <f t="array" ref="CH8">_xlfn.MAP('6161 - Wallpaper'!B8:B507, '6161 - Wallpaper'!CH8:CH507, _xlfn.LAMBDA(_xlpm.part, _xlpm.val, IF(_xlpm.part = "", "", IF(AND(_xlpm.val = "", CH$3="Required"), IF(OR('6161 - Wallpaper'!CH$7 = "", '6161 - Wallpaper'!CH$7 = "N/A"), "3:Overall Product Weight - Value is required", ""), ""))))</f>
        <v>0</v>
      </c>
      <c r="CI8" s="22" cm="1">
        <f t="array" ref="CI8">_xlfn.MAP('6161 - Wallpaper'!B8:B507, '6161 - Wallpaper'!CI8:CI507, _xlfn.LAMBDA(_xlpm.part, _xlpm.val, IF(_xlpm.part = "", "", IF(AND(_xlpm.val = "", CI$3="Required"), IF(OR('6161 - Wallpaper'!CI$7 = "", '6161 - Wallpaper'!CI$7 = "N/A"), "3:Commercial Warranty - Value is required", ""), ""))))</f>
        <v>0</v>
      </c>
      <c r="CJ8" s="22" cm="1">
        <f t="array" ref="CJ8">_xlfn.MAP('6161 - Wallpaper'!B8:B507, '6161 - Wallpaper'!CJ8:CJ507, '6161 - Wallpaper'!CI8:CI507,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IF(OR('6161 - Wallpaper'!CJ$7 = "", '6161 - Wallpaper'!CJ$7 = "N/A"), "3:Since Commercial Warranty equals 'Yes', this field is required", ""), ""), ""), IF(LEN(_xlpm.check3) &gt; 0, _xlpm.check3, IF(AND(_xlpm.val = "", CJ$3="Required"), IF(OR('6161 - Wallpaper'!CJ$7 = "", '6161 - Wallpaper'!CJ$7 = "N/A"), "3:Commercial Warranty Length - Value is required", ""), ""))))))))))</f>
        <v>0</v>
      </c>
      <c r="CK8" s="22" cm="1">
        <f t="array" ref="CK8">_xlfn.MAP('6161 - Wallpaper'!B8:B507, '6161 - Wallpaper'!CK8:CK507, _xlfn.LAMBDA(_xlpm.part, _xlpm.val, IF(_xlpm.part = "", "", IF(AND(_xlpm.val = "", CK$3="Required"), IF(OR('6161 - Wallpaper'!CK$7 = "", '6161 - Wallpaper'!CK$7 = "N/A"), "3:Wayfair Compliance Verified Program (including Baby Safety Alliance fka JPMA) for this product category - Value is required", ""), ""))))</f>
        <v>0</v>
      </c>
      <c r="CL8" s="22" cm="1">
        <f t="array" ref="CL8">_xlfn.MAP('6161 - Wallpaper'!B8:B507, '6161 - Wallpaper'!CL8:CL507, '6161 - Wallpaper'!CK8:CK507, _xlfn.LAMBDA(_xlpm.part, _xlpm.val, _xlpm.dep1, IF(_xlpm.part = "", "", _xlfn.LET(_xlpm.check1, IF(AND(_xlpm.val = "", _xlpm.dep1 = "Yes"), "2:Autofill", ""), IF(LEN(_xlpm.check1) &gt; 0, _xlpm.check1, IF(AND(_xlpm.val = "", CL$3="Required"), IF(OR('6161 - Wallpaper'!CL$7 = "", '6161 - Wallpaper'!CL$7 = "N/A"), "3:Uniform Packaging and Labeling Regulations (UPLR) Compliant - Value is required", ""), ""))))))</f>
        <v>0</v>
      </c>
      <c r="CM8" s="22" cm="1">
        <f t="array" ref="CM8">_xlfn.MAP('6161 - Wallpaper'!B8:B507, '6161 - Wallpaper'!CM8:CM507, _xlfn.LAMBDA(_xlpm.part, _xlpm.val, IF(_xlpm.part = "", "", IF(AND(_xlpm.val = "", CM$3="Required"), IF(OR('6161 - Wallpaper'!CM$7 = "", '6161 - Wallpaper'!CM$7 = "N/A"), "3:Canada Product Restriction - Value is required", ""), ""))))</f>
        <v>0</v>
      </c>
      <c r="CN8" s="22" cm="1">
        <f t="array" ref="CN8">_xlfn.MAP('6161 - Wallpaper'!B8:B507, '6161 - Wallpaper'!CN8:CN507, _xlfn.LAMBDA(_xlpm.part, _xlpm.val, IF(_xlpm.part = "", "", IF(AND(_xlpm.val = "", CN$3="Required"), IF(OR('6161 - Wallpaper'!CN$7 = "", '6161 - Wallpaper'!CN$7 = "N/A"), "3:Sustainability &amp; Social Responsibility Certifications (North America Only) - Value is required", ""), ""))))</f>
        <v>0</v>
      </c>
      <c r="CO8" s="22" cm="1">
        <f t="array" ref="CO8">_xlfn.MAP('6161 - Wallpaper'!B8:B507, '6161 - Wallpaper'!CO8:CO507, _xlfn.LAMBDA(_xlpm.part, _xlpm.val, IF(_xlpm.part = "", "", IF(AND(_xlpm.val = "", CO$3="Required"), IF(OR('6161 - Wallpaper'!CO$7 = "", '6161 - Wallpaper'!CO$7 = "N/A"), "3:Warning Required - Value is required", ""), ""))))</f>
        <v>0</v>
      </c>
      <c r="CP8" s="22" cm="1">
        <f t="array" ref="CP8">_xlfn.MAP('6161 - Wallpaper'!B8:B507, '6161 - Wallpaper'!CP8:CP507, '6161 - Wallpaper'!CQ8:CQ507, '6161 - Wallpaper'!CO8:CO507, _xlfn.LAMBDA(_xlpm.part, _xlpm.val, _xlpm.dep1, _xlpm.dep2, IF(_xlpm.part = "", "", _xlfn.LET(_xlpm.check1, IF(AND(_xlpm.val = "", CP$3="Required"), IF(OR('6161 - Wallpaper'!CP$7 = "", '6161 - Wallpaper'!CP$7 = "N/A"), "3:Chemical - Value is required", ""), ""), IF(LEN(_xlpm.check1) &gt; 0, _xlpm.check1, _xlfn.LET(_xlpm.check2, IF(_xlpm.dep1 &lt;&gt; "", IF(_xlpm.val = "", IF(OR('6161 - Wallpaper'!CP$7 = "", '6161 - Wallpaper'!CP$7 = "N/A"), "3:Please provide a chemical", ""), ""), ""), IF(LEN(_xlpm.check2) &gt; 0, _xlpm.check2, IF(_xlpm.dep2 = "Yes", IF(_xlpm.val = "", IF(OR('6161 - Wallpaper'!CP$7 = "", '6161 - Wallpaper'!CP$7 = "N/A"), "3:If a warning is required, then a chemical must also be provided", ""), ""), ""))))))))</f>
        <v>0</v>
      </c>
      <c r="CQ8" s="22" cm="1">
        <f t="array" ref="CQ8">_xlfn.MAP('6161 - Wallpaper'!B8:B507, '6161 - Wallpaper'!CQ8:CQ507, '6161 - Wallpaper'!CP8:CP507, '6161 - Wallpaper'!CO8:CO507,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CQ$3="Required"), IF(OR('6161 - Wallpaper'!CQ$7 = "", '6161 - Wallpaper'!CQ$7 = "N/A"), "3:Toxicity - Value is required", ""), ""), IF(LEN(_xlpm.check2) &gt; 0, _xlpm.check2, _xlfn.LET(_xlpm.check3, IF(_xlpm.dep1 &lt;&gt; "", IF(_xlpm.val = "", IF(OR('6161 - Wallpaper'!CQ$7 = "", '6161 - Wallpaper'!CQ$7 = "N/A"), "3:Please select a toxicity from the provided dropdown", ""), ""), ""), IF(LEN(_xlpm.check3) &gt; 0, _xlpm.check3, IF(_xlpm.dep2 = "Yes", IF(_xlpm.val = "", IF(OR('6161 - Wallpaper'!CQ$7 = "", '6161 - Wallpaper'!CQ$7 = "N/A"), "3:If a warning is required, then a chemical must also be provided", ""), ""), ""))))))))))</f>
        <v>0</v>
      </c>
    </row>
  </sheetData>
  <sheetProtection password="FB4D" sheet="1" objects="1" scenarios="1"/>
  <mergeCells count="9">
    <mergeCell ref="B2:I2"/>
    <mergeCell ref="J2:Q2"/>
    <mergeCell ref="R2:U2"/>
    <mergeCell ref="V2:AA2"/>
    <mergeCell ref="AB2:AL2"/>
    <mergeCell ref="AM2:AP2"/>
    <mergeCell ref="AQ2:BH2"/>
    <mergeCell ref="BI2:CN2"/>
    <mergeCell ref="CO2:CQ2"/>
  </mergeCells>
  <dataValidations count="74">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O7">
      <formula1>'WAYFAIR_USE_ONLY'!$E$7:$E254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'WAYFAIR_USE_ONLY'!$H$7:$H10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'WAYFAIR_USE_ONLY'!$G$7:$G32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'WAYFAIR_USE_ONLY'!$I$7:$I9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'WAYFAIR_USE_ONLY'!$J$7:$J9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'WAYFAIR_USE_ONLY'!$K$7:$K9</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N7">
      <formula1>'WAYFAIR_USE_ONLY'!$L$7:$L10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O7">
      <formula1>'WAYFAIR_USE_ONLY'!$O$7:$O9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P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Q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N1" display="Please choose one or more from the following, using a semicolon (;) to separate each value: Abstract; Animal Print; Chevron; Damask; Floral; Geometric; Paisley; Plaid; Polka Dots; Striped; Toile; Brick; Solid Color; Stone; Wood &amp; Shiplap; Marble; Gingham; Camouflage; Ikat; Houndstooth; Patchwork; Ombre; Checkered; Argyle; No Pattern; Trellis; Dots; Starburst; Geometric Shapes; Irish Chain; Chevron / Zig Zag; Clear; Drunkard's Path; Moroccan; Oriental; Block Print; Arc; Vintage Look; Does Not Apply"/>
    <hyperlink ref="BK6" location="'Valid Values'!P1" display="Select"/>
    <hyperlink ref="BL6" location="'Valid Values'!R1" display="Select"/>
    <hyperlink ref="BM6" location="'Valid Values'!T1" display="Please choose one or more from the following, using a semicolon (;) to separate each value: Drop; Random; Straight; Unavailable; Does Not Apply"/>
    <hyperlink ref="BN6" location="'Valid Values'!V1" display="Please choose one or more from the following, using a semicolon (;) to separate each value: Peelable; Strippable; Solution Required; Unavailable; Does Not Apply"/>
    <hyperlink ref="BO6" location="'Valid Values'!X1" display="Select"/>
    <hyperlink ref="BP6" location="'Valid Values'!Z1" display="Please choose one or more from the following, using a semicolon (;) to separate each value: Made in USA; Made in USA of Imported Materials; Product of Canada; Made In Canada; Does Not Apply"/>
    <hyperlink ref="BQ6" location="'Valid Values'!AB1" display="Please choose one or more from the following, using a semicolon (;) to separate each value: Non Residential Use; Residential Use"/>
    <hyperlink ref="BS6" location="'Valid Values'!AD1" display="Please choose one or more from the following, using a semicolon (;) to separate each value: Mold / Mildew Resistant; Water Resistant; No Durability Features; Drip Free; Fade Resistant; Heat Resistant; Stain Resistant; Reinforced; Non-Porous; Fray Resistant; Non-Staining"/>
    <hyperlink ref="BT6" location="'Valid Values'!AF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U6" location="'Valid Values'!AH1" display="Please choose one or more from the following, using a semicolon (;) to separate each value: Wipe down with mild soap and water; Use product specific cleaner; Wipe clean with a dry cloth; Dust mop; Hand wash recommended; Spot clean only; Clean with soap and water; Clean spills immediately; Non-Abrasive, Neutral Ph Cleaner; Vacuum with no beater bar/rotating brush; Professional / Dry Clean Recommended; Vacuum with upholstery attachment; Avoid use of abrasive cleaners; Do not wash;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with cloth; Hand Wash Only - Towel Dry Immediately; Wipe Clean Only; Wipe clean with a damp cloth; Does Not Apply"/>
    <hyperlink ref="BV6" location="'Valid Values'!AJ1" display="Please choose one or more from the following, using a semicolon (;) to separate each value: Black; Brown; White; Green; Gray; Red; Beige; Yellow; Pink; Orange; Purple; Silver; Gold; Clear; Cream; Ivory; Tan; Teal; Navy; Blue"/>
    <hyperlink ref="BX6" location="'Valid Values'!AL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M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N1" display="Please choose one or more from the following, using a semicolon (;) to separate each value: Breathable; Dual Sided; Paintable / Stainable; No General Features"/>
    <hyperlink ref="CB6" location="'Valid Values'!AP1" display="Please choose one or more from the following, using a semicolon (;) to separate each value: Aluminum; Cast Iron; Fabric; Paper; Plastic; PVC; Steel; Solid Wood; Vinyl; Wood; Fleece; Grass Cloth; MDF; Non-Woven; Particle Board / Chipboard; Plywood / Laminate Board; Paper / Printed Veneer; Real Wood Veneer"/>
    <hyperlink ref="CC6" location="'Valid Values'!AR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D6" location="'Valid Values'!AT1" display="Please choose one or more from the following, using a semicolon (;) to separate each value: Satin; Gloss; Rubber Coated; Neoprene Dipped; Distressed; Glitter / Shimmer; Low-Gloss; Matte; Metallic; Primed; Semi Gloss; Does Not Apply"/>
    <hyperlink ref="CJ6" location="'Valid Values'!AV1" display="Select"/>
    <hyperlink ref="CK6" location="'Valid Values'!AX1" display="Select"/>
    <hyperlink ref="CL6" location="'Valid Values'!AY1" display="Select"/>
    <hyperlink ref="CP6" location="'Valid Values'!BA1" display="Select"/>
    <hyperlink ref="CQ6" location="'Valid Values'!BB1" display="Please choose one or more from the following, using a semicolon (;) to separate each value: Cancer; Developmental"/>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dimension ref="A1:CQ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22.7109375" style="22" customWidth="1"/>
    <col min="64" max="64" width="21.7109375" style="22" customWidth="1"/>
    <col min="65" max="65" width="15.7109375" style="22" customWidth="1"/>
    <col min="66" max="66" width="17.7109375" style="22" customWidth="1"/>
    <col min="67" max="67" width="22.7109375" style="22" customWidth="1"/>
    <col min="68" max="68" width="43.7109375" style="22" customWidth="1"/>
    <col min="69" max="69" width="39.7109375" style="22" customWidth="1"/>
    <col min="70" max="70" width="13.7109375" style="22" customWidth="1"/>
    <col min="71" max="71" width="15.7109375" style="22" customWidth="1"/>
    <col min="72" max="72" width="13.7109375" style="22" customWidth="1"/>
    <col min="73" max="73" width="17.7109375" style="22" customWidth="1"/>
    <col min="74" max="74" width="10.7109375" style="22" customWidth="1"/>
    <col min="75" max="75" width="29.7109375" style="22" customWidth="1"/>
    <col min="76" max="76" width="21.7109375" style="22" customWidth="1"/>
    <col min="77" max="77" width="29.7109375" style="22" customWidth="1"/>
    <col min="78" max="79" width="21.7109375" style="22" customWidth="1"/>
    <col min="80" max="80" width="13.7109375" style="22" customWidth="1"/>
    <col min="81" max="81" width="14.7109375" style="22" customWidth="1"/>
    <col min="82" max="82" width="11.7109375" style="22" customWidth="1"/>
    <col min="83" max="83" width="40.7109375" style="22" customWidth="1"/>
    <col min="84" max="84" width="33.7109375" style="22" customWidth="1"/>
    <col min="85" max="85" width="28.7109375" style="22" customWidth="1"/>
    <col min="86" max="86" width="27.7109375" style="22" customWidth="1"/>
    <col min="87" max="87" width="24.7109375" style="22" customWidth="1"/>
    <col min="88" max="88" width="31.7109375" style="22" customWidth="1"/>
    <col min="89" max="89" width="108.7109375" style="22" customWidth="1"/>
    <col min="90" max="90" width="64.7109375" style="22" customWidth="1"/>
    <col min="91" max="91" width="31.7109375" style="22" customWidth="1"/>
    <col min="92" max="92" width="79.7109375" style="22" customWidth="1"/>
    <col min="93" max="93" width="21.7109375" style="22" customWidth="1"/>
    <col min="94" max="95" width="15.7109375" style="22" customWidth="1"/>
  </cols>
  <sheetData>
    <row r="1" spans="1:95"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2364</v>
      </c>
      <c r="BJ1" s="22" t="s">
        <v>2367</v>
      </c>
      <c r="BK1" s="22" t="s">
        <v>2371</v>
      </c>
      <c r="BL1" s="22" t="s">
        <v>2374</v>
      </c>
      <c r="BM1" s="22" t="s">
        <v>2377</v>
      </c>
      <c r="BN1" s="22" t="s">
        <v>2381</v>
      </c>
      <c r="BO1" s="22" t="s">
        <v>2385</v>
      </c>
      <c r="BP1" s="22" t="s">
        <v>2388</v>
      </c>
      <c r="BQ1" s="22" t="s">
        <v>2392</v>
      </c>
      <c r="BR1" s="22" t="s">
        <v>2396</v>
      </c>
      <c r="BS1" s="22" t="s">
        <v>2399</v>
      </c>
      <c r="BT1" s="22" t="s">
        <v>2403</v>
      </c>
      <c r="BU1" s="22" t="s">
        <v>2407</v>
      </c>
      <c r="BV1" s="22" t="s">
        <v>2411</v>
      </c>
      <c r="BW1" s="22" t="s">
        <v>2414</v>
      </c>
      <c r="BX1" s="22" t="s">
        <v>2417</v>
      </c>
      <c r="BY1" s="22" t="s">
        <v>2421</v>
      </c>
      <c r="BZ1" s="22" t="s">
        <v>2425</v>
      </c>
      <c r="CA1" s="22" t="s">
        <v>2428</v>
      </c>
      <c r="CB1" s="22" t="s">
        <v>2432</v>
      </c>
      <c r="CC1" s="22" t="s">
        <v>2436</v>
      </c>
      <c r="CD1" s="22" t="s">
        <v>2440</v>
      </c>
      <c r="CE1" s="22" t="s">
        <v>2444</v>
      </c>
      <c r="CF1" s="22" t="s">
        <v>2447</v>
      </c>
      <c r="CG1" s="22" t="s">
        <v>2450</v>
      </c>
      <c r="CH1" s="22" t="s">
        <v>2453</v>
      </c>
      <c r="CI1" s="22" t="s">
        <v>2456</v>
      </c>
      <c r="CJ1" s="22" t="s">
        <v>2459</v>
      </c>
      <c r="CK1" s="22" t="s">
        <v>2462</v>
      </c>
      <c r="CL1" s="22" t="s">
        <v>2465</v>
      </c>
      <c r="CM1" s="22" t="s">
        <v>2468</v>
      </c>
      <c r="CN1" s="22" t="s">
        <v>2471</v>
      </c>
      <c r="CO1" s="22" t="s">
        <v>2474</v>
      </c>
      <c r="CP1" s="22" t="s">
        <v>2477</v>
      </c>
      <c r="CQ1" s="22" t="s">
        <v>2480</v>
      </c>
    </row>
    <row r="2" spans="1:95">
      <c r="B2" s="23" t="s">
        <v>2484</v>
      </c>
      <c r="J2" s="24" t="s">
        <v>2485</v>
      </c>
      <c r="R2" s="25" t="s">
        <v>2486</v>
      </c>
      <c r="V2" s="26" t="s">
        <v>2487</v>
      </c>
      <c r="AB2" s="27" t="s">
        <v>2488</v>
      </c>
      <c r="AM2" s="28" t="s">
        <v>2489</v>
      </c>
      <c r="AQ2" s="29" t="s">
        <v>2490</v>
      </c>
      <c r="BI2" s="30" t="s">
        <v>2491</v>
      </c>
      <c r="CO2" s="31" t="s">
        <v>2492</v>
      </c>
    </row>
    <row r="3" spans="1:95">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60</v>
      </c>
      <c r="BL3" s="32" t="s">
        <v>60</v>
      </c>
      <c r="BM3" s="32" t="s">
        <v>60</v>
      </c>
      <c r="BN3" s="32" t="s">
        <v>60</v>
      </c>
      <c r="BO3" s="32" t="s">
        <v>58</v>
      </c>
      <c r="BP3" s="32" t="s">
        <v>62</v>
      </c>
      <c r="BQ3" s="32" t="s">
        <v>58</v>
      </c>
      <c r="BR3" s="32" t="s">
        <v>58</v>
      </c>
      <c r="BS3" s="32" t="s">
        <v>60</v>
      </c>
      <c r="BT3" s="32" t="s">
        <v>60</v>
      </c>
      <c r="BU3" s="32" t="s">
        <v>60</v>
      </c>
      <c r="BV3" s="32" t="s">
        <v>58</v>
      </c>
      <c r="BW3" s="32" t="s">
        <v>60</v>
      </c>
      <c r="BX3" s="32" t="s">
        <v>60</v>
      </c>
      <c r="BY3" s="32" t="s">
        <v>60</v>
      </c>
      <c r="BZ3" s="32" t="s">
        <v>60</v>
      </c>
      <c r="CA3" s="32" t="s">
        <v>60</v>
      </c>
      <c r="CB3" s="32" t="s">
        <v>58</v>
      </c>
      <c r="CC3" s="32" t="s">
        <v>60</v>
      </c>
      <c r="CD3" s="32" t="s">
        <v>58</v>
      </c>
      <c r="CE3" s="32" t="s">
        <v>58</v>
      </c>
      <c r="CF3" s="32" t="s">
        <v>58</v>
      </c>
      <c r="CG3" s="32" t="s">
        <v>58</v>
      </c>
      <c r="CH3" s="32" t="s">
        <v>58</v>
      </c>
      <c r="CI3" s="32" t="s">
        <v>58</v>
      </c>
      <c r="CJ3" s="32" t="s">
        <v>60</v>
      </c>
      <c r="CK3" s="32" t="s">
        <v>58</v>
      </c>
      <c r="CL3" s="32" t="s">
        <v>58</v>
      </c>
      <c r="CM3" s="32" t="s">
        <v>58</v>
      </c>
      <c r="CN3" s="32" t="s">
        <v>60</v>
      </c>
      <c r="CO3" s="32" t="s">
        <v>58</v>
      </c>
      <c r="CP3" s="32" t="s">
        <v>64</v>
      </c>
      <c r="CQ3" s="32" t="s">
        <v>64</v>
      </c>
    </row>
    <row r="4" spans="1:95" ht="50" customHeight="1">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2368</v>
      </c>
      <c r="BK4" s="19" t="s">
        <v>2372</v>
      </c>
      <c r="BL4" s="19" t="s">
        <v>2375</v>
      </c>
      <c r="BM4" s="19" t="s">
        <v>2378</v>
      </c>
      <c r="BN4" s="19" t="s">
        <v>2382</v>
      </c>
      <c r="BO4" s="19" t="s">
        <v>2386</v>
      </c>
      <c r="BP4" s="19" t="s">
        <v>2389</v>
      </c>
      <c r="BQ4" s="19" t="s">
        <v>2393</v>
      </c>
      <c r="BR4" s="19" t="s">
        <v>2397</v>
      </c>
      <c r="BS4" s="19" t="s">
        <v>2400</v>
      </c>
      <c r="BT4" s="19" t="s">
        <v>2404</v>
      </c>
      <c r="BU4" s="19" t="s">
        <v>2408</v>
      </c>
      <c r="BV4" s="19" t="s">
        <v>2160</v>
      </c>
      <c r="BW4" s="19" t="s">
        <v>2415</v>
      </c>
      <c r="BX4" s="19" t="s">
        <v>2418</v>
      </c>
      <c r="BY4" s="19" t="s">
        <v>2422</v>
      </c>
      <c r="BZ4" s="19" t="s">
        <v>2426</v>
      </c>
      <c r="CA4" s="19" t="s">
        <v>2429</v>
      </c>
      <c r="CB4" s="19" t="s">
        <v>2433</v>
      </c>
      <c r="CC4" s="19" t="s">
        <v>2437</v>
      </c>
      <c r="CD4" s="19" t="s">
        <v>2441</v>
      </c>
      <c r="CE4" s="19" t="s">
        <v>2445</v>
      </c>
      <c r="CF4" s="19" t="s">
        <v>2448</v>
      </c>
      <c r="CG4" s="19" t="s">
        <v>2451</v>
      </c>
      <c r="CH4" s="19" t="s">
        <v>2454</v>
      </c>
      <c r="CI4" s="33" t="s">
        <v>2457</v>
      </c>
      <c r="CJ4" s="34" t="s">
        <v>2460</v>
      </c>
      <c r="CK4" s="19" t="s">
        <v>2463</v>
      </c>
      <c r="CL4" s="19" t="s">
        <v>2466</v>
      </c>
      <c r="CM4" s="19" t="s">
        <v>2469</v>
      </c>
      <c r="CN4" s="19" t="s">
        <v>2472</v>
      </c>
      <c r="CO4" s="19" t="s">
        <v>2475</v>
      </c>
      <c r="CP4" s="19" t="s">
        <v>2478</v>
      </c>
      <c r="CQ4" s="19" t="s">
        <v>2481</v>
      </c>
    </row>
    <row r="5" spans="1:95" ht="50" customHeight="1">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2369</v>
      </c>
      <c r="BK5" s="35" t="s">
        <v>2373</v>
      </c>
      <c r="BL5" s="35" t="s">
        <v>2376</v>
      </c>
      <c r="BM5" s="35" t="s">
        <v>2379</v>
      </c>
      <c r="BN5" s="35" t="s">
        <v>2383</v>
      </c>
      <c r="BO5" s="35" t="s">
        <v>2387</v>
      </c>
      <c r="BP5" s="35" t="s">
        <v>2390</v>
      </c>
      <c r="BQ5" s="35" t="s">
        <v>2394</v>
      </c>
      <c r="BR5" s="35" t="s">
        <v>2398</v>
      </c>
      <c r="BS5" s="35" t="s">
        <v>2401</v>
      </c>
      <c r="BT5" s="35" t="s">
        <v>2405</v>
      </c>
      <c r="BU5" s="35" t="s">
        <v>2409</v>
      </c>
      <c r="BV5" s="35" t="s">
        <v>2412</v>
      </c>
      <c r="BW5" s="35" t="s">
        <v>2416</v>
      </c>
      <c r="BX5" s="35" t="s">
        <v>2419</v>
      </c>
      <c r="BY5" s="35" t="s">
        <v>2423</v>
      </c>
      <c r="BZ5" s="35" t="s">
        <v>2427</v>
      </c>
      <c r="CA5" s="35" t="s">
        <v>2430</v>
      </c>
      <c r="CB5" s="35" t="s">
        <v>2434</v>
      </c>
      <c r="CC5" s="35" t="s">
        <v>2438</v>
      </c>
      <c r="CD5" s="35" t="s">
        <v>2442</v>
      </c>
      <c r="CE5" s="35" t="s">
        <v>2446</v>
      </c>
      <c r="CF5" s="35" t="s">
        <v>2449</v>
      </c>
      <c r="CG5" s="35" t="s">
        <v>2452</v>
      </c>
      <c r="CH5" s="35" t="s">
        <v>2455</v>
      </c>
      <c r="CI5" s="35" t="s">
        <v>2458</v>
      </c>
      <c r="CJ5" s="35" t="s">
        <v>2461</v>
      </c>
      <c r="CK5" s="35" t="s">
        <v>2464</v>
      </c>
      <c r="CL5" s="35" t="s">
        <v>2467</v>
      </c>
      <c r="CM5" s="35" t="s">
        <v>2470</v>
      </c>
      <c r="CN5" s="35" t="s">
        <v>2473</v>
      </c>
      <c r="CO5" s="35" t="s">
        <v>2476</v>
      </c>
      <c r="CP5" s="35" t="s">
        <v>2479</v>
      </c>
      <c r="CQ5" s="35" t="s">
        <v>2482</v>
      </c>
    </row>
    <row r="6" spans="1:95" ht="50" customHeight="1">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2370</v>
      </c>
      <c r="BK6" s="36" t="s">
        <v>2231</v>
      </c>
      <c r="BL6" s="36" t="s">
        <v>2231</v>
      </c>
      <c r="BM6" s="36" t="s">
        <v>2380</v>
      </c>
      <c r="BN6" s="36" t="s">
        <v>2384</v>
      </c>
      <c r="BO6" s="36" t="s">
        <v>2231</v>
      </c>
      <c r="BP6" s="36" t="s">
        <v>2391</v>
      </c>
      <c r="BQ6" s="36" t="s">
        <v>2395</v>
      </c>
      <c r="BR6" s="35" t="s">
        <v>77</v>
      </c>
      <c r="BS6" s="36" t="s">
        <v>2402</v>
      </c>
      <c r="BT6" s="36" t="s">
        <v>3818</v>
      </c>
      <c r="BU6" s="36" t="s">
        <v>2410</v>
      </c>
      <c r="BV6" s="36" t="s">
        <v>2413</v>
      </c>
      <c r="BW6" s="35" t="s">
        <v>2289</v>
      </c>
      <c r="BX6" s="36" t="s">
        <v>4795</v>
      </c>
      <c r="BY6" s="36" t="s">
        <v>4971</v>
      </c>
      <c r="BZ6" s="35" t="s">
        <v>2266</v>
      </c>
      <c r="CA6" s="36" t="s">
        <v>2431</v>
      </c>
      <c r="CB6" s="36" t="s">
        <v>2435</v>
      </c>
      <c r="CC6" s="36" t="s">
        <v>2439</v>
      </c>
      <c r="CD6" s="36" t="s">
        <v>2443</v>
      </c>
      <c r="CE6" s="35" t="s">
        <v>2266</v>
      </c>
      <c r="CF6" s="35" t="s">
        <v>2266</v>
      </c>
      <c r="CG6" s="35" t="s">
        <v>2266</v>
      </c>
      <c r="CH6" s="35" t="s">
        <v>2266</v>
      </c>
      <c r="CI6" s="35" t="s">
        <v>77</v>
      </c>
      <c r="CJ6" s="36" t="s">
        <v>2231</v>
      </c>
      <c r="CK6" s="36" t="s">
        <v>2231</v>
      </c>
      <c r="CL6" s="36" t="s">
        <v>2231</v>
      </c>
      <c r="CM6" s="35" t="s">
        <v>77</v>
      </c>
      <c r="CN6" s="35" t="s">
        <v>77</v>
      </c>
      <c r="CO6" s="35" t="s">
        <v>77</v>
      </c>
      <c r="CP6" s="36" t="s">
        <v>2231</v>
      </c>
      <c r="CQ6" s="36" t="s">
        <v>2483</v>
      </c>
    </row>
    <row r="7" spans="1:95">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row>
    <row r="8" spans="1:95">
      <c r="A8" cm="1">
        <f t="array" ref="A8">_xlfn.BYROW(B8:CR507, _xlfn.LAMBDA(_xlpm.r, _xlfn.LET(_xlpm.high_priority_idx, IFERROR(MATCH(TRUE, (_xlpm.r = "Error") + (_xlpm.r = "Required") &gt; 0, 0), 0), IF(_xlpm.high_priority_idx &gt; 0, _xlpm.high_priority_idx + 1, IFERROR(MATCH(1, (_xlpm.r = "Warning") * 1, 0) + 1, "")))))</f>
        <v>0</v>
      </c>
      <c r="B8" s="22" cm="1">
        <f t="array" ref="B8">_xlfn.MAP('6161 - Wallpaper'!B8:B507, '6161 - Wallpaper'!B8:B507, '6161 - Wallpaper-WUO_ERR'!B8:B507, _xlfn.LAMBDA(_xlpm.part, _xlpm.val, _xlpm.error, IF(_xlpm.part = "", "", IF(LEN(_xlpm.error), _xlfn.SWITCH(IFERROR(_xlfn.TEXTBEFORE(_xlpm.error,":"), ""), "1", "Error", "2", "Disabled", "3", "Required", "4", "Warning", "Valid"), "Valid"))))</f>
        <v>0</v>
      </c>
      <c r="C8" s="22" cm="1">
        <f t="array" ref="C8">_xlfn.MAP('6161 - Wallpaper'!B8:B507, '6161 - Wallpaper'!C8:C507, '6161 - Wallpaper-WUO_ERR'!C8:C507, _xlfn.LAMBDA(_xlpm.part, _xlpm.val, _xlpm.error, IF(_xlpm.part = "", "", IF(LEN(_xlpm.error), _xlfn.SWITCH(IFERROR(_xlfn.TEXTBEFORE(_xlpm.error,":"), ""), "1", "Error", "2", "Disabled", "3", "Required", "4", "Warning", "Valid"), "Valid"))))</f>
        <v>0</v>
      </c>
      <c r="D8" s="22" cm="1">
        <f t="array" ref="D8">_xlfn.MAP('6161 - Wallpaper'!B8:B507, '6161 - Wallpaper'!D8:D507, '6161 - Wallpaper-WUO_ERR'!D8:D507, _xlfn.LAMBDA(_xlpm.part, _xlpm.val, _xlpm.error, IF(_xlpm.part = "", "", IF(LEN(_xlpm.error), _xlfn.SWITCH(IFERROR(_xlfn.TEXTBEFORE(_xlpm.error,":"), ""), "1", "Error", "2", "Disabled", "3", "Required", "4", "Warning", "Valid"), "Valid"))))</f>
        <v>0</v>
      </c>
      <c r="E8" s="22" cm="1">
        <f t="array" ref="E8">_xlfn.MAP('6161 - Wallpaper'!B8:B507, '6161 - Wallpaper'!E8:E507, '6161 - Wallpaper-WUO_ERR'!E8:E507, _xlfn.LAMBDA(_xlpm.part, _xlpm.val, _xlpm.error, IF(_xlpm.part = "", "", IF(LEN(_xlpm.error), _xlfn.SWITCH(IFERROR(_xlfn.TEXTBEFORE(_xlpm.error,":"), ""), "1", "Error", "2", "Disabled", "3", "Required", "4", "Warning", "Valid"), "Valid"))))</f>
        <v>0</v>
      </c>
      <c r="F8" s="22" cm="1">
        <f t="array" ref="F8">_xlfn.MAP('6161 - Wallpaper'!B8:B507, '6161 - Wallpaper'!F8:F507, '6161 - Wallpaper-WUO_ERR'!F8:F507, _xlfn.LAMBDA(_xlpm.part, _xlpm.val, _xlpm.error, IF(_xlpm.part = "", "", IF(LEN(_xlpm.error), _xlfn.SWITCH(IFERROR(_xlfn.TEXTBEFORE(_xlpm.error,":"), ""), "1", "Error", "2", "Disabled", "3", "Required", "4", "Warning", "Valid"), "Valid"))))</f>
        <v>0</v>
      </c>
      <c r="G8" s="22" cm="1">
        <f t="array" ref="G8">_xlfn.MAP('6161 - Wallpaper'!B8:B507, '6161 - Wallpaper'!G8:G507, '6161 - Wallpaper-WUO_ERR'!G8:G507, _xlfn.LAMBDA(_xlpm.part, _xlpm.val, _xlpm.error, IF(_xlpm.part = "", "", IF(LEN(_xlpm.error), _xlfn.SWITCH(IFERROR(_xlfn.TEXTBEFORE(_xlpm.error,":"), ""), "1", "Error", "2", "Disabled", "3", "Required", "4", "Warning", "Valid"), "Valid"))))</f>
        <v>0</v>
      </c>
      <c r="H8" s="22" cm="1">
        <f t="array" ref="H8">_xlfn.MAP('6161 - Wallpaper'!B8:B507, '6161 - Wallpaper'!H8:H507, '6161 - Wallpaper-WUO_ERR'!H8:H507, _xlfn.LAMBDA(_xlpm.part, _xlpm.val, _xlpm.error, IF(_xlpm.part = "", "", IF(LEN(_xlpm.error), _xlfn.SWITCH(IFERROR(_xlfn.TEXTBEFORE(_xlpm.error,":"), ""), "1", "Error", "2", "Disabled", "3", "Required", "4", "Warning", "Valid"), "Valid"))))</f>
        <v>0</v>
      </c>
      <c r="I8" s="22" cm="1">
        <f t="array" ref="I8">_xlfn.MAP('6161 - Wallpaper'!B8:B507, '6161 - Wallpaper'!I8:I507, '6161 - Wallpaper-WUO_ERR'!I8:I507, _xlfn.LAMBDA(_xlpm.part, _xlpm.val, _xlpm.error, IF(_xlpm.part = "", "", IF(LEN(_xlpm.error), _xlfn.SWITCH(IFERROR(_xlfn.TEXTBEFORE(_xlpm.error,":"), ""), "1", "Error", "2", "Disabled", "3", "Required", "4", "Warning", "Valid"), "Valid"))))</f>
        <v>0</v>
      </c>
      <c r="J8" s="22" cm="1">
        <f t="array" ref="J8">_xlfn.MAP('6161 - Wallpaper'!B8:B507, '6161 - Wallpaper'!J8:J507, '6161 - Wallpaper-WUO_ERR'!J8:J507, _xlfn.LAMBDA(_xlpm.part, _xlpm.val, _xlpm.error, IF(_xlpm.part = "", "", IF(LEN(_xlpm.error), _xlfn.SWITCH(IFERROR(_xlfn.TEXTBEFORE(_xlpm.error,":"), ""), "1", "Error", "2", "Disabled", "3", "Required", "4", "Warning", "Valid"), "Valid"))))</f>
        <v>0</v>
      </c>
      <c r="K8" s="22" cm="1">
        <f t="array" ref="K8">_xlfn.MAP('6161 - Wallpaper'!B8:B507, '6161 - Wallpaper'!K8:K507, '6161 - Wallpaper-WUO_ERR'!K8:K507, _xlfn.LAMBDA(_xlpm.part, _xlpm.val, _xlpm.error, IF(_xlpm.part = "", "", IF(LEN(_xlpm.error), _xlfn.SWITCH(IFERROR(_xlfn.TEXTBEFORE(_xlpm.error,":"), ""), "1", "Error", "2", "Disabled", "3", "Required", "4", "Warning", "Valid"), "Valid"))))</f>
        <v>0</v>
      </c>
      <c r="L8" s="22" cm="1">
        <f t="array" ref="L8">_xlfn.MAP('6161 - Wallpaper'!B8:B507, '6161 - Wallpaper'!L8:L507, '6161 - Wallpaper-WUO_ERR'!L8:L507, _xlfn.LAMBDA(_xlpm.part, _xlpm.val, _xlpm.error, IF(_xlpm.part = "", "", IF(LEN(_xlpm.error), _xlfn.SWITCH(IFERROR(_xlfn.TEXTBEFORE(_xlpm.error,":"), ""), "1", "Error", "2", "Disabled", "3", "Required", "4", "Warning", "Valid"), "Valid"))))</f>
        <v>0</v>
      </c>
      <c r="M8" s="22" cm="1">
        <f t="array" ref="M8">_xlfn.MAP('6161 - Wallpaper'!B8:B507, '6161 - Wallpaper'!M8:M507, '6161 - Wallpaper-WUO_ERR'!M8:M507, _xlfn.LAMBDA(_xlpm.part, _xlpm.val, _xlpm.error, IF(_xlpm.part = "", "", IF(LEN(_xlpm.error), _xlfn.SWITCH(IFERROR(_xlfn.TEXTBEFORE(_xlpm.error,":"), ""), "1", "Error", "2", "Disabled", "3", "Required", "4", "Warning", "Valid"), "Valid"))))</f>
        <v>0</v>
      </c>
      <c r="N8" s="22" cm="1">
        <f t="array" ref="N8">_xlfn.MAP('6161 - Wallpaper'!B8:B507, '6161 - Wallpaper'!N8:N507, '6161 - Wallpaper-WUO_ERR'!N8:N507, _xlfn.LAMBDA(_xlpm.part, _xlpm.val, _xlpm.error, IF(_xlpm.part = "", "", IF(LEN(_xlpm.error), _xlfn.SWITCH(IFERROR(_xlfn.TEXTBEFORE(_xlpm.error,":"), ""), "1", "Error", "2", "Disabled", "3", "Required", "4", "Warning", "Valid"), "Valid"))))</f>
        <v>0</v>
      </c>
      <c r="O8" s="22" cm="1">
        <f t="array" ref="O8">_xlfn.MAP('6161 - Wallpaper'!B8:B507, '6161 - Wallpaper'!O8:O507, '6161 - Wallpaper-WUO_ERR'!O8:O507, _xlfn.LAMBDA(_xlpm.part, _xlpm.val, _xlpm.error, IF(_xlpm.part = "", "", IF(LEN(_xlpm.error), _xlfn.SWITCH(IFERROR(_xlfn.TEXTBEFORE(_xlpm.error,":"), ""), "1", "Error", "2", "Disabled", "3", "Required", "4", "Warning", "Valid"), "Valid"))))</f>
        <v>0</v>
      </c>
      <c r="P8" s="22" cm="1">
        <f t="array" ref="P8">_xlfn.MAP('6161 - Wallpaper'!B8:B507, '6161 - Wallpaper'!P8:P507, '6161 - Wallpaper-WUO_ERR'!P8:P507, _xlfn.LAMBDA(_xlpm.part, _xlpm.val, _xlpm.error, IF(_xlpm.part = "", "", IF(LEN(_xlpm.error), _xlfn.SWITCH(IFERROR(_xlfn.TEXTBEFORE(_xlpm.error,":"), ""), "1", "Error", "2", "Disabled", "3", "Required", "4", "Warning", "Valid"), "Valid"))))</f>
        <v>0</v>
      </c>
      <c r="Q8" s="22" cm="1">
        <f t="array" ref="Q8">_xlfn.MAP('6161 - Wallpaper'!B8:B507, '6161 - Wallpaper'!Q8:Q507, '6161 - Wallpaper-WUO_ERR'!Q8:Q507, _xlfn.LAMBDA(_xlpm.part, _xlpm.val, _xlpm.error, IF(_xlpm.part = "", "", IF(LEN(_xlpm.error), _xlfn.SWITCH(IFERROR(_xlfn.TEXTBEFORE(_xlpm.error,":"), ""), "1", "Error", "2", "Disabled", "3", "Required", "4", "Warning", "Valid"), "Valid"))))</f>
        <v>0</v>
      </c>
      <c r="R8" s="22" cm="1">
        <f t="array" ref="R8">_xlfn.MAP('6161 - Wallpaper'!B8:B507, '6161 - Wallpaper'!R8:R507, '6161 - Wallpaper-WUO_ERR'!R8:R507, _xlfn.LAMBDA(_xlpm.part, _xlpm.val, _xlpm.error, IF(_xlpm.part = "", "", IF(LEN(_xlpm.error), _xlfn.SWITCH(IFERROR(_xlfn.TEXTBEFORE(_xlpm.error,":"), ""), "1", "Error", "2", "Disabled", "3", "Required", "4", "Warning", "Valid"), "Valid"))))</f>
        <v>0</v>
      </c>
      <c r="S8" s="22" cm="1">
        <f t="array" ref="S8">_xlfn.MAP('6161 - Wallpaper'!B8:B507, '6161 - Wallpaper'!S8:S507, '6161 - Wallpaper-WUO_ERR'!S8:S507, _xlfn.LAMBDA(_xlpm.part, _xlpm.val, _xlpm.error, IF(_xlpm.part = "", "", IF(LEN(_xlpm.error), _xlfn.SWITCH(IFERROR(_xlfn.TEXTBEFORE(_xlpm.error,":"), ""), "1", "Error", "2", "Disabled", "3", "Required", "4", "Warning", "Valid"), "Valid"))))</f>
        <v>0</v>
      </c>
      <c r="T8" s="22" cm="1">
        <f t="array" ref="T8">_xlfn.MAP('6161 - Wallpaper'!B8:B507, '6161 - Wallpaper'!T8:T507, '6161 - Wallpaper-WUO_ERR'!T8:T507, _xlfn.LAMBDA(_xlpm.part, _xlpm.val, _xlpm.error, IF(_xlpm.part = "", "", IF(LEN(_xlpm.error), _xlfn.SWITCH(IFERROR(_xlfn.TEXTBEFORE(_xlpm.error,":"), ""), "1", "Error", "2", "Disabled", "3", "Required", "4", "Warning", "Valid"), "Valid"))))</f>
        <v>0</v>
      </c>
      <c r="U8" s="22" cm="1">
        <f t="array" ref="U8">_xlfn.MAP('6161 - Wallpaper'!B8:B507, '6161 - Wallpaper'!U8:U507, '6161 - Wallpaper-WUO_ERR'!U8:U507, _xlfn.LAMBDA(_xlpm.part, _xlpm.val, _xlpm.error, IF(_xlpm.part = "", "", IF(LEN(_xlpm.error), _xlfn.SWITCH(IFERROR(_xlfn.TEXTBEFORE(_xlpm.error,":"), ""), "1", "Error", "2", "Disabled", "3", "Required", "4", "Warning", "Valid"), "Valid"))))</f>
        <v>0</v>
      </c>
      <c r="V8" s="22" cm="1">
        <f t="array" ref="V8">_xlfn.MAP('6161 - Wallpaper'!B8:B507, '6161 - Wallpaper'!V8:V507, '6161 - Wallpaper-WUO_ERR'!V8:V507, _xlfn.LAMBDA(_xlpm.part, _xlpm.val, _xlpm.error, IF(_xlpm.part = "", "", IF(LEN(_xlpm.error), _xlfn.SWITCH(IFERROR(_xlfn.TEXTBEFORE(_xlpm.error,":"), ""), "1", "Error", "2", "Disabled", "3", "Required", "4", "Warning", "Valid"), "Valid"))))</f>
        <v>0</v>
      </c>
      <c r="W8" s="22" cm="1">
        <f t="array" ref="W8">_xlfn.MAP('6161 - Wallpaper'!B8:B507, '6161 - Wallpaper'!W8:W507, '6161 - Wallpaper-WUO_ERR'!W8:W507, _xlfn.LAMBDA(_xlpm.part, _xlpm.val, _xlpm.error, IF(_xlpm.part = "", "", IF(LEN(_xlpm.error), _xlfn.SWITCH(IFERROR(_xlfn.TEXTBEFORE(_xlpm.error,":"), ""), "1", "Error", "2", "Disabled", "3", "Required", "4", "Warning", "Valid"), "Valid"))))</f>
        <v>0</v>
      </c>
      <c r="X8" s="22" cm="1">
        <f t="array" ref="X8">_xlfn.MAP('6161 - Wallpaper'!B8:B507, '6161 - Wallpaper'!X8:X507, '6161 - Wallpaper-WUO_ERR'!X8:X507, _xlfn.LAMBDA(_xlpm.part, _xlpm.val, _xlpm.error, IF(_xlpm.part = "", "", IF(LEN(_xlpm.error), _xlfn.SWITCH(IFERROR(_xlfn.TEXTBEFORE(_xlpm.error,":"), ""), "1", "Error", "2", "Disabled", "3", "Required", "4", "Warning", "Valid"), "Valid"))))</f>
        <v>0</v>
      </c>
      <c r="Y8" s="22" cm="1">
        <f t="array" ref="Y8">_xlfn.MAP('6161 - Wallpaper'!B8:B507, '6161 - Wallpaper'!Y8:Y507, '6161 - Wallpaper-WUO_ERR'!Y8:Y507, _xlfn.LAMBDA(_xlpm.part, _xlpm.val, _xlpm.error, IF(_xlpm.part = "", "", IF(LEN(_xlpm.error), _xlfn.SWITCH(IFERROR(_xlfn.TEXTBEFORE(_xlpm.error,":"), ""), "1", "Error", "2", "Disabled", "3", "Required", "4", "Warning", "Valid"), "Valid"))))</f>
        <v>0</v>
      </c>
      <c r="Z8" s="22" cm="1">
        <f t="array" ref="Z8">_xlfn.MAP('6161 - Wallpaper'!B8:B507, '6161 - Wallpaper'!Z8:Z507, '6161 - Wallpaper-WUO_ERR'!Z8:Z507, _xlfn.LAMBDA(_xlpm.part, _xlpm.val, _xlpm.error, IF(_xlpm.part = "", "", IF(LEN(_xlpm.error), _xlfn.SWITCH(IFERROR(_xlfn.TEXTBEFORE(_xlpm.error,":"), ""), "1", "Error", "2", "Disabled", "3", "Required", "4", "Warning", "Valid"), "Valid"))))</f>
        <v>0</v>
      </c>
      <c r="AA8" s="22" cm="1">
        <f t="array" ref="AA8">_xlfn.MAP('6161 - Wallpaper'!B8:B507, '6161 - Wallpaper'!AA8:AA507, '6161 - Wallpaper-WUO_ERR'!AA8:AA507, _xlfn.LAMBDA(_xlpm.part, _xlpm.val, _xlpm.error, IF(_xlpm.part = "", "", IF(LEN(_xlpm.error), _xlfn.SWITCH(IFERROR(_xlfn.TEXTBEFORE(_xlpm.error,":"), ""), "1", "Error", "2", "Disabled", "3", "Required", "4", "Warning", "Valid"), "Valid"))))</f>
        <v>0</v>
      </c>
      <c r="AB8" s="22" cm="1">
        <f t="array" ref="AB8">_xlfn.MAP('6161 - Wallpaper'!B8:B507, '6161 - Wallpaper'!AB8:AB507, '6161 - Wallpaper-WUO_ERR'!AB8:AB507, _xlfn.LAMBDA(_xlpm.part, _xlpm.val, _xlpm.error, IF(_xlpm.part = "", "", IF(LEN(_xlpm.error), _xlfn.SWITCH(IFERROR(_xlfn.TEXTBEFORE(_xlpm.error,":"), ""), "1", "Error", "2", "Disabled", "3", "Required", "4", "Warning", "Valid"), "Valid"))))</f>
        <v>0</v>
      </c>
      <c r="AC8" s="22" cm="1">
        <f t="array" ref="AC8">_xlfn.MAP('6161 - Wallpaper'!B8:B507, '6161 - Wallpaper'!AC8:AC507, '6161 - Wallpaper-WUO_ERR'!AC8:AC507, _xlfn.LAMBDA(_xlpm.part, _xlpm.val, _xlpm.error, IF(_xlpm.part = "", "", IF(LEN(_xlpm.error), _xlfn.SWITCH(IFERROR(_xlfn.TEXTBEFORE(_xlpm.error,":"), ""), "1", "Error", "2", "Disabled", "3", "Required", "4", "Warning", "Valid"), "Valid"))))</f>
        <v>0</v>
      </c>
      <c r="AD8" s="22" cm="1">
        <f t="array" ref="AD8">_xlfn.MAP('6161 - Wallpaper'!B8:B507, '6161 - Wallpaper'!AD8:AD507, '6161 - Wallpaper-WUO_ERR'!AD8:AD507, _xlfn.LAMBDA(_xlpm.part, _xlpm.val, _xlpm.error, IF(_xlpm.part = "", "", IF(LEN(_xlpm.error), _xlfn.SWITCH(IFERROR(_xlfn.TEXTBEFORE(_xlpm.error,":"), ""), "1", "Error", "2", "Disabled", "3", "Required", "4", "Warning", "Valid"), "Valid"))))</f>
        <v>0</v>
      </c>
      <c r="AE8" s="22" cm="1">
        <f t="array" ref="AE8">_xlfn.MAP('6161 - Wallpaper'!B8:B507, '6161 - Wallpaper'!AE8:AE507, '6161 - Wallpaper-WUO_ERR'!AE8:AE507, _xlfn.LAMBDA(_xlpm.part, _xlpm.val, _xlpm.error, IF(_xlpm.part = "", "", IF(LEN(_xlpm.error), _xlfn.SWITCH(IFERROR(_xlfn.TEXTBEFORE(_xlpm.error,":"), ""), "1", "Error", "2", "Disabled", "3", "Required", "4", "Warning", "Valid"), "Valid"))))</f>
        <v>0</v>
      </c>
      <c r="AF8" s="22" cm="1">
        <f t="array" ref="AF8">_xlfn.MAP('6161 - Wallpaper'!B8:B507, '6161 - Wallpaper'!AF8:AF507, '6161 - Wallpaper-WUO_ERR'!AF8:AF507, _xlfn.LAMBDA(_xlpm.part, _xlpm.val, _xlpm.error, IF(_xlpm.part = "", "", IF(LEN(_xlpm.error), _xlfn.SWITCH(IFERROR(_xlfn.TEXTBEFORE(_xlpm.error,":"), ""), "1", "Error", "2", "Disabled", "3", "Required", "4", "Warning", "Valid"), "Valid"))))</f>
        <v>0</v>
      </c>
      <c r="AG8" s="22" cm="1">
        <f t="array" ref="AG8">_xlfn.MAP('6161 - Wallpaper'!B8:B507, '6161 - Wallpaper'!AG8:AG507, '6161 - Wallpaper-WUO_ERR'!AG8:AG507, _xlfn.LAMBDA(_xlpm.part, _xlpm.val, _xlpm.error, IF(_xlpm.part = "", "", IF(LEN(_xlpm.error), _xlfn.SWITCH(IFERROR(_xlfn.TEXTBEFORE(_xlpm.error,":"), ""), "1", "Error", "2", "Disabled", "3", "Required", "4", "Warning", "Valid"), "Valid"))))</f>
        <v>0</v>
      </c>
      <c r="AH8" s="22" cm="1">
        <f t="array" ref="AH8">_xlfn.MAP('6161 - Wallpaper'!B8:B507, '6161 - Wallpaper'!AH8:AH507, '6161 - Wallpaper-WUO_ERR'!AH8:AH507, _xlfn.LAMBDA(_xlpm.part, _xlpm.val, _xlpm.error, IF(_xlpm.part = "", "", IF(LEN(_xlpm.error), _xlfn.SWITCH(IFERROR(_xlfn.TEXTBEFORE(_xlpm.error,":"), ""), "1", "Error", "2", "Disabled", "3", "Required", "4", "Warning", "Valid"), "Valid"))))</f>
        <v>0</v>
      </c>
      <c r="AI8" s="22" cm="1">
        <f t="array" ref="AI8">_xlfn.MAP('6161 - Wallpaper'!B8:B507, '6161 - Wallpaper'!AI8:AI507, '6161 - Wallpaper-WUO_ERR'!AI8:AI507, _xlfn.LAMBDA(_xlpm.part, _xlpm.val, _xlpm.error, IF(_xlpm.part = "", "", IF(LEN(_xlpm.error), _xlfn.SWITCH(IFERROR(_xlfn.TEXTBEFORE(_xlpm.error,":"), ""), "1", "Error", "2", "Disabled", "3", "Required", "4", "Warning", "Valid"), "Valid"))))</f>
        <v>0</v>
      </c>
      <c r="AJ8" s="22" cm="1">
        <f t="array" ref="AJ8">_xlfn.MAP('6161 - Wallpaper'!B8:B507, '6161 - Wallpaper'!AJ8:AJ507, '6161 - Wallpaper-WUO_ERR'!AJ8:AJ507, _xlfn.LAMBDA(_xlpm.part, _xlpm.val, _xlpm.error, IF(_xlpm.part = "", "", IF(LEN(_xlpm.error), _xlfn.SWITCH(IFERROR(_xlfn.TEXTBEFORE(_xlpm.error,":"), ""), "1", "Error", "2", "Disabled", "3", "Required", "4", "Warning", "Valid"), "Valid"))))</f>
        <v>0</v>
      </c>
      <c r="AK8" s="22" cm="1">
        <f t="array" ref="AK8">_xlfn.MAP('6161 - Wallpaper'!B8:B507, '6161 - Wallpaper'!AK8:AK507, '6161 - Wallpaper-WUO_ERR'!AK8:AK507, _xlfn.LAMBDA(_xlpm.part, _xlpm.val, _xlpm.error, IF(_xlpm.part = "", "", IF(LEN(_xlpm.error), _xlfn.SWITCH(IFERROR(_xlfn.TEXTBEFORE(_xlpm.error,":"), ""), "1", "Error", "2", "Disabled", "3", "Required", "4", "Warning", "Valid"), "Valid"))))</f>
        <v>0</v>
      </c>
      <c r="AL8" s="22" cm="1">
        <f t="array" ref="AL8">_xlfn.MAP('6161 - Wallpaper'!B8:B507, '6161 - Wallpaper'!AL8:AL507, '6161 - Wallpaper-WUO_ERR'!AL8:AL507, _xlfn.LAMBDA(_xlpm.part, _xlpm.val, _xlpm.error, IF(_xlpm.part = "", "", IF(LEN(_xlpm.error), _xlfn.SWITCH(IFERROR(_xlfn.TEXTBEFORE(_xlpm.error,":"), ""), "1", "Error", "2", "Disabled", "3", "Required", "4", "Warning", "Valid"), "Valid"))))</f>
        <v>0</v>
      </c>
      <c r="AM8" s="22" cm="1">
        <f t="array" ref="AM8">_xlfn.MAP('6161 - Wallpaper'!B8:B507, '6161 - Wallpaper'!AM8:AM507, '6161 - Wallpaper-WUO_ERR'!AM8:AM507, _xlfn.LAMBDA(_xlpm.part, _xlpm.val, _xlpm.error, IF(_xlpm.part = "", "", IF(LEN(_xlpm.error), _xlfn.SWITCH(IFERROR(_xlfn.TEXTBEFORE(_xlpm.error,":"), ""), "1", "Error", "2", "Disabled", "3", "Required", "4", "Warning", "Valid"), "Valid"))))</f>
        <v>0</v>
      </c>
      <c r="AN8" s="22" cm="1">
        <f t="array" ref="AN8">_xlfn.MAP('6161 - Wallpaper'!B8:B507, '6161 - Wallpaper'!AN8:AN507, '6161 - Wallpaper-WUO_ERR'!AN8:AN507, _xlfn.LAMBDA(_xlpm.part, _xlpm.val, _xlpm.error, IF(_xlpm.part = "", "", IF(LEN(_xlpm.error), _xlfn.SWITCH(IFERROR(_xlfn.TEXTBEFORE(_xlpm.error,":"), ""), "1", "Error", "2", "Disabled", "3", "Required", "4", "Warning", "Valid"), "Valid"))))</f>
        <v>0</v>
      </c>
      <c r="AO8" s="22" cm="1">
        <f t="array" ref="AO8">_xlfn.MAP('6161 - Wallpaper'!B8:B507, '6161 - Wallpaper'!AO8:AO507, '6161 - Wallpaper-WUO_ERR'!AO8:AO507, _xlfn.LAMBDA(_xlpm.part, _xlpm.val, _xlpm.error, IF(_xlpm.part = "", "", IF(LEN(_xlpm.error), _xlfn.SWITCH(IFERROR(_xlfn.TEXTBEFORE(_xlpm.error,":"), ""), "1", "Error", "2", "Disabled", "3", "Required", "4", "Warning", "Valid"), "Valid"))))</f>
        <v>0</v>
      </c>
      <c r="AP8" s="22" cm="1">
        <f t="array" ref="AP8">_xlfn.MAP('6161 - Wallpaper'!B8:B507, '6161 - Wallpaper'!AP8:AP507, '6161 - Wallpaper-WUO_ERR'!AP8:AP507, _xlfn.LAMBDA(_xlpm.part, _xlpm.val, _xlpm.error, IF(_xlpm.part = "", "", IF(LEN(_xlpm.error), _xlfn.SWITCH(IFERROR(_xlfn.TEXTBEFORE(_xlpm.error,":"), ""), "1", "Error", "2", "Disabled", "3", "Required", "4", "Warning", "Valid"), "Valid"))))</f>
        <v>0</v>
      </c>
      <c r="AQ8" s="22" cm="1">
        <f t="array" ref="AQ8">_xlfn.MAP('6161 - Wallpaper'!B8:B507, '6161 - Wallpaper'!AQ8:AQ507, '6161 - Wallpaper-WUO_ERR'!AQ8:AQ507, _xlfn.LAMBDA(_xlpm.part, _xlpm.val, _xlpm.error, IF(_xlpm.part = "", "", IF(LEN(_xlpm.error), _xlfn.SWITCH(IFERROR(_xlfn.TEXTBEFORE(_xlpm.error,":"), ""), "1", "Error", "2", "Disabled", "3", "Required", "4", "Warning", "Valid"), "Valid"))))</f>
        <v>0</v>
      </c>
      <c r="AR8" s="22" cm="1">
        <f t="array" ref="AR8">_xlfn.MAP('6161 - Wallpaper'!B8:B507, '6161 - Wallpaper'!AR8:AR507, '6161 - Wallpaper-WUO_ERR'!AR8:AR507, _xlfn.LAMBDA(_xlpm.part, _xlpm.val, _xlpm.error, IF(_xlpm.part = "", "", IF(LEN(_xlpm.error), _xlfn.SWITCH(IFERROR(_xlfn.TEXTBEFORE(_xlpm.error,":"), ""), "1", "Error", "2", "Disabled", "3", "Required", "4", "Warning", "Valid"), "Valid"))))</f>
        <v>0</v>
      </c>
      <c r="AS8" s="22" cm="1">
        <f t="array" ref="AS8">_xlfn.MAP('6161 - Wallpaper'!B8:B507, '6161 - Wallpaper'!AS8:AS507, '6161 - Wallpaper-WUO_ERR'!AS8:AS507, _xlfn.LAMBDA(_xlpm.part, _xlpm.val, _xlpm.error, IF(_xlpm.part = "", "", IF(LEN(_xlpm.error), _xlfn.SWITCH(IFERROR(_xlfn.TEXTBEFORE(_xlpm.error,":"), ""), "1", "Error", "2", "Disabled", "3", "Required", "4", "Warning", "Valid"), "Valid"))))</f>
        <v>0</v>
      </c>
      <c r="AT8" s="22" cm="1">
        <f t="array" ref="AT8">_xlfn.MAP('6161 - Wallpaper'!B8:B507, '6161 - Wallpaper'!AT8:AT507, '6161 - Wallpaper-WUO_ERR'!AT8:AT507, _xlfn.LAMBDA(_xlpm.part, _xlpm.val, _xlpm.error, IF(_xlpm.part = "", "", IF(LEN(_xlpm.error), _xlfn.SWITCH(IFERROR(_xlfn.TEXTBEFORE(_xlpm.error,":"), ""), "1", "Error", "2", "Disabled", "3", "Required", "4", "Warning", "Valid"), "Valid"))))</f>
        <v>0</v>
      </c>
      <c r="AU8" s="22" cm="1">
        <f t="array" ref="AU8">_xlfn.MAP('6161 - Wallpaper'!B8:B507, '6161 - Wallpaper'!AU8:AU507, '6161 - Wallpaper-WUO_ERR'!AU8:AU507, _xlfn.LAMBDA(_xlpm.part, _xlpm.val, _xlpm.error, IF(_xlpm.part = "", "", IF(LEN(_xlpm.error), _xlfn.SWITCH(IFERROR(_xlfn.TEXTBEFORE(_xlpm.error,":"), ""), "1", "Error", "2", "Disabled", "3", "Required", "4", "Warning", "Valid"), "Valid"))))</f>
        <v>0</v>
      </c>
      <c r="AV8" s="22" cm="1">
        <f t="array" ref="AV8">_xlfn.MAP('6161 - Wallpaper'!B8:B507, '6161 - Wallpaper'!AV8:AV507, '6161 - Wallpaper-WUO_ERR'!AV8:AV507, _xlfn.LAMBDA(_xlpm.part, _xlpm.val, _xlpm.error, IF(_xlpm.part = "", "", IF(LEN(_xlpm.error), _xlfn.SWITCH(IFERROR(_xlfn.TEXTBEFORE(_xlpm.error,":"), ""), "1", "Error", "2", "Disabled", "3", "Required", "4", "Warning", "Valid"), "Valid"))))</f>
        <v>0</v>
      </c>
      <c r="AW8" s="22" cm="1">
        <f t="array" ref="AW8">_xlfn.MAP('6161 - Wallpaper'!B8:B507, '6161 - Wallpaper'!AW8:AW507, '6161 - Wallpaper-WUO_ERR'!AW8:AW507, _xlfn.LAMBDA(_xlpm.part, _xlpm.val, _xlpm.error, IF(_xlpm.part = "", "", IF(LEN(_xlpm.error), _xlfn.SWITCH(IFERROR(_xlfn.TEXTBEFORE(_xlpm.error,":"), ""), "1", "Error", "2", "Disabled", "3", "Required", "4", "Warning", "Valid"), "Valid"))))</f>
        <v>0</v>
      </c>
      <c r="AX8" s="22" cm="1">
        <f t="array" ref="AX8">_xlfn.MAP('6161 - Wallpaper'!B8:B507, '6161 - Wallpaper'!AX8:AX507, '6161 - Wallpaper-WUO_ERR'!AX8:AX507, _xlfn.LAMBDA(_xlpm.part, _xlpm.val, _xlpm.error, IF(_xlpm.part = "", "", IF(LEN(_xlpm.error), _xlfn.SWITCH(IFERROR(_xlfn.TEXTBEFORE(_xlpm.error,":"), ""), "1", "Error", "2", "Disabled", "3", "Required", "4", "Warning", "Valid"), "Valid"))))</f>
        <v>0</v>
      </c>
      <c r="AY8" s="22" cm="1">
        <f t="array" ref="AY8">_xlfn.MAP('6161 - Wallpaper'!B8:B507, '6161 - Wallpaper'!AY8:AY507, '6161 - Wallpaper-WUO_ERR'!AY8:AY507, _xlfn.LAMBDA(_xlpm.part, _xlpm.val, _xlpm.error, IF(_xlpm.part = "", "", IF(LEN(_xlpm.error), _xlfn.SWITCH(IFERROR(_xlfn.TEXTBEFORE(_xlpm.error,":"), ""), "1", "Error", "2", "Disabled", "3", "Required", "4", "Warning", "Valid"), "Valid"))))</f>
        <v>0</v>
      </c>
      <c r="AZ8" s="22" cm="1">
        <f t="array" ref="AZ8">_xlfn.MAP('6161 - Wallpaper'!B8:B507, '6161 - Wallpaper'!AZ8:AZ507, '6161 - Wallpaper-WUO_ERR'!AZ8:AZ507, _xlfn.LAMBDA(_xlpm.part, _xlpm.val, _xlpm.error, IF(_xlpm.part = "", "", IF(LEN(_xlpm.error), _xlfn.SWITCH(IFERROR(_xlfn.TEXTBEFORE(_xlpm.error,":"), ""), "1", "Error", "2", "Disabled", "3", "Required", "4", "Warning", "Valid"), "Valid"))))</f>
        <v>0</v>
      </c>
      <c r="BA8" s="22" cm="1">
        <f t="array" ref="BA8">_xlfn.MAP('6161 - Wallpaper'!B8:B507, '6161 - Wallpaper'!BA8:BA507, '6161 - Wallpaper-WUO_ERR'!BA8:BA507, _xlfn.LAMBDA(_xlpm.part, _xlpm.val, _xlpm.error, IF(_xlpm.part = "", "", IF(LEN(_xlpm.error), _xlfn.SWITCH(IFERROR(_xlfn.TEXTBEFORE(_xlpm.error,":"), ""), "1", "Error", "2", "Disabled", "3", "Required", "4", "Warning", "Valid"), "Valid"))))</f>
        <v>0</v>
      </c>
      <c r="BB8" s="22" cm="1">
        <f t="array" ref="BB8">_xlfn.MAP('6161 - Wallpaper'!B8:B507, '6161 - Wallpaper'!BB8:BB507, '6161 - Wallpaper-WUO_ERR'!BB8:BB507, _xlfn.LAMBDA(_xlpm.part, _xlpm.val, _xlpm.error, IF(_xlpm.part = "", "", IF(LEN(_xlpm.error), _xlfn.SWITCH(IFERROR(_xlfn.TEXTBEFORE(_xlpm.error,":"), ""), "1", "Error", "2", "Disabled", "3", "Required", "4", "Warning", "Valid"), "Valid"))))</f>
        <v>0</v>
      </c>
      <c r="BC8" s="22" cm="1">
        <f t="array" ref="BC8">_xlfn.MAP('6161 - Wallpaper'!B8:B507, '6161 - Wallpaper'!BC8:BC507, '6161 - Wallpaper-WUO_ERR'!BC8:BC507, _xlfn.LAMBDA(_xlpm.part, _xlpm.val, _xlpm.error, IF(_xlpm.part = "", "", IF(LEN(_xlpm.error), _xlfn.SWITCH(IFERROR(_xlfn.TEXTBEFORE(_xlpm.error,":"), ""), "1", "Error", "2", "Disabled", "3", "Required", "4", "Warning", "Valid"), "Valid"))))</f>
        <v>0</v>
      </c>
      <c r="BD8" s="22" cm="1">
        <f t="array" ref="BD8">_xlfn.MAP('6161 - Wallpaper'!B8:B507, '6161 - Wallpaper'!BD8:BD507, '6161 - Wallpaper-WUO_ERR'!BD8:BD507, _xlfn.LAMBDA(_xlpm.part, _xlpm.val, _xlpm.error, IF(_xlpm.part = "", "", IF(LEN(_xlpm.error), _xlfn.SWITCH(IFERROR(_xlfn.TEXTBEFORE(_xlpm.error,":"), ""), "1", "Error", "2", "Disabled", "3", "Required", "4", "Warning", "Valid"), "Valid"))))</f>
        <v>0</v>
      </c>
      <c r="BE8" s="22" cm="1">
        <f t="array" ref="BE8">_xlfn.MAP('6161 - Wallpaper'!B8:B507, '6161 - Wallpaper'!BE8:BE507, '6161 - Wallpaper-WUO_ERR'!BE8:BE507, _xlfn.LAMBDA(_xlpm.part, _xlpm.val, _xlpm.error, IF(_xlpm.part = "", "", IF(LEN(_xlpm.error), _xlfn.SWITCH(IFERROR(_xlfn.TEXTBEFORE(_xlpm.error,":"), ""), "1", "Error", "2", "Disabled", "3", "Required", "4", "Warning", "Valid"), "Valid"))))</f>
        <v>0</v>
      </c>
      <c r="BF8" s="22" cm="1">
        <f t="array" ref="BF8">_xlfn.MAP('6161 - Wallpaper'!B8:B507, '6161 - Wallpaper'!BF8:BF507, '6161 - Wallpaper-WUO_ERR'!BF8:BF507, _xlfn.LAMBDA(_xlpm.part, _xlpm.val, _xlpm.error, IF(_xlpm.part = "", "", IF(LEN(_xlpm.error), _xlfn.SWITCH(IFERROR(_xlfn.TEXTBEFORE(_xlpm.error,":"), ""), "1", "Error", "2", "Disabled", "3", "Required", "4", "Warning", "Valid"), "Valid"))))</f>
        <v>0</v>
      </c>
      <c r="BG8" s="22" cm="1">
        <f t="array" ref="BG8">_xlfn.MAP('6161 - Wallpaper'!B8:B507, '6161 - Wallpaper'!BG8:BG507, '6161 - Wallpaper-WUO_ERR'!BG8:BG507, _xlfn.LAMBDA(_xlpm.part, _xlpm.val, _xlpm.error, IF(_xlpm.part = "", "", IF(LEN(_xlpm.error), _xlfn.SWITCH(IFERROR(_xlfn.TEXTBEFORE(_xlpm.error,":"), ""), "1", "Error", "2", "Disabled", "3", "Required", "4", "Warning", "Valid"), "Valid"))))</f>
        <v>0</v>
      </c>
      <c r="BH8" s="22" cm="1">
        <f t="array" ref="BH8">_xlfn.MAP('6161 - Wallpaper'!B8:B507, '6161 - Wallpaper'!BH8:BH507, '6161 - Wallpaper-WUO_ERR'!BH8:BH507, _xlfn.LAMBDA(_xlpm.part, _xlpm.val, _xlpm.error, IF(_xlpm.part = "", "", IF(LEN(_xlpm.error), _xlfn.SWITCH(IFERROR(_xlfn.TEXTBEFORE(_xlpm.error,":"), ""), "1", "Error", "2", "Disabled", "3", "Required", "4", "Warning", "Valid"), "Valid"))))</f>
        <v>0</v>
      </c>
      <c r="BI8" s="22" cm="1">
        <f t="array" ref="BI8">_xlfn.MAP('6161 - Wallpaper'!B8:B507, '6161 - Wallpaper'!BI8:BI507, '6161 - Wallpaper-WUO_ERR'!BI8:BI507, _xlfn.LAMBDA(_xlpm.part, _xlpm.val, _xlpm.error, IF(_xlpm.part = "", "", IF(LEN(_xlpm.error), _xlfn.SWITCH(IFERROR(_xlfn.TEXTBEFORE(_xlpm.error,":"), ""), "1", "Error", "2", "Disabled", "3", "Required", "4", "Warning", "Valid"), "Valid"))))</f>
        <v>0</v>
      </c>
      <c r="BJ8" s="22" cm="1">
        <f t="array" ref="BJ8">_xlfn.MAP('6161 - Wallpaper'!B8:B507, '6161 - Wallpaper'!BJ8:BJ507, '6161 - Wallpaper-WUO_ERR'!BJ8:BJ507, _xlfn.LAMBDA(_xlpm.part, _xlpm.val, _xlpm.error, IF(_xlpm.part = "", "", IF(LEN(_xlpm.error), _xlfn.SWITCH(IFERROR(_xlfn.TEXTBEFORE(_xlpm.error,":"), ""), "1", "Error", "2", "Disabled", "3", "Required", "4", "Warning", "Valid"), "Valid"))))</f>
        <v>0</v>
      </c>
      <c r="BK8" s="22" cm="1">
        <f t="array" ref="BK8">_xlfn.MAP('6161 - Wallpaper'!B8:B507, '6161 - Wallpaper'!BK8:BK507, '6161 - Wallpaper-WUO_ERR'!BK8:BK507, _xlfn.LAMBDA(_xlpm.part, _xlpm.val, _xlpm.error, IF(_xlpm.part = "", "", IF(LEN(_xlpm.error), _xlfn.SWITCH(IFERROR(_xlfn.TEXTBEFORE(_xlpm.error,":"), ""), "1", "Error", "2", "Disabled", "3", "Required", "4", "Warning", "Valid"), "Valid"))))</f>
        <v>0</v>
      </c>
      <c r="BL8" s="22" cm="1">
        <f t="array" ref="BL8">_xlfn.MAP('6161 - Wallpaper'!B8:B507, '6161 - Wallpaper'!BL8:BL507, '6161 - Wallpaper-WUO_ERR'!BL8:BL507, _xlfn.LAMBDA(_xlpm.part, _xlpm.val, _xlpm.error, IF(_xlpm.part = "", "", IF(LEN(_xlpm.error), _xlfn.SWITCH(IFERROR(_xlfn.TEXTBEFORE(_xlpm.error,":"), ""), "1", "Error", "2", "Disabled", "3", "Required", "4", "Warning", "Valid"), "Valid"))))</f>
        <v>0</v>
      </c>
      <c r="BM8" s="22" cm="1">
        <f t="array" ref="BM8">_xlfn.MAP('6161 - Wallpaper'!B8:B507, '6161 - Wallpaper'!BM8:BM507, '6161 - Wallpaper-WUO_ERR'!BM8:BM507, _xlfn.LAMBDA(_xlpm.part, _xlpm.val, _xlpm.error, IF(_xlpm.part = "", "", IF(LEN(_xlpm.error), _xlfn.SWITCH(IFERROR(_xlfn.TEXTBEFORE(_xlpm.error,":"), ""), "1", "Error", "2", "Disabled", "3", "Required", "4", "Warning", "Valid"), "Valid"))))</f>
        <v>0</v>
      </c>
      <c r="BN8" s="22" cm="1">
        <f t="array" ref="BN8">_xlfn.MAP('6161 - Wallpaper'!B8:B507, '6161 - Wallpaper'!BN8:BN507, '6161 - Wallpaper-WUO_ERR'!BN8:BN507, _xlfn.LAMBDA(_xlpm.part, _xlpm.val, _xlpm.error, IF(_xlpm.part = "", "", IF(LEN(_xlpm.error), _xlfn.SWITCH(IFERROR(_xlfn.TEXTBEFORE(_xlpm.error,":"), ""), "1", "Error", "2", "Disabled", "3", "Required", "4", "Warning", "Valid"), "Valid"))))</f>
        <v>0</v>
      </c>
      <c r="BO8" s="22" cm="1">
        <f t="array" ref="BO8">_xlfn.MAP('6161 - Wallpaper'!B8:B507, '6161 - Wallpaper'!BO8:BO507, '6161 - Wallpaper-WUO_ERR'!BO8:BO507, _xlfn.LAMBDA(_xlpm.part, _xlpm.val, _xlpm.error, IF(_xlpm.part = "", "", IF(LEN(_xlpm.error), _xlfn.SWITCH(IFERROR(_xlfn.TEXTBEFORE(_xlpm.error,":"), ""), "1", "Error", "2", "Disabled", "3", "Required", "4", "Warning", "Valid"), "Valid"))))</f>
        <v>0</v>
      </c>
      <c r="BP8" s="22" cm="1">
        <f t="array" ref="BP8">_xlfn.MAP('6161 - Wallpaper'!B8:B507, '6161 - Wallpaper'!BP8:BP507, '6161 - Wallpaper-WUO_ERR'!BP8:BP507, _xlfn.LAMBDA(_xlpm.part, _xlpm.val, _xlpm.error, IF(_xlpm.part = "", "", IF(LEN(_xlpm.error), _xlfn.SWITCH(IFERROR(_xlfn.TEXTBEFORE(_xlpm.error,":"), ""), "1", "Error", "2", "Disabled", "3", "Required", "4", "Warning", "Valid"), "Valid"))))</f>
        <v>0</v>
      </c>
      <c r="BQ8" s="22" cm="1">
        <f t="array" ref="BQ8">_xlfn.MAP('6161 - Wallpaper'!B8:B507, '6161 - Wallpaper'!BQ8:BQ507, '6161 - Wallpaper-WUO_ERR'!BQ8:BQ507, _xlfn.LAMBDA(_xlpm.part, _xlpm.val, _xlpm.error, IF(_xlpm.part = "", "", IF(LEN(_xlpm.error), _xlfn.SWITCH(IFERROR(_xlfn.TEXTBEFORE(_xlpm.error,":"), ""), "1", "Error", "2", "Disabled", "3", "Required", "4", "Warning", "Valid"), "Valid"))))</f>
        <v>0</v>
      </c>
      <c r="BR8" s="22" cm="1">
        <f t="array" ref="BR8">_xlfn.MAP('6161 - Wallpaper'!B8:B507, '6161 - Wallpaper'!BR8:BR507, '6161 - Wallpaper-WUO_ERR'!BR8:BR507, _xlfn.LAMBDA(_xlpm.part, _xlpm.val, _xlpm.error, IF(_xlpm.part = "", "", IF(LEN(_xlpm.error), _xlfn.SWITCH(IFERROR(_xlfn.TEXTBEFORE(_xlpm.error,":"), ""), "1", "Error", "2", "Disabled", "3", "Required", "4", "Warning", "Valid"), "Valid"))))</f>
        <v>0</v>
      </c>
      <c r="BS8" s="22" cm="1">
        <f t="array" ref="BS8">_xlfn.MAP('6161 - Wallpaper'!B8:B507, '6161 - Wallpaper'!BS8:BS507, '6161 - Wallpaper-WUO_ERR'!BS8:BS507, _xlfn.LAMBDA(_xlpm.part, _xlpm.val, _xlpm.error, IF(_xlpm.part = "", "", IF(LEN(_xlpm.error), _xlfn.SWITCH(IFERROR(_xlfn.TEXTBEFORE(_xlpm.error,":"), ""), "1", "Error", "2", "Disabled", "3", "Required", "4", "Warning", "Valid"), "Valid"))))</f>
        <v>0</v>
      </c>
      <c r="BT8" s="22" cm="1">
        <f t="array" ref="BT8">_xlfn.MAP('6161 - Wallpaper'!B8:B507, '6161 - Wallpaper'!BT8:BT507, '6161 - Wallpaper-WUO_ERR'!BT8:BT507, _xlfn.LAMBDA(_xlpm.part, _xlpm.val, _xlpm.error, IF(_xlpm.part = "", "", IF(LEN(_xlpm.error), _xlfn.SWITCH(IFERROR(_xlfn.TEXTBEFORE(_xlpm.error,":"), ""), "1", "Error", "2", "Disabled", "3", "Required", "4", "Warning", "Valid"), "Valid"))))</f>
        <v>0</v>
      </c>
      <c r="BU8" s="22" cm="1">
        <f t="array" ref="BU8">_xlfn.MAP('6161 - Wallpaper'!B8:B507, '6161 - Wallpaper'!BU8:BU507, '6161 - Wallpaper-WUO_ERR'!BU8:BU507, _xlfn.LAMBDA(_xlpm.part, _xlpm.val, _xlpm.error, IF(_xlpm.part = "", "", IF(LEN(_xlpm.error), _xlfn.SWITCH(IFERROR(_xlfn.TEXTBEFORE(_xlpm.error,":"), ""), "1", "Error", "2", "Disabled", "3", "Required", "4", "Warning", "Valid"), "Valid"))))</f>
        <v>0</v>
      </c>
      <c r="BV8" s="22" cm="1">
        <f t="array" ref="BV8">_xlfn.MAP('6161 - Wallpaper'!B8:B507, '6161 - Wallpaper'!BV8:BV507, '6161 - Wallpaper-WUO_ERR'!BV8:BV507, _xlfn.LAMBDA(_xlpm.part, _xlpm.val, _xlpm.error, IF(_xlpm.part = "", "", IF(LEN(_xlpm.error), _xlfn.SWITCH(IFERROR(_xlfn.TEXTBEFORE(_xlpm.error,":"), ""), "1", "Error", "2", "Disabled", "3", "Required", "4", "Warning", "Valid"), "Valid"))))</f>
        <v>0</v>
      </c>
      <c r="BW8" s="22" cm="1">
        <f t="array" ref="BW8">_xlfn.MAP('6161 - Wallpaper'!B8:B507, '6161 - Wallpaper'!BW8:BW507, '6161 - Wallpaper-WUO_ERR'!BW8:BW507, _xlfn.LAMBDA(_xlpm.part, _xlpm.val, _xlpm.error, IF(_xlpm.part = "", "", IF(LEN(_xlpm.error), _xlfn.SWITCH(IFERROR(_xlfn.TEXTBEFORE(_xlpm.error,":"), ""), "1", "Error", "2", "Disabled", "3", "Required", "4", "Warning", "Valid"), "Valid"))))</f>
        <v>0</v>
      </c>
      <c r="BX8" s="22" cm="1">
        <f t="array" ref="BX8">_xlfn.MAP('6161 - Wallpaper'!B8:B507, '6161 - Wallpaper'!BX8:BX507, '6161 - Wallpaper-WUO_ERR'!BX8:BX507, _xlfn.LAMBDA(_xlpm.part, _xlpm.val, _xlpm.error, IF(_xlpm.part = "", "", IF(LEN(_xlpm.error), _xlfn.SWITCH(IFERROR(_xlfn.TEXTBEFORE(_xlpm.error,":"), ""), "1", "Error", "2", "Disabled", "3", "Required", "4", "Warning", "Valid"), "Valid"))))</f>
        <v>0</v>
      </c>
      <c r="BY8" s="22" cm="1">
        <f t="array" ref="BY8">_xlfn.MAP('6161 - Wallpaper'!B8:B507, '6161 - Wallpaper'!BY8:BY507, '6161 - Wallpaper-WUO_ERR'!BY8:BY507, _xlfn.LAMBDA(_xlpm.part, _xlpm.val, _xlpm.error, IF(_xlpm.part = "", "", IF(LEN(_xlpm.error), _xlfn.SWITCH(IFERROR(_xlfn.TEXTBEFORE(_xlpm.error,":"), ""), "1", "Error", "2", "Disabled", "3", "Required", "4", "Warning", "Valid"), "Valid"))))</f>
        <v>0</v>
      </c>
      <c r="BZ8" s="22" cm="1">
        <f t="array" ref="BZ8">_xlfn.MAP('6161 - Wallpaper'!B8:B507, '6161 - Wallpaper'!BZ8:BZ507, '6161 - Wallpaper-WUO_ERR'!BZ8:BZ507, _xlfn.LAMBDA(_xlpm.part, _xlpm.val, _xlpm.error, IF(_xlpm.part = "", "", IF(LEN(_xlpm.error), _xlfn.SWITCH(IFERROR(_xlfn.TEXTBEFORE(_xlpm.error,":"), ""), "1", "Error", "2", "Disabled", "3", "Required", "4", "Warning", "Valid"), "Valid"))))</f>
        <v>0</v>
      </c>
      <c r="CA8" s="22" cm="1">
        <f t="array" ref="CA8">_xlfn.MAP('6161 - Wallpaper'!B8:B507, '6161 - Wallpaper'!CA8:CA507, '6161 - Wallpaper-WUO_ERR'!CA8:CA507, _xlfn.LAMBDA(_xlpm.part, _xlpm.val, _xlpm.error, IF(_xlpm.part = "", "", IF(LEN(_xlpm.error), _xlfn.SWITCH(IFERROR(_xlfn.TEXTBEFORE(_xlpm.error,":"), ""), "1", "Error", "2", "Disabled", "3", "Required", "4", "Warning", "Valid"), "Valid"))))</f>
        <v>0</v>
      </c>
      <c r="CB8" s="22" cm="1">
        <f t="array" ref="CB8">_xlfn.MAP('6161 - Wallpaper'!B8:B507, '6161 - Wallpaper'!CB8:CB507, '6161 - Wallpaper-WUO_ERR'!CB8:CB507, _xlfn.LAMBDA(_xlpm.part, _xlpm.val, _xlpm.error, IF(_xlpm.part = "", "", IF(LEN(_xlpm.error), _xlfn.SWITCH(IFERROR(_xlfn.TEXTBEFORE(_xlpm.error,":"), ""), "1", "Error", "2", "Disabled", "3", "Required", "4", "Warning", "Valid"), "Valid"))))</f>
        <v>0</v>
      </c>
      <c r="CC8" s="22" cm="1">
        <f t="array" ref="CC8">_xlfn.MAP('6161 - Wallpaper'!B8:B507, '6161 - Wallpaper'!CC8:CC507, '6161 - Wallpaper-WUO_ERR'!CC8:CC507, _xlfn.LAMBDA(_xlpm.part, _xlpm.val, _xlpm.error, IF(_xlpm.part = "", "", IF(LEN(_xlpm.error), _xlfn.SWITCH(IFERROR(_xlfn.TEXTBEFORE(_xlpm.error,":"), ""), "1", "Error", "2", "Disabled", "3", "Required", "4", "Warning", "Valid"), "Valid"))))</f>
        <v>0</v>
      </c>
      <c r="CD8" s="22" cm="1">
        <f t="array" ref="CD8">_xlfn.MAP('6161 - Wallpaper'!B8:B507, '6161 - Wallpaper'!CD8:CD507, '6161 - Wallpaper-WUO_ERR'!CD8:CD507, _xlfn.LAMBDA(_xlpm.part, _xlpm.val, _xlpm.error, IF(_xlpm.part = "", "", IF(LEN(_xlpm.error), _xlfn.SWITCH(IFERROR(_xlfn.TEXTBEFORE(_xlpm.error,":"), ""), "1", "Error", "2", "Disabled", "3", "Required", "4", "Warning", "Valid"), "Valid"))))</f>
        <v>0</v>
      </c>
      <c r="CE8" s="22" cm="1">
        <f t="array" ref="CE8">_xlfn.MAP('6161 - Wallpaper'!B8:B507, '6161 - Wallpaper'!CE8:CE507, '6161 - Wallpaper-WUO_ERR'!CE8:CE507, _xlfn.LAMBDA(_xlpm.part, _xlpm.val, _xlpm.error, IF(_xlpm.part = "", "", IF(LEN(_xlpm.error), _xlfn.SWITCH(IFERROR(_xlfn.TEXTBEFORE(_xlpm.error,":"), ""), "1", "Error", "2", "Disabled", "3", "Required", "4", "Warning", "Valid"), "Valid"))))</f>
        <v>0</v>
      </c>
      <c r="CF8" s="22" cm="1">
        <f t="array" ref="CF8">_xlfn.MAP('6161 - Wallpaper'!B8:B507, '6161 - Wallpaper'!CF8:CF507, '6161 - Wallpaper-WUO_ERR'!CF8:CF507, _xlfn.LAMBDA(_xlpm.part, _xlpm.val, _xlpm.error, IF(_xlpm.part = "", "", IF(LEN(_xlpm.error), _xlfn.SWITCH(IFERROR(_xlfn.TEXTBEFORE(_xlpm.error,":"), ""), "1", "Error", "2", "Disabled", "3", "Required", "4", "Warning", "Valid"), "Valid"))))</f>
        <v>0</v>
      </c>
      <c r="CG8" s="22" cm="1">
        <f t="array" ref="CG8">_xlfn.MAP('6161 - Wallpaper'!B8:B507, '6161 - Wallpaper'!CG8:CG507, '6161 - Wallpaper-WUO_ERR'!CG8:CG507, _xlfn.LAMBDA(_xlpm.part, _xlpm.val, _xlpm.error, IF(_xlpm.part = "", "", IF(LEN(_xlpm.error), _xlfn.SWITCH(IFERROR(_xlfn.TEXTBEFORE(_xlpm.error,":"), ""), "1", "Error", "2", "Disabled", "3", "Required", "4", "Warning", "Valid"), "Valid"))))</f>
        <v>0</v>
      </c>
      <c r="CH8" s="22" cm="1">
        <f t="array" ref="CH8">_xlfn.MAP('6161 - Wallpaper'!B8:B507, '6161 - Wallpaper'!CH8:CH507, '6161 - Wallpaper-WUO_ERR'!CH8:CH507, _xlfn.LAMBDA(_xlpm.part, _xlpm.val, _xlpm.error, IF(_xlpm.part = "", "", IF(LEN(_xlpm.error), _xlfn.SWITCH(IFERROR(_xlfn.TEXTBEFORE(_xlpm.error,":"), ""), "1", "Error", "2", "Disabled", "3", "Required", "4", "Warning", "Valid"), "Valid"))))</f>
        <v>0</v>
      </c>
      <c r="CI8" s="22" cm="1">
        <f t="array" ref="CI8">_xlfn.MAP('6161 - Wallpaper'!B8:B507, '6161 - Wallpaper'!CI8:CI507, '6161 - Wallpaper-WUO_ERR'!CI8:CI507, _xlfn.LAMBDA(_xlpm.part, _xlpm.val, _xlpm.error, IF(_xlpm.part = "", "", IF(LEN(_xlpm.error), _xlfn.SWITCH(IFERROR(_xlfn.TEXTBEFORE(_xlpm.error,":"), ""), "1", "Error", "2", "Disabled", "3", "Required", "4", "Warning", "Valid"), "Valid"))))</f>
        <v>0</v>
      </c>
      <c r="CJ8" s="22" cm="1">
        <f t="array" ref="CJ8">_xlfn.MAP('6161 - Wallpaper'!B8:B507, '6161 - Wallpaper'!CJ8:CJ507, '6161 - Wallpaper-WUO_ERR'!CJ8:CJ507, _xlfn.LAMBDA(_xlpm.part, _xlpm.val, _xlpm.error, IF(_xlpm.part = "", "", IF(LEN(_xlpm.error), _xlfn.SWITCH(IFERROR(_xlfn.TEXTBEFORE(_xlpm.error,":"), ""), "1", "Error", "2", "Disabled", "3", "Required", "4", "Warning", "Valid"), "Valid"))))</f>
        <v>0</v>
      </c>
      <c r="CK8" s="22" cm="1">
        <f t="array" ref="CK8">_xlfn.MAP('6161 - Wallpaper'!B8:B507, '6161 - Wallpaper'!CK8:CK507, '6161 - Wallpaper-WUO_ERR'!CK8:CK507, _xlfn.LAMBDA(_xlpm.part, _xlpm.val, _xlpm.error, IF(_xlpm.part = "", "", IF(LEN(_xlpm.error), _xlfn.SWITCH(IFERROR(_xlfn.TEXTBEFORE(_xlpm.error,":"), ""), "1", "Error", "2", "Disabled", "3", "Required", "4", "Warning", "Valid"), "Valid"))))</f>
        <v>0</v>
      </c>
      <c r="CL8" s="22" cm="1">
        <f t="array" ref="CL8">_xlfn.MAP('6161 - Wallpaper'!B8:B507, '6161 - Wallpaper'!CL8:CL507, '6161 - Wallpaper-WUO_ERR'!CL8:CL507, _xlfn.LAMBDA(_xlpm.part, _xlpm.val, _xlpm.error, IF(_xlpm.part = "", "", IF(LEN(_xlpm.error), _xlfn.SWITCH(IFERROR(_xlfn.TEXTBEFORE(_xlpm.error,":"), ""), "1", "Error", "2", "Disabled", "3", "Required", "4", "Warning", "Valid"), "Valid"))))</f>
        <v>0</v>
      </c>
      <c r="CM8" s="22" cm="1">
        <f t="array" ref="CM8">_xlfn.MAP('6161 - Wallpaper'!B8:B507, '6161 - Wallpaper'!CM8:CM507, '6161 - Wallpaper-WUO_ERR'!CM8:CM507, _xlfn.LAMBDA(_xlpm.part, _xlpm.val, _xlpm.error, IF(_xlpm.part = "", "", IF(LEN(_xlpm.error), _xlfn.SWITCH(IFERROR(_xlfn.TEXTBEFORE(_xlpm.error,":"), ""), "1", "Error", "2", "Disabled", "3", "Required", "4", "Warning", "Valid"), "Valid"))))</f>
        <v>0</v>
      </c>
      <c r="CN8" s="22" cm="1">
        <f t="array" ref="CN8">_xlfn.MAP('6161 - Wallpaper'!B8:B507, '6161 - Wallpaper'!CN8:CN507, '6161 - Wallpaper-WUO_ERR'!CN8:CN507, _xlfn.LAMBDA(_xlpm.part, _xlpm.val, _xlpm.error, IF(_xlpm.part = "", "", IF(LEN(_xlpm.error), _xlfn.SWITCH(IFERROR(_xlfn.TEXTBEFORE(_xlpm.error,":"), ""), "1", "Error", "2", "Disabled", "3", "Required", "4", "Warning", "Valid"), "Valid"))))</f>
        <v>0</v>
      </c>
      <c r="CO8" s="22" cm="1">
        <f t="array" ref="CO8">_xlfn.MAP('6161 - Wallpaper'!B8:B507, '6161 - Wallpaper'!CO8:CO507, '6161 - Wallpaper-WUO_ERR'!CO8:CO507, _xlfn.LAMBDA(_xlpm.part, _xlpm.val, _xlpm.error, IF(_xlpm.part = "", "", IF(LEN(_xlpm.error), _xlfn.SWITCH(IFERROR(_xlfn.TEXTBEFORE(_xlpm.error,":"), ""), "1", "Error", "2", "Disabled", "3", "Required", "4", "Warning", "Valid"), "Valid"))))</f>
        <v>0</v>
      </c>
      <c r="CP8" s="22" cm="1">
        <f t="array" ref="CP8">_xlfn.MAP('6161 - Wallpaper'!B8:B507, '6161 - Wallpaper'!CP8:CP507, '6161 - Wallpaper-WUO_ERR'!CP8:CP507, _xlfn.LAMBDA(_xlpm.part, _xlpm.val, _xlpm.error, IF(_xlpm.part = "", "", IF(LEN(_xlpm.error), _xlfn.SWITCH(IFERROR(_xlfn.TEXTBEFORE(_xlpm.error,":"), ""), "1", "Error", "2", "Disabled", "3", "Required", "4", "Warning", "Valid"), "Valid"))))</f>
        <v>0</v>
      </c>
      <c r="CQ8" s="22" cm="1">
        <f t="array" ref="CQ8">_xlfn.MAP('6161 - Wallpaper'!B8:B507, '6161 - Wallpaper'!CQ8:CQ507, '6161 - Wallpaper-WUO_ERR'!CQ8:CQ507, _xlfn.LAMBDA(_xlpm.part, _xlpm.val, _xlpm.error, IF(_xlpm.part = "", "", IF(LEN(_xlpm.error), _xlfn.SWITCH(IFERROR(_xlfn.TEXTBEFORE(_xlpm.error,":"), ""), "1", "Error", "2", "Disabled", "3", "Required", "4", "Warning", "Valid"), "Valid"))))</f>
        <v>0</v>
      </c>
    </row>
  </sheetData>
  <sheetProtection password="C1CD" sheet="1" objects="1" scenarios="1"/>
  <mergeCells count="9">
    <mergeCell ref="B2:I2"/>
    <mergeCell ref="J2:Q2"/>
    <mergeCell ref="R2:U2"/>
    <mergeCell ref="V2:AA2"/>
    <mergeCell ref="AB2:AL2"/>
    <mergeCell ref="AM2:AP2"/>
    <mergeCell ref="AQ2:BH2"/>
    <mergeCell ref="BI2:CN2"/>
    <mergeCell ref="CO2:CQ2"/>
  </mergeCells>
  <dataValidations count="74">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'WAYFAIR_USE_ONLY'!$B$7:$B15</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Wallpaper Texture" error="The value provided is not a valid Wallpaper Textur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'WAYFAIR_USE_ONLY'!$C$7:$C13</formula1>
    </dataValidation>
    <dataValidation type="list" errorStyle="warning" allowBlank="1" showInputMessage="1" showErrorMessage="1" errorTitle="Invalid Application Type" error="The value provided is not a valid Application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L7">
      <formula1>'WAYFAIR_USE_ONLY'!$D$7:$D12</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N7"/>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O7">
      <formula1>'WAYFAIR_USE_ONLY'!$E$7:$E254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P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Q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R7">
      <formula1>'WAYFAIR_USE_ONLY'!$F$7:$F11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S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T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BZ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C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D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E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F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G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H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I7">
      <formula1>'WAYFAIR_USE_ONLY'!$H$7:$H10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J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J7">
      <formula1>'WAYFAIR_USE_ONLY'!$G$7:$G32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K7">
      <formula1>'WAYFAIR_USE_ONLY'!$I$7:$I9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L7">
      <formula1>'WAYFAIR_USE_ONLY'!$J$7:$J9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M7">
      <formula1>'WAYFAIR_USE_ONLY'!$K$7:$K9</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N7">
      <formula1>'WAYFAIR_USE_ONLY'!$L$7:$L10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O7">
      <formula1>'WAYFAIR_USE_ONLY'!$O$7:$O9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P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Q7"/>
  </dataValidations>
  <hyperlinks>
    <hyperlink ref="D6" location="'Valid Values'!A1" display="Select"/>
    <hyperlink ref="J6" location="'Valid Values'!B1" display="Select"/>
    <hyperlink ref="L6" location="'Valid Values'!D1" display="Select"/>
    <hyperlink ref="N6" location="'Valid Values'!D1" display="Select"/>
    <hyperlink ref="P6" location="'Valid Values'!D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L1" display="Select"/>
    <hyperlink ref="BJ6" location="'Valid Values'!N1" display="Please choose one or more from the following, using a semicolon (;) to separate each value: Abstract; Animal Print; Chevron; Damask; Floral; Geometric; Paisley; Plaid; Polka Dots; Striped; Toile; Brick; Solid Color; Stone; Wood &amp; Shiplap; Marble; Gingham; Camouflage; Ikat; Houndstooth; Patchwork; Ombre; Checkered; Argyle; No Pattern; Trellis; Dots; Starburst; Geometric Shapes; Irish Chain; Chevron / Zig Zag; Clear; Drunkard's Path; Moroccan; Oriental; Block Print; Arc; Vintage Look; Does Not Apply"/>
    <hyperlink ref="BK6" location="'Valid Values'!P1" display="Select"/>
    <hyperlink ref="BL6" location="'Valid Values'!R1" display="Select"/>
    <hyperlink ref="BM6" location="'Valid Values'!T1" display="Please choose one or more from the following, using a semicolon (;) to separate each value: Drop; Random; Straight; Unavailable; Does Not Apply"/>
    <hyperlink ref="BN6" location="'Valid Values'!V1" display="Please choose one or more from the following, using a semicolon (;) to separate each value: Peelable; Strippable; Solution Required; Unavailable; Does Not Apply"/>
    <hyperlink ref="BO6" location="'Valid Values'!X1" display="Select"/>
    <hyperlink ref="BP6" location="'Valid Values'!Z1" display="Please choose one or more from the following, using a semicolon (;) to separate each value: Made in USA; Made in USA of Imported Materials; Product of Canada; Made In Canada; Does Not Apply"/>
    <hyperlink ref="BQ6" location="'Valid Values'!AB1" display="Please choose one or more from the following, using a semicolon (;) to separate each value: Non Residential Use; Residential Use"/>
    <hyperlink ref="BS6" location="'Valid Values'!AD1" display="Please choose one or more from the following, using a semicolon (;) to separate each value: Mold / Mildew Resistant; Water Resistant; No Durability Features; Drip Free; Fade Resistant; Heat Resistant; Stain Resistant; Reinforced; Non-Porous; Fray Resistant; Non-Staining"/>
    <hyperlink ref="BT6" location="'Valid Values'!AF1" display="Please choose one or more from the following, using a semicolon (;) to separate each value: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hyperlink ref="BU6" location="'Valid Values'!AH1" display="Please choose one or more from the following, using a semicolon (;) to separate each value: Wipe down with mild soap and water; Use product specific cleaner; Wipe clean with a dry cloth; Dust mop; Hand wash recommended; Spot clean only; Clean with soap and water; Clean spills immediately; Non-Abrasive, Neutral Ph Cleaner; Vacuum with no beater bar/rotating brush; Professional / Dry Clean Recommended; Vacuum with upholstery attachment; Avoid use of abrasive cleaners; Do not wash; Hose down; Spot clean; Wipe with wet cloth; Spot clean with water; No washing / drying care; Do not bleach; After cleaning, use sealant; Vacuum; Avoid direct sunlight; Clean with cloth, mild soap, and warm water; Spot clean with mild detergent; Spot clean as needed; Do not use any cleaning agents; Machine wash; Dry clean recommended; Use dry, solvent-based cleaner; Wipe with cloth; Hand Wash Only - Towel Dry Immediately; Wipe Clean Only; Wipe clean with a damp cloth; Does Not Apply"/>
    <hyperlink ref="BV6" location="'Valid Values'!AJ1" display="Please choose one or more from the following, using a semicolon (;) to separate each value: Black; Brown; White; Green; Gray; Red; Beige; Yellow; Pink; Orange; Purple; Silver; Gold; Clear; Cream; Ivory; Tan; Teal; Navy; Blue"/>
    <hyperlink ref="BX6" location="'Valid Values'!AL1" display="Please choose one or more from the following, using a semicolon (;) to separate each value: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
    <hyperlink ref="BY6" location="'Valid Values'!AM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AN1" display="Please choose one or more from the following, using a semicolon (;) to separate each value: Breathable; Dual Sided; Paintable / Stainable; No General Features"/>
    <hyperlink ref="CB6" location="'Valid Values'!AP1" display="Please choose one or more from the following, using a semicolon (;) to separate each value: Aluminum; Cast Iron; Fabric; Paper; Plastic; PVC; Steel; Solid Wood; Vinyl; Wood; Fleece; Grass Cloth; MDF; Non-Woven; Particle Board / Chipboard; Plywood / Laminate Board; Paper / Printed Veneer; Real Wood Veneer"/>
    <hyperlink ref="CC6" location="'Valid Values'!AR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D6" location="'Valid Values'!AT1" display="Please choose one or more from the following, using a semicolon (;) to separate each value: Satin; Gloss; Rubber Coated; Neoprene Dipped; Distressed; Glitter / Shimmer; Low-Gloss; Matte; Metallic; Primed; Semi Gloss; Does Not Apply"/>
    <hyperlink ref="CJ6" location="'Valid Values'!AV1" display="Select"/>
    <hyperlink ref="CK6" location="'Valid Values'!AX1" display="Select"/>
    <hyperlink ref="CL6" location="'Valid Values'!AY1" display="Select"/>
    <hyperlink ref="CP6" location="'Valid Values'!BA1" display="Select"/>
    <hyperlink ref="CQ6" location="'Valid Values'!BB1" display="Please choose one or more from the following, using a semicolon (;) to separate each value: Cancer; Developmental"/>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dimension ref="A1:CN507"/>
  <sheetViews>
    <sheetView workbookViewId="0">
      <pane xSplit="2" topLeftCell="C1" activePane="topRight" state="frozen"/>
      <selection pane="topRight"/>
    </sheetView>
  </sheetViews>
  <sheetFormatPr defaultRowHeight="15"/>
  <cols>
    <col min="1" max="1" width="35.7109375" customWidth="1"/>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2.7109375" style="22" customWidth="1"/>
    <col min="69" max="69" width="23.7109375" style="22" customWidth="1"/>
    <col min="70" max="70" width="43.7109375" style="22" customWidth="1"/>
    <col min="71" max="71" width="13.7109375" style="22" customWidth="1"/>
    <col min="72" max="72" width="30.7109375" style="22" customWidth="1"/>
    <col min="73" max="73" width="15.7109375" style="22" customWidth="1"/>
    <col min="74" max="74" width="27.7109375" style="22" customWidth="1"/>
    <col min="75" max="75" width="10.7109375" style="22" customWidth="1"/>
    <col min="76" max="76" width="36.7109375" style="22" customWidth="1"/>
    <col min="77" max="77" width="20.7109375" style="22" customWidth="1"/>
    <col min="78" max="78" width="29.7109375" style="22" customWidth="1"/>
    <col min="79" max="79" width="21.7109375" style="22" customWidth="1"/>
    <col min="80" max="80" width="14.7109375" style="22" customWidth="1"/>
    <col min="81" max="81" width="35.7109375" style="22" customWidth="1"/>
    <col min="82" max="82" width="33.7109375" style="22" customWidth="1"/>
    <col min="83" max="83" width="24.7109375" style="22" customWidth="1"/>
    <col min="84" max="84" width="31.7109375" style="22" customWidth="1"/>
    <col min="85" max="85" width="108.7109375" style="22" customWidth="1"/>
    <col min="86" max="86" width="64.7109375" style="22" customWidth="1"/>
    <col min="87" max="87" width="31.7109375" style="22" customWidth="1"/>
    <col min="88" max="88" width="19.7109375" style="22" customWidth="1"/>
    <col min="89" max="89" width="79.7109375" style="22" customWidth="1"/>
    <col min="90" max="90" width="21.7109375" style="22" customWidth="1"/>
    <col min="91" max="92" width="15.7109375" style="22" customWidth="1"/>
  </cols>
  <sheetData>
    <row r="1" spans="1:92"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2493</v>
      </c>
      <c r="BJ1" s="22" t="s">
        <v>2494</v>
      </c>
      <c r="BK1" s="22" t="s">
        <v>2498</v>
      </c>
      <c r="BL1" s="22" t="s">
        <v>2501</v>
      </c>
      <c r="BM1" s="22" t="s">
        <v>2503</v>
      </c>
      <c r="BN1" s="22" t="s">
        <v>2507</v>
      </c>
      <c r="BO1" s="22" t="s">
        <v>2510</v>
      </c>
      <c r="BP1" s="22" t="s">
        <v>2514</v>
      </c>
      <c r="BQ1" s="22" t="s">
        <v>2515</v>
      </c>
      <c r="BR1" s="22" t="s">
        <v>2518</v>
      </c>
      <c r="BS1" s="22" t="s">
        <v>2519</v>
      </c>
      <c r="BT1" s="22" t="s">
        <v>2520</v>
      </c>
      <c r="BU1" s="22" t="s">
        <v>2523</v>
      </c>
      <c r="BV1" s="22" t="s">
        <v>2525</v>
      </c>
      <c r="BW1" s="22" t="s">
        <v>2529</v>
      </c>
      <c r="BX1" s="22" t="s">
        <v>2531</v>
      </c>
      <c r="BY1" s="22" t="s">
        <v>2534</v>
      </c>
      <c r="BZ1" s="22" t="s">
        <v>2538</v>
      </c>
      <c r="CA1" s="22" t="s">
        <v>2539</v>
      </c>
      <c r="CB1" s="22" t="s">
        <v>2541</v>
      </c>
      <c r="CC1" s="22" t="s">
        <v>2542</v>
      </c>
      <c r="CD1" s="22" t="s">
        <v>2545</v>
      </c>
      <c r="CE1" s="22" t="s">
        <v>2546</v>
      </c>
      <c r="CF1" s="22" t="s">
        <v>2547</v>
      </c>
      <c r="CG1" s="22" t="s">
        <v>2548</v>
      </c>
      <c r="CH1" s="22" t="s">
        <v>2549</v>
      </c>
      <c r="CI1" s="22" t="s">
        <v>2550</v>
      </c>
      <c r="CJ1" s="22" t="s">
        <v>2551</v>
      </c>
      <c r="CK1" s="22" t="s">
        <v>2554</v>
      </c>
      <c r="CL1" s="22" t="s">
        <v>2474</v>
      </c>
      <c r="CM1" s="22" t="s">
        <v>2477</v>
      </c>
      <c r="CN1" s="22" t="s">
        <v>2480</v>
      </c>
    </row>
    <row r="2" spans="1:92">
      <c r="B2" s="23" t="s">
        <v>2484</v>
      </c>
      <c r="J2" s="24" t="s">
        <v>2485</v>
      </c>
      <c r="R2" s="25" t="s">
        <v>2486</v>
      </c>
      <c r="V2" s="26" t="s">
        <v>2487</v>
      </c>
      <c r="AB2" s="27" t="s">
        <v>2488</v>
      </c>
      <c r="AM2" s="28" t="s">
        <v>2489</v>
      </c>
      <c r="AQ2" s="29" t="s">
        <v>2490</v>
      </c>
      <c r="BI2" s="30" t="s">
        <v>2491</v>
      </c>
      <c r="CL2" s="31" t="s">
        <v>2492</v>
      </c>
    </row>
    <row r="3" spans="1:92">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58</v>
      </c>
      <c r="BQ3" s="32" t="s">
        <v>60</v>
      </c>
      <c r="BR3" s="32" t="s">
        <v>62</v>
      </c>
      <c r="BS3" s="32" t="s">
        <v>58</v>
      </c>
      <c r="BT3" s="32" t="s">
        <v>60</v>
      </c>
      <c r="BU3" s="32" t="s">
        <v>60</v>
      </c>
      <c r="BV3" s="32" t="s">
        <v>60</v>
      </c>
      <c r="BW3" s="32" t="s">
        <v>58</v>
      </c>
      <c r="BX3" s="32" t="s">
        <v>60</v>
      </c>
      <c r="BY3" s="32" t="s">
        <v>58</v>
      </c>
      <c r="BZ3" s="32" t="s">
        <v>60</v>
      </c>
      <c r="CA3" s="32" t="s">
        <v>60</v>
      </c>
      <c r="CB3" s="32" t="s">
        <v>60</v>
      </c>
      <c r="CC3" s="32" t="s">
        <v>58</v>
      </c>
      <c r="CD3" s="32" t="s">
        <v>58</v>
      </c>
      <c r="CE3" s="32" t="s">
        <v>60</v>
      </c>
      <c r="CF3" s="32" t="s">
        <v>60</v>
      </c>
      <c r="CG3" s="32" t="s">
        <v>58</v>
      </c>
      <c r="CH3" s="32" t="s">
        <v>58</v>
      </c>
      <c r="CI3" s="32" t="s">
        <v>58</v>
      </c>
      <c r="CJ3" s="32" t="s">
        <v>60</v>
      </c>
      <c r="CK3" s="32" t="s">
        <v>60</v>
      </c>
      <c r="CL3" s="32" t="s">
        <v>58</v>
      </c>
      <c r="CM3" s="32" t="s">
        <v>64</v>
      </c>
      <c r="CN3" s="32" t="s">
        <v>64</v>
      </c>
    </row>
    <row r="4" spans="1:92" ht="50" customHeight="1">
      <c r="A4" s="19" t="s">
        <v>2217</v>
      </c>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2495</v>
      </c>
      <c r="BK4" s="19" t="s">
        <v>2499</v>
      </c>
      <c r="BL4" s="19" t="s">
        <v>2433</v>
      </c>
      <c r="BM4" s="19" t="s">
        <v>2504</v>
      </c>
      <c r="BN4" s="19" t="s">
        <v>2508</v>
      </c>
      <c r="BO4" s="19" t="s">
        <v>2511</v>
      </c>
      <c r="BP4" s="19" t="s">
        <v>2386</v>
      </c>
      <c r="BQ4" s="19" t="s">
        <v>2516</v>
      </c>
      <c r="BR4" s="19" t="s">
        <v>2389</v>
      </c>
      <c r="BS4" s="19" t="s">
        <v>2397</v>
      </c>
      <c r="BT4" s="19" t="s">
        <v>2521</v>
      </c>
      <c r="BU4" s="19" t="s">
        <v>2400</v>
      </c>
      <c r="BV4" s="19" t="s">
        <v>2526</v>
      </c>
      <c r="BW4" s="19" t="s">
        <v>2160</v>
      </c>
      <c r="BX4" s="19" t="s">
        <v>2532</v>
      </c>
      <c r="BY4" s="19" t="s">
        <v>2535</v>
      </c>
      <c r="BZ4" s="19" t="s">
        <v>2422</v>
      </c>
      <c r="CA4" s="19" t="s">
        <v>2429</v>
      </c>
      <c r="CB4" s="19" t="s">
        <v>2437</v>
      </c>
      <c r="CC4" s="19" t="s">
        <v>2543</v>
      </c>
      <c r="CD4" s="19" t="s">
        <v>2448</v>
      </c>
      <c r="CE4" s="33" t="s">
        <v>2457</v>
      </c>
      <c r="CF4" s="34" t="s">
        <v>2460</v>
      </c>
      <c r="CG4" s="19" t="s">
        <v>2463</v>
      </c>
      <c r="CH4" s="19" t="s">
        <v>2466</v>
      </c>
      <c r="CI4" s="19" t="s">
        <v>2469</v>
      </c>
      <c r="CJ4" s="19" t="s">
        <v>2552</v>
      </c>
      <c r="CK4" s="19" t="s">
        <v>2472</v>
      </c>
      <c r="CL4" s="19" t="s">
        <v>2475</v>
      </c>
      <c r="CM4" s="19" t="s">
        <v>2478</v>
      </c>
      <c r="CN4" s="19" t="s">
        <v>2481</v>
      </c>
    </row>
    <row r="5" spans="1:92" ht="50" customHeight="1">
      <c r="A5" s="35" t="s">
        <v>2218</v>
      </c>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2496</v>
      </c>
      <c r="BK5" s="35" t="s">
        <v>2500</v>
      </c>
      <c r="BL5" s="35" t="s">
        <v>2434</v>
      </c>
      <c r="BM5" s="35" t="s">
        <v>2505</v>
      </c>
      <c r="BN5" s="35" t="s">
        <v>2509</v>
      </c>
      <c r="BO5" s="35" t="s">
        <v>2512</v>
      </c>
      <c r="BP5" s="35" t="s">
        <v>2387</v>
      </c>
      <c r="BQ5" s="35" t="s">
        <v>2517</v>
      </c>
      <c r="BR5" s="35" t="s">
        <v>2390</v>
      </c>
      <c r="BS5" s="35" t="s">
        <v>2398</v>
      </c>
      <c r="BT5" s="35" t="s">
        <v>2522</v>
      </c>
      <c r="BU5" s="35" t="s">
        <v>2401</v>
      </c>
      <c r="BV5" s="35" t="s">
        <v>2527</v>
      </c>
      <c r="BW5" s="35" t="s">
        <v>2412</v>
      </c>
      <c r="BX5" s="35" t="s">
        <v>2533</v>
      </c>
      <c r="BY5" s="35" t="s">
        <v>2536</v>
      </c>
      <c r="BZ5" s="35" t="s">
        <v>2423</v>
      </c>
      <c r="CA5" s="35" t="s">
        <v>2430</v>
      </c>
      <c r="CB5" s="35" t="s">
        <v>2438</v>
      </c>
      <c r="CC5" s="35" t="s">
        <v>2544</v>
      </c>
      <c r="CD5" s="35" t="s">
        <v>2449</v>
      </c>
      <c r="CE5" s="35" t="s">
        <v>2458</v>
      </c>
      <c r="CF5" s="35" t="s">
        <v>2461</v>
      </c>
      <c r="CG5" s="35" t="s">
        <v>2464</v>
      </c>
      <c r="CH5" s="35" t="s">
        <v>2467</v>
      </c>
      <c r="CI5" s="35" t="s">
        <v>2470</v>
      </c>
      <c r="CJ5" s="35" t="s">
        <v>2553</v>
      </c>
      <c r="CK5" s="35" t="s">
        <v>2473</v>
      </c>
      <c r="CL5" s="35" t="s">
        <v>2476</v>
      </c>
      <c r="CM5" s="35" t="s">
        <v>2479</v>
      </c>
      <c r="CN5" s="35" t="s">
        <v>2482</v>
      </c>
    </row>
    <row r="6" spans="1:92" ht="50" customHeight="1">
      <c r="A6" s="35" t="s">
        <v>2219</v>
      </c>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2497</v>
      </c>
      <c r="BK6" s="36" t="s">
        <v>2231</v>
      </c>
      <c r="BL6" s="36" t="s">
        <v>5384</v>
      </c>
      <c r="BM6" s="36" t="s">
        <v>2506</v>
      </c>
      <c r="BN6" s="35" t="s">
        <v>77</v>
      </c>
      <c r="BO6" s="36" t="s">
        <v>2513</v>
      </c>
      <c r="BP6" s="36" t="s">
        <v>2231</v>
      </c>
      <c r="BQ6" s="36" t="s">
        <v>2231</v>
      </c>
      <c r="BR6" s="36" t="s">
        <v>2391</v>
      </c>
      <c r="BS6" s="35" t="s">
        <v>77</v>
      </c>
      <c r="BT6" s="36" t="s">
        <v>2231</v>
      </c>
      <c r="BU6" s="36" t="s">
        <v>2524</v>
      </c>
      <c r="BV6" s="36" t="s">
        <v>2528</v>
      </c>
      <c r="BW6" s="36" t="s">
        <v>2530</v>
      </c>
      <c r="BX6" s="35" t="s">
        <v>2289</v>
      </c>
      <c r="BY6" s="36" t="s">
        <v>2537</v>
      </c>
      <c r="BZ6" s="36" t="s">
        <v>4971</v>
      </c>
      <c r="CA6" s="36" t="s">
        <v>2540</v>
      </c>
      <c r="CB6" s="36" t="s">
        <v>2439</v>
      </c>
      <c r="CC6" s="35" t="s">
        <v>2266</v>
      </c>
      <c r="CD6" s="35" t="s">
        <v>2266</v>
      </c>
      <c r="CE6" s="35" t="s">
        <v>77</v>
      </c>
      <c r="CF6" s="36" t="s">
        <v>2231</v>
      </c>
      <c r="CG6" s="36" t="s">
        <v>2231</v>
      </c>
      <c r="CH6" s="36" t="s">
        <v>2231</v>
      </c>
      <c r="CI6" s="35" t="s">
        <v>77</v>
      </c>
      <c r="CJ6" s="36" t="s">
        <v>2231</v>
      </c>
      <c r="CK6" s="35" t="s">
        <v>77</v>
      </c>
      <c r="CL6" s="35" t="s">
        <v>77</v>
      </c>
      <c r="CM6" s="36" t="s">
        <v>2231</v>
      </c>
      <c r="CN6" s="36" t="s">
        <v>2483</v>
      </c>
    </row>
    <row r="7" spans="1:92">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row>
    <row r="8" spans="1:92">
      <c r="A8" s="39">
        <f>IF('3757 - Wall Stickers'!B8 = "", "", IF('3757 - Wall Stickers-WUO_ERR'!A8 = "", "Validated", HYPERLINK("#" &amp; ADDRESS(8, '3757 - Wall Stickers-WUO_TRK'!A8),_xlfn.TEXTAFTER('3757 - Wall Stickers-WUO_ERR'!A8, ":"))))</f>
        <v>0</v>
      </c>
    </row>
    <row r="9" spans="1:92">
      <c r="A9" s="39">
        <f>IF('3757 - Wall Stickers'!B9 = "", "", IF('3757 - Wall Stickers-WUO_ERR'!A9 = "", "Validated", HYPERLINK("#" &amp; ADDRESS(9, '3757 - Wall Stickers-WUO_TRK'!A9),_xlfn.TEXTAFTER('3757 - Wall Stickers-WUO_ERR'!A9, ":"))))</f>
        <v>0</v>
      </c>
    </row>
    <row r="10" spans="1:92">
      <c r="A10" s="39">
        <f>IF('3757 - Wall Stickers'!B10 = "", "", IF('3757 - Wall Stickers-WUO_ERR'!A10 = "", "Validated", HYPERLINK("#" &amp; ADDRESS(10, '3757 - Wall Stickers-WUO_TRK'!A10),_xlfn.TEXTAFTER('3757 - Wall Stickers-WUO_ERR'!A10, ":"))))</f>
        <v>0</v>
      </c>
    </row>
    <row r="11" spans="1:92">
      <c r="A11" s="39">
        <f>IF('3757 - Wall Stickers'!B11 = "", "", IF('3757 - Wall Stickers-WUO_ERR'!A11 = "", "Validated", HYPERLINK("#" &amp; ADDRESS(11, '3757 - Wall Stickers-WUO_TRK'!A11),_xlfn.TEXTAFTER('3757 - Wall Stickers-WUO_ERR'!A11, ":"))))</f>
        <v>0</v>
      </c>
    </row>
    <row r="12" spans="1:92">
      <c r="A12" s="39">
        <f>IF('3757 - Wall Stickers'!B12 = "", "", IF('3757 - Wall Stickers-WUO_ERR'!A12 = "", "Validated", HYPERLINK("#" &amp; ADDRESS(12, '3757 - Wall Stickers-WUO_TRK'!A12),_xlfn.TEXTAFTER('3757 - Wall Stickers-WUO_ERR'!A12, ":"))))</f>
        <v>0</v>
      </c>
    </row>
    <row r="13" spans="1:92">
      <c r="A13" s="39">
        <f>IF('3757 - Wall Stickers'!B13 = "", "", IF('3757 - Wall Stickers-WUO_ERR'!A13 = "", "Validated", HYPERLINK("#" &amp; ADDRESS(13, '3757 - Wall Stickers-WUO_TRK'!A13),_xlfn.TEXTAFTER('3757 - Wall Stickers-WUO_ERR'!A13, ":"))))</f>
        <v>0</v>
      </c>
    </row>
    <row r="14" spans="1:92">
      <c r="A14" s="39">
        <f>IF('3757 - Wall Stickers'!B14 = "", "", IF('3757 - Wall Stickers-WUO_ERR'!A14 = "", "Validated", HYPERLINK("#" &amp; ADDRESS(14, '3757 - Wall Stickers-WUO_TRK'!A14),_xlfn.TEXTAFTER('3757 - Wall Stickers-WUO_ERR'!A14, ":"))))</f>
        <v>0</v>
      </c>
    </row>
    <row r="15" spans="1:92">
      <c r="A15" s="39">
        <f>IF('3757 - Wall Stickers'!B15 = "", "", IF('3757 - Wall Stickers-WUO_ERR'!A15 = "", "Validated", HYPERLINK("#" &amp; ADDRESS(15, '3757 - Wall Stickers-WUO_TRK'!A15),_xlfn.TEXTAFTER('3757 - Wall Stickers-WUO_ERR'!A15, ":"))))</f>
        <v>0</v>
      </c>
    </row>
    <row r="16" spans="1:92">
      <c r="A16" s="39">
        <f>IF('3757 - Wall Stickers'!B16 = "", "", IF('3757 - Wall Stickers-WUO_ERR'!A16 = "", "Validated", HYPERLINK("#" &amp; ADDRESS(16, '3757 - Wall Stickers-WUO_TRK'!A16),_xlfn.TEXTAFTER('3757 - Wall Stickers-WUO_ERR'!A16, ":"))))</f>
        <v>0</v>
      </c>
    </row>
    <row r="17" spans="1:1">
      <c r="A17" s="39">
        <f>IF('3757 - Wall Stickers'!B17 = "", "", IF('3757 - Wall Stickers-WUO_ERR'!A17 = "", "Validated", HYPERLINK("#" &amp; ADDRESS(17, '3757 - Wall Stickers-WUO_TRK'!A17),_xlfn.TEXTAFTER('3757 - Wall Stickers-WUO_ERR'!A17, ":"))))</f>
        <v>0</v>
      </c>
    </row>
    <row r="18" spans="1:1">
      <c r="A18" s="39">
        <f>IF('3757 - Wall Stickers'!B18 = "", "", IF('3757 - Wall Stickers-WUO_ERR'!A18 = "", "Validated", HYPERLINK("#" &amp; ADDRESS(18, '3757 - Wall Stickers-WUO_TRK'!A18),_xlfn.TEXTAFTER('3757 - Wall Stickers-WUO_ERR'!A18, ":"))))</f>
        <v>0</v>
      </c>
    </row>
    <row r="19" spans="1:1">
      <c r="A19" s="39">
        <f>IF('3757 - Wall Stickers'!B19 = "", "", IF('3757 - Wall Stickers-WUO_ERR'!A19 = "", "Validated", HYPERLINK("#" &amp; ADDRESS(19, '3757 - Wall Stickers-WUO_TRK'!A19),_xlfn.TEXTAFTER('3757 - Wall Stickers-WUO_ERR'!A19, ":"))))</f>
        <v>0</v>
      </c>
    </row>
    <row r="20" spans="1:1">
      <c r="A20" s="39">
        <f>IF('3757 - Wall Stickers'!B20 = "", "", IF('3757 - Wall Stickers-WUO_ERR'!A20 = "", "Validated", HYPERLINK("#" &amp; ADDRESS(20, '3757 - Wall Stickers-WUO_TRK'!A20),_xlfn.TEXTAFTER('3757 - Wall Stickers-WUO_ERR'!A20, ":"))))</f>
        <v>0</v>
      </c>
    </row>
    <row r="21" spans="1:1">
      <c r="A21" s="39">
        <f>IF('3757 - Wall Stickers'!B21 = "", "", IF('3757 - Wall Stickers-WUO_ERR'!A21 = "", "Validated", HYPERLINK("#" &amp; ADDRESS(21, '3757 - Wall Stickers-WUO_TRK'!A21),_xlfn.TEXTAFTER('3757 - Wall Stickers-WUO_ERR'!A21, ":"))))</f>
        <v>0</v>
      </c>
    </row>
    <row r="22" spans="1:1">
      <c r="A22" s="39">
        <f>IF('3757 - Wall Stickers'!B22 = "", "", IF('3757 - Wall Stickers-WUO_ERR'!A22 = "", "Validated", HYPERLINK("#" &amp; ADDRESS(22, '3757 - Wall Stickers-WUO_TRK'!A22),_xlfn.TEXTAFTER('3757 - Wall Stickers-WUO_ERR'!A22, ":"))))</f>
        <v>0</v>
      </c>
    </row>
    <row r="23" spans="1:1">
      <c r="A23" s="39">
        <f>IF('3757 - Wall Stickers'!B23 = "", "", IF('3757 - Wall Stickers-WUO_ERR'!A23 = "", "Validated", HYPERLINK("#" &amp; ADDRESS(23, '3757 - Wall Stickers-WUO_TRK'!A23),_xlfn.TEXTAFTER('3757 - Wall Stickers-WUO_ERR'!A23, ":"))))</f>
        <v>0</v>
      </c>
    </row>
    <row r="24" spans="1:1">
      <c r="A24" s="39">
        <f>IF('3757 - Wall Stickers'!B24 = "", "", IF('3757 - Wall Stickers-WUO_ERR'!A24 = "", "Validated", HYPERLINK("#" &amp; ADDRESS(24, '3757 - Wall Stickers-WUO_TRK'!A24),_xlfn.TEXTAFTER('3757 - Wall Stickers-WUO_ERR'!A24, ":"))))</f>
        <v>0</v>
      </c>
    </row>
    <row r="25" spans="1:1">
      <c r="A25" s="39">
        <f>IF('3757 - Wall Stickers'!B25 = "", "", IF('3757 - Wall Stickers-WUO_ERR'!A25 = "", "Validated", HYPERLINK("#" &amp; ADDRESS(25, '3757 - Wall Stickers-WUO_TRK'!A25),_xlfn.TEXTAFTER('3757 - Wall Stickers-WUO_ERR'!A25, ":"))))</f>
        <v>0</v>
      </c>
    </row>
    <row r="26" spans="1:1">
      <c r="A26" s="39">
        <f>IF('3757 - Wall Stickers'!B26 = "", "", IF('3757 - Wall Stickers-WUO_ERR'!A26 = "", "Validated", HYPERLINK("#" &amp; ADDRESS(26, '3757 - Wall Stickers-WUO_TRK'!A26),_xlfn.TEXTAFTER('3757 - Wall Stickers-WUO_ERR'!A26, ":"))))</f>
        <v>0</v>
      </c>
    </row>
    <row r="27" spans="1:1">
      <c r="A27" s="39">
        <f>IF('3757 - Wall Stickers'!B27 = "", "", IF('3757 - Wall Stickers-WUO_ERR'!A27 = "", "Validated", HYPERLINK("#" &amp; ADDRESS(27, '3757 - Wall Stickers-WUO_TRK'!A27),_xlfn.TEXTAFTER('3757 - Wall Stickers-WUO_ERR'!A27, ":"))))</f>
        <v>0</v>
      </c>
    </row>
    <row r="28" spans="1:1">
      <c r="A28" s="39">
        <f>IF('3757 - Wall Stickers'!B28 = "", "", IF('3757 - Wall Stickers-WUO_ERR'!A28 = "", "Validated", HYPERLINK("#" &amp; ADDRESS(28, '3757 - Wall Stickers-WUO_TRK'!A28),_xlfn.TEXTAFTER('3757 - Wall Stickers-WUO_ERR'!A28, ":"))))</f>
        <v>0</v>
      </c>
    </row>
    <row r="29" spans="1:1">
      <c r="A29" s="39">
        <f>IF('3757 - Wall Stickers'!B29 = "", "", IF('3757 - Wall Stickers-WUO_ERR'!A29 = "", "Validated", HYPERLINK("#" &amp; ADDRESS(29, '3757 - Wall Stickers-WUO_TRK'!A29),_xlfn.TEXTAFTER('3757 - Wall Stickers-WUO_ERR'!A29, ":"))))</f>
        <v>0</v>
      </c>
    </row>
    <row r="30" spans="1:1">
      <c r="A30" s="39">
        <f>IF('3757 - Wall Stickers'!B30 = "", "", IF('3757 - Wall Stickers-WUO_ERR'!A30 = "", "Validated", HYPERLINK("#" &amp; ADDRESS(30, '3757 - Wall Stickers-WUO_TRK'!A30),_xlfn.TEXTAFTER('3757 - Wall Stickers-WUO_ERR'!A30, ":"))))</f>
        <v>0</v>
      </c>
    </row>
    <row r="31" spans="1:1">
      <c r="A31" s="39">
        <f>IF('3757 - Wall Stickers'!B31 = "", "", IF('3757 - Wall Stickers-WUO_ERR'!A31 = "", "Validated", HYPERLINK("#" &amp; ADDRESS(31, '3757 - Wall Stickers-WUO_TRK'!A31),_xlfn.TEXTAFTER('3757 - Wall Stickers-WUO_ERR'!A31, ":"))))</f>
        <v>0</v>
      </c>
    </row>
    <row r="32" spans="1:1">
      <c r="A32" s="39">
        <f>IF('3757 - Wall Stickers'!B32 = "", "", IF('3757 - Wall Stickers-WUO_ERR'!A32 = "", "Validated", HYPERLINK("#" &amp; ADDRESS(32, '3757 - Wall Stickers-WUO_TRK'!A32),_xlfn.TEXTAFTER('3757 - Wall Stickers-WUO_ERR'!A32, ":"))))</f>
        <v>0</v>
      </c>
    </row>
    <row r="33" spans="1:1">
      <c r="A33" s="39">
        <f>IF('3757 - Wall Stickers'!B33 = "", "", IF('3757 - Wall Stickers-WUO_ERR'!A33 = "", "Validated", HYPERLINK("#" &amp; ADDRESS(33, '3757 - Wall Stickers-WUO_TRK'!A33),_xlfn.TEXTAFTER('3757 - Wall Stickers-WUO_ERR'!A33, ":"))))</f>
        <v>0</v>
      </c>
    </row>
    <row r="34" spans="1:1">
      <c r="A34" s="39">
        <f>IF('3757 - Wall Stickers'!B34 = "", "", IF('3757 - Wall Stickers-WUO_ERR'!A34 = "", "Validated", HYPERLINK("#" &amp; ADDRESS(34, '3757 - Wall Stickers-WUO_TRK'!A34),_xlfn.TEXTAFTER('3757 - Wall Stickers-WUO_ERR'!A34, ":"))))</f>
        <v>0</v>
      </c>
    </row>
    <row r="35" spans="1:1">
      <c r="A35" s="39">
        <f>IF('3757 - Wall Stickers'!B35 = "", "", IF('3757 - Wall Stickers-WUO_ERR'!A35 = "", "Validated", HYPERLINK("#" &amp; ADDRESS(35, '3757 - Wall Stickers-WUO_TRK'!A35),_xlfn.TEXTAFTER('3757 - Wall Stickers-WUO_ERR'!A35, ":"))))</f>
        <v>0</v>
      </c>
    </row>
    <row r="36" spans="1:1">
      <c r="A36" s="39">
        <f>IF('3757 - Wall Stickers'!B36 = "", "", IF('3757 - Wall Stickers-WUO_ERR'!A36 = "", "Validated", HYPERLINK("#" &amp; ADDRESS(36, '3757 - Wall Stickers-WUO_TRK'!A36),_xlfn.TEXTAFTER('3757 - Wall Stickers-WUO_ERR'!A36, ":"))))</f>
        <v>0</v>
      </c>
    </row>
    <row r="37" spans="1:1">
      <c r="A37" s="39">
        <f>IF('3757 - Wall Stickers'!B37 = "", "", IF('3757 - Wall Stickers-WUO_ERR'!A37 = "", "Validated", HYPERLINK("#" &amp; ADDRESS(37, '3757 - Wall Stickers-WUO_TRK'!A37),_xlfn.TEXTAFTER('3757 - Wall Stickers-WUO_ERR'!A37, ":"))))</f>
        <v>0</v>
      </c>
    </row>
    <row r="38" spans="1:1">
      <c r="A38" s="39">
        <f>IF('3757 - Wall Stickers'!B38 = "", "", IF('3757 - Wall Stickers-WUO_ERR'!A38 = "", "Validated", HYPERLINK("#" &amp; ADDRESS(38, '3757 - Wall Stickers-WUO_TRK'!A38),_xlfn.TEXTAFTER('3757 - Wall Stickers-WUO_ERR'!A38, ":"))))</f>
        <v>0</v>
      </c>
    </row>
    <row r="39" spans="1:1">
      <c r="A39" s="39">
        <f>IF('3757 - Wall Stickers'!B39 = "", "", IF('3757 - Wall Stickers-WUO_ERR'!A39 = "", "Validated", HYPERLINK("#" &amp; ADDRESS(39, '3757 - Wall Stickers-WUO_TRK'!A39),_xlfn.TEXTAFTER('3757 - Wall Stickers-WUO_ERR'!A39, ":"))))</f>
        <v>0</v>
      </c>
    </row>
    <row r="40" spans="1:1">
      <c r="A40" s="39">
        <f>IF('3757 - Wall Stickers'!B40 = "", "", IF('3757 - Wall Stickers-WUO_ERR'!A40 = "", "Validated", HYPERLINK("#" &amp; ADDRESS(40, '3757 - Wall Stickers-WUO_TRK'!A40),_xlfn.TEXTAFTER('3757 - Wall Stickers-WUO_ERR'!A40, ":"))))</f>
        <v>0</v>
      </c>
    </row>
    <row r="41" spans="1:1">
      <c r="A41" s="39">
        <f>IF('3757 - Wall Stickers'!B41 = "", "", IF('3757 - Wall Stickers-WUO_ERR'!A41 = "", "Validated", HYPERLINK("#" &amp; ADDRESS(41, '3757 - Wall Stickers-WUO_TRK'!A41),_xlfn.TEXTAFTER('3757 - Wall Stickers-WUO_ERR'!A41, ":"))))</f>
        <v>0</v>
      </c>
    </row>
    <row r="42" spans="1:1">
      <c r="A42" s="39">
        <f>IF('3757 - Wall Stickers'!B42 = "", "", IF('3757 - Wall Stickers-WUO_ERR'!A42 = "", "Validated", HYPERLINK("#" &amp; ADDRESS(42, '3757 - Wall Stickers-WUO_TRK'!A42),_xlfn.TEXTAFTER('3757 - Wall Stickers-WUO_ERR'!A42, ":"))))</f>
        <v>0</v>
      </c>
    </row>
    <row r="43" spans="1:1">
      <c r="A43" s="39">
        <f>IF('3757 - Wall Stickers'!B43 = "", "", IF('3757 - Wall Stickers-WUO_ERR'!A43 = "", "Validated", HYPERLINK("#" &amp; ADDRESS(43, '3757 - Wall Stickers-WUO_TRK'!A43),_xlfn.TEXTAFTER('3757 - Wall Stickers-WUO_ERR'!A43, ":"))))</f>
        <v>0</v>
      </c>
    </row>
    <row r="44" spans="1:1">
      <c r="A44" s="39">
        <f>IF('3757 - Wall Stickers'!B44 = "", "", IF('3757 - Wall Stickers-WUO_ERR'!A44 = "", "Validated", HYPERLINK("#" &amp; ADDRESS(44, '3757 - Wall Stickers-WUO_TRK'!A44),_xlfn.TEXTAFTER('3757 - Wall Stickers-WUO_ERR'!A44, ":"))))</f>
        <v>0</v>
      </c>
    </row>
    <row r="45" spans="1:1">
      <c r="A45" s="39">
        <f>IF('3757 - Wall Stickers'!B45 = "", "", IF('3757 - Wall Stickers-WUO_ERR'!A45 = "", "Validated", HYPERLINK("#" &amp; ADDRESS(45, '3757 - Wall Stickers-WUO_TRK'!A45),_xlfn.TEXTAFTER('3757 - Wall Stickers-WUO_ERR'!A45, ":"))))</f>
        <v>0</v>
      </c>
    </row>
    <row r="46" spans="1:1">
      <c r="A46" s="39">
        <f>IF('3757 - Wall Stickers'!B46 = "", "", IF('3757 - Wall Stickers-WUO_ERR'!A46 = "", "Validated", HYPERLINK("#" &amp; ADDRESS(46, '3757 - Wall Stickers-WUO_TRK'!A46),_xlfn.TEXTAFTER('3757 - Wall Stickers-WUO_ERR'!A46, ":"))))</f>
        <v>0</v>
      </c>
    </row>
    <row r="47" spans="1:1">
      <c r="A47" s="39">
        <f>IF('3757 - Wall Stickers'!B47 = "", "", IF('3757 - Wall Stickers-WUO_ERR'!A47 = "", "Validated", HYPERLINK("#" &amp; ADDRESS(47, '3757 - Wall Stickers-WUO_TRK'!A47),_xlfn.TEXTAFTER('3757 - Wall Stickers-WUO_ERR'!A47, ":"))))</f>
        <v>0</v>
      </c>
    </row>
    <row r="48" spans="1:1">
      <c r="A48" s="39">
        <f>IF('3757 - Wall Stickers'!B48 = "", "", IF('3757 - Wall Stickers-WUO_ERR'!A48 = "", "Validated", HYPERLINK("#" &amp; ADDRESS(48, '3757 - Wall Stickers-WUO_TRK'!A48),_xlfn.TEXTAFTER('3757 - Wall Stickers-WUO_ERR'!A48, ":"))))</f>
        <v>0</v>
      </c>
    </row>
    <row r="49" spans="1:1">
      <c r="A49" s="39">
        <f>IF('3757 - Wall Stickers'!B49 = "", "", IF('3757 - Wall Stickers-WUO_ERR'!A49 = "", "Validated", HYPERLINK("#" &amp; ADDRESS(49, '3757 - Wall Stickers-WUO_TRK'!A49),_xlfn.TEXTAFTER('3757 - Wall Stickers-WUO_ERR'!A49, ":"))))</f>
        <v>0</v>
      </c>
    </row>
    <row r="50" spans="1:1">
      <c r="A50" s="39">
        <f>IF('3757 - Wall Stickers'!B50 = "", "", IF('3757 - Wall Stickers-WUO_ERR'!A50 = "", "Validated", HYPERLINK("#" &amp; ADDRESS(50, '3757 - Wall Stickers-WUO_TRK'!A50),_xlfn.TEXTAFTER('3757 - Wall Stickers-WUO_ERR'!A50, ":"))))</f>
        <v>0</v>
      </c>
    </row>
    <row r="51" spans="1:1">
      <c r="A51" s="39">
        <f>IF('3757 - Wall Stickers'!B51 = "", "", IF('3757 - Wall Stickers-WUO_ERR'!A51 = "", "Validated", HYPERLINK("#" &amp; ADDRESS(51, '3757 - Wall Stickers-WUO_TRK'!A51),_xlfn.TEXTAFTER('3757 - Wall Stickers-WUO_ERR'!A51, ":"))))</f>
        <v>0</v>
      </c>
    </row>
    <row r="52" spans="1:1">
      <c r="A52" s="39">
        <f>IF('3757 - Wall Stickers'!B52 = "", "", IF('3757 - Wall Stickers-WUO_ERR'!A52 = "", "Validated", HYPERLINK("#" &amp; ADDRESS(52, '3757 - Wall Stickers-WUO_TRK'!A52),_xlfn.TEXTAFTER('3757 - Wall Stickers-WUO_ERR'!A52, ":"))))</f>
        <v>0</v>
      </c>
    </row>
    <row r="53" spans="1:1">
      <c r="A53" s="39">
        <f>IF('3757 - Wall Stickers'!B53 = "", "", IF('3757 - Wall Stickers-WUO_ERR'!A53 = "", "Validated", HYPERLINK("#" &amp; ADDRESS(53, '3757 - Wall Stickers-WUO_TRK'!A53),_xlfn.TEXTAFTER('3757 - Wall Stickers-WUO_ERR'!A53, ":"))))</f>
        <v>0</v>
      </c>
    </row>
    <row r="54" spans="1:1">
      <c r="A54" s="39">
        <f>IF('3757 - Wall Stickers'!B54 = "", "", IF('3757 - Wall Stickers-WUO_ERR'!A54 = "", "Validated", HYPERLINK("#" &amp; ADDRESS(54, '3757 - Wall Stickers-WUO_TRK'!A54),_xlfn.TEXTAFTER('3757 - Wall Stickers-WUO_ERR'!A54, ":"))))</f>
        <v>0</v>
      </c>
    </row>
    <row r="55" spans="1:1">
      <c r="A55" s="39">
        <f>IF('3757 - Wall Stickers'!B55 = "", "", IF('3757 - Wall Stickers-WUO_ERR'!A55 = "", "Validated", HYPERLINK("#" &amp; ADDRESS(55, '3757 - Wall Stickers-WUO_TRK'!A55),_xlfn.TEXTAFTER('3757 - Wall Stickers-WUO_ERR'!A55, ":"))))</f>
        <v>0</v>
      </c>
    </row>
    <row r="56" spans="1:1">
      <c r="A56" s="39">
        <f>IF('3757 - Wall Stickers'!B56 = "", "", IF('3757 - Wall Stickers-WUO_ERR'!A56 = "", "Validated", HYPERLINK("#" &amp; ADDRESS(56, '3757 - Wall Stickers-WUO_TRK'!A56),_xlfn.TEXTAFTER('3757 - Wall Stickers-WUO_ERR'!A56, ":"))))</f>
        <v>0</v>
      </c>
    </row>
    <row r="57" spans="1:1">
      <c r="A57" s="39">
        <f>IF('3757 - Wall Stickers'!B57 = "", "", IF('3757 - Wall Stickers-WUO_ERR'!A57 = "", "Validated", HYPERLINK("#" &amp; ADDRESS(57, '3757 - Wall Stickers-WUO_TRK'!A57),_xlfn.TEXTAFTER('3757 - Wall Stickers-WUO_ERR'!A57, ":"))))</f>
        <v>0</v>
      </c>
    </row>
    <row r="58" spans="1:1">
      <c r="A58" s="39">
        <f>IF('3757 - Wall Stickers'!B58 = "", "", IF('3757 - Wall Stickers-WUO_ERR'!A58 = "", "Validated", HYPERLINK("#" &amp; ADDRESS(58, '3757 - Wall Stickers-WUO_TRK'!A58),_xlfn.TEXTAFTER('3757 - Wall Stickers-WUO_ERR'!A58, ":"))))</f>
        <v>0</v>
      </c>
    </row>
    <row r="59" spans="1:1">
      <c r="A59" s="39">
        <f>IF('3757 - Wall Stickers'!B59 = "", "", IF('3757 - Wall Stickers-WUO_ERR'!A59 = "", "Validated", HYPERLINK("#" &amp; ADDRESS(59, '3757 - Wall Stickers-WUO_TRK'!A59),_xlfn.TEXTAFTER('3757 - Wall Stickers-WUO_ERR'!A59, ":"))))</f>
        <v>0</v>
      </c>
    </row>
    <row r="60" spans="1:1">
      <c r="A60" s="39">
        <f>IF('3757 - Wall Stickers'!B60 = "", "", IF('3757 - Wall Stickers-WUO_ERR'!A60 = "", "Validated", HYPERLINK("#" &amp; ADDRESS(60, '3757 - Wall Stickers-WUO_TRK'!A60),_xlfn.TEXTAFTER('3757 - Wall Stickers-WUO_ERR'!A60, ":"))))</f>
        <v>0</v>
      </c>
    </row>
    <row r="61" spans="1:1">
      <c r="A61" s="39">
        <f>IF('3757 - Wall Stickers'!B61 = "", "", IF('3757 - Wall Stickers-WUO_ERR'!A61 = "", "Validated", HYPERLINK("#" &amp; ADDRESS(61, '3757 - Wall Stickers-WUO_TRK'!A61),_xlfn.TEXTAFTER('3757 - Wall Stickers-WUO_ERR'!A61, ":"))))</f>
        <v>0</v>
      </c>
    </row>
    <row r="62" spans="1:1">
      <c r="A62" s="39">
        <f>IF('3757 - Wall Stickers'!B62 = "", "", IF('3757 - Wall Stickers-WUO_ERR'!A62 = "", "Validated", HYPERLINK("#" &amp; ADDRESS(62, '3757 - Wall Stickers-WUO_TRK'!A62),_xlfn.TEXTAFTER('3757 - Wall Stickers-WUO_ERR'!A62, ":"))))</f>
        <v>0</v>
      </c>
    </row>
    <row r="63" spans="1:1">
      <c r="A63" s="39">
        <f>IF('3757 - Wall Stickers'!B63 = "", "", IF('3757 - Wall Stickers-WUO_ERR'!A63 = "", "Validated", HYPERLINK("#" &amp; ADDRESS(63, '3757 - Wall Stickers-WUO_TRK'!A63),_xlfn.TEXTAFTER('3757 - Wall Stickers-WUO_ERR'!A63, ":"))))</f>
        <v>0</v>
      </c>
    </row>
    <row r="64" spans="1:1">
      <c r="A64" s="39">
        <f>IF('3757 - Wall Stickers'!B64 = "", "", IF('3757 - Wall Stickers-WUO_ERR'!A64 = "", "Validated", HYPERLINK("#" &amp; ADDRESS(64, '3757 - Wall Stickers-WUO_TRK'!A64),_xlfn.TEXTAFTER('3757 - Wall Stickers-WUO_ERR'!A64, ":"))))</f>
        <v>0</v>
      </c>
    </row>
    <row r="65" spans="1:1">
      <c r="A65" s="39">
        <f>IF('3757 - Wall Stickers'!B65 = "", "", IF('3757 - Wall Stickers-WUO_ERR'!A65 = "", "Validated", HYPERLINK("#" &amp; ADDRESS(65, '3757 - Wall Stickers-WUO_TRK'!A65),_xlfn.TEXTAFTER('3757 - Wall Stickers-WUO_ERR'!A65, ":"))))</f>
        <v>0</v>
      </c>
    </row>
    <row r="66" spans="1:1">
      <c r="A66" s="39">
        <f>IF('3757 - Wall Stickers'!B66 = "", "", IF('3757 - Wall Stickers-WUO_ERR'!A66 = "", "Validated", HYPERLINK("#" &amp; ADDRESS(66, '3757 - Wall Stickers-WUO_TRK'!A66),_xlfn.TEXTAFTER('3757 - Wall Stickers-WUO_ERR'!A66, ":"))))</f>
        <v>0</v>
      </c>
    </row>
    <row r="67" spans="1:1">
      <c r="A67" s="39">
        <f>IF('3757 - Wall Stickers'!B67 = "", "", IF('3757 - Wall Stickers-WUO_ERR'!A67 = "", "Validated", HYPERLINK("#" &amp; ADDRESS(67, '3757 - Wall Stickers-WUO_TRK'!A67),_xlfn.TEXTAFTER('3757 - Wall Stickers-WUO_ERR'!A67, ":"))))</f>
        <v>0</v>
      </c>
    </row>
    <row r="68" spans="1:1">
      <c r="A68" s="39">
        <f>IF('3757 - Wall Stickers'!B68 = "", "", IF('3757 - Wall Stickers-WUO_ERR'!A68 = "", "Validated", HYPERLINK("#" &amp; ADDRESS(68, '3757 - Wall Stickers-WUO_TRK'!A68),_xlfn.TEXTAFTER('3757 - Wall Stickers-WUO_ERR'!A68, ":"))))</f>
        <v>0</v>
      </c>
    </row>
    <row r="69" spans="1:1">
      <c r="A69" s="39">
        <f>IF('3757 - Wall Stickers'!B69 = "", "", IF('3757 - Wall Stickers-WUO_ERR'!A69 = "", "Validated", HYPERLINK("#" &amp; ADDRESS(69, '3757 - Wall Stickers-WUO_TRK'!A69),_xlfn.TEXTAFTER('3757 - Wall Stickers-WUO_ERR'!A69, ":"))))</f>
        <v>0</v>
      </c>
    </row>
    <row r="70" spans="1:1">
      <c r="A70" s="39">
        <f>IF('3757 - Wall Stickers'!B70 = "", "", IF('3757 - Wall Stickers-WUO_ERR'!A70 = "", "Validated", HYPERLINK("#" &amp; ADDRESS(70, '3757 - Wall Stickers-WUO_TRK'!A70),_xlfn.TEXTAFTER('3757 - Wall Stickers-WUO_ERR'!A70, ":"))))</f>
        <v>0</v>
      </c>
    </row>
    <row r="71" spans="1:1">
      <c r="A71" s="39">
        <f>IF('3757 - Wall Stickers'!B71 = "", "", IF('3757 - Wall Stickers-WUO_ERR'!A71 = "", "Validated", HYPERLINK("#" &amp; ADDRESS(71, '3757 - Wall Stickers-WUO_TRK'!A71),_xlfn.TEXTAFTER('3757 - Wall Stickers-WUO_ERR'!A71, ":"))))</f>
        <v>0</v>
      </c>
    </row>
    <row r="72" spans="1:1">
      <c r="A72" s="39">
        <f>IF('3757 - Wall Stickers'!B72 = "", "", IF('3757 - Wall Stickers-WUO_ERR'!A72 = "", "Validated", HYPERLINK("#" &amp; ADDRESS(72, '3757 - Wall Stickers-WUO_TRK'!A72),_xlfn.TEXTAFTER('3757 - Wall Stickers-WUO_ERR'!A72, ":"))))</f>
        <v>0</v>
      </c>
    </row>
    <row r="73" spans="1:1">
      <c r="A73" s="39">
        <f>IF('3757 - Wall Stickers'!B73 = "", "", IF('3757 - Wall Stickers-WUO_ERR'!A73 = "", "Validated", HYPERLINK("#" &amp; ADDRESS(73, '3757 - Wall Stickers-WUO_TRK'!A73),_xlfn.TEXTAFTER('3757 - Wall Stickers-WUO_ERR'!A73, ":"))))</f>
        <v>0</v>
      </c>
    </row>
    <row r="74" spans="1:1">
      <c r="A74" s="39">
        <f>IF('3757 - Wall Stickers'!B74 = "", "", IF('3757 - Wall Stickers-WUO_ERR'!A74 = "", "Validated", HYPERLINK("#" &amp; ADDRESS(74, '3757 - Wall Stickers-WUO_TRK'!A74),_xlfn.TEXTAFTER('3757 - Wall Stickers-WUO_ERR'!A74, ":"))))</f>
        <v>0</v>
      </c>
    </row>
    <row r="75" spans="1:1">
      <c r="A75" s="39">
        <f>IF('3757 - Wall Stickers'!B75 = "", "", IF('3757 - Wall Stickers-WUO_ERR'!A75 = "", "Validated", HYPERLINK("#" &amp; ADDRESS(75, '3757 - Wall Stickers-WUO_TRK'!A75),_xlfn.TEXTAFTER('3757 - Wall Stickers-WUO_ERR'!A75, ":"))))</f>
        <v>0</v>
      </c>
    </row>
    <row r="76" spans="1:1">
      <c r="A76" s="39">
        <f>IF('3757 - Wall Stickers'!B76 = "", "", IF('3757 - Wall Stickers-WUO_ERR'!A76 = "", "Validated", HYPERLINK("#" &amp; ADDRESS(76, '3757 - Wall Stickers-WUO_TRK'!A76),_xlfn.TEXTAFTER('3757 - Wall Stickers-WUO_ERR'!A76, ":"))))</f>
        <v>0</v>
      </c>
    </row>
    <row r="77" spans="1:1">
      <c r="A77" s="39">
        <f>IF('3757 - Wall Stickers'!B77 = "", "", IF('3757 - Wall Stickers-WUO_ERR'!A77 = "", "Validated", HYPERLINK("#" &amp; ADDRESS(77, '3757 - Wall Stickers-WUO_TRK'!A77),_xlfn.TEXTAFTER('3757 - Wall Stickers-WUO_ERR'!A77, ":"))))</f>
        <v>0</v>
      </c>
    </row>
    <row r="78" spans="1:1">
      <c r="A78" s="39">
        <f>IF('3757 - Wall Stickers'!B78 = "", "", IF('3757 - Wall Stickers-WUO_ERR'!A78 = "", "Validated", HYPERLINK("#" &amp; ADDRESS(78, '3757 - Wall Stickers-WUO_TRK'!A78),_xlfn.TEXTAFTER('3757 - Wall Stickers-WUO_ERR'!A78, ":"))))</f>
        <v>0</v>
      </c>
    </row>
    <row r="79" spans="1:1">
      <c r="A79" s="39">
        <f>IF('3757 - Wall Stickers'!B79 = "", "", IF('3757 - Wall Stickers-WUO_ERR'!A79 = "", "Validated", HYPERLINK("#" &amp; ADDRESS(79, '3757 - Wall Stickers-WUO_TRK'!A79),_xlfn.TEXTAFTER('3757 - Wall Stickers-WUO_ERR'!A79, ":"))))</f>
        <v>0</v>
      </c>
    </row>
    <row r="80" spans="1:1">
      <c r="A80" s="39">
        <f>IF('3757 - Wall Stickers'!B80 = "", "", IF('3757 - Wall Stickers-WUO_ERR'!A80 = "", "Validated", HYPERLINK("#" &amp; ADDRESS(80, '3757 - Wall Stickers-WUO_TRK'!A80),_xlfn.TEXTAFTER('3757 - Wall Stickers-WUO_ERR'!A80, ":"))))</f>
        <v>0</v>
      </c>
    </row>
    <row r="81" spans="1:1">
      <c r="A81" s="39">
        <f>IF('3757 - Wall Stickers'!B81 = "", "", IF('3757 - Wall Stickers-WUO_ERR'!A81 = "", "Validated", HYPERLINK("#" &amp; ADDRESS(81, '3757 - Wall Stickers-WUO_TRK'!A81),_xlfn.TEXTAFTER('3757 - Wall Stickers-WUO_ERR'!A81, ":"))))</f>
        <v>0</v>
      </c>
    </row>
    <row r="82" spans="1:1">
      <c r="A82" s="39">
        <f>IF('3757 - Wall Stickers'!B82 = "", "", IF('3757 - Wall Stickers-WUO_ERR'!A82 = "", "Validated", HYPERLINK("#" &amp; ADDRESS(82, '3757 - Wall Stickers-WUO_TRK'!A82),_xlfn.TEXTAFTER('3757 - Wall Stickers-WUO_ERR'!A82, ":"))))</f>
        <v>0</v>
      </c>
    </row>
    <row r="83" spans="1:1">
      <c r="A83" s="39">
        <f>IF('3757 - Wall Stickers'!B83 = "", "", IF('3757 - Wall Stickers-WUO_ERR'!A83 = "", "Validated", HYPERLINK("#" &amp; ADDRESS(83, '3757 - Wall Stickers-WUO_TRK'!A83),_xlfn.TEXTAFTER('3757 - Wall Stickers-WUO_ERR'!A83, ":"))))</f>
        <v>0</v>
      </c>
    </row>
    <row r="84" spans="1:1">
      <c r="A84" s="39">
        <f>IF('3757 - Wall Stickers'!B84 = "", "", IF('3757 - Wall Stickers-WUO_ERR'!A84 = "", "Validated", HYPERLINK("#" &amp; ADDRESS(84, '3757 - Wall Stickers-WUO_TRK'!A84),_xlfn.TEXTAFTER('3757 - Wall Stickers-WUO_ERR'!A84, ":"))))</f>
        <v>0</v>
      </c>
    </row>
    <row r="85" spans="1:1">
      <c r="A85" s="39">
        <f>IF('3757 - Wall Stickers'!B85 = "", "", IF('3757 - Wall Stickers-WUO_ERR'!A85 = "", "Validated", HYPERLINK("#" &amp; ADDRESS(85, '3757 - Wall Stickers-WUO_TRK'!A85),_xlfn.TEXTAFTER('3757 - Wall Stickers-WUO_ERR'!A85, ":"))))</f>
        <v>0</v>
      </c>
    </row>
    <row r="86" spans="1:1">
      <c r="A86" s="39">
        <f>IF('3757 - Wall Stickers'!B86 = "", "", IF('3757 - Wall Stickers-WUO_ERR'!A86 = "", "Validated", HYPERLINK("#" &amp; ADDRESS(86, '3757 - Wall Stickers-WUO_TRK'!A86),_xlfn.TEXTAFTER('3757 - Wall Stickers-WUO_ERR'!A86, ":"))))</f>
        <v>0</v>
      </c>
    </row>
    <row r="87" spans="1:1">
      <c r="A87" s="39">
        <f>IF('3757 - Wall Stickers'!B87 = "", "", IF('3757 - Wall Stickers-WUO_ERR'!A87 = "", "Validated", HYPERLINK("#" &amp; ADDRESS(87, '3757 - Wall Stickers-WUO_TRK'!A87),_xlfn.TEXTAFTER('3757 - Wall Stickers-WUO_ERR'!A87, ":"))))</f>
        <v>0</v>
      </c>
    </row>
    <row r="88" spans="1:1">
      <c r="A88" s="39">
        <f>IF('3757 - Wall Stickers'!B88 = "", "", IF('3757 - Wall Stickers-WUO_ERR'!A88 = "", "Validated", HYPERLINK("#" &amp; ADDRESS(88, '3757 - Wall Stickers-WUO_TRK'!A88),_xlfn.TEXTAFTER('3757 - Wall Stickers-WUO_ERR'!A88, ":"))))</f>
        <v>0</v>
      </c>
    </row>
    <row r="89" spans="1:1">
      <c r="A89" s="39">
        <f>IF('3757 - Wall Stickers'!B89 = "", "", IF('3757 - Wall Stickers-WUO_ERR'!A89 = "", "Validated", HYPERLINK("#" &amp; ADDRESS(89, '3757 - Wall Stickers-WUO_TRK'!A89),_xlfn.TEXTAFTER('3757 - Wall Stickers-WUO_ERR'!A89, ":"))))</f>
        <v>0</v>
      </c>
    </row>
    <row r="90" spans="1:1">
      <c r="A90" s="39">
        <f>IF('3757 - Wall Stickers'!B90 = "", "", IF('3757 - Wall Stickers-WUO_ERR'!A90 = "", "Validated", HYPERLINK("#" &amp; ADDRESS(90, '3757 - Wall Stickers-WUO_TRK'!A90),_xlfn.TEXTAFTER('3757 - Wall Stickers-WUO_ERR'!A90, ":"))))</f>
        <v>0</v>
      </c>
    </row>
    <row r="91" spans="1:1">
      <c r="A91" s="39">
        <f>IF('3757 - Wall Stickers'!B91 = "", "", IF('3757 - Wall Stickers-WUO_ERR'!A91 = "", "Validated", HYPERLINK("#" &amp; ADDRESS(91, '3757 - Wall Stickers-WUO_TRK'!A91),_xlfn.TEXTAFTER('3757 - Wall Stickers-WUO_ERR'!A91, ":"))))</f>
        <v>0</v>
      </c>
    </row>
    <row r="92" spans="1:1">
      <c r="A92" s="39">
        <f>IF('3757 - Wall Stickers'!B92 = "", "", IF('3757 - Wall Stickers-WUO_ERR'!A92 = "", "Validated", HYPERLINK("#" &amp; ADDRESS(92, '3757 - Wall Stickers-WUO_TRK'!A92),_xlfn.TEXTAFTER('3757 - Wall Stickers-WUO_ERR'!A92, ":"))))</f>
        <v>0</v>
      </c>
    </row>
    <row r="93" spans="1:1">
      <c r="A93" s="39">
        <f>IF('3757 - Wall Stickers'!B93 = "", "", IF('3757 - Wall Stickers-WUO_ERR'!A93 = "", "Validated", HYPERLINK("#" &amp; ADDRESS(93, '3757 - Wall Stickers-WUO_TRK'!A93),_xlfn.TEXTAFTER('3757 - Wall Stickers-WUO_ERR'!A93, ":"))))</f>
        <v>0</v>
      </c>
    </row>
    <row r="94" spans="1:1">
      <c r="A94" s="39">
        <f>IF('3757 - Wall Stickers'!B94 = "", "", IF('3757 - Wall Stickers-WUO_ERR'!A94 = "", "Validated", HYPERLINK("#" &amp; ADDRESS(94, '3757 - Wall Stickers-WUO_TRK'!A94),_xlfn.TEXTAFTER('3757 - Wall Stickers-WUO_ERR'!A94, ":"))))</f>
        <v>0</v>
      </c>
    </row>
    <row r="95" spans="1:1">
      <c r="A95" s="39">
        <f>IF('3757 - Wall Stickers'!B95 = "", "", IF('3757 - Wall Stickers-WUO_ERR'!A95 = "", "Validated", HYPERLINK("#" &amp; ADDRESS(95, '3757 - Wall Stickers-WUO_TRK'!A95),_xlfn.TEXTAFTER('3757 - Wall Stickers-WUO_ERR'!A95, ":"))))</f>
        <v>0</v>
      </c>
    </row>
    <row r="96" spans="1:1">
      <c r="A96" s="39">
        <f>IF('3757 - Wall Stickers'!B96 = "", "", IF('3757 - Wall Stickers-WUO_ERR'!A96 = "", "Validated", HYPERLINK("#" &amp; ADDRESS(96, '3757 - Wall Stickers-WUO_TRK'!A96),_xlfn.TEXTAFTER('3757 - Wall Stickers-WUO_ERR'!A96, ":"))))</f>
        <v>0</v>
      </c>
    </row>
    <row r="97" spans="1:1">
      <c r="A97" s="39">
        <f>IF('3757 - Wall Stickers'!B97 = "", "", IF('3757 - Wall Stickers-WUO_ERR'!A97 = "", "Validated", HYPERLINK("#" &amp; ADDRESS(97, '3757 - Wall Stickers-WUO_TRK'!A97),_xlfn.TEXTAFTER('3757 - Wall Stickers-WUO_ERR'!A97, ":"))))</f>
        <v>0</v>
      </c>
    </row>
    <row r="98" spans="1:1">
      <c r="A98" s="39">
        <f>IF('3757 - Wall Stickers'!B98 = "", "", IF('3757 - Wall Stickers-WUO_ERR'!A98 = "", "Validated", HYPERLINK("#" &amp; ADDRESS(98, '3757 - Wall Stickers-WUO_TRK'!A98),_xlfn.TEXTAFTER('3757 - Wall Stickers-WUO_ERR'!A98, ":"))))</f>
        <v>0</v>
      </c>
    </row>
    <row r="99" spans="1:1">
      <c r="A99" s="39">
        <f>IF('3757 - Wall Stickers'!B99 = "", "", IF('3757 - Wall Stickers-WUO_ERR'!A99 = "", "Validated", HYPERLINK("#" &amp; ADDRESS(99, '3757 - Wall Stickers-WUO_TRK'!A99),_xlfn.TEXTAFTER('3757 - Wall Stickers-WUO_ERR'!A99, ":"))))</f>
        <v>0</v>
      </c>
    </row>
    <row r="100" spans="1:1">
      <c r="A100" s="39">
        <f>IF('3757 - Wall Stickers'!B100 = "", "", IF('3757 - Wall Stickers-WUO_ERR'!A100 = "", "Validated", HYPERLINK("#" &amp; ADDRESS(100, '3757 - Wall Stickers-WUO_TRK'!A100),_xlfn.TEXTAFTER('3757 - Wall Stickers-WUO_ERR'!A100, ":"))))</f>
        <v>0</v>
      </c>
    </row>
    <row r="101" spans="1:1">
      <c r="A101" s="39">
        <f>IF('3757 - Wall Stickers'!B101 = "", "", IF('3757 - Wall Stickers-WUO_ERR'!A101 = "", "Validated", HYPERLINK("#" &amp; ADDRESS(101, '3757 - Wall Stickers-WUO_TRK'!A101),_xlfn.TEXTAFTER('3757 - Wall Stickers-WUO_ERR'!A101, ":"))))</f>
        <v>0</v>
      </c>
    </row>
    <row r="102" spans="1:1">
      <c r="A102" s="39">
        <f>IF('3757 - Wall Stickers'!B102 = "", "", IF('3757 - Wall Stickers-WUO_ERR'!A102 = "", "Validated", HYPERLINK("#" &amp; ADDRESS(102, '3757 - Wall Stickers-WUO_TRK'!A102),_xlfn.TEXTAFTER('3757 - Wall Stickers-WUO_ERR'!A102, ":"))))</f>
        <v>0</v>
      </c>
    </row>
    <row r="103" spans="1:1">
      <c r="A103" s="39">
        <f>IF('3757 - Wall Stickers'!B103 = "", "", IF('3757 - Wall Stickers-WUO_ERR'!A103 = "", "Validated", HYPERLINK("#" &amp; ADDRESS(103, '3757 - Wall Stickers-WUO_TRK'!A103),_xlfn.TEXTAFTER('3757 - Wall Stickers-WUO_ERR'!A103, ":"))))</f>
        <v>0</v>
      </c>
    </row>
    <row r="104" spans="1:1">
      <c r="A104" s="39">
        <f>IF('3757 - Wall Stickers'!B104 = "", "", IF('3757 - Wall Stickers-WUO_ERR'!A104 = "", "Validated", HYPERLINK("#" &amp; ADDRESS(104, '3757 - Wall Stickers-WUO_TRK'!A104),_xlfn.TEXTAFTER('3757 - Wall Stickers-WUO_ERR'!A104, ":"))))</f>
        <v>0</v>
      </c>
    </row>
    <row r="105" spans="1:1">
      <c r="A105" s="39">
        <f>IF('3757 - Wall Stickers'!B105 = "", "", IF('3757 - Wall Stickers-WUO_ERR'!A105 = "", "Validated", HYPERLINK("#" &amp; ADDRESS(105, '3757 - Wall Stickers-WUO_TRK'!A105),_xlfn.TEXTAFTER('3757 - Wall Stickers-WUO_ERR'!A105, ":"))))</f>
        <v>0</v>
      </c>
    </row>
    <row r="106" spans="1:1">
      <c r="A106" s="39">
        <f>IF('3757 - Wall Stickers'!B106 = "", "", IF('3757 - Wall Stickers-WUO_ERR'!A106 = "", "Validated", HYPERLINK("#" &amp; ADDRESS(106, '3757 - Wall Stickers-WUO_TRK'!A106),_xlfn.TEXTAFTER('3757 - Wall Stickers-WUO_ERR'!A106, ":"))))</f>
        <v>0</v>
      </c>
    </row>
    <row r="107" spans="1:1">
      <c r="A107" s="39">
        <f>IF('3757 - Wall Stickers'!B107 = "", "", IF('3757 - Wall Stickers-WUO_ERR'!A107 = "", "Validated", HYPERLINK("#" &amp; ADDRESS(107, '3757 - Wall Stickers-WUO_TRK'!A107),_xlfn.TEXTAFTER('3757 - Wall Stickers-WUO_ERR'!A107, ":"))))</f>
        <v>0</v>
      </c>
    </row>
    <row r="108" spans="1:1">
      <c r="A108" s="39">
        <f>IF('3757 - Wall Stickers'!B108 = "", "", IF('3757 - Wall Stickers-WUO_ERR'!A108 = "", "Validated", HYPERLINK("#" &amp; ADDRESS(108, '3757 - Wall Stickers-WUO_TRK'!A108),_xlfn.TEXTAFTER('3757 - Wall Stickers-WUO_ERR'!A108, ":"))))</f>
        <v>0</v>
      </c>
    </row>
    <row r="109" spans="1:1">
      <c r="A109" s="39">
        <f>IF('3757 - Wall Stickers'!B109 = "", "", IF('3757 - Wall Stickers-WUO_ERR'!A109 = "", "Validated", HYPERLINK("#" &amp; ADDRESS(109, '3757 - Wall Stickers-WUO_TRK'!A109),_xlfn.TEXTAFTER('3757 - Wall Stickers-WUO_ERR'!A109, ":"))))</f>
        <v>0</v>
      </c>
    </row>
    <row r="110" spans="1:1">
      <c r="A110" s="39">
        <f>IF('3757 - Wall Stickers'!B110 = "", "", IF('3757 - Wall Stickers-WUO_ERR'!A110 = "", "Validated", HYPERLINK("#" &amp; ADDRESS(110, '3757 - Wall Stickers-WUO_TRK'!A110),_xlfn.TEXTAFTER('3757 - Wall Stickers-WUO_ERR'!A110, ":"))))</f>
        <v>0</v>
      </c>
    </row>
    <row r="111" spans="1:1">
      <c r="A111" s="39">
        <f>IF('3757 - Wall Stickers'!B111 = "", "", IF('3757 - Wall Stickers-WUO_ERR'!A111 = "", "Validated", HYPERLINK("#" &amp; ADDRESS(111, '3757 - Wall Stickers-WUO_TRK'!A111),_xlfn.TEXTAFTER('3757 - Wall Stickers-WUO_ERR'!A111, ":"))))</f>
        <v>0</v>
      </c>
    </row>
    <row r="112" spans="1:1">
      <c r="A112" s="39">
        <f>IF('3757 - Wall Stickers'!B112 = "", "", IF('3757 - Wall Stickers-WUO_ERR'!A112 = "", "Validated", HYPERLINK("#" &amp; ADDRESS(112, '3757 - Wall Stickers-WUO_TRK'!A112),_xlfn.TEXTAFTER('3757 - Wall Stickers-WUO_ERR'!A112, ":"))))</f>
        <v>0</v>
      </c>
    </row>
    <row r="113" spans="1:1">
      <c r="A113" s="39">
        <f>IF('3757 - Wall Stickers'!B113 = "", "", IF('3757 - Wall Stickers-WUO_ERR'!A113 = "", "Validated", HYPERLINK("#" &amp; ADDRESS(113, '3757 - Wall Stickers-WUO_TRK'!A113),_xlfn.TEXTAFTER('3757 - Wall Stickers-WUO_ERR'!A113, ":"))))</f>
        <v>0</v>
      </c>
    </row>
    <row r="114" spans="1:1">
      <c r="A114" s="39">
        <f>IF('3757 - Wall Stickers'!B114 = "", "", IF('3757 - Wall Stickers-WUO_ERR'!A114 = "", "Validated", HYPERLINK("#" &amp; ADDRESS(114, '3757 - Wall Stickers-WUO_TRK'!A114),_xlfn.TEXTAFTER('3757 - Wall Stickers-WUO_ERR'!A114, ":"))))</f>
        <v>0</v>
      </c>
    </row>
    <row r="115" spans="1:1">
      <c r="A115" s="39">
        <f>IF('3757 - Wall Stickers'!B115 = "", "", IF('3757 - Wall Stickers-WUO_ERR'!A115 = "", "Validated", HYPERLINK("#" &amp; ADDRESS(115, '3757 - Wall Stickers-WUO_TRK'!A115),_xlfn.TEXTAFTER('3757 - Wall Stickers-WUO_ERR'!A115, ":"))))</f>
        <v>0</v>
      </c>
    </row>
    <row r="116" spans="1:1">
      <c r="A116" s="39">
        <f>IF('3757 - Wall Stickers'!B116 = "", "", IF('3757 - Wall Stickers-WUO_ERR'!A116 = "", "Validated", HYPERLINK("#" &amp; ADDRESS(116, '3757 - Wall Stickers-WUO_TRK'!A116),_xlfn.TEXTAFTER('3757 - Wall Stickers-WUO_ERR'!A116, ":"))))</f>
        <v>0</v>
      </c>
    </row>
    <row r="117" spans="1:1">
      <c r="A117" s="39">
        <f>IF('3757 - Wall Stickers'!B117 = "", "", IF('3757 - Wall Stickers-WUO_ERR'!A117 = "", "Validated", HYPERLINK("#" &amp; ADDRESS(117, '3757 - Wall Stickers-WUO_TRK'!A117),_xlfn.TEXTAFTER('3757 - Wall Stickers-WUO_ERR'!A117, ":"))))</f>
        <v>0</v>
      </c>
    </row>
    <row r="118" spans="1:1">
      <c r="A118" s="39">
        <f>IF('3757 - Wall Stickers'!B118 = "", "", IF('3757 - Wall Stickers-WUO_ERR'!A118 = "", "Validated", HYPERLINK("#" &amp; ADDRESS(118, '3757 - Wall Stickers-WUO_TRK'!A118),_xlfn.TEXTAFTER('3757 - Wall Stickers-WUO_ERR'!A118, ":"))))</f>
        <v>0</v>
      </c>
    </row>
    <row r="119" spans="1:1">
      <c r="A119" s="39">
        <f>IF('3757 - Wall Stickers'!B119 = "", "", IF('3757 - Wall Stickers-WUO_ERR'!A119 = "", "Validated", HYPERLINK("#" &amp; ADDRESS(119, '3757 - Wall Stickers-WUO_TRK'!A119),_xlfn.TEXTAFTER('3757 - Wall Stickers-WUO_ERR'!A119, ":"))))</f>
        <v>0</v>
      </c>
    </row>
    <row r="120" spans="1:1">
      <c r="A120" s="39">
        <f>IF('3757 - Wall Stickers'!B120 = "", "", IF('3757 - Wall Stickers-WUO_ERR'!A120 = "", "Validated", HYPERLINK("#" &amp; ADDRESS(120, '3757 - Wall Stickers-WUO_TRK'!A120),_xlfn.TEXTAFTER('3757 - Wall Stickers-WUO_ERR'!A120, ":"))))</f>
        <v>0</v>
      </c>
    </row>
    <row r="121" spans="1:1">
      <c r="A121" s="39">
        <f>IF('3757 - Wall Stickers'!B121 = "", "", IF('3757 - Wall Stickers-WUO_ERR'!A121 = "", "Validated", HYPERLINK("#" &amp; ADDRESS(121, '3757 - Wall Stickers-WUO_TRK'!A121),_xlfn.TEXTAFTER('3757 - Wall Stickers-WUO_ERR'!A121, ":"))))</f>
        <v>0</v>
      </c>
    </row>
    <row r="122" spans="1:1">
      <c r="A122" s="39">
        <f>IF('3757 - Wall Stickers'!B122 = "", "", IF('3757 - Wall Stickers-WUO_ERR'!A122 = "", "Validated", HYPERLINK("#" &amp; ADDRESS(122, '3757 - Wall Stickers-WUO_TRK'!A122),_xlfn.TEXTAFTER('3757 - Wall Stickers-WUO_ERR'!A122, ":"))))</f>
        <v>0</v>
      </c>
    </row>
    <row r="123" spans="1:1">
      <c r="A123" s="39">
        <f>IF('3757 - Wall Stickers'!B123 = "", "", IF('3757 - Wall Stickers-WUO_ERR'!A123 = "", "Validated", HYPERLINK("#" &amp; ADDRESS(123, '3757 - Wall Stickers-WUO_TRK'!A123),_xlfn.TEXTAFTER('3757 - Wall Stickers-WUO_ERR'!A123, ":"))))</f>
        <v>0</v>
      </c>
    </row>
    <row r="124" spans="1:1">
      <c r="A124" s="39">
        <f>IF('3757 - Wall Stickers'!B124 = "", "", IF('3757 - Wall Stickers-WUO_ERR'!A124 = "", "Validated", HYPERLINK("#" &amp; ADDRESS(124, '3757 - Wall Stickers-WUO_TRK'!A124),_xlfn.TEXTAFTER('3757 - Wall Stickers-WUO_ERR'!A124, ":"))))</f>
        <v>0</v>
      </c>
    </row>
    <row r="125" spans="1:1">
      <c r="A125" s="39">
        <f>IF('3757 - Wall Stickers'!B125 = "", "", IF('3757 - Wall Stickers-WUO_ERR'!A125 = "", "Validated", HYPERLINK("#" &amp; ADDRESS(125, '3757 - Wall Stickers-WUO_TRK'!A125),_xlfn.TEXTAFTER('3757 - Wall Stickers-WUO_ERR'!A125, ":"))))</f>
        <v>0</v>
      </c>
    </row>
    <row r="126" spans="1:1">
      <c r="A126" s="39">
        <f>IF('3757 - Wall Stickers'!B126 = "", "", IF('3757 - Wall Stickers-WUO_ERR'!A126 = "", "Validated", HYPERLINK("#" &amp; ADDRESS(126, '3757 - Wall Stickers-WUO_TRK'!A126),_xlfn.TEXTAFTER('3757 - Wall Stickers-WUO_ERR'!A126, ":"))))</f>
        <v>0</v>
      </c>
    </row>
    <row r="127" spans="1:1">
      <c r="A127" s="39">
        <f>IF('3757 - Wall Stickers'!B127 = "", "", IF('3757 - Wall Stickers-WUO_ERR'!A127 = "", "Validated", HYPERLINK("#" &amp; ADDRESS(127, '3757 - Wall Stickers-WUO_TRK'!A127),_xlfn.TEXTAFTER('3757 - Wall Stickers-WUO_ERR'!A127, ":"))))</f>
        <v>0</v>
      </c>
    </row>
    <row r="128" spans="1:1">
      <c r="A128" s="39">
        <f>IF('3757 - Wall Stickers'!B128 = "", "", IF('3757 - Wall Stickers-WUO_ERR'!A128 = "", "Validated", HYPERLINK("#" &amp; ADDRESS(128, '3757 - Wall Stickers-WUO_TRK'!A128),_xlfn.TEXTAFTER('3757 - Wall Stickers-WUO_ERR'!A128, ":"))))</f>
        <v>0</v>
      </c>
    </row>
    <row r="129" spans="1:1">
      <c r="A129" s="39">
        <f>IF('3757 - Wall Stickers'!B129 = "", "", IF('3757 - Wall Stickers-WUO_ERR'!A129 = "", "Validated", HYPERLINK("#" &amp; ADDRESS(129, '3757 - Wall Stickers-WUO_TRK'!A129),_xlfn.TEXTAFTER('3757 - Wall Stickers-WUO_ERR'!A129, ":"))))</f>
        <v>0</v>
      </c>
    </row>
    <row r="130" spans="1:1">
      <c r="A130" s="39">
        <f>IF('3757 - Wall Stickers'!B130 = "", "", IF('3757 - Wall Stickers-WUO_ERR'!A130 = "", "Validated", HYPERLINK("#" &amp; ADDRESS(130, '3757 - Wall Stickers-WUO_TRK'!A130),_xlfn.TEXTAFTER('3757 - Wall Stickers-WUO_ERR'!A130, ":"))))</f>
        <v>0</v>
      </c>
    </row>
    <row r="131" spans="1:1">
      <c r="A131" s="39">
        <f>IF('3757 - Wall Stickers'!B131 = "", "", IF('3757 - Wall Stickers-WUO_ERR'!A131 = "", "Validated", HYPERLINK("#" &amp; ADDRESS(131, '3757 - Wall Stickers-WUO_TRK'!A131),_xlfn.TEXTAFTER('3757 - Wall Stickers-WUO_ERR'!A131, ":"))))</f>
        <v>0</v>
      </c>
    </row>
    <row r="132" spans="1:1">
      <c r="A132" s="39">
        <f>IF('3757 - Wall Stickers'!B132 = "", "", IF('3757 - Wall Stickers-WUO_ERR'!A132 = "", "Validated", HYPERLINK("#" &amp; ADDRESS(132, '3757 - Wall Stickers-WUO_TRK'!A132),_xlfn.TEXTAFTER('3757 - Wall Stickers-WUO_ERR'!A132, ":"))))</f>
        <v>0</v>
      </c>
    </row>
    <row r="133" spans="1:1">
      <c r="A133" s="39">
        <f>IF('3757 - Wall Stickers'!B133 = "", "", IF('3757 - Wall Stickers-WUO_ERR'!A133 = "", "Validated", HYPERLINK("#" &amp; ADDRESS(133, '3757 - Wall Stickers-WUO_TRK'!A133),_xlfn.TEXTAFTER('3757 - Wall Stickers-WUO_ERR'!A133, ":"))))</f>
        <v>0</v>
      </c>
    </row>
    <row r="134" spans="1:1">
      <c r="A134" s="39">
        <f>IF('3757 - Wall Stickers'!B134 = "", "", IF('3757 - Wall Stickers-WUO_ERR'!A134 = "", "Validated", HYPERLINK("#" &amp; ADDRESS(134, '3757 - Wall Stickers-WUO_TRK'!A134),_xlfn.TEXTAFTER('3757 - Wall Stickers-WUO_ERR'!A134, ":"))))</f>
        <v>0</v>
      </c>
    </row>
    <row r="135" spans="1:1">
      <c r="A135" s="39">
        <f>IF('3757 - Wall Stickers'!B135 = "", "", IF('3757 - Wall Stickers-WUO_ERR'!A135 = "", "Validated", HYPERLINK("#" &amp; ADDRESS(135, '3757 - Wall Stickers-WUO_TRK'!A135),_xlfn.TEXTAFTER('3757 - Wall Stickers-WUO_ERR'!A135, ":"))))</f>
        <v>0</v>
      </c>
    </row>
    <row r="136" spans="1:1">
      <c r="A136" s="39">
        <f>IF('3757 - Wall Stickers'!B136 = "", "", IF('3757 - Wall Stickers-WUO_ERR'!A136 = "", "Validated", HYPERLINK("#" &amp; ADDRESS(136, '3757 - Wall Stickers-WUO_TRK'!A136),_xlfn.TEXTAFTER('3757 - Wall Stickers-WUO_ERR'!A136, ":"))))</f>
        <v>0</v>
      </c>
    </row>
    <row r="137" spans="1:1">
      <c r="A137" s="39">
        <f>IF('3757 - Wall Stickers'!B137 = "", "", IF('3757 - Wall Stickers-WUO_ERR'!A137 = "", "Validated", HYPERLINK("#" &amp; ADDRESS(137, '3757 - Wall Stickers-WUO_TRK'!A137),_xlfn.TEXTAFTER('3757 - Wall Stickers-WUO_ERR'!A137, ":"))))</f>
        <v>0</v>
      </c>
    </row>
    <row r="138" spans="1:1">
      <c r="A138" s="39">
        <f>IF('3757 - Wall Stickers'!B138 = "", "", IF('3757 - Wall Stickers-WUO_ERR'!A138 = "", "Validated", HYPERLINK("#" &amp; ADDRESS(138, '3757 - Wall Stickers-WUO_TRK'!A138),_xlfn.TEXTAFTER('3757 - Wall Stickers-WUO_ERR'!A138, ":"))))</f>
        <v>0</v>
      </c>
    </row>
    <row r="139" spans="1:1">
      <c r="A139" s="39">
        <f>IF('3757 - Wall Stickers'!B139 = "", "", IF('3757 - Wall Stickers-WUO_ERR'!A139 = "", "Validated", HYPERLINK("#" &amp; ADDRESS(139, '3757 - Wall Stickers-WUO_TRK'!A139),_xlfn.TEXTAFTER('3757 - Wall Stickers-WUO_ERR'!A139, ":"))))</f>
        <v>0</v>
      </c>
    </row>
    <row r="140" spans="1:1">
      <c r="A140" s="39">
        <f>IF('3757 - Wall Stickers'!B140 = "", "", IF('3757 - Wall Stickers-WUO_ERR'!A140 = "", "Validated", HYPERLINK("#" &amp; ADDRESS(140, '3757 - Wall Stickers-WUO_TRK'!A140),_xlfn.TEXTAFTER('3757 - Wall Stickers-WUO_ERR'!A140, ":"))))</f>
        <v>0</v>
      </c>
    </row>
    <row r="141" spans="1:1">
      <c r="A141" s="39">
        <f>IF('3757 - Wall Stickers'!B141 = "", "", IF('3757 - Wall Stickers-WUO_ERR'!A141 = "", "Validated", HYPERLINK("#" &amp; ADDRESS(141, '3757 - Wall Stickers-WUO_TRK'!A141),_xlfn.TEXTAFTER('3757 - Wall Stickers-WUO_ERR'!A141, ":"))))</f>
        <v>0</v>
      </c>
    </row>
    <row r="142" spans="1:1">
      <c r="A142" s="39">
        <f>IF('3757 - Wall Stickers'!B142 = "", "", IF('3757 - Wall Stickers-WUO_ERR'!A142 = "", "Validated", HYPERLINK("#" &amp; ADDRESS(142, '3757 - Wall Stickers-WUO_TRK'!A142),_xlfn.TEXTAFTER('3757 - Wall Stickers-WUO_ERR'!A142, ":"))))</f>
        <v>0</v>
      </c>
    </row>
    <row r="143" spans="1:1">
      <c r="A143" s="39">
        <f>IF('3757 - Wall Stickers'!B143 = "", "", IF('3757 - Wall Stickers-WUO_ERR'!A143 = "", "Validated", HYPERLINK("#" &amp; ADDRESS(143, '3757 - Wall Stickers-WUO_TRK'!A143),_xlfn.TEXTAFTER('3757 - Wall Stickers-WUO_ERR'!A143, ":"))))</f>
        <v>0</v>
      </c>
    </row>
    <row r="144" spans="1:1">
      <c r="A144" s="39">
        <f>IF('3757 - Wall Stickers'!B144 = "", "", IF('3757 - Wall Stickers-WUO_ERR'!A144 = "", "Validated", HYPERLINK("#" &amp; ADDRESS(144, '3757 - Wall Stickers-WUO_TRK'!A144),_xlfn.TEXTAFTER('3757 - Wall Stickers-WUO_ERR'!A144, ":"))))</f>
        <v>0</v>
      </c>
    </row>
    <row r="145" spans="1:1">
      <c r="A145" s="39">
        <f>IF('3757 - Wall Stickers'!B145 = "", "", IF('3757 - Wall Stickers-WUO_ERR'!A145 = "", "Validated", HYPERLINK("#" &amp; ADDRESS(145, '3757 - Wall Stickers-WUO_TRK'!A145),_xlfn.TEXTAFTER('3757 - Wall Stickers-WUO_ERR'!A145, ":"))))</f>
        <v>0</v>
      </c>
    </row>
    <row r="146" spans="1:1">
      <c r="A146" s="39">
        <f>IF('3757 - Wall Stickers'!B146 = "", "", IF('3757 - Wall Stickers-WUO_ERR'!A146 = "", "Validated", HYPERLINK("#" &amp; ADDRESS(146, '3757 - Wall Stickers-WUO_TRK'!A146),_xlfn.TEXTAFTER('3757 - Wall Stickers-WUO_ERR'!A146, ":"))))</f>
        <v>0</v>
      </c>
    </row>
    <row r="147" spans="1:1">
      <c r="A147" s="39">
        <f>IF('3757 - Wall Stickers'!B147 = "", "", IF('3757 - Wall Stickers-WUO_ERR'!A147 = "", "Validated", HYPERLINK("#" &amp; ADDRESS(147, '3757 - Wall Stickers-WUO_TRK'!A147),_xlfn.TEXTAFTER('3757 - Wall Stickers-WUO_ERR'!A147, ":"))))</f>
        <v>0</v>
      </c>
    </row>
    <row r="148" spans="1:1">
      <c r="A148" s="39">
        <f>IF('3757 - Wall Stickers'!B148 = "", "", IF('3757 - Wall Stickers-WUO_ERR'!A148 = "", "Validated", HYPERLINK("#" &amp; ADDRESS(148, '3757 - Wall Stickers-WUO_TRK'!A148),_xlfn.TEXTAFTER('3757 - Wall Stickers-WUO_ERR'!A148, ":"))))</f>
        <v>0</v>
      </c>
    </row>
    <row r="149" spans="1:1">
      <c r="A149" s="39">
        <f>IF('3757 - Wall Stickers'!B149 = "", "", IF('3757 - Wall Stickers-WUO_ERR'!A149 = "", "Validated", HYPERLINK("#" &amp; ADDRESS(149, '3757 - Wall Stickers-WUO_TRK'!A149),_xlfn.TEXTAFTER('3757 - Wall Stickers-WUO_ERR'!A149, ":"))))</f>
        <v>0</v>
      </c>
    </row>
    <row r="150" spans="1:1">
      <c r="A150" s="39">
        <f>IF('3757 - Wall Stickers'!B150 = "", "", IF('3757 - Wall Stickers-WUO_ERR'!A150 = "", "Validated", HYPERLINK("#" &amp; ADDRESS(150, '3757 - Wall Stickers-WUO_TRK'!A150),_xlfn.TEXTAFTER('3757 - Wall Stickers-WUO_ERR'!A150, ":"))))</f>
        <v>0</v>
      </c>
    </row>
    <row r="151" spans="1:1">
      <c r="A151" s="39">
        <f>IF('3757 - Wall Stickers'!B151 = "", "", IF('3757 - Wall Stickers-WUO_ERR'!A151 = "", "Validated", HYPERLINK("#" &amp; ADDRESS(151, '3757 - Wall Stickers-WUO_TRK'!A151),_xlfn.TEXTAFTER('3757 - Wall Stickers-WUO_ERR'!A151, ":"))))</f>
        <v>0</v>
      </c>
    </row>
    <row r="152" spans="1:1">
      <c r="A152" s="39">
        <f>IF('3757 - Wall Stickers'!B152 = "", "", IF('3757 - Wall Stickers-WUO_ERR'!A152 = "", "Validated", HYPERLINK("#" &amp; ADDRESS(152, '3757 - Wall Stickers-WUO_TRK'!A152),_xlfn.TEXTAFTER('3757 - Wall Stickers-WUO_ERR'!A152, ":"))))</f>
        <v>0</v>
      </c>
    </row>
    <row r="153" spans="1:1">
      <c r="A153" s="39">
        <f>IF('3757 - Wall Stickers'!B153 = "", "", IF('3757 - Wall Stickers-WUO_ERR'!A153 = "", "Validated", HYPERLINK("#" &amp; ADDRESS(153, '3757 - Wall Stickers-WUO_TRK'!A153),_xlfn.TEXTAFTER('3757 - Wall Stickers-WUO_ERR'!A153, ":"))))</f>
        <v>0</v>
      </c>
    </row>
    <row r="154" spans="1:1">
      <c r="A154" s="39">
        <f>IF('3757 - Wall Stickers'!B154 = "", "", IF('3757 - Wall Stickers-WUO_ERR'!A154 = "", "Validated", HYPERLINK("#" &amp; ADDRESS(154, '3757 - Wall Stickers-WUO_TRK'!A154),_xlfn.TEXTAFTER('3757 - Wall Stickers-WUO_ERR'!A154, ":"))))</f>
        <v>0</v>
      </c>
    </row>
    <row r="155" spans="1:1">
      <c r="A155" s="39">
        <f>IF('3757 - Wall Stickers'!B155 = "", "", IF('3757 - Wall Stickers-WUO_ERR'!A155 = "", "Validated", HYPERLINK("#" &amp; ADDRESS(155, '3757 - Wall Stickers-WUO_TRK'!A155),_xlfn.TEXTAFTER('3757 - Wall Stickers-WUO_ERR'!A155, ":"))))</f>
        <v>0</v>
      </c>
    </row>
    <row r="156" spans="1:1">
      <c r="A156" s="39">
        <f>IF('3757 - Wall Stickers'!B156 = "", "", IF('3757 - Wall Stickers-WUO_ERR'!A156 = "", "Validated", HYPERLINK("#" &amp; ADDRESS(156, '3757 - Wall Stickers-WUO_TRK'!A156),_xlfn.TEXTAFTER('3757 - Wall Stickers-WUO_ERR'!A156, ":"))))</f>
        <v>0</v>
      </c>
    </row>
    <row r="157" spans="1:1">
      <c r="A157" s="39">
        <f>IF('3757 - Wall Stickers'!B157 = "", "", IF('3757 - Wall Stickers-WUO_ERR'!A157 = "", "Validated", HYPERLINK("#" &amp; ADDRESS(157, '3757 - Wall Stickers-WUO_TRK'!A157),_xlfn.TEXTAFTER('3757 - Wall Stickers-WUO_ERR'!A157, ":"))))</f>
        <v>0</v>
      </c>
    </row>
    <row r="158" spans="1:1">
      <c r="A158" s="39">
        <f>IF('3757 - Wall Stickers'!B158 = "", "", IF('3757 - Wall Stickers-WUO_ERR'!A158 = "", "Validated", HYPERLINK("#" &amp; ADDRESS(158, '3757 - Wall Stickers-WUO_TRK'!A158),_xlfn.TEXTAFTER('3757 - Wall Stickers-WUO_ERR'!A158, ":"))))</f>
        <v>0</v>
      </c>
    </row>
    <row r="159" spans="1:1">
      <c r="A159" s="39">
        <f>IF('3757 - Wall Stickers'!B159 = "", "", IF('3757 - Wall Stickers-WUO_ERR'!A159 = "", "Validated", HYPERLINK("#" &amp; ADDRESS(159, '3757 - Wall Stickers-WUO_TRK'!A159),_xlfn.TEXTAFTER('3757 - Wall Stickers-WUO_ERR'!A159, ":"))))</f>
        <v>0</v>
      </c>
    </row>
    <row r="160" spans="1:1">
      <c r="A160" s="39">
        <f>IF('3757 - Wall Stickers'!B160 = "", "", IF('3757 - Wall Stickers-WUO_ERR'!A160 = "", "Validated", HYPERLINK("#" &amp; ADDRESS(160, '3757 - Wall Stickers-WUO_TRK'!A160),_xlfn.TEXTAFTER('3757 - Wall Stickers-WUO_ERR'!A160, ":"))))</f>
        <v>0</v>
      </c>
    </row>
    <row r="161" spans="1:1">
      <c r="A161" s="39">
        <f>IF('3757 - Wall Stickers'!B161 = "", "", IF('3757 - Wall Stickers-WUO_ERR'!A161 = "", "Validated", HYPERLINK("#" &amp; ADDRESS(161, '3757 - Wall Stickers-WUO_TRK'!A161),_xlfn.TEXTAFTER('3757 - Wall Stickers-WUO_ERR'!A161, ":"))))</f>
        <v>0</v>
      </c>
    </row>
    <row r="162" spans="1:1">
      <c r="A162" s="39">
        <f>IF('3757 - Wall Stickers'!B162 = "", "", IF('3757 - Wall Stickers-WUO_ERR'!A162 = "", "Validated", HYPERLINK("#" &amp; ADDRESS(162, '3757 - Wall Stickers-WUO_TRK'!A162),_xlfn.TEXTAFTER('3757 - Wall Stickers-WUO_ERR'!A162, ":"))))</f>
        <v>0</v>
      </c>
    </row>
    <row r="163" spans="1:1">
      <c r="A163" s="39">
        <f>IF('3757 - Wall Stickers'!B163 = "", "", IF('3757 - Wall Stickers-WUO_ERR'!A163 = "", "Validated", HYPERLINK("#" &amp; ADDRESS(163, '3757 - Wall Stickers-WUO_TRK'!A163),_xlfn.TEXTAFTER('3757 - Wall Stickers-WUO_ERR'!A163, ":"))))</f>
        <v>0</v>
      </c>
    </row>
    <row r="164" spans="1:1">
      <c r="A164" s="39">
        <f>IF('3757 - Wall Stickers'!B164 = "", "", IF('3757 - Wall Stickers-WUO_ERR'!A164 = "", "Validated", HYPERLINK("#" &amp; ADDRESS(164, '3757 - Wall Stickers-WUO_TRK'!A164),_xlfn.TEXTAFTER('3757 - Wall Stickers-WUO_ERR'!A164, ":"))))</f>
        <v>0</v>
      </c>
    </row>
    <row r="165" spans="1:1">
      <c r="A165" s="39">
        <f>IF('3757 - Wall Stickers'!B165 = "", "", IF('3757 - Wall Stickers-WUO_ERR'!A165 = "", "Validated", HYPERLINK("#" &amp; ADDRESS(165, '3757 - Wall Stickers-WUO_TRK'!A165),_xlfn.TEXTAFTER('3757 - Wall Stickers-WUO_ERR'!A165, ":"))))</f>
        <v>0</v>
      </c>
    </row>
    <row r="166" spans="1:1">
      <c r="A166" s="39">
        <f>IF('3757 - Wall Stickers'!B166 = "", "", IF('3757 - Wall Stickers-WUO_ERR'!A166 = "", "Validated", HYPERLINK("#" &amp; ADDRESS(166, '3757 - Wall Stickers-WUO_TRK'!A166),_xlfn.TEXTAFTER('3757 - Wall Stickers-WUO_ERR'!A166, ":"))))</f>
        <v>0</v>
      </c>
    </row>
    <row r="167" spans="1:1">
      <c r="A167" s="39">
        <f>IF('3757 - Wall Stickers'!B167 = "", "", IF('3757 - Wall Stickers-WUO_ERR'!A167 = "", "Validated", HYPERLINK("#" &amp; ADDRESS(167, '3757 - Wall Stickers-WUO_TRK'!A167),_xlfn.TEXTAFTER('3757 - Wall Stickers-WUO_ERR'!A167, ":"))))</f>
        <v>0</v>
      </c>
    </row>
    <row r="168" spans="1:1">
      <c r="A168" s="39">
        <f>IF('3757 - Wall Stickers'!B168 = "", "", IF('3757 - Wall Stickers-WUO_ERR'!A168 = "", "Validated", HYPERLINK("#" &amp; ADDRESS(168, '3757 - Wall Stickers-WUO_TRK'!A168),_xlfn.TEXTAFTER('3757 - Wall Stickers-WUO_ERR'!A168, ":"))))</f>
        <v>0</v>
      </c>
    </row>
    <row r="169" spans="1:1">
      <c r="A169" s="39">
        <f>IF('3757 - Wall Stickers'!B169 = "", "", IF('3757 - Wall Stickers-WUO_ERR'!A169 = "", "Validated", HYPERLINK("#" &amp; ADDRESS(169, '3757 - Wall Stickers-WUO_TRK'!A169),_xlfn.TEXTAFTER('3757 - Wall Stickers-WUO_ERR'!A169, ":"))))</f>
        <v>0</v>
      </c>
    </row>
    <row r="170" spans="1:1">
      <c r="A170" s="39">
        <f>IF('3757 - Wall Stickers'!B170 = "", "", IF('3757 - Wall Stickers-WUO_ERR'!A170 = "", "Validated", HYPERLINK("#" &amp; ADDRESS(170, '3757 - Wall Stickers-WUO_TRK'!A170),_xlfn.TEXTAFTER('3757 - Wall Stickers-WUO_ERR'!A170, ":"))))</f>
        <v>0</v>
      </c>
    </row>
    <row r="171" spans="1:1">
      <c r="A171" s="39">
        <f>IF('3757 - Wall Stickers'!B171 = "", "", IF('3757 - Wall Stickers-WUO_ERR'!A171 = "", "Validated", HYPERLINK("#" &amp; ADDRESS(171, '3757 - Wall Stickers-WUO_TRK'!A171),_xlfn.TEXTAFTER('3757 - Wall Stickers-WUO_ERR'!A171, ":"))))</f>
        <v>0</v>
      </c>
    </row>
    <row r="172" spans="1:1">
      <c r="A172" s="39">
        <f>IF('3757 - Wall Stickers'!B172 = "", "", IF('3757 - Wall Stickers-WUO_ERR'!A172 = "", "Validated", HYPERLINK("#" &amp; ADDRESS(172, '3757 - Wall Stickers-WUO_TRK'!A172),_xlfn.TEXTAFTER('3757 - Wall Stickers-WUO_ERR'!A172, ":"))))</f>
        <v>0</v>
      </c>
    </row>
    <row r="173" spans="1:1">
      <c r="A173" s="39">
        <f>IF('3757 - Wall Stickers'!B173 = "", "", IF('3757 - Wall Stickers-WUO_ERR'!A173 = "", "Validated", HYPERLINK("#" &amp; ADDRESS(173, '3757 - Wall Stickers-WUO_TRK'!A173),_xlfn.TEXTAFTER('3757 - Wall Stickers-WUO_ERR'!A173, ":"))))</f>
        <v>0</v>
      </c>
    </row>
    <row r="174" spans="1:1">
      <c r="A174" s="39">
        <f>IF('3757 - Wall Stickers'!B174 = "", "", IF('3757 - Wall Stickers-WUO_ERR'!A174 = "", "Validated", HYPERLINK("#" &amp; ADDRESS(174, '3757 - Wall Stickers-WUO_TRK'!A174),_xlfn.TEXTAFTER('3757 - Wall Stickers-WUO_ERR'!A174, ":"))))</f>
        <v>0</v>
      </c>
    </row>
    <row r="175" spans="1:1">
      <c r="A175" s="39">
        <f>IF('3757 - Wall Stickers'!B175 = "", "", IF('3757 - Wall Stickers-WUO_ERR'!A175 = "", "Validated", HYPERLINK("#" &amp; ADDRESS(175, '3757 - Wall Stickers-WUO_TRK'!A175),_xlfn.TEXTAFTER('3757 - Wall Stickers-WUO_ERR'!A175, ":"))))</f>
        <v>0</v>
      </c>
    </row>
    <row r="176" spans="1:1">
      <c r="A176" s="39">
        <f>IF('3757 - Wall Stickers'!B176 = "", "", IF('3757 - Wall Stickers-WUO_ERR'!A176 = "", "Validated", HYPERLINK("#" &amp; ADDRESS(176, '3757 - Wall Stickers-WUO_TRK'!A176),_xlfn.TEXTAFTER('3757 - Wall Stickers-WUO_ERR'!A176, ":"))))</f>
        <v>0</v>
      </c>
    </row>
    <row r="177" spans="1:1">
      <c r="A177" s="39">
        <f>IF('3757 - Wall Stickers'!B177 = "", "", IF('3757 - Wall Stickers-WUO_ERR'!A177 = "", "Validated", HYPERLINK("#" &amp; ADDRESS(177, '3757 - Wall Stickers-WUO_TRK'!A177),_xlfn.TEXTAFTER('3757 - Wall Stickers-WUO_ERR'!A177, ":"))))</f>
        <v>0</v>
      </c>
    </row>
    <row r="178" spans="1:1">
      <c r="A178" s="39">
        <f>IF('3757 - Wall Stickers'!B178 = "", "", IF('3757 - Wall Stickers-WUO_ERR'!A178 = "", "Validated", HYPERLINK("#" &amp; ADDRESS(178, '3757 - Wall Stickers-WUO_TRK'!A178),_xlfn.TEXTAFTER('3757 - Wall Stickers-WUO_ERR'!A178, ":"))))</f>
        <v>0</v>
      </c>
    </row>
    <row r="179" spans="1:1">
      <c r="A179" s="39">
        <f>IF('3757 - Wall Stickers'!B179 = "", "", IF('3757 - Wall Stickers-WUO_ERR'!A179 = "", "Validated", HYPERLINK("#" &amp; ADDRESS(179, '3757 - Wall Stickers-WUO_TRK'!A179),_xlfn.TEXTAFTER('3757 - Wall Stickers-WUO_ERR'!A179, ":"))))</f>
        <v>0</v>
      </c>
    </row>
    <row r="180" spans="1:1">
      <c r="A180" s="39">
        <f>IF('3757 - Wall Stickers'!B180 = "", "", IF('3757 - Wall Stickers-WUO_ERR'!A180 = "", "Validated", HYPERLINK("#" &amp; ADDRESS(180, '3757 - Wall Stickers-WUO_TRK'!A180),_xlfn.TEXTAFTER('3757 - Wall Stickers-WUO_ERR'!A180, ":"))))</f>
        <v>0</v>
      </c>
    </row>
    <row r="181" spans="1:1">
      <c r="A181" s="39">
        <f>IF('3757 - Wall Stickers'!B181 = "", "", IF('3757 - Wall Stickers-WUO_ERR'!A181 = "", "Validated", HYPERLINK("#" &amp; ADDRESS(181, '3757 - Wall Stickers-WUO_TRK'!A181),_xlfn.TEXTAFTER('3757 - Wall Stickers-WUO_ERR'!A181, ":"))))</f>
        <v>0</v>
      </c>
    </row>
    <row r="182" spans="1:1">
      <c r="A182" s="39">
        <f>IF('3757 - Wall Stickers'!B182 = "", "", IF('3757 - Wall Stickers-WUO_ERR'!A182 = "", "Validated", HYPERLINK("#" &amp; ADDRESS(182, '3757 - Wall Stickers-WUO_TRK'!A182),_xlfn.TEXTAFTER('3757 - Wall Stickers-WUO_ERR'!A182, ":"))))</f>
        <v>0</v>
      </c>
    </row>
    <row r="183" spans="1:1">
      <c r="A183" s="39">
        <f>IF('3757 - Wall Stickers'!B183 = "", "", IF('3757 - Wall Stickers-WUO_ERR'!A183 = "", "Validated", HYPERLINK("#" &amp; ADDRESS(183, '3757 - Wall Stickers-WUO_TRK'!A183),_xlfn.TEXTAFTER('3757 - Wall Stickers-WUO_ERR'!A183, ":"))))</f>
        <v>0</v>
      </c>
    </row>
    <row r="184" spans="1:1">
      <c r="A184" s="39">
        <f>IF('3757 - Wall Stickers'!B184 = "", "", IF('3757 - Wall Stickers-WUO_ERR'!A184 = "", "Validated", HYPERLINK("#" &amp; ADDRESS(184, '3757 - Wall Stickers-WUO_TRK'!A184),_xlfn.TEXTAFTER('3757 - Wall Stickers-WUO_ERR'!A184, ":"))))</f>
        <v>0</v>
      </c>
    </row>
    <row r="185" spans="1:1">
      <c r="A185" s="39">
        <f>IF('3757 - Wall Stickers'!B185 = "", "", IF('3757 - Wall Stickers-WUO_ERR'!A185 = "", "Validated", HYPERLINK("#" &amp; ADDRESS(185, '3757 - Wall Stickers-WUO_TRK'!A185),_xlfn.TEXTAFTER('3757 - Wall Stickers-WUO_ERR'!A185, ":"))))</f>
        <v>0</v>
      </c>
    </row>
    <row r="186" spans="1:1">
      <c r="A186" s="39">
        <f>IF('3757 - Wall Stickers'!B186 = "", "", IF('3757 - Wall Stickers-WUO_ERR'!A186 = "", "Validated", HYPERLINK("#" &amp; ADDRESS(186, '3757 - Wall Stickers-WUO_TRK'!A186),_xlfn.TEXTAFTER('3757 - Wall Stickers-WUO_ERR'!A186, ":"))))</f>
        <v>0</v>
      </c>
    </row>
    <row r="187" spans="1:1">
      <c r="A187" s="39">
        <f>IF('3757 - Wall Stickers'!B187 = "", "", IF('3757 - Wall Stickers-WUO_ERR'!A187 = "", "Validated", HYPERLINK("#" &amp; ADDRESS(187, '3757 - Wall Stickers-WUO_TRK'!A187),_xlfn.TEXTAFTER('3757 - Wall Stickers-WUO_ERR'!A187, ":"))))</f>
        <v>0</v>
      </c>
    </row>
    <row r="188" spans="1:1">
      <c r="A188" s="39">
        <f>IF('3757 - Wall Stickers'!B188 = "", "", IF('3757 - Wall Stickers-WUO_ERR'!A188 = "", "Validated", HYPERLINK("#" &amp; ADDRESS(188, '3757 - Wall Stickers-WUO_TRK'!A188),_xlfn.TEXTAFTER('3757 - Wall Stickers-WUO_ERR'!A188, ":"))))</f>
        <v>0</v>
      </c>
    </row>
    <row r="189" spans="1:1">
      <c r="A189" s="39">
        <f>IF('3757 - Wall Stickers'!B189 = "", "", IF('3757 - Wall Stickers-WUO_ERR'!A189 = "", "Validated", HYPERLINK("#" &amp; ADDRESS(189, '3757 - Wall Stickers-WUO_TRK'!A189),_xlfn.TEXTAFTER('3757 - Wall Stickers-WUO_ERR'!A189, ":"))))</f>
        <v>0</v>
      </c>
    </row>
    <row r="190" spans="1:1">
      <c r="A190" s="39">
        <f>IF('3757 - Wall Stickers'!B190 = "", "", IF('3757 - Wall Stickers-WUO_ERR'!A190 = "", "Validated", HYPERLINK("#" &amp; ADDRESS(190, '3757 - Wall Stickers-WUO_TRK'!A190),_xlfn.TEXTAFTER('3757 - Wall Stickers-WUO_ERR'!A190, ":"))))</f>
        <v>0</v>
      </c>
    </row>
    <row r="191" spans="1:1">
      <c r="A191" s="39">
        <f>IF('3757 - Wall Stickers'!B191 = "", "", IF('3757 - Wall Stickers-WUO_ERR'!A191 = "", "Validated", HYPERLINK("#" &amp; ADDRESS(191, '3757 - Wall Stickers-WUO_TRK'!A191),_xlfn.TEXTAFTER('3757 - Wall Stickers-WUO_ERR'!A191, ":"))))</f>
        <v>0</v>
      </c>
    </row>
    <row r="192" spans="1:1">
      <c r="A192" s="39">
        <f>IF('3757 - Wall Stickers'!B192 = "", "", IF('3757 - Wall Stickers-WUO_ERR'!A192 = "", "Validated", HYPERLINK("#" &amp; ADDRESS(192, '3757 - Wall Stickers-WUO_TRK'!A192),_xlfn.TEXTAFTER('3757 - Wall Stickers-WUO_ERR'!A192, ":"))))</f>
        <v>0</v>
      </c>
    </row>
    <row r="193" spans="1:1">
      <c r="A193" s="39">
        <f>IF('3757 - Wall Stickers'!B193 = "", "", IF('3757 - Wall Stickers-WUO_ERR'!A193 = "", "Validated", HYPERLINK("#" &amp; ADDRESS(193, '3757 - Wall Stickers-WUO_TRK'!A193),_xlfn.TEXTAFTER('3757 - Wall Stickers-WUO_ERR'!A193, ":"))))</f>
        <v>0</v>
      </c>
    </row>
    <row r="194" spans="1:1">
      <c r="A194" s="39">
        <f>IF('3757 - Wall Stickers'!B194 = "", "", IF('3757 - Wall Stickers-WUO_ERR'!A194 = "", "Validated", HYPERLINK("#" &amp; ADDRESS(194, '3757 - Wall Stickers-WUO_TRK'!A194),_xlfn.TEXTAFTER('3757 - Wall Stickers-WUO_ERR'!A194, ":"))))</f>
        <v>0</v>
      </c>
    </row>
    <row r="195" spans="1:1">
      <c r="A195" s="39">
        <f>IF('3757 - Wall Stickers'!B195 = "", "", IF('3757 - Wall Stickers-WUO_ERR'!A195 = "", "Validated", HYPERLINK("#" &amp; ADDRESS(195, '3757 - Wall Stickers-WUO_TRK'!A195),_xlfn.TEXTAFTER('3757 - Wall Stickers-WUO_ERR'!A195, ":"))))</f>
        <v>0</v>
      </c>
    </row>
    <row r="196" spans="1:1">
      <c r="A196" s="39">
        <f>IF('3757 - Wall Stickers'!B196 = "", "", IF('3757 - Wall Stickers-WUO_ERR'!A196 = "", "Validated", HYPERLINK("#" &amp; ADDRESS(196, '3757 - Wall Stickers-WUO_TRK'!A196),_xlfn.TEXTAFTER('3757 - Wall Stickers-WUO_ERR'!A196, ":"))))</f>
        <v>0</v>
      </c>
    </row>
    <row r="197" spans="1:1">
      <c r="A197" s="39">
        <f>IF('3757 - Wall Stickers'!B197 = "", "", IF('3757 - Wall Stickers-WUO_ERR'!A197 = "", "Validated", HYPERLINK("#" &amp; ADDRESS(197, '3757 - Wall Stickers-WUO_TRK'!A197),_xlfn.TEXTAFTER('3757 - Wall Stickers-WUO_ERR'!A197, ":"))))</f>
        <v>0</v>
      </c>
    </row>
    <row r="198" spans="1:1">
      <c r="A198" s="39">
        <f>IF('3757 - Wall Stickers'!B198 = "", "", IF('3757 - Wall Stickers-WUO_ERR'!A198 = "", "Validated", HYPERLINK("#" &amp; ADDRESS(198, '3757 - Wall Stickers-WUO_TRK'!A198),_xlfn.TEXTAFTER('3757 - Wall Stickers-WUO_ERR'!A198, ":"))))</f>
        <v>0</v>
      </c>
    </row>
    <row r="199" spans="1:1">
      <c r="A199" s="39">
        <f>IF('3757 - Wall Stickers'!B199 = "", "", IF('3757 - Wall Stickers-WUO_ERR'!A199 = "", "Validated", HYPERLINK("#" &amp; ADDRESS(199, '3757 - Wall Stickers-WUO_TRK'!A199),_xlfn.TEXTAFTER('3757 - Wall Stickers-WUO_ERR'!A199, ":"))))</f>
        <v>0</v>
      </c>
    </row>
    <row r="200" spans="1:1">
      <c r="A200" s="39">
        <f>IF('3757 - Wall Stickers'!B200 = "", "", IF('3757 - Wall Stickers-WUO_ERR'!A200 = "", "Validated", HYPERLINK("#" &amp; ADDRESS(200, '3757 - Wall Stickers-WUO_TRK'!A200),_xlfn.TEXTAFTER('3757 - Wall Stickers-WUO_ERR'!A200, ":"))))</f>
        <v>0</v>
      </c>
    </row>
    <row r="201" spans="1:1">
      <c r="A201" s="39">
        <f>IF('3757 - Wall Stickers'!B201 = "", "", IF('3757 - Wall Stickers-WUO_ERR'!A201 = "", "Validated", HYPERLINK("#" &amp; ADDRESS(201, '3757 - Wall Stickers-WUO_TRK'!A201),_xlfn.TEXTAFTER('3757 - Wall Stickers-WUO_ERR'!A201, ":"))))</f>
        <v>0</v>
      </c>
    </row>
    <row r="202" spans="1:1">
      <c r="A202" s="39">
        <f>IF('3757 - Wall Stickers'!B202 = "", "", IF('3757 - Wall Stickers-WUO_ERR'!A202 = "", "Validated", HYPERLINK("#" &amp; ADDRESS(202, '3757 - Wall Stickers-WUO_TRK'!A202),_xlfn.TEXTAFTER('3757 - Wall Stickers-WUO_ERR'!A202, ":"))))</f>
        <v>0</v>
      </c>
    </row>
    <row r="203" spans="1:1">
      <c r="A203" s="39">
        <f>IF('3757 - Wall Stickers'!B203 = "", "", IF('3757 - Wall Stickers-WUO_ERR'!A203 = "", "Validated", HYPERLINK("#" &amp; ADDRESS(203, '3757 - Wall Stickers-WUO_TRK'!A203),_xlfn.TEXTAFTER('3757 - Wall Stickers-WUO_ERR'!A203, ":"))))</f>
        <v>0</v>
      </c>
    </row>
    <row r="204" spans="1:1">
      <c r="A204" s="39">
        <f>IF('3757 - Wall Stickers'!B204 = "", "", IF('3757 - Wall Stickers-WUO_ERR'!A204 = "", "Validated", HYPERLINK("#" &amp; ADDRESS(204, '3757 - Wall Stickers-WUO_TRK'!A204),_xlfn.TEXTAFTER('3757 - Wall Stickers-WUO_ERR'!A204, ":"))))</f>
        <v>0</v>
      </c>
    </row>
    <row r="205" spans="1:1">
      <c r="A205" s="39">
        <f>IF('3757 - Wall Stickers'!B205 = "", "", IF('3757 - Wall Stickers-WUO_ERR'!A205 = "", "Validated", HYPERLINK("#" &amp; ADDRESS(205, '3757 - Wall Stickers-WUO_TRK'!A205),_xlfn.TEXTAFTER('3757 - Wall Stickers-WUO_ERR'!A205, ":"))))</f>
        <v>0</v>
      </c>
    </row>
    <row r="206" spans="1:1">
      <c r="A206" s="39">
        <f>IF('3757 - Wall Stickers'!B206 = "", "", IF('3757 - Wall Stickers-WUO_ERR'!A206 = "", "Validated", HYPERLINK("#" &amp; ADDRESS(206, '3757 - Wall Stickers-WUO_TRK'!A206),_xlfn.TEXTAFTER('3757 - Wall Stickers-WUO_ERR'!A206, ":"))))</f>
        <v>0</v>
      </c>
    </row>
    <row r="207" spans="1:1">
      <c r="A207" s="39">
        <f>IF('3757 - Wall Stickers'!B207 = "", "", IF('3757 - Wall Stickers-WUO_ERR'!A207 = "", "Validated", HYPERLINK("#" &amp; ADDRESS(207, '3757 - Wall Stickers-WUO_TRK'!A207),_xlfn.TEXTAFTER('3757 - Wall Stickers-WUO_ERR'!A207, ":"))))</f>
        <v>0</v>
      </c>
    </row>
    <row r="208" spans="1:1">
      <c r="A208" s="39">
        <f>IF('3757 - Wall Stickers'!B208 = "", "", IF('3757 - Wall Stickers-WUO_ERR'!A208 = "", "Validated", HYPERLINK("#" &amp; ADDRESS(208, '3757 - Wall Stickers-WUO_TRK'!A208),_xlfn.TEXTAFTER('3757 - Wall Stickers-WUO_ERR'!A208, ":"))))</f>
        <v>0</v>
      </c>
    </row>
    <row r="209" spans="1:1">
      <c r="A209" s="39">
        <f>IF('3757 - Wall Stickers'!B209 = "", "", IF('3757 - Wall Stickers-WUO_ERR'!A209 = "", "Validated", HYPERLINK("#" &amp; ADDRESS(209, '3757 - Wall Stickers-WUO_TRK'!A209),_xlfn.TEXTAFTER('3757 - Wall Stickers-WUO_ERR'!A209, ":"))))</f>
        <v>0</v>
      </c>
    </row>
    <row r="210" spans="1:1">
      <c r="A210" s="39">
        <f>IF('3757 - Wall Stickers'!B210 = "", "", IF('3757 - Wall Stickers-WUO_ERR'!A210 = "", "Validated", HYPERLINK("#" &amp; ADDRESS(210, '3757 - Wall Stickers-WUO_TRK'!A210),_xlfn.TEXTAFTER('3757 - Wall Stickers-WUO_ERR'!A210, ":"))))</f>
        <v>0</v>
      </c>
    </row>
    <row r="211" spans="1:1">
      <c r="A211" s="39">
        <f>IF('3757 - Wall Stickers'!B211 = "", "", IF('3757 - Wall Stickers-WUO_ERR'!A211 = "", "Validated", HYPERLINK("#" &amp; ADDRESS(211, '3757 - Wall Stickers-WUO_TRK'!A211),_xlfn.TEXTAFTER('3757 - Wall Stickers-WUO_ERR'!A211, ":"))))</f>
        <v>0</v>
      </c>
    </row>
    <row r="212" spans="1:1">
      <c r="A212" s="39">
        <f>IF('3757 - Wall Stickers'!B212 = "", "", IF('3757 - Wall Stickers-WUO_ERR'!A212 = "", "Validated", HYPERLINK("#" &amp; ADDRESS(212, '3757 - Wall Stickers-WUO_TRK'!A212),_xlfn.TEXTAFTER('3757 - Wall Stickers-WUO_ERR'!A212, ":"))))</f>
        <v>0</v>
      </c>
    </row>
    <row r="213" spans="1:1">
      <c r="A213" s="39">
        <f>IF('3757 - Wall Stickers'!B213 = "", "", IF('3757 - Wall Stickers-WUO_ERR'!A213 = "", "Validated", HYPERLINK("#" &amp; ADDRESS(213, '3757 - Wall Stickers-WUO_TRK'!A213),_xlfn.TEXTAFTER('3757 - Wall Stickers-WUO_ERR'!A213, ":"))))</f>
        <v>0</v>
      </c>
    </row>
    <row r="214" spans="1:1">
      <c r="A214" s="39">
        <f>IF('3757 - Wall Stickers'!B214 = "", "", IF('3757 - Wall Stickers-WUO_ERR'!A214 = "", "Validated", HYPERLINK("#" &amp; ADDRESS(214, '3757 - Wall Stickers-WUO_TRK'!A214),_xlfn.TEXTAFTER('3757 - Wall Stickers-WUO_ERR'!A214, ":"))))</f>
        <v>0</v>
      </c>
    </row>
    <row r="215" spans="1:1">
      <c r="A215" s="39">
        <f>IF('3757 - Wall Stickers'!B215 = "", "", IF('3757 - Wall Stickers-WUO_ERR'!A215 = "", "Validated", HYPERLINK("#" &amp; ADDRESS(215, '3757 - Wall Stickers-WUO_TRK'!A215),_xlfn.TEXTAFTER('3757 - Wall Stickers-WUO_ERR'!A215, ":"))))</f>
        <v>0</v>
      </c>
    </row>
    <row r="216" spans="1:1">
      <c r="A216" s="39">
        <f>IF('3757 - Wall Stickers'!B216 = "", "", IF('3757 - Wall Stickers-WUO_ERR'!A216 = "", "Validated", HYPERLINK("#" &amp; ADDRESS(216, '3757 - Wall Stickers-WUO_TRK'!A216),_xlfn.TEXTAFTER('3757 - Wall Stickers-WUO_ERR'!A216, ":"))))</f>
        <v>0</v>
      </c>
    </row>
    <row r="217" spans="1:1">
      <c r="A217" s="39">
        <f>IF('3757 - Wall Stickers'!B217 = "", "", IF('3757 - Wall Stickers-WUO_ERR'!A217 = "", "Validated", HYPERLINK("#" &amp; ADDRESS(217, '3757 - Wall Stickers-WUO_TRK'!A217),_xlfn.TEXTAFTER('3757 - Wall Stickers-WUO_ERR'!A217, ":"))))</f>
        <v>0</v>
      </c>
    </row>
    <row r="218" spans="1:1">
      <c r="A218" s="39">
        <f>IF('3757 - Wall Stickers'!B218 = "", "", IF('3757 - Wall Stickers-WUO_ERR'!A218 = "", "Validated", HYPERLINK("#" &amp; ADDRESS(218, '3757 - Wall Stickers-WUO_TRK'!A218),_xlfn.TEXTAFTER('3757 - Wall Stickers-WUO_ERR'!A218, ":"))))</f>
        <v>0</v>
      </c>
    </row>
    <row r="219" spans="1:1">
      <c r="A219" s="39">
        <f>IF('3757 - Wall Stickers'!B219 = "", "", IF('3757 - Wall Stickers-WUO_ERR'!A219 = "", "Validated", HYPERLINK("#" &amp; ADDRESS(219, '3757 - Wall Stickers-WUO_TRK'!A219),_xlfn.TEXTAFTER('3757 - Wall Stickers-WUO_ERR'!A219, ":"))))</f>
        <v>0</v>
      </c>
    </row>
    <row r="220" spans="1:1">
      <c r="A220" s="39">
        <f>IF('3757 - Wall Stickers'!B220 = "", "", IF('3757 - Wall Stickers-WUO_ERR'!A220 = "", "Validated", HYPERLINK("#" &amp; ADDRESS(220, '3757 - Wall Stickers-WUO_TRK'!A220),_xlfn.TEXTAFTER('3757 - Wall Stickers-WUO_ERR'!A220, ":"))))</f>
        <v>0</v>
      </c>
    </row>
    <row r="221" spans="1:1">
      <c r="A221" s="39">
        <f>IF('3757 - Wall Stickers'!B221 = "", "", IF('3757 - Wall Stickers-WUO_ERR'!A221 = "", "Validated", HYPERLINK("#" &amp; ADDRESS(221, '3757 - Wall Stickers-WUO_TRK'!A221),_xlfn.TEXTAFTER('3757 - Wall Stickers-WUO_ERR'!A221, ":"))))</f>
        <v>0</v>
      </c>
    </row>
    <row r="222" spans="1:1">
      <c r="A222" s="39">
        <f>IF('3757 - Wall Stickers'!B222 = "", "", IF('3757 - Wall Stickers-WUO_ERR'!A222 = "", "Validated", HYPERLINK("#" &amp; ADDRESS(222, '3757 - Wall Stickers-WUO_TRK'!A222),_xlfn.TEXTAFTER('3757 - Wall Stickers-WUO_ERR'!A222, ":"))))</f>
        <v>0</v>
      </c>
    </row>
    <row r="223" spans="1:1">
      <c r="A223" s="39">
        <f>IF('3757 - Wall Stickers'!B223 = "", "", IF('3757 - Wall Stickers-WUO_ERR'!A223 = "", "Validated", HYPERLINK("#" &amp; ADDRESS(223, '3757 - Wall Stickers-WUO_TRK'!A223),_xlfn.TEXTAFTER('3757 - Wall Stickers-WUO_ERR'!A223, ":"))))</f>
        <v>0</v>
      </c>
    </row>
    <row r="224" spans="1:1">
      <c r="A224" s="39">
        <f>IF('3757 - Wall Stickers'!B224 = "", "", IF('3757 - Wall Stickers-WUO_ERR'!A224 = "", "Validated", HYPERLINK("#" &amp; ADDRESS(224, '3757 - Wall Stickers-WUO_TRK'!A224),_xlfn.TEXTAFTER('3757 - Wall Stickers-WUO_ERR'!A224, ":"))))</f>
        <v>0</v>
      </c>
    </row>
    <row r="225" spans="1:1">
      <c r="A225" s="39">
        <f>IF('3757 - Wall Stickers'!B225 = "", "", IF('3757 - Wall Stickers-WUO_ERR'!A225 = "", "Validated", HYPERLINK("#" &amp; ADDRESS(225, '3757 - Wall Stickers-WUO_TRK'!A225),_xlfn.TEXTAFTER('3757 - Wall Stickers-WUO_ERR'!A225, ":"))))</f>
        <v>0</v>
      </c>
    </row>
    <row r="226" spans="1:1">
      <c r="A226" s="39">
        <f>IF('3757 - Wall Stickers'!B226 = "", "", IF('3757 - Wall Stickers-WUO_ERR'!A226 = "", "Validated", HYPERLINK("#" &amp; ADDRESS(226, '3757 - Wall Stickers-WUO_TRK'!A226),_xlfn.TEXTAFTER('3757 - Wall Stickers-WUO_ERR'!A226, ":"))))</f>
        <v>0</v>
      </c>
    </row>
    <row r="227" spans="1:1">
      <c r="A227" s="39">
        <f>IF('3757 - Wall Stickers'!B227 = "", "", IF('3757 - Wall Stickers-WUO_ERR'!A227 = "", "Validated", HYPERLINK("#" &amp; ADDRESS(227, '3757 - Wall Stickers-WUO_TRK'!A227),_xlfn.TEXTAFTER('3757 - Wall Stickers-WUO_ERR'!A227, ":"))))</f>
        <v>0</v>
      </c>
    </row>
    <row r="228" spans="1:1">
      <c r="A228" s="39">
        <f>IF('3757 - Wall Stickers'!B228 = "", "", IF('3757 - Wall Stickers-WUO_ERR'!A228 = "", "Validated", HYPERLINK("#" &amp; ADDRESS(228, '3757 - Wall Stickers-WUO_TRK'!A228),_xlfn.TEXTAFTER('3757 - Wall Stickers-WUO_ERR'!A228, ":"))))</f>
        <v>0</v>
      </c>
    </row>
    <row r="229" spans="1:1">
      <c r="A229" s="39">
        <f>IF('3757 - Wall Stickers'!B229 = "", "", IF('3757 - Wall Stickers-WUO_ERR'!A229 = "", "Validated", HYPERLINK("#" &amp; ADDRESS(229, '3757 - Wall Stickers-WUO_TRK'!A229),_xlfn.TEXTAFTER('3757 - Wall Stickers-WUO_ERR'!A229, ":"))))</f>
        <v>0</v>
      </c>
    </row>
    <row r="230" spans="1:1">
      <c r="A230" s="39">
        <f>IF('3757 - Wall Stickers'!B230 = "", "", IF('3757 - Wall Stickers-WUO_ERR'!A230 = "", "Validated", HYPERLINK("#" &amp; ADDRESS(230, '3757 - Wall Stickers-WUO_TRK'!A230),_xlfn.TEXTAFTER('3757 - Wall Stickers-WUO_ERR'!A230, ":"))))</f>
        <v>0</v>
      </c>
    </row>
    <row r="231" spans="1:1">
      <c r="A231" s="39">
        <f>IF('3757 - Wall Stickers'!B231 = "", "", IF('3757 - Wall Stickers-WUO_ERR'!A231 = "", "Validated", HYPERLINK("#" &amp; ADDRESS(231, '3757 - Wall Stickers-WUO_TRK'!A231),_xlfn.TEXTAFTER('3757 - Wall Stickers-WUO_ERR'!A231, ":"))))</f>
        <v>0</v>
      </c>
    </row>
    <row r="232" spans="1:1">
      <c r="A232" s="39">
        <f>IF('3757 - Wall Stickers'!B232 = "", "", IF('3757 - Wall Stickers-WUO_ERR'!A232 = "", "Validated", HYPERLINK("#" &amp; ADDRESS(232, '3757 - Wall Stickers-WUO_TRK'!A232),_xlfn.TEXTAFTER('3757 - Wall Stickers-WUO_ERR'!A232, ":"))))</f>
        <v>0</v>
      </c>
    </row>
    <row r="233" spans="1:1">
      <c r="A233" s="39">
        <f>IF('3757 - Wall Stickers'!B233 = "", "", IF('3757 - Wall Stickers-WUO_ERR'!A233 = "", "Validated", HYPERLINK("#" &amp; ADDRESS(233, '3757 - Wall Stickers-WUO_TRK'!A233),_xlfn.TEXTAFTER('3757 - Wall Stickers-WUO_ERR'!A233, ":"))))</f>
        <v>0</v>
      </c>
    </row>
    <row r="234" spans="1:1">
      <c r="A234" s="39">
        <f>IF('3757 - Wall Stickers'!B234 = "", "", IF('3757 - Wall Stickers-WUO_ERR'!A234 = "", "Validated", HYPERLINK("#" &amp; ADDRESS(234, '3757 - Wall Stickers-WUO_TRK'!A234),_xlfn.TEXTAFTER('3757 - Wall Stickers-WUO_ERR'!A234, ":"))))</f>
        <v>0</v>
      </c>
    </row>
    <row r="235" spans="1:1">
      <c r="A235" s="39">
        <f>IF('3757 - Wall Stickers'!B235 = "", "", IF('3757 - Wall Stickers-WUO_ERR'!A235 = "", "Validated", HYPERLINK("#" &amp; ADDRESS(235, '3757 - Wall Stickers-WUO_TRK'!A235),_xlfn.TEXTAFTER('3757 - Wall Stickers-WUO_ERR'!A235, ":"))))</f>
        <v>0</v>
      </c>
    </row>
    <row r="236" spans="1:1">
      <c r="A236" s="39">
        <f>IF('3757 - Wall Stickers'!B236 = "", "", IF('3757 - Wall Stickers-WUO_ERR'!A236 = "", "Validated", HYPERLINK("#" &amp; ADDRESS(236, '3757 - Wall Stickers-WUO_TRK'!A236),_xlfn.TEXTAFTER('3757 - Wall Stickers-WUO_ERR'!A236, ":"))))</f>
        <v>0</v>
      </c>
    </row>
    <row r="237" spans="1:1">
      <c r="A237" s="39">
        <f>IF('3757 - Wall Stickers'!B237 = "", "", IF('3757 - Wall Stickers-WUO_ERR'!A237 = "", "Validated", HYPERLINK("#" &amp; ADDRESS(237, '3757 - Wall Stickers-WUO_TRK'!A237),_xlfn.TEXTAFTER('3757 - Wall Stickers-WUO_ERR'!A237, ":"))))</f>
        <v>0</v>
      </c>
    </row>
    <row r="238" spans="1:1">
      <c r="A238" s="39">
        <f>IF('3757 - Wall Stickers'!B238 = "", "", IF('3757 - Wall Stickers-WUO_ERR'!A238 = "", "Validated", HYPERLINK("#" &amp; ADDRESS(238, '3757 - Wall Stickers-WUO_TRK'!A238),_xlfn.TEXTAFTER('3757 - Wall Stickers-WUO_ERR'!A238, ":"))))</f>
        <v>0</v>
      </c>
    </row>
    <row r="239" spans="1:1">
      <c r="A239" s="39">
        <f>IF('3757 - Wall Stickers'!B239 = "", "", IF('3757 - Wall Stickers-WUO_ERR'!A239 = "", "Validated", HYPERLINK("#" &amp; ADDRESS(239, '3757 - Wall Stickers-WUO_TRK'!A239),_xlfn.TEXTAFTER('3757 - Wall Stickers-WUO_ERR'!A239, ":"))))</f>
        <v>0</v>
      </c>
    </row>
    <row r="240" spans="1:1">
      <c r="A240" s="39">
        <f>IF('3757 - Wall Stickers'!B240 = "", "", IF('3757 - Wall Stickers-WUO_ERR'!A240 = "", "Validated", HYPERLINK("#" &amp; ADDRESS(240, '3757 - Wall Stickers-WUO_TRK'!A240),_xlfn.TEXTAFTER('3757 - Wall Stickers-WUO_ERR'!A240, ":"))))</f>
        <v>0</v>
      </c>
    </row>
    <row r="241" spans="1:1">
      <c r="A241" s="39">
        <f>IF('3757 - Wall Stickers'!B241 = "", "", IF('3757 - Wall Stickers-WUO_ERR'!A241 = "", "Validated", HYPERLINK("#" &amp; ADDRESS(241, '3757 - Wall Stickers-WUO_TRK'!A241),_xlfn.TEXTAFTER('3757 - Wall Stickers-WUO_ERR'!A241, ":"))))</f>
        <v>0</v>
      </c>
    </row>
    <row r="242" spans="1:1">
      <c r="A242" s="39">
        <f>IF('3757 - Wall Stickers'!B242 = "", "", IF('3757 - Wall Stickers-WUO_ERR'!A242 = "", "Validated", HYPERLINK("#" &amp; ADDRESS(242, '3757 - Wall Stickers-WUO_TRK'!A242),_xlfn.TEXTAFTER('3757 - Wall Stickers-WUO_ERR'!A242, ":"))))</f>
        <v>0</v>
      </c>
    </row>
    <row r="243" spans="1:1">
      <c r="A243" s="39">
        <f>IF('3757 - Wall Stickers'!B243 = "", "", IF('3757 - Wall Stickers-WUO_ERR'!A243 = "", "Validated", HYPERLINK("#" &amp; ADDRESS(243, '3757 - Wall Stickers-WUO_TRK'!A243),_xlfn.TEXTAFTER('3757 - Wall Stickers-WUO_ERR'!A243, ":"))))</f>
        <v>0</v>
      </c>
    </row>
    <row r="244" spans="1:1">
      <c r="A244" s="39">
        <f>IF('3757 - Wall Stickers'!B244 = "", "", IF('3757 - Wall Stickers-WUO_ERR'!A244 = "", "Validated", HYPERLINK("#" &amp; ADDRESS(244, '3757 - Wall Stickers-WUO_TRK'!A244),_xlfn.TEXTAFTER('3757 - Wall Stickers-WUO_ERR'!A244, ":"))))</f>
        <v>0</v>
      </c>
    </row>
    <row r="245" spans="1:1">
      <c r="A245" s="39">
        <f>IF('3757 - Wall Stickers'!B245 = "", "", IF('3757 - Wall Stickers-WUO_ERR'!A245 = "", "Validated", HYPERLINK("#" &amp; ADDRESS(245, '3757 - Wall Stickers-WUO_TRK'!A245),_xlfn.TEXTAFTER('3757 - Wall Stickers-WUO_ERR'!A245, ":"))))</f>
        <v>0</v>
      </c>
    </row>
    <row r="246" spans="1:1">
      <c r="A246" s="39">
        <f>IF('3757 - Wall Stickers'!B246 = "", "", IF('3757 - Wall Stickers-WUO_ERR'!A246 = "", "Validated", HYPERLINK("#" &amp; ADDRESS(246, '3757 - Wall Stickers-WUO_TRK'!A246),_xlfn.TEXTAFTER('3757 - Wall Stickers-WUO_ERR'!A246, ":"))))</f>
        <v>0</v>
      </c>
    </row>
    <row r="247" spans="1:1">
      <c r="A247" s="39">
        <f>IF('3757 - Wall Stickers'!B247 = "", "", IF('3757 - Wall Stickers-WUO_ERR'!A247 = "", "Validated", HYPERLINK("#" &amp; ADDRESS(247, '3757 - Wall Stickers-WUO_TRK'!A247),_xlfn.TEXTAFTER('3757 - Wall Stickers-WUO_ERR'!A247, ":"))))</f>
        <v>0</v>
      </c>
    </row>
    <row r="248" spans="1:1">
      <c r="A248" s="39">
        <f>IF('3757 - Wall Stickers'!B248 = "", "", IF('3757 - Wall Stickers-WUO_ERR'!A248 = "", "Validated", HYPERLINK("#" &amp; ADDRESS(248, '3757 - Wall Stickers-WUO_TRK'!A248),_xlfn.TEXTAFTER('3757 - Wall Stickers-WUO_ERR'!A248, ":"))))</f>
        <v>0</v>
      </c>
    </row>
    <row r="249" spans="1:1">
      <c r="A249" s="39">
        <f>IF('3757 - Wall Stickers'!B249 = "", "", IF('3757 - Wall Stickers-WUO_ERR'!A249 = "", "Validated", HYPERLINK("#" &amp; ADDRESS(249, '3757 - Wall Stickers-WUO_TRK'!A249),_xlfn.TEXTAFTER('3757 - Wall Stickers-WUO_ERR'!A249, ":"))))</f>
        <v>0</v>
      </c>
    </row>
    <row r="250" spans="1:1">
      <c r="A250" s="39">
        <f>IF('3757 - Wall Stickers'!B250 = "", "", IF('3757 - Wall Stickers-WUO_ERR'!A250 = "", "Validated", HYPERLINK("#" &amp; ADDRESS(250, '3757 - Wall Stickers-WUO_TRK'!A250),_xlfn.TEXTAFTER('3757 - Wall Stickers-WUO_ERR'!A250, ":"))))</f>
        <v>0</v>
      </c>
    </row>
    <row r="251" spans="1:1">
      <c r="A251" s="39">
        <f>IF('3757 - Wall Stickers'!B251 = "", "", IF('3757 - Wall Stickers-WUO_ERR'!A251 = "", "Validated", HYPERLINK("#" &amp; ADDRESS(251, '3757 - Wall Stickers-WUO_TRK'!A251),_xlfn.TEXTAFTER('3757 - Wall Stickers-WUO_ERR'!A251, ":"))))</f>
        <v>0</v>
      </c>
    </row>
    <row r="252" spans="1:1">
      <c r="A252" s="39">
        <f>IF('3757 - Wall Stickers'!B252 = "", "", IF('3757 - Wall Stickers-WUO_ERR'!A252 = "", "Validated", HYPERLINK("#" &amp; ADDRESS(252, '3757 - Wall Stickers-WUO_TRK'!A252),_xlfn.TEXTAFTER('3757 - Wall Stickers-WUO_ERR'!A252, ":"))))</f>
        <v>0</v>
      </c>
    </row>
    <row r="253" spans="1:1">
      <c r="A253" s="39">
        <f>IF('3757 - Wall Stickers'!B253 = "", "", IF('3757 - Wall Stickers-WUO_ERR'!A253 = "", "Validated", HYPERLINK("#" &amp; ADDRESS(253, '3757 - Wall Stickers-WUO_TRK'!A253),_xlfn.TEXTAFTER('3757 - Wall Stickers-WUO_ERR'!A253, ":"))))</f>
        <v>0</v>
      </c>
    </row>
    <row r="254" spans="1:1">
      <c r="A254" s="39">
        <f>IF('3757 - Wall Stickers'!B254 = "", "", IF('3757 - Wall Stickers-WUO_ERR'!A254 = "", "Validated", HYPERLINK("#" &amp; ADDRESS(254, '3757 - Wall Stickers-WUO_TRK'!A254),_xlfn.TEXTAFTER('3757 - Wall Stickers-WUO_ERR'!A254, ":"))))</f>
        <v>0</v>
      </c>
    </row>
    <row r="255" spans="1:1">
      <c r="A255" s="39">
        <f>IF('3757 - Wall Stickers'!B255 = "", "", IF('3757 - Wall Stickers-WUO_ERR'!A255 = "", "Validated", HYPERLINK("#" &amp; ADDRESS(255, '3757 - Wall Stickers-WUO_TRK'!A255),_xlfn.TEXTAFTER('3757 - Wall Stickers-WUO_ERR'!A255, ":"))))</f>
        <v>0</v>
      </c>
    </row>
    <row r="256" spans="1:1">
      <c r="A256" s="39">
        <f>IF('3757 - Wall Stickers'!B256 = "", "", IF('3757 - Wall Stickers-WUO_ERR'!A256 = "", "Validated", HYPERLINK("#" &amp; ADDRESS(256, '3757 - Wall Stickers-WUO_TRK'!A256),_xlfn.TEXTAFTER('3757 - Wall Stickers-WUO_ERR'!A256, ":"))))</f>
        <v>0</v>
      </c>
    </row>
    <row r="257" spans="1:1">
      <c r="A257" s="39">
        <f>IF('3757 - Wall Stickers'!B257 = "", "", IF('3757 - Wall Stickers-WUO_ERR'!A257 = "", "Validated", HYPERLINK("#" &amp; ADDRESS(257, '3757 - Wall Stickers-WUO_TRK'!A257),_xlfn.TEXTAFTER('3757 - Wall Stickers-WUO_ERR'!A257, ":"))))</f>
        <v>0</v>
      </c>
    </row>
    <row r="258" spans="1:1">
      <c r="A258" s="39">
        <f>IF('3757 - Wall Stickers'!B258 = "", "", IF('3757 - Wall Stickers-WUO_ERR'!A258 = "", "Validated", HYPERLINK("#" &amp; ADDRESS(258, '3757 - Wall Stickers-WUO_TRK'!A258),_xlfn.TEXTAFTER('3757 - Wall Stickers-WUO_ERR'!A258, ":"))))</f>
        <v>0</v>
      </c>
    </row>
    <row r="259" spans="1:1">
      <c r="A259" s="39">
        <f>IF('3757 - Wall Stickers'!B259 = "", "", IF('3757 - Wall Stickers-WUO_ERR'!A259 = "", "Validated", HYPERLINK("#" &amp; ADDRESS(259, '3757 - Wall Stickers-WUO_TRK'!A259),_xlfn.TEXTAFTER('3757 - Wall Stickers-WUO_ERR'!A259, ":"))))</f>
        <v>0</v>
      </c>
    </row>
    <row r="260" spans="1:1">
      <c r="A260" s="39">
        <f>IF('3757 - Wall Stickers'!B260 = "", "", IF('3757 - Wall Stickers-WUO_ERR'!A260 = "", "Validated", HYPERLINK("#" &amp; ADDRESS(260, '3757 - Wall Stickers-WUO_TRK'!A260),_xlfn.TEXTAFTER('3757 - Wall Stickers-WUO_ERR'!A260, ":"))))</f>
        <v>0</v>
      </c>
    </row>
    <row r="261" spans="1:1">
      <c r="A261" s="39">
        <f>IF('3757 - Wall Stickers'!B261 = "", "", IF('3757 - Wall Stickers-WUO_ERR'!A261 = "", "Validated", HYPERLINK("#" &amp; ADDRESS(261, '3757 - Wall Stickers-WUO_TRK'!A261),_xlfn.TEXTAFTER('3757 - Wall Stickers-WUO_ERR'!A261, ":"))))</f>
        <v>0</v>
      </c>
    </row>
    <row r="262" spans="1:1">
      <c r="A262" s="39">
        <f>IF('3757 - Wall Stickers'!B262 = "", "", IF('3757 - Wall Stickers-WUO_ERR'!A262 = "", "Validated", HYPERLINK("#" &amp; ADDRESS(262, '3757 - Wall Stickers-WUO_TRK'!A262),_xlfn.TEXTAFTER('3757 - Wall Stickers-WUO_ERR'!A262, ":"))))</f>
        <v>0</v>
      </c>
    </row>
    <row r="263" spans="1:1">
      <c r="A263" s="39">
        <f>IF('3757 - Wall Stickers'!B263 = "", "", IF('3757 - Wall Stickers-WUO_ERR'!A263 = "", "Validated", HYPERLINK("#" &amp; ADDRESS(263, '3757 - Wall Stickers-WUO_TRK'!A263),_xlfn.TEXTAFTER('3757 - Wall Stickers-WUO_ERR'!A263, ":"))))</f>
        <v>0</v>
      </c>
    </row>
    <row r="264" spans="1:1">
      <c r="A264" s="39">
        <f>IF('3757 - Wall Stickers'!B264 = "", "", IF('3757 - Wall Stickers-WUO_ERR'!A264 = "", "Validated", HYPERLINK("#" &amp; ADDRESS(264, '3757 - Wall Stickers-WUO_TRK'!A264),_xlfn.TEXTAFTER('3757 - Wall Stickers-WUO_ERR'!A264, ":"))))</f>
        <v>0</v>
      </c>
    </row>
    <row r="265" spans="1:1">
      <c r="A265" s="39">
        <f>IF('3757 - Wall Stickers'!B265 = "", "", IF('3757 - Wall Stickers-WUO_ERR'!A265 = "", "Validated", HYPERLINK("#" &amp; ADDRESS(265, '3757 - Wall Stickers-WUO_TRK'!A265),_xlfn.TEXTAFTER('3757 - Wall Stickers-WUO_ERR'!A265, ":"))))</f>
        <v>0</v>
      </c>
    </row>
    <row r="266" spans="1:1">
      <c r="A266" s="39">
        <f>IF('3757 - Wall Stickers'!B266 = "", "", IF('3757 - Wall Stickers-WUO_ERR'!A266 = "", "Validated", HYPERLINK("#" &amp; ADDRESS(266, '3757 - Wall Stickers-WUO_TRK'!A266),_xlfn.TEXTAFTER('3757 - Wall Stickers-WUO_ERR'!A266, ":"))))</f>
        <v>0</v>
      </c>
    </row>
    <row r="267" spans="1:1">
      <c r="A267" s="39">
        <f>IF('3757 - Wall Stickers'!B267 = "", "", IF('3757 - Wall Stickers-WUO_ERR'!A267 = "", "Validated", HYPERLINK("#" &amp; ADDRESS(267, '3757 - Wall Stickers-WUO_TRK'!A267),_xlfn.TEXTAFTER('3757 - Wall Stickers-WUO_ERR'!A267, ":"))))</f>
        <v>0</v>
      </c>
    </row>
    <row r="268" spans="1:1">
      <c r="A268" s="39">
        <f>IF('3757 - Wall Stickers'!B268 = "", "", IF('3757 - Wall Stickers-WUO_ERR'!A268 = "", "Validated", HYPERLINK("#" &amp; ADDRESS(268, '3757 - Wall Stickers-WUO_TRK'!A268),_xlfn.TEXTAFTER('3757 - Wall Stickers-WUO_ERR'!A268, ":"))))</f>
        <v>0</v>
      </c>
    </row>
    <row r="269" spans="1:1">
      <c r="A269" s="39">
        <f>IF('3757 - Wall Stickers'!B269 = "", "", IF('3757 - Wall Stickers-WUO_ERR'!A269 = "", "Validated", HYPERLINK("#" &amp; ADDRESS(269, '3757 - Wall Stickers-WUO_TRK'!A269),_xlfn.TEXTAFTER('3757 - Wall Stickers-WUO_ERR'!A269, ":"))))</f>
        <v>0</v>
      </c>
    </row>
    <row r="270" spans="1:1">
      <c r="A270" s="39">
        <f>IF('3757 - Wall Stickers'!B270 = "", "", IF('3757 - Wall Stickers-WUO_ERR'!A270 = "", "Validated", HYPERLINK("#" &amp; ADDRESS(270, '3757 - Wall Stickers-WUO_TRK'!A270),_xlfn.TEXTAFTER('3757 - Wall Stickers-WUO_ERR'!A270, ":"))))</f>
        <v>0</v>
      </c>
    </row>
    <row r="271" spans="1:1">
      <c r="A271" s="39">
        <f>IF('3757 - Wall Stickers'!B271 = "", "", IF('3757 - Wall Stickers-WUO_ERR'!A271 = "", "Validated", HYPERLINK("#" &amp; ADDRESS(271, '3757 - Wall Stickers-WUO_TRK'!A271),_xlfn.TEXTAFTER('3757 - Wall Stickers-WUO_ERR'!A271, ":"))))</f>
        <v>0</v>
      </c>
    </row>
    <row r="272" spans="1:1">
      <c r="A272" s="39">
        <f>IF('3757 - Wall Stickers'!B272 = "", "", IF('3757 - Wall Stickers-WUO_ERR'!A272 = "", "Validated", HYPERLINK("#" &amp; ADDRESS(272, '3757 - Wall Stickers-WUO_TRK'!A272),_xlfn.TEXTAFTER('3757 - Wall Stickers-WUO_ERR'!A272, ":"))))</f>
        <v>0</v>
      </c>
    </row>
    <row r="273" spans="1:1">
      <c r="A273" s="39">
        <f>IF('3757 - Wall Stickers'!B273 = "", "", IF('3757 - Wall Stickers-WUO_ERR'!A273 = "", "Validated", HYPERLINK("#" &amp; ADDRESS(273, '3757 - Wall Stickers-WUO_TRK'!A273),_xlfn.TEXTAFTER('3757 - Wall Stickers-WUO_ERR'!A273, ":"))))</f>
        <v>0</v>
      </c>
    </row>
    <row r="274" spans="1:1">
      <c r="A274" s="39">
        <f>IF('3757 - Wall Stickers'!B274 = "", "", IF('3757 - Wall Stickers-WUO_ERR'!A274 = "", "Validated", HYPERLINK("#" &amp; ADDRESS(274, '3757 - Wall Stickers-WUO_TRK'!A274),_xlfn.TEXTAFTER('3757 - Wall Stickers-WUO_ERR'!A274, ":"))))</f>
        <v>0</v>
      </c>
    </row>
    <row r="275" spans="1:1">
      <c r="A275" s="39">
        <f>IF('3757 - Wall Stickers'!B275 = "", "", IF('3757 - Wall Stickers-WUO_ERR'!A275 = "", "Validated", HYPERLINK("#" &amp; ADDRESS(275, '3757 - Wall Stickers-WUO_TRK'!A275),_xlfn.TEXTAFTER('3757 - Wall Stickers-WUO_ERR'!A275, ":"))))</f>
        <v>0</v>
      </c>
    </row>
    <row r="276" spans="1:1">
      <c r="A276" s="39">
        <f>IF('3757 - Wall Stickers'!B276 = "", "", IF('3757 - Wall Stickers-WUO_ERR'!A276 = "", "Validated", HYPERLINK("#" &amp; ADDRESS(276, '3757 - Wall Stickers-WUO_TRK'!A276),_xlfn.TEXTAFTER('3757 - Wall Stickers-WUO_ERR'!A276, ":"))))</f>
        <v>0</v>
      </c>
    </row>
    <row r="277" spans="1:1">
      <c r="A277" s="39">
        <f>IF('3757 - Wall Stickers'!B277 = "", "", IF('3757 - Wall Stickers-WUO_ERR'!A277 = "", "Validated", HYPERLINK("#" &amp; ADDRESS(277, '3757 - Wall Stickers-WUO_TRK'!A277),_xlfn.TEXTAFTER('3757 - Wall Stickers-WUO_ERR'!A277, ":"))))</f>
        <v>0</v>
      </c>
    </row>
    <row r="278" spans="1:1">
      <c r="A278" s="39">
        <f>IF('3757 - Wall Stickers'!B278 = "", "", IF('3757 - Wall Stickers-WUO_ERR'!A278 = "", "Validated", HYPERLINK("#" &amp; ADDRESS(278, '3757 - Wall Stickers-WUO_TRK'!A278),_xlfn.TEXTAFTER('3757 - Wall Stickers-WUO_ERR'!A278, ":"))))</f>
        <v>0</v>
      </c>
    </row>
    <row r="279" spans="1:1">
      <c r="A279" s="39">
        <f>IF('3757 - Wall Stickers'!B279 = "", "", IF('3757 - Wall Stickers-WUO_ERR'!A279 = "", "Validated", HYPERLINK("#" &amp; ADDRESS(279, '3757 - Wall Stickers-WUO_TRK'!A279),_xlfn.TEXTAFTER('3757 - Wall Stickers-WUO_ERR'!A279, ":"))))</f>
        <v>0</v>
      </c>
    </row>
    <row r="280" spans="1:1">
      <c r="A280" s="39">
        <f>IF('3757 - Wall Stickers'!B280 = "", "", IF('3757 - Wall Stickers-WUO_ERR'!A280 = "", "Validated", HYPERLINK("#" &amp; ADDRESS(280, '3757 - Wall Stickers-WUO_TRK'!A280),_xlfn.TEXTAFTER('3757 - Wall Stickers-WUO_ERR'!A280, ":"))))</f>
        <v>0</v>
      </c>
    </row>
    <row r="281" spans="1:1">
      <c r="A281" s="39">
        <f>IF('3757 - Wall Stickers'!B281 = "", "", IF('3757 - Wall Stickers-WUO_ERR'!A281 = "", "Validated", HYPERLINK("#" &amp; ADDRESS(281, '3757 - Wall Stickers-WUO_TRK'!A281),_xlfn.TEXTAFTER('3757 - Wall Stickers-WUO_ERR'!A281, ":"))))</f>
        <v>0</v>
      </c>
    </row>
    <row r="282" spans="1:1">
      <c r="A282" s="39">
        <f>IF('3757 - Wall Stickers'!B282 = "", "", IF('3757 - Wall Stickers-WUO_ERR'!A282 = "", "Validated", HYPERLINK("#" &amp; ADDRESS(282, '3757 - Wall Stickers-WUO_TRK'!A282),_xlfn.TEXTAFTER('3757 - Wall Stickers-WUO_ERR'!A282, ":"))))</f>
        <v>0</v>
      </c>
    </row>
    <row r="283" spans="1:1">
      <c r="A283" s="39">
        <f>IF('3757 - Wall Stickers'!B283 = "", "", IF('3757 - Wall Stickers-WUO_ERR'!A283 = "", "Validated", HYPERLINK("#" &amp; ADDRESS(283, '3757 - Wall Stickers-WUO_TRK'!A283),_xlfn.TEXTAFTER('3757 - Wall Stickers-WUO_ERR'!A283, ":"))))</f>
        <v>0</v>
      </c>
    </row>
    <row r="284" spans="1:1">
      <c r="A284" s="39">
        <f>IF('3757 - Wall Stickers'!B284 = "", "", IF('3757 - Wall Stickers-WUO_ERR'!A284 = "", "Validated", HYPERLINK("#" &amp; ADDRESS(284, '3757 - Wall Stickers-WUO_TRK'!A284),_xlfn.TEXTAFTER('3757 - Wall Stickers-WUO_ERR'!A284, ":"))))</f>
        <v>0</v>
      </c>
    </row>
    <row r="285" spans="1:1">
      <c r="A285" s="39">
        <f>IF('3757 - Wall Stickers'!B285 = "", "", IF('3757 - Wall Stickers-WUO_ERR'!A285 = "", "Validated", HYPERLINK("#" &amp; ADDRESS(285, '3757 - Wall Stickers-WUO_TRK'!A285),_xlfn.TEXTAFTER('3757 - Wall Stickers-WUO_ERR'!A285, ":"))))</f>
        <v>0</v>
      </c>
    </row>
    <row r="286" spans="1:1">
      <c r="A286" s="39">
        <f>IF('3757 - Wall Stickers'!B286 = "", "", IF('3757 - Wall Stickers-WUO_ERR'!A286 = "", "Validated", HYPERLINK("#" &amp; ADDRESS(286, '3757 - Wall Stickers-WUO_TRK'!A286),_xlfn.TEXTAFTER('3757 - Wall Stickers-WUO_ERR'!A286, ":"))))</f>
        <v>0</v>
      </c>
    </row>
    <row r="287" spans="1:1">
      <c r="A287" s="39">
        <f>IF('3757 - Wall Stickers'!B287 = "", "", IF('3757 - Wall Stickers-WUO_ERR'!A287 = "", "Validated", HYPERLINK("#" &amp; ADDRESS(287, '3757 - Wall Stickers-WUO_TRK'!A287),_xlfn.TEXTAFTER('3757 - Wall Stickers-WUO_ERR'!A287, ":"))))</f>
        <v>0</v>
      </c>
    </row>
    <row r="288" spans="1:1">
      <c r="A288" s="39">
        <f>IF('3757 - Wall Stickers'!B288 = "", "", IF('3757 - Wall Stickers-WUO_ERR'!A288 = "", "Validated", HYPERLINK("#" &amp; ADDRESS(288, '3757 - Wall Stickers-WUO_TRK'!A288),_xlfn.TEXTAFTER('3757 - Wall Stickers-WUO_ERR'!A288, ":"))))</f>
        <v>0</v>
      </c>
    </row>
    <row r="289" spans="1:1">
      <c r="A289" s="39">
        <f>IF('3757 - Wall Stickers'!B289 = "", "", IF('3757 - Wall Stickers-WUO_ERR'!A289 = "", "Validated", HYPERLINK("#" &amp; ADDRESS(289, '3757 - Wall Stickers-WUO_TRK'!A289),_xlfn.TEXTAFTER('3757 - Wall Stickers-WUO_ERR'!A289, ":"))))</f>
        <v>0</v>
      </c>
    </row>
    <row r="290" spans="1:1">
      <c r="A290" s="39">
        <f>IF('3757 - Wall Stickers'!B290 = "", "", IF('3757 - Wall Stickers-WUO_ERR'!A290 = "", "Validated", HYPERLINK("#" &amp; ADDRESS(290, '3757 - Wall Stickers-WUO_TRK'!A290),_xlfn.TEXTAFTER('3757 - Wall Stickers-WUO_ERR'!A290, ":"))))</f>
        <v>0</v>
      </c>
    </row>
    <row r="291" spans="1:1">
      <c r="A291" s="39">
        <f>IF('3757 - Wall Stickers'!B291 = "", "", IF('3757 - Wall Stickers-WUO_ERR'!A291 = "", "Validated", HYPERLINK("#" &amp; ADDRESS(291, '3757 - Wall Stickers-WUO_TRK'!A291),_xlfn.TEXTAFTER('3757 - Wall Stickers-WUO_ERR'!A291, ":"))))</f>
        <v>0</v>
      </c>
    </row>
    <row r="292" spans="1:1">
      <c r="A292" s="39">
        <f>IF('3757 - Wall Stickers'!B292 = "", "", IF('3757 - Wall Stickers-WUO_ERR'!A292 = "", "Validated", HYPERLINK("#" &amp; ADDRESS(292, '3757 - Wall Stickers-WUO_TRK'!A292),_xlfn.TEXTAFTER('3757 - Wall Stickers-WUO_ERR'!A292, ":"))))</f>
        <v>0</v>
      </c>
    </row>
    <row r="293" spans="1:1">
      <c r="A293" s="39">
        <f>IF('3757 - Wall Stickers'!B293 = "", "", IF('3757 - Wall Stickers-WUO_ERR'!A293 = "", "Validated", HYPERLINK("#" &amp; ADDRESS(293, '3757 - Wall Stickers-WUO_TRK'!A293),_xlfn.TEXTAFTER('3757 - Wall Stickers-WUO_ERR'!A293, ":"))))</f>
        <v>0</v>
      </c>
    </row>
    <row r="294" spans="1:1">
      <c r="A294" s="39">
        <f>IF('3757 - Wall Stickers'!B294 = "", "", IF('3757 - Wall Stickers-WUO_ERR'!A294 = "", "Validated", HYPERLINK("#" &amp; ADDRESS(294, '3757 - Wall Stickers-WUO_TRK'!A294),_xlfn.TEXTAFTER('3757 - Wall Stickers-WUO_ERR'!A294, ":"))))</f>
        <v>0</v>
      </c>
    </row>
    <row r="295" spans="1:1">
      <c r="A295" s="39">
        <f>IF('3757 - Wall Stickers'!B295 = "", "", IF('3757 - Wall Stickers-WUO_ERR'!A295 = "", "Validated", HYPERLINK("#" &amp; ADDRESS(295, '3757 - Wall Stickers-WUO_TRK'!A295),_xlfn.TEXTAFTER('3757 - Wall Stickers-WUO_ERR'!A295, ":"))))</f>
        <v>0</v>
      </c>
    </row>
    <row r="296" spans="1:1">
      <c r="A296" s="39">
        <f>IF('3757 - Wall Stickers'!B296 = "", "", IF('3757 - Wall Stickers-WUO_ERR'!A296 = "", "Validated", HYPERLINK("#" &amp; ADDRESS(296, '3757 - Wall Stickers-WUO_TRK'!A296),_xlfn.TEXTAFTER('3757 - Wall Stickers-WUO_ERR'!A296, ":"))))</f>
        <v>0</v>
      </c>
    </row>
    <row r="297" spans="1:1">
      <c r="A297" s="39">
        <f>IF('3757 - Wall Stickers'!B297 = "", "", IF('3757 - Wall Stickers-WUO_ERR'!A297 = "", "Validated", HYPERLINK("#" &amp; ADDRESS(297, '3757 - Wall Stickers-WUO_TRK'!A297),_xlfn.TEXTAFTER('3757 - Wall Stickers-WUO_ERR'!A297, ":"))))</f>
        <v>0</v>
      </c>
    </row>
    <row r="298" spans="1:1">
      <c r="A298" s="39">
        <f>IF('3757 - Wall Stickers'!B298 = "", "", IF('3757 - Wall Stickers-WUO_ERR'!A298 = "", "Validated", HYPERLINK("#" &amp; ADDRESS(298, '3757 - Wall Stickers-WUO_TRK'!A298),_xlfn.TEXTAFTER('3757 - Wall Stickers-WUO_ERR'!A298, ":"))))</f>
        <v>0</v>
      </c>
    </row>
    <row r="299" spans="1:1">
      <c r="A299" s="39">
        <f>IF('3757 - Wall Stickers'!B299 = "", "", IF('3757 - Wall Stickers-WUO_ERR'!A299 = "", "Validated", HYPERLINK("#" &amp; ADDRESS(299, '3757 - Wall Stickers-WUO_TRK'!A299),_xlfn.TEXTAFTER('3757 - Wall Stickers-WUO_ERR'!A299, ":"))))</f>
        <v>0</v>
      </c>
    </row>
    <row r="300" spans="1:1">
      <c r="A300" s="39">
        <f>IF('3757 - Wall Stickers'!B300 = "", "", IF('3757 - Wall Stickers-WUO_ERR'!A300 = "", "Validated", HYPERLINK("#" &amp; ADDRESS(300, '3757 - Wall Stickers-WUO_TRK'!A300),_xlfn.TEXTAFTER('3757 - Wall Stickers-WUO_ERR'!A300, ":"))))</f>
        <v>0</v>
      </c>
    </row>
    <row r="301" spans="1:1">
      <c r="A301" s="39">
        <f>IF('3757 - Wall Stickers'!B301 = "", "", IF('3757 - Wall Stickers-WUO_ERR'!A301 = "", "Validated", HYPERLINK("#" &amp; ADDRESS(301, '3757 - Wall Stickers-WUO_TRK'!A301),_xlfn.TEXTAFTER('3757 - Wall Stickers-WUO_ERR'!A301, ":"))))</f>
        <v>0</v>
      </c>
    </row>
    <row r="302" spans="1:1">
      <c r="A302" s="39">
        <f>IF('3757 - Wall Stickers'!B302 = "", "", IF('3757 - Wall Stickers-WUO_ERR'!A302 = "", "Validated", HYPERLINK("#" &amp; ADDRESS(302, '3757 - Wall Stickers-WUO_TRK'!A302),_xlfn.TEXTAFTER('3757 - Wall Stickers-WUO_ERR'!A302, ":"))))</f>
        <v>0</v>
      </c>
    </row>
    <row r="303" spans="1:1">
      <c r="A303" s="39">
        <f>IF('3757 - Wall Stickers'!B303 = "", "", IF('3757 - Wall Stickers-WUO_ERR'!A303 = "", "Validated", HYPERLINK("#" &amp; ADDRESS(303, '3757 - Wall Stickers-WUO_TRK'!A303),_xlfn.TEXTAFTER('3757 - Wall Stickers-WUO_ERR'!A303, ":"))))</f>
        <v>0</v>
      </c>
    </row>
    <row r="304" spans="1:1">
      <c r="A304" s="39">
        <f>IF('3757 - Wall Stickers'!B304 = "", "", IF('3757 - Wall Stickers-WUO_ERR'!A304 = "", "Validated", HYPERLINK("#" &amp; ADDRESS(304, '3757 - Wall Stickers-WUO_TRK'!A304),_xlfn.TEXTAFTER('3757 - Wall Stickers-WUO_ERR'!A304, ":"))))</f>
        <v>0</v>
      </c>
    </row>
    <row r="305" spans="1:1">
      <c r="A305" s="39">
        <f>IF('3757 - Wall Stickers'!B305 = "", "", IF('3757 - Wall Stickers-WUO_ERR'!A305 = "", "Validated", HYPERLINK("#" &amp; ADDRESS(305, '3757 - Wall Stickers-WUO_TRK'!A305),_xlfn.TEXTAFTER('3757 - Wall Stickers-WUO_ERR'!A305, ":"))))</f>
        <v>0</v>
      </c>
    </row>
    <row r="306" spans="1:1">
      <c r="A306" s="39">
        <f>IF('3757 - Wall Stickers'!B306 = "", "", IF('3757 - Wall Stickers-WUO_ERR'!A306 = "", "Validated", HYPERLINK("#" &amp; ADDRESS(306, '3757 - Wall Stickers-WUO_TRK'!A306),_xlfn.TEXTAFTER('3757 - Wall Stickers-WUO_ERR'!A306, ":"))))</f>
        <v>0</v>
      </c>
    </row>
    <row r="307" spans="1:1">
      <c r="A307" s="39">
        <f>IF('3757 - Wall Stickers'!B307 = "", "", IF('3757 - Wall Stickers-WUO_ERR'!A307 = "", "Validated", HYPERLINK("#" &amp; ADDRESS(307, '3757 - Wall Stickers-WUO_TRK'!A307),_xlfn.TEXTAFTER('3757 - Wall Stickers-WUO_ERR'!A307, ":"))))</f>
        <v>0</v>
      </c>
    </row>
    <row r="308" spans="1:1">
      <c r="A308" s="39">
        <f>IF('3757 - Wall Stickers'!B308 = "", "", IF('3757 - Wall Stickers-WUO_ERR'!A308 = "", "Validated", HYPERLINK("#" &amp; ADDRESS(308, '3757 - Wall Stickers-WUO_TRK'!A308),_xlfn.TEXTAFTER('3757 - Wall Stickers-WUO_ERR'!A308, ":"))))</f>
        <v>0</v>
      </c>
    </row>
    <row r="309" spans="1:1">
      <c r="A309" s="39">
        <f>IF('3757 - Wall Stickers'!B309 = "", "", IF('3757 - Wall Stickers-WUO_ERR'!A309 = "", "Validated", HYPERLINK("#" &amp; ADDRESS(309, '3757 - Wall Stickers-WUO_TRK'!A309),_xlfn.TEXTAFTER('3757 - Wall Stickers-WUO_ERR'!A309, ":"))))</f>
        <v>0</v>
      </c>
    </row>
    <row r="310" spans="1:1">
      <c r="A310" s="39">
        <f>IF('3757 - Wall Stickers'!B310 = "", "", IF('3757 - Wall Stickers-WUO_ERR'!A310 = "", "Validated", HYPERLINK("#" &amp; ADDRESS(310, '3757 - Wall Stickers-WUO_TRK'!A310),_xlfn.TEXTAFTER('3757 - Wall Stickers-WUO_ERR'!A310, ":"))))</f>
        <v>0</v>
      </c>
    </row>
    <row r="311" spans="1:1">
      <c r="A311" s="39">
        <f>IF('3757 - Wall Stickers'!B311 = "", "", IF('3757 - Wall Stickers-WUO_ERR'!A311 = "", "Validated", HYPERLINK("#" &amp; ADDRESS(311, '3757 - Wall Stickers-WUO_TRK'!A311),_xlfn.TEXTAFTER('3757 - Wall Stickers-WUO_ERR'!A311, ":"))))</f>
        <v>0</v>
      </c>
    </row>
    <row r="312" spans="1:1">
      <c r="A312" s="39">
        <f>IF('3757 - Wall Stickers'!B312 = "", "", IF('3757 - Wall Stickers-WUO_ERR'!A312 = "", "Validated", HYPERLINK("#" &amp; ADDRESS(312, '3757 - Wall Stickers-WUO_TRK'!A312),_xlfn.TEXTAFTER('3757 - Wall Stickers-WUO_ERR'!A312, ":"))))</f>
        <v>0</v>
      </c>
    </row>
    <row r="313" spans="1:1">
      <c r="A313" s="39">
        <f>IF('3757 - Wall Stickers'!B313 = "", "", IF('3757 - Wall Stickers-WUO_ERR'!A313 = "", "Validated", HYPERLINK("#" &amp; ADDRESS(313, '3757 - Wall Stickers-WUO_TRK'!A313),_xlfn.TEXTAFTER('3757 - Wall Stickers-WUO_ERR'!A313, ":"))))</f>
        <v>0</v>
      </c>
    </row>
    <row r="314" spans="1:1">
      <c r="A314" s="39">
        <f>IF('3757 - Wall Stickers'!B314 = "", "", IF('3757 - Wall Stickers-WUO_ERR'!A314 = "", "Validated", HYPERLINK("#" &amp; ADDRESS(314, '3757 - Wall Stickers-WUO_TRK'!A314),_xlfn.TEXTAFTER('3757 - Wall Stickers-WUO_ERR'!A314, ":"))))</f>
        <v>0</v>
      </c>
    </row>
    <row r="315" spans="1:1">
      <c r="A315" s="39">
        <f>IF('3757 - Wall Stickers'!B315 = "", "", IF('3757 - Wall Stickers-WUO_ERR'!A315 = "", "Validated", HYPERLINK("#" &amp; ADDRESS(315, '3757 - Wall Stickers-WUO_TRK'!A315),_xlfn.TEXTAFTER('3757 - Wall Stickers-WUO_ERR'!A315, ":"))))</f>
        <v>0</v>
      </c>
    </row>
    <row r="316" spans="1:1">
      <c r="A316" s="39">
        <f>IF('3757 - Wall Stickers'!B316 = "", "", IF('3757 - Wall Stickers-WUO_ERR'!A316 = "", "Validated", HYPERLINK("#" &amp; ADDRESS(316, '3757 - Wall Stickers-WUO_TRK'!A316),_xlfn.TEXTAFTER('3757 - Wall Stickers-WUO_ERR'!A316, ":"))))</f>
        <v>0</v>
      </c>
    </row>
    <row r="317" spans="1:1">
      <c r="A317" s="39">
        <f>IF('3757 - Wall Stickers'!B317 = "", "", IF('3757 - Wall Stickers-WUO_ERR'!A317 = "", "Validated", HYPERLINK("#" &amp; ADDRESS(317, '3757 - Wall Stickers-WUO_TRK'!A317),_xlfn.TEXTAFTER('3757 - Wall Stickers-WUO_ERR'!A317, ":"))))</f>
        <v>0</v>
      </c>
    </row>
    <row r="318" spans="1:1">
      <c r="A318" s="39">
        <f>IF('3757 - Wall Stickers'!B318 = "", "", IF('3757 - Wall Stickers-WUO_ERR'!A318 = "", "Validated", HYPERLINK("#" &amp; ADDRESS(318, '3757 - Wall Stickers-WUO_TRK'!A318),_xlfn.TEXTAFTER('3757 - Wall Stickers-WUO_ERR'!A318, ":"))))</f>
        <v>0</v>
      </c>
    </row>
    <row r="319" spans="1:1">
      <c r="A319" s="39">
        <f>IF('3757 - Wall Stickers'!B319 = "", "", IF('3757 - Wall Stickers-WUO_ERR'!A319 = "", "Validated", HYPERLINK("#" &amp; ADDRESS(319, '3757 - Wall Stickers-WUO_TRK'!A319),_xlfn.TEXTAFTER('3757 - Wall Stickers-WUO_ERR'!A319, ":"))))</f>
        <v>0</v>
      </c>
    </row>
    <row r="320" spans="1:1">
      <c r="A320" s="39">
        <f>IF('3757 - Wall Stickers'!B320 = "", "", IF('3757 - Wall Stickers-WUO_ERR'!A320 = "", "Validated", HYPERLINK("#" &amp; ADDRESS(320, '3757 - Wall Stickers-WUO_TRK'!A320),_xlfn.TEXTAFTER('3757 - Wall Stickers-WUO_ERR'!A320, ":"))))</f>
        <v>0</v>
      </c>
    </row>
    <row r="321" spans="1:1">
      <c r="A321" s="39">
        <f>IF('3757 - Wall Stickers'!B321 = "", "", IF('3757 - Wall Stickers-WUO_ERR'!A321 = "", "Validated", HYPERLINK("#" &amp; ADDRESS(321, '3757 - Wall Stickers-WUO_TRK'!A321),_xlfn.TEXTAFTER('3757 - Wall Stickers-WUO_ERR'!A321, ":"))))</f>
        <v>0</v>
      </c>
    </row>
    <row r="322" spans="1:1">
      <c r="A322" s="39">
        <f>IF('3757 - Wall Stickers'!B322 = "", "", IF('3757 - Wall Stickers-WUO_ERR'!A322 = "", "Validated", HYPERLINK("#" &amp; ADDRESS(322, '3757 - Wall Stickers-WUO_TRK'!A322),_xlfn.TEXTAFTER('3757 - Wall Stickers-WUO_ERR'!A322, ":"))))</f>
        <v>0</v>
      </c>
    </row>
    <row r="323" spans="1:1">
      <c r="A323" s="39">
        <f>IF('3757 - Wall Stickers'!B323 = "", "", IF('3757 - Wall Stickers-WUO_ERR'!A323 = "", "Validated", HYPERLINK("#" &amp; ADDRESS(323, '3757 - Wall Stickers-WUO_TRK'!A323),_xlfn.TEXTAFTER('3757 - Wall Stickers-WUO_ERR'!A323, ":"))))</f>
        <v>0</v>
      </c>
    </row>
    <row r="324" spans="1:1">
      <c r="A324" s="39">
        <f>IF('3757 - Wall Stickers'!B324 = "", "", IF('3757 - Wall Stickers-WUO_ERR'!A324 = "", "Validated", HYPERLINK("#" &amp; ADDRESS(324, '3757 - Wall Stickers-WUO_TRK'!A324),_xlfn.TEXTAFTER('3757 - Wall Stickers-WUO_ERR'!A324, ":"))))</f>
        <v>0</v>
      </c>
    </row>
    <row r="325" spans="1:1">
      <c r="A325" s="39">
        <f>IF('3757 - Wall Stickers'!B325 = "", "", IF('3757 - Wall Stickers-WUO_ERR'!A325 = "", "Validated", HYPERLINK("#" &amp; ADDRESS(325, '3757 - Wall Stickers-WUO_TRK'!A325),_xlfn.TEXTAFTER('3757 - Wall Stickers-WUO_ERR'!A325, ":"))))</f>
        <v>0</v>
      </c>
    </row>
    <row r="326" spans="1:1">
      <c r="A326" s="39">
        <f>IF('3757 - Wall Stickers'!B326 = "", "", IF('3757 - Wall Stickers-WUO_ERR'!A326 = "", "Validated", HYPERLINK("#" &amp; ADDRESS(326, '3757 - Wall Stickers-WUO_TRK'!A326),_xlfn.TEXTAFTER('3757 - Wall Stickers-WUO_ERR'!A326, ":"))))</f>
        <v>0</v>
      </c>
    </row>
    <row r="327" spans="1:1">
      <c r="A327" s="39">
        <f>IF('3757 - Wall Stickers'!B327 = "", "", IF('3757 - Wall Stickers-WUO_ERR'!A327 = "", "Validated", HYPERLINK("#" &amp; ADDRESS(327, '3757 - Wall Stickers-WUO_TRK'!A327),_xlfn.TEXTAFTER('3757 - Wall Stickers-WUO_ERR'!A327, ":"))))</f>
        <v>0</v>
      </c>
    </row>
    <row r="328" spans="1:1">
      <c r="A328" s="39">
        <f>IF('3757 - Wall Stickers'!B328 = "", "", IF('3757 - Wall Stickers-WUO_ERR'!A328 = "", "Validated", HYPERLINK("#" &amp; ADDRESS(328, '3757 - Wall Stickers-WUO_TRK'!A328),_xlfn.TEXTAFTER('3757 - Wall Stickers-WUO_ERR'!A328, ":"))))</f>
        <v>0</v>
      </c>
    </row>
    <row r="329" spans="1:1">
      <c r="A329" s="39">
        <f>IF('3757 - Wall Stickers'!B329 = "", "", IF('3757 - Wall Stickers-WUO_ERR'!A329 = "", "Validated", HYPERLINK("#" &amp; ADDRESS(329, '3757 - Wall Stickers-WUO_TRK'!A329),_xlfn.TEXTAFTER('3757 - Wall Stickers-WUO_ERR'!A329, ":"))))</f>
        <v>0</v>
      </c>
    </row>
    <row r="330" spans="1:1">
      <c r="A330" s="39">
        <f>IF('3757 - Wall Stickers'!B330 = "", "", IF('3757 - Wall Stickers-WUO_ERR'!A330 = "", "Validated", HYPERLINK("#" &amp; ADDRESS(330, '3757 - Wall Stickers-WUO_TRK'!A330),_xlfn.TEXTAFTER('3757 - Wall Stickers-WUO_ERR'!A330, ":"))))</f>
        <v>0</v>
      </c>
    </row>
    <row r="331" spans="1:1">
      <c r="A331" s="39">
        <f>IF('3757 - Wall Stickers'!B331 = "", "", IF('3757 - Wall Stickers-WUO_ERR'!A331 = "", "Validated", HYPERLINK("#" &amp; ADDRESS(331, '3757 - Wall Stickers-WUO_TRK'!A331),_xlfn.TEXTAFTER('3757 - Wall Stickers-WUO_ERR'!A331, ":"))))</f>
        <v>0</v>
      </c>
    </row>
    <row r="332" spans="1:1">
      <c r="A332" s="39">
        <f>IF('3757 - Wall Stickers'!B332 = "", "", IF('3757 - Wall Stickers-WUO_ERR'!A332 = "", "Validated", HYPERLINK("#" &amp; ADDRESS(332, '3757 - Wall Stickers-WUO_TRK'!A332),_xlfn.TEXTAFTER('3757 - Wall Stickers-WUO_ERR'!A332, ":"))))</f>
        <v>0</v>
      </c>
    </row>
    <row r="333" spans="1:1">
      <c r="A333" s="39">
        <f>IF('3757 - Wall Stickers'!B333 = "", "", IF('3757 - Wall Stickers-WUO_ERR'!A333 = "", "Validated", HYPERLINK("#" &amp; ADDRESS(333, '3757 - Wall Stickers-WUO_TRK'!A333),_xlfn.TEXTAFTER('3757 - Wall Stickers-WUO_ERR'!A333, ":"))))</f>
        <v>0</v>
      </c>
    </row>
    <row r="334" spans="1:1">
      <c r="A334" s="39">
        <f>IF('3757 - Wall Stickers'!B334 = "", "", IF('3757 - Wall Stickers-WUO_ERR'!A334 = "", "Validated", HYPERLINK("#" &amp; ADDRESS(334, '3757 - Wall Stickers-WUO_TRK'!A334),_xlfn.TEXTAFTER('3757 - Wall Stickers-WUO_ERR'!A334, ":"))))</f>
        <v>0</v>
      </c>
    </row>
    <row r="335" spans="1:1">
      <c r="A335" s="39">
        <f>IF('3757 - Wall Stickers'!B335 = "", "", IF('3757 - Wall Stickers-WUO_ERR'!A335 = "", "Validated", HYPERLINK("#" &amp; ADDRESS(335, '3757 - Wall Stickers-WUO_TRK'!A335),_xlfn.TEXTAFTER('3757 - Wall Stickers-WUO_ERR'!A335, ":"))))</f>
        <v>0</v>
      </c>
    </row>
    <row r="336" spans="1:1">
      <c r="A336" s="39">
        <f>IF('3757 - Wall Stickers'!B336 = "", "", IF('3757 - Wall Stickers-WUO_ERR'!A336 = "", "Validated", HYPERLINK("#" &amp; ADDRESS(336, '3757 - Wall Stickers-WUO_TRK'!A336),_xlfn.TEXTAFTER('3757 - Wall Stickers-WUO_ERR'!A336, ":"))))</f>
        <v>0</v>
      </c>
    </row>
    <row r="337" spans="1:1">
      <c r="A337" s="39">
        <f>IF('3757 - Wall Stickers'!B337 = "", "", IF('3757 - Wall Stickers-WUO_ERR'!A337 = "", "Validated", HYPERLINK("#" &amp; ADDRESS(337, '3757 - Wall Stickers-WUO_TRK'!A337),_xlfn.TEXTAFTER('3757 - Wall Stickers-WUO_ERR'!A337, ":"))))</f>
        <v>0</v>
      </c>
    </row>
    <row r="338" spans="1:1">
      <c r="A338" s="39">
        <f>IF('3757 - Wall Stickers'!B338 = "", "", IF('3757 - Wall Stickers-WUO_ERR'!A338 = "", "Validated", HYPERLINK("#" &amp; ADDRESS(338, '3757 - Wall Stickers-WUO_TRK'!A338),_xlfn.TEXTAFTER('3757 - Wall Stickers-WUO_ERR'!A338, ":"))))</f>
        <v>0</v>
      </c>
    </row>
    <row r="339" spans="1:1">
      <c r="A339" s="39">
        <f>IF('3757 - Wall Stickers'!B339 = "", "", IF('3757 - Wall Stickers-WUO_ERR'!A339 = "", "Validated", HYPERLINK("#" &amp; ADDRESS(339, '3757 - Wall Stickers-WUO_TRK'!A339),_xlfn.TEXTAFTER('3757 - Wall Stickers-WUO_ERR'!A339, ":"))))</f>
        <v>0</v>
      </c>
    </row>
    <row r="340" spans="1:1">
      <c r="A340" s="39">
        <f>IF('3757 - Wall Stickers'!B340 = "", "", IF('3757 - Wall Stickers-WUO_ERR'!A340 = "", "Validated", HYPERLINK("#" &amp; ADDRESS(340, '3757 - Wall Stickers-WUO_TRK'!A340),_xlfn.TEXTAFTER('3757 - Wall Stickers-WUO_ERR'!A340, ":"))))</f>
        <v>0</v>
      </c>
    </row>
    <row r="341" spans="1:1">
      <c r="A341" s="39">
        <f>IF('3757 - Wall Stickers'!B341 = "", "", IF('3757 - Wall Stickers-WUO_ERR'!A341 = "", "Validated", HYPERLINK("#" &amp; ADDRESS(341, '3757 - Wall Stickers-WUO_TRK'!A341),_xlfn.TEXTAFTER('3757 - Wall Stickers-WUO_ERR'!A341, ":"))))</f>
        <v>0</v>
      </c>
    </row>
    <row r="342" spans="1:1">
      <c r="A342" s="39">
        <f>IF('3757 - Wall Stickers'!B342 = "", "", IF('3757 - Wall Stickers-WUO_ERR'!A342 = "", "Validated", HYPERLINK("#" &amp; ADDRESS(342, '3757 - Wall Stickers-WUO_TRK'!A342),_xlfn.TEXTAFTER('3757 - Wall Stickers-WUO_ERR'!A342, ":"))))</f>
        <v>0</v>
      </c>
    </row>
    <row r="343" spans="1:1">
      <c r="A343" s="39">
        <f>IF('3757 - Wall Stickers'!B343 = "", "", IF('3757 - Wall Stickers-WUO_ERR'!A343 = "", "Validated", HYPERLINK("#" &amp; ADDRESS(343, '3757 - Wall Stickers-WUO_TRK'!A343),_xlfn.TEXTAFTER('3757 - Wall Stickers-WUO_ERR'!A343, ":"))))</f>
        <v>0</v>
      </c>
    </row>
    <row r="344" spans="1:1">
      <c r="A344" s="39">
        <f>IF('3757 - Wall Stickers'!B344 = "", "", IF('3757 - Wall Stickers-WUO_ERR'!A344 = "", "Validated", HYPERLINK("#" &amp; ADDRESS(344, '3757 - Wall Stickers-WUO_TRK'!A344),_xlfn.TEXTAFTER('3757 - Wall Stickers-WUO_ERR'!A344, ":"))))</f>
        <v>0</v>
      </c>
    </row>
    <row r="345" spans="1:1">
      <c r="A345" s="39">
        <f>IF('3757 - Wall Stickers'!B345 = "", "", IF('3757 - Wall Stickers-WUO_ERR'!A345 = "", "Validated", HYPERLINK("#" &amp; ADDRESS(345, '3757 - Wall Stickers-WUO_TRK'!A345),_xlfn.TEXTAFTER('3757 - Wall Stickers-WUO_ERR'!A345, ":"))))</f>
        <v>0</v>
      </c>
    </row>
    <row r="346" spans="1:1">
      <c r="A346" s="39">
        <f>IF('3757 - Wall Stickers'!B346 = "", "", IF('3757 - Wall Stickers-WUO_ERR'!A346 = "", "Validated", HYPERLINK("#" &amp; ADDRESS(346, '3757 - Wall Stickers-WUO_TRK'!A346),_xlfn.TEXTAFTER('3757 - Wall Stickers-WUO_ERR'!A346, ":"))))</f>
        <v>0</v>
      </c>
    </row>
    <row r="347" spans="1:1">
      <c r="A347" s="39">
        <f>IF('3757 - Wall Stickers'!B347 = "", "", IF('3757 - Wall Stickers-WUO_ERR'!A347 = "", "Validated", HYPERLINK("#" &amp; ADDRESS(347, '3757 - Wall Stickers-WUO_TRK'!A347),_xlfn.TEXTAFTER('3757 - Wall Stickers-WUO_ERR'!A347, ":"))))</f>
        <v>0</v>
      </c>
    </row>
    <row r="348" spans="1:1">
      <c r="A348" s="39">
        <f>IF('3757 - Wall Stickers'!B348 = "", "", IF('3757 - Wall Stickers-WUO_ERR'!A348 = "", "Validated", HYPERLINK("#" &amp; ADDRESS(348, '3757 - Wall Stickers-WUO_TRK'!A348),_xlfn.TEXTAFTER('3757 - Wall Stickers-WUO_ERR'!A348, ":"))))</f>
        <v>0</v>
      </c>
    </row>
    <row r="349" spans="1:1">
      <c r="A349" s="39">
        <f>IF('3757 - Wall Stickers'!B349 = "", "", IF('3757 - Wall Stickers-WUO_ERR'!A349 = "", "Validated", HYPERLINK("#" &amp; ADDRESS(349, '3757 - Wall Stickers-WUO_TRK'!A349),_xlfn.TEXTAFTER('3757 - Wall Stickers-WUO_ERR'!A349, ":"))))</f>
        <v>0</v>
      </c>
    </row>
    <row r="350" spans="1:1">
      <c r="A350" s="39">
        <f>IF('3757 - Wall Stickers'!B350 = "", "", IF('3757 - Wall Stickers-WUO_ERR'!A350 = "", "Validated", HYPERLINK("#" &amp; ADDRESS(350, '3757 - Wall Stickers-WUO_TRK'!A350),_xlfn.TEXTAFTER('3757 - Wall Stickers-WUO_ERR'!A350, ":"))))</f>
        <v>0</v>
      </c>
    </row>
    <row r="351" spans="1:1">
      <c r="A351" s="39">
        <f>IF('3757 - Wall Stickers'!B351 = "", "", IF('3757 - Wall Stickers-WUO_ERR'!A351 = "", "Validated", HYPERLINK("#" &amp; ADDRESS(351, '3757 - Wall Stickers-WUO_TRK'!A351),_xlfn.TEXTAFTER('3757 - Wall Stickers-WUO_ERR'!A351, ":"))))</f>
        <v>0</v>
      </c>
    </row>
    <row r="352" spans="1:1">
      <c r="A352" s="39">
        <f>IF('3757 - Wall Stickers'!B352 = "", "", IF('3757 - Wall Stickers-WUO_ERR'!A352 = "", "Validated", HYPERLINK("#" &amp; ADDRESS(352, '3757 - Wall Stickers-WUO_TRK'!A352),_xlfn.TEXTAFTER('3757 - Wall Stickers-WUO_ERR'!A352, ":"))))</f>
        <v>0</v>
      </c>
    </row>
    <row r="353" spans="1:1">
      <c r="A353" s="39">
        <f>IF('3757 - Wall Stickers'!B353 = "", "", IF('3757 - Wall Stickers-WUO_ERR'!A353 = "", "Validated", HYPERLINK("#" &amp; ADDRESS(353, '3757 - Wall Stickers-WUO_TRK'!A353),_xlfn.TEXTAFTER('3757 - Wall Stickers-WUO_ERR'!A353, ":"))))</f>
        <v>0</v>
      </c>
    </row>
    <row r="354" spans="1:1">
      <c r="A354" s="39">
        <f>IF('3757 - Wall Stickers'!B354 = "", "", IF('3757 - Wall Stickers-WUO_ERR'!A354 = "", "Validated", HYPERLINK("#" &amp; ADDRESS(354, '3757 - Wall Stickers-WUO_TRK'!A354),_xlfn.TEXTAFTER('3757 - Wall Stickers-WUO_ERR'!A354, ":"))))</f>
        <v>0</v>
      </c>
    </row>
    <row r="355" spans="1:1">
      <c r="A355" s="39">
        <f>IF('3757 - Wall Stickers'!B355 = "", "", IF('3757 - Wall Stickers-WUO_ERR'!A355 = "", "Validated", HYPERLINK("#" &amp; ADDRESS(355, '3757 - Wall Stickers-WUO_TRK'!A355),_xlfn.TEXTAFTER('3757 - Wall Stickers-WUO_ERR'!A355, ":"))))</f>
        <v>0</v>
      </c>
    </row>
    <row r="356" spans="1:1">
      <c r="A356" s="39">
        <f>IF('3757 - Wall Stickers'!B356 = "", "", IF('3757 - Wall Stickers-WUO_ERR'!A356 = "", "Validated", HYPERLINK("#" &amp; ADDRESS(356, '3757 - Wall Stickers-WUO_TRK'!A356),_xlfn.TEXTAFTER('3757 - Wall Stickers-WUO_ERR'!A356, ":"))))</f>
        <v>0</v>
      </c>
    </row>
    <row r="357" spans="1:1">
      <c r="A357" s="39">
        <f>IF('3757 - Wall Stickers'!B357 = "", "", IF('3757 - Wall Stickers-WUO_ERR'!A357 = "", "Validated", HYPERLINK("#" &amp; ADDRESS(357, '3757 - Wall Stickers-WUO_TRK'!A357),_xlfn.TEXTAFTER('3757 - Wall Stickers-WUO_ERR'!A357, ":"))))</f>
        <v>0</v>
      </c>
    </row>
    <row r="358" spans="1:1">
      <c r="A358" s="39">
        <f>IF('3757 - Wall Stickers'!B358 = "", "", IF('3757 - Wall Stickers-WUO_ERR'!A358 = "", "Validated", HYPERLINK("#" &amp; ADDRESS(358, '3757 - Wall Stickers-WUO_TRK'!A358),_xlfn.TEXTAFTER('3757 - Wall Stickers-WUO_ERR'!A358, ":"))))</f>
        <v>0</v>
      </c>
    </row>
    <row r="359" spans="1:1">
      <c r="A359" s="39">
        <f>IF('3757 - Wall Stickers'!B359 = "", "", IF('3757 - Wall Stickers-WUO_ERR'!A359 = "", "Validated", HYPERLINK("#" &amp; ADDRESS(359, '3757 - Wall Stickers-WUO_TRK'!A359),_xlfn.TEXTAFTER('3757 - Wall Stickers-WUO_ERR'!A359, ":"))))</f>
        <v>0</v>
      </c>
    </row>
    <row r="360" spans="1:1">
      <c r="A360" s="39">
        <f>IF('3757 - Wall Stickers'!B360 = "", "", IF('3757 - Wall Stickers-WUO_ERR'!A360 = "", "Validated", HYPERLINK("#" &amp; ADDRESS(360, '3757 - Wall Stickers-WUO_TRK'!A360),_xlfn.TEXTAFTER('3757 - Wall Stickers-WUO_ERR'!A360, ":"))))</f>
        <v>0</v>
      </c>
    </row>
    <row r="361" spans="1:1">
      <c r="A361" s="39">
        <f>IF('3757 - Wall Stickers'!B361 = "", "", IF('3757 - Wall Stickers-WUO_ERR'!A361 = "", "Validated", HYPERLINK("#" &amp; ADDRESS(361, '3757 - Wall Stickers-WUO_TRK'!A361),_xlfn.TEXTAFTER('3757 - Wall Stickers-WUO_ERR'!A361, ":"))))</f>
        <v>0</v>
      </c>
    </row>
    <row r="362" spans="1:1">
      <c r="A362" s="39">
        <f>IF('3757 - Wall Stickers'!B362 = "", "", IF('3757 - Wall Stickers-WUO_ERR'!A362 = "", "Validated", HYPERLINK("#" &amp; ADDRESS(362, '3757 - Wall Stickers-WUO_TRK'!A362),_xlfn.TEXTAFTER('3757 - Wall Stickers-WUO_ERR'!A362, ":"))))</f>
        <v>0</v>
      </c>
    </row>
    <row r="363" spans="1:1">
      <c r="A363" s="39">
        <f>IF('3757 - Wall Stickers'!B363 = "", "", IF('3757 - Wall Stickers-WUO_ERR'!A363 = "", "Validated", HYPERLINK("#" &amp; ADDRESS(363, '3757 - Wall Stickers-WUO_TRK'!A363),_xlfn.TEXTAFTER('3757 - Wall Stickers-WUO_ERR'!A363, ":"))))</f>
        <v>0</v>
      </c>
    </row>
    <row r="364" spans="1:1">
      <c r="A364" s="39">
        <f>IF('3757 - Wall Stickers'!B364 = "", "", IF('3757 - Wall Stickers-WUO_ERR'!A364 = "", "Validated", HYPERLINK("#" &amp; ADDRESS(364, '3757 - Wall Stickers-WUO_TRK'!A364),_xlfn.TEXTAFTER('3757 - Wall Stickers-WUO_ERR'!A364, ":"))))</f>
        <v>0</v>
      </c>
    </row>
    <row r="365" spans="1:1">
      <c r="A365" s="39">
        <f>IF('3757 - Wall Stickers'!B365 = "", "", IF('3757 - Wall Stickers-WUO_ERR'!A365 = "", "Validated", HYPERLINK("#" &amp; ADDRESS(365, '3757 - Wall Stickers-WUO_TRK'!A365),_xlfn.TEXTAFTER('3757 - Wall Stickers-WUO_ERR'!A365, ":"))))</f>
        <v>0</v>
      </c>
    </row>
    <row r="366" spans="1:1">
      <c r="A366" s="39">
        <f>IF('3757 - Wall Stickers'!B366 = "", "", IF('3757 - Wall Stickers-WUO_ERR'!A366 = "", "Validated", HYPERLINK("#" &amp; ADDRESS(366, '3757 - Wall Stickers-WUO_TRK'!A366),_xlfn.TEXTAFTER('3757 - Wall Stickers-WUO_ERR'!A366, ":"))))</f>
        <v>0</v>
      </c>
    </row>
    <row r="367" spans="1:1">
      <c r="A367" s="39">
        <f>IF('3757 - Wall Stickers'!B367 = "", "", IF('3757 - Wall Stickers-WUO_ERR'!A367 = "", "Validated", HYPERLINK("#" &amp; ADDRESS(367, '3757 - Wall Stickers-WUO_TRK'!A367),_xlfn.TEXTAFTER('3757 - Wall Stickers-WUO_ERR'!A367, ":"))))</f>
        <v>0</v>
      </c>
    </row>
    <row r="368" spans="1:1">
      <c r="A368" s="39">
        <f>IF('3757 - Wall Stickers'!B368 = "", "", IF('3757 - Wall Stickers-WUO_ERR'!A368 = "", "Validated", HYPERLINK("#" &amp; ADDRESS(368, '3757 - Wall Stickers-WUO_TRK'!A368),_xlfn.TEXTAFTER('3757 - Wall Stickers-WUO_ERR'!A368, ":"))))</f>
        <v>0</v>
      </c>
    </row>
    <row r="369" spans="1:1">
      <c r="A369" s="39">
        <f>IF('3757 - Wall Stickers'!B369 = "", "", IF('3757 - Wall Stickers-WUO_ERR'!A369 = "", "Validated", HYPERLINK("#" &amp; ADDRESS(369, '3757 - Wall Stickers-WUO_TRK'!A369),_xlfn.TEXTAFTER('3757 - Wall Stickers-WUO_ERR'!A369, ":"))))</f>
        <v>0</v>
      </c>
    </row>
    <row r="370" spans="1:1">
      <c r="A370" s="39">
        <f>IF('3757 - Wall Stickers'!B370 = "", "", IF('3757 - Wall Stickers-WUO_ERR'!A370 = "", "Validated", HYPERLINK("#" &amp; ADDRESS(370, '3757 - Wall Stickers-WUO_TRK'!A370),_xlfn.TEXTAFTER('3757 - Wall Stickers-WUO_ERR'!A370, ":"))))</f>
        <v>0</v>
      </c>
    </row>
    <row r="371" spans="1:1">
      <c r="A371" s="39">
        <f>IF('3757 - Wall Stickers'!B371 = "", "", IF('3757 - Wall Stickers-WUO_ERR'!A371 = "", "Validated", HYPERLINK("#" &amp; ADDRESS(371, '3757 - Wall Stickers-WUO_TRK'!A371),_xlfn.TEXTAFTER('3757 - Wall Stickers-WUO_ERR'!A371, ":"))))</f>
        <v>0</v>
      </c>
    </row>
    <row r="372" spans="1:1">
      <c r="A372" s="39">
        <f>IF('3757 - Wall Stickers'!B372 = "", "", IF('3757 - Wall Stickers-WUO_ERR'!A372 = "", "Validated", HYPERLINK("#" &amp; ADDRESS(372, '3757 - Wall Stickers-WUO_TRK'!A372),_xlfn.TEXTAFTER('3757 - Wall Stickers-WUO_ERR'!A372, ":"))))</f>
        <v>0</v>
      </c>
    </row>
    <row r="373" spans="1:1">
      <c r="A373" s="39">
        <f>IF('3757 - Wall Stickers'!B373 = "", "", IF('3757 - Wall Stickers-WUO_ERR'!A373 = "", "Validated", HYPERLINK("#" &amp; ADDRESS(373, '3757 - Wall Stickers-WUO_TRK'!A373),_xlfn.TEXTAFTER('3757 - Wall Stickers-WUO_ERR'!A373, ":"))))</f>
        <v>0</v>
      </c>
    </row>
    <row r="374" spans="1:1">
      <c r="A374" s="39">
        <f>IF('3757 - Wall Stickers'!B374 = "", "", IF('3757 - Wall Stickers-WUO_ERR'!A374 = "", "Validated", HYPERLINK("#" &amp; ADDRESS(374, '3757 - Wall Stickers-WUO_TRK'!A374),_xlfn.TEXTAFTER('3757 - Wall Stickers-WUO_ERR'!A374, ":"))))</f>
        <v>0</v>
      </c>
    </row>
    <row r="375" spans="1:1">
      <c r="A375" s="39">
        <f>IF('3757 - Wall Stickers'!B375 = "", "", IF('3757 - Wall Stickers-WUO_ERR'!A375 = "", "Validated", HYPERLINK("#" &amp; ADDRESS(375, '3757 - Wall Stickers-WUO_TRK'!A375),_xlfn.TEXTAFTER('3757 - Wall Stickers-WUO_ERR'!A375, ":"))))</f>
        <v>0</v>
      </c>
    </row>
    <row r="376" spans="1:1">
      <c r="A376" s="39">
        <f>IF('3757 - Wall Stickers'!B376 = "", "", IF('3757 - Wall Stickers-WUO_ERR'!A376 = "", "Validated", HYPERLINK("#" &amp; ADDRESS(376, '3757 - Wall Stickers-WUO_TRK'!A376),_xlfn.TEXTAFTER('3757 - Wall Stickers-WUO_ERR'!A376, ":"))))</f>
        <v>0</v>
      </c>
    </row>
    <row r="377" spans="1:1">
      <c r="A377" s="39">
        <f>IF('3757 - Wall Stickers'!B377 = "", "", IF('3757 - Wall Stickers-WUO_ERR'!A377 = "", "Validated", HYPERLINK("#" &amp; ADDRESS(377, '3757 - Wall Stickers-WUO_TRK'!A377),_xlfn.TEXTAFTER('3757 - Wall Stickers-WUO_ERR'!A377, ":"))))</f>
        <v>0</v>
      </c>
    </row>
    <row r="378" spans="1:1">
      <c r="A378" s="39">
        <f>IF('3757 - Wall Stickers'!B378 = "", "", IF('3757 - Wall Stickers-WUO_ERR'!A378 = "", "Validated", HYPERLINK("#" &amp; ADDRESS(378, '3757 - Wall Stickers-WUO_TRK'!A378),_xlfn.TEXTAFTER('3757 - Wall Stickers-WUO_ERR'!A378, ":"))))</f>
        <v>0</v>
      </c>
    </row>
    <row r="379" spans="1:1">
      <c r="A379" s="39">
        <f>IF('3757 - Wall Stickers'!B379 = "", "", IF('3757 - Wall Stickers-WUO_ERR'!A379 = "", "Validated", HYPERLINK("#" &amp; ADDRESS(379, '3757 - Wall Stickers-WUO_TRK'!A379),_xlfn.TEXTAFTER('3757 - Wall Stickers-WUO_ERR'!A379, ":"))))</f>
        <v>0</v>
      </c>
    </row>
    <row r="380" spans="1:1">
      <c r="A380" s="39">
        <f>IF('3757 - Wall Stickers'!B380 = "", "", IF('3757 - Wall Stickers-WUO_ERR'!A380 = "", "Validated", HYPERLINK("#" &amp; ADDRESS(380, '3757 - Wall Stickers-WUO_TRK'!A380),_xlfn.TEXTAFTER('3757 - Wall Stickers-WUO_ERR'!A380, ":"))))</f>
        <v>0</v>
      </c>
    </row>
    <row r="381" spans="1:1">
      <c r="A381" s="39">
        <f>IF('3757 - Wall Stickers'!B381 = "", "", IF('3757 - Wall Stickers-WUO_ERR'!A381 = "", "Validated", HYPERLINK("#" &amp; ADDRESS(381, '3757 - Wall Stickers-WUO_TRK'!A381),_xlfn.TEXTAFTER('3757 - Wall Stickers-WUO_ERR'!A381, ":"))))</f>
        <v>0</v>
      </c>
    </row>
    <row r="382" spans="1:1">
      <c r="A382" s="39">
        <f>IF('3757 - Wall Stickers'!B382 = "", "", IF('3757 - Wall Stickers-WUO_ERR'!A382 = "", "Validated", HYPERLINK("#" &amp; ADDRESS(382, '3757 - Wall Stickers-WUO_TRK'!A382),_xlfn.TEXTAFTER('3757 - Wall Stickers-WUO_ERR'!A382, ":"))))</f>
        <v>0</v>
      </c>
    </row>
    <row r="383" spans="1:1">
      <c r="A383" s="39">
        <f>IF('3757 - Wall Stickers'!B383 = "", "", IF('3757 - Wall Stickers-WUO_ERR'!A383 = "", "Validated", HYPERLINK("#" &amp; ADDRESS(383, '3757 - Wall Stickers-WUO_TRK'!A383),_xlfn.TEXTAFTER('3757 - Wall Stickers-WUO_ERR'!A383, ":"))))</f>
        <v>0</v>
      </c>
    </row>
    <row r="384" spans="1:1">
      <c r="A384" s="39">
        <f>IF('3757 - Wall Stickers'!B384 = "", "", IF('3757 - Wall Stickers-WUO_ERR'!A384 = "", "Validated", HYPERLINK("#" &amp; ADDRESS(384, '3757 - Wall Stickers-WUO_TRK'!A384),_xlfn.TEXTAFTER('3757 - Wall Stickers-WUO_ERR'!A384, ":"))))</f>
        <v>0</v>
      </c>
    </row>
    <row r="385" spans="1:1">
      <c r="A385" s="39">
        <f>IF('3757 - Wall Stickers'!B385 = "", "", IF('3757 - Wall Stickers-WUO_ERR'!A385 = "", "Validated", HYPERLINK("#" &amp; ADDRESS(385, '3757 - Wall Stickers-WUO_TRK'!A385),_xlfn.TEXTAFTER('3757 - Wall Stickers-WUO_ERR'!A385, ":"))))</f>
        <v>0</v>
      </c>
    </row>
    <row r="386" spans="1:1">
      <c r="A386" s="39">
        <f>IF('3757 - Wall Stickers'!B386 = "", "", IF('3757 - Wall Stickers-WUO_ERR'!A386 = "", "Validated", HYPERLINK("#" &amp; ADDRESS(386, '3757 - Wall Stickers-WUO_TRK'!A386),_xlfn.TEXTAFTER('3757 - Wall Stickers-WUO_ERR'!A386, ":"))))</f>
        <v>0</v>
      </c>
    </row>
    <row r="387" spans="1:1">
      <c r="A387" s="39">
        <f>IF('3757 - Wall Stickers'!B387 = "", "", IF('3757 - Wall Stickers-WUO_ERR'!A387 = "", "Validated", HYPERLINK("#" &amp; ADDRESS(387, '3757 - Wall Stickers-WUO_TRK'!A387),_xlfn.TEXTAFTER('3757 - Wall Stickers-WUO_ERR'!A387, ":"))))</f>
        <v>0</v>
      </c>
    </row>
    <row r="388" spans="1:1">
      <c r="A388" s="39">
        <f>IF('3757 - Wall Stickers'!B388 = "", "", IF('3757 - Wall Stickers-WUO_ERR'!A388 = "", "Validated", HYPERLINK("#" &amp; ADDRESS(388, '3757 - Wall Stickers-WUO_TRK'!A388),_xlfn.TEXTAFTER('3757 - Wall Stickers-WUO_ERR'!A388, ":"))))</f>
        <v>0</v>
      </c>
    </row>
    <row r="389" spans="1:1">
      <c r="A389" s="39">
        <f>IF('3757 - Wall Stickers'!B389 = "", "", IF('3757 - Wall Stickers-WUO_ERR'!A389 = "", "Validated", HYPERLINK("#" &amp; ADDRESS(389, '3757 - Wall Stickers-WUO_TRK'!A389),_xlfn.TEXTAFTER('3757 - Wall Stickers-WUO_ERR'!A389, ":"))))</f>
        <v>0</v>
      </c>
    </row>
    <row r="390" spans="1:1">
      <c r="A390" s="39">
        <f>IF('3757 - Wall Stickers'!B390 = "", "", IF('3757 - Wall Stickers-WUO_ERR'!A390 = "", "Validated", HYPERLINK("#" &amp; ADDRESS(390, '3757 - Wall Stickers-WUO_TRK'!A390),_xlfn.TEXTAFTER('3757 - Wall Stickers-WUO_ERR'!A390, ":"))))</f>
        <v>0</v>
      </c>
    </row>
    <row r="391" spans="1:1">
      <c r="A391" s="39">
        <f>IF('3757 - Wall Stickers'!B391 = "", "", IF('3757 - Wall Stickers-WUO_ERR'!A391 = "", "Validated", HYPERLINK("#" &amp; ADDRESS(391, '3757 - Wall Stickers-WUO_TRK'!A391),_xlfn.TEXTAFTER('3757 - Wall Stickers-WUO_ERR'!A391, ":"))))</f>
        <v>0</v>
      </c>
    </row>
    <row r="392" spans="1:1">
      <c r="A392" s="39">
        <f>IF('3757 - Wall Stickers'!B392 = "", "", IF('3757 - Wall Stickers-WUO_ERR'!A392 = "", "Validated", HYPERLINK("#" &amp; ADDRESS(392, '3757 - Wall Stickers-WUO_TRK'!A392),_xlfn.TEXTAFTER('3757 - Wall Stickers-WUO_ERR'!A392, ":"))))</f>
        <v>0</v>
      </c>
    </row>
    <row r="393" spans="1:1">
      <c r="A393" s="39">
        <f>IF('3757 - Wall Stickers'!B393 = "", "", IF('3757 - Wall Stickers-WUO_ERR'!A393 = "", "Validated", HYPERLINK("#" &amp; ADDRESS(393, '3757 - Wall Stickers-WUO_TRK'!A393),_xlfn.TEXTAFTER('3757 - Wall Stickers-WUO_ERR'!A393, ":"))))</f>
        <v>0</v>
      </c>
    </row>
    <row r="394" spans="1:1">
      <c r="A394" s="39">
        <f>IF('3757 - Wall Stickers'!B394 = "", "", IF('3757 - Wall Stickers-WUO_ERR'!A394 = "", "Validated", HYPERLINK("#" &amp; ADDRESS(394, '3757 - Wall Stickers-WUO_TRK'!A394),_xlfn.TEXTAFTER('3757 - Wall Stickers-WUO_ERR'!A394, ":"))))</f>
        <v>0</v>
      </c>
    </row>
    <row r="395" spans="1:1">
      <c r="A395" s="39">
        <f>IF('3757 - Wall Stickers'!B395 = "", "", IF('3757 - Wall Stickers-WUO_ERR'!A395 = "", "Validated", HYPERLINK("#" &amp; ADDRESS(395, '3757 - Wall Stickers-WUO_TRK'!A395),_xlfn.TEXTAFTER('3757 - Wall Stickers-WUO_ERR'!A395, ":"))))</f>
        <v>0</v>
      </c>
    </row>
    <row r="396" spans="1:1">
      <c r="A396" s="39">
        <f>IF('3757 - Wall Stickers'!B396 = "", "", IF('3757 - Wall Stickers-WUO_ERR'!A396 = "", "Validated", HYPERLINK("#" &amp; ADDRESS(396, '3757 - Wall Stickers-WUO_TRK'!A396),_xlfn.TEXTAFTER('3757 - Wall Stickers-WUO_ERR'!A396, ":"))))</f>
        <v>0</v>
      </c>
    </row>
    <row r="397" spans="1:1">
      <c r="A397" s="39">
        <f>IF('3757 - Wall Stickers'!B397 = "", "", IF('3757 - Wall Stickers-WUO_ERR'!A397 = "", "Validated", HYPERLINK("#" &amp; ADDRESS(397, '3757 - Wall Stickers-WUO_TRK'!A397),_xlfn.TEXTAFTER('3757 - Wall Stickers-WUO_ERR'!A397, ":"))))</f>
        <v>0</v>
      </c>
    </row>
    <row r="398" spans="1:1">
      <c r="A398" s="39">
        <f>IF('3757 - Wall Stickers'!B398 = "", "", IF('3757 - Wall Stickers-WUO_ERR'!A398 = "", "Validated", HYPERLINK("#" &amp; ADDRESS(398, '3757 - Wall Stickers-WUO_TRK'!A398),_xlfn.TEXTAFTER('3757 - Wall Stickers-WUO_ERR'!A398, ":"))))</f>
        <v>0</v>
      </c>
    </row>
    <row r="399" spans="1:1">
      <c r="A399" s="39">
        <f>IF('3757 - Wall Stickers'!B399 = "", "", IF('3757 - Wall Stickers-WUO_ERR'!A399 = "", "Validated", HYPERLINK("#" &amp; ADDRESS(399, '3757 - Wall Stickers-WUO_TRK'!A399),_xlfn.TEXTAFTER('3757 - Wall Stickers-WUO_ERR'!A399, ":"))))</f>
        <v>0</v>
      </c>
    </row>
    <row r="400" spans="1:1">
      <c r="A400" s="39">
        <f>IF('3757 - Wall Stickers'!B400 = "", "", IF('3757 - Wall Stickers-WUO_ERR'!A400 = "", "Validated", HYPERLINK("#" &amp; ADDRESS(400, '3757 - Wall Stickers-WUO_TRK'!A400),_xlfn.TEXTAFTER('3757 - Wall Stickers-WUO_ERR'!A400, ":"))))</f>
        <v>0</v>
      </c>
    </row>
    <row r="401" spans="1:1">
      <c r="A401" s="39">
        <f>IF('3757 - Wall Stickers'!B401 = "", "", IF('3757 - Wall Stickers-WUO_ERR'!A401 = "", "Validated", HYPERLINK("#" &amp; ADDRESS(401, '3757 - Wall Stickers-WUO_TRK'!A401),_xlfn.TEXTAFTER('3757 - Wall Stickers-WUO_ERR'!A401, ":"))))</f>
        <v>0</v>
      </c>
    </row>
    <row r="402" spans="1:1">
      <c r="A402" s="39">
        <f>IF('3757 - Wall Stickers'!B402 = "", "", IF('3757 - Wall Stickers-WUO_ERR'!A402 = "", "Validated", HYPERLINK("#" &amp; ADDRESS(402, '3757 - Wall Stickers-WUO_TRK'!A402),_xlfn.TEXTAFTER('3757 - Wall Stickers-WUO_ERR'!A402, ":"))))</f>
        <v>0</v>
      </c>
    </row>
    <row r="403" spans="1:1">
      <c r="A403" s="39">
        <f>IF('3757 - Wall Stickers'!B403 = "", "", IF('3757 - Wall Stickers-WUO_ERR'!A403 = "", "Validated", HYPERLINK("#" &amp; ADDRESS(403, '3757 - Wall Stickers-WUO_TRK'!A403),_xlfn.TEXTAFTER('3757 - Wall Stickers-WUO_ERR'!A403, ":"))))</f>
        <v>0</v>
      </c>
    </row>
    <row r="404" spans="1:1">
      <c r="A404" s="39">
        <f>IF('3757 - Wall Stickers'!B404 = "", "", IF('3757 - Wall Stickers-WUO_ERR'!A404 = "", "Validated", HYPERLINK("#" &amp; ADDRESS(404, '3757 - Wall Stickers-WUO_TRK'!A404),_xlfn.TEXTAFTER('3757 - Wall Stickers-WUO_ERR'!A404, ":"))))</f>
        <v>0</v>
      </c>
    </row>
    <row r="405" spans="1:1">
      <c r="A405" s="39">
        <f>IF('3757 - Wall Stickers'!B405 = "", "", IF('3757 - Wall Stickers-WUO_ERR'!A405 = "", "Validated", HYPERLINK("#" &amp; ADDRESS(405, '3757 - Wall Stickers-WUO_TRK'!A405),_xlfn.TEXTAFTER('3757 - Wall Stickers-WUO_ERR'!A405, ":"))))</f>
        <v>0</v>
      </c>
    </row>
    <row r="406" spans="1:1">
      <c r="A406" s="39">
        <f>IF('3757 - Wall Stickers'!B406 = "", "", IF('3757 - Wall Stickers-WUO_ERR'!A406 = "", "Validated", HYPERLINK("#" &amp; ADDRESS(406, '3757 - Wall Stickers-WUO_TRK'!A406),_xlfn.TEXTAFTER('3757 - Wall Stickers-WUO_ERR'!A406, ":"))))</f>
        <v>0</v>
      </c>
    </row>
    <row r="407" spans="1:1">
      <c r="A407" s="39">
        <f>IF('3757 - Wall Stickers'!B407 = "", "", IF('3757 - Wall Stickers-WUO_ERR'!A407 = "", "Validated", HYPERLINK("#" &amp; ADDRESS(407, '3757 - Wall Stickers-WUO_TRK'!A407),_xlfn.TEXTAFTER('3757 - Wall Stickers-WUO_ERR'!A407, ":"))))</f>
        <v>0</v>
      </c>
    </row>
    <row r="408" spans="1:1">
      <c r="A408" s="39">
        <f>IF('3757 - Wall Stickers'!B408 = "", "", IF('3757 - Wall Stickers-WUO_ERR'!A408 = "", "Validated", HYPERLINK("#" &amp; ADDRESS(408, '3757 - Wall Stickers-WUO_TRK'!A408),_xlfn.TEXTAFTER('3757 - Wall Stickers-WUO_ERR'!A408, ":"))))</f>
        <v>0</v>
      </c>
    </row>
    <row r="409" spans="1:1">
      <c r="A409" s="39">
        <f>IF('3757 - Wall Stickers'!B409 = "", "", IF('3757 - Wall Stickers-WUO_ERR'!A409 = "", "Validated", HYPERLINK("#" &amp; ADDRESS(409, '3757 - Wall Stickers-WUO_TRK'!A409),_xlfn.TEXTAFTER('3757 - Wall Stickers-WUO_ERR'!A409, ":"))))</f>
        <v>0</v>
      </c>
    </row>
    <row r="410" spans="1:1">
      <c r="A410" s="39">
        <f>IF('3757 - Wall Stickers'!B410 = "", "", IF('3757 - Wall Stickers-WUO_ERR'!A410 = "", "Validated", HYPERLINK("#" &amp; ADDRESS(410, '3757 - Wall Stickers-WUO_TRK'!A410),_xlfn.TEXTAFTER('3757 - Wall Stickers-WUO_ERR'!A410, ":"))))</f>
        <v>0</v>
      </c>
    </row>
    <row r="411" spans="1:1">
      <c r="A411" s="39">
        <f>IF('3757 - Wall Stickers'!B411 = "", "", IF('3757 - Wall Stickers-WUO_ERR'!A411 = "", "Validated", HYPERLINK("#" &amp; ADDRESS(411, '3757 - Wall Stickers-WUO_TRK'!A411),_xlfn.TEXTAFTER('3757 - Wall Stickers-WUO_ERR'!A411, ":"))))</f>
        <v>0</v>
      </c>
    </row>
    <row r="412" spans="1:1">
      <c r="A412" s="39">
        <f>IF('3757 - Wall Stickers'!B412 = "", "", IF('3757 - Wall Stickers-WUO_ERR'!A412 = "", "Validated", HYPERLINK("#" &amp; ADDRESS(412, '3757 - Wall Stickers-WUO_TRK'!A412),_xlfn.TEXTAFTER('3757 - Wall Stickers-WUO_ERR'!A412, ":"))))</f>
        <v>0</v>
      </c>
    </row>
    <row r="413" spans="1:1">
      <c r="A413" s="39">
        <f>IF('3757 - Wall Stickers'!B413 = "", "", IF('3757 - Wall Stickers-WUO_ERR'!A413 = "", "Validated", HYPERLINK("#" &amp; ADDRESS(413, '3757 - Wall Stickers-WUO_TRK'!A413),_xlfn.TEXTAFTER('3757 - Wall Stickers-WUO_ERR'!A413, ":"))))</f>
        <v>0</v>
      </c>
    </row>
    <row r="414" spans="1:1">
      <c r="A414" s="39">
        <f>IF('3757 - Wall Stickers'!B414 = "", "", IF('3757 - Wall Stickers-WUO_ERR'!A414 = "", "Validated", HYPERLINK("#" &amp; ADDRESS(414, '3757 - Wall Stickers-WUO_TRK'!A414),_xlfn.TEXTAFTER('3757 - Wall Stickers-WUO_ERR'!A414, ":"))))</f>
        <v>0</v>
      </c>
    </row>
    <row r="415" spans="1:1">
      <c r="A415" s="39">
        <f>IF('3757 - Wall Stickers'!B415 = "", "", IF('3757 - Wall Stickers-WUO_ERR'!A415 = "", "Validated", HYPERLINK("#" &amp; ADDRESS(415, '3757 - Wall Stickers-WUO_TRK'!A415),_xlfn.TEXTAFTER('3757 - Wall Stickers-WUO_ERR'!A415, ":"))))</f>
        <v>0</v>
      </c>
    </row>
    <row r="416" spans="1:1">
      <c r="A416" s="39">
        <f>IF('3757 - Wall Stickers'!B416 = "", "", IF('3757 - Wall Stickers-WUO_ERR'!A416 = "", "Validated", HYPERLINK("#" &amp; ADDRESS(416, '3757 - Wall Stickers-WUO_TRK'!A416),_xlfn.TEXTAFTER('3757 - Wall Stickers-WUO_ERR'!A416, ":"))))</f>
        <v>0</v>
      </c>
    </row>
    <row r="417" spans="1:1">
      <c r="A417" s="39">
        <f>IF('3757 - Wall Stickers'!B417 = "", "", IF('3757 - Wall Stickers-WUO_ERR'!A417 = "", "Validated", HYPERLINK("#" &amp; ADDRESS(417, '3757 - Wall Stickers-WUO_TRK'!A417),_xlfn.TEXTAFTER('3757 - Wall Stickers-WUO_ERR'!A417, ":"))))</f>
        <v>0</v>
      </c>
    </row>
    <row r="418" spans="1:1">
      <c r="A418" s="39">
        <f>IF('3757 - Wall Stickers'!B418 = "", "", IF('3757 - Wall Stickers-WUO_ERR'!A418 = "", "Validated", HYPERLINK("#" &amp; ADDRESS(418, '3757 - Wall Stickers-WUO_TRK'!A418),_xlfn.TEXTAFTER('3757 - Wall Stickers-WUO_ERR'!A418, ":"))))</f>
        <v>0</v>
      </c>
    </row>
    <row r="419" spans="1:1">
      <c r="A419" s="39">
        <f>IF('3757 - Wall Stickers'!B419 = "", "", IF('3757 - Wall Stickers-WUO_ERR'!A419 = "", "Validated", HYPERLINK("#" &amp; ADDRESS(419, '3757 - Wall Stickers-WUO_TRK'!A419),_xlfn.TEXTAFTER('3757 - Wall Stickers-WUO_ERR'!A419, ":"))))</f>
        <v>0</v>
      </c>
    </row>
    <row r="420" spans="1:1">
      <c r="A420" s="39">
        <f>IF('3757 - Wall Stickers'!B420 = "", "", IF('3757 - Wall Stickers-WUO_ERR'!A420 = "", "Validated", HYPERLINK("#" &amp; ADDRESS(420, '3757 - Wall Stickers-WUO_TRK'!A420),_xlfn.TEXTAFTER('3757 - Wall Stickers-WUO_ERR'!A420, ":"))))</f>
        <v>0</v>
      </c>
    </row>
    <row r="421" spans="1:1">
      <c r="A421" s="39">
        <f>IF('3757 - Wall Stickers'!B421 = "", "", IF('3757 - Wall Stickers-WUO_ERR'!A421 = "", "Validated", HYPERLINK("#" &amp; ADDRESS(421, '3757 - Wall Stickers-WUO_TRK'!A421),_xlfn.TEXTAFTER('3757 - Wall Stickers-WUO_ERR'!A421, ":"))))</f>
        <v>0</v>
      </c>
    </row>
    <row r="422" spans="1:1">
      <c r="A422" s="39">
        <f>IF('3757 - Wall Stickers'!B422 = "", "", IF('3757 - Wall Stickers-WUO_ERR'!A422 = "", "Validated", HYPERLINK("#" &amp; ADDRESS(422, '3757 - Wall Stickers-WUO_TRK'!A422),_xlfn.TEXTAFTER('3757 - Wall Stickers-WUO_ERR'!A422, ":"))))</f>
        <v>0</v>
      </c>
    </row>
    <row r="423" spans="1:1">
      <c r="A423" s="39">
        <f>IF('3757 - Wall Stickers'!B423 = "", "", IF('3757 - Wall Stickers-WUO_ERR'!A423 = "", "Validated", HYPERLINK("#" &amp; ADDRESS(423, '3757 - Wall Stickers-WUO_TRK'!A423),_xlfn.TEXTAFTER('3757 - Wall Stickers-WUO_ERR'!A423, ":"))))</f>
        <v>0</v>
      </c>
    </row>
    <row r="424" spans="1:1">
      <c r="A424" s="39">
        <f>IF('3757 - Wall Stickers'!B424 = "", "", IF('3757 - Wall Stickers-WUO_ERR'!A424 = "", "Validated", HYPERLINK("#" &amp; ADDRESS(424, '3757 - Wall Stickers-WUO_TRK'!A424),_xlfn.TEXTAFTER('3757 - Wall Stickers-WUO_ERR'!A424, ":"))))</f>
        <v>0</v>
      </c>
    </row>
    <row r="425" spans="1:1">
      <c r="A425" s="39">
        <f>IF('3757 - Wall Stickers'!B425 = "", "", IF('3757 - Wall Stickers-WUO_ERR'!A425 = "", "Validated", HYPERLINK("#" &amp; ADDRESS(425, '3757 - Wall Stickers-WUO_TRK'!A425),_xlfn.TEXTAFTER('3757 - Wall Stickers-WUO_ERR'!A425, ":"))))</f>
        <v>0</v>
      </c>
    </row>
    <row r="426" spans="1:1">
      <c r="A426" s="39">
        <f>IF('3757 - Wall Stickers'!B426 = "", "", IF('3757 - Wall Stickers-WUO_ERR'!A426 = "", "Validated", HYPERLINK("#" &amp; ADDRESS(426, '3757 - Wall Stickers-WUO_TRK'!A426),_xlfn.TEXTAFTER('3757 - Wall Stickers-WUO_ERR'!A426, ":"))))</f>
        <v>0</v>
      </c>
    </row>
    <row r="427" spans="1:1">
      <c r="A427" s="39">
        <f>IF('3757 - Wall Stickers'!B427 = "", "", IF('3757 - Wall Stickers-WUO_ERR'!A427 = "", "Validated", HYPERLINK("#" &amp; ADDRESS(427, '3757 - Wall Stickers-WUO_TRK'!A427),_xlfn.TEXTAFTER('3757 - Wall Stickers-WUO_ERR'!A427, ":"))))</f>
        <v>0</v>
      </c>
    </row>
    <row r="428" spans="1:1">
      <c r="A428" s="39">
        <f>IF('3757 - Wall Stickers'!B428 = "", "", IF('3757 - Wall Stickers-WUO_ERR'!A428 = "", "Validated", HYPERLINK("#" &amp; ADDRESS(428, '3757 - Wall Stickers-WUO_TRK'!A428),_xlfn.TEXTAFTER('3757 - Wall Stickers-WUO_ERR'!A428, ":"))))</f>
        <v>0</v>
      </c>
    </row>
    <row r="429" spans="1:1">
      <c r="A429" s="39">
        <f>IF('3757 - Wall Stickers'!B429 = "", "", IF('3757 - Wall Stickers-WUO_ERR'!A429 = "", "Validated", HYPERLINK("#" &amp; ADDRESS(429, '3757 - Wall Stickers-WUO_TRK'!A429),_xlfn.TEXTAFTER('3757 - Wall Stickers-WUO_ERR'!A429, ":"))))</f>
        <v>0</v>
      </c>
    </row>
    <row r="430" spans="1:1">
      <c r="A430" s="39">
        <f>IF('3757 - Wall Stickers'!B430 = "", "", IF('3757 - Wall Stickers-WUO_ERR'!A430 = "", "Validated", HYPERLINK("#" &amp; ADDRESS(430, '3757 - Wall Stickers-WUO_TRK'!A430),_xlfn.TEXTAFTER('3757 - Wall Stickers-WUO_ERR'!A430, ":"))))</f>
        <v>0</v>
      </c>
    </row>
    <row r="431" spans="1:1">
      <c r="A431" s="39">
        <f>IF('3757 - Wall Stickers'!B431 = "", "", IF('3757 - Wall Stickers-WUO_ERR'!A431 = "", "Validated", HYPERLINK("#" &amp; ADDRESS(431, '3757 - Wall Stickers-WUO_TRK'!A431),_xlfn.TEXTAFTER('3757 - Wall Stickers-WUO_ERR'!A431, ":"))))</f>
        <v>0</v>
      </c>
    </row>
    <row r="432" spans="1:1">
      <c r="A432" s="39">
        <f>IF('3757 - Wall Stickers'!B432 = "", "", IF('3757 - Wall Stickers-WUO_ERR'!A432 = "", "Validated", HYPERLINK("#" &amp; ADDRESS(432, '3757 - Wall Stickers-WUO_TRK'!A432),_xlfn.TEXTAFTER('3757 - Wall Stickers-WUO_ERR'!A432, ":"))))</f>
        <v>0</v>
      </c>
    </row>
    <row r="433" spans="1:1">
      <c r="A433" s="39">
        <f>IF('3757 - Wall Stickers'!B433 = "", "", IF('3757 - Wall Stickers-WUO_ERR'!A433 = "", "Validated", HYPERLINK("#" &amp; ADDRESS(433, '3757 - Wall Stickers-WUO_TRK'!A433),_xlfn.TEXTAFTER('3757 - Wall Stickers-WUO_ERR'!A433, ":"))))</f>
        <v>0</v>
      </c>
    </row>
    <row r="434" spans="1:1">
      <c r="A434" s="39">
        <f>IF('3757 - Wall Stickers'!B434 = "", "", IF('3757 - Wall Stickers-WUO_ERR'!A434 = "", "Validated", HYPERLINK("#" &amp; ADDRESS(434, '3757 - Wall Stickers-WUO_TRK'!A434),_xlfn.TEXTAFTER('3757 - Wall Stickers-WUO_ERR'!A434, ":"))))</f>
        <v>0</v>
      </c>
    </row>
    <row r="435" spans="1:1">
      <c r="A435" s="39">
        <f>IF('3757 - Wall Stickers'!B435 = "", "", IF('3757 - Wall Stickers-WUO_ERR'!A435 = "", "Validated", HYPERLINK("#" &amp; ADDRESS(435, '3757 - Wall Stickers-WUO_TRK'!A435),_xlfn.TEXTAFTER('3757 - Wall Stickers-WUO_ERR'!A435, ":"))))</f>
        <v>0</v>
      </c>
    </row>
    <row r="436" spans="1:1">
      <c r="A436" s="39">
        <f>IF('3757 - Wall Stickers'!B436 = "", "", IF('3757 - Wall Stickers-WUO_ERR'!A436 = "", "Validated", HYPERLINK("#" &amp; ADDRESS(436, '3757 - Wall Stickers-WUO_TRK'!A436),_xlfn.TEXTAFTER('3757 - Wall Stickers-WUO_ERR'!A436, ":"))))</f>
        <v>0</v>
      </c>
    </row>
    <row r="437" spans="1:1">
      <c r="A437" s="39">
        <f>IF('3757 - Wall Stickers'!B437 = "", "", IF('3757 - Wall Stickers-WUO_ERR'!A437 = "", "Validated", HYPERLINK("#" &amp; ADDRESS(437, '3757 - Wall Stickers-WUO_TRK'!A437),_xlfn.TEXTAFTER('3757 - Wall Stickers-WUO_ERR'!A437, ":"))))</f>
        <v>0</v>
      </c>
    </row>
    <row r="438" spans="1:1">
      <c r="A438" s="39">
        <f>IF('3757 - Wall Stickers'!B438 = "", "", IF('3757 - Wall Stickers-WUO_ERR'!A438 = "", "Validated", HYPERLINK("#" &amp; ADDRESS(438, '3757 - Wall Stickers-WUO_TRK'!A438),_xlfn.TEXTAFTER('3757 - Wall Stickers-WUO_ERR'!A438, ":"))))</f>
        <v>0</v>
      </c>
    </row>
    <row r="439" spans="1:1">
      <c r="A439" s="39">
        <f>IF('3757 - Wall Stickers'!B439 = "", "", IF('3757 - Wall Stickers-WUO_ERR'!A439 = "", "Validated", HYPERLINK("#" &amp; ADDRESS(439, '3757 - Wall Stickers-WUO_TRK'!A439),_xlfn.TEXTAFTER('3757 - Wall Stickers-WUO_ERR'!A439, ":"))))</f>
        <v>0</v>
      </c>
    </row>
    <row r="440" spans="1:1">
      <c r="A440" s="39">
        <f>IF('3757 - Wall Stickers'!B440 = "", "", IF('3757 - Wall Stickers-WUO_ERR'!A440 = "", "Validated", HYPERLINK("#" &amp; ADDRESS(440, '3757 - Wall Stickers-WUO_TRK'!A440),_xlfn.TEXTAFTER('3757 - Wall Stickers-WUO_ERR'!A440, ":"))))</f>
        <v>0</v>
      </c>
    </row>
    <row r="441" spans="1:1">
      <c r="A441" s="39">
        <f>IF('3757 - Wall Stickers'!B441 = "", "", IF('3757 - Wall Stickers-WUO_ERR'!A441 = "", "Validated", HYPERLINK("#" &amp; ADDRESS(441, '3757 - Wall Stickers-WUO_TRK'!A441),_xlfn.TEXTAFTER('3757 - Wall Stickers-WUO_ERR'!A441, ":"))))</f>
        <v>0</v>
      </c>
    </row>
    <row r="442" spans="1:1">
      <c r="A442" s="39">
        <f>IF('3757 - Wall Stickers'!B442 = "", "", IF('3757 - Wall Stickers-WUO_ERR'!A442 = "", "Validated", HYPERLINK("#" &amp; ADDRESS(442, '3757 - Wall Stickers-WUO_TRK'!A442),_xlfn.TEXTAFTER('3757 - Wall Stickers-WUO_ERR'!A442, ":"))))</f>
        <v>0</v>
      </c>
    </row>
    <row r="443" spans="1:1">
      <c r="A443" s="39">
        <f>IF('3757 - Wall Stickers'!B443 = "", "", IF('3757 - Wall Stickers-WUO_ERR'!A443 = "", "Validated", HYPERLINK("#" &amp; ADDRESS(443, '3757 - Wall Stickers-WUO_TRK'!A443),_xlfn.TEXTAFTER('3757 - Wall Stickers-WUO_ERR'!A443, ":"))))</f>
        <v>0</v>
      </c>
    </row>
    <row r="444" spans="1:1">
      <c r="A444" s="39">
        <f>IF('3757 - Wall Stickers'!B444 = "", "", IF('3757 - Wall Stickers-WUO_ERR'!A444 = "", "Validated", HYPERLINK("#" &amp; ADDRESS(444, '3757 - Wall Stickers-WUO_TRK'!A444),_xlfn.TEXTAFTER('3757 - Wall Stickers-WUO_ERR'!A444, ":"))))</f>
        <v>0</v>
      </c>
    </row>
    <row r="445" spans="1:1">
      <c r="A445" s="39">
        <f>IF('3757 - Wall Stickers'!B445 = "", "", IF('3757 - Wall Stickers-WUO_ERR'!A445 = "", "Validated", HYPERLINK("#" &amp; ADDRESS(445, '3757 - Wall Stickers-WUO_TRK'!A445),_xlfn.TEXTAFTER('3757 - Wall Stickers-WUO_ERR'!A445, ":"))))</f>
        <v>0</v>
      </c>
    </row>
    <row r="446" spans="1:1">
      <c r="A446" s="39">
        <f>IF('3757 - Wall Stickers'!B446 = "", "", IF('3757 - Wall Stickers-WUO_ERR'!A446 = "", "Validated", HYPERLINK("#" &amp; ADDRESS(446, '3757 - Wall Stickers-WUO_TRK'!A446),_xlfn.TEXTAFTER('3757 - Wall Stickers-WUO_ERR'!A446, ":"))))</f>
        <v>0</v>
      </c>
    </row>
    <row r="447" spans="1:1">
      <c r="A447" s="39">
        <f>IF('3757 - Wall Stickers'!B447 = "", "", IF('3757 - Wall Stickers-WUO_ERR'!A447 = "", "Validated", HYPERLINK("#" &amp; ADDRESS(447, '3757 - Wall Stickers-WUO_TRK'!A447),_xlfn.TEXTAFTER('3757 - Wall Stickers-WUO_ERR'!A447, ":"))))</f>
        <v>0</v>
      </c>
    </row>
    <row r="448" spans="1:1">
      <c r="A448" s="39">
        <f>IF('3757 - Wall Stickers'!B448 = "", "", IF('3757 - Wall Stickers-WUO_ERR'!A448 = "", "Validated", HYPERLINK("#" &amp; ADDRESS(448, '3757 - Wall Stickers-WUO_TRK'!A448),_xlfn.TEXTAFTER('3757 - Wall Stickers-WUO_ERR'!A448, ":"))))</f>
        <v>0</v>
      </c>
    </row>
    <row r="449" spans="1:1">
      <c r="A449" s="39">
        <f>IF('3757 - Wall Stickers'!B449 = "", "", IF('3757 - Wall Stickers-WUO_ERR'!A449 = "", "Validated", HYPERLINK("#" &amp; ADDRESS(449, '3757 - Wall Stickers-WUO_TRK'!A449),_xlfn.TEXTAFTER('3757 - Wall Stickers-WUO_ERR'!A449, ":"))))</f>
        <v>0</v>
      </c>
    </row>
    <row r="450" spans="1:1">
      <c r="A450" s="39">
        <f>IF('3757 - Wall Stickers'!B450 = "", "", IF('3757 - Wall Stickers-WUO_ERR'!A450 = "", "Validated", HYPERLINK("#" &amp; ADDRESS(450, '3757 - Wall Stickers-WUO_TRK'!A450),_xlfn.TEXTAFTER('3757 - Wall Stickers-WUO_ERR'!A450, ":"))))</f>
        <v>0</v>
      </c>
    </row>
    <row r="451" spans="1:1">
      <c r="A451" s="39">
        <f>IF('3757 - Wall Stickers'!B451 = "", "", IF('3757 - Wall Stickers-WUO_ERR'!A451 = "", "Validated", HYPERLINK("#" &amp; ADDRESS(451, '3757 - Wall Stickers-WUO_TRK'!A451),_xlfn.TEXTAFTER('3757 - Wall Stickers-WUO_ERR'!A451, ":"))))</f>
        <v>0</v>
      </c>
    </row>
    <row r="452" spans="1:1">
      <c r="A452" s="39">
        <f>IF('3757 - Wall Stickers'!B452 = "", "", IF('3757 - Wall Stickers-WUO_ERR'!A452 = "", "Validated", HYPERLINK("#" &amp; ADDRESS(452, '3757 - Wall Stickers-WUO_TRK'!A452),_xlfn.TEXTAFTER('3757 - Wall Stickers-WUO_ERR'!A452, ":"))))</f>
        <v>0</v>
      </c>
    </row>
    <row r="453" spans="1:1">
      <c r="A453" s="39">
        <f>IF('3757 - Wall Stickers'!B453 = "", "", IF('3757 - Wall Stickers-WUO_ERR'!A453 = "", "Validated", HYPERLINK("#" &amp; ADDRESS(453, '3757 - Wall Stickers-WUO_TRK'!A453),_xlfn.TEXTAFTER('3757 - Wall Stickers-WUO_ERR'!A453, ":"))))</f>
        <v>0</v>
      </c>
    </row>
    <row r="454" spans="1:1">
      <c r="A454" s="39">
        <f>IF('3757 - Wall Stickers'!B454 = "", "", IF('3757 - Wall Stickers-WUO_ERR'!A454 = "", "Validated", HYPERLINK("#" &amp; ADDRESS(454, '3757 - Wall Stickers-WUO_TRK'!A454),_xlfn.TEXTAFTER('3757 - Wall Stickers-WUO_ERR'!A454, ":"))))</f>
        <v>0</v>
      </c>
    </row>
    <row r="455" spans="1:1">
      <c r="A455" s="39">
        <f>IF('3757 - Wall Stickers'!B455 = "", "", IF('3757 - Wall Stickers-WUO_ERR'!A455 = "", "Validated", HYPERLINK("#" &amp; ADDRESS(455, '3757 - Wall Stickers-WUO_TRK'!A455),_xlfn.TEXTAFTER('3757 - Wall Stickers-WUO_ERR'!A455, ":"))))</f>
        <v>0</v>
      </c>
    </row>
    <row r="456" spans="1:1">
      <c r="A456" s="39">
        <f>IF('3757 - Wall Stickers'!B456 = "", "", IF('3757 - Wall Stickers-WUO_ERR'!A456 = "", "Validated", HYPERLINK("#" &amp; ADDRESS(456, '3757 - Wall Stickers-WUO_TRK'!A456),_xlfn.TEXTAFTER('3757 - Wall Stickers-WUO_ERR'!A456, ":"))))</f>
        <v>0</v>
      </c>
    </row>
    <row r="457" spans="1:1">
      <c r="A457" s="39">
        <f>IF('3757 - Wall Stickers'!B457 = "", "", IF('3757 - Wall Stickers-WUO_ERR'!A457 = "", "Validated", HYPERLINK("#" &amp; ADDRESS(457, '3757 - Wall Stickers-WUO_TRK'!A457),_xlfn.TEXTAFTER('3757 - Wall Stickers-WUO_ERR'!A457, ":"))))</f>
        <v>0</v>
      </c>
    </row>
    <row r="458" spans="1:1">
      <c r="A458" s="39">
        <f>IF('3757 - Wall Stickers'!B458 = "", "", IF('3757 - Wall Stickers-WUO_ERR'!A458 = "", "Validated", HYPERLINK("#" &amp; ADDRESS(458, '3757 - Wall Stickers-WUO_TRK'!A458),_xlfn.TEXTAFTER('3757 - Wall Stickers-WUO_ERR'!A458, ":"))))</f>
        <v>0</v>
      </c>
    </row>
    <row r="459" spans="1:1">
      <c r="A459" s="39">
        <f>IF('3757 - Wall Stickers'!B459 = "", "", IF('3757 - Wall Stickers-WUO_ERR'!A459 = "", "Validated", HYPERLINK("#" &amp; ADDRESS(459, '3757 - Wall Stickers-WUO_TRK'!A459),_xlfn.TEXTAFTER('3757 - Wall Stickers-WUO_ERR'!A459, ":"))))</f>
        <v>0</v>
      </c>
    </row>
    <row r="460" spans="1:1">
      <c r="A460" s="39">
        <f>IF('3757 - Wall Stickers'!B460 = "", "", IF('3757 - Wall Stickers-WUO_ERR'!A460 = "", "Validated", HYPERLINK("#" &amp; ADDRESS(460, '3757 - Wall Stickers-WUO_TRK'!A460),_xlfn.TEXTAFTER('3757 - Wall Stickers-WUO_ERR'!A460, ":"))))</f>
        <v>0</v>
      </c>
    </row>
    <row r="461" spans="1:1">
      <c r="A461" s="39">
        <f>IF('3757 - Wall Stickers'!B461 = "", "", IF('3757 - Wall Stickers-WUO_ERR'!A461 = "", "Validated", HYPERLINK("#" &amp; ADDRESS(461, '3757 - Wall Stickers-WUO_TRK'!A461),_xlfn.TEXTAFTER('3757 - Wall Stickers-WUO_ERR'!A461, ":"))))</f>
        <v>0</v>
      </c>
    </row>
    <row r="462" spans="1:1">
      <c r="A462" s="39">
        <f>IF('3757 - Wall Stickers'!B462 = "", "", IF('3757 - Wall Stickers-WUO_ERR'!A462 = "", "Validated", HYPERLINK("#" &amp; ADDRESS(462, '3757 - Wall Stickers-WUO_TRK'!A462),_xlfn.TEXTAFTER('3757 - Wall Stickers-WUO_ERR'!A462, ":"))))</f>
        <v>0</v>
      </c>
    </row>
    <row r="463" spans="1:1">
      <c r="A463" s="39">
        <f>IF('3757 - Wall Stickers'!B463 = "", "", IF('3757 - Wall Stickers-WUO_ERR'!A463 = "", "Validated", HYPERLINK("#" &amp; ADDRESS(463, '3757 - Wall Stickers-WUO_TRK'!A463),_xlfn.TEXTAFTER('3757 - Wall Stickers-WUO_ERR'!A463, ":"))))</f>
        <v>0</v>
      </c>
    </row>
    <row r="464" spans="1:1">
      <c r="A464" s="39">
        <f>IF('3757 - Wall Stickers'!B464 = "", "", IF('3757 - Wall Stickers-WUO_ERR'!A464 = "", "Validated", HYPERLINK("#" &amp; ADDRESS(464, '3757 - Wall Stickers-WUO_TRK'!A464),_xlfn.TEXTAFTER('3757 - Wall Stickers-WUO_ERR'!A464, ":"))))</f>
        <v>0</v>
      </c>
    </row>
    <row r="465" spans="1:1">
      <c r="A465" s="39">
        <f>IF('3757 - Wall Stickers'!B465 = "", "", IF('3757 - Wall Stickers-WUO_ERR'!A465 = "", "Validated", HYPERLINK("#" &amp; ADDRESS(465, '3757 - Wall Stickers-WUO_TRK'!A465),_xlfn.TEXTAFTER('3757 - Wall Stickers-WUO_ERR'!A465, ":"))))</f>
        <v>0</v>
      </c>
    </row>
    <row r="466" spans="1:1">
      <c r="A466" s="39">
        <f>IF('3757 - Wall Stickers'!B466 = "", "", IF('3757 - Wall Stickers-WUO_ERR'!A466 = "", "Validated", HYPERLINK("#" &amp; ADDRESS(466, '3757 - Wall Stickers-WUO_TRK'!A466),_xlfn.TEXTAFTER('3757 - Wall Stickers-WUO_ERR'!A466, ":"))))</f>
        <v>0</v>
      </c>
    </row>
    <row r="467" spans="1:1">
      <c r="A467" s="39">
        <f>IF('3757 - Wall Stickers'!B467 = "", "", IF('3757 - Wall Stickers-WUO_ERR'!A467 = "", "Validated", HYPERLINK("#" &amp; ADDRESS(467, '3757 - Wall Stickers-WUO_TRK'!A467),_xlfn.TEXTAFTER('3757 - Wall Stickers-WUO_ERR'!A467, ":"))))</f>
        <v>0</v>
      </c>
    </row>
    <row r="468" spans="1:1">
      <c r="A468" s="39">
        <f>IF('3757 - Wall Stickers'!B468 = "", "", IF('3757 - Wall Stickers-WUO_ERR'!A468 = "", "Validated", HYPERLINK("#" &amp; ADDRESS(468, '3757 - Wall Stickers-WUO_TRK'!A468),_xlfn.TEXTAFTER('3757 - Wall Stickers-WUO_ERR'!A468, ":"))))</f>
        <v>0</v>
      </c>
    </row>
    <row r="469" spans="1:1">
      <c r="A469" s="39">
        <f>IF('3757 - Wall Stickers'!B469 = "", "", IF('3757 - Wall Stickers-WUO_ERR'!A469 = "", "Validated", HYPERLINK("#" &amp; ADDRESS(469, '3757 - Wall Stickers-WUO_TRK'!A469),_xlfn.TEXTAFTER('3757 - Wall Stickers-WUO_ERR'!A469, ":"))))</f>
        <v>0</v>
      </c>
    </row>
    <row r="470" spans="1:1">
      <c r="A470" s="39">
        <f>IF('3757 - Wall Stickers'!B470 = "", "", IF('3757 - Wall Stickers-WUO_ERR'!A470 = "", "Validated", HYPERLINK("#" &amp; ADDRESS(470, '3757 - Wall Stickers-WUO_TRK'!A470),_xlfn.TEXTAFTER('3757 - Wall Stickers-WUO_ERR'!A470, ":"))))</f>
        <v>0</v>
      </c>
    </row>
    <row r="471" spans="1:1">
      <c r="A471" s="39">
        <f>IF('3757 - Wall Stickers'!B471 = "", "", IF('3757 - Wall Stickers-WUO_ERR'!A471 = "", "Validated", HYPERLINK("#" &amp; ADDRESS(471, '3757 - Wall Stickers-WUO_TRK'!A471),_xlfn.TEXTAFTER('3757 - Wall Stickers-WUO_ERR'!A471, ":"))))</f>
        <v>0</v>
      </c>
    </row>
    <row r="472" spans="1:1">
      <c r="A472" s="39">
        <f>IF('3757 - Wall Stickers'!B472 = "", "", IF('3757 - Wall Stickers-WUO_ERR'!A472 = "", "Validated", HYPERLINK("#" &amp; ADDRESS(472, '3757 - Wall Stickers-WUO_TRK'!A472),_xlfn.TEXTAFTER('3757 - Wall Stickers-WUO_ERR'!A472, ":"))))</f>
        <v>0</v>
      </c>
    </row>
    <row r="473" spans="1:1">
      <c r="A473" s="39">
        <f>IF('3757 - Wall Stickers'!B473 = "", "", IF('3757 - Wall Stickers-WUO_ERR'!A473 = "", "Validated", HYPERLINK("#" &amp; ADDRESS(473, '3757 - Wall Stickers-WUO_TRK'!A473),_xlfn.TEXTAFTER('3757 - Wall Stickers-WUO_ERR'!A473, ":"))))</f>
        <v>0</v>
      </c>
    </row>
    <row r="474" spans="1:1">
      <c r="A474" s="39">
        <f>IF('3757 - Wall Stickers'!B474 = "", "", IF('3757 - Wall Stickers-WUO_ERR'!A474 = "", "Validated", HYPERLINK("#" &amp; ADDRESS(474, '3757 - Wall Stickers-WUO_TRK'!A474),_xlfn.TEXTAFTER('3757 - Wall Stickers-WUO_ERR'!A474, ":"))))</f>
        <v>0</v>
      </c>
    </row>
    <row r="475" spans="1:1">
      <c r="A475" s="39">
        <f>IF('3757 - Wall Stickers'!B475 = "", "", IF('3757 - Wall Stickers-WUO_ERR'!A475 = "", "Validated", HYPERLINK("#" &amp; ADDRESS(475, '3757 - Wall Stickers-WUO_TRK'!A475),_xlfn.TEXTAFTER('3757 - Wall Stickers-WUO_ERR'!A475, ":"))))</f>
        <v>0</v>
      </c>
    </row>
    <row r="476" spans="1:1">
      <c r="A476" s="39">
        <f>IF('3757 - Wall Stickers'!B476 = "", "", IF('3757 - Wall Stickers-WUO_ERR'!A476 = "", "Validated", HYPERLINK("#" &amp; ADDRESS(476, '3757 - Wall Stickers-WUO_TRK'!A476),_xlfn.TEXTAFTER('3757 - Wall Stickers-WUO_ERR'!A476, ":"))))</f>
        <v>0</v>
      </c>
    </row>
    <row r="477" spans="1:1">
      <c r="A477" s="39">
        <f>IF('3757 - Wall Stickers'!B477 = "", "", IF('3757 - Wall Stickers-WUO_ERR'!A477 = "", "Validated", HYPERLINK("#" &amp; ADDRESS(477, '3757 - Wall Stickers-WUO_TRK'!A477),_xlfn.TEXTAFTER('3757 - Wall Stickers-WUO_ERR'!A477, ":"))))</f>
        <v>0</v>
      </c>
    </row>
    <row r="478" spans="1:1">
      <c r="A478" s="39">
        <f>IF('3757 - Wall Stickers'!B478 = "", "", IF('3757 - Wall Stickers-WUO_ERR'!A478 = "", "Validated", HYPERLINK("#" &amp; ADDRESS(478, '3757 - Wall Stickers-WUO_TRK'!A478),_xlfn.TEXTAFTER('3757 - Wall Stickers-WUO_ERR'!A478, ":"))))</f>
        <v>0</v>
      </c>
    </row>
    <row r="479" spans="1:1">
      <c r="A479" s="39">
        <f>IF('3757 - Wall Stickers'!B479 = "", "", IF('3757 - Wall Stickers-WUO_ERR'!A479 = "", "Validated", HYPERLINK("#" &amp; ADDRESS(479, '3757 - Wall Stickers-WUO_TRK'!A479),_xlfn.TEXTAFTER('3757 - Wall Stickers-WUO_ERR'!A479, ":"))))</f>
        <v>0</v>
      </c>
    </row>
    <row r="480" spans="1:1">
      <c r="A480" s="39">
        <f>IF('3757 - Wall Stickers'!B480 = "", "", IF('3757 - Wall Stickers-WUO_ERR'!A480 = "", "Validated", HYPERLINK("#" &amp; ADDRESS(480, '3757 - Wall Stickers-WUO_TRK'!A480),_xlfn.TEXTAFTER('3757 - Wall Stickers-WUO_ERR'!A480, ":"))))</f>
        <v>0</v>
      </c>
    </row>
    <row r="481" spans="1:1">
      <c r="A481" s="39">
        <f>IF('3757 - Wall Stickers'!B481 = "", "", IF('3757 - Wall Stickers-WUO_ERR'!A481 = "", "Validated", HYPERLINK("#" &amp; ADDRESS(481, '3757 - Wall Stickers-WUO_TRK'!A481),_xlfn.TEXTAFTER('3757 - Wall Stickers-WUO_ERR'!A481, ":"))))</f>
        <v>0</v>
      </c>
    </row>
    <row r="482" spans="1:1">
      <c r="A482" s="39">
        <f>IF('3757 - Wall Stickers'!B482 = "", "", IF('3757 - Wall Stickers-WUO_ERR'!A482 = "", "Validated", HYPERLINK("#" &amp; ADDRESS(482, '3757 - Wall Stickers-WUO_TRK'!A482),_xlfn.TEXTAFTER('3757 - Wall Stickers-WUO_ERR'!A482, ":"))))</f>
        <v>0</v>
      </c>
    </row>
    <row r="483" spans="1:1">
      <c r="A483" s="39">
        <f>IF('3757 - Wall Stickers'!B483 = "", "", IF('3757 - Wall Stickers-WUO_ERR'!A483 = "", "Validated", HYPERLINK("#" &amp; ADDRESS(483, '3757 - Wall Stickers-WUO_TRK'!A483),_xlfn.TEXTAFTER('3757 - Wall Stickers-WUO_ERR'!A483, ":"))))</f>
        <v>0</v>
      </c>
    </row>
    <row r="484" spans="1:1">
      <c r="A484" s="39">
        <f>IF('3757 - Wall Stickers'!B484 = "", "", IF('3757 - Wall Stickers-WUO_ERR'!A484 = "", "Validated", HYPERLINK("#" &amp; ADDRESS(484, '3757 - Wall Stickers-WUO_TRK'!A484),_xlfn.TEXTAFTER('3757 - Wall Stickers-WUO_ERR'!A484, ":"))))</f>
        <v>0</v>
      </c>
    </row>
    <row r="485" spans="1:1">
      <c r="A485" s="39">
        <f>IF('3757 - Wall Stickers'!B485 = "", "", IF('3757 - Wall Stickers-WUO_ERR'!A485 = "", "Validated", HYPERLINK("#" &amp; ADDRESS(485, '3757 - Wall Stickers-WUO_TRK'!A485),_xlfn.TEXTAFTER('3757 - Wall Stickers-WUO_ERR'!A485, ":"))))</f>
        <v>0</v>
      </c>
    </row>
    <row r="486" spans="1:1">
      <c r="A486" s="39">
        <f>IF('3757 - Wall Stickers'!B486 = "", "", IF('3757 - Wall Stickers-WUO_ERR'!A486 = "", "Validated", HYPERLINK("#" &amp; ADDRESS(486, '3757 - Wall Stickers-WUO_TRK'!A486),_xlfn.TEXTAFTER('3757 - Wall Stickers-WUO_ERR'!A486, ":"))))</f>
        <v>0</v>
      </c>
    </row>
    <row r="487" spans="1:1">
      <c r="A487" s="39">
        <f>IF('3757 - Wall Stickers'!B487 = "", "", IF('3757 - Wall Stickers-WUO_ERR'!A487 = "", "Validated", HYPERLINK("#" &amp; ADDRESS(487, '3757 - Wall Stickers-WUO_TRK'!A487),_xlfn.TEXTAFTER('3757 - Wall Stickers-WUO_ERR'!A487, ":"))))</f>
        <v>0</v>
      </c>
    </row>
    <row r="488" spans="1:1">
      <c r="A488" s="39">
        <f>IF('3757 - Wall Stickers'!B488 = "", "", IF('3757 - Wall Stickers-WUO_ERR'!A488 = "", "Validated", HYPERLINK("#" &amp; ADDRESS(488, '3757 - Wall Stickers-WUO_TRK'!A488),_xlfn.TEXTAFTER('3757 - Wall Stickers-WUO_ERR'!A488, ":"))))</f>
        <v>0</v>
      </c>
    </row>
    <row r="489" spans="1:1">
      <c r="A489" s="39">
        <f>IF('3757 - Wall Stickers'!B489 = "", "", IF('3757 - Wall Stickers-WUO_ERR'!A489 = "", "Validated", HYPERLINK("#" &amp; ADDRESS(489, '3757 - Wall Stickers-WUO_TRK'!A489),_xlfn.TEXTAFTER('3757 - Wall Stickers-WUO_ERR'!A489, ":"))))</f>
        <v>0</v>
      </c>
    </row>
    <row r="490" spans="1:1">
      <c r="A490" s="39">
        <f>IF('3757 - Wall Stickers'!B490 = "", "", IF('3757 - Wall Stickers-WUO_ERR'!A490 = "", "Validated", HYPERLINK("#" &amp; ADDRESS(490, '3757 - Wall Stickers-WUO_TRK'!A490),_xlfn.TEXTAFTER('3757 - Wall Stickers-WUO_ERR'!A490, ":"))))</f>
        <v>0</v>
      </c>
    </row>
    <row r="491" spans="1:1">
      <c r="A491" s="39">
        <f>IF('3757 - Wall Stickers'!B491 = "", "", IF('3757 - Wall Stickers-WUO_ERR'!A491 = "", "Validated", HYPERLINK("#" &amp; ADDRESS(491, '3757 - Wall Stickers-WUO_TRK'!A491),_xlfn.TEXTAFTER('3757 - Wall Stickers-WUO_ERR'!A491, ":"))))</f>
        <v>0</v>
      </c>
    </row>
    <row r="492" spans="1:1">
      <c r="A492" s="39">
        <f>IF('3757 - Wall Stickers'!B492 = "", "", IF('3757 - Wall Stickers-WUO_ERR'!A492 = "", "Validated", HYPERLINK("#" &amp; ADDRESS(492, '3757 - Wall Stickers-WUO_TRK'!A492),_xlfn.TEXTAFTER('3757 - Wall Stickers-WUO_ERR'!A492, ":"))))</f>
        <v>0</v>
      </c>
    </row>
    <row r="493" spans="1:1">
      <c r="A493" s="39">
        <f>IF('3757 - Wall Stickers'!B493 = "", "", IF('3757 - Wall Stickers-WUO_ERR'!A493 = "", "Validated", HYPERLINK("#" &amp; ADDRESS(493, '3757 - Wall Stickers-WUO_TRK'!A493),_xlfn.TEXTAFTER('3757 - Wall Stickers-WUO_ERR'!A493, ":"))))</f>
        <v>0</v>
      </c>
    </row>
    <row r="494" spans="1:1">
      <c r="A494" s="39">
        <f>IF('3757 - Wall Stickers'!B494 = "", "", IF('3757 - Wall Stickers-WUO_ERR'!A494 = "", "Validated", HYPERLINK("#" &amp; ADDRESS(494, '3757 - Wall Stickers-WUO_TRK'!A494),_xlfn.TEXTAFTER('3757 - Wall Stickers-WUO_ERR'!A494, ":"))))</f>
        <v>0</v>
      </c>
    </row>
    <row r="495" spans="1:1">
      <c r="A495" s="39">
        <f>IF('3757 - Wall Stickers'!B495 = "", "", IF('3757 - Wall Stickers-WUO_ERR'!A495 = "", "Validated", HYPERLINK("#" &amp; ADDRESS(495, '3757 - Wall Stickers-WUO_TRK'!A495),_xlfn.TEXTAFTER('3757 - Wall Stickers-WUO_ERR'!A495, ":"))))</f>
        <v>0</v>
      </c>
    </row>
    <row r="496" spans="1:1">
      <c r="A496" s="39">
        <f>IF('3757 - Wall Stickers'!B496 = "", "", IF('3757 - Wall Stickers-WUO_ERR'!A496 = "", "Validated", HYPERLINK("#" &amp; ADDRESS(496, '3757 - Wall Stickers-WUO_TRK'!A496),_xlfn.TEXTAFTER('3757 - Wall Stickers-WUO_ERR'!A496, ":"))))</f>
        <v>0</v>
      </c>
    </row>
    <row r="497" spans="1:1">
      <c r="A497" s="39">
        <f>IF('3757 - Wall Stickers'!B497 = "", "", IF('3757 - Wall Stickers-WUO_ERR'!A497 = "", "Validated", HYPERLINK("#" &amp; ADDRESS(497, '3757 - Wall Stickers-WUO_TRK'!A497),_xlfn.TEXTAFTER('3757 - Wall Stickers-WUO_ERR'!A497, ":"))))</f>
        <v>0</v>
      </c>
    </row>
    <row r="498" spans="1:1">
      <c r="A498" s="39">
        <f>IF('3757 - Wall Stickers'!B498 = "", "", IF('3757 - Wall Stickers-WUO_ERR'!A498 = "", "Validated", HYPERLINK("#" &amp; ADDRESS(498, '3757 - Wall Stickers-WUO_TRK'!A498),_xlfn.TEXTAFTER('3757 - Wall Stickers-WUO_ERR'!A498, ":"))))</f>
        <v>0</v>
      </c>
    </row>
    <row r="499" spans="1:1">
      <c r="A499" s="39">
        <f>IF('3757 - Wall Stickers'!B499 = "", "", IF('3757 - Wall Stickers-WUO_ERR'!A499 = "", "Validated", HYPERLINK("#" &amp; ADDRESS(499, '3757 - Wall Stickers-WUO_TRK'!A499),_xlfn.TEXTAFTER('3757 - Wall Stickers-WUO_ERR'!A499, ":"))))</f>
        <v>0</v>
      </c>
    </row>
    <row r="500" spans="1:1">
      <c r="A500" s="39">
        <f>IF('3757 - Wall Stickers'!B500 = "", "", IF('3757 - Wall Stickers-WUO_ERR'!A500 = "", "Validated", HYPERLINK("#" &amp; ADDRESS(500, '3757 - Wall Stickers-WUO_TRK'!A500),_xlfn.TEXTAFTER('3757 - Wall Stickers-WUO_ERR'!A500, ":"))))</f>
        <v>0</v>
      </c>
    </row>
    <row r="501" spans="1:1">
      <c r="A501" s="39">
        <f>IF('3757 - Wall Stickers'!B501 = "", "", IF('3757 - Wall Stickers-WUO_ERR'!A501 = "", "Validated", HYPERLINK("#" &amp; ADDRESS(501, '3757 - Wall Stickers-WUO_TRK'!A501),_xlfn.TEXTAFTER('3757 - Wall Stickers-WUO_ERR'!A501, ":"))))</f>
        <v>0</v>
      </c>
    </row>
    <row r="502" spans="1:1">
      <c r="A502" s="39">
        <f>IF('3757 - Wall Stickers'!B502 = "", "", IF('3757 - Wall Stickers-WUO_ERR'!A502 = "", "Validated", HYPERLINK("#" &amp; ADDRESS(502, '3757 - Wall Stickers-WUO_TRK'!A502),_xlfn.TEXTAFTER('3757 - Wall Stickers-WUO_ERR'!A502, ":"))))</f>
        <v>0</v>
      </c>
    </row>
    <row r="503" spans="1:1">
      <c r="A503" s="39">
        <f>IF('3757 - Wall Stickers'!B503 = "", "", IF('3757 - Wall Stickers-WUO_ERR'!A503 = "", "Validated", HYPERLINK("#" &amp; ADDRESS(503, '3757 - Wall Stickers-WUO_TRK'!A503),_xlfn.TEXTAFTER('3757 - Wall Stickers-WUO_ERR'!A503, ":"))))</f>
        <v>0</v>
      </c>
    </row>
    <row r="504" spans="1:1">
      <c r="A504" s="39">
        <f>IF('3757 - Wall Stickers'!B504 = "", "", IF('3757 - Wall Stickers-WUO_ERR'!A504 = "", "Validated", HYPERLINK("#" &amp; ADDRESS(504, '3757 - Wall Stickers-WUO_TRK'!A504),_xlfn.TEXTAFTER('3757 - Wall Stickers-WUO_ERR'!A504, ":"))))</f>
        <v>0</v>
      </c>
    </row>
    <row r="505" spans="1:1">
      <c r="A505" s="39">
        <f>IF('3757 - Wall Stickers'!B505 = "", "", IF('3757 - Wall Stickers-WUO_ERR'!A505 = "", "Validated", HYPERLINK("#" &amp; ADDRESS(505, '3757 - Wall Stickers-WUO_TRK'!A505),_xlfn.TEXTAFTER('3757 - Wall Stickers-WUO_ERR'!A505, ":"))))</f>
        <v>0</v>
      </c>
    </row>
    <row r="506" spans="1:1">
      <c r="A506" s="39">
        <f>IF('3757 - Wall Stickers'!B506 = "", "", IF('3757 - Wall Stickers-WUO_ERR'!A506 = "", "Validated", HYPERLINK("#" &amp; ADDRESS(506, '3757 - Wall Stickers-WUO_TRK'!A506),_xlfn.TEXTAFTER('3757 - Wall Stickers-WUO_ERR'!A506, ":"))))</f>
        <v>0</v>
      </c>
    </row>
    <row r="507" spans="1:1">
      <c r="A507" s="39">
        <f>IF('3757 - Wall Stickers'!B507 = "", "", IF('3757 - Wall Stickers-WUO_ERR'!A507 = "", "Validated", HYPERLINK("#" &amp; ADDRESS(507, '3757 - Wall Stickers-WUO_TRK'!A507),_xlfn.TEXTAFTER('3757 - Wall Stickers-WUO_ERR'!A507, ":"))))</f>
        <v>0</v>
      </c>
    </row>
  </sheetData>
  <sheetProtection password="FD38" sheet="1" objects="1" scenarios="1" formatColumns="0" formatRows="0"/>
  <protectedRanges>
    <protectedRange sqref="B8:CO10000" name="Range1"/>
  </protectedRanges>
  <mergeCells count="9">
    <mergeCell ref="B2:I2"/>
    <mergeCell ref="J2:Q2"/>
    <mergeCell ref="R2:U2"/>
    <mergeCell ref="V2:AA2"/>
    <mergeCell ref="AB2:AL2"/>
    <mergeCell ref="AM2:AP2"/>
    <mergeCell ref="AQ2:BH2"/>
    <mergeCell ref="BI2:CK2"/>
    <mergeCell ref="CL2:CN2"/>
  </mergeCells>
  <conditionalFormatting sqref="A8:A507">
    <cfRule type="expression" dxfId="4" priority="5">
      <formula>A8="Validated"</formula>
    </cfRule>
    <cfRule type="expression" dxfId="5" priority="6">
      <formula>OR(COUNTIF('3757 - Wall Stickers-WUO_TRK'!B8:CO8,"Error"),COUNTIF('3757 - Wall Stickers-WUO_TRK'!B8:CO8,"Required"))</formula>
    </cfRule>
    <cfRule type="expression" dxfId="6" priority="7">
      <formula>COUNTIF('3757 - Wall Stickers-WUO_TRK'!B8:CO8,"Warning")</formula>
    </cfRule>
  </conditionalFormatting>
  <conditionalFormatting sqref="AA7">
    <cfRule type="notContainsBlanks" dxfId="7" priority="38">
      <formula>LEN(TRIM(AA7))&gt;0</formula>
    </cfRule>
    <cfRule type="containsBlanks" dxfId="8" priority="39">
      <formula>LEN(TRIM(AA7))=0</formula>
    </cfRule>
  </conditionalFormatting>
  <conditionalFormatting sqref="AA8:AA2501">
    <cfRule type="expression" dxfId="7" priority="40">
      <formula>AND($AA$7&lt;&gt;"", AA8="")</formula>
    </cfRule>
  </conditionalFormatting>
  <conditionalFormatting sqref="AB7">
    <cfRule type="notContainsBlanks" dxfId="7" priority="41">
      <formula>LEN(TRIM(AB7))&gt;0</formula>
    </cfRule>
    <cfRule type="containsBlanks" dxfId="8" priority="42">
      <formula>LEN(TRIM(AB7))=0</formula>
    </cfRule>
  </conditionalFormatting>
  <conditionalFormatting sqref="AB8:AB2501">
    <cfRule type="expression" dxfId="7" priority="43">
      <formula>AND($AB$7&lt;&gt;"", AB8="")</formula>
    </cfRule>
  </conditionalFormatting>
  <conditionalFormatting sqref="AC7">
    <cfRule type="notContainsBlanks" dxfId="7" priority="44">
      <formula>LEN(TRIM(AC7))&gt;0</formula>
    </cfRule>
    <cfRule type="containsBlanks" dxfId="8" priority="45">
      <formula>LEN(TRIM(AC7))=0</formula>
    </cfRule>
  </conditionalFormatting>
  <conditionalFormatting sqref="AC8:AC2501">
    <cfRule type="expression" dxfId="7" priority="46">
      <formula>AND($AC$7&lt;&gt;"", AC8="")</formula>
    </cfRule>
  </conditionalFormatting>
  <conditionalFormatting sqref="AD7">
    <cfRule type="notContainsBlanks" dxfId="7" priority="47">
      <formula>LEN(TRIM(AD7))&gt;0</formula>
    </cfRule>
    <cfRule type="containsBlanks" dxfId="8" priority="48">
      <formula>LEN(TRIM(AD7))=0</formula>
    </cfRule>
  </conditionalFormatting>
  <conditionalFormatting sqref="AD8:AD2501">
    <cfRule type="expression" dxfId="7" priority="49">
      <formula>AND($AD$7&lt;&gt;"", AD8="")</formula>
    </cfRule>
  </conditionalFormatting>
  <conditionalFormatting sqref="AE7">
    <cfRule type="notContainsBlanks" dxfId="7" priority="50">
      <formula>LEN(TRIM(AE7))&gt;0</formula>
    </cfRule>
    <cfRule type="containsBlanks" dxfId="8" priority="51">
      <formula>LEN(TRIM(AE7))=0</formula>
    </cfRule>
  </conditionalFormatting>
  <conditionalFormatting sqref="AE8:AE2501">
    <cfRule type="expression" dxfId="7" priority="52">
      <formula>AND($AE$7&lt;&gt;"", AE8="")</formula>
    </cfRule>
  </conditionalFormatting>
  <conditionalFormatting sqref="AF7">
    <cfRule type="notContainsBlanks" dxfId="7" priority="53">
      <formula>LEN(TRIM(AF7))&gt;0</formula>
    </cfRule>
    <cfRule type="containsBlanks" dxfId="8" priority="54">
      <formula>LEN(TRIM(AF7))=0</formula>
    </cfRule>
  </conditionalFormatting>
  <conditionalFormatting sqref="AF8:AF2501">
    <cfRule type="expression" dxfId="7" priority="55">
      <formula>AND($AF$7&lt;&gt;"", AF8="")</formula>
    </cfRule>
  </conditionalFormatting>
  <conditionalFormatting sqref="AG7">
    <cfRule type="notContainsBlanks" dxfId="7" priority="56">
      <formula>LEN(TRIM(AG7))&gt;0</formula>
    </cfRule>
    <cfRule type="containsBlanks" dxfId="8" priority="57">
      <formula>LEN(TRIM(AG7))=0</formula>
    </cfRule>
  </conditionalFormatting>
  <conditionalFormatting sqref="AG8:AG2501">
    <cfRule type="expression" dxfId="7" priority="58">
      <formula>AND($AG$7&lt;&gt;"", AG8="")</formula>
    </cfRule>
  </conditionalFormatting>
  <conditionalFormatting sqref="AH7">
    <cfRule type="notContainsBlanks" dxfId="7" priority="59">
      <formula>LEN(TRIM(AH7))&gt;0</formula>
    </cfRule>
    <cfRule type="containsBlanks" dxfId="8" priority="60">
      <formula>LEN(TRIM(AH7))=0</formula>
    </cfRule>
  </conditionalFormatting>
  <conditionalFormatting sqref="AH8:AH2501">
    <cfRule type="expression" dxfId="7" priority="61">
      <formula>AND($AH$7&lt;&gt;"", AH8="")</formula>
    </cfRule>
  </conditionalFormatting>
  <conditionalFormatting sqref="AI7">
    <cfRule type="notContainsBlanks" dxfId="7" priority="62">
      <formula>LEN(TRIM(AI7))&gt;0</formula>
    </cfRule>
    <cfRule type="containsBlanks" dxfId="8" priority="63">
      <formula>LEN(TRIM(AI7))=0</formula>
    </cfRule>
  </conditionalFormatting>
  <conditionalFormatting sqref="AI8:AI2501">
    <cfRule type="expression" dxfId="7" priority="64">
      <formula>AND($AI$7&lt;&gt;"", AI8="")</formula>
    </cfRule>
  </conditionalFormatting>
  <conditionalFormatting sqref="AJ7">
    <cfRule type="notContainsBlanks" dxfId="7" priority="65">
      <formula>LEN(TRIM(AJ7))&gt;0</formula>
    </cfRule>
    <cfRule type="containsBlanks" dxfId="8" priority="66">
      <formula>LEN(TRIM(AJ7))=0</formula>
    </cfRule>
  </conditionalFormatting>
  <conditionalFormatting sqref="AJ8:AJ2501">
    <cfRule type="expression" dxfId="7" priority="67">
      <formula>AND($AJ$7&lt;&gt;"", AJ8="")</formula>
    </cfRule>
  </conditionalFormatting>
  <conditionalFormatting sqref="AK7">
    <cfRule type="notContainsBlanks" dxfId="7" priority="68">
      <formula>LEN(TRIM(AK7))&gt;0</formula>
    </cfRule>
    <cfRule type="containsBlanks" dxfId="8" priority="69">
      <formula>LEN(TRIM(AK7))=0</formula>
    </cfRule>
  </conditionalFormatting>
  <conditionalFormatting sqref="AK8:AK2501">
    <cfRule type="expression" dxfId="7" priority="70">
      <formula>AND($AK$7&lt;&gt;"", AK8="")</formula>
    </cfRule>
  </conditionalFormatting>
  <conditionalFormatting sqref="AL7">
    <cfRule type="notContainsBlanks" dxfId="7" priority="71">
      <formula>LEN(TRIM(AL7))&gt;0</formula>
    </cfRule>
    <cfRule type="containsBlanks" dxfId="8" priority="72">
      <formula>LEN(TRIM(AL7))=0</formula>
    </cfRule>
  </conditionalFormatting>
  <conditionalFormatting sqref="AL8:AL2501">
    <cfRule type="expression" dxfId="7" priority="73">
      <formula>AND($AL$7&lt;&gt;"", AL8="")</formula>
    </cfRule>
  </conditionalFormatting>
  <conditionalFormatting sqref="AM7">
    <cfRule type="notContainsBlanks" dxfId="7" priority="74">
      <formula>LEN(TRIM(AM7))&gt;0</formula>
    </cfRule>
    <cfRule type="containsBlanks" dxfId="8" priority="75">
      <formula>LEN(TRIM(AM7))=0</formula>
    </cfRule>
  </conditionalFormatting>
  <conditionalFormatting sqref="AM8:AM2501">
    <cfRule type="expression" dxfId="7" priority="76">
      <formula>AND($AM$7&lt;&gt;"", AM8="")</formula>
    </cfRule>
  </conditionalFormatting>
  <conditionalFormatting sqref="AN7">
    <cfRule type="notContainsBlanks" dxfId="7" priority="77">
      <formula>LEN(TRIM(AN7))&gt;0</formula>
    </cfRule>
    <cfRule type="containsBlanks" dxfId="8" priority="78">
      <formula>LEN(TRIM(AN7))=0</formula>
    </cfRule>
  </conditionalFormatting>
  <conditionalFormatting sqref="AN8:AN2501">
    <cfRule type="expression" dxfId="7" priority="79">
      <formula>AND($AN$7&lt;&gt;"", AN8="")</formula>
    </cfRule>
  </conditionalFormatting>
  <conditionalFormatting sqref="AO7">
    <cfRule type="notContainsBlanks" dxfId="7" priority="80">
      <formula>LEN(TRIM(AO7))&gt;0</formula>
    </cfRule>
    <cfRule type="containsBlanks" dxfId="8" priority="81">
      <formula>LEN(TRIM(AO7))=0</formula>
    </cfRule>
  </conditionalFormatting>
  <conditionalFormatting sqref="AO8:AO2501">
    <cfRule type="expression" dxfId="7" priority="82">
      <formula>AND($AO$7&lt;&gt;"", AO8="")</formula>
    </cfRule>
  </conditionalFormatting>
  <conditionalFormatting sqref="AP7">
    <cfRule type="notContainsBlanks" dxfId="7" priority="83">
      <formula>LEN(TRIM(AP7))&gt;0</formula>
    </cfRule>
    <cfRule type="containsBlanks" dxfId="8" priority="84">
      <formula>LEN(TRIM(AP7))=0</formula>
    </cfRule>
  </conditionalFormatting>
  <conditionalFormatting sqref="AP8:AP2501">
    <cfRule type="expression" dxfId="7" priority="85">
      <formula>AND($AP$7&lt;&gt;"", AP8="")</formula>
    </cfRule>
  </conditionalFormatting>
  <conditionalFormatting sqref="AW7">
    <cfRule type="notContainsBlanks" dxfId="7" priority="86">
      <formula>LEN(TRIM(AW7))&gt;0</formula>
    </cfRule>
    <cfRule type="containsBlanks" dxfId="8" priority="87">
      <formula>LEN(TRIM(AW7))=0</formula>
    </cfRule>
  </conditionalFormatting>
  <conditionalFormatting sqref="AW8:AW2501">
    <cfRule type="expression" dxfId="7" priority="88">
      <formula>AND($AW$7&lt;&gt;"", AW8="")</formula>
    </cfRule>
  </conditionalFormatting>
  <conditionalFormatting sqref="AX7">
    <cfRule type="notContainsBlanks" dxfId="7" priority="89">
      <formula>LEN(TRIM(AX7))&gt;0</formula>
    </cfRule>
    <cfRule type="containsBlanks" dxfId="8" priority="90">
      <formula>LEN(TRIM(AX7))=0</formula>
    </cfRule>
  </conditionalFormatting>
  <conditionalFormatting sqref="AX8:AX2501">
    <cfRule type="expression" dxfId="7" priority="91">
      <formula>AND($AX$7&lt;&gt;"", AX8="")</formula>
    </cfRule>
  </conditionalFormatting>
  <conditionalFormatting sqref="AY7">
    <cfRule type="notContainsBlanks" dxfId="7" priority="92">
      <formula>LEN(TRIM(AY7))&gt;0</formula>
    </cfRule>
    <cfRule type="containsBlanks" dxfId="8" priority="93">
      <formula>LEN(TRIM(AY7))=0</formula>
    </cfRule>
  </conditionalFormatting>
  <conditionalFormatting sqref="AY8:AY2501">
    <cfRule type="expression" dxfId="7" priority="94">
      <formula>AND($AY$7&lt;&gt;"", AY8="")</formula>
    </cfRule>
  </conditionalFormatting>
  <conditionalFormatting sqref="AZ7">
    <cfRule type="notContainsBlanks" dxfId="7" priority="95">
      <formula>LEN(TRIM(AZ7))&gt;0</formula>
    </cfRule>
    <cfRule type="containsBlanks" dxfId="8" priority="96">
      <formula>LEN(TRIM(AZ7))=0</formula>
    </cfRule>
  </conditionalFormatting>
  <conditionalFormatting sqref="AZ8:AZ2501">
    <cfRule type="expression" dxfId="7" priority="97">
      <formula>AND($AZ$7&lt;&gt;"", AZ8="")</formula>
    </cfRule>
  </conditionalFormatting>
  <conditionalFormatting sqref="B8:CO507">
    <cfRule type="expression" dxfId="0" priority="1">
      <formula>'3757 - Wall Stickers-WUO_TRK'!B8="Error"</formula>
    </cfRule>
    <cfRule type="expression" dxfId="1" priority="2">
      <formula>'3757 - Wall Stickers-WUO_TRK'!B8="Required"</formula>
    </cfRule>
    <cfRule type="expression" dxfId="2" priority="3">
      <formula>'3757 - Wall Stickers-WUO_TRK'!B8="Warning"</formula>
    </cfRule>
    <cfRule type="expression" dxfId="3" priority="4">
      <formula>'3757 - Wall Stickers-WUO_TRK'!B8="Disabled"</formula>
    </cfRule>
  </conditionalFormatting>
  <conditionalFormatting sqref="BA7">
    <cfRule type="notContainsBlanks" dxfId="7" priority="98">
      <formula>LEN(TRIM(BA7))&gt;0</formula>
    </cfRule>
    <cfRule type="containsBlanks" dxfId="8" priority="99">
      <formula>LEN(TRIM(BA7))=0</formula>
    </cfRule>
  </conditionalFormatting>
  <conditionalFormatting sqref="BA8:BA2501">
    <cfRule type="expression" dxfId="7" priority="100">
      <formula>AND($BA$7&lt;&gt;"", BA8="")</formula>
    </cfRule>
  </conditionalFormatting>
  <conditionalFormatting sqref="BB7">
    <cfRule type="notContainsBlanks" dxfId="7" priority="101">
      <formula>LEN(TRIM(BB7))&gt;0</formula>
    </cfRule>
    <cfRule type="containsBlanks" dxfId="8" priority="102">
      <formula>LEN(TRIM(BB7))=0</formula>
    </cfRule>
  </conditionalFormatting>
  <conditionalFormatting sqref="BB8:BB2501">
    <cfRule type="expression" dxfId="7" priority="103">
      <formula>AND($BB$7&lt;&gt;"", BB8="")</formula>
    </cfRule>
  </conditionalFormatting>
  <conditionalFormatting sqref="BC7">
    <cfRule type="notContainsBlanks" dxfId="7" priority="104">
      <formula>LEN(TRIM(BC7))&gt;0</formula>
    </cfRule>
    <cfRule type="containsBlanks" dxfId="8" priority="105">
      <formula>LEN(TRIM(BC7))=0</formula>
    </cfRule>
  </conditionalFormatting>
  <conditionalFormatting sqref="BC8:BC2501">
    <cfRule type="expression" dxfId="7" priority="106">
      <formula>AND($BC$7&lt;&gt;"", BC8="")</formula>
    </cfRule>
  </conditionalFormatting>
  <conditionalFormatting sqref="BD7">
    <cfRule type="notContainsBlanks" dxfId="7" priority="107">
      <formula>LEN(TRIM(BD7))&gt;0</formula>
    </cfRule>
    <cfRule type="containsBlanks" dxfId="8" priority="108">
      <formula>LEN(TRIM(BD7))=0</formula>
    </cfRule>
  </conditionalFormatting>
  <conditionalFormatting sqref="BD8:BD2501">
    <cfRule type="expression" dxfId="7" priority="109">
      <formula>AND($BD$7&lt;&gt;"", BD8="")</formula>
    </cfRule>
  </conditionalFormatting>
  <conditionalFormatting sqref="BE7">
    <cfRule type="notContainsBlanks" dxfId="7" priority="110">
      <formula>LEN(TRIM(BE7))&gt;0</formula>
    </cfRule>
    <cfRule type="containsBlanks" dxfId="8" priority="111">
      <formula>LEN(TRIM(BE7))=0</formula>
    </cfRule>
  </conditionalFormatting>
  <conditionalFormatting sqref="BE8:BE2501">
    <cfRule type="expression" dxfId="7" priority="112">
      <formula>AND($BE$7&lt;&gt;"", BE8="")</formula>
    </cfRule>
  </conditionalFormatting>
  <conditionalFormatting sqref="BF7">
    <cfRule type="notContainsBlanks" dxfId="7" priority="113">
      <formula>LEN(TRIM(BF7))&gt;0</formula>
    </cfRule>
    <cfRule type="containsBlanks" dxfId="8" priority="114">
      <formula>LEN(TRIM(BF7))=0</formula>
    </cfRule>
  </conditionalFormatting>
  <conditionalFormatting sqref="BF8:BF2501">
    <cfRule type="expression" dxfId="7" priority="115">
      <formula>AND($BF$7&lt;&gt;"", BF8="")</formula>
    </cfRule>
  </conditionalFormatting>
  <conditionalFormatting sqref="BG7">
    <cfRule type="notContainsBlanks" dxfId="7" priority="116">
      <formula>LEN(TRIM(BG7))&gt;0</formula>
    </cfRule>
    <cfRule type="containsBlanks" dxfId="8" priority="117">
      <formula>LEN(TRIM(BG7))=0</formula>
    </cfRule>
  </conditionalFormatting>
  <conditionalFormatting sqref="BG8:BG2501">
    <cfRule type="expression" dxfId="7" priority="118">
      <formula>AND($BG$7&lt;&gt;"", BG8="")</formula>
    </cfRule>
  </conditionalFormatting>
  <conditionalFormatting sqref="BH7">
    <cfRule type="notContainsBlanks" dxfId="7" priority="119">
      <formula>LEN(TRIM(BH7))&gt;0</formula>
    </cfRule>
    <cfRule type="containsBlanks" dxfId="8" priority="120">
      <formula>LEN(TRIM(BH7))=0</formula>
    </cfRule>
  </conditionalFormatting>
  <conditionalFormatting sqref="BH8:BH2501">
    <cfRule type="expression" dxfId="7" priority="121">
      <formula>AND($BH$7&lt;&gt;"", BH8="")</formula>
    </cfRule>
  </conditionalFormatting>
  <conditionalFormatting sqref="BI7">
    <cfRule type="notContainsBlanks" dxfId="7" priority="122">
      <formula>LEN(TRIM(BI7))&gt;0</formula>
    </cfRule>
    <cfRule type="containsBlanks" dxfId="8" priority="123">
      <formula>LEN(TRIM(BI7))=0</formula>
    </cfRule>
  </conditionalFormatting>
  <conditionalFormatting sqref="BI8:BI2501">
    <cfRule type="expression" dxfId="7" priority="124">
      <formula>AND($BI$7&lt;&gt;"", BI8="")</formula>
    </cfRule>
  </conditionalFormatting>
  <conditionalFormatting sqref="BJ7">
    <cfRule type="notContainsBlanks" dxfId="7" priority="125">
      <formula>LEN(TRIM(BJ7))&gt;0</formula>
    </cfRule>
    <cfRule type="containsBlanks" dxfId="8" priority="126">
      <formula>LEN(TRIM(BJ7))=0</formula>
    </cfRule>
  </conditionalFormatting>
  <conditionalFormatting sqref="BJ8:BJ2501">
    <cfRule type="expression" dxfId="7" priority="127">
      <formula>AND($BJ$7&lt;&gt;"", BJ8="")</formula>
    </cfRule>
  </conditionalFormatting>
  <conditionalFormatting sqref="BK7">
    <cfRule type="notContainsBlanks" dxfId="7" priority="128">
      <formula>LEN(TRIM(BK7))&gt;0</formula>
    </cfRule>
    <cfRule type="containsBlanks" dxfId="8" priority="129">
      <formula>LEN(TRIM(BK7))=0</formula>
    </cfRule>
  </conditionalFormatting>
  <conditionalFormatting sqref="BK8:BK2501">
    <cfRule type="expression" dxfId="7" priority="130">
      <formula>AND($BK$7&lt;&gt;"", BK8="")</formula>
    </cfRule>
  </conditionalFormatting>
  <conditionalFormatting sqref="BL7">
    <cfRule type="notContainsBlanks" dxfId="7" priority="131">
      <formula>LEN(TRIM(BL7))&gt;0</formula>
    </cfRule>
    <cfRule type="containsBlanks" dxfId="8" priority="132">
      <formula>LEN(TRIM(BL7))=0</formula>
    </cfRule>
  </conditionalFormatting>
  <conditionalFormatting sqref="BL8:BL2501">
    <cfRule type="expression" dxfId="7" priority="133">
      <formula>AND($BL$7&lt;&gt;"", BL8="")</formula>
    </cfRule>
  </conditionalFormatting>
  <conditionalFormatting sqref="BM7">
    <cfRule type="notContainsBlanks" dxfId="7" priority="134">
      <formula>LEN(TRIM(BM7))&gt;0</formula>
    </cfRule>
    <cfRule type="containsBlanks" dxfId="8" priority="135">
      <formula>LEN(TRIM(BM7))=0</formula>
    </cfRule>
  </conditionalFormatting>
  <conditionalFormatting sqref="BM8:BM2501">
    <cfRule type="expression" dxfId="7" priority="136">
      <formula>AND($BM$7&lt;&gt;"", BM8="")</formula>
    </cfRule>
  </conditionalFormatting>
  <conditionalFormatting sqref="BN7">
    <cfRule type="notContainsBlanks" dxfId="7" priority="137">
      <formula>LEN(TRIM(BN7))&gt;0</formula>
    </cfRule>
    <cfRule type="containsBlanks" dxfId="8" priority="138">
      <formula>LEN(TRIM(BN7))=0</formula>
    </cfRule>
  </conditionalFormatting>
  <conditionalFormatting sqref="BN8:BN2501">
    <cfRule type="expression" dxfId="7" priority="139">
      <formula>AND($BN$7&lt;&gt;"", BN8="")</formula>
    </cfRule>
  </conditionalFormatting>
  <conditionalFormatting sqref="BO7">
    <cfRule type="notContainsBlanks" dxfId="7" priority="140">
      <formula>LEN(TRIM(BO7))&gt;0</formula>
    </cfRule>
    <cfRule type="containsBlanks" dxfId="8" priority="141">
      <formula>LEN(TRIM(BO7))=0</formula>
    </cfRule>
  </conditionalFormatting>
  <conditionalFormatting sqref="BO8:BO2501">
    <cfRule type="expression" dxfId="7" priority="142">
      <formula>AND($BO$7&lt;&gt;"", BO8="")</formula>
    </cfRule>
  </conditionalFormatting>
  <conditionalFormatting sqref="BP7">
    <cfRule type="notContainsBlanks" dxfId="7" priority="143">
      <formula>LEN(TRIM(BP7))&gt;0</formula>
    </cfRule>
    <cfRule type="containsBlanks" dxfId="8" priority="144">
      <formula>LEN(TRIM(BP7))=0</formula>
    </cfRule>
  </conditionalFormatting>
  <conditionalFormatting sqref="BP8:BP2501">
    <cfRule type="expression" dxfId="7" priority="145">
      <formula>AND($BP$7&lt;&gt;"", BP8="")</formula>
    </cfRule>
  </conditionalFormatting>
  <conditionalFormatting sqref="BQ7">
    <cfRule type="notContainsBlanks" dxfId="7" priority="146">
      <formula>LEN(TRIM(BQ7))&gt;0</formula>
    </cfRule>
    <cfRule type="containsBlanks" dxfId="8" priority="147">
      <formula>LEN(TRIM(BQ7))=0</formula>
    </cfRule>
  </conditionalFormatting>
  <conditionalFormatting sqref="BQ8:BQ2501">
    <cfRule type="expression" dxfId="7" priority="148">
      <formula>AND($BQ$7&lt;&gt;"", BQ8="")</formula>
    </cfRule>
  </conditionalFormatting>
  <conditionalFormatting sqref="BR7">
    <cfRule type="notContainsBlanks" dxfId="7" priority="149">
      <formula>LEN(TRIM(BR7))&gt;0</formula>
    </cfRule>
    <cfRule type="containsBlanks" dxfId="8" priority="150">
      <formula>LEN(TRIM(BR7))=0</formula>
    </cfRule>
  </conditionalFormatting>
  <conditionalFormatting sqref="BR8:BR2501">
    <cfRule type="expression" dxfId="7" priority="151">
      <formula>AND($BR$7&lt;&gt;"", BR8="")</formula>
    </cfRule>
  </conditionalFormatting>
  <conditionalFormatting sqref="BS7">
    <cfRule type="notContainsBlanks" dxfId="7" priority="152">
      <formula>LEN(TRIM(BS7))&gt;0</formula>
    </cfRule>
    <cfRule type="containsBlanks" dxfId="8" priority="153">
      <formula>LEN(TRIM(BS7))=0</formula>
    </cfRule>
  </conditionalFormatting>
  <conditionalFormatting sqref="BS8:BS2501">
    <cfRule type="expression" dxfId="7" priority="154">
      <formula>AND($BS$7&lt;&gt;"", BS8="")</formula>
    </cfRule>
  </conditionalFormatting>
  <conditionalFormatting sqref="BT7">
    <cfRule type="notContainsBlanks" dxfId="7" priority="155">
      <formula>LEN(TRIM(BT7))&gt;0</formula>
    </cfRule>
    <cfRule type="containsBlanks" dxfId="8" priority="156">
      <formula>LEN(TRIM(BT7))=0</formula>
    </cfRule>
  </conditionalFormatting>
  <conditionalFormatting sqref="BT8:BT2501">
    <cfRule type="expression" dxfId="7" priority="157">
      <formula>AND($BT$7&lt;&gt;"", BT8="")</formula>
    </cfRule>
  </conditionalFormatting>
  <conditionalFormatting sqref="BU7">
    <cfRule type="notContainsBlanks" dxfId="7" priority="158">
      <formula>LEN(TRIM(BU7))&gt;0</formula>
    </cfRule>
    <cfRule type="containsBlanks" dxfId="8" priority="159">
      <formula>LEN(TRIM(BU7))=0</formula>
    </cfRule>
  </conditionalFormatting>
  <conditionalFormatting sqref="BU8:BU2501">
    <cfRule type="expression" dxfId="7" priority="160">
      <formula>AND($BU$7&lt;&gt;"", BU8="")</formula>
    </cfRule>
  </conditionalFormatting>
  <conditionalFormatting sqref="BV7">
    <cfRule type="notContainsBlanks" dxfId="7" priority="161">
      <formula>LEN(TRIM(BV7))&gt;0</formula>
    </cfRule>
    <cfRule type="containsBlanks" dxfId="8" priority="162">
      <formula>LEN(TRIM(BV7))=0</formula>
    </cfRule>
  </conditionalFormatting>
  <conditionalFormatting sqref="BV8:BV2501">
    <cfRule type="expression" dxfId="7" priority="163">
      <formula>AND($BV$7&lt;&gt;"", BV8="")</formula>
    </cfRule>
  </conditionalFormatting>
  <conditionalFormatting sqref="BW7">
    <cfRule type="notContainsBlanks" dxfId="7" priority="164">
      <formula>LEN(TRIM(BW7))&gt;0</formula>
    </cfRule>
    <cfRule type="containsBlanks" dxfId="8" priority="165">
      <formula>LEN(TRIM(BW7))=0</formula>
    </cfRule>
  </conditionalFormatting>
  <conditionalFormatting sqref="BW8:BW2501">
    <cfRule type="expression" dxfId="7" priority="166">
      <formula>AND($BW$7&lt;&gt;"", BW8="")</formula>
    </cfRule>
  </conditionalFormatting>
  <conditionalFormatting sqref="BX7">
    <cfRule type="notContainsBlanks" dxfId="7" priority="167">
      <formula>LEN(TRIM(BX7))&gt;0</formula>
    </cfRule>
    <cfRule type="containsBlanks" dxfId="8" priority="168">
      <formula>LEN(TRIM(BX7))=0</formula>
    </cfRule>
  </conditionalFormatting>
  <conditionalFormatting sqref="BX8:BX2501">
    <cfRule type="expression" dxfId="7" priority="169">
      <formula>AND($BX$7&lt;&gt;"", BX8="")</formula>
    </cfRule>
  </conditionalFormatting>
  <conditionalFormatting sqref="BY7">
    <cfRule type="notContainsBlanks" dxfId="7" priority="170">
      <formula>LEN(TRIM(BY7))&gt;0</formula>
    </cfRule>
    <cfRule type="containsBlanks" dxfId="8" priority="171">
      <formula>LEN(TRIM(BY7))=0</formula>
    </cfRule>
  </conditionalFormatting>
  <conditionalFormatting sqref="BY8:BY2501">
    <cfRule type="expression" dxfId="7" priority="172">
      <formula>AND($BY$7&lt;&gt;"", BY8="")</formula>
    </cfRule>
  </conditionalFormatting>
  <conditionalFormatting sqref="BZ7">
    <cfRule type="notContainsBlanks" dxfId="7" priority="173">
      <formula>LEN(TRIM(BZ7))&gt;0</formula>
    </cfRule>
    <cfRule type="containsBlanks" dxfId="8" priority="174">
      <formula>LEN(TRIM(BZ7))=0</formula>
    </cfRule>
  </conditionalFormatting>
  <conditionalFormatting sqref="BZ8:BZ2501">
    <cfRule type="expression" dxfId="7" priority="175">
      <formula>AND($BZ$7&lt;&gt;"", BZ8="")</formula>
    </cfRule>
  </conditionalFormatting>
  <conditionalFormatting sqref="CA7">
    <cfRule type="notContainsBlanks" dxfId="7" priority="176">
      <formula>LEN(TRIM(CA7))&gt;0</formula>
    </cfRule>
    <cfRule type="containsBlanks" dxfId="8" priority="177">
      <formula>LEN(TRIM(CA7))=0</formula>
    </cfRule>
  </conditionalFormatting>
  <conditionalFormatting sqref="CA8:CA2501">
    <cfRule type="expression" dxfId="7" priority="178">
      <formula>AND($CA$7&lt;&gt;"", CA8="")</formula>
    </cfRule>
  </conditionalFormatting>
  <conditionalFormatting sqref="CB7">
    <cfRule type="notContainsBlanks" dxfId="7" priority="179">
      <formula>LEN(TRIM(CB7))&gt;0</formula>
    </cfRule>
    <cfRule type="containsBlanks" dxfId="8" priority="180">
      <formula>LEN(TRIM(CB7))=0</formula>
    </cfRule>
  </conditionalFormatting>
  <conditionalFormatting sqref="CB8:CB2501">
    <cfRule type="expression" dxfId="7" priority="181">
      <formula>AND($CB$7&lt;&gt;"", CB8="")</formula>
    </cfRule>
  </conditionalFormatting>
  <conditionalFormatting sqref="CC7">
    <cfRule type="notContainsBlanks" dxfId="7" priority="182">
      <formula>LEN(TRIM(CC7))&gt;0</formula>
    </cfRule>
    <cfRule type="containsBlanks" dxfId="8" priority="183">
      <formula>LEN(TRIM(CC7))=0</formula>
    </cfRule>
  </conditionalFormatting>
  <conditionalFormatting sqref="CC8:CC2501">
    <cfRule type="expression" dxfId="7" priority="184">
      <formula>AND($CC$7&lt;&gt;"", CC8="")</formula>
    </cfRule>
  </conditionalFormatting>
  <conditionalFormatting sqref="CD7">
    <cfRule type="notContainsBlanks" dxfId="7" priority="185">
      <formula>LEN(TRIM(CD7))&gt;0</formula>
    </cfRule>
    <cfRule type="containsBlanks" dxfId="8" priority="186">
      <formula>LEN(TRIM(CD7))=0</formula>
    </cfRule>
  </conditionalFormatting>
  <conditionalFormatting sqref="CD8:CD2501">
    <cfRule type="expression" dxfId="7" priority="187">
      <formula>AND($CD$7&lt;&gt;"", CD8="")</formula>
    </cfRule>
  </conditionalFormatting>
  <conditionalFormatting sqref="CE7">
    <cfRule type="notContainsBlanks" dxfId="7" priority="188">
      <formula>LEN(TRIM(CE7))&gt;0</formula>
    </cfRule>
    <cfRule type="containsBlanks" dxfId="8" priority="189">
      <formula>LEN(TRIM(CE7))=0</formula>
    </cfRule>
  </conditionalFormatting>
  <conditionalFormatting sqref="CE8:CE2501">
    <cfRule type="expression" dxfId="7" priority="190">
      <formula>AND($CE$7&lt;&gt;"", CE8="")</formula>
    </cfRule>
  </conditionalFormatting>
  <conditionalFormatting sqref="CF7">
    <cfRule type="notContainsBlanks" dxfId="7" priority="191">
      <formula>LEN(TRIM(CF7))&gt;0</formula>
    </cfRule>
    <cfRule type="containsBlanks" dxfId="8" priority="192">
      <formula>LEN(TRIM(CF7))=0</formula>
    </cfRule>
  </conditionalFormatting>
  <conditionalFormatting sqref="CF8:CF2501">
    <cfRule type="expression" dxfId="7" priority="193">
      <formula>AND($CF$7&lt;&gt;"", CF8="")</formula>
    </cfRule>
  </conditionalFormatting>
  <conditionalFormatting sqref="CG7">
    <cfRule type="notContainsBlanks" dxfId="7" priority="194">
      <formula>LEN(TRIM(CG7))&gt;0</formula>
    </cfRule>
    <cfRule type="containsBlanks" dxfId="8" priority="195">
      <formula>LEN(TRIM(CG7))=0</formula>
    </cfRule>
  </conditionalFormatting>
  <conditionalFormatting sqref="CG8:CG2501">
    <cfRule type="expression" dxfId="7" priority="196">
      <formula>AND($CG$7&lt;&gt;"", CG8="")</formula>
    </cfRule>
  </conditionalFormatting>
  <conditionalFormatting sqref="CH7">
    <cfRule type="notContainsBlanks" dxfId="7" priority="197">
      <formula>LEN(TRIM(CH7))&gt;0</formula>
    </cfRule>
    <cfRule type="containsBlanks" dxfId="8" priority="198">
      <formula>LEN(TRIM(CH7))=0</formula>
    </cfRule>
  </conditionalFormatting>
  <conditionalFormatting sqref="CH8:CH2501">
    <cfRule type="expression" dxfId="7" priority="199">
      <formula>AND($CH$7&lt;&gt;"", CH8="")</formula>
    </cfRule>
  </conditionalFormatting>
  <conditionalFormatting sqref="CI7">
    <cfRule type="notContainsBlanks" dxfId="7" priority="200">
      <formula>LEN(TRIM(CI7))&gt;0</formula>
    </cfRule>
    <cfRule type="containsBlanks" dxfId="8" priority="201">
      <formula>LEN(TRIM(CI7))=0</formula>
    </cfRule>
  </conditionalFormatting>
  <conditionalFormatting sqref="CI8:CI2501">
    <cfRule type="expression" dxfId="7" priority="202">
      <formula>AND($CI$7&lt;&gt;"", CI8="")</formula>
    </cfRule>
  </conditionalFormatting>
  <conditionalFormatting sqref="CJ7">
    <cfRule type="notContainsBlanks" dxfId="7" priority="203">
      <formula>LEN(TRIM(CJ7))&gt;0</formula>
    </cfRule>
    <cfRule type="containsBlanks" dxfId="8" priority="204">
      <formula>LEN(TRIM(CJ7))=0</formula>
    </cfRule>
  </conditionalFormatting>
  <conditionalFormatting sqref="CJ8:CJ2501">
    <cfRule type="expression" dxfId="7" priority="205">
      <formula>AND($CJ$7&lt;&gt;"", CJ8="")</formula>
    </cfRule>
  </conditionalFormatting>
  <conditionalFormatting sqref="CK7">
    <cfRule type="notContainsBlanks" dxfId="7" priority="206">
      <formula>LEN(TRIM(CK7))&gt;0</formula>
    </cfRule>
    <cfRule type="containsBlanks" dxfId="8" priority="207">
      <formula>LEN(TRIM(CK7))=0</formula>
    </cfRule>
  </conditionalFormatting>
  <conditionalFormatting sqref="CK8:CK2501">
    <cfRule type="expression" dxfId="7" priority="208">
      <formula>AND($CK$7&lt;&gt;"", CK8="")</formula>
    </cfRule>
  </conditionalFormatting>
  <conditionalFormatting sqref="CL7">
    <cfRule type="notContainsBlanks" dxfId="7" priority="209">
      <formula>LEN(TRIM(CL7))&gt;0</formula>
    </cfRule>
    <cfRule type="containsBlanks" dxfId="8" priority="210">
      <formula>LEN(TRIM(CL7))=0</formula>
    </cfRule>
  </conditionalFormatting>
  <conditionalFormatting sqref="CL8:CL2501">
    <cfRule type="expression" dxfId="7" priority="211">
      <formula>AND($CL$7&lt;&gt;"", CL8="")</formula>
    </cfRule>
  </conditionalFormatting>
  <conditionalFormatting sqref="CM7">
    <cfRule type="notContainsBlanks" dxfId="7" priority="212">
      <formula>LEN(TRIM(CM7))&gt;0</formula>
    </cfRule>
    <cfRule type="containsBlanks" dxfId="8" priority="213">
      <formula>LEN(TRIM(CM7))=0</formula>
    </cfRule>
  </conditionalFormatting>
  <conditionalFormatting sqref="CM8:CM2501">
    <cfRule type="expression" dxfId="7" priority="214">
      <formula>AND($CM$7&lt;&gt;"", CM8="")</formula>
    </cfRule>
  </conditionalFormatting>
  <conditionalFormatting sqref="CN7">
    <cfRule type="notContainsBlanks" dxfId="7" priority="215">
      <formula>LEN(TRIM(CN7))&gt;0</formula>
    </cfRule>
    <cfRule type="containsBlanks" dxfId="8" priority="216">
      <formula>LEN(TRIM(CN7))=0</formula>
    </cfRule>
  </conditionalFormatting>
  <conditionalFormatting sqref="CN8:CN2501">
    <cfRule type="expression" dxfId="7" priority="217">
      <formula>AND($CN$7&lt;&gt;"", CN8="")</formula>
    </cfRule>
  </conditionalFormatting>
  <conditionalFormatting sqref="D7">
    <cfRule type="notContainsBlanks" dxfId="7" priority="8">
      <formula>LEN(TRIM(D7))&gt;0</formula>
    </cfRule>
    <cfRule type="containsBlanks" dxfId="8" priority="9">
      <formula>LEN(TRIM(D7))=0</formula>
    </cfRule>
  </conditionalFormatting>
  <conditionalFormatting sqref="D8:D2501">
    <cfRule type="expression" dxfId="7" priority="10">
      <formula>AND($D$7&lt;&gt;"", D8="")</formula>
    </cfRule>
  </conditionalFormatting>
  <conditionalFormatting sqref="H7">
    <cfRule type="notContainsBlanks" dxfId="7" priority="11">
      <formula>LEN(TRIM(H7))&gt;0</formula>
    </cfRule>
    <cfRule type="containsBlanks" dxfId="8" priority="12">
      <formula>LEN(TRIM(H7))=0</formula>
    </cfRule>
  </conditionalFormatting>
  <conditionalFormatting sqref="H8:H2501">
    <cfRule type="expression" dxfId="7" priority="13">
      <formula>AND($H$7&lt;&gt;"", H8="")</formula>
    </cfRule>
  </conditionalFormatting>
  <conditionalFormatting sqref="S7">
    <cfRule type="notContainsBlanks" dxfId="7" priority="14">
      <formula>LEN(TRIM(S7))&gt;0</formula>
    </cfRule>
    <cfRule type="containsBlanks" dxfId="8" priority="15">
      <formula>LEN(TRIM(S7))=0</formula>
    </cfRule>
  </conditionalFormatting>
  <conditionalFormatting sqref="S8:S2501">
    <cfRule type="expression" dxfId="7" priority="16">
      <formula>AND($S$7&lt;&gt;"", S8="")</formula>
    </cfRule>
  </conditionalFormatting>
  <conditionalFormatting sqref="T7">
    <cfRule type="notContainsBlanks" dxfId="7" priority="17">
      <formula>LEN(TRIM(T7))&gt;0</formula>
    </cfRule>
    <cfRule type="containsBlanks" dxfId="8" priority="18">
      <formula>LEN(TRIM(T7))=0</formula>
    </cfRule>
  </conditionalFormatting>
  <conditionalFormatting sqref="T8:T2501">
    <cfRule type="expression" dxfId="7" priority="19">
      <formula>AND($T$7&lt;&gt;"", T8="")</formula>
    </cfRule>
  </conditionalFormatting>
  <conditionalFormatting sqref="U7">
    <cfRule type="notContainsBlanks" dxfId="7" priority="20">
      <formula>LEN(TRIM(U7))&gt;0</formula>
    </cfRule>
    <cfRule type="containsBlanks" dxfId="8" priority="21">
      <formula>LEN(TRIM(U7))=0</formula>
    </cfRule>
  </conditionalFormatting>
  <conditionalFormatting sqref="U8:U2501">
    <cfRule type="expression" dxfId="7" priority="22">
      <formula>AND($U$7&lt;&gt;"", U8="")</formula>
    </cfRule>
  </conditionalFormatting>
  <conditionalFormatting sqref="V7">
    <cfRule type="notContainsBlanks" dxfId="7" priority="23">
      <formula>LEN(TRIM(V7))&gt;0</formula>
    </cfRule>
    <cfRule type="containsBlanks" dxfId="8" priority="24">
      <formula>LEN(TRIM(V7))=0</formula>
    </cfRule>
  </conditionalFormatting>
  <conditionalFormatting sqref="V8:V2501">
    <cfRule type="expression" dxfId="7" priority="25">
      <formula>AND($V$7&lt;&gt;"", V8="")</formula>
    </cfRule>
  </conditionalFormatting>
  <conditionalFormatting sqref="W7">
    <cfRule type="notContainsBlanks" dxfId="7" priority="26">
      <formula>LEN(TRIM(W7))&gt;0</formula>
    </cfRule>
    <cfRule type="containsBlanks" dxfId="8" priority="27">
      <formula>LEN(TRIM(W7))=0</formula>
    </cfRule>
  </conditionalFormatting>
  <conditionalFormatting sqref="W8:W2501">
    <cfRule type="expression" dxfId="7" priority="28">
      <formula>AND($W$7&lt;&gt;"", W8="")</formula>
    </cfRule>
  </conditionalFormatting>
  <conditionalFormatting sqref="X7">
    <cfRule type="notContainsBlanks" dxfId="7" priority="29">
      <formula>LEN(TRIM(X7))&gt;0</formula>
    </cfRule>
    <cfRule type="containsBlanks" dxfId="8" priority="30">
      <formula>LEN(TRIM(X7))=0</formula>
    </cfRule>
  </conditionalFormatting>
  <conditionalFormatting sqref="X8:X2501">
    <cfRule type="expression" dxfId="7" priority="31">
      <formula>AND($X$7&lt;&gt;"", X8="")</formula>
    </cfRule>
  </conditionalFormatting>
  <conditionalFormatting sqref="Y7">
    <cfRule type="notContainsBlanks" dxfId="7" priority="32">
      <formula>LEN(TRIM(Y7))&gt;0</formula>
    </cfRule>
    <cfRule type="containsBlanks" dxfId="8" priority="33">
      <formula>LEN(TRIM(Y7))=0</formula>
    </cfRule>
  </conditionalFormatting>
  <conditionalFormatting sqref="Y8:Y2501">
    <cfRule type="expression" dxfId="7" priority="34">
      <formula>AND($Y$7&lt;&gt;"", Y8="")</formula>
    </cfRule>
  </conditionalFormatting>
  <conditionalFormatting sqref="Z7">
    <cfRule type="notContainsBlanks" dxfId="7" priority="35">
      <formula>LEN(TRIM(Z7))&gt;0</formula>
    </cfRule>
    <cfRule type="containsBlanks" dxfId="8" priority="36">
      <formula>LEN(TRIM(Z7))=0</formula>
    </cfRule>
  </conditionalFormatting>
  <conditionalFormatting sqref="Z8:Z2501">
    <cfRule type="expression" dxfId="7" priority="37">
      <formula>AND($Z$7&lt;&gt;"", Z8="")</formula>
    </cfRule>
  </conditionalFormatting>
  <dataValidations count="143">
    <dataValidation type="custom" allowBlank="1" showInputMessage="1" showErrorMessage="1" errorTitle="Duplicate supplier part number" error="The providedsupplier part number is invalid due to having a duplicate value provided elsewhere in the sheet. Please provide a unique value here or remove the original value from the sheet." promptTitle="Supplier Part Number" prompt="Please enter Text" sqref="B8:B2500">
      <formula1>AND(LEN(B8)&lt;32767, IF(B8&lt;&gt;"",COUNTIF($B$8:$B$2500,B8)=1,""))</formula1>
    </dataValidation>
    <dataValidation type="textLength" operator="lessThanOrEqual" errorStyle="warning" showInputMessage="1" showErrorMessage="1" errorTitle="Invalid Text" error="The value provided is not a valid Text." promptTitle="Amazon Seller SKU" prompt="Please enter Text" sqref="C8:C2500">
      <formula1>32767</formula1>
    </dataValidation>
    <dataValidation type="list" allowBlank="1" showInputMessage="1" showErrorMessage="1" errorTitle="Invalid Brand" error="The value provided is not a valid Brand." promptTitle="Brand" prompt="Please select a valid Brand" sqref="D8:D2500">
      <formula1>'WAYFAIR_USE_ONLY'!$M$7:$M8</formula1>
    </dataValidation>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custom" allowBlank="1" showInputMessage="1" showErrorMessage="1" errorTitle="Duplicate manufacturer part numb" error="The providedmanufacturer part number is invalid due to having a duplicate value provided elsewhere in the sheet. Please provide a unique value here or remove the original value from the sheet." promptTitle="Manufacturer Part Number" prompt="Please enter Text" sqref="E8:E2500">
      <formula1>AND(LEN(E8)&lt;32767, IF(E8&lt;&gt;"",COUNTIF($E$8:$E$2500,E8)=1,""))</formula1>
    </dataValidation>
    <dataValidation type="custom" allowBlank="1" showInputMessage="1" showErrorMessage="1" errorTitle="Duplicate universal product code" error="The provideduniversal product code is invalid due to having a duplicate value provided elsewhere in the sheet. Please provide a unique value here or remove the original value from the sheet." promptTitle="Universal Product Code" prompt="Please enter Text" sqref="F8:F2500">
      <formula1>AND(LEN(F8)&lt;32767, IF(F8&lt;&gt;"",COUNTIF($F$8:$F$2500,F8)=1,""))</formula1>
    </dataValidation>
    <dataValidation type="textLength" operator="lessThanOrEqual" errorStyle="warning" showInputMessage="1" showErrorMessage="1" errorTitle="Invalid Text" error="The value provided is not a valid Text." promptTitle="Product Name" prompt="Please enter Text" sqref="G8:G2500">
      <formula1>32767</formula1>
    </dataValidation>
    <dataValidation type="textLength" operator="lessThanOrEqual" errorStyle="warning" showInputMessage="1" showErrorMessage="1" errorTitle="Invalid Text" error="The value provided is not a valid Text." promptTitle="Collection Name" prompt="Please enter Text" sqref="H8:H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Text" error="The value provided is not a valid Text." promptTitle="Manufacturer Product URL" prompt="Please enter Text" sqref="I8:I2500">
      <formula1>32767</formula1>
    </dataValidation>
    <dataValidation type="list" allowBlank="1" showInputMessage="1" showErrorMessage="1" errorTitle="Invalid Variant Type" error="The value provided is not a valid Variant Type." promptTitle="Variant Type" prompt="Please select a valid Variant Type" sqref="J8:J2500">
      <formula1>'WAYFAIR_USE_ONLY'!$W$7:$W10</formula1>
    </dataValidation>
    <dataValidation type="textLength" operator="lessThanOrEqual" errorStyle="warning" showInputMessage="1" showErrorMessage="1" errorTitle="Invalid Text" error="The value provided is not a valid Text." promptTitle="Group Reference ID" prompt="Please enter Text" sqref="K8:K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L8:L2500">
      <formula1>'WAYFAIR_USE_ONLY'!$AM$7:$AM9</formula1>
    </dataValidation>
    <dataValidation type="textLength" operator="lessThanOrEqual" errorStyle="warning" showInputMessage="1" showErrorMessage="1" errorTitle="Invalid Text" error="The value provided is not a valid Text." promptTitle="Variant Attribute Name On Site" prompt="Please enter Text" sqref="M8:M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N8:N2500">
      <formula1>'WAYFAIR_USE_ONLY'!$AM$7:$AM9</formula1>
    </dataValidation>
    <dataValidation type="textLength" operator="lessThanOrEqual" errorStyle="warning" showInputMessage="1" showErrorMessage="1" errorTitle="Invalid Text" error="The value provided is not a valid Text." promptTitle="Variant Attribute Name On Site" prompt="Please enter Text" sqref="O8:O2500">
      <formula1>32767</formula1>
    </dataValidation>
    <dataValidation type="list" errorStyle="warning" allowBlank="1" showInputMessage="1" showErrorMessage="1" errorTitle="Invalid Variant Grouping" error="The value provided is not a valid Variant Grouping. Would you like to provide a custom answer?" promptTitle="Variant Grouping" prompt="Please select a valid Variant Grouping" sqref="P8:P2500">
      <formula1>'WAYFAIR_USE_ONLY'!$AM$7:$AM9</formula1>
    </dataValidation>
    <dataValidation type="textLength" operator="lessThanOrEqual" errorStyle="warning" showInputMessage="1" showErrorMessage="1" errorTitle="Invalid Text" error="The value provided is not a valid Text." promptTitle="Variant Attribute Name On Site" prompt="Please enter Text" sqref="Q8:Q2500">
      <formula1>32767</formula1>
    </dataValidation>
    <dataValidation type="textLength" operator="lessThanOrEqual" errorStyle="warning" showInputMessage="1" showErrorMessage="1" errorTitle="Invalid Number" error="The value provided is not a valid Number." promptTitle="Base Cost" prompt="Please enter Number" sqref="R8:R2500">
      <formula1>32767</formula1>
    </dataValidation>
    <dataValidation type="textLength" operator="lessThanOrEqual" errorStyle="warning" showInputMessage="1" showErrorMessage="1" errorTitle="Invalid Number" error="The value provided is not a valid Number." promptTitle="Minimum Advertised Price" prompt="Please enter Number" sqref="S8:S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Manufacturer Suggested Retail Pr" prompt="Please enter Number" sqref="T8:T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Everyday B2B Discount Rate" prompt="Please enter Number" sqref="U8:U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Marketing Copy" prompt="Please enter Text" sqref="V8:V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Feature Bullet" prompt="Please enter Text" sqref="W8: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Feature Bullet" prompt="Please enter Text" sqref="X8:X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Feature Bullet" prompt="Please enter Text" sqref="Y8:Y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Feature Bullet" prompt="Please enter Text" sqref="Z8:Z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Feature Bullet" prompt="Please enter Text" sqref="AA8:A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Minimum Order Quantity" prompt="Please enter Whole Number" sqref="AB8:AB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Force Quantity Multiplier" prompt="Please enter Whole Number" sqref="AC8:AC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Display Set Quantity" prompt="Please enter Whole Number" sqref="AD8:AD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Product Weight" prompt="Please enter Number" sqref="AE8:AE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Ship Type" prompt="Please select a valid Ship Type" sqref="AF8:AF2500">
      <formula1>'WAYFAIR_USE_ONLY'!$Q$7:$Q9</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Freight Class" prompt="Please select a valid Freight Class" sqref="AG8:AG2500">
      <formula1>'WAYFAIR_USE_ONLY'!$R$7:$R25</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Lead Time" prompt="Please select a valid Lead Time" sqref="AH8:AH2500">
      <formula1>'WAYFAIR_USE_ONLY'!$S$7:$S24</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Replacement Lead Time" prompt="Please select a valid Replacement Lead Time" sqref="AI8:AI2500">
      <formula1>'WAYFAIR_USE_ONLY'!$T$7:$T13</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National Motor Freight Class" prompt="Please enter Text" sqref="AJ8:AJ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Flat Pack" prompt="Please select a valid Flat Pack" sqref="AK8:AK2500">
      <formula1>'WAYFAIR_USE_ONLY'!$U$7:$U9</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Ship Palletized" prompt="Please select a valid Ship Palletized" sqref="AL8:AL2500">
      <formula1>'WAYFAIR_USE_ONLY'!$V$7:$V9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Carton Weight" prompt="Please enter Number" sqref="AM8:AM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Carton Height" prompt="Please enter Number" sqref="AN8:AN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Carton Width" prompt="Please enter Number" sqref="AO8:AO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Carton Depth" prompt="Please enter Number" sqref="AP8:AP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Image File Name or URL" prompt="Please enter Text" sqref="AQ8:AQ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R8:AR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S8:AS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T8:AT2500">
      <formula1>32767</formula1>
    </dataValidation>
    <dataValidation type="textLength" operator="lessThanOrEqual" errorStyle="warning" showInputMessage="1" showErrorMessage="1" errorTitle="Invalid Text" error="The value provided is not a valid Text." promptTitle="Image File Name or URL" prompt="Please enter Text" sqref="AU8:AU2500">
      <formula1>32767</formula1>
    </dataValidation>
    <dataValidation type="textLength" operator="lessThanOrEqual" errorStyle="warning" showInputMessage="1" showErrorMessage="1" errorTitle="Invalid Text" error="The value provided is not a valid Text." promptTitle="Video File Name or URL" prompt="Please enter Text" sqref="AV8:AV2500">
      <formula1>32767</formula1>
    </dataValidation>
    <dataValidation type="textLength" operator="lessThanOrEqual" errorStyle="warning" showInputMessage="1" showErrorMessage="1" errorTitle="Invalid Text" error="The value provided is not a valid Text." promptTitle="Document File Name or URL" prompt="Please enter Text" sqref="AW8:AW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Document Region" prompt="Please select a valid Document Region" sqref="AZ8:AZ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Document File Name or URL" prompt="Please enter Text" sqref="BA8:BA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Document Region" prompt="Please select a valid Document Region" sqref="BD8:BD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Document File Name or URL" prompt="Please enter Text" sqref="BE8:BE2500">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Document Region" prompt="Please select a valid Document Region" sqref="BH8:BH2500">
      <formula1>'WAYFAIR_USE_ONLY'!$N$7:$N11</formula1>
    </dataValidation>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Product Type" prompt="Please select a valid Product Type" sqref="BI8:BI2500">
      <formula1>'WAYFAIR_USE_ONLY'!$Y$7:$Y20</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Surface Type" prompt="Please select a valid Surface Type" sqref="BK8:BK2500">
      <formula1>'WAYFAIR_USE_ONLY'!$Z$7:$Z17</formula1>
    </dataValidation>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Personalization or Monogramming" prompt="Please select a valid Personalization or Monogramming" sqref="BN8:BN2500">
      <formula1>'WAYFAIR_USE_ONLY'!$AA$7:$AA11</formula1>
    </dataValidation>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Country of Origin" error="The value provided is not a valid Country of Origin." promptTitle="Country of Origin" prompt="Please select a valid Country of Origin" sqref="BP8:BP2500">
      <formula1>'WAYFAIR_USE_ONLY'!$AB$7:$AB254</formula1>
    </dataValidation>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P7">
      <formula1>'WAYFAIR_USE_ONLY'!$AB$7:$AB254</formula1>
    </dataValidation>
    <dataValidation type="list" allowBlank="1" showInputMessage="1" showErrorMessage="1" errorTitle="Invalid Holiday / Occasion" error="The value provided is not a valid Holiday / Occasion." promptTitle="Holiday / Occasion" prompt="Please select a valid Holiday / Occasion" sqref="BQ8:BQ2500">
      <formula1>'WAYFAIR_USE_ONLY'!$AC$7:$AC33</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Q7">
      <formula1>'WAYFAIR_USE_ONLY'!$AC$7:$AC33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type="list" allowBlank="1" showInputMessage="1" showErrorMessage="1" errorTitle="Invalid BPA Free" error="The value provided is not a valid BPA Free." promptTitle="BPA Free" prompt="Please select a valid BPA Free" sqref="BS8:BS2500">
      <formula1>'WAYFAIR_USE_ONLY'!$AD$7:$AD11</formula1>
    </dataValidation>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S7">
      <formula1>'WAYFAIR_USE_ONLY'!$AD$7:$AD11</formula1>
    </dataValidation>
    <dataValidation type="list" errorStyle="warning" allowBlank="1" showInputMessage="1" showErrorMessage="1" errorTitle="Invalid Licensed Product Categor" error="The value provided is not a valid Licensed Product Category. Would you like to provide a custom answer?" promptTitle="Licensed Product Category" prompt="Please select a valid Licensed Product Category" sqref="BT8:BT2500">
      <formula1>'WAYFAIR_USE_ONLY'!$AE$7:$AE14</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T7">
      <formula1>'WAYFAIR_USE_ONLY'!$AE$7:$AE14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textLength" operator="lessThanOrEqual" errorStyle="warning" showInputMessage="1" showErrorMessage="1" errorTitle="Invalid Whole Number" error="The value provided is not a valid Whole Number." promptTitle="Total Number of Pieces Included" prompt="Please enter Whole Number" sqref="BX8:BX2500">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X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Number" error="The value provided is not a valid Number." promptTitle="Overall Height - Top to Bottom" prompt="Please enter Number" sqref="CC8:CC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textLength" operator="lessThanOrEqual" errorStyle="warning" showInputMessage="1" showErrorMessage="1" errorTitle="Invalid Number" error="The value provided is not a valid Number." promptTitle="Overall Width - Side to Side" prompt="Please enter Number" sqref="CD8:CD2500">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type="list" allowBlank="1" showInputMessage="1" showErrorMessage="1" errorTitle="Invalid Commercial Warranty" error="The value provided is not a valid Commercial Warranty." promptTitle="Commercial Warranty" prompt="Please select a valid Commercial Warranty" sqref="CE8:CE2500">
      <formula1>'WAYFAIR_USE_ONLY'!$AG$7:$AG10</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E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F4"/>
    <dataValidation type="list" allowBlank="1" showInputMessage="1" showErrorMessage="1" errorTitle="Invalid Commercial Warranty Leng" error="The value provided is not a valid Commercial Warranty Length." promptTitle="Commercial Warranty Length" prompt="Please select a valid Commercial Warranty Length" sqref="CF8:CF2500">
      <formula1>'WAYFAIR_USE_ONLY'!$AF$7:$AF32</formula1>
    </dataValidation>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F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Wayfair Compliance Verified Prog" prompt="Please select a valid Wayfair Compliance Verified Program (including Baby Safety Alliance fka JPMA) for this product category" sqref="CG8:CG2500">
      <formula1>'WAYFAIR_USE_ONLY'!$AH$7:$AH9</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Uniform Packaging and La" error="The value provided is not a valid Uniform Packaging and Labeling Regulations (UPLR) Compliant." promptTitle="Uniform Packaging and Labeling R" prompt="Please select a valid Uniform Packaging and Labeling Regulations (UPLR) Compliant" sqref="CH8:CH2500">
      <formula1>'WAYFAIR_USE_ONLY'!$AI$7:$AI9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Canada Product Restriction" prompt="Please select a valid Canada Product Restriction" sqref="CI8:CI2500">
      <formula1>'WAYFAIR_USE_ONLY'!$AJ$7:$AJ9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type="list" allowBlank="1" showInputMessage="1" showErrorMessage="1" errorTitle="Invalid ISTA Certified" error="The value provided is not a valid ISTA Certified." promptTitle="ISTA Certified" prompt="Please select a valid ISTA Certified" sqref="CJ8:CJ2500">
      <formula1>'WAYFAIR_USE_ONLY'!$AK$7:$AK10</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Sustainability &amp; Social Responsi" prompt="Please select a valid Sustainability &amp; Social Responsibility Certifications (North America Only)" sqref="CK8:CK2500">
      <formula1>'WAYFAIR_USE_ONLY'!$AL$7:$AL10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'WAYFAIR_USE_ONLY'!$AL$7:$AL10</formula1>
    </dataValidation>
    <dataValidation type="list" allowBlank="1" showInputMessage="1" showErrorMessage="1" errorTitle="Invalid Warning Required" error="The value provided is not a valid Warning Required." promptTitle="Warning Required" prompt="Please select a valid Warning Required" sqref="CL8:CL2500">
      <formula1>'WAYFAIR_USE_ONLY'!$O$7:$O9</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'WAYFAIR_USE_ONLY'!$O$7:$O9</formula1>
    </dataValidation>
    <dataValidation type="list" allowBlank="1" showInputMessage="1" showErrorMessage="1" errorTitle="Invalid Chemical" error="The value provided is not a valid Chemical." promptTitle="Chemical" prompt="Please select a valid Chemical" sqref="CM8:CM2500">
      <formula1>'WAYFAIR_USE_ONLY'!$P$7:$P908</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BC1" display="Select"/>
    <hyperlink ref="BJ6" location="'Valid Values'!BE1" display="Please choose one or more from the following, using a semicolon (;) to separate each value: Animals; Astrology &amp; Stars; Scenic &amp; Cityscapes; Food &amp; Beverage; Insects; Patriotic; Entertainment; Plants &amp; Flowers; Religious &amp; Spiritual; Nautical &amp; Beach; Abstract; Sports; People; Geography; Fantasy &amp; Sci-Fi; Landscape &amp; Nature; Text &amp; Numbers; Furniture; Novelty &amp; Humor; STEM; Fashion; Buildings &amp; Architecture; Transportation; Bath &amp; Laundry; History &amp; Language; Cities &amp; Countries; Disney/Pixar; No Subject; Education; Birds; U.S. States &amp; Territories; Unavailable"/>
    <hyperlink ref="BK6" location="'Valid Values'!BG1" display="Select"/>
    <hyperlink ref="BL6" location="'Valid Values'!BI1" display="Please choose one or more from the following, using a semicolon (;) to separate each value: Fabric; Vinyl; Canvas; Paper; Plastic; PVC;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omposite; Carbon Steel; Compressed Polyester; Ceramic / Porcelain; Bone China; Cedar; Concrete; Cotton; Earthenware; Engineered Stone; Concrete / Cement; Corrugated; Enamel / Lacquer; Cotton Blend; Compressed Stone; Copper; Faux Leather;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Olefin; Nickel; PEVA; Nylon; Oak; Oxford Fabric; Polyamide; Plywood; Pinecones; Plastic / Acrylic; Pewter; Polycarbonate Plastic; Nickel Plated;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
    <hyperlink ref="BM6" location="'Valid Values'!BK1" display="Please choose one or more from the following, using a semicolon (;) to separate each value: Multi-Surface; Flat Surface; Textured Wall; Brick Wall; Cement Wall; Solid Wood; Glass Wall; Stainless Steel; Existing Tile; Chalkboard; Appliance; Mirror; Wallpaper; Painted Gypsum; Acrylic Panel; Orange Peel Wall; Gypsum Wall; Laminate; Plywood Wall; Drywall; Stucco Wall; Ceramic Tile Wall; Concrete; Stone Wall; Medium Density Fiberboard; Unavailable"/>
    <hyperlink ref="BO6" location="'Valid Values'!BM1" display="Please choose one or more from the following, using a semicolon (;) to separate each value: Bathroom; Kitchen; Bedroom; Living Room; Laundry Room; Nursery; Dining Room;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BO1" display="Select"/>
    <hyperlink ref="BQ6" location="'Valid Values'!BQ1" display="Select"/>
    <hyperlink ref="BR6" location="'Valid Values'!BS1" display="Please choose one or more from the following, using a semicolon (;) to separate each value: Made in USA; Made in USA of Imported Materials; Product of Canada; Made In Canada; Does Not Apply"/>
    <hyperlink ref="BT6" location="'Valid Values'!BU1" display="Select"/>
    <hyperlink ref="BU6" location="'Valid Values'!BW1" display="Please choose one or more from the following, using a semicolon (;) to separate each value: Mold / Mildew Resistant; Water Resistant; No Durability Features; Fade Resistant; Heat Resistant; Stain Resistant; Tip Resistant; Waterproof; Shatter Resistant; Weather Resistant; Rust Resistant; Anodic Protection; Predator Resistant; Drill Resistant; Condensation Free; Antimicrobial; Pry Resistant; Fray Resistant; Non-Staining"/>
    <hyperlink ref="BV6" location="'Valid Values'!BY1" display="Please choose one or more from the following, using a semicolon (;) to separate each value: Removable; Retractable; Tilt; Reversible; Collapsible; Extendable; Configurable / Modular; Swivel; Trimmable; Convertible; Rotating; Lift Assist; Reclining; Double Sided; Glider; Wall Recline; Adjustable; Swing Arm; Temperature; Stackable; Tilt Lock; Tilt Out; Tilting; No Adjustability Features; Unavailable; Does Not Apply"/>
    <hyperlink ref="BW6" location="'Valid Values'!CA1" display="Please choose one or more from the following, using a semicolon (;) to separate each value: Blue; Black; Brown; White; Green; Gray; Red; Beige; Yellow; Pink; Orange; Purple; Silver; Gold; Clear; Cream; Ivory; Tan; Teal; Navy"/>
    <hyperlink ref="BY6" location="'Valid Values'!CC1" display="Please choose one or more from the following, using a semicolon (;) to separate each value: Handle(s); Paste; Unavailable; Does Not Apply"/>
    <hyperlink ref="BZ6" location="'Valid Values'!CE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CF1" display="Please choose one or more from the following, using a semicolon (;) to separate each value: Breathable; Dual Sided; Animated; Double Sided; Non-Wall Damaging; Reusable; Vintage; Window Clinging; No General Features"/>
    <hyperlink ref="CB6" location="'Valid Values'!CH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F6" location="'Valid Values'!CJ1" display="Select"/>
    <hyperlink ref="CG6" location="'Valid Values'!CL1" display="Select"/>
    <hyperlink ref="CH6" location="'Valid Values'!CM1" display="Select"/>
    <hyperlink ref="CJ6" location="'Valid Values'!CO1" display="Select"/>
    <hyperlink ref="CM6" location="'Valid Values'!BA1" display="Select"/>
    <hyperlink ref="CN6" location="'Valid Values'!BB1" display="Please choose one or more from the following, using a semicolon (;) to separate each value: Cancer; Developmental"/>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dimension ref="A1:CN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2.7109375" style="22" customWidth="1"/>
    <col min="69" max="69" width="23.7109375" style="22" customWidth="1"/>
    <col min="70" max="70" width="43.7109375" style="22" customWidth="1"/>
    <col min="71" max="71" width="13.7109375" style="22" customWidth="1"/>
    <col min="72" max="72" width="30.7109375" style="22" customWidth="1"/>
    <col min="73" max="73" width="15.7109375" style="22" customWidth="1"/>
    <col min="74" max="74" width="27.7109375" style="22" customWidth="1"/>
    <col min="75" max="75" width="10.7109375" style="22" customWidth="1"/>
    <col min="76" max="76" width="36.7109375" style="22" customWidth="1"/>
    <col min="77" max="77" width="20.7109375" style="22" customWidth="1"/>
    <col min="78" max="78" width="29.7109375" style="22" customWidth="1"/>
    <col min="79" max="79" width="21.7109375" style="22" customWidth="1"/>
    <col min="80" max="80" width="14.7109375" style="22" customWidth="1"/>
    <col min="81" max="81" width="35.7109375" style="22" customWidth="1"/>
    <col min="82" max="82" width="33.7109375" style="22" customWidth="1"/>
    <col min="83" max="83" width="24.7109375" style="22" customWidth="1"/>
    <col min="84" max="84" width="31.7109375" style="22" customWidth="1"/>
    <col min="85" max="85" width="108.7109375" style="22" customWidth="1"/>
    <col min="86" max="86" width="64.7109375" style="22" customWidth="1"/>
    <col min="87" max="87" width="31.7109375" style="22" customWidth="1"/>
    <col min="88" max="88" width="19.7109375" style="22" customWidth="1"/>
    <col min="89" max="89" width="79.7109375" style="22" customWidth="1"/>
    <col min="90" max="90" width="21.7109375" style="22" customWidth="1"/>
    <col min="91" max="92" width="15.7109375" style="22" customWidth="1"/>
  </cols>
  <sheetData>
    <row r="1" spans="1:92"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2493</v>
      </c>
      <c r="BJ1" s="22" t="s">
        <v>2494</v>
      </c>
      <c r="BK1" s="22" t="s">
        <v>2498</v>
      </c>
      <c r="BL1" s="22" t="s">
        <v>2501</v>
      </c>
      <c r="BM1" s="22" t="s">
        <v>2503</v>
      </c>
      <c r="BN1" s="22" t="s">
        <v>2507</v>
      </c>
      <c r="BO1" s="22" t="s">
        <v>2510</v>
      </c>
      <c r="BP1" s="22" t="s">
        <v>2514</v>
      </c>
      <c r="BQ1" s="22" t="s">
        <v>2515</v>
      </c>
      <c r="BR1" s="22" t="s">
        <v>2518</v>
      </c>
      <c r="BS1" s="22" t="s">
        <v>2519</v>
      </c>
      <c r="BT1" s="22" t="s">
        <v>2520</v>
      </c>
      <c r="BU1" s="22" t="s">
        <v>2523</v>
      </c>
      <c r="BV1" s="22" t="s">
        <v>2525</v>
      </c>
      <c r="BW1" s="22" t="s">
        <v>2529</v>
      </c>
      <c r="BX1" s="22" t="s">
        <v>2531</v>
      </c>
      <c r="BY1" s="22" t="s">
        <v>2534</v>
      </c>
      <c r="BZ1" s="22" t="s">
        <v>2538</v>
      </c>
      <c r="CA1" s="22" t="s">
        <v>2539</v>
      </c>
      <c r="CB1" s="22" t="s">
        <v>2541</v>
      </c>
      <c r="CC1" s="22" t="s">
        <v>2542</v>
      </c>
      <c r="CD1" s="22" t="s">
        <v>2545</v>
      </c>
      <c r="CE1" s="22" t="s">
        <v>2546</v>
      </c>
      <c r="CF1" s="22" t="s">
        <v>2547</v>
      </c>
      <c r="CG1" s="22" t="s">
        <v>2548</v>
      </c>
      <c r="CH1" s="22" t="s">
        <v>2549</v>
      </c>
      <c r="CI1" s="22" t="s">
        <v>2550</v>
      </c>
      <c r="CJ1" s="22" t="s">
        <v>2551</v>
      </c>
      <c r="CK1" s="22" t="s">
        <v>2554</v>
      </c>
      <c r="CL1" s="22" t="s">
        <v>2474</v>
      </c>
      <c r="CM1" s="22" t="s">
        <v>2477</v>
      </c>
      <c r="CN1" s="22" t="s">
        <v>2480</v>
      </c>
    </row>
    <row r="2" spans="1:92">
      <c r="B2" s="23" t="s">
        <v>2484</v>
      </c>
      <c r="J2" s="24" t="s">
        <v>2485</v>
      </c>
      <c r="R2" s="25" t="s">
        <v>2486</v>
      </c>
      <c r="V2" s="26" t="s">
        <v>2487</v>
      </c>
      <c r="AB2" s="27" t="s">
        <v>2488</v>
      </c>
      <c r="AM2" s="28" t="s">
        <v>2489</v>
      </c>
      <c r="AQ2" s="29" t="s">
        <v>2490</v>
      </c>
      <c r="BI2" s="30" t="s">
        <v>2491</v>
      </c>
      <c r="CL2" s="31" t="s">
        <v>2492</v>
      </c>
    </row>
    <row r="3" spans="1:92">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58</v>
      </c>
      <c r="BQ3" s="32" t="s">
        <v>60</v>
      </c>
      <c r="BR3" s="32" t="s">
        <v>62</v>
      </c>
      <c r="BS3" s="32" t="s">
        <v>58</v>
      </c>
      <c r="BT3" s="32" t="s">
        <v>60</v>
      </c>
      <c r="BU3" s="32" t="s">
        <v>60</v>
      </c>
      <c r="BV3" s="32" t="s">
        <v>60</v>
      </c>
      <c r="BW3" s="32" t="s">
        <v>58</v>
      </c>
      <c r="BX3" s="32" t="s">
        <v>60</v>
      </c>
      <c r="BY3" s="32" t="s">
        <v>58</v>
      </c>
      <c r="BZ3" s="32" t="s">
        <v>60</v>
      </c>
      <c r="CA3" s="32" t="s">
        <v>60</v>
      </c>
      <c r="CB3" s="32" t="s">
        <v>60</v>
      </c>
      <c r="CC3" s="32" t="s">
        <v>58</v>
      </c>
      <c r="CD3" s="32" t="s">
        <v>58</v>
      </c>
      <c r="CE3" s="32" t="s">
        <v>60</v>
      </c>
      <c r="CF3" s="32" t="s">
        <v>60</v>
      </c>
      <c r="CG3" s="32" t="s">
        <v>58</v>
      </c>
      <c r="CH3" s="32" t="s">
        <v>58</v>
      </c>
      <c r="CI3" s="32" t="s">
        <v>58</v>
      </c>
      <c r="CJ3" s="32" t="s">
        <v>60</v>
      </c>
      <c r="CK3" s="32" t="s">
        <v>60</v>
      </c>
      <c r="CL3" s="32" t="s">
        <v>58</v>
      </c>
      <c r="CM3" s="32" t="s">
        <v>64</v>
      </c>
      <c r="CN3" s="32" t="s">
        <v>64</v>
      </c>
    </row>
    <row r="4" spans="1:92" ht="50" customHeight="1">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2495</v>
      </c>
      <c r="BK4" s="19" t="s">
        <v>2499</v>
      </c>
      <c r="BL4" s="19" t="s">
        <v>2433</v>
      </c>
      <c r="BM4" s="19" t="s">
        <v>2504</v>
      </c>
      <c r="BN4" s="19" t="s">
        <v>2508</v>
      </c>
      <c r="BO4" s="19" t="s">
        <v>2511</v>
      </c>
      <c r="BP4" s="19" t="s">
        <v>2386</v>
      </c>
      <c r="BQ4" s="19" t="s">
        <v>2516</v>
      </c>
      <c r="BR4" s="19" t="s">
        <v>2389</v>
      </c>
      <c r="BS4" s="19" t="s">
        <v>2397</v>
      </c>
      <c r="BT4" s="19" t="s">
        <v>2521</v>
      </c>
      <c r="BU4" s="19" t="s">
        <v>2400</v>
      </c>
      <c r="BV4" s="19" t="s">
        <v>2526</v>
      </c>
      <c r="BW4" s="19" t="s">
        <v>2160</v>
      </c>
      <c r="BX4" s="19" t="s">
        <v>2532</v>
      </c>
      <c r="BY4" s="19" t="s">
        <v>2535</v>
      </c>
      <c r="BZ4" s="19" t="s">
        <v>2422</v>
      </c>
      <c r="CA4" s="19" t="s">
        <v>2429</v>
      </c>
      <c r="CB4" s="19" t="s">
        <v>2437</v>
      </c>
      <c r="CC4" s="19" t="s">
        <v>2543</v>
      </c>
      <c r="CD4" s="19" t="s">
        <v>2448</v>
      </c>
      <c r="CE4" s="33" t="s">
        <v>2457</v>
      </c>
      <c r="CF4" s="34" t="s">
        <v>2460</v>
      </c>
      <c r="CG4" s="19" t="s">
        <v>2463</v>
      </c>
      <c r="CH4" s="19" t="s">
        <v>2466</v>
      </c>
      <c r="CI4" s="19" t="s">
        <v>2469</v>
      </c>
      <c r="CJ4" s="19" t="s">
        <v>2552</v>
      </c>
      <c r="CK4" s="19" t="s">
        <v>2472</v>
      </c>
      <c r="CL4" s="19" t="s">
        <v>2475</v>
      </c>
      <c r="CM4" s="19" t="s">
        <v>2478</v>
      </c>
      <c r="CN4" s="19" t="s">
        <v>2481</v>
      </c>
    </row>
    <row r="5" spans="1:92" ht="50" customHeight="1">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2496</v>
      </c>
      <c r="BK5" s="35" t="s">
        <v>2500</v>
      </c>
      <c r="BL5" s="35" t="s">
        <v>2434</v>
      </c>
      <c r="BM5" s="35" t="s">
        <v>2505</v>
      </c>
      <c r="BN5" s="35" t="s">
        <v>2509</v>
      </c>
      <c r="BO5" s="35" t="s">
        <v>2512</v>
      </c>
      <c r="BP5" s="35" t="s">
        <v>2387</v>
      </c>
      <c r="BQ5" s="35" t="s">
        <v>2517</v>
      </c>
      <c r="BR5" s="35" t="s">
        <v>2390</v>
      </c>
      <c r="BS5" s="35" t="s">
        <v>2398</v>
      </c>
      <c r="BT5" s="35" t="s">
        <v>2522</v>
      </c>
      <c r="BU5" s="35" t="s">
        <v>2401</v>
      </c>
      <c r="BV5" s="35" t="s">
        <v>2527</v>
      </c>
      <c r="BW5" s="35" t="s">
        <v>2412</v>
      </c>
      <c r="BX5" s="35" t="s">
        <v>2533</v>
      </c>
      <c r="BY5" s="35" t="s">
        <v>2536</v>
      </c>
      <c r="BZ5" s="35" t="s">
        <v>2423</v>
      </c>
      <c r="CA5" s="35" t="s">
        <v>2430</v>
      </c>
      <c r="CB5" s="35" t="s">
        <v>2438</v>
      </c>
      <c r="CC5" s="35" t="s">
        <v>2544</v>
      </c>
      <c r="CD5" s="35" t="s">
        <v>2449</v>
      </c>
      <c r="CE5" s="35" t="s">
        <v>2458</v>
      </c>
      <c r="CF5" s="35" t="s">
        <v>2461</v>
      </c>
      <c r="CG5" s="35" t="s">
        <v>2464</v>
      </c>
      <c r="CH5" s="35" t="s">
        <v>2467</v>
      </c>
      <c r="CI5" s="35" t="s">
        <v>2470</v>
      </c>
      <c r="CJ5" s="35" t="s">
        <v>2553</v>
      </c>
      <c r="CK5" s="35" t="s">
        <v>2473</v>
      </c>
      <c r="CL5" s="35" t="s">
        <v>2476</v>
      </c>
      <c r="CM5" s="35" t="s">
        <v>2479</v>
      </c>
      <c r="CN5" s="35" t="s">
        <v>2482</v>
      </c>
    </row>
    <row r="6" spans="1:92" ht="50" customHeight="1">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2497</v>
      </c>
      <c r="BK6" s="36" t="s">
        <v>2231</v>
      </c>
      <c r="BL6" s="36" t="s">
        <v>5384</v>
      </c>
      <c r="BM6" s="36" t="s">
        <v>2506</v>
      </c>
      <c r="BN6" s="35" t="s">
        <v>77</v>
      </c>
      <c r="BO6" s="36" t="s">
        <v>2513</v>
      </c>
      <c r="BP6" s="36" t="s">
        <v>2231</v>
      </c>
      <c r="BQ6" s="36" t="s">
        <v>2231</v>
      </c>
      <c r="BR6" s="36" t="s">
        <v>2391</v>
      </c>
      <c r="BS6" s="35" t="s">
        <v>77</v>
      </c>
      <c r="BT6" s="36" t="s">
        <v>2231</v>
      </c>
      <c r="BU6" s="36" t="s">
        <v>2524</v>
      </c>
      <c r="BV6" s="36" t="s">
        <v>2528</v>
      </c>
      <c r="BW6" s="36" t="s">
        <v>2530</v>
      </c>
      <c r="BX6" s="35" t="s">
        <v>2289</v>
      </c>
      <c r="BY6" s="36" t="s">
        <v>2537</v>
      </c>
      <c r="BZ6" s="36" t="s">
        <v>4971</v>
      </c>
      <c r="CA6" s="36" t="s">
        <v>2540</v>
      </c>
      <c r="CB6" s="36" t="s">
        <v>2439</v>
      </c>
      <c r="CC6" s="35" t="s">
        <v>2266</v>
      </c>
      <c r="CD6" s="35" t="s">
        <v>2266</v>
      </c>
      <c r="CE6" s="35" t="s">
        <v>77</v>
      </c>
      <c r="CF6" s="36" t="s">
        <v>2231</v>
      </c>
      <c r="CG6" s="36" t="s">
        <v>2231</v>
      </c>
      <c r="CH6" s="36" t="s">
        <v>2231</v>
      </c>
      <c r="CI6" s="35" t="s">
        <v>77</v>
      </c>
      <c r="CJ6" s="36" t="s">
        <v>2231</v>
      </c>
      <c r="CK6" s="35" t="s">
        <v>77</v>
      </c>
      <c r="CL6" s="35" t="s">
        <v>77</v>
      </c>
      <c r="CM6" s="36" t="s">
        <v>2231</v>
      </c>
      <c r="CN6" s="36" t="s">
        <v>2483</v>
      </c>
    </row>
    <row r="7" spans="1:92">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row>
    <row r="8" spans="1:92">
      <c r="A8" cm="1">
        <f t="array" ref="A8">_xlfn.BYROW(B8:CO507, _xlfn.LAMBDA(_xlpm.r, _xlfn.LET(_xlpm.high_priority, IFERROR(INDEX(_xlpm.r, MATCH(TRUE, (_xlpm.r &lt;&gt; "") * ((LEFT(_xlpm.r, 2) = "1:") + (LEFT(_xlpm.r, 2) = "3:")) &gt; 0, 0)), ""), IF(_xlpm.high_priority &lt;&gt; "", _xlpm.high_priority, IFERROR(INDEX(_xlpm.r, MATCH(TRUE, (_xlpm.r &lt;&gt; "") * (LEFT(_xlpm.r, 2) = "4:") &gt; 0, 0)), "")))))</f>
        <v>0</v>
      </c>
      <c r="B8" s="22" cm="1">
        <f t="array" ref="B8">_xlfn.MAP('3757 - Wall Stickers'!B8:B507, '3757 - Wall Stickers'!B8:B507,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IF(OR('3757 - Wall Stickers'!B$7 = "", '3757 - Wall Stickers'!B$7 = "N/A"), "3:Supplier Part Number - Value is required", ""), ""))))))))</f>
        <v>0</v>
      </c>
      <c r="C8" s="22" cm="1">
        <f t="array" ref="C8">_xlfn.MAP('3757 - Wall Stickers'!B8:B507, '3757 - Wall Stickers'!C8:C507, _xlfn.LAMBDA(_xlpm.part, _xlpm.val, IF(_xlpm.part = "", "", IF(AND(_xlpm.val = "", C$3="Required"), IF(OR('3757 - Wall Stickers'!C$7 = "", '3757 - Wall Stickers'!C$7 = "N/A"), "3:Amazon Seller SKU - Value is required", ""), ""))))</f>
        <v>0</v>
      </c>
      <c r="D8" s="22" cm="1">
        <f t="array" ref="D8">_xlfn.MAP('3757 - Wall Stickers'!B8:B507, '3757 - Wall Stickers'!D8:D507, '3757 - Wall Stickers'!J8:J507, _xlfn.LAMBDA(_xlpm.part, _xlpm.val, _xlpm.dep1, IF(_xlpm.part = "", "", _xlfn.LET(_xlpm.check1, IF(AND(_xlpm.val = "", _xlpm.dep1 = "NON-PRIMARY VARIANT"), "2:Autofill", ""), IF(LEN(_xlpm.check1) &gt; 0, _xlpm.check1, IF(AND(_xlpm.val = "", D$3="Required"), IF(OR('3757 - Wall Stickers'!D$7 = "", '3757 - Wall Stickers'!D$7 = "N/A"), "3:Brand - Value is required", ""), ""))))))</f>
        <v>0</v>
      </c>
      <c r="E8" s="22" cm="1">
        <f t="array" ref="E8">_xlfn.MAP('3757 - Wall Stickers'!B8:B507, '3757 - Wall Stickers'!E8:E507, _xlfn.LAMBDA(_xlpm.part, _xlpm.val, IF(_xlpm.part = "", "", _xlfn.LET(_xlpm.check1, IF(OR(ISNUMBER(SEARCH({","}, _xlpm.val))), "1:Please enter a single value with no commas for the Manufacturer Part Number column", ""), IF(LEN(_xlpm.check1) &gt; 0, _xlpm.check1, _xlfn.LET(_xlpm.check2, IF(OR(ISNUMBER(SEARCH({"&lt;","&gt;","^","Ø","•","‣","⁃","⁌","™","∙","⌀","◦"}, _xlpm.val))), "1:Manufacturer Part Number cannot contain special characters ([™Ø⌀•‣◦⁃⁌⁍∙&lt;&gt;])", ""), IF(LEN(_xlpm.check2) &gt; 0, _xlpm.check2, _xlfn.LET(_xlpm.check3, IF(AND(_xlpm.val &lt;&gt; "" ,LEN(_xlpm.val)&gt;64), "1:Manufacturer Part Number should not be more than 64 characters", ""), IF(LEN(_xlpm.check3) &gt; 0, _xlpm.check3, IF(AND(_xlpm.val = "", E$3="Required"), IF(OR('3757 - Wall Stickers'!E$7 = "", '3757 - Wall Stickers'!E$7 = "N/A"), "3:Manufacturer Part Number - Value is required", ""), ""))))))))))</f>
        <v>0</v>
      </c>
      <c r="F8" s="22" cm="1">
        <f t="array" ref="F8">_xlfn.MAP('3757 - Wall Stickers'!B8:B507, '3757 - Wall Stickers'!F8:F507, _xlfn.LAMBDA(_xlpm.part, _xlpm.val, IF(_xlpm.part = "", "", _xlfn.LET(_xlpm.check1, IF(OR(ISNUMBER(SEARCH({"&lt;","&gt;","^","Ø","•","‣","⁃","⁌","™","∙","⌀","◦"}, _xlpm.val))), "1:Universal Product Code cannot contain special characters ([™Ø⌀•‣◦⁃⁌⁍∙&lt;&gt;])", ""), IF(LEN(_xlpm.check1) &gt; 0, _xlpm.check1, _xlfn.LET(_xlpm.check2, IF(AND(_xlpm.val &lt;&gt; "" ,NOT(OR(LEN(_xlpm.val)=8,LEN(_xlpm.val)=12,LEN(_xlpm.val)=13,LEN(_xlpm.val)=14))), "1:The UPC provided is invalid. UPCs must be 8, 12, 13, or 14 digits long and contain only numbers.", ""), IF(LEN(_xlpm.check2) &gt; 0, _xlpm.check2, IF(AND(_xlpm.val = "", F$3="Required"), IF(OR('3757 - Wall Stickers'!F$7 = "", '3757 - Wall Stickers'!F$7 = "N/A"), "3:Universal Product Code - Value is required", ""), ""))))))))</f>
        <v>0</v>
      </c>
      <c r="G8" s="22" cm="1">
        <f t="array" ref="G8">_xlfn.MAP('3757 - Wall Stickers'!B8:B507, '3757 - Wall Stickers'!G8:G507, _xlfn.LAMBDA(_xlpm.part, _xlpm.val, IF(_xlpm.part = "", "", _xlfn.LET(_xlpm.check1, IF(OR(ISNUMBER(SEARCH({"&lt;","&gt;","^","Ø","•","‣","⁃","⁌","™","∙","⌀","◦"}, _xlpm.val))), "1:Product name cannot contain special characters ([™Ø⌀•‣◦⁃⁌⁍∙&lt;&gt;])", ""), IF(LEN(_xlpm.check1) &gt; 0, _xlpm.check1, IF(AND(_xlpm.val = "", G$3="Required"), IF(OR('3757 - Wall Stickers'!G$7 = "", '3757 - Wall Stickers'!G$7 = "N/A"), "3:Product Name - Value is required", ""), ""))))))</f>
        <v>0</v>
      </c>
      <c r="H8" s="22" cm="1">
        <f t="array" ref="H8">_xlfn.MAP('3757 - Wall Stickers'!B8:B507, '3757 - Wall Stickers'!H8:H507, '3757 - Wall Stickers'!J8:J507, _xlfn.LAMBDA(_xlpm.part, _xlpm.val, _xlpm.dep1, IF(_xlpm.part = "", "", _xlfn.LET(_xlpm.check1, IF(AND(_xlpm.val = "", _xlpm.dep1 = "NON-PRIMARY VARIANT"), "2:Autofill", ""), IF(LEN(_xlpm.check1) &gt; 0, _xlpm.check1, IF(AND(_xlpm.val = "", H$3="Required"), IF(OR('3757 - Wall Stickers'!H$7 = "", '3757 - Wall Stickers'!H$7 = "N/A"), "3:Collection Name - Value is required", ""), ""))))))</f>
        <v>0</v>
      </c>
      <c r="I8" s="22" cm="1">
        <f t="array" ref="I8">_xlfn.MAP('3757 - Wall Stickers'!B8:B507, '3757 - Wall Stickers'!I8:I507, _xlfn.LAMBDA(_xlpm.part, _xlpm.val, IF(_xlpm.part = "", "", IF(AND(_xlpm.val = "", I$3="Required"), IF(OR('3757 - Wall Stickers'!I$7 = "", '3757 - Wall Stickers'!I$7 = "N/A"), "3:Manufacturer Product URL - Value is required", ""), ""))))</f>
        <v>0</v>
      </c>
      <c r="J8" s="22" cm="1">
        <f t="array" ref="J8">_xlfn.MAP('3757 - Wall Stickers'!B8:B507, '3757 - Wall Stickers'!J8:J507, _xlfn.LAMBDA(_xlpm.part, _xlpm.val, IF(_xlpm.part = "", "", IF(AND(_xlpm.val = "", J$3="Required"), IF(OR('3757 - Wall Stickers'!J$7 = "", '3757 - Wall Stickers'!J$7 = "N/A"), "3:Variant Type - Value is required", ""), ""))))</f>
        <v>0</v>
      </c>
      <c r="K8" s="22" cm="1">
        <f t="array" ref="K8">_xlfn.MAP('3757 - Wall Stickers'!B8:B507, '3757 - Wall Stickers'!K8:K507, '3757 - Wall Stickers'!J8:J507, _xlfn.LAMBDA(_xlpm.part, _xlpm.val, _xlpm.dep1, IF(_xlpm.part = "", "", _xlfn.LET(_xlpm.check1, IF(OR(_xlpm.dep1 = "NOT VARIANT", _xlpm.dep1 = ""), IF(_xlpm.val = "", "2:Disable", "1:Variant fields are not accepted when Variant Type is 'Not Variant' or blank. Please remove variant data or set a valid Variant Type."), ""), IF(LEN(_xlpm.check1) &gt; 0, _xlpm.check1, _xlfn.LET(_xlpm.check2, IF(AND(_xlpm.val = "", K$3="Required"), IF(OR('3757 - Wall Stickers'!K$7 = "", '3757 - Wall Stickers'!K$7 = "N/A"), "3:Group Reference ID - Value is required", ""), ""), IF(LEN(_xlpm.check2) &gt; 0, _xlpm.check2, _xlfn.LET(_xlpm.check3, IF(_xlpm.dep1 = "PRIMARY VARIANT", IF(_xlpm.val = "", IF(OR('3757 - Wall Stickers'!K$7 = "", '3757 - Wall Stickers'!K$7 = "N/A"), "3:Variant Group Reference Id is required for primary-variant", ""), ""), ""), IF(LEN(_xlpm.check3) &gt; 0, _xlpm.check3, IF(_xlpm.dep1 = "NON-PRIMARY VARIANT", IF(_xlpm.val = "", IF(OR('3757 - Wall Stickers'!K$7 = "", '3757 - Wall Stickers'!K$7 = "N/A"), "3:Variant Group Reference Id is required for non-primary variant", ""), ""), ""))))))))))</f>
        <v>0</v>
      </c>
      <c r="L8" s="22" cm="1">
        <f t="array" ref="L8">_xlfn.MAP('3757 - Wall Stickers'!B8:B507, '3757 - Wall Stickers'!L8:L507,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L$3="Required"), IF(OR('3757 - Wall Stickers'!L$7 = "", '3757 - Wall Stickers'!L$7 = "N/A"), "3:Variant Grouping - Value is required", ""), ""), IF(LEN(_xlpm.check3) &gt; 0, _xlpm.check3, IF(_xlpm.dep1 = "PRIMARY VARIANT", IF(_xlpm.val = "", IF(OR('3757 - Wall Stickers'!L$7 = "", '3757 - Wall Stickers'!L$7 = "N/A"), "3:Variant grouping value must be specified for primary variant", ""), ""), ""))))))))))</f>
        <v>0</v>
      </c>
      <c r="M8" s="22" cm="1">
        <f t="array" ref="M8">_xlfn.MAP('3757 - Wall Stickers'!B8:B507, '3757 - Wall Stickers'!M8:M507, '3757 - Wall Stickers'!J8:J507, '3757 - Wall Stickers'!L8:L507,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M$3="Required"), IF(OR('3757 - Wall Stickers'!M$7 = "", '3757 - Wall Stickers'!M$7 = "N/A"), "3:Variant Attribute Name On Site - Value is required", ""), ""), IF(LEN(_xlpm.check3) &gt; 0, _xlpm.check3, _xlfn.LET(_xlpm.check4, IF(AND(_xlpm.dep2 &lt;&gt; "", _xlpm.dep2 &lt;&gt; "Color"), IF(_xlpm.val = "", IF(OR('3757 - Wall Stickers'!M$7 = "", '3757 - Wall Stickers'!M$7 = "N/A"), "3:Name on site is required when variant grouping value is provided", ""), ""), ""), IF(LEN(_xlpm.check4) &gt; 0, _xlpm.check4, IF(AND(_xlpm.dep2 &lt;&gt; "", _xlpm.dep2 &lt;&gt; "Color", _xlpm.dep2 &lt;&gt; "Size"), IF(_xlpm.val = "", IF(OR('3757 - Wall Stickers'!M$7 = "", '3757 - Wall Stickers'!M$7 = "N/A"), "3:Name on site is required when variant grouping value is provided", ""), ""), ""))))))))))))</f>
        <v>0</v>
      </c>
      <c r="N8" s="22" cm="1">
        <f t="array" ref="N8">_xlfn.MAP('3757 - Wall Stickers'!B8:B507, '3757 - Wall Stickers'!N8:N507,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N$3="Required"), IF(OR('3757 - Wall Stickers'!N$7 = "", '3757 - Wall Stickers'!N$7 = "N/A"), "3:Variant Grouping - Value is required", ""), ""))))))))</f>
        <v>0</v>
      </c>
      <c r="O8" s="22" cm="1">
        <f t="array" ref="O8">_xlfn.MAP('3757 - Wall Stickers'!B8:B507, '3757 - Wall Stickers'!O8:O507, '3757 - Wall Stickers'!J8:J507, '3757 - Wall Stickers'!N8:N507,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O$3="Required"), IF(OR('3757 - Wall Stickers'!O$7 = "", '3757 - Wall Stickers'!O$7 = "N/A"), "3:Variant Attribute Name On Site - Value is required", ""), ""), IF(LEN(_xlpm.check3) &gt; 0, _xlpm.check3, _xlfn.LET(_xlpm.check4, IF(AND(_xlpm.dep2 &lt;&gt; "", _xlpm.dep2 &lt;&gt; "Color"), IF(_xlpm.val = "", IF(OR('3757 - Wall Stickers'!O$7 = "", '3757 - Wall Stickers'!O$7 = "N/A"), "3:Name on site is required when variant grouping value is provided", ""), ""), ""), IF(LEN(_xlpm.check4) &gt; 0, _xlpm.check4, IF(AND(_xlpm.dep2 &lt;&gt; "", _xlpm.dep2 &lt;&gt; "Color", _xlpm.dep2 &lt;&gt; "Size"), IF(_xlpm.val = "", IF(OR('3757 - Wall Stickers'!O$7 = "", '3757 - Wall Stickers'!O$7 = "N/A"), "3:Name on site is required when variant grouping value is provided", ""), ""), ""))))))))))))</f>
        <v>0</v>
      </c>
      <c r="P8" s="22" cm="1">
        <f t="array" ref="P8">_xlfn.MAP('3757 - Wall Stickers'!B8:B507, '3757 - Wall Stickers'!P8:P507, '3757 - Wall Stickers'!J8:J507, _xlfn.LAMBDA(_xlpm.part, _xlpm.val, _xlpm.dep1, IF(_xlpm.part = "", "", _xlfn.LET(_xlpm.check1, IF(AND(_xlpm.val = "", _xlpm.dep1 = "NON-PRIMARY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IF(AND(_xlpm.val = "", P$3="Required"), IF(OR('3757 - Wall Stickers'!P$7 = "", '3757 - Wall Stickers'!P$7 = "N/A"), "3:Variant Grouping - Value is required", ""), ""))))))))</f>
        <v>0</v>
      </c>
      <c r="Q8" s="22" cm="1">
        <f t="array" ref="Q8">_xlfn.MAP('3757 - Wall Stickers'!B8:B507, '3757 - Wall Stickers'!Q8:Q507, '3757 - Wall Stickers'!J8:J507, '3757 - Wall Stickers'!P8:P507, _xlfn.LAMBDA(_xlpm.part, _xlpm.val, _xlpm.dep1, _xlpm.dep2, IF(_xlpm.part = "", "", _xlfn.LET(_xlpm.check1, IF(AND(_xlpm.val = "", OR(AND(_xlpm.dep2 = "Color", _xlpm.dep1 &lt;&gt; "NOT VARIANT"), AND(OR(_xlpm.dep2 = "Color", _xlpm.dep2 = "Size"), _xlpm.dep1 &lt;&gt; "NOT VARIANT"))), "2:Autofill", ""), IF(LEN(_xlpm.check1) &gt; 0, _xlpm.check1, _xlfn.LET(_xlpm.check2, IF(OR(_xlpm.dep1 = "NOT VARIANT", _xlpm.dep1 = ""), IF(_xlpm.val = "", "2:Disable", "1:Variant fields are not accepted when Variant Type is 'Not Variant' or blank. Please remove variant data or set a valid Variant Type."), ""), IF(LEN(_xlpm.check2) &gt; 0, _xlpm.check2, _xlfn.LET(_xlpm.check3, IF(AND(_xlpm.val = "", Q$3="Required"), IF(OR('3757 - Wall Stickers'!Q$7 = "", '3757 - Wall Stickers'!Q$7 = "N/A"), "3:Variant Attribute Name On Site - Value is required", ""), ""), IF(LEN(_xlpm.check3) &gt; 0, _xlpm.check3, _xlfn.LET(_xlpm.check4, IF(AND(_xlpm.dep2 &lt;&gt; "", _xlpm.dep2 &lt;&gt; "Color"), IF(_xlpm.val = "", IF(OR('3757 - Wall Stickers'!Q$7 = "", '3757 - Wall Stickers'!Q$7 = "N/A"), "3:Name on site is required when variant grouping value is provided", ""), ""), ""), IF(LEN(_xlpm.check4) &gt; 0, _xlpm.check4, IF(AND(_xlpm.dep2 &lt;&gt; "", _xlpm.dep2 &lt;&gt; "Color", _xlpm.dep2 &lt;&gt; "Size"), IF(_xlpm.val = "", IF(OR('3757 - Wall Stickers'!Q$7 = "", '3757 - Wall Stickers'!Q$7 = "N/A"), "3:Name on site is required when variant grouping value is provided", ""), ""), ""))))))))))))</f>
        <v>0</v>
      </c>
      <c r="R8" s="22" cm="1">
        <f t="array" ref="R8">_xlfn.MAP('3757 - Wall Stickers'!B8:B507, '3757 - Wall Stickers'!R8:R507, _xlfn.LAMBDA(_xlpm.part, _xlpm.val, IF(_xlpm.part = "", "", _xlfn.LET(_xlpm.check1, IF(AND(NOT(ISBLANK(_xlpm.val)),OR(NOT(ISNUMBER(IFERROR(VALUE(_xlpm.val), ""))), IFERROR(VALUE(_xlpm.val), -1) &lt; 0)), "1:Base Cost - Value should be numeric", ""), IF(LEN(_xlpm.check1) &gt; 0, _xlpm.check1, IF(AND(_xlpm.val = "", R$3="Required"), IF(OR('3757 - Wall Stickers'!R$7 = "", '3757 - Wall Stickers'!R$7 = "N/A"), "3:Base Cost - Value is required", ""), ""))))))</f>
        <v>0</v>
      </c>
      <c r="S8" s="22" cm="1">
        <f t="array" ref="S8">_xlfn.MAP('3757 - Wall Stickers'!B8:B507, '3757 - Wall Stickers'!S8:S507, _xlfn.LAMBDA(_xlpm.part, _xlpm.val, IF(_xlpm.part = "", "", _xlfn.LET(_xlpm.check1, IF(AND(NOT(ISBLANK(_xlpm.val)),OR(NOT(ISNUMBER(IFERROR(VALUE(_xlpm.val), ""))), IFERROR(VALUE(_xlpm.val), -1) &lt; 0)), "1:Minimum Advertised Price - Value should be numeric", ""), IF(LEN(_xlpm.check1) &gt; 0, _xlpm.check1, IF(AND(_xlpm.val = "", S$3="Required"), IF(OR('3757 - Wall Stickers'!S$7 = "", '3757 - Wall Stickers'!S$7 = "N/A"), "3:Minimum Advertised Price - Value is required", ""), ""))))))</f>
        <v>0</v>
      </c>
      <c r="T8" s="22" cm="1">
        <f t="array" ref="T8">_xlfn.MAP('3757 - Wall Stickers'!B8:B507, '3757 - Wall Stickers'!T8:T507, _xlfn.LAMBDA(_xlpm.part, _xlpm.val, IF(_xlpm.part = "", "", _xlfn.LET(_xlpm.check1, IF(AND(NOT(ISBLANK(_xlpm.val)),OR(NOT(ISNUMBER(IFERROR(VALUE(_xlpm.val), ""))), IFERROR(VALUE(_xlpm.val), -1) &lt; 0)), "1:Manufacturer Suggested Retail Price - Value should be numeric", ""), IF(LEN(_xlpm.check1) &gt; 0, _xlpm.check1, IF(AND(_xlpm.val = "", T$3="Required"), IF(OR('3757 - Wall Stickers'!T$7 = "", '3757 - Wall Stickers'!T$7 = "N/A"), "3:Manufacturer Suggested Retail Price - Value is required", ""), ""))))))</f>
        <v>0</v>
      </c>
      <c r="U8" s="22" cm="1">
        <f t="array" ref="U8">_xlfn.MAP('3757 - Wall Stickers'!B8:B507, '3757 - Wall Stickers'!U8:U507, _xlfn.LAMBDA(_xlpm.part, _xlpm.val, IF(_xlpm.part = "", "", _xlfn.LET(_xlpm.check1, IF(AND(NOT(ISBLANK(_xlpm.val)),OR(NOT(ISNUMBER(IFERROR(VALUE(_xlpm.val), ""))), IFERROR(VALUE(_xlpm.val), -1) &lt; 0)), "1:Everyday B2B Discount Rate - Value should be numeric", ""), IF(LEN(_xlpm.check1) &gt; 0, _xlpm.check1, IF(AND(_xlpm.val = "", U$3="Required"), IF(OR('3757 - Wall Stickers'!U$7 = "", '3757 - Wall Stickers'!U$7 = "N/A"), "3:Everyday B2B Discount Rate - Value is required", ""), ""))))))</f>
        <v>0</v>
      </c>
      <c r="V8" s="22" cm="1">
        <f t="array" ref="V8">_xlfn.MAP('3757 - Wall Stickers'!B8:B507, '3757 - Wall Stickers'!V8:V507, '3757 - Wall Stickers'!J8:J507, '3757 - Wall Stickers'!W8:W507, '3757 - Wall Stickers'!X8:X507, '3757 - Wall Stickers'!Y8:Y507, _xlfn.LAMBDA(_xlpm.part, _xlpm.val, _xlpm.dep1, _xlpm.dep2, _xlpm.dep3, _xlpm.dep4, IF(_xlpm.part = "", "", _xlfn.LET(_xlpm.check1, IF(AND(_xlpm.val = "", _xlpm.dep1 = "NON-PRIMARY VARIANT"), "2:Autofill", ""), IF(LEN(_xlpm.check1) &gt; 0, _xlpm.check1, _xlfn.LET(_xlpm.check2, IF(OR(ISNUMBER(SEARCH({"&lt;","&gt;","^","Ø","•","‣","⁃","⁌","™","∙","⌀","◦"}, _xlpm.val))), "1:Marketing Copy cannot contain special characters ([™Ø⌀•‣◦⁃⁌⁍∙&lt;&gt;])", ""), IF(LEN(_xlpm.check2) &gt; 0, _xlpm.check2, _xlfn.LET(_xlpm.check3, IF(AND(_xlpm.val &lt;&gt; "", LEN(_xlpm.val) &lt; 16), "1:Marketing Copy should be more than 15 characters", ""), IF(LEN(_xlpm.check3) &gt; 0, _xlpm.check3, _xlfn.LET(_xlpm.check4, IF(AND(_xlpm.val = "", V$3="Required"), IF(OR('3757 - Wall Stickers'!V$7 = "", '3757 - Wall Stickers'!V$7 = "N/A"), "3:Marketing Copy - Value is required", ""), ""), IF(LEN(_xlpm.check4) &gt; 0, _xlpm.check4, IF(OR(_xlpm.dep2 = "", _xlpm.dep3 = "", _xlpm.dep4 = ""), IF(_xlpm.val = "", IF(OR('3757 - Wall Stickers'!V$7 = "", '3757 - Wall Stickers'!V$7 = "N/A"), "3:Either the Marketing Copy or at least three Feature Bullets are required for this part.", ""), ""), ""))))))))))))</f>
        <v>0</v>
      </c>
      <c r="W8" s="22" cm="1">
        <f t="array" ref="W8">_xlfn.MAP('3757 - Wall Stickers'!B8:B507, '3757 - Wall Stickers'!W8:W507, '3757 - Wall Stickers'!J8:J507, '3757 - Wall Stickers'!X8:X507,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W$3="Required"), IF(OR('3757 - Wall Stickers'!W$7 = "", '3757 - Wall Stickers'!W$7 = "N/A"), "3:Feature Bullet - Value is required", ""), ""), IF(LEN(_xlpm.check3) &gt; 0, _xlpm.check3, _xlfn.LET(_xlpm.check4, IF(AND(AND(_xlpm.dep2 = "", _xlpm.dep3 = ""), _xlpm.dep4 = ""), IF(_xlpm.val = "", IF(OR('3757 - Wall Stickers'!W$7 = "", '3757 - Wall Stickers'!W$7 = "N/A"), "3:Either the Marketing Copy or at least three Feature Bullets are required for this part.", ""), ""), ""), IF(LEN(_xlpm.check4) &gt; 0, _xlpm.check4, IF(_xlpm.dep4 = "", IF(_xlpm.val = "", IF(OR('3757 - Wall Stickers'!W$7 = "", '3757 - Wall Stickers'!W$7 = "N/A"), "3:Three feature bullets must be filled", ""), ""), ""))))))))))))</f>
        <v>0</v>
      </c>
      <c r="X8" s="22" cm="1">
        <f t="array" ref="X8">_xlfn.MAP('3757 - Wall Stickers'!B8:B507, '3757 - Wall Stickers'!X8:X507, '3757 - Wall Stickers'!J8:J507, '3757 - Wall Stickers'!W8:W507, '3757 - Wall Stickers'!Y8:Y507,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X$3="Required"), IF(OR('3757 - Wall Stickers'!X$7 = "", '3757 - Wall Stickers'!X$7 = "N/A"), "3:Feature Bullet - Value is required", ""), ""), IF(LEN(_xlpm.check3) &gt; 0, _xlpm.check3, _xlfn.LET(_xlpm.check4, IF(AND(AND(_xlpm.dep2 = "", _xlpm.dep3 = ""), _xlpm.dep4 = ""), IF(_xlpm.val = "", IF(OR('3757 - Wall Stickers'!X$7 = "", '3757 - Wall Stickers'!X$7 = "N/A"), "3:Either the Marketing Copy or at least three Feature Bullets are required for this part.", ""), ""), ""), IF(LEN(_xlpm.check4) &gt; 0, _xlpm.check4, IF(_xlpm.dep4 = "", IF(_xlpm.val = "", IF(OR('3757 - Wall Stickers'!X$7 = "", '3757 - Wall Stickers'!X$7 = "N/A"), "3:Three feature bullets must be filled", ""), ""), ""))))))))))))</f>
        <v>0</v>
      </c>
      <c r="Y8" s="22" cm="1">
        <f t="array" ref="Y8">_xlfn.MAP('3757 - Wall Stickers'!B8:B507, '3757 - Wall Stickers'!Y8:Y507, '3757 - Wall Stickers'!J8:J507, '3757 - Wall Stickers'!W8:W507, '3757 - Wall Stickers'!X8:X507, '3757 - Wall Stickers'!V8:V507, _xlfn.LAMBDA(_xlpm.part, _xlpm.val, _xlpm.dep1, _xlpm.dep2, _xlpm.dep3, _xlpm.dep4, IF(_xlpm.part = "", "", _xlfn.LET(_xlpm.check1, IF(AND(_xlpm.val = "", _xlpm.dep1 = "NON-PRIMARY VARIANT"), "2:Autofill", ""), IF(LEN(_xlpm.check1) &gt; 0, _xlpm.check1, _xlfn.LET(_xlpm.check2, IF(OR(ISNUMBER(SEARCH({"&lt;","&gt;","^","Ø","•","‣","⁃","⁌","™","∙","⌀","◦"}, _xlpm.val))), "1:Feature Bullet cannot contain special characters ([™Ø⌀•‣◦⁃⁌⁍∙&lt;&gt;])", ""), IF(LEN(_xlpm.check2) &gt; 0, _xlpm.check2, _xlfn.LET(_xlpm.check3, IF(AND(_xlpm.val = "", Y$3="Required"), IF(OR('3757 - Wall Stickers'!Y$7 = "", '3757 - Wall Stickers'!Y$7 = "N/A"), "3:Feature Bullet - Value is required", ""), ""), IF(LEN(_xlpm.check3) &gt; 0, _xlpm.check3, _xlfn.LET(_xlpm.check4, IF(AND(AND(_xlpm.dep2 = "", _xlpm.dep3 = ""), _xlpm.dep4 = ""), IF(_xlpm.val = "", IF(OR('3757 - Wall Stickers'!Y$7 = "", '3757 - Wall Stickers'!Y$7 = "N/A"), "3:Either the Marketing Copy or at least three Feature Bullets are required for this part.", ""), ""), ""), IF(LEN(_xlpm.check4) &gt; 0, _xlpm.check4, IF(_xlpm.dep4 = "", IF(_xlpm.val = "", IF(OR('3757 - Wall Stickers'!Y$7 = "", '3757 - Wall Stickers'!Y$7 = "N/A"), "3:Three feature bullets must be filled", ""), ""), ""))))))))))))</f>
        <v>0</v>
      </c>
      <c r="Z8" s="22" cm="1">
        <f t="array" ref="Z8">_xlfn.MAP('3757 - Wall Stickers'!B8:B507, '3757 - Wall Stickers'!Z8:Z507,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Z$3="Required"), IF(OR('3757 - Wall Stickers'!Z$7 = "", '3757 - Wall Stickers'!Z$7 = "N/A"), "3:Feature Bullet - Value is required", ""), ""))))))))</f>
        <v>0</v>
      </c>
      <c r="AA8" s="22" cm="1">
        <f t="array" ref="AA8">_xlfn.MAP('3757 - Wall Stickers'!B8:B507, '3757 - Wall Stickers'!AA8:AA507, '3757 - Wall Stickers'!J8:J507, _xlfn.LAMBDA(_xlpm.part, _xlpm.val, _xlpm.dep1, IF(_xlpm.part = "", "", _xlfn.LET(_xlpm.check1, IF(AND(_xlpm.val = "", _xlpm.dep1 = "NON-PRIMARY VARIANT"), "2:Autofill", ""), IF(LEN(_xlpm.check1) &gt; 0, _xlpm.check1, _xlfn.LET(_xlpm.check2, IF(OR(ISNUMBER(SEARCH({"&lt;","&gt;","^","Ø","•","‣","⁃","⁌","™","∙","⌀","◦"}, _xlpm.val))), "1:Feature Bullet cannot contain special characters ([™Ø⌀•‣◦⁃⁌⁍∙&lt;&gt;])", ""), IF(LEN(_xlpm.check2) &gt; 0, _xlpm.check2, IF(AND(_xlpm.val = "", AA$3="Required"), IF(OR('3757 - Wall Stickers'!AA$7 = "", '3757 - Wall Stickers'!AA$7 = "N/A"), "3:Feature Bullet - Value is required", ""), ""))))))))</f>
        <v>0</v>
      </c>
      <c r="AB8" s="22" cm="1">
        <f t="array" ref="AB8">_xlfn.MAP('3757 - Wall Stickers'!B8:B507, '3757 - Wall Stickers'!AB8:AB507,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"1:Minimum Order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AB$3="Required"), IF(OR('3757 - Wall Stickers'!AB$7 = "", '3757 - Wall Stickers'!AB$7 = "N/A"), "3:Minimum Order Quantity - Value is required", ""), ""))))))))))))</f>
        <v>0</v>
      </c>
      <c r="AC8" s="22" cm="1">
        <f t="array" ref="AC8">_xlfn.MAP('3757 - Wall Stickers'!B8:B507, '3757 - Wall Stickers'!AC8:AC507,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"1:Force Quantity Multiplier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AC$3="Required"), IF(OR('3757 - Wall Stickers'!AC$7 = "", '3757 - Wall Stickers'!AC$7 = "N/A"), "3:Force Quantity Multiplier - Value is required", ""), ""))))))))))))</f>
        <v>0</v>
      </c>
      <c r="AD8" s="22" cm="1">
        <f t="array" ref="AD8">_xlfn.MAP('3757 - Wall Stickers'!B8:B507, '3757 - Wall Stickers'!AD8:AD507,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"1:Display Set Quantity - Value should be numeric", ""), IF(LEN(_xlpm.check2) &gt; 0, _xlpm.check2, _xlfn.LET(_xlpm.check3, IF(AND(_xlpm.val &lt;&gt; "" ,IFERROR(VALUE(_xlpm.val), _xlpm.val)&lt;1), "1:Product quantities must be greater than 0", ""), IF(LEN(_xlpm.check3) &gt; 0, _xlpm.check3, _xlfn.LET(_xlpm.check4, IF(AND(_xlpm.val &lt;&gt; "" , IFERROR(VALUE(_xlpm.val), _xlpm.val)&gt;32767), "1:Product quantities must be less than 32767", ""), IF(LEN(_xlpm.check4) &gt; 0, _xlpm.check4, IF(AND(_xlpm.val = "", AD$3="Required"), IF(OR('3757 - Wall Stickers'!AD$7 = "", '3757 - Wall Stickers'!AD$7 = "N/A"), "3:Display Set Quantity - Value is required", ""), ""))))))))))))</f>
        <v>0</v>
      </c>
      <c r="AE8" s="22" cm="1">
        <f t="array" ref="AE8">_xlfn.MAP('3757 - Wall Stickers'!B8:B507, '3757 - Wall Stickers'!AE8:AE507, '3757 - Wall Stickers'!J8:J507, _xlfn.LAMBDA(_xlpm.part, _xlpm.val, _xlpm.dep1, IF(_xlpm.part = "", "", _xlfn.LET(_xlpm.check1, IF(AND(_xlpm.val = "", _xlpm.dep1 = "NON-PRIMARY VARIANT"), "2:Autofill", ""), IF(LEN(_xlpm.check1) &gt; 0, _xlpm.check1, _xlfn.LET(_xlpm.check2, IF(AND(NOT(ISBLANK(_xlpm.val)),OR(NOT(ISNUMBER(IFERROR(VALUE(_xlpm.val), ""))), IFERROR(VALUE(_xlpm.val), -1) &lt; 0)), "1:Product Weight - Value should be numeric", ""), IF(LEN(_xlpm.check2) &gt; 0, _xlpm.check2, _xlfn.LET(_xlpm.check3, IF(AND(_xlpm.val &lt;&gt; "" ,IFERROR(VALUE(_xlpm.val), _xlpm.val)&lt;0), "1:Product weight must be a positive number", ""), IF(LEN(_xlpm.check3) &gt; 0, _xlpm.check3, IF(AND(_xlpm.val = "", AE$3="Required"), IF(OR('3757 - Wall Stickers'!AE$7 = "", '3757 - Wall Stickers'!AE$7 = "N/A"), "3:Product Weight - Value is required", ""), ""))))))))))</f>
        <v>0</v>
      </c>
      <c r="AF8" s="22" cm="1">
        <f t="array" ref="AF8">_xlfn.MAP('3757 - Wall Stickers'!B8:B507, '3757 - Wall Stickers'!AF8:AF507, '3757 - Wall Stickers'!J8:J507, _xlfn.LAMBDA(_xlpm.part, _xlpm.val, _xlpm.dep1, IF(_xlpm.part = "", "", _xlfn.LET(_xlpm.check1, IF(AND(_xlpm.val = "", _xlpm.dep1 = "NON-PRIMARY VARIANT"), "2:Autofill", ""), IF(LEN(_xlpm.check1) &gt; 0, _xlpm.check1, IF(AND(_xlpm.val = "", AF$3="Required"), IF(OR('3757 - Wall Stickers'!AF$7 = "", '3757 - Wall Stickers'!AF$7 = "N/A"), "3:Ship Type - Value is required", ""), ""))))))</f>
        <v>0</v>
      </c>
      <c r="AG8" s="22" cm="1">
        <f t="array" ref="AG8">_xlfn.MAP('3757 - Wall Stickers'!B8:B507, '3757 - Wall Stickers'!AG8:AG507, '3757 - Wall Stickers'!J8:J507, _xlfn.LAMBDA(_xlpm.part, _xlpm.val, _xlpm.dep1, IF(_xlpm.part = "", "", _xlfn.LET(_xlpm.check1, IF(AND(_xlpm.val = "", _xlpm.dep1 = "NON-PRIMARY VARIANT"), "2:Autofill", ""), IF(LEN(_xlpm.check1) &gt; 0, _xlpm.check1, IF(AND(_xlpm.val = "", AG$3="Required"), IF(OR('3757 - Wall Stickers'!AG$7 = "", '3757 - Wall Stickers'!AG$7 = "N/A"), "3:Freight Class - Value is required", ""), ""))))))</f>
        <v>0</v>
      </c>
      <c r="AH8" s="22" cm="1">
        <f t="array" ref="AH8">_xlfn.MAP('3757 - Wall Stickers'!B8:B507, '3757 - Wall Stickers'!AH8:AH507, '3757 - Wall Stickers'!J8:J507, _xlfn.LAMBDA(_xlpm.part, _xlpm.val, _xlpm.dep1, IF(_xlpm.part = "", "", _xlfn.LET(_xlpm.check1, IF(AND(_xlpm.val = "", _xlpm.dep1 = "NON-PRIMARY VARIANT"), "2:Autofill", ""), IF(LEN(_xlpm.check1) &gt; 0, _xlpm.check1, IF(AND(_xlpm.val = "", AH$3="Required"), IF(OR('3757 - Wall Stickers'!AH$7 = "", '3757 - Wall Stickers'!AH$7 = "N/A"), "3:Lead Time - Value is required", ""), ""))))))</f>
        <v>0</v>
      </c>
      <c r="AI8" s="22" cm="1">
        <f t="array" ref="AI8">_xlfn.MAP('3757 - Wall Stickers'!B8:B507, '3757 - Wall Stickers'!AI8:AI507, '3757 - Wall Stickers'!J8:J507, _xlfn.LAMBDA(_xlpm.part, _xlpm.val, _xlpm.dep1, IF(_xlpm.part = "", "", _xlfn.LET(_xlpm.check1, IF(AND(_xlpm.val = "", _xlpm.dep1 = "NON-PRIMARY VARIANT"), "2:Autofill", ""), IF(LEN(_xlpm.check1) &gt; 0, _xlpm.check1, IF(AND(_xlpm.val = "", AI$3="Required"), IF(OR('3757 - Wall Stickers'!AI$7 = "", '3757 - Wall Stickers'!AI$7 = "N/A"), "3:Replacement Lead Time - Value is required", ""), ""))))))</f>
        <v>0</v>
      </c>
      <c r="AJ8" s="22" cm="1">
        <f t="array" ref="AJ8">_xlfn.MAP('3757 - Wall Stickers'!B8:B507, '3757 - Wall Stickers'!AJ8:AJ507, '3757 - Wall Stickers'!J8:J507, _xlfn.LAMBDA(_xlpm.part, _xlpm.val, _xlpm.dep1, IF(_xlpm.part = "", "", _xlfn.LET(_xlpm.check1, IF(AND(_xlpm.val = "", _xlpm.dep1 = "NON-PRIMARY VARIANT"), "2:Autofill", ""), IF(LEN(_xlpm.check1) &gt; 0, _xlpm.check1, _xlfn.LET(_xlpm.check2, IF(AND(_xlpm.val &lt;&gt; "", LEN(_xlpm.val) &lt; 5), "1:NMFC must contain at least 5 digits", ""), IF(LEN(_xlpm.check2) &gt; 0, _xlpm.check2, IF(AND(_xlpm.val = "", AJ$3="Required"), IF(OR('3757 - Wall Stickers'!AJ$7 = "", '3757 - Wall Stickers'!AJ$7 = "N/A"), "3:National Motor Freight Class - Value is required", ""), ""))))))))</f>
        <v>0</v>
      </c>
      <c r="AK8" s="22" cm="1">
        <f t="array" ref="AK8">_xlfn.MAP('3757 - Wall Stickers'!B8:B507, '3757 - Wall Stickers'!AK8:AK507, '3757 - Wall Stickers'!J8:J507, _xlfn.LAMBDA(_xlpm.part, _xlpm.val, _xlpm.dep1, IF(_xlpm.part = "", "", _xlfn.LET(_xlpm.check1, IF(AND(_xlpm.val = "", _xlpm.dep1 = "NON-PRIMARY VARIANT"), "2:Autofill", ""), IF(LEN(_xlpm.check1) &gt; 0, _xlpm.check1, IF(AND(_xlpm.val = "", AK$3="Required"), IF(OR('3757 - Wall Stickers'!AK$7 = "", '3757 - Wall Stickers'!AK$7 = "N/A"), "3:Flat Pack - Value is required", ""), ""))))))</f>
        <v>0</v>
      </c>
      <c r="AL8" s="22" cm="1">
        <f t="array" ref="AL8">_xlfn.MAP('3757 - Wall Stickers'!B8:B507, '3757 - Wall Stickers'!AL8:AL507, '3757 - Wall Stickers'!J8:J507, _xlfn.LAMBDA(_xlpm.part, _xlpm.val, _xlpm.dep1, IF(_xlpm.part = "", "", _xlfn.LET(_xlpm.check1, IF(AND(_xlpm.val = "", _xlpm.dep1 = "NON-PRIMARY VARIANT"), "2:Autofill", ""), IF(LEN(_xlpm.check1) &gt; 0, _xlpm.check1, IF(AND(_xlpm.val = "", AL$3="Required"), IF(OR('3757 - Wall Stickers'!AL$7 = "", '3757 - Wall Stickers'!AL$7 = "N/A"), "3:Ship Palletized - Value is required", ""), ""))))))</f>
        <v>0</v>
      </c>
      <c r="AM8" s="22" cm="1">
        <f t="array" ref="AM8">_xlfn.MAP('3757 - Wall Stickers'!B8:B507, '3757 - Wall Stickers'!AM8:AM507, '3757 - Wall Stickers'!AN8:AN507, '3757 - Wall Stickers'!AO8:AO507, '3757 - Wall Stickers'!AP8:AP507,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AM$3="Required"), IF(OR('3757 - Wall Stickers'!AM$7 = "", '3757 - Wall Stickers'!AM$7 = "N/A"), "3:Carton Weight - Value is required", ""), ""), IF(LEN(_xlpm.check3) &gt; 0, _xlpm.check3, _xlfn.LET(_xlpm.check4, IF(OR(_xlpm.dep1 &lt;&gt; "", _xlpm.dep2 &lt;&gt; "", _xlpm.dep3 &lt;&gt; ""), IF(_xlpm.val = "", IF(OR('3757 - Wall Stickers'!AM$7 = "", '3757 - Wall Stickers'!AM$7 = "N/A"), "3:Shipping weight is required", ""), ""), ""), IF(LEN(_xlpm.check4) &gt; 0, _xlpm.check4, IF(AND(_xlpm.dep3 = "", _xlpm.dep1 = "", _xlpm.dep2 = ""), IF(_xlpm.val = "", IF(OR('3757 - Wall Stickers'!AM$7 = "", '3757 - Wall Stickers'!AM$7 = "N/A"), "3:Shipping weight is required", ""), ""), ""))))))))))))</f>
        <v>0</v>
      </c>
      <c r="AN8" s="22" cm="1">
        <f t="array" ref="AN8">_xlfn.MAP('3757 - Wall Stickers'!B8:B507, '3757 - Wall Stickers'!AN8:AN507, '3757 - Wall Stickers'!AM8:AM507, '3757 - Wall Stickers'!AO8:AO507, '3757 - Wall Stickers'!AP8:AP507,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AN$3="Required"), IF(OR('3757 - Wall Stickers'!AN$7 = "", '3757 - Wall Stickers'!AN$7 = "N/A"), "3:Carton Height - Value is required", ""), ""), IF(LEN(_xlpm.check3) &gt; 0, _xlpm.check3, _xlfn.LET(_xlpm.check4, IF(OR(_xlpm.dep1 &lt;&gt; "", _xlpm.dep2 &lt;&gt; "", _xlpm.dep3 &lt;&gt; ""), IF(_xlpm.val = "", IF(OR('3757 - Wall Stickers'!AN$7 = "", '3757 - Wall Stickers'!AN$7 = "N/A"), "3:Carton height is required", ""), ""), ""), IF(LEN(_xlpm.check4) &gt; 0, _xlpm.check4, IF(AND(_xlpm.dep1 = "", _xlpm.dep3 = "", _xlpm.dep2 = ""), IF(_xlpm.val = "", IF(OR('3757 - Wall Stickers'!AN$7 = "", '3757 - Wall Stickers'!AN$7 = "N/A"), "3:Carton height is required", ""), ""), ""))))))))))))</f>
        <v>0</v>
      </c>
      <c r="AO8" s="22" cm="1">
        <f t="array" ref="AO8">_xlfn.MAP('3757 - Wall Stickers'!B8:B507, '3757 - Wall Stickers'!AO8:AO507, '3757 - Wall Stickers'!AM8:AM507, '3757 - Wall Stickers'!AN8:AN507, '3757 - Wall Stickers'!AP8:AP507,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AO$3="Required"), IF(OR('3757 - Wall Stickers'!AO$7 = "", '3757 - Wall Stickers'!AO$7 = "N/A"), "3:Carton Width - Value is required", ""), ""), IF(LEN(_xlpm.check3) &gt; 0, _xlpm.check3, _xlfn.LET(_xlpm.check4, IF(OR(_xlpm.dep1 &lt;&gt; "", _xlpm.dep2 &lt;&gt; "", _xlpm.dep3 &lt;&gt; ""), IF(_xlpm.val = "", IF(OR('3757 - Wall Stickers'!AO$7 = "", '3757 - Wall Stickers'!AO$7 = "N/A"), "3:Carton width is required", ""), ""), ""), IF(LEN(_xlpm.check4) &gt; 0, _xlpm.check4, IF(AND(_xlpm.dep1 = "", _xlpm.dep2 = "", _xlpm.dep3 = ""), IF(_xlpm.val = "", IF(OR('3757 - Wall Stickers'!AO$7 = "", '3757 - Wall Stickers'!AO$7 = "N/A"), "3:Carton width is required", ""), ""), ""))))))))))))</f>
        <v>0</v>
      </c>
      <c r="AP8" s="22" cm="1">
        <f t="array" ref="AP8">_xlfn.MAP('3757 - Wall Stickers'!B8:B507, '3757 - Wall Stickers'!AP8:AP507, '3757 - Wall Stickers'!AM8:AM507, '3757 - Wall Stickers'!AN8:AN507, '3757 - Wall Stickers'!AO8:AO507,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AP$3="Required"), IF(OR('3757 - Wall Stickers'!AP$7 = "", '3757 - Wall Stickers'!AP$7 = "N/A"), "3:Carton Depth - Value is required", ""), ""), IF(LEN(_xlpm.check3) &gt; 0, _xlpm.check3, _xlfn.LET(_xlpm.check4, IF(OR(_xlpm.dep1 &lt;&gt; "", _xlpm.dep2 &lt;&gt; "", _xlpm.dep3 &lt;&gt; ""), IF(_xlpm.val = "", IF(OR('3757 - Wall Stickers'!AP$7 = "", '3757 - Wall Stickers'!AP$7 = "N/A"), "3:Carton depth is required", ""), ""), ""), IF(LEN(_xlpm.check4) &gt; 0, _xlpm.check4, IF(AND(_xlpm.dep1 = "", _xlpm.dep2 = "", _xlpm.dep3 = ""), IF(_xlpm.val = "", IF(OR('3757 - Wall Stickers'!AP$7 = "", '3757 - Wall Stickers'!AP$7 = "N/A"), "3:Carton depth is required", ""), ""), ""))))))))))))</f>
        <v>0</v>
      </c>
      <c r="AQ8" s="22" cm="1">
        <f t="array" ref="AQ8">_xlfn.MAP('3757 - Wall Stickers'!B8:B507, '3757 - Wall Stickers'!AQ8:AQ507, _xlfn.LAMBDA(_xlpm.part, _xlpm.val, IF(_xlpm.part = "", "", IF(AND(_xlpm.val = "", AQ$3="Required"), IF(OR('3757 - Wall Stickers'!AQ$7 = "", '3757 - Wall Stickers'!AQ$7 = "N/A"), "3:Image File Name or URL - Value is required", ""), ""))))</f>
        <v>0</v>
      </c>
      <c r="AR8" s="22" cm="1">
        <f t="array" ref="AR8">_xlfn.MAP('3757 - Wall Stickers'!B8:B507, '3757 - Wall Stickers'!AR8:AR507, _xlfn.LAMBDA(_xlpm.part, _xlpm.val, IF(_xlpm.part = "", "", IF(AND(_xlpm.val = "", AR$3="Required"), IF(OR('3757 - Wall Stickers'!AR$7 = "", '3757 - Wall Stickers'!AR$7 = "N/A"), "3:Image File Name or URL - Value is required", ""), ""))))</f>
        <v>0</v>
      </c>
      <c r="AS8" s="22" cm="1">
        <f t="array" ref="AS8">_xlfn.MAP('3757 - Wall Stickers'!B8:B507, '3757 - Wall Stickers'!AS8:AS507, _xlfn.LAMBDA(_xlpm.part, _xlpm.val, IF(_xlpm.part = "", "", IF(AND(_xlpm.val = "", AS$3="Required"), IF(OR('3757 - Wall Stickers'!AS$7 = "", '3757 - Wall Stickers'!AS$7 = "N/A"), "3:Image File Name or URL - Value is required", ""), ""))))</f>
        <v>0</v>
      </c>
      <c r="AT8" s="22" cm="1">
        <f t="array" ref="AT8">_xlfn.MAP('3757 - Wall Stickers'!B8:B507, '3757 - Wall Stickers'!AT8:AT507, _xlfn.LAMBDA(_xlpm.part, _xlpm.val, IF(_xlpm.part = "", "", IF(AND(_xlpm.val = "", AT$3="Required"), IF(OR('3757 - Wall Stickers'!AT$7 = "", '3757 - Wall Stickers'!AT$7 = "N/A"), "3:Image File Name or URL - Value is required", ""), ""))))</f>
        <v>0</v>
      </c>
      <c r="AU8" s="22" cm="1">
        <f t="array" ref="AU8">_xlfn.MAP('3757 - Wall Stickers'!B8:B507, '3757 - Wall Stickers'!AU8:AU507, _xlfn.LAMBDA(_xlpm.part, _xlpm.val, IF(_xlpm.part = "", "", IF(AND(_xlpm.val = "", AU$3="Required"), IF(OR('3757 - Wall Stickers'!AU$7 = "", '3757 - Wall Stickers'!AU$7 = "N/A"), "3:Image File Name or URL - Value is required", ""), ""))))</f>
        <v>0</v>
      </c>
      <c r="AV8" s="22" cm="1">
        <f t="array" ref="AV8">_xlfn.MAP('3757 - Wall Stickers'!B8:B507, '3757 - Wall Stickers'!AV8:AV507, _xlfn.LAMBDA(_xlpm.part, _xlpm.val, IF(_xlpm.part = "", "", IF(AND(_xlpm.val = "", AV$3="Required"), IF(OR('3757 - Wall Stickers'!AV$7 = "", '3757 - Wall Stickers'!AV$7 = "N/A"), "3:Video File Name or URL - Value is required", ""), ""))))</f>
        <v>0</v>
      </c>
      <c r="AW8" s="22" cm="1">
        <f t="array" ref="AW8">_xlfn.MAP('3757 - Wall Stickers'!B8:B507, '3757 - Wall Stickers'!AW8:AW507, '3757 - Wall Stickers'!AX8:AX507, '3757 - Wall Stickers'!AY8:AY507, '3757 - Wall Stickers'!AZ8:AZ507, _xlfn.LAMBDA(_xlpm.part, _xlpm.val, _xlpm.dep1, _xlpm.dep2, _xlpm.dep3, IF(_xlpm.part = "", "", IF(AND(_xlpm.val = "", AW$3="Required"), IF(OR('3757 - Wall Stickers'!AW$7 = "", '3757 - Wall Stickers'!AW$7 = "N/A"), "3:Document File Name or URL - Value is required", ""), ""))))</f>
        <v>0</v>
      </c>
      <c r="AX8" s="22" cm="1">
        <f t="array" ref="AX8">_xlfn.MAP('3757 - Wall Stickers'!B8:B507, '3757 - Wall Stickers'!AX8:AX507,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AX$3="Required"), IF(OR('3757 - Wall Stickers'!AX$7 = "", '3757 - Wall Stickers'!AX$7 = "N/A"), "3:Document Type - Value is required", ""), ""))))))</f>
        <v>0</v>
      </c>
      <c r="AY8" s="22" cm="1">
        <f t="array" ref="AY8">_xlfn.MAP('3757 - Wall Stickers'!B8:B507, '3757 - Wall Stickers'!AY8:AY507,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AY$3="Required"), IF(OR('3757 - Wall Stickers'!AY$7 = "", '3757 - Wall Stickers'!AY$7 = "N/A"), "3:Legal Document Type - Value is required", ""), ""))))))</f>
        <v>0</v>
      </c>
      <c r="AZ8" s="22" cm="1">
        <f t="array" ref="AZ8">_xlfn.MAP('3757 - Wall Stickers'!B8:B507, '3757 - Wall Stickers'!AZ8:AZ507, _xlfn.LAMBDA(_xlpm.part, _xlpm.val, IF(_xlpm.part = "", "", IF(AND(_xlpm.val = "", AZ$3="Required"), IF(OR('3757 - Wall Stickers'!AZ$7 = "", '3757 - Wall Stickers'!AZ$7 = "N/A"), "3:Document Region - Value is required", ""), ""))))</f>
        <v>0</v>
      </c>
      <c r="BA8" s="22" cm="1">
        <f t="array" ref="BA8">_xlfn.MAP('3757 - Wall Stickers'!B8:B507, '3757 - Wall Stickers'!BA8:BA507, '3757 - Wall Stickers'!BB8:BB507, '3757 - Wall Stickers'!BC8:BC507, '3757 - Wall Stickers'!BD8:BD507, _xlfn.LAMBDA(_xlpm.part, _xlpm.val, _xlpm.dep1, _xlpm.dep2, _xlpm.dep3, IF(_xlpm.part = "", "", IF(AND(_xlpm.val = "", BA$3="Required"), IF(OR('3757 - Wall Stickers'!BA$7 = "", '3757 - Wall Stickers'!BA$7 = "N/A"), "3:Document File Name or URL - Value is required", ""), ""))))</f>
        <v>0</v>
      </c>
      <c r="BB8" s="22" cm="1">
        <f t="array" ref="BB8">_xlfn.MAP('3757 - Wall Stickers'!B8:B507, '3757 - Wall Stickers'!BB8:BB507,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BB$3="Required"), IF(OR('3757 - Wall Stickers'!BB$7 = "", '3757 - Wall Stickers'!BB$7 = "N/A"), "3:Document Type - Value is required", ""), ""))))))</f>
        <v>0</v>
      </c>
      <c r="BC8" s="22" cm="1">
        <f t="array" ref="BC8">_xlfn.MAP('3757 - Wall Stickers'!B8:B507, '3757 - Wall Stickers'!BC8:BC507,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BC$3="Required"), IF(OR('3757 - Wall Stickers'!BC$7 = "", '3757 - Wall Stickers'!BC$7 = "N/A"), "3:Legal Document Type - Value is required", ""), ""))))))</f>
        <v>0</v>
      </c>
      <c r="BD8" s="22" cm="1">
        <f t="array" ref="BD8">_xlfn.MAP('3757 - Wall Stickers'!B8:B507, '3757 - Wall Stickers'!BD8:BD507, _xlfn.LAMBDA(_xlpm.part, _xlpm.val, IF(_xlpm.part = "", "", IF(AND(_xlpm.val = "", BD$3="Required"), IF(OR('3757 - Wall Stickers'!BD$7 = "", '3757 - Wall Stickers'!BD$7 = "N/A"), "3:Document Region - Value is required", ""), ""))))</f>
        <v>0</v>
      </c>
      <c r="BE8" s="22" cm="1">
        <f t="array" ref="BE8">_xlfn.MAP('3757 - Wall Stickers'!B8:B507, '3757 - Wall Stickers'!BE8:BE507, '3757 - Wall Stickers'!BF8:BF507, '3757 - Wall Stickers'!BG8:BG507, '3757 - Wall Stickers'!BH8:BH507, _xlfn.LAMBDA(_xlpm.part, _xlpm.val, _xlpm.dep1, _xlpm.dep2, _xlpm.dep3, IF(_xlpm.part = "", "", IF(AND(_xlpm.val = "", BE$3="Required"), IF(OR('3757 - Wall Stickers'!BE$7 = "", '3757 - Wall Stickers'!BE$7 = "N/A"), "3:Document File Name or URL - Value is required", ""), ""))))</f>
        <v>0</v>
      </c>
      <c r="BF8" s="22" cm="1">
        <f t="array" ref="BF8">_xlfn.MAP('3757 - Wall Stickers'!B8:B507, '3757 - Wall Stickers'!BF8:BF507,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BF$3="Required"), IF(OR('3757 - Wall Stickers'!BF$7 = "", '3757 - Wall Stickers'!BF$7 = "N/A"), "3:Document Type - Value is required", ""), ""))))))</f>
        <v>0</v>
      </c>
      <c r="BG8" s="22" cm="1">
        <f t="array" ref="BG8">_xlfn.MAP('3757 - Wall Stickers'!B8:B507, '3757 - Wall Stickers'!BG8:BG507,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BG$3="Required"), IF(OR('3757 - Wall Stickers'!BG$7 = "", '3757 - Wall Stickers'!BG$7 = "N/A"), "3:Legal Document Type - Value is required", ""), ""))))))</f>
        <v>0</v>
      </c>
      <c r="BH8" s="22" cm="1">
        <f t="array" ref="BH8">_xlfn.MAP('3757 - Wall Stickers'!B8:B507, '3757 - Wall Stickers'!BH8:BH507, _xlfn.LAMBDA(_xlpm.part, _xlpm.val, IF(_xlpm.part = "", "", IF(AND(_xlpm.val = "", BH$3="Required"), IF(OR('3757 - Wall Stickers'!BH$7 = "", '3757 - Wall Stickers'!BH$7 = "N/A"), "3:Document Region - Value is required", ""), ""))))</f>
        <v>0</v>
      </c>
      <c r="BI8" s="22" cm="1">
        <f t="array" ref="BI8">_xlfn.MAP('3757 - Wall Stickers'!B8:B507, '3757 - Wall Stickers'!BI8:BI507, _xlfn.LAMBDA(_xlpm.part, _xlpm.val, IF(_xlpm.part = "", "", IF(AND(_xlpm.val = "", BI$3="Required"), IF(OR('3757 - Wall Stickers'!BI$7 = "", '3757 - Wall Stickers'!BI$7 = "N/A"), "3:Product Type - Value is required", ""), ""))))</f>
        <v>0</v>
      </c>
      <c r="BJ8" s="22" cm="1">
        <f t="array" ref="BJ8">_xlfn.MAP('3757 - Wall Stickers'!B8:B507, '3757 - Wall Stickers'!BJ8:BJ507, _xlfn.LAMBDA(_xlpm.part, _xlpm.val, IF(_xlpm.part = "", "", IF(AND(_xlpm.val = "", BJ$3="Required"), IF(OR('3757 - Wall Stickers'!BJ$7 = "", '3757 - Wall Stickers'!BJ$7 = "N/A"), "3:Subject - Value is required", ""), ""))))</f>
        <v>0</v>
      </c>
      <c r="BK8" s="22" cm="1">
        <f t="array" ref="BK8">_xlfn.MAP('3757 - Wall Stickers'!B8:B507, '3757 - Wall Stickers'!BK8:BK507, _xlfn.LAMBDA(_xlpm.part, _xlpm.val, IF(_xlpm.part = "", "", IF(AND(_xlpm.val = "", BK$3="Required"), IF(OR('3757 - Wall Stickers'!BK$7 = "", '3757 - Wall Stickers'!BK$7 = "N/A"), "3:Surface Type - Value is required", ""), ""))))</f>
        <v>0</v>
      </c>
      <c r="BL8" s="22" cm="1">
        <f t="array" ref="BL8">_xlfn.MAP('3757 - Wall Stickers'!B8:B507, '3757 - Wall Stickers'!BL8:BL507, _xlfn.LAMBDA(_xlpm.part, _xlpm.val, IF(_xlpm.part = "", "", IF(AND(_xlpm.val = "", BL$3="Required"), IF(OR('3757 - Wall Stickers'!BL$7 = "", '3757 - Wall Stickers'!BL$7 = "N/A"), "3:Material - Value is required", ""), ""))))</f>
        <v>0</v>
      </c>
      <c r="BM8" s="22" cm="1">
        <f t="array" ref="BM8">_xlfn.MAP('3757 - Wall Stickers'!B8:B507, '3757 - Wall Stickers'!BM8:BM507, _xlfn.LAMBDA(_xlpm.part, _xlpm.val, IF(_xlpm.part = "", "", IF(AND(_xlpm.val = "", BM$3="Required"), IF(OR('3757 - Wall Stickers'!BM$7 = "", '3757 - Wall Stickers'!BM$7 = "N/A"), "3:Compatible Surfaces - Value is required", ""), ""))))</f>
        <v>0</v>
      </c>
      <c r="BN8" s="22" cm="1">
        <f t="array" ref="BN8">_xlfn.MAP('3757 - Wall Stickers'!B8:B507, '3757 - Wall Stickers'!BN8:BN507, _xlfn.LAMBDA(_xlpm.part, _xlpm.val, IF(_xlpm.part = "", "", IF(AND(_xlpm.val = "", BN$3="Required"), IF(OR('3757 - Wall Stickers'!BN$7 = "", '3757 - Wall Stickers'!BN$7 = "N/A"), "3:Personalization or Monogramming - Value is required", ""), ""))))</f>
        <v>0</v>
      </c>
      <c r="BO8" s="22" cm="1">
        <f t="array" ref="BO8">_xlfn.MAP('3757 - Wall Stickers'!B8:B507, '3757 - Wall Stickers'!BO8:BO507, _xlfn.LAMBDA(_xlpm.part, _xlpm.val, IF(_xlpm.part = "", "", IF(AND(_xlpm.val = "", BO$3="Required"), IF(OR('3757 - Wall Stickers'!BO$7 = "", '3757 - Wall Stickers'!BO$7 = "N/A"), "3:Room Use - Value is required", ""), ""))))</f>
        <v>0</v>
      </c>
      <c r="BP8" s="22" cm="1">
        <f t="array" ref="BP8">_xlfn.MAP('3757 - Wall Stickers'!B8:B507, '3757 - Wall Stickers'!BP8:BP507, _xlfn.LAMBDA(_xlpm.part, _xlpm.val, IF(_xlpm.part = "", "", IF(AND(_xlpm.val = "", BP$3="Required"), IF(OR('3757 - Wall Stickers'!BP$7 = "", '3757 - Wall Stickers'!BP$7 = "N/A"), "3:Country of Origin - Value is required", ""), ""))))</f>
        <v>0</v>
      </c>
      <c r="BQ8" s="22" cm="1">
        <f t="array" ref="BQ8">_xlfn.MAP('3757 - Wall Stickers'!B8:B507, '3757 - Wall Stickers'!BQ8:BQ507, _xlfn.LAMBDA(_xlpm.part, _xlpm.val, IF(_xlpm.part = "", "", IF(AND(_xlpm.val = "", BQ$3="Required"), IF(OR('3757 - Wall Stickers'!BQ$7 = "", '3757 - Wall Stickers'!BQ$7 = "N/A"), "3:Holiday / Occasion - Value is required", ""), ""))))</f>
        <v>0</v>
      </c>
      <c r="BR8" s="22" cm="1">
        <f t="array" ref="BR8">_xlfn.MAP('3757 - Wall Stickers'!B8:B507, '3757 - Wall Stickers'!BR8:BR507, _xlfn.LAMBDA(_xlpm.part, _xlpm.val, IF(_xlpm.part = "", "", IF(AND(_xlpm.val = "", BR$3="Required"), IF(OR('3757 - Wall Stickers'!BR$7 = "", '3757 - Wall Stickers'!BR$7 = "N/A"), "3:Country of Origin - Additional Details - Value is required", ""), ""))))</f>
        <v>0</v>
      </c>
      <c r="BS8" s="22" cm="1">
        <f t="array" ref="BS8">_xlfn.MAP('3757 - Wall Stickers'!B8:B507, '3757 - Wall Stickers'!BS8:BS507, _xlfn.LAMBDA(_xlpm.part, _xlpm.val, IF(_xlpm.part = "", "", IF(AND(_xlpm.val = "", BS$3="Required"), IF(OR('3757 - Wall Stickers'!BS$7 = "", '3757 - Wall Stickers'!BS$7 = "N/A"), "3:BPA Free - Value is required", ""), ""))))</f>
        <v>0</v>
      </c>
      <c r="BT8" s="22" cm="1">
        <f t="array" ref="BT8">_xlfn.MAP('3757 - Wall Stickers'!B8:B507, '3757 - Wall Stickers'!BT8:BT507, _xlfn.LAMBDA(_xlpm.part, _xlpm.val, IF(_xlpm.part = "", "", IF(AND(_xlpm.val = "", BT$3="Required"), IF(OR('3757 - Wall Stickers'!BT$7 = "", '3757 - Wall Stickers'!BT$7 = "N/A"), "3:Licensed Product Category - Value is required", ""), ""))))</f>
        <v>0</v>
      </c>
      <c r="BU8" s="22" cm="1">
        <f t="array" ref="BU8">_xlfn.MAP('3757 - Wall Stickers'!B8:B507, '3757 - Wall Stickers'!BU8:BU507, _xlfn.LAMBDA(_xlpm.part, _xlpm.val, IF(_xlpm.part = "", "", IF(AND(_xlpm.val = "", BU$3="Required"), IF(OR('3757 - Wall Stickers'!BU$7 = "", '3757 - Wall Stickers'!BU$7 = "N/A"), "3:Durability - Value is required", ""), ""))))</f>
        <v>0</v>
      </c>
      <c r="BV8" s="22" cm="1">
        <f t="array" ref="BV8">_xlfn.MAP('3757 - Wall Stickers'!B8:B507, '3757 - Wall Stickers'!BV8:BV507, _xlfn.LAMBDA(_xlpm.part, _xlpm.val, IF(_xlpm.part = "", "", IF(AND(_xlpm.val = "", BV$3="Required"), IF(OR('3757 - Wall Stickers'!BV$7 = "", '3757 - Wall Stickers'!BV$7 = "N/A"), "3:Adjustability Features - Value is required", ""), ""))))</f>
        <v>0</v>
      </c>
      <c r="BW8" s="22" cm="1">
        <f t="array" ref="BW8">_xlfn.MAP('3757 - Wall Stickers'!B8:B507, '3757 - Wall Stickers'!BW8:BW507, _xlfn.LAMBDA(_xlpm.part, _xlpm.val, IF(_xlpm.part = "", "", IF(AND(_xlpm.val = "", BW$3="Required"), IF(OR('3757 - Wall Stickers'!BW$7 = "", '3757 - Wall Stickers'!BW$7 = "N/A"), "3:Color - Value is required", ""), ""))))</f>
        <v>0</v>
      </c>
      <c r="BX8" s="22" cm="1">
        <f t="array" ref="BX8">_xlfn.MAP('3757 - Wall Stickers'!B8:B507, '3757 - Wall Stickers'!BX8:BX507, _xlfn.LAMBDA(_xlpm.part, _xlpm.val, IF(_xlpm.part = "", "", _xlfn.LET(_xlpm.check1, IF(AND(NOT(ISBLANK(_xlpm.val)),OR(NOT(ISNUMBER(IFERROR(VALUE(_xlpm.val), ""))), IFERROR(VALUE(_xlpm.val), -1) &lt; 0)), "1:Total Number of Pieces Included - Value should be numeric", ""), IF(LEN(_xlpm.check1) &gt; 0, _xlpm.check1, IF(AND(_xlpm.val = "", BX$3="Required"), IF(OR('3757 - Wall Stickers'!BX$7 = "", '3757 - Wall Stickers'!BX$7 = "N/A"), "3:Total Number of Pieces Included - Value is required", ""), ""))))))</f>
        <v>0</v>
      </c>
      <c r="BY8" s="22" cm="1">
        <f t="array" ref="BY8">_xlfn.MAP('3757 - Wall Stickers'!B8:B507, '3757 - Wall Stickers'!BY8:BY507, _xlfn.LAMBDA(_xlpm.part, _xlpm.val, IF(_xlpm.part = "", "", _xlfn.LET(_xlpm.check1, IF(NOT(ISBLANK(_xlpm.val)),_xlfn.LET(_xlpm.items, _xlfn.TEXTSPLIT(_xlpm.val, ";"),_xlpm.trimmed, _xlfn.MAP(_xlpm.items, _xlfn.LAMBDA(_xlpm.x, TRIM(_xlpm.x))),_xlpm.invalid, _xlfn._xlws.FILTER(_xlpm.trimmed, ISNA(MATCH(_xlpm.trimmed, allowed421593, 0)), ""),IF(AND(_xlpm.invalid&lt;&gt;"", COUNTA(_xlpm.invalid)&gt;0),"1:Please select valid values from the provided list. Answers are case-sensitive and must be separated by a semicolon.","")), ""), IF(LEN(_xlpm.check1) &gt; 0, _xlpm.check1, IF(AND(_xlpm.val = "", BY$3="Required"), IF(OR('3757 - Wall Stickers'!BY$7 = "", '3757 - Wall Stickers'!BY$7 = "N/A"), "3:Pieces Included - Value is required", ""), ""))))))</f>
        <v>0</v>
      </c>
      <c r="BZ8" s="22" cm="1">
        <f t="array" ref="BZ8">_xlfn.MAP('3757 - Wall Stickers'!B8:B507, '3757 - Wall Stickers'!BZ8:BZ507, '3757 - Wall Stickers'!BT8:BT507, _xlfn.LAMBDA(_xlpm.part, _xlpm.val, _xlpm.dep1, IF(_xlpm.part = "", "", _xlfn.LET(_xlpm.check1, IF(AND(_xlpm.val = "", AND(NOT(ISNUMBER(SEARCH("Entertainment/Characters", _xlpm.dep1))), _xlpm.dep1 &lt;&gt; "")), "2:Autofill", ""), IF(LEN(_xlpm.check1) &gt; 0, _xlpm.check1, _xlfn.LET(_xlpm.check2, IF(AND(NOT(ISNUMBER(SEARCH("Entertainment/Characters", _xlpm.dep1))), _xlpm.dep1 &lt;&gt; ""), IF(_xlpm.val &lt;&gt; "Does Not Apply", "1:Based on Licensed Product Category, value should be Does Not Apply", ""), ""), IF(LEN(_xlpm.check2) &gt; 0, _xlpm.check2, IF(AND(_xlpm.val = "", BZ$3="Required"), IF(OR('3757 - Wall Stickers'!BZ$7 = "", '3757 - Wall Stickers'!BZ$7 = "N/A"), "3:Movie / Show Series Name - Value is required", ""), ""))))))))</f>
        <v>0</v>
      </c>
      <c r="CA8" s="22" cm="1">
        <f t="array" ref="CA8">_xlfn.MAP('3757 - Wall Stickers'!B8:B507, '3757 - Wall Stickers'!CA8:CA507, _xlfn.LAMBDA(_xlpm.part, _xlpm.val, IF(_xlpm.part = "", "", IF(AND(_xlpm.val = "", CA$3="Required"), IF(OR('3757 - Wall Stickers'!CA$7 = "", '3757 - Wall Stickers'!CA$7 = "N/A"), "3:General Features - Value is required", ""), ""))))</f>
        <v>0</v>
      </c>
      <c r="CB8" s="22" cm="1">
        <f t="array" ref="CB8">_xlfn.MAP('3757 - Wall Stickers'!B8:B507, '3757 - Wall Stickers'!CB8:CB507, _xlfn.LAMBDA(_xlpm.part, _xlpm.val, IF(_xlpm.part = "", "", _xlfn.LET(_xlpm.check1, IF(NOT(ISBLANK(_xlpm.val)),_xlfn.LET(_xlpm.items, _xlfn.TEXTSPLIT(_xlpm.val, ";"),_xlpm.trimmed, _xlfn.MAP(_xlpm.items, _xlfn.LAMBDA(_xlpm.x, TRIM(_xlpm.x))),_xlpm.invalid, _xlfn._xlws.FILTER(_xlpm.trimmed, ISNA(MATCH(_xlpm.trimmed, allowed437142, 0)), ""),IF(AND(_xlpm.invalid&lt;&gt;"", COUNTA(_xlpm.invalid)&gt;0),"1:Please select valid values from the provided list. Answers are case-sensitive and must be separated by a semicolon.","")), ""), IF(LEN(_xlpm.check1) &gt; 0, _xlpm.check1, IF(AND(_xlpm.val = "", CB$3="Required"), IF(OR('3757 - Wall Stickers'!CB$7 = "", '3757 - Wall Stickers'!CB$7 = "N/A"), "3:Age Group - Value is required", ""), ""))))))</f>
        <v>0</v>
      </c>
      <c r="CC8" s="22" cm="1">
        <f t="array" ref="CC8">_xlfn.MAP('3757 - Wall Stickers'!B8:B507, '3757 - Wall Stickers'!CC8:CC507, _xlfn.LAMBDA(_xlpm.part, _xlpm.val, IF(_xlpm.part = "", "", IF(AND(_xlpm.val = "", CC$3="Required"), IF(OR('3757 - Wall Stickers'!CC$7 = "", '3757 - Wall Stickers'!CC$7 = "N/A"), "3:Overall Height - Top to Bottom - Value is required", ""), ""))))</f>
        <v>0</v>
      </c>
      <c r="CD8" s="22" cm="1">
        <f t="array" ref="CD8">_xlfn.MAP('3757 - Wall Stickers'!B8:B507, '3757 - Wall Stickers'!CD8:CD507, _xlfn.LAMBDA(_xlpm.part, _xlpm.val, IF(_xlpm.part = "", "", _xlfn.LET(_xlpm.check1, IF(AND(NOT(ISBLANK(_xlpm.val)),OR(NOT(ISNUMBER(IFERROR(VALUE(_xlpm.val), ""))), IFERROR(VALUE(_xlpm.val), -1) &lt; 0)), "1:Overall Width - Side to Side - Value should be numeric", ""), IF(LEN(_xlpm.check1) &gt; 0, _xlpm.check1, IF(AND(_xlpm.val = "", CD$3="Required"), IF(OR('3757 - Wall Stickers'!CD$7 = "", '3757 - Wall Stickers'!CD$7 = "N/A"), "3:Overall Width - Side to Side - Value is required", ""), ""))))))</f>
        <v>0</v>
      </c>
      <c r="CE8" s="22" cm="1">
        <f t="array" ref="CE8">_xlfn.MAP('3757 - Wall Stickers'!B8:B507, '3757 - Wall Stickers'!CE8:CE507, _xlfn.LAMBDA(_xlpm.part, _xlpm.val, IF(_xlpm.part = "", "", IF(AND(_xlpm.val = "", CE$3="Required"), IF(OR('3757 - Wall Stickers'!CE$7 = "", '3757 - Wall Stickers'!CE$7 = "N/A"), "3:Commercial Warranty - Value is required", ""), ""))))</f>
        <v>0</v>
      </c>
      <c r="CF8" s="22" cm="1">
        <f t="array" ref="CF8">_xlfn.MAP('3757 - Wall Stickers'!B8:B507, '3757 - Wall Stickers'!CF8:CF507, '3757 - Wall Stickers'!CE8:CE507, _xlfn.LAMBDA(_xlpm.part, _xlpm.val, _xlpm.dep1, IF(_xlpm.part = "", "", _xlfn.LET(_xlpm.check1, IF(AND(_xlpm.val = "", _xlpm.dep1 = "No"), "2:Autofill", ""), IF(LEN(_xlpm.check1) &gt; 0, _xlpm.check1, _xlfn.LET(_xlpm.check2, IF(_xlpm.dep1 = "No", IF(_xlpm.val &lt;&gt; "Does Not Apply", "1:Since Commercial Warranty equals 'No', this value should be 'Does Not Apply'", ""), ""), IF(LEN(_xlpm.check2) &gt; 0, _xlpm.check2, _xlfn.LET(_xlpm.check3, IF(_xlpm.dep1 = "Yes", IF(_xlpm.val = "", IF(OR('3757 - Wall Stickers'!CF$7 = "", '3757 - Wall Stickers'!CF$7 = "N/A"), "3:Since Commercial Warranty equals 'Yes', this field is required", ""), ""), ""), IF(LEN(_xlpm.check3) &gt; 0, _xlpm.check3, IF(AND(_xlpm.val = "", CF$3="Required"), IF(OR('3757 - Wall Stickers'!CF$7 = "", '3757 - Wall Stickers'!CF$7 = "N/A"), "3:Commercial Warranty Length - Value is required", ""), ""))))))))))</f>
        <v>0</v>
      </c>
      <c r="CG8" s="22" cm="1">
        <f t="array" ref="CG8">_xlfn.MAP('3757 - Wall Stickers'!B8:B507, '3757 - Wall Stickers'!CG8:CG507, _xlfn.LAMBDA(_xlpm.part, _xlpm.val, IF(_xlpm.part = "", "", IF(AND(_xlpm.val = "", CG$3="Required"), IF(OR('3757 - Wall Stickers'!CG$7 = "", '3757 - Wall Stickers'!CG$7 = "N/A"), "3:Wayfair Compliance Verified Program (including Baby Safety Alliance fka JPMA) for this product category - Value is required", ""), ""))))</f>
        <v>0</v>
      </c>
      <c r="CH8" s="22" cm="1">
        <f t="array" ref="CH8">_xlfn.MAP('3757 - Wall Stickers'!B8:B507, '3757 - Wall Stickers'!CH8:CH507, '3757 - Wall Stickers'!CG8:CG507, _xlfn.LAMBDA(_xlpm.part, _xlpm.val, _xlpm.dep1, IF(_xlpm.part = "", "", _xlfn.LET(_xlpm.check1, IF(AND(_xlpm.val = "", _xlpm.dep1 = "Yes"), "2:Autofill", ""), IF(LEN(_xlpm.check1) &gt; 0, _xlpm.check1, IF(AND(_xlpm.val = "", CH$3="Required"), IF(OR('3757 - Wall Stickers'!CH$7 = "", '3757 - Wall Stickers'!CH$7 = "N/A"), "3:Uniform Packaging and Labeling Regulations (UPLR) Compliant - Value is required", ""), ""))))))</f>
        <v>0</v>
      </c>
      <c r="CI8" s="22" cm="1">
        <f t="array" ref="CI8">_xlfn.MAP('3757 - Wall Stickers'!B8:B507, '3757 - Wall Stickers'!CI8:CI507, _xlfn.LAMBDA(_xlpm.part, _xlpm.val, IF(_xlpm.part = "", "", IF(AND(_xlpm.val = "", CI$3="Required"), IF(OR('3757 - Wall Stickers'!CI$7 = "", '3757 - Wall Stickers'!CI$7 = "N/A"), "3:Canada Product Restriction - Value is required", ""), ""))))</f>
        <v>0</v>
      </c>
      <c r="CJ8" s="22" cm="1">
        <f t="array" ref="CJ8">_xlfn.MAP('3757 - Wall Stickers'!B8:B507, '3757 - Wall Stickers'!CJ8:CJ507, _xlfn.LAMBDA(_xlpm.part, _xlpm.val, IF(_xlpm.part = "", "", IF(AND(_xlpm.val = "", CJ$3="Required"), IF(OR('3757 - Wall Stickers'!CJ$7 = "", '3757 - Wall Stickers'!CJ$7 = "N/A"), "3:ISTA Certified - Value is required", ""), ""))))</f>
        <v>0</v>
      </c>
      <c r="CK8" s="22" cm="1">
        <f t="array" ref="CK8">_xlfn.MAP('3757 - Wall Stickers'!B8:B507, '3757 - Wall Stickers'!CK8:CK507, _xlfn.LAMBDA(_xlpm.part, _xlpm.val, IF(_xlpm.part = "", "", IF(AND(_xlpm.val = "", CK$3="Required"), IF(OR('3757 - Wall Stickers'!CK$7 = "", '3757 - Wall Stickers'!CK$7 = "N/A"), "3:Sustainability &amp; Social Responsibility Certifications (North America Only) - Value is required", ""), ""))))</f>
        <v>0</v>
      </c>
      <c r="CL8" s="22" cm="1">
        <f t="array" ref="CL8">_xlfn.MAP('3757 - Wall Stickers'!B8:B507, '3757 - Wall Stickers'!CL8:CL507, _xlfn.LAMBDA(_xlpm.part, _xlpm.val, IF(_xlpm.part = "", "", IF(AND(_xlpm.val = "", CL$3="Required"), IF(OR('3757 - Wall Stickers'!CL$7 = "", '3757 - Wall Stickers'!CL$7 = "N/A"), "3:Warning Required - Value is required", ""), ""))))</f>
        <v>0</v>
      </c>
      <c r="CM8" s="22" cm="1">
        <f t="array" ref="CM8">_xlfn.MAP('3757 - Wall Stickers'!B8:B507, '3757 - Wall Stickers'!CM8:CM507, '3757 - Wall Stickers'!CN8:CN507, '3757 - Wall Stickers'!CL8:CL507, _xlfn.LAMBDA(_xlpm.part, _xlpm.val, _xlpm.dep1, _xlpm.dep2, IF(_xlpm.part = "", "", _xlfn.LET(_xlpm.check1, IF(AND(_xlpm.val = "", CM$3="Required"), IF(OR('3757 - Wall Stickers'!CM$7 = "", '3757 - Wall Stickers'!CM$7 = "N/A"), "3:Chemical - Value is required", ""), ""), IF(LEN(_xlpm.check1) &gt; 0, _xlpm.check1, _xlfn.LET(_xlpm.check2, IF(_xlpm.dep1 &lt;&gt; "", IF(_xlpm.val = "", IF(OR('3757 - Wall Stickers'!CM$7 = "", '3757 - Wall Stickers'!CM$7 = "N/A"), "3:Please provide a chemical", ""), ""), ""), IF(LEN(_xlpm.check2) &gt; 0, _xlpm.check2, IF(_xlpm.dep2 = "Yes", IF(_xlpm.val = "", IF(OR('3757 - Wall Stickers'!CM$7 = "", '3757 - Wall Stickers'!CM$7 = "N/A"), "3:If a warning is required, then a chemical must also be provided", ""), ""), ""))))))))</f>
        <v>0</v>
      </c>
      <c r="CN8" s="22" cm="1">
        <f t="array" ref="CN8">_xlfn.MAP('3757 - Wall Stickers'!B8:B507, '3757 - Wall Stickers'!CN8:CN507, '3757 - Wall Stickers'!CM8:CM507, '3757 - Wall Stickers'!CL8:CL507, _xlfn.LAMBDA(_xlpm.part, _xlpm.val, _xlpm.dep1, _xlpm.dep2,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CN$3="Required"), IF(OR('3757 - Wall Stickers'!CN$7 = "", '3757 - Wall Stickers'!CN$7 = "N/A"), "3:Toxicity - Value is required", ""), ""), IF(LEN(_xlpm.check2) &gt; 0, _xlpm.check2, _xlfn.LET(_xlpm.check3, IF(_xlpm.dep1 &lt;&gt; "", IF(_xlpm.val = "", IF(OR('3757 - Wall Stickers'!CN$7 = "", '3757 - Wall Stickers'!CN$7 = "N/A"), "3:Please select a toxicity from the provided dropdown", ""), ""), ""), IF(LEN(_xlpm.check3) &gt; 0, _xlpm.check3, IF(_xlpm.dep2 = "Yes", IF(_xlpm.val = "", IF(OR('3757 - Wall Stickers'!CN$7 = "", '3757 - Wall Stickers'!CN$7 = "N/A"), "3:If a warning is required, then a chemical must also be provided", ""), ""), ""))))))))))</f>
        <v>0</v>
      </c>
    </row>
  </sheetData>
  <sheetProtection password="A2E9" sheet="1" objects="1" scenarios="1"/>
  <mergeCells count="9">
    <mergeCell ref="B2:I2"/>
    <mergeCell ref="J2:Q2"/>
    <mergeCell ref="R2:U2"/>
    <mergeCell ref="V2:AA2"/>
    <mergeCell ref="AB2:AL2"/>
    <mergeCell ref="AM2:AP2"/>
    <mergeCell ref="AQ2:BH2"/>
    <mergeCell ref="BI2:CK2"/>
    <mergeCell ref="CL2:CN2"/>
  </mergeCells>
  <dataValidations count="71">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P7">
      <formula1>'WAYFAIR_USE_ONLY'!$AB$7:$AB254</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Q7">
      <formula1>'WAYFAIR_USE_ONLY'!$AC$7:$AC33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S7">
      <formula1>'WAYFAIR_USE_ONLY'!$AD$7:$AD11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T7">
      <formula1>'WAYFAIR_USE_ONLY'!$AE$7:$AE14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X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E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F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F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'WAYFAIR_USE_ONLY'!$AL$7:$AL10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'WAYFAIR_USE_ONLY'!$O$7:$O9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BC1" display="Select"/>
    <hyperlink ref="BJ6" location="'Valid Values'!BE1" display="Please choose one or more from the following, using a semicolon (;) to separate each value: Animals; Astrology &amp; Stars; Scenic &amp; Cityscapes; Food &amp; Beverage; Insects; Patriotic; Entertainment; Plants &amp; Flowers; Religious &amp; Spiritual; Nautical &amp; Beach; Abstract; Sports; People; Geography; Fantasy &amp; Sci-Fi; Landscape &amp; Nature; Text &amp; Numbers; Furniture; Novelty &amp; Humor; STEM; Fashion; Buildings &amp; Architecture; Transportation; Bath &amp; Laundry; History &amp; Language; Cities &amp; Countries; Disney/Pixar; No Subject; Education; Birds; U.S. States &amp; Territories; Unavailable"/>
    <hyperlink ref="BK6" location="'Valid Values'!BG1" display="Select"/>
    <hyperlink ref="BL6" location="'Valid Values'!BI1" display="Please choose one or more from the following, using a semicolon (;) to separate each value: Fabric; Vinyl; Canvas; Paper; Plastic; PVC;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omposite; Carbon Steel; Compressed Polyester; Ceramic / Porcelain; Bone China; Cedar; Concrete; Cotton; Earthenware; Engineered Stone; Concrete / Cement; Corrugated; Enamel / Lacquer; Cotton Blend; Compressed Stone; Copper; Faux Leather;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Olefin; Nickel; PEVA; Nylon; Oak; Oxford Fabric; Polyamide; Plywood; Pinecones; Plastic / Acrylic; Pewter; Polycarbonate Plastic; Nickel Plated;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
    <hyperlink ref="BM6" location="'Valid Values'!BK1" display="Please choose one or more from the following, using a semicolon (;) to separate each value: Multi-Surface; Flat Surface; Textured Wall; Brick Wall; Cement Wall; Solid Wood; Glass Wall; Stainless Steel; Existing Tile; Chalkboard; Appliance; Mirror; Wallpaper; Painted Gypsum; Acrylic Panel; Orange Peel Wall; Gypsum Wall; Laminate; Plywood Wall; Drywall; Stucco Wall; Ceramic Tile Wall; Concrete; Stone Wall; Medium Density Fiberboard; Unavailable"/>
    <hyperlink ref="BO6" location="'Valid Values'!BM1" display="Please choose one or more from the following, using a semicolon (;) to separate each value: Bathroom; Kitchen; Bedroom; Living Room; Laundry Room; Nursery; Dining Room;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BO1" display="Select"/>
    <hyperlink ref="BQ6" location="'Valid Values'!BQ1" display="Select"/>
    <hyperlink ref="BR6" location="'Valid Values'!BS1" display="Please choose one or more from the following, using a semicolon (;) to separate each value: Made in USA; Made in USA of Imported Materials; Product of Canada; Made In Canada; Does Not Apply"/>
    <hyperlink ref="BT6" location="'Valid Values'!BU1" display="Select"/>
    <hyperlink ref="BU6" location="'Valid Values'!BW1" display="Please choose one or more from the following, using a semicolon (;) to separate each value: Mold / Mildew Resistant; Water Resistant; No Durability Features; Fade Resistant; Heat Resistant; Stain Resistant; Tip Resistant; Waterproof; Shatter Resistant; Weather Resistant; Rust Resistant; Anodic Protection; Predator Resistant; Drill Resistant; Condensation Free; Antimicrobial; Pry Resistant; Fray Resistant; Non-Staining"/>
    <hyperlink ref="BV6" location="'Valid Values'!BY1" display="Please choose one or more from the following, using a semicolon (;) to separate each value: Removable; Retractable; Tilt; Reversible; Collapsible; Extendable; Configurable / Modular; Swivel; Trimmable; Convertible; Rotating; Lift Assist; Reclining; Double Sided; Glider; Wall Recline; Adjustable; Swing Arm; Temperature; Stackable; Tilt Lock; Tilt Out; Tilting; No Adjustability Features; Unavailable; Does Not Apply"/>
    <hyperlink ref="BW6" location="'Valid Values'!CA1" display="Please choose one or more from the following, using a semicolon (;) to separate each value: Blue; Black; Brown; White; Green; Gray; Red; Beige; Yellow; Pink; Orange; Purple; Silver; Gold; Clear; Cream; Ivory; Tan; Teal; Navy"/>
    <hyperlink ref="BY6" location="'Valid Values'!CC1" display="Please choose one or more from the following, using a semicolon (;) to separate each value: Handle(s); Paste; Unavailable; Does Not Apply"/>
    <hyperlink ref="BZ6" location="'Valid Values'!CE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CF1" display="Please choose one or more from the following, using a semicolon (;) to separate each value: Breathable; Dual Sided; Animated; Double Sided; Non-Wall Damaging; Reusable; Vintage; Window Clinging; No General Features"/>
    <hyperlink ref="CB6" location="'Valid Values'!CH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F6" location="'Valid Values'!CJ1" display="Select"/>
    <hyperlink ref="CG6" location="'Valid Values'!CL1" display="Select"/>
    <hyperlink ref="CH6" location="'Valid Values'!CM1" display="Select"/>
    <hyperlink ref="CJ6" location="'Valid Values'!CO1" display="Select"/>
    <hyperlink ref="CM6" location="'Valid Values'!BA1" display="Select"/>
    <hyperlink ref="CN6" location="'Valid Values'!BB1" display="Please choose one or more from the following, using a semicolon (;) to separate each value: Cancer; Developmental"/>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dimension ref="A1:CN8"/>
  <sheetViews>
    <sheetView workbookViewId="0"/>
  </sheetViews>
  <sheetFormatPr defaultRowHeight="15"/>
  <cols>
    <col min="2" max="2" width="25.7109375" style="22" customWidth="1"/>
    <col min="3" max="3" width="22.7109375" style="22" customWidth="1"/>
    <col min="4" max="4" width="10.7109375" style="22" customWidth="1"/>
    <col min="5" max="5" width="29.7109375" style="22" customWidth="1"/>
    <col min="6" max="6" width="27.7109375" style="22" customWidth="1"/>
    <col min="7" max="7" width="17.7109375" style="22" customWidth="1"/>
    <col min="8" max="8" width="20.7109375" style="22" customWidth="1"/>
    <col min="9" max="9" width="29.7109375" style="22" customWidth="1"/>
    <col min="10" max="10" width="17.7109375" style="22" customWidth="1"/>
    <col min="11" max="12" width="23.7109375" style="22" customWidth="1"/>
    <col min="13" max="13" width="37.7109375" style="22" customWidth="1"/>
    <col min="14" max="14" width="23.7109375" style="22" customWidth="1"/>
    <col min="15" max="15" width="37.7109375" style="22" customWidth="1"/>
    <col min="16" max="16" width="23.7109375" style="22" customWidth="1"/>
    <col min="17" max="17" width="37.7109375" style="22" customWidth="1"/>
    <col min="18" max="18" width="14.7109375" style="22" customWidth="1"/>
    <col min="19" max="19" width="29.7109375" style="22" customWidth="1"/>
    <col min="20" max="20" width="40.7109375" style="22" customWidth="1"/>
    <col min="21" max="21" width="31.7109375" style="22" customWidth="1"/>
    <col min="22" max="22" width="19.7109375" style="22" customWidth="1"/>
    <col min="23" max="27" width="21.7109375" style="22" customWidth="1"/>
    <col min="28" max="28" width="27.7109375" style="22" customWidth="1"/>
    <col min="29" max="29" width="30.7109375" style="22" customWidth="1"/>
    <col min="30" max="30" width="25.7109375" style="22" customWidth="1"/>
    <col min="31" max="31" width="19.7109375" style="22" customWidth="1"/>
    <col min="32" max="32" width="14.7109375" style="22" customWidth="1"/>
    <col min="33" max="33" width="18.7109375" style="22" customWidth="1"/>
    <col min="34" max="34" width="14.7109375" style="22" customWidth="1"/>
    <col min="35" max="35" width="26.7109375" style="22" customWidth="1"/>
    <col min="36" max="36" width="33.7109375" style="22" customWidth="1"/>
    <col min="37" max="37" width="14.7109375" style="22" customWidth="1"/>
    <col min="38" max="40" width="20.7109375" style="22" customWidth="1"/>
    <col min="41" max="42" width="19.7109375" style="22" customWidth="1"/>
    <col min="43" max="48" width="29.7109375" style="22" customWidth="1"/>
    <col min="49" max="49" width="32.7109375" style="22" customWidth="1"/>
    <col min="50" max="50" width="20.7109375" style="22" customWidth="1"/>
    <col min="51" max="51" width="26.7109375" style="22" customWidth="1"/>
    <col min="52" max="52" width="22.7109375" style="22" customWidth="1"/>
    <col min="53" max="53" width="32.7109375" style="22" customWidth="1"/>
    <col min="54" max="54" width="20.7109375" style="22" customWidth="1"/>
    <col min="55" max="55" width="26.7109375" style="22" customWidth="1"/>
    <col min="56" max="56" width="22.7109375" style="22" customWidth="1"/>
    <col min="57" max="57" width="32.7109375" style="22" customWidth="1"/>
    <col min="58" max="58" width="20.7109375" style="22" customWidth="1"/>
    <col min="59" max="59" width="26.7109375" style="22" customWidth="1"/>
    <col min="60" max="60" width="22.7109375" style="22" customWidth="1"/>
    <col min="61" max="61" width="17.7109375" style="22" customWidth="1"/>
    <col min="62" max="62" width="12.7109375" style="22" customWidth="1"/>
    <col min="63" max="63" width="17.7109375" style="22" customWidth="1"/>
    <col min="64" max="64" width="13.7109375" style="22" customWidth="1"/>
    <col min="65" max="65" width="24.7109375" style="22" customWidth="1"/>
    <col min="66" max="66" width="36.7109375" style="22" customWidth="1"/>
    <col min="67" max="67" width="13.7109375" style="22" customWidth="1"/>
    <col min="68" max="68" width="22.7109375" style="22" customWidth="1"/>
    <col min="69" max="69" width="23.7109375" style="22" customWidth="1"/>
    <col min="70" max="70" width="43.7109375" style="22" customWidth="1"/>
    <col min="71" max="71" width="13.7109375" style="22" customWidth="1"/>
    <col min="72" max="72" width="30.7109375" style="22" customWidth="1"/>
    <col min="73" max="73" width="15.7109375" style="22" customWidth="1"/>
    <col min="74" max="74" width="27.7109375" style="22" customWidth="1"/>
    <col min="75" max="75" width="10.7109375" style="22" customWidth="1"/>
    <col min="76" max="76" width="36.7109375" style="22" customWidth="1"/>
    <col min="77" max="77" width="20.7109375" style="22" customWidth="1"/>
    <col min="78" max="78" width="29.7109375" style="22" customWidth="1"/>
    <col min="79" max="79" width="21.7109375" style="22" customWidth="1"/>
    <col min="80" max="80" width="14.7109375" style="22" customWidth="1"/>
    <col min="81" max="81" width="35.7109375" style="22" customWidth="1"/>
    <col min="82" max="82" width="33.7109375" style="22" customWidth="1"/>
    <col min="83" max="83" width="24.7109375" style="22" customWidth="1"/>
    <col min="84" max="84" width="31.7109375" style="22" customWidth="1"/>
    <col min="85" max="85" width="108.7109375" style="22" customWidth="1"/>
    <col min="86" max="86" width="64.7109375" style="22" customWidth="1"/>
    <col min="87" max="87" width="31.7109375" style="22" customWidth="1"/>
    <col min="88" max="88" width="19.7109375" style="22" customWidth="1"/>
    <col min="89" max="89" width="79.7109375" style="22" customWidth="1"/>
    <col min="90" max="90" width="21.7109375" style="22" customWidth="1"/>
    <col min="91" max="92" width="15.7109375" style="22" customWidth="1"/>
  </cols>
  <sheetData>
    <row r="1" spans="1:92" hidden="1">
      <c r="B1" s="22" t="s">
        <v>2220</v>
      </c>
      <c r="C1" s="22" t="s">
        <v>2224</v>
      </c>
      <c r="D1" s="22" t="s">
        <v>2228</v>
      </c>
      <c r="E1" s="22" t="s">
        <v>2232</v>
      </c>
      <c r="F1" s="22" t="s">
        <v>2235</v>
      </c>
      <c r="G1" s="22" t="s">
        <v>2238</v>
      </c>
      <c r="H1" s="22" t="s">
        <v>2241</v>
      </c>
      <c r="I1" s="22" t="s">
        <v>2244</v>
      </c>
      <c r="J1" s="22" t="s">
        <v>2247</v>
      </c>
      <c r="K1" s="22" t="s">
        <v>2250</v>
      </c>
      <c r="L1" s="22" t="s">
        <v>2253</v>
      </c>
      <c r="M1" s="22" t="s">
        <v>2256</v>
      </c>
      <c r="N1" s="22" t="s">
        <v>2253</v>
      </c>
      <c r="O1" s="22" t="s">
        <v>2256</v>
      </c>
      <c r="P1" s="22" t="s">
        <v>2253</v>
      </c>
      <c r="Q1" s="22" t="s">
        <v>2256</v>
      </c>
      <c r="R1" s="22" t="s">
        <v>2263</v>
      </c>
      <c r="S1" s="22" t="s">
        <v>2267</v>
      </c>
      <c r="T1" s="22" t="s">
        <v>2270</v>
      </c>
      <c r="U1" s="22" t="s">
        <v>2273</v>
      </c>
      <c r="V1" s="22" t="s">
        <v>2276</v>
      </c>
      <c r="W1" s="22" t="s">
        <v>2279</v>
      </c>
      <c r="X1" s="22" t="s">
        <v>2279</v>
      </c>
      <c r="Y1" s="22" t="s">
        <v>2279</v>
      </c>
      <c r="Z1" s="22" t="s">
        <v>2279</v>
      </c>
      <c r="AA1" s="22" t="s">
        <v>2279</v>
      </c>
      <c r="AB1" s="22" t="s">
        <v>2286</v>
      </c>
      <c r="AC1" s="22" t="s">
        <v>2290</v>
      </c>
      <c r="AD1" s="22" t="s">
        <v>2293</v>
      </c>
      <c r="AE1" s="22" t="s">
        <v>2296</v>
      </c>
      <c r="AF1" s="22" t="s">
        <v>2299</v>
      </c>
      <c r="AG1" s="22" t="s">
        <v>2302</v>
      </c>
      <c r="AH1" s="22" t="s">
        <v>2305</v>
      </c>
      <c r="AI1" s="22" t="s">
        <v>2308</v>
      </c>
      <c r="AJ1" s="22" t="s">
        <v>2311</v>
      </c>
      <c r="AK1" s="22" t="s">
        <v>2314</v>
      </c>
      <c r="AL1" s="22" t="s">
        <v>2317</v>
      </c>
      <c r="AM1" s="22" t="s">
        <v>2320</v>
      </c>
      <c r="AN1" s="22" t="s">
        <v>2323</v>
      </c>
      <c r="AO1" s="22" t="s">
        <v>2326</v>
      </c>
      <c r="AP1" s="22" t="s">
        <v>2329</v>
      </c>
      <c r="AQ1" s="22" t="s">
        <v>2332</v>
      </c>
      <c r="AR1" s="22" t="s">
        <v>2332</v>
      </c>
      <c r="AS1" s="22" t="s">
        <v>2332</v>
      </c>
      <c r="AT1" s="22" t="s">
        <v>2332</v>
      </c>
      <c r="AU1" s="22" t="s">
        <v>2332</v>
      </c>
      <c r="AV1" s="22" t="s">
        <v>2339</v>
      </c>
      <c r="AW1" s="22" t="s">
        <v>2342</v>
      </c>
      <c r="AX1" s="22" t="s">
        <v>2345</v>
      </c>
      <c r="AY1" s="22" t="s">
        <v>2349</v>
      </c>
      <c r="AZ1" s="22" t="s">
        <v>2353</v>
      </c>
      <c r="BA1" s="22" t="s">
        <v>2342</v>
      </c>
      <c r="BB1" s="22" t="s">
        <v>2345</v>
      </c>
      <c r="BC1" s="22" t="s">
        <v>2349</v>
      </c>
      <c r="BD1" s="22" t="s">
        <v>2353</v>
      </c>
      <c r="BE1" s="22" t="s">
        <v>2342</v>
      </c>
      <c r="BF1" s="22" t="s">
        <v>2345</v>
      </c>
      <c r="BG1" s="22" t="s">
        <v>2349</v>
      </c>
      <c r="BH1" s="22" t="s">
        <v>2353</v>
      </c>
      <c r="BI1" s="22" t="s">
        <v>2493</v>
      </c>
      <c r="BJ1" s="22" t="s">
        <v>2494</v>
      </c>
      <c r="BK1" s="22" t="s">
        <v>2498</v>
      </c>
      <c r="BL1" s="22" t="s">
        <v>2501</v>
      </c>
      <c r="BM1" s="22" t="s">
        <v>2503</v>
      </c>
      <c r="BN1" s="22" t="s">
        <v>2507</v>
      </c>
      <c r="BO1" s="22" t="s">
        <v>2510</v>
      </c>
      <c r="BP1" s="22" t="s">
        <v>2514</v>
      </c>
      <c r="BQ1" s="22" t="s">
        <v>2515</v>
      </c>
      <c r="BR1" s="22" t="s">
        <v>2518</v>
      </c>
      <c r="BS1" s="22" t="s">
        <v>2519</v>
      </c>
      <c r="BT1" s="22" t="s">
        <v>2520</v>
      </c>
      <c r="BU1" s="22" t="s">
        <v>2523</v>
      </c>
      <c r="BV1" s="22" t="s">
        <v>2525</v>
      </c>
      <c r="BW1" s="22" t="s">
        <v>2529</v>
      </c>
      <c r="BX1" s="22" t="s">
        <v>2531</v>
      </c>
      <c r="BY1" s="22" t="s">
        <v>2534</v>
      </c>
      <c r="BZ1" s="22" t="s">
        <v>2538</v>
      </c>
      <c r="CA1" s="22" t="s">
        <v>2539</v>
      </c>
      <c r="CB1" s="22" t="s">
        <v>2541</v>
      </c>
      <c r="CC1" s="22" t="s">
        <v>2542</v>
      </c>
      <c r="CD1" s="22" t="s">
        <v>2545</v>
      </c>
      <c r="CE1" s="22" t="s">
        <v>2546</v>
      </c>
      <c r="CF1" s="22" t="s">
        <v>2547</v>
      </c>
      <c r="CG1" s="22" t="s">
        <v>2548</v>
      </c>
      <c r="CH1" s="22" t="s">
        <v>2549</v>
      </c>
      <c r="CI1" s="22" t="s">
        <v>2550</v>
      </c>
      <c r="CJ1" s="22" t="s">
        <v>2551</v>
      </c>
      <c r="CK1" s="22" t="s">
        <v>2554</v>
      </c>
      <c r="CL1" s="22" t="s">
        <v>2474</v>
      </c>
      <c r="CM1" s="22" t="s">
        <v>2477</v>
      </c>
      <c r="CN1" s="22" t="s">
        <v>2480</v>
      </c>
    </row>
    <row r="2" spans="1:92">
      <c r="B2" s="23" t="s">
        <v>2484</v>
      </c>
      <c r="J2" s="24" t="s">
        <v>2485</v>
      </c>
      <c r="R2" s="25" t="s">
        <v>2486</v>
      </c>
      <c r="V2" s="26" t="s">
        <v>2487</v>
      </c>
      <c r="AB2" s="27" t="s">
        <v>2488</v>
      </c>
      <c r="AM2" s="28" t="s">
        <v>2489</v>
      </c>
      <c r="AQ2" s="29" t="s">
        <v>2490</v>
      </c>
      <c r="BI2" s="30" t="s">
        <v>2491</v>
      </c>
      <c r="CL2" s="31" t="s">
        <v>2492</v>
      </c>
    </row>
    <row r="3" spans="1:92">
      <c r="B3" s="32" t="s">
        <v>58</v>
      </c>
      <c r="C3" s="32" t="s">
        <v>62</v>
      </c>
      <c r="D3" s="32" t="s">
        <v>58</v>
      </c>
      <c r="E3" s="32" t="s">
        <v>58</v>
      </c>
      <c r="F3" s="32" t="s">
        <v>60</v>
      </c>
      <c r="G3" s="32" t="s">
        <v>58</v>
      </c>
      <c r="H3" s="32" t="s">
        <v>62</v>
      </c>
      <c r="I3" s="32" t="s">
        <v>62</v>
      </c>
      <c r="J3" s="32" t="s">
        <v>60</v>
      </c>
      <c r="K3" s="32" t="s">
        <v>64</v>
      </c>
      <c r="L3" s="32" t="s">
        <v>60</v>
      </c>
      <c r="M3" s="32" t="s">
        <v>64</v>
      </c>
      <c r="N3" s="32" t="s">
        <v>60</v>
      </c>
      <c r="O3" s="32" t="s">
        <v>64</v>
      </c>
      <c r="P3" s="32" t="s">
        <v>60</v>
      </c>
      <c r="Q3" s="32" t="s">
        <v>64</v>
      </c>
      <c r="R3" s="32" t="s">
        <v>58</v>
      </c>
      <c r="S3" s="32" t="s">
        <v>62</v>
      </c>
      <c r="T3" s="32" t="s">
        <v>62</v>
      </c>
      <c r="U3" s="32" t="s">
        <v>62</v>
      </c>
      <c r="V3" s="32" t="s">
        <v>64</v>
      </c>
      <c r="W3" s="32" t="s">
        <v>64</v>
      </c>
      <c r="X3" s="32" t="s">
        <v>64</v>
      </c>
      <c r="Y3" s="32" t="s">
        <v>64</v>
      </c>
      <c r="Z3" s="32" t="s">
        <v>64</v>
      </c>
      <c r="AA3" s="32" t="s">
        <v>64</v>
      </c>
      <c r="AB3" s="32" t="s">
        <v>58</v>
      </c>
      <c r="AC3" s="32" t="s">
        <v>58</v>
      </c>
      <c r="AD3" s="32" t="s">
        <v>58</v>
      </c>
      <c r="AE3" s="32" t="s">
        <v>58</v>
      </c>
      <c r="AF3" s="32" t="s">
        <v>58</v>
      </c>
      <c r="AG3" s="32" t="s">
        <v>64</v>
      </c>
      <c r="AH3" s="32" t="s">
        <v>58</v>
      </c>
      <c r="AI3" s="32" t="s">
        <v>58</v>
      </c>
      <c r="AJ3" s="32" t="s">
        <v>62</v>
      </c>
      <c r="AK3" s="32" t="s">
        <v>62</v>
      </c>
      <c r="AL3" s="32" t="s">
        <v>62</v>
      </c>
      <c r="AM3" s="32" t="s">
        <v>58</v>
      </c>
      <c r="AN3" s="32" t="s">
        <v>58</v>
      </c>
      <c r="AO3" s="32" t="s">
        <v>58</v>
      </c>
      <c r="AP3" s="32" t="s">
        <v>58</v>
      </c>
      <c r="AQ3" s="32" t="s">
        <v>58</v>
      </c>
      <c r="AR3" s="32" t="s">
        <v>62</v>
      </c>
      <c r="AS3" s="32" t="s">
        <v>62</v>
      </c>
      <c r="AT3" s="32" t="s">
        <v>62</v>
      </c>
      <c r="AU3" s="32" t="s">
        <v>62</v>
      </c>
      <c r="AV3" s="32" t="s">
        <v>62</v>
      </c>
      <c r="AW3" s="32" t="s">
        <v>64</v>
      </c>
      <c r="AX3" s="32" t="s">
        <v>64</v>
      </c>
      <c r="AY3" s="32" t="s">
        <v>64</v>
      </c>
      <c r="AZ3" s="32" t="s">
        <v>64</v>
      </c>
      <c r="BA3" s="32" t="s">
        <v>64</v>
      </c>
      <c r="BB3" s="32" t="s">
        <v>64</v>
      </c>
      <c r="BC3" s="32" t="s">
        <v>64</v>
      </c>
      <c r="BD3" s="32" t="s">
        <v>64</v>
      </c>
      <c r="BE3" s="32" t="s">
        <v>64</v>
      </c>
      <c r="BF3" s="32" t="s">
        <v>64</v>
      </c>
      <c r="BG3" s="32" t="s">
        <v>64</v>
      </c>
      <c r="BH3" s="32" t="s">
        <v>64</v>
      </c>
      <c r="BI3" s="32" t="s">
        <v>58</v>
      </c>
      <c r="BJ3" s="32" t="s">
        <v>60</v>
      </c>
      <c r="BK3" s="32" t="s">
        <v>58</v>
      </c>
      <c r="BL3" s="32" t="s">
        <v>58</v>
      </c>
      <c r="BM3" s="32" t="s">
        <v>58</v>
      </c>
      <c r="BN3" s="32" t="s">
        <v>60</v>
      </c>
      <c r="BO3" s="32" t="s">
        <v>60</v>
      </c>
      <c r="BP3" s="32" t="s">
        <v>58</v>
      </c>
      <c r="BQ3" s="32" t="s">
        <v>60</v>
      </c>
      <c r="BR3" s="32" t="s">
        <v>62</v>
      </c>
      <c r="BS3" s="32" t="s">
        <v>58</v>
      </c>
      <c r="BT3" s="32" t="s">
        <v>60</v>
      </c>
      <c r="BU3" s="32" t="s">
        <v>60</v>
      </c>
      <c r="BV3" s="32" t="s">
        <v>60</v>
      </c>
      <c r="BW3" s="32" t="s">
        <v>58</v>
      </c>
      <c r="BX3" s="32" t="s">
        <v>60</v>
      </c>
      <c r="BY3" s="32" t="s">
        <v>58</v>
      </c>
      <c r="BZ3" s="32" t="s">
        <v>60</v>
      </c>
      <c r="CA3" s="32" t="s">
        <v>60</v>
      </c>
      <c r="CB3" s="32" t="s">
        <v>60</v>
      </c>
      <c r="CC3" s="32" t="s">
        <v>58</v>
      </c>
      <c r="CD3" s="32" t="s">
        <v>58</v>
      </c>
      <c r="CE3" s="32" t="s">
        <v>60</v>
      </c>
      <c r="CF3" s="32" t="s">
        <v>60</v>
      </c>
      <c r="CG3" s="32" t="s">
        <v>58</v>
      </c>
      <c r="CH3" s="32" t="s">
        <v>58</v>
      </c>
      <c r="CI3" s="32" t="s">
        <v>58</v>
      </c>
      <c r="CJ3" s="32" t="s">
        <v>60</v>
      </c>
      <c r="CK3" s="32" t="s">
        <v>60</v>
      </c>
      <c r="CL3" s="32" t="s">
        <v>58</v>
      </c>
      <c r="CM3" s="32" t="s">
        <v>64</v>
      </c>
      <c r="CN3" s="32" t="s">
        <v>64</v>
      </c>
    </row>
    <row r="4" spans="1:92" ht="50" customHeight="1">
      <c r="B4" s="19" t="s">
        <v>2221</v>
      </c>
      <c r="C4" s="19" t="s">
        <v>2225</v>
      </c>
      <c r="D4" s="19" t="s">
        <v>2229</v>
      </c>
      <c r="E4" s="19" t="s">
        <v>2233</v>
      </c>
      <c r="F4" s="19" t="s">
        <v>2236</v>
      </c>
      <c r="G4" s="19" t="s">
        <v>2239</v>
      </c>
      <c r="H4" s="19" t="s">
        <v>2242</v>
      </c>
      <c r="I4" s="19" t="s">
        <v>2245</v>
      </c>
      <c r="J4" s="19" t="s">
        <v>2248</v>
      </c>
      <c r="K4" s="19" t="s">
        <v>2251</v>
      </c>
      <c r="L4" s="19" t="s">
        <v>2254</v>
      </c>
      <c r="M4" s="19" t="s">
        <v>2257</v>
      </c>
      <c r="N4" s="19" t="s">
        <v>2259</v>
      </c>
      <c r="O4" s="19" t="s">
        <v>2260</v>
      </c>
      <c r="P4" s="19" t="s">
        <v>2261</v>
      </c>
      <c r="Q4" s="19" t="s">
        <v>2262</v>
      </c>
      <c r="R4" s="19" t="s">
        <v>2264</v>
      </c>
      <c r="S4" s="19" t="s">
        <v>2268</v>
      </c>
      <c r="T4" s="19" t="s">
        <v>2271</v>
      </c>
      <c r="U4" s="19" t="s">
        <v>2274</v>
      </c>
      <c r="V4" s="19" t="s">
        <v>2277</v>
      </c>
      <c r="W4" s="19" t="s">
        <v>2280</v>
      </c>
      <c r="X4" s="19" t="s">
        <v>2282</v>
      </c>
      <c r="Y4" s="19" t="s">
        <v>2283</v>
      </c>
      <c r="Z4" s="19" t="s">
        <v>2284</v>
      </c>
      <c r="AA4" s="19" t="s">
        <v>2285</v>
      </c>
      <c r="AB4" s="19" t="s">
        <v>2287</v>
      </c>
      <c r="AC4" s="19" t="s">
        <v>2291</v>
      </c>
      <c r="AD4" s="19" t="s">
        <v>2294</v>
      </c>
      <c r="AE4" s="19" t="s">
        <v>2297</v>
      </c>
      <c r="AF4" s="19" t="s">
        <v>2300</v>
      </c>
      <c r="AG4" s="19" t="s">
        <v>2303</v>
      </c>
      <c r="AH4" s="19" t="s">
        <v>2306</v>
      </c>
      <c r="AI4" s="19" t="s">
        <v>2309</v>
      </c>
      <c r="AJ4" s="19" t="s">
        <v>2312</v>
      </c>
      <c r="AK4" s="19" t="s">
        <v>2315</v>
      </c>
      <c r="AL4" s="19" t="s">
        <v>2318</v>
      </c>
      <c r="AM4" s="19" t="s">
        <v>2321</v>
      </c>
      <c r="AN4" s="19" t="s">
        <v>2324</v>
      </c>
      <c r="AO4" s="19" t="s">
        <v>2327</v>
      </c>
      <c r="AP4" s="19" t="s">
        <v>2330</v>
      </c>
      <c r="AQ4" s="19" t="s">
        <v>2333</v>
      </c>
      <c r="AR4" s="19" t="s">
        <v>2335</v>
      </c>
      <c r="AS4" s="19" t="s">
        <v>2336</v>
      </c>
      <c r="AT4" s="19" t="s">
        <v>2337</v>
      </c>
      <c r="AU4" s="19" t="s">
        <v>2338</v>
      </c>
      <c r="AV4" s="19" t="s">
        <v>2340</v>
      </c>
      <c r="AW4" s="19" t="s">
        <v>2343</v>
      </c>
      <c r="AX4" s="19" t="s">
        <v>2346</v>
      </c>
      <c r="AY4" s="19" t="s">
        <v>2350</v>
      </c>
      <c r="AZ4" s="19" t="s">
        <v>2354</v>
      </c>
      <c r="BA4" s="19" t="s">
        <v>2356</v>
      </c>
      <c r="BB4" s="19" t="s">
        <v>2357</v>
      </c>
      <c r="BC4" s="19" t="s">
        <v>2358</v>
      </c>
      <c r="BD4" s="19" t="s">
        <v>2359</v>
      </c>
      <c r="BE4" s="19" t="s">
        <v>2360</v>
      </c>
      <c r="BF4" s="19" t="s">
        <v>2361</v>
      </c>
      <c r="BG4" s="19" t="s">
        <v>2362</v>
      </c>
      <c r="BH4" s="19" t="s">
        <v>2363</v>
      </c>
      <c r="BI4" s="19" t="s">
        <v>2365</v>
      </c>
      <c r="BJ4" s="19" t="s">
        <v>2495</v>
      </c>
      <c r="BK4" s="19" t="s">
        <v>2499</v>
      </c>
      <c r="BL4" s="19" t="s">
        <v>2433</v>
      </c>
      <c r="BM4" s="19" t="s">
        <v>2504</v>
      </c>
      <c r="BN4" s="19" t="s">
        <v>2508</v>
      </c>
      <c r="BO4" s="19" t="s">
        <v>2511</v>
      </c>
      <c r="BP4" s="19" t="s">
        <v>2386</v>
      </c>
      <c r="BQ4" s="19" t="s">
        <v>2516</v>
      </c>
      <c r="BR4" s="19" t="s">
        <v>2389</v>
      </c>
      <c r="BS4" s="19" t="s">
        <v>2397</v>
      </c>
      <c r="BT4" s="19" t="s">
        <v>2521</v>
      </c>
      <c r="BU4" s="19" t="s">
        <v>2400</v>
      </c>
      <c r="BV4" s="19" t="s">
        <v>2526</v>
      </c>
      <c r="BW4" s="19" t="s">
        <v>2160</v>
      </c>
      <c r="BX4" s="19" t="s">
        <v>2532</v>
      </c>
      <c r="BY4" s="19" t="s">
        <v>2535</v>
      </c>
      <c r="BZ4" s="19" t="s">
        <v>2422</v>
      </c>
      <c r="CA4" s="19" t="s">
        <v>2429</v>
      </c>
      <c r="CB4" s="19" t="s">
        <v>2437</v>
      </c>
      <c r="CC4" s="19" t="s">
        <v>2543</v>
      </c>
      <c r="CD4" s="19" t="s">
        <v>2448</v>
      </c>
      <c r="CE4" s="33" t="s">
        <v>2457</v>
      </c>
      <c r="CF4" s="34" t="s">
        <v>2460</v>
      </c>
      <c r="CG4" s="19" t="s">
        <v>2463</v>
      </c>
      <c r="CH4" s="19" t="s">
        <v>2466</v>
      </c>
      <c r="CI4" s="19" t="s">
        <v>2469</v>
      </c>
      <c r="CJ4" s="19" t="s">
        <v>2552</v>
      </c>
      <c r="CK4" s="19" t="s">
        <v>2472</v>
      </c>
      <c r="CL4" s="19" t="s">
        <v>2475</v>
      </c>
      <c r="CM4" s="19" t="s">
        <v>2478</v>
      </c>
      <c r="CN4" s="19" t="s">
        <v>2481</v>
      </c>
    </row>
    <row r="5" spans="1:92" ht="50" customHeight="1">
      <c r="B5" s="35" t="s">
        <v>2222</v>
      </c>
      <c r="C5" s="35" t="s">
        <v>2226</v>
      </c>
      <c r="D5" s="35" t="s">
        <v>2230</v>
      </c>
      <c r="E5" s="35" t="s">
        <v>2234</v>
      </c>
      <c r="F5" s="35" t="s">
        <v>2237</v>
      </c>
      <c r="G5" s="35" t="s">
        <v>2240</v>
      </c>
      <c r="H5" s="35" t="s">
        <v>2243</v>
      </c>
      <c r="I5" s="35" t="s">
        <v>2246</v>
      </c>
      <c r="J5" s="35" t="s">
        <v>2249</v>
      </c>
      <c r="K5" s="35" t="s">
        <v>2252</v>
      </c>
      <c r="L5" s="35" t="s">
        <v>2255</v>
      </c>
      <c r="M5" s="35" t="s">
        <v>2258</v>
      </c>
      <c r="N5" s="35" t="s">
        <v>2255</v>
      </c>
      <c r="O5" s="35" t="s">
        <v>2258</v>
      </c>
      <c r="P5" s="35" t="s">
        <v>2255</v>
      </c>
      <c r="Q5" s="35" t="s">
        <v>2258</v>
      </c>
      <c r="R5" s="35" t="s">
        <v>2265</v>
      </c>
      <c r="S5" s="35" t="s">
        <v>2269</v>
      </c>
      <c r="T5" s="35" t="s">
        <v>2272</v>
      </c>
      <c r="U5" s="35" t="s">
        <v>2275</v>
      </c>
      <c r="V5" s="35" t="s">
        <v>2278</v>
      </c>
      <c r="W5" s="35" t="s">
        <v>2281</v>
      </c>
      <c r="X5" s="35" t="s">
        <v>2281</v>
      </c>
      <c r="Y5" s="35" t="s">
        <v>2281</v>
      </c>
      <c r="Z5" s="35" t="s">
        <v>2281</v>
      </c>
      <c r="AA5" s="35" t="s">
        <v>2281</v>
      </c>
      <c r="AB5" s="35" t="s">
        <v>2288</v>
      </c>
      <c r="AC5" s="35" t="s">
        <v>2292</v>
      </c>
      <c r="AD5" s="35" t="s">
        <v>2295</v>
      </c>
      <c r="AE5" s="35" t="s">
        <v>2298</v>
      </c>
      <c r="AF5" s="35" t="s">
        <v>2301</v>
      </c>
      <c r="AG5" s="35" t="s">
        <v>2304</v>
      </c>
      <c r="AH5" s="35" t="s">
        <v>2307</v>
      </c>
      <c r="AI5" s="35" t="s">
        <v>2310</v>
      </c>
      <c r="AJ5" s="35" t="s">
        <v>2313</v>
      </c>
      <c r="AK5" s="35" t="s">
        <v>2316</v>
      </c>
      <c r="AL5" s="35" t="s">
        <v>2319</v>
      </c>
      <c r="AM5" s="35" t="s">
        <v>2322</v>
      </c>
      <c r="AN5" s="35" t="s">
        <v>2325</v>
      </c>
      <c r="AO5" s="35" t="s">
        <v>2328</v>
      </c>
      <c r="AP5" s="35" t="s">
        <v>2331</v>
      </c>
      <c r="AQ5" s="35" t="s">
        <v>2334</v>
      </c>
      <c r="AR5" s="35" t="s">
        <v>2334</v>
      </c>
      <c r="AS5" s="35" t="s">
        <v>2334</v>
      </c>
      <c r="AT5" s="35" t="s">
        <v>2334</v>
      </c>
      <c r="AU5" s="35" t="s">
        <v>2334</v>
      </c>
      <c r="AV5" s="35" t="s">
        <v>2341</v>
      </c>
      <c r="AW5" s="35" t="s">
        <v>2344</v>
      </c>
      <c r="AX5" s="35" t="s">
        <v>2347</v>
      </c>
      <c r="AY5" s="35" t="s">
        <v>2351</v>
      </c>
      <c r="AZ5" s="35" t="s">
        <v>2355</v>
      </c>
      <c r="BA5" s="35" t="s">
        <v>2344</v>
      </c>
      <c r="BB5" s="35" t="s">
        <v>2347</v>
      </c>
      <c r="BC5" s="35" t="s">
        <v>2351</v>
      </c>
      <c r="BD5" s="35" t="s">
        <v>2355</v>
      </c>
      <c r="BE5" s="35" t="s">
        <v>2344</v>
      </c>
      <c r="BF5" s="35" t="s">
        <v>2347</v>
      </c>
      <c r="BG5" s="35" t="s">
        <v>2351</v>
      </c>
      <c r="BH5" s="35" t="s">
        <v>2355</v>
      </c>
      <c r="BI5" s="35" t="s">
        <v>2366</v>
      </c>
      <c r="BJ5" s="35" t="s">
        <v>2496</v>
      </c>
      <c r="BK5" s="35" t="s">
        <v>2500</v>
      </c>
      <c r="BL5" s="35" t="s">
        <v>2434</v>
      </c>
      <c r="BM5" s="35" t="s">
        <v>2505</v>
      </c>
      <c r="BN5" s="35" t="s">
        <v>2509</v>
      </c>
      <c r="BO5" s="35" t="s">
        <v>2512</v>
      </c>
      <c r="BP5" s="35" t="s">
        <v>2387</v>
      </c>
      <c r="BQ5" s="35" t="s">
        <v>2517</v>
      </c>
      <c r="BR5" s="35" t="s">
        <v>2390</v>
      </c>
      <c r="BS5" s="35" t="s">
        <v>2398</v>
      </c>
      <c r="BT5" s="35" t="s">
        <v>2522</v>
      </c>
      <c r="BU5" s="35" t="s">
        <v>2401</v>
      </c>
      <c r="BV5" s="35" t="s">
        <v>2527</v>
      </c>
      <c r="BW5" s="35" t="s">
        <v>2412</v>
      </c>
      <c r="BX5" s="35" t="s">
        <v>2533</v>
      </c>
      <c r="BY5" s="35" t="s">
        <v>2536</v>
      </c>
      <c r="BZ5" s="35" t="s">
        <v>2423</v>
      </c>
      <c r="CA5" s="35" t="s">
        <v>2430</v>
      </c>
      <c r="CB5" s="35" t="s">
        <v>2438</v>
      </c>
      <c r="CC5" s="35" t="s">
        <v>2544</v>
      </c>
      <c r="CD5" s="35" t="s">
        <v>2449</v>
      </c>
      <c r="CE5" s="35" t="s">
        <v>2458</v>
      </c>
      <c r="CF5" s="35" t="s">
        <v>2461</v>
      </c>
      <c r="CG5" s="35" t="s">
        <v>2464</v>
      </c>
      <c r="CH5" s="35" t="s">
        <v>2467</v>
      </c>
      <c r="CI5" s="35" t="s">
        <v>2470</v>
      </c>
      <c r="CJ5" s="35" t="s">
        <v>2553</v>
      </c>
      <c r="CK5" s="35" t="s">
        <v>2473</v>
      </c>
      <c r="CL5" s="35" t="s">
        <v>2476</v>
      </c>
      <c r="CM5" s="35" t="s">
        <v>2479</v>
      </c>
      <c r="CN5" s="35" t="s">
        <v>2482</v>
      </c>
    </row>
    <row r="6" spans="1:92" ht="50" customHeight="1">
      <c r="B6" s="35" t="s">
        <v>67</v>
      </c>
      <c r="C6" s="35" t="s">
        <v>67</v>
      </c>
      <c r="D6" s="36" t="s">
        <v>2231</v>
      </c>
      <c r="E6" s="35" t="s">
        <v>67</v>
      </c>
      <c r="F6" s="35" t="s">
        <v>67</v>
      </c>
      <c r="G6" s="35" t="s">
        <v>67</v>
      </c>
      <c r="H6" s="35" t="s">
        <v>67</v>
      </c>
      <c r="I6" s="35" t="s">
        <v>67</v>
      </c>
      <c r="J6" s="36" t="s">
        <v>2231</v>
      </c>
      <c r="K6" s="35" t="s">
        <v>67</v>
      </c>
      <c r="L6" s="36" t="s">
        <v>2231</v>
      </c>
      <c r="M6" s="35" t="s">
        <v>67</v>
      </c>
      <c r="N6" s="36" t="s">
        <v>2231</v>
      </c>
      <c r="O6" s="35" t="s">
        <v>67</v>
      </c>
      <c r="P6" s="36" t="s">
        <v>2231</v>
      </c>
      <c r="Q6" s="35" t="s">
        <v>67</v>
      </c>
      <c r="R6" s="35" t="s">
        <v>2266</v>
      </c>
      <c r="S6" s="35" t="s">
        <v>2266</v>
      </c>
      <c r="T6" s="35" t="s">
        <v>2266</v>
      </c>
      <c r="U6" s="35" t="s">
        <v>2266</v>
      </c>
      <c r="V6" s="35" t="s">
        <v>67</v>
      </c>
      <c r="W6" s="35" t="s">
        <v>67</v>
      </c>
      <c r="X6" s="35" t="s">
        <v>67</v>
      </c>
      <c r="Y6" s="35" t="s">
        <v>67</v>
      </c>
      <c r="Z6" s="35" t="s">
        <v>67</v>
      </c>
      <c r="AA6" s="35" t="s">
        <v>67</v>
      </c>
      <c r="AB6" s="35" t="s">
        <v>2289</v>
      </c>
      <c r="AC6" s="35" t="s">
        <v>2289</v>
      </c>
      <c r="AD6" s="35" t="s">
        <v>2289</v>
      </c>
      <c r="AE6" s="35" t="s">
        <v>2266</v>
      </c>
      <c r="AF6" s="36" t="s">
        <v>2231</v>
      </c>
      <c r="AG6" s="36" t="s">
        <v>2231</v>
      </c>
      <c r="AH6" s="36" t="s">
        <v>2231</v>
      </c>
      <c r="AI6" s="36" t="s">
        <v>2231</v>
      </c>
      <c r="AJ6" s="35" t="s">
        <v>67</v>
      </c>
      <c r="AK6" s="35" t="s">
        <v>77</v>
      </c>
      <c r="AL6" s="35" t="s">
        <v>77</v>
      </c>
      <c r="AM6" s="35" t="s">
        <v>2266</v>
      </c>
      <c r="AN6" s="35" t="s">
        <v>2266</v>
      </c>
      <c r="AO6" s="35" t="s">
        <v>2266</v>
      </c>
      <c r="AP6" s="35" t="s">
        <v>2266</v>
      </c>
      <c r="AQ6" s="35" t="s">
        <v>67</v>
      </c>
      <c r="AR6" s="35" t="s">
        <v>67</v>
      </c>
      <c r="AS6" s="35" t="s">
        <v>67</v>
      </c>
      <c r="AT6" s="35" t="s">
        <v>67</v>
      </c>
      <c r="AU6" s="35" t="s">
        <v>67</v>
      </c>
      <c r="AV6" s="35" t="s">
        <v>67</v>
      </c>
      <c r="AW6" s="35" t="s">
        <v>67</v>
      </c>
      <c r="AX6" s="36" t="s">
        <v>2348</v>
      </c>
      <c r="AY6" s="36" t="s">
        <v>3114</v>
      </c>
      <c r="AZ6" s="36" t="s">
        <v>2231</v>
      </c>
      <c r="BA6" s="35" t="s">
        <v>67</v>
      </c>
      <c r="BB6" s="36" t="s">
        <v>2348</v>
      </c>
      <c r="BC6" s="36" t="s">
        <v>3114</v>
      </c>
      <c r="BD6" s="36" t="s">
        <v>2231</v>
      </c>
      <c r="BE6" s="35" t="s">
        <v>67</v>
      </c>
      <c r="BF6" s="36" t="s">
        <v>2348</v>
      </c>
      <c r="BG6" s="36" t="s">
        <v>3114</v>
      </c>
      <c r="BH6" s="36" t="s">
        <v>2231</v>
      </c>
      <c r="BI6" s="36" t="s">
        <v>2231</v>
      </c>
      <c r="BJ6" s="36" t="s">
        <v>2497</v>
      </c>
      <c r="BK6" s="36" t="s">
        <v>2231</v>
      </c>
      <c r="BL6" s="36" t="s">
        <v>5384</v>
      </c>
      <c r="BM6" s="36" t="s">
        <v>2506</v>
      </c>
      <c r="BN6" s="35" t="s">
        <v>77</v>
      </c>
      <c r="BO6" s="36" t="s">
        <v>2513</v>
      </c>
      <c r="BP6" s="36" t="s">
        <v>2231</v>
      </c>
      <c r="BQ6" s="36" t="s">
        <v>2231</v>
      </c>
      <c r="BR6" s="36" t="s">
        <v>2391</v>
      </c>
      <c r="BS6" s="35" t="s">
        <v>77</v>
      </c>
      <c r="BT6" s="36" t="s">
        <v>2231</v>
      </c>
      <c r="BU6" s="36" t="s">
        <v>2524</v>
      </c>
      <c r="BV6" s="36" t="s">
        <v>2528</v>
      </c>
      <c r="BW6" s="36" t="s">
        <v>2530</v>
      </c>
      <c r="BX6" s="35" t="s">
        <v>2289</v>
      </c>
      <c r="BY6" s="36" t="s">
        <v>2537</v>
      </c>
      <c r="BZ6" s="36" t="s">
        <v>4971</v>
      </c>
      <c r="CA6" s="36" t="s">
        <v>2540</v>
      </c>
      <c r="CB6" s="36" t="s">
        <v>2439</v>
      </c>
      <c r="CC6" s="35" t="s">
        <v>2266</v>
      </c>
      <c r="CD6" s="35" t="s">
        <v>2266</v>
      </c>
      <c r="CE6" s="35" t="s">
        <v>77</v>
      </c>
      <c r="CF6" s="36" t="s">
        <v>2231</v>
      </c>
      <c r="CG6" s="36" t="s">
        <v>2231</v>
      </c>
      <c r="CH6" s="36" t="s">
        <v>2231</v>
      </c>
      <c r="CI6" s="35" t="s">
        <v>77</v>
      </c>
      <c r="CJ6" s="36" t="s">
        <v>2231</v>
      </c>
      <c r="CK6" s="35" t="s">
        <v>77</v>
      </c>
      <c r="CL6" s="35" t="s">
        <v>77</v>
      </c>
      <c r="CM6" s="36" t="s">
        <v>2231</v>
      </c>
      <c r="CN6" s="36" t="s">
        <v>2483</v>
      </c>
    </row>
    <row r="7" spans="1:92">
      <c r="B7" s="37" t="s">
        <v>2223</v>
      </c>
      <c r="C7" s="37" t="s">
        <v>2227</v>
      </c>
      <c r="D7" s="38"/>
      <c r="E7" s="37" t="s">
        <v>2227</v>
      </c>
      <c r="F7" s="37" t="s">
        <v>2227</v>
      </c>
      <c r="G7" s="37" t="s">
        <v>2227</v>
      </c>
      <c r="H7" s="38"/>
      <c r="I7" s="37" t="s">
        <v>2227</v>
      </c>
      <c r="J7" s="37" t="s">
        <v>2227</v>
      </c>
      <c r="K7" s="37" t="s">
        <v>2227</v>
      </c>
      <c r="L7" s="37" t="s">
        <v>2227</v>
      </c>
      <c r="M7" s="37" t="s">
        <v>2227</v>
      </c>
      <c r="N7" s="37" t="s">
        <v>2227</v>
      </c>
      <c r="O7" s="37" t="s">
        <v>2227</v>
      </c>
      <c r="P7" s="37" t="s">
        <v>2227</v>
      </c>
      <c r="Q7" s="37" t="s">
        <v>2227</v>
      </c>
      <c r="R7" s="37" t="s">
        <v>2227</v>
      </c>
      <c r="S7" s="38"/>
      <c r="T7" s="38"/>
      <c r="U7" s="38"/>
      <c r="V7" s="38"/>
      <c r="W7" s="38"/>
      <c r="X7" s="38"/>
      <c r="Y7" s="38"/>
      <c r="Z7" s="38"/>
      <c r="AA7" s="38"/>
      <c r="AB7" s="38"/>
      <c r="AC7" s="38"/>
      <c r="AD7" s="38"/>
      <c r="AE7" s="38"/>
      <c r="AF7" s="38"/>
      <c r="AG7" s="38"/>
      <c r="AH7" s="38"/>
      <c r="AI7" s="38"/>
      <c r="AJ7" s="38"/>
      <c r="AK7" s="38"/>
      <c r="AL7" s="38"/>
      <c r="AM7" s="38"/>
      <c r="AN7" s="38"/>
      <c r="AO7" s="38"/>
      <c r="AP7" s="38"/>
      <c r="AQ7" s="37" t="s">
        <v>2227</v>
      </c>
      <c r="AR7" s="37" t="s">
        <v>2227</v>
      </c>
      <c r="AS7" s="37" t="s">
        <v>2227</v>
      </c>
      <c r="AT7" s="37" t="s">
        <v>2227</v>
      </c>
      <c r="AU7" s="37" t="s">
        <v>2227</v>
      </c>
      <c r="AV7" s="37" t="s">
        <v>2227</v>
      </c>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row>
    <row r="8" spans="1:92">
      <c r="A8" cm="1">
        <f t="array" ref="A8">_xlfn.BYROW(B8:CO507, _xlfn.LAMBDA(_xlpm.r, _xlfn.LET(_xlpm.high_priority_idx, IFERROR(MATCH(TRUE, (_xlpm.r = "Error") + (_xlpm.r = "Required") &gt; 0, 0), 0), IF(_xlpm.high_priority_idx &gt; 0, _xlpm.high_priority_idx + 1, IFERROR(MATCH(1, (_xlpm.r = "Warning") * 1, 0) + 1, "")))))</f>
        <v>0</v>
      </c>
      <c r="B8" s="22" cm="1">
        <f t="array" ref="B8">_xlfn.MAP('3757 - Wall Stickers'!B8:B507, '3757 - Wall Stickers'!B8:B507, '3757 - Wall Stickers-WUO_ERR'!B8:B507, _xlfn.LAMBDA(_xlpm.part, _xlpm.val, _xlpm.error, IF(_xlpm.part = "", "", IF(LEN(_xlpm.error), _xlfn.SWITCH(IFERROR(_xlfn.TEXTBEFORE(_xlpm.error,":"), ""), "1", "Error", "2", "Disabled", "3", "Required", "4", "Warning", "Valid"), "Valid"))))</f>
        <v>0</v>
      </c>
      <c r="C8" s="22" cm="1">
        <f t="array" ref="C8">_xlfn.MAP('3757 - Wall Stickers'!B8:B507, '3757 - Wall Stickers'!C8:C507, '3757 - Wall Stickers-WUO_ERR'!C8:C507, _xlfn.LAMBDA(_xlpm.part, _xlpm.val, _xlpm.error, IF(_xlpm.part = "", "", IF(LEN(_xlpm.error), _xlfn.SWITCH(IFERROR(_xlfn.TEXTBEFORE(_xlpm.error,":"), ""), "1", "Error", "2", "Disabled", "3", "Required", "4", "Warning", "Valid"), "Valid"))))</f>
        <v>0</v>
      </c>
      <c r="D8" s="22" cm="1">
        <f t="array" ref="D8">_xlfn.MAP('3757 - Wall Stickers'!B8:B507, '3757 - Wall Stickers'!D8:D507, '3757 - Wall Stickers-WUO_ERR'!D8:D507, _xlfn.LAMBDA(_xlpm.part, _xlpm.val, _xlpm.error, IF(_xlpm.part = "", "", IF(LEN(_xlpm.error), _xlfn.SWITCH(IFERROR(_xlfn.TEXTBEFORE(_xlpm.error,":"), ""), "1", "Error", "2", "Disabled", "3", "Required", "4", "Warning", "Valid"), "Valid"))))</f>
        <v>0</v>
      </c>
      <c r="E8" s="22" cm="1">
        <f t="array" ref="E8">_xlfn.MAP('3757 - Wall Stickers'!B8:B507, '3757 - Wall Stickers'!E8:E507, '3757 - Wall Stickers-WUO_ERR'!E8:E507, _xlfn.LAMBDA(_xlpm.part, _xlpm.val, _xlpm.error, IF(_xlpm.part = "", "", IF(LEN(_xlpm.error), _xlfn.SWITCH(IFERROR(_xlfn.TEXTBEFORE(_xlpm.error,":"), ""), "1", "Error", "2", "Disabled", "3", "Required", "4", "Warning", "Valid"), "Valid"))))</f>
        <v>0</v>
      </c>
      <c r="F8" s="22" cm="1">
        <f t="array" ref="F8">_xlfn.MAP('3757 - Wall Stickers'!B8:B507, '3757 - Wall Stickers'!F8:F507, '3757 - Wall Stickers-WUO_ERR'!F8:F507, _xlfn.LAMBDA(_xlpm.part, _xlpm.val, _xlpm.error, IF(_xlpm.part = "", "", IF(LEN(_xlpm.error), _xlfn.SWITCH(IFERROR(_xlfn.TEXTBEFORE(_xlpm.error,":"), ""), "1", "Error", "2", "Disabled", "3", "Required", "4", "Warning", "Valid"), "Valid"))))</f>
        <v>0</v>
      </c>
      <c r="G8" s="22" cm="1">
        <f t="array" ref="G8">_xlfn.MAP('3757 - Wall Stickers'!B8:B507, '3757 - Wall Stickers'!G8:G507, '3757 - Wall Stickers-WUO_ERR'!G8:G507, _xlfn.LAMBDA(_xlpm.part, _xlpm.val, _xlpm.error, IF(_xlpm.part = "", "", IF(LEN(_xlpm.error), _xlfn.SWITCH(IFERROR(_xlfn.TEXTBEFORE(_xlpm.error,":"), ""), "1", "Error", "2", "Disabled", "3", "Required", "4", "Warning", "Valid"), "Valid"))))</f>
        <v>0</v>
      </c>
      <c r="H8" s="22" cm="1">
        <f t="array" ref="H8">_xlfn.MAP('3757 - Wall Stickers'!B8:B507, '3757 - Wall Stickers'!H8:H507, '3757 - Wall Stickers-WUO_ERR'!H8:H507, _xlfn.LAMBDA(_xlpm.part, _xlpm.val, _xlpm.error, IF(_xlpm.part = "", "", IF(LEN(_xlpm.error), _xlfn.SWITCH(IFERROR(_xlfn.TEXTBEFORE(_xlpm.error,":"), ""), "1", "Error", "2", "Disabled", "3", "Required", "4", "Warning", "Valid"), "Valid"))))</f>
        <v>0</v>
      </c>
      <c r="I8" s="22" cm="1">
        <f t="array" ref="I8">_xlfn.MAP('3757 - Wall Stickers'!B8:B507, '3757 - Wall Stickers'!I8:I507, '3757 - Wall Stickers-WUO_ERR'!I8:I507, _xlfn.LAMBDA(_xlpm.part, _xlpm.val, _xlpm.error, IF(_xlpm.part = "", "", IF(LEN(_xlpm.error), _xlfn.SWITCH(IFERROR(_xlfn.TEXTBEFORE(_xlpm.error,":"), ""), "1", "Error", "2", "Disabled", "3", "Required", "4", "Warning", "Valid"), "Valid"))))</f>
        <v>0</v>
      </c>
      <c r="J8" s="22" cm="1">
        <f t="array" ref="J8">_xlfn.MAP('3757 - Wall Stickers'!B8:B507, '3757 - Wall Stickers'!J8:J507, '3757 - Wall Stickers-WUO_ERR'!J8:J507, _xlfn.LAMBDA(_xlpm.part, _xlpm.val, _xlpm.error, IF(_xlpm.part = "", "", IF(LEN(_xlpm.error), _xlfn.SWITCH(IFERROR(_xlfn.TEXTBEFORE(_xlpm.error,":"), ""), "1", "Error", "2", "Disabled", "3", "Required", "4", "Warning", "Valid"), "Valid"))))</f>
        <v>0</v>
      </c>
      <c r="K8" s="22" cm="1">
        <f t="array" ref="K8">_xlfn.MAP('3757 - Wall Stickers'!B8:B507, '3757 - Wall Stickers'!K8:K507, '3757 - Wall Stickers-WUO_ERR'!K8:K507, _xlfn.LAMBDA(_xlpm.part, _xlpm.val, _xlpm.error, IF(_xlpm.part = "", "", IF(LEN(_xlpm.error), _xlfn.SWITCH(IFERROR(_xlfn.TEXTBEFORE(_xlpm.error,":"), ""), "1", "Error", "2", "Disabled", "3", "Required", "4", "Warning", "Valid"), "Valid"))))</f>
        <v>0</v>
      </c>
      <c r="L8" s="22" cm="1">
        <f t="array" ref="L8">_xlfn.MAP('3757 - Wall Stickers'!B8:B507, '3757 - Wall Stickers'!L8:L507, '3757 - Wall Stickers-WUO_ERR'!L8:L507, _xlfn.LAMBDA(_xlpm.part, _xlpm.val, _xlpm.error, IF(_xlpm.part = "", "", IF(LEN(_xlpm.error), _xlfn.SWITCH(IFERROR(_xlfn.TEXTBEFORE(_xlpm.error,":"), ""), "1", "Error", "2", "Disabled", "3", "Required", "4", "Warning", "Valid"), "Valid"))))</f>
        <v>0</v>
      </c>
      <c r="M8" s="22" cm="1">
        <f t="array" ref="M8">_xlfn.MAP('3757 - Wall Stickers'!B8:B507, '3757 - Wall Stickers'!M8:M507, '3757 - Wall Stickers-WUO_ERR'!M8:M507, _xlfn.LAMBDA(_xlpm.part, _xlpm.val, _xlpm.error, IF(_xlpm.part = "", "", IF(LEN(_xlpm.error), _xlfn.SWITCH(IFERROR(_xlfn.TEXTBEFORE(_xlpm.error,":"), ""), "1", "Error", "2", "Disabled", "3", "Required", "4", "Warning", "Valid"), "Valid"))))</f>
        <v>0</v>
      </c>
      <c r="N8" s="22" cm="1">
        <f t="array" ref="N8">_xlfn.MAP('3757 - Wall Stickers'!B8:B507, '3757 - Wall Stickers'!N8:N507, '3757 - Wall Stickers-WUO_ERR'!N8:N507, _xlfn.LAMBDA(_xlpm.part, _xlpm.val, _xlpm.error, IF(_xlpm.part = "", "", IF(LEN(_xlpm.error), _xlfn.SWITCH(IFERROR(_xlfn.TEXTBEFORE(_xlpm.error,":"), ""), "1", "Error", "2", "Disabled", "3", "Required", "4", "Warning", "Valid"), "Valid"))))</f>
        <v>0</v>
      </c>
      <c r="O8" s="22" cm="1">
        <f t="array" ref="O8">_xlfn.MAP('3757 - Wall Stickers'!B8:B507, '3757 - Wall Stickers'!O8:O507, '3757 - Wall Stickers-WUO_ERR'!O8:O507, _xlfn.LAMBDA(_xlpm.part, _xlpm.val, _xlpm.error, IF(_xlpm.part = "", "", IF(LEN(_xlpm.error), _xlfn.SWITCH(IFERROR(_xlfn.TEXTBEFORE(_xlpm.error,":"), ""), "1", "Error", "2", "Disabled", "3", "Required", "4", "Warning", "Valid"), "Valid"))))</f>
        <v>0</v>
      </c>
      <c r="P8" s="22" cm="1">
        <f t="array" ref="P8">_xlfn.MAP('3757 - Wall Stickers'!B8:B507, '3757 - Wall Stickers'!P8:P507, '3757 - Wall Stickers-WUO_ERR'!P8:P507, _xlfn.LAMBDA(_xlpm.part, _xlpm.val, _xlpm.error, IF(_xlpm.part = "", "", IF(LEN(_xlpm.error), _xlfn.SWITCH(IFERROR(_xlfn.TEXTBEFORE(_xlpm.error,":"), ""), "1", "Error", "2", "Disabled", "3", "Required", "4", "Warning", "Valid"), "Valid"))))</f>
        <v>0</v>
      </c>
      <c r="Q8" s="22" cm="1">
        <f t="array" ref="Q8">_xlfn.MAP('3757 - Wall Stickers'!B8:B507, '3757 - Wall Stickers'!Q8:Q507, '3757 - Wall Stickers-WUO_ERR'!Q8:Q507, _xlfn.LAMBDA(_xlpm.part, _xlpm.val, _xlpm.error, IF(_xlpm.part = "", "", IF(LEN(_xlpm.error), _xlfn.SWITCH(IFERROR(_xlfn.TEXTBEFORE(_xlpm.error,":"), ""), "1", "Error", "2", "Disabled", "3", "Required", "4", "Warning", "Valid"), "Valid"))))</f>
        <v>0</v>
      </c>
      <c r="R8" s="22" cm="1">
        <f t="array" ref="R8">_xlfn.MAP('3757 - Wall Stickers'!B8:B507, '3757 - Wall Stickers'!R8:R507, '3757 - Wall Stickers-WUO_ERR'!R8:R507, _xlfn.LAMBDA(_xlpm.part, _xlpm.val, _xlpm.error, IF(_xlpm.part = "", "", IF(LEN(_xlpm.error), _xlfn.SWITCH(IFERROR(_xlfn.TEXTBEFORE(_xlpm.error,":"), ""), "1", "Error", "2", "Disabled", "3", "Required", "4", "Warning", "Valid"), "Valid"))))</f>
        <v>0</v>
      </c>
      <c r="S8" s="22" cm="1">
        <f t="array" ref="S8">_xlfn.MAP('3757 - Wall Stickers'!B8:B507, '3757 - Wall Stickers'!S8:S507, '3757 - Wall Stickers-WUO_ERR'!S8:S507, _xlfn.LAMBDA(_xlpm.part, _xlpm.val, _xlpm.error, IF(_xlpm.part = "", "", IF(LEN(_xlpm.error), _xlfn.SWITCH(IFERROR(_xlfn.TEXTBEFORE(_xlpm.error,":"), ""), "1", "Error", "2", "Disabled", "3", "Required", "4", "Warning", "Valid"), "Valid"))))</f>
        <v>0</v>
      </c>
      <c r="T8" s="22" cm="1">
        <f t="array" ref="T8">_xlfn.MAP('3757 - Wall Stickers'!B8:B507, '3757 - Wall Stickers'!T8:T507, '3757 - Wall Stickers-WUO_ERR'!T8:T507, _xlfn.LAMBDA(_xlpm.part, _xlpm.val, _xlpm.error, IF(_xlpm.part = "", "", IF(LEN(_xlpm.error), _xlfn.SWITCH(IFERROR(_xlfn.TEXTBEFORE(_xlpm.error,":"), ""), "1", "Error", "2", "Disabled", "3", "Required", "4", "Warning", "Valid"), "Valid"))))</f>
        <v>0</v>
      </c>
      <c r="U8" s="22" cm="1">
        <f t="array" ref="U8">_xlfn.MAP('3757 - Wall Stickers'!B8:B507, '3757 - Wall Stickers'!U8:U507, '3757 - Wall Stickers-WUO_ERR'!U8:U507, _xlfn.LAMBDA(_xlpm.part, _xlpm.val, _xlpm.error, IF(_xlpm.part = "", "", IF(LEN(_xlpm.error), _xlfn.SWITCH(IFERROR(_xlfn.TEXTBEFORE(_xlpm.error,":"), ""), "1", "Error", "2", "Disabled", "3", "Required", "4", "Warning", "Valid"), "Valid"))))</f>
        <v>0</v>
      </c>
      <c r="V8" s="22" cm="1">
        <f t="array" ref="V8">_xlfn.MAP('3757 - Wall Stickers'!B8:B507, '3757 - Wall Stickers'!V8:V507, '3757 - Wall Stickers-WUO_ERR'!V8:V507, _xlfn.LAMBDA(_xlpm.part, _xlpm.val, _xlpm.error, IF(_xlpm.part = "", "", IF(LEN(_xlpm.error), _xlfn.SWITCH(IFERROR(_xlfn.TEXTBEFORE(_xlpm.error,":"), ""), "1", "Error", "2", "Disabled", "3", "Required", "4", "Warning", "Valid"), "Valid"))))</f>
        <v>0</v>
      </c>
      <c r="W8" s="22" cm="1">
        <f t="array" ref="W8">_xlfn.MAP('3757 - Wall Stickers'!B8:B507, '3757 - Wall Stickers'!W8:W507, '3757 - Wall Stickers-WUO_ERR'!W8:W507, _xlfn.LAMBDA(_xlpm.part, _xlpm.val, _xlpm.error, IF(_xlpm.part = "", "", IF(LEN(_xlpm.error), _xlfn.SWITCH(IFERROR(_xlfn.TEXTBEFORE(_xlpm.error,":"), ""), "1", "Error", "2", "Disabled", "3", "Required", "4", "Warning", "Valid"), "Valid"))))</f>
        <v>0</v>
      </c>
      <c r="X8" s="22" cm="1">
        <f t="array" ref="X8">_xlfn.MAP('3757 - Wall Stickers'!B8:B507, '3757 - Wall Stickers'!X8:X507, '3757 - Wall Stickers-WUO_ERR'!X8:X507, _xlfn.LAMBDA(_xlpm.part, _xlpm.val, _xlpm.error, IF(_xlpm.part = "", "", IF(LEN(_xlpm.error), _xlfn.SWITCH(IFERROR(_xlfn.TEXTBEFORE(_xlpm.error,":"), ""), "1", "Error", "2", "Disabled", "3", "Required", "4", "Warning", "Valid"), "Valid"))))</f>
        <v>0</v>
      </c>
      <c r="Y8" s="22" cm="1">
        <f t="array" ref="Y8">_xlfn.MAP('3757 - Wall Stickers'!B8:B507, '3757 - Wall Stickers'!Y8:Y507, '3757 - Wall Stickers-WUO_ERR'!Y8:Y507, _xlfn.LAMBDA(_xlpm.part, _xlpm.val, _xlpm.error, IF(_xlpm.part = "", "", IF(LEN(_xlpm.error), _xlfn.SWITCH(IFERROR(_xlfn.TEXTBEFORE(_xlpm.error,":"), ""), "1", "Error", "2", "Disabled", "3", "Required", "4", "Warning", "Valid"), "Valid"))))</f>
        <v>0</v>
      </c>
      <c r="Z8" s="22" cm="1">
        <f t="array" ref="Z8">_xlfn.MAP('3757 - Wall Stickers'!B8:B507, '3757 - Wall Stickers'!Z8:Z507, '3757 - Wall Stickers-WUO_ERR'!Z8:Z507, _xlfn.LAMBDA(_xlpm.part, _xlpm.val, _xlpm.error, IF(_xlpm.part = "", "", IF(LEN(_xlpm.error), _xlfn.SWITCH(IFERROR(_xlfn.TEXTBEFORE(_xlpm.error,":"), ""), "1", "Error", "2", "Disabled", "3", "Required", "4", "Warning", "Valid"), "Valid"))))</f>
        <v>0</v>
      </c>
      <c r="AA8" s="22" cm="1">
        <f t="array" ref="AA8">_xlfn.MAP('3757 - Wall Stickers'!B8:B507, '3757 - Wall Stickers'!AA8:AA507, '3757 - Wall Stickers-WUO_ERR'!AA8:AA507, _xlfn.LAMBDA(_xlpm.part, _xlpm.val, _xlpm.error, IF(_xlpm.part = "", "", IF(LEN(_xlpm.error), _xlfn.SWITCH(IFERROR(_xlfn.TEXTBEFORE(_xlpm.error,":"), ""), "1", "Error", "2", "Disabled", "3", "Required", "4", "Warning", "Valid"), "Valid"))))</f>
        <v>0</v>
      </c>
      <c r="AB8" s="22" cm="1">
        <f t="array" ref="AB8">_xlfn.MAP('3757 - Wall Stickers'!B8:B507, '3757 - Wall Stickers'!AB8:AB507, '3757 - Wall Stickers-WUO_ERR'!AB8:AB507, _xlfn.LAMBDA(_xlpm.part, _xlpm.val, _xlpm.error, IF(_xlpm.part = "", "", IF(LEN(_xlpm.error), _xlfn.SWITCH(IFERROR(_xlfn.TEXTBEFORE(_xlpm.error,":"), ""), "1", "Error", "2", "Disabled", "3", "Required", "4", "Warning", "Valid"), "Valid"))))</f>
        <v>0</v>
      </c>
      <c r="AC8" s="22" cm="1">
        <f t="array" ref="AC8">_xlfn.MAP('3757 - Wall Stickers'!B8:B507, '3757 - Wall Stickers'!AC8:AC507, '3757 - Wall Stickers-WUO_ERR'!AC8:AC507, _xlfn.LAMBDA(_xlpm.part, _xlpm.val, _xlpm.error, IF(_xlpm.part = "", "", IF(LEN(_xlpm.error), _xlfn.SWITCH(IFERROR(_xlfn.TEXTBEFORE(_xlpm.error,":"), ""), "1", "Error", "2", "Disabled", "3", "Required", "4", "Warning", "Valid"), "Valid"))))</f>
        <v>0</v>
      </c>
      <c r="AD8" s="22" cm="1">
        <f t="array" ref="AD8">_xlfn.MAP('3757 - Wall Stickers'!B8:B507, '3757 - Wall Stickers'!AD8:AD507, '3757 - Wall Stickers-WUO_ERR'!AD8:AD507, _xlfn.LAMBDA(_xlpm.part, _xlpm.val, _xlpm.error, IF(_xlpm.part = "", "", IF(LEN(_xlpm.error), _xlfn.SWITCH(IFERROR(_xlfn.TEXTBEFORE(_xlpm.error,":"), ""), "1", "Error", "2", "Disabled", "3", "Required", "4", "Warning", "Valid"), "Valid"))))</f>
        <v>0</v>
      </c>
      <c r="AE8" s="22" cm="1">
        <f t="array" ref="AE8">_xlfn.MAP('3757 - Wall Stickers'!B8:B507, '3757 - Wall Stickers'!AE8:AE507, '3757 - Wall Stickers-WUO_ERR'!AE8:AE507, _xlfn.LAMBDA(_xlpm.part, _xlpm.val, _xlpm.error, IF(_xlpm.part = "", "", IF(LEN(_xlpm.error), _xlfn.SWITCH(IFERROR(_xlfn.TEXTBEFORE(_xlpm.error,":"), ""), "1", "Error", "2", "Disabled", "3", "Required", "4", "Warning", "Valid"), "Valid"))))</f>
        <v>0</v>
      </c>
      <c r="AF8" s="22" cm="1">
        <f t="array" ref="AF8">_xlfn.MAP('3757 - Wall Stickers'!B8:B507, '3757 - Wall Stickers'!AF8:AF507, '3757 - Wall Stickers-WUO_ERR'!AF8:AF507, _xlfn.LAMBDA(_xlpm.part, _xlpm.val, _xlpm.error, IF(_xlpm.part = "", "", IF(LEN(_xlpm.error), _xlfn.SWITCH(IFERROR(_xlfn.TEXTBEFORE(_xlpm.error,":"), ""), "1", "Error", "2", "Disabled", "3", "Required", "4", "Warning", "Valid"), "Valid"))))</f>
        <v>0</v>
      </c>
      <c r="AG8" s="22" cm="1">
        <f t="array" ref="AG8">_xlfn.MAP('3757 - Wall Stickers'!B8:B507, '3757 - Wall Stickers'!AG8:AG507, '3757 - Wall Stickers-WUO_ERR'!AG8:AG507, _xlfn.LAMBDA(_xlpm.part, _xlpm.val, _xlpm.error, IF(_xlpm.part = "", "", IF(LEN(_xlpm.error), _xlfn.SWITCH(IFERROR(_xlfn.TEXTBEFORE(_xlpm.error,":"), ""), "1", "Error", "2", "Disabled", "3", "Required", "4", "Warning", "Valid"), "Valid"))))</f>
        <v>0</v>
      </c>
      <c r="AH8" s="22" cm="1">
        <f t="array" ref="AH8">_xlfn.MAP('3757 - Wall Stickers'!B8:B507, '3757 - Wall Stickers'!AH8:AH507, '3757 - Wall Stickers-WUO_ERR'!AH8:AH507, _xlfn.LAMBDA(_xlpm.part, _xlpm.val, _xlpm.error, IF(_xlpm.part = "", "", IF(LEN(_xlpm.error), _xlfn.SWITCH(IFERROR(_xlfn.TEXTBEFORE(_xlpm.error,":"), ""), "1", "Error", "2", "Disabled", "3", "Required", "4", "Warning", "Valid"), "Valid"))))</f>
        <v>0</v>
      </c>
      <c r="AI8" s="22" cm="1">
        <f t="array" ref="AI8">_xlfn.MAP('3757 - Wall Stickers'!B8:B507, '3757 - Wall Stickers'!AI8:AI507, '3757 - Wall Stickers-WUO_ERR'!AI8:AI507, _xlfn.LAMBDA(_xlpm.part, _xlpm.val, _xlpm.error, IF(_xlpm.part = "", "", IF(LEN(_xlpm.error), _xlfn.SWITCH(IFERROR(_xlfn.TEXTBEFORE(_xlpm.error,":"), ""), "1", "Error", "2", "Disabled", "3", "Required", "4", "Warning", "Valid"), "Valid"))))</f>
        <v>0</v>
      </c>
      <c r="AJ8" s="22" cm="1">
        <f t="array" ref="AJ8">_xlfn.MAP('3757 - Wall Stickers'!B8:B507, '3757 - Wall Stickers'!AJ8:AJ507, '3757 - Wall Stickers-WUO_ERR'!AJ8:AJ507, _xlfn.LAMBDA(_xlpm.part, _xlpm.val, _xlpm.error, IF(_xlpm.part = "", "", IF(LEN(_xlpm.error), _xlfn.SWITCH(IFERROR(_xlfn.TEXTBEFORE(_xlpm.error,":"), ""), "1", "Error", "2", "Disabled", "3", "Required", "4", "Warning", "Valid"), "Valid"))))</f>
        <v>0</v>
      </c>
      <c r="AK8" s="22" cm="1">
        <f t="array" ref="AK8">_xlfn.MAP('3757 - Wall Stickers'!B8:B507, '3757 - Wall Stickers'!AK8:AK507, '3757 - Wall Stickers-WUO_ERR'!AK8:AK507, _xlfn.LAMBDA(_xlpm.part, _xlpm.val, _xlpm.error, IF(_xlpm.part = "", "", IF(LEN(_xlpm.error), _xlfn.SWITCH(IFERROR(_xlfn.TEXTBEFORE(_xlpm.error,":"), ""), "1", "Error", "2", "Disabled", "3", "Required", "4", "Warning", "Valid"), "Valid"))))</f>
        <v>0</v>
      </c>
      <c r="AL8" s="22" cm="1">
        <f t="array" ref="AL8">_xlfn.MAP('3757 - Wall Stickers'!B8:B507, '3757 - Wall Stickers'!AL8:AL507, '3757 - Wall Stickers-WUO_ERR'!AL8:AL507, _xlfn.LAMBDA(_xlpm.part, _xlpm.val, _xlpm.error, IF(_xlpm.part = "", "", IF(LEN(_xlpm.error), _xlfn.SWITCH(IFERROR(_xlfn.TEXTBEFORE(_xlpm.error,":"), ""), "1", "Error", "2", "Disabled", "3", "Required", "4", "Warning", "Valid"), "Valid"))))</f>
        <v>0</v>
      </c>
      <c r="AM8" s="22" cm="1">
        <f t="array" ref="AM8">_xlfn.MAP('3757 - Wall Stickers'!B8:B507, '3757 - Wall Stickers'!AM8:AM507, '3757 - Wall Stickers-WUO_ERR'!AM8:AM507, _xlfn.LAMBDA(_xlpm.part, _xlpm.val, _xlpm.error, IF(_xlpm.part = "", "", IF(LEN(_xlpm.error), _xlfn.SWITCH(IFERROR(_xlfn.TEXTBEFORE(_xlpm.error,":"), ""), "1", "Error", "2", "Disabled", "3", "Required", "4", "Warning", "Valid"), "Valid"))))</f>
        <v>0</v>
      </c>
      <c r="AN8" s="22" cm="1">
        <f t="array" ref="AN8">_xlfn.MAP('3757 - Wall Stickers'!B8:B507, '3757 - Wall Stickers'!AN8:AN507, '3757 - Wall Stickers-WUO_ERR'!AN8:AN507, _xlfn.LAMBDA(_xlpm.part, _xlpm.val, _xlpm.error, IF(_xlpm.part = "", "", IF(LEN(_xlpm.error), _xlfn.SWITCH(IFERROR(_xlfn.TEXTBEFORE(_xlpm.error,":"), ""), "1", "Error", "2", "Disabled", "3", "Required", "4", "Warning", "Valid"), "Valid"))))</f>
        <v>0</v>
      </c>
      <c r="AO8" s="22" cm="1">
        <f t="array" ref="AO8">_xlfn.MAP('3757 - Wall Stickers'!B8:B507, '3757 - Wall Stickers'!AO8:AO507, '3757 - Wall Stickers-WUO_ERR'!AO8:AO507, _xlfn.LAMBDA(_xlpm.part, _xlpm.val, _xlpm.error, IF(_xlpm.part = "", "", IF(LEN(_xlpm.error), _xlfn.SWITCH(IFERROR(_xlfn.TEXTBEFORE(_xlpm.error,":"), ""), "1", "Error", "2", "Disabled", "3", "Required", "4", "Warning", "Valid"), "Valid"))))</f>
        <v>0</v>
      </c>
      <c r="AP8" s="22" cm="1">
        <f t="array" ref="AP8">_xlfn.MAP('3757 - Wall Stickers'!B8:B507, '3757 - Wall Stickers'!AP8:AP507, '3757 - Wall Stickers-WUO_ERR'!AP8:AP507, _xlfn.LAMBDA(_xlpm.part, _xlpm.val, _xlpm.error, IF(_xlpm.part = "", "", IF(LEN(_xlpm.error), _xlfn.SWITCH(IFERROR(_xlfn.TEXTBEFORE(_xlpm.error,":"), ""), "1", "Error", "2", "Disabled", "3", "Required", "4", "Warning", "Valid"), "Valid"))))</f>
        <v>0</v>
      </c>
      <c r="AQ8" s="22" cm="1">
        <f t="array" ref="AQ8">_xlfn.MAP('3757 - Wall Stickers'!B8:B507, '3757 - Wall Stickers'!AQ8:AQ507, '3757 - Wall Stickers-WUO_ERR'!AQ8:AQ507, _xlfn.LAMBDA(_xlpm.part, _xlpm.val, _xlpm.error, IF(_xlpm.part = "", "", IF(LEN(_xlpm.error), _xlfn.SWITCH(IFERROR(_xlfn.TEXTBEFORE(_xlpm.error,":"), ""), "1", "Error", "2", "Disabled", "3", "Required", "4", "Warning", "Valid"), "Valid"))))</f>
        <v>0</v>
      </c>
      <c r="AR8" s="22" cm="1">
        <f t="array" ref="AR8">_xlfn.MAP('3757 - Wall Stickers'!B8:B507, '3757 - Wall Stickers'!AR8:AR507, '3757 - Wall Stickers-WUO_ERR'!AR8:AR507, _xlfn.LAMBDA(_xlpm.part, _xlpm.val, _xlpm.error, IF(_xlpm.part = "", "", IF(LEN(_xlpm.error), _xlfn.SWITCH(IFERROR(_xlfn.TEXTBEFORE(_xlpm.error,":"), ""), "1", "Error", "2", "Disabled", "3", "Required", "4", "Warning", "Valid"), "Valid"))))</f>
        <v>0</v>
      </c>
      <c r="AS8" s="22" cm="1">
        <f t="array" ref="AS8">_xlfn.MAP('3757 - Wall Stickers'!B8:B507, '3757 - Wall Stickers'!AS8:AS507, '3757 - Wall Stickers-WUO_ERR'!AS8:AS507, _xlfn.LAMBDA(_xlpm.part, _xlpm.val, _xlpm.error, IF(_xlpm.part = "", "", IF(LEN(_xlpm.error), _xlfn.SWITCH(IFERROR(_xlfn.TEXTBEFORE(_xlpm.error,":"), ""), "1", "Error", "2", "Disabled", "3", "Required", "4", "Warning", "Valid"), "Valid"))))</f>
        <v>0</v>
      </c>
      <c r="AT8" s="22" cm="1">
        <f t="array" ref="AT8">_xlfn.MAP('3757 - Wall Stickers'!B8:B507, '3757 - Wall Stickers'!AT8:AT507, '3757 - Wall Stickers-WUO_ERR'!AT8:AT507, _xlfn.LAMBDA(_xlpm.part, _xlpm.val, _xlpm.error, IF(_xlpm.part = "", "", IF(LEN(_xlpm.error), _xlfn.SWITCH(IFERROR(_xlfn.TEXTBEFORE(_xlpm.error,":"), ""), "1", "Error", "2", "Disabled", "3", "Required", "4", "Warning", "Valid"), "Valid"))))</f>
        <v>0</v>
      </c>
      <c r="AU8" s="22" cm="1">
        <f t="array" ref="AU8">_xlfn.MAP('3757 - Wall Stickers'!B8:B507, '3757 - Wall Stickers'!AU8:AU507, '3757 - Wall Stickers-WUO_ERR'!AU8:AU507, _xlfn.LAMBDA(_xlpm.part, _xlpm.val, _xlpm.error, IF(_xlpm.part = "", "", IF(LEN(_xlpm.error), _xlfn.SWITCH(IFERROR(_xlfn.TEXTBEFORE(_xlpm.error,":"), ""), "1", "Error", "2", "Disabled", "3", "Required", "4", "Warning", "Valid"), "Valid"))))</f>
        <v>0</v>
      </c>
      <c r="AV8" s="22" cm="1">
        <f t="array" ref="AV8">_xlfn.MAP('3757 - Wall Stickers'!B8:B507, '3757 - Wall Stickers'!AV8:AV507, '3757 - Wall Stickers-WUO_ERR'!AV8:AV507, _xlfn.LAMBDA(_xlpm.part, _xlpm.val, _xlpm.error, IF(_xlpm.part = "", "", IF(LEN(_xlpm.error), _xlfn.SWITCH(IFERROR(_xlfn.TEXTBEFORE(_xlpm.error,":"), ""), "1", "Error", "2", "Disabled", "3", "Required", "4", "Warning", "Valid"), "Valid"))))</f>
        <v>0</v>
      </c>
      <c r="AW8" s="22" cm="1">
        <f t="array" ref="AW8">_xlfn.MAP('3757 - Wall Stickers'!B8:B507, '3757 - Wall Stickers'!AW8:AW507, '3757 - Wall Stickers-WUO_ERR'!AW8:AW507, _xlfn.LAMBDA(_xlpm.part, _xlpm.val, _xlpm.error, IF(_xlpm.part = "", "", IF(LEN(_xlpm.error), _xlfn.SWITCH(IFERROR(_xlfn.TEXTBEFORE(_xlpm.error,":"), ""), "1", "Error", "2", "Disabled", "3", "Required", "4", "Warning", "Valid"), "Valid"))))</f>
        <v>0</v>
      </c>
      <c r="AX8" s="22" cm="1">
        <f t="array" ref="AX8">_xlfn.MAP('3757 - Wall Stickers'!B8:B507, '3757 - Wall Stickers'!AX8:AX507, '3757 - Wall Stickers-WUO_ERR'!AX8:AX507, _xlfn.LAMBDA(_xlpm.part, _xlpm.val, _xlpm.error, IF(_xlpm.part = "", "", IF(LEN(_xlpm.error), _xlfn.SWITCH(IFERROR(_xlfn.TEXTBEFORE(_xlpm.error,":"), ""), "1", "Error", "2", "Disabled", "3", "Required", "4", "Warning", "Valid"), "Valid"))))</f>
        <v>0</v>
      </c>
      <c r="AY8" s="22" cm="1">
        <f t="array" ref="AY8">_xlfn.MAP('3757 - Wall Stickers'!B8:B507, '3757 - Wall Stickers'!AY8:AY507, '3757 - Wall Stickers-WUO_ERR'!AY8:AY507, _xlfn.LAMBDA(_xlpm.part, _xlpm.val, _xlpm.error, IF(_xlpm.part = "", "", IF(LEN(_xlpm.error), _xlfn.SWITCH(IFERROR(_xlfn.TEXTBEFORE(_xlpm.error,":"), ""), "1", "Error", "2", "Disabled", "3", "Required", "4", "Warning", "Valid"), "Valid"))))</f>
        <v>0</v>
      </c>
      <c r="AZ8" s="22" cm="1">
        <f t="array" ref="AZ8">_xlfn.MAP('3757 - Wall Stickers'!B8:B507, '3757 - Wall Stickers'!AZ8:AZ507, '3757 - Wall Stickers-WUO_ERR'!AZ8:AZ507, _xlfn.LAMBDA(_xlpm.part, _xlpm.val, _xlpm.error, IF(_xlpm.part = "", "", IF(LEN(_xlpm.error), _xlfn.SWITCH(IFERROR(_xlfn.TEXTBEFORE(_xlpm.error,":"), ""), "1", "Error", "2", "Disabled", "3", "Required", "4", "Warning", "Valid"), "Valid"))))</f>
        <v>0</v>
      </c>
      <c r="BA8" s="22" cm="1">
        <f t="array" ref="BA8">_xlfn.MAP('3757 - Wall Stickers'!B8:B507, '3757 - Wall Stickers'!BA8:BA507, '3757 - Wall Stickers-WUO_ERR'!BA8:BA507, _xlfn.LAMBDA(_xlpm.part, _xlpm.val, _xlpm.error, IF(_xlpm.part = "", "", IF(LEN(_xlpm.error), _xlfn.SWITCH(IFERROR(_xlfn.TEXTBEFORE(_xlpm.error,":"), ""), "1", "Error", "2", "Disabled", "3", "Required", "4", "Warning", "Valid"), "Valid"))))</f>
        <v>0</v>
      </c>
      <c r="BB8" s="22" cm="1">
        <f t="array" ref="BB8">_xlfn.MAP('3757 - Wall Stickers'!B8:B507, '3757 - Wall Stickers'!BB8:BB507, '3757 - Wall Stickers-WUO_ERR'!BB8:BB507, _xlfn.LAMBDA(_xlpm.part, _xlpm.val, _xlpm.error, IF(_xlpm.part = "", "", IF(LEN(_xlpm.error), _xlfn.SWITCH(IFERROR(_xlfn.TEXTBEFORE(_xlpm.error,":"), ""), "1", "Error", "2", "Disabled", "3", "Required", "4", "Warning", "Valid"), "Valid"))))</f>
        <v>0</v>
      </c>
      <c r="BC8" s="22" cm="1">
        <f t="array" ref="BC8">_xlfn.MAP('3757 - Wall Stickers'!B8:B507, '3757 - Wall Stickers'!BC8:BC507, '3757 - Wall Stickers-WUO_ERR'!BC8:BC507, _xlfn.LAMBDA(_xlpm.part, _xlpm.val, _xlpm.error, IF(_xlpm.part = "", "", IF(LEN(_xlpm.error), _xlfn.SWITCH(IFERROR(_xlfn.TEXTBEFORE(_xlpm.error,":"), ""), "1", "Error", "2", "Disabled", "3", "Required", "4", "Warning", "Valid"), "Valid"))))</f>
        <v>0</v>
      </c>
      <c r="BD8" s="22" cm="1">
        <f t="array" ref="BD8">_xlfn.MAP('3757 - Wall Stickers'!B8:B507, '3757 - Wall Stickers'!BD8:BD507, '3757 - Wall Stickers-WUO_ERR'!BD8:BD507, _xlfn.LAMBDA(_xlpm.part, _xlpm.val, _xlpm.error, IF(_xlpm.part = "", "", IF(LEN(_xlpm.error), _xlfn.SWITCH(IFERROR(_xlfn.TEXTBEFORE(_xlpm.error,":"), ""), "1", "Error", "2", "Disabled", "3", "Required", "4", "Warning", "Valid"), "Valid"))))</f>
        <v>0</v>
      </c>
      <c r="BE8" s="22" cm="1">
        <f t="array" ref="BE8">_xlfn.MAP('3757 - Wall Stickers'!B8:B507, '3757 - Wall Stickers'!BE8:BE507, '3757 - Wall Stickers-WUO_ERR'!BE8:BE507, _xlfn.LAMBDA(_xlpm.part, _xlpm.val, _xlpm.error, IF(_xlpm.part = "", "", IF(LEN(_xlpm.error), _xlfn.SWITCH(IFERROR(_xlfn.TEXTBEFORE(_xlpm.error,":"), ""), "1", "Error", "2", "Disabled", "3", "Required", "4", "Warning", "Valid"), "Valid"))))</f>
        <v>0</v>
      </c>
      <c r="BF8" s="22" cm="1">
        <f t="array" ref="BF8">_xlfn.MAP('3757 - Wall Stickers'!B8:B507, '3757 - Wall Stickers'!BF8:BF507, '3757 - Wall Stickers-WUO_ERR'!BF8:BF507, _xlfn.LAMBDA(_xlpm.part, _xlpm.val, _xlpm.error, IF(_xlpm.part = "", "", IF(LEN(_xlpm.error), _xlfn.SWITCH(IFERROR(_xlfn.TEXTBEFORE(_xlpm.error,":"), ""), "1", "Error", "2", "Disabled", "3", "Required", "4", "Warning", "Valid"), "Valid"))))</f>
        <v>0</v>
      </c>
      <c r="BG8" s="22" cm="1">
        <f t="array" ref="BG8">_xlfn.MAP('3757 - Wall Stickers'!B8:B507, '3757 - Wall Stickers'!BG8:BG507, '3757 - Wall Stickers-WUO_ERR'!BG8:BG507, _xlfn.LAMBDA(_xlpm.part, _xlpm.val, _xlpm.error, IF(_xlpm.part = "", "", IF(LEN(_xlpm.error), _xlfn.SWITCH(IFERROR(_xlfn.TEXTBEFORE(_xlpm.error,":"), ""), "1", "Error", "2", "Disabled", "3", "Required", "4", "Warning", "Valid"), "Valid"))))</f>
        <v>0</v>
      </c>
      <c r="BH8" s="22" cm="1">
        <f t="array" ref="BH8">_xlfn.MAP('3757 - Wall Stickers'!B8:B507, '3757 - Wall Stickers'!BH8:BH507, '3757 - Wall Stickers-WUO_ERR'!BH8:BH507, _xlfn.LAMBDA(_xlpm.part, _xlpm.val, _xlpm.error, IF(_xlpm.part = "", "", IF(LEN(_xlpm.error), _xlfn.SWITCH(IFERROR(_xlfn.TEXTBEFORE(_xlpm.error,":"), ""), "1", "Error", "2", "Disabled", "3", "Required", "4", "Warning", "Valid"), "Valid"))))</f>
        <v>0</v>
      </c>
      <c r="BI8" s="22" cm="1">
        <f t="array" ref="BI8">_xlfn.MAP('3757 - Wall Stickers'!B8:B507, '3757 - Wall Stickers'!BI8:BI507, '3757 - Wall Stickers-WUO_ERR'!BI8:BI507, _xlfn.LAMBDA(_xlpm.part, _xlpm.val, _xlpm.error, IF(_xlpm.part = "", "", IF(LEN(_xlpm.error), _xlfn.SWITCH(IFERROR(_xlfn.TEXTBEFORE(_xlpm.error,":"), ""), "1", "Error", "2", "Disabled", "3", "Required", "4", "Warning", "Valid"), "Valid"))))</f>
        <v>0</v>
      </c>
      <c r="BJ8" s="22" cm="1">
        <f t="array" ref="BJ8">_xlfn.MAP('3757 - Wall Stickers'!B8:B507, '3757 - Wall Stickers'!BJ8:BJ507, '3757 - Wall Stickers-WUO_ERR'!BJ8:BJ507, _xlfn.LAMBDA(_xlpm.part, _xlpm.val, _xlpm.error, IF(_xlpm.part = "", "", IF(LEN(_xlpm.error), _xlfn.SWITCH(IFERROR(_xlfn.TEXTBEFORE(_xlpm.error,":"), ""), "1", "Error", "2", "Disabled", "3", "Required", "4", "Warning", "Valid"), "Valid"))))</f>
        <v>0</v>
      </c>
      <c r="BK8" s="22" cm="1">
        <f t="array" ref="BK8">_xlfn.MAP('3757 - Wall Stickers'!B8:B507, '3757 - Wall Stickers'!BK8:BK507, '3757 - Wall Stickers-WUO_ERR'!BK8:BK507, _xlfn.LAMBDA(_xlpm.part, _xlpm.val, _xlpm.error, IF(_xlpm.part = "", "", IF(LEN(_xlpm.error), _xlfn.SWITCH(IFERROR(_xlfn.TEXTBEFORE(_xlpm.error,":"), ""), "1", "Error", "2", "Disabled", "3", "Required", "4", "Warning", "Valid"), "Valid"))))</f>
        <v>0</v>
      </c>
      <c r="BL8" s="22" cm="1">
        <f t="array" ref="BL8">_xlfn.MAP('3757 - Wall Stickers'!B8:B507, '3757 - Wall Stickers'!BL8:BL507, '3757 - Wall Stickers-WUO_ERR'!BL8:BL507, _xlfn.LAMBDA(_xlpm.part, _xlpm.val, _xlpm.error, IF(_xlpm.part = "", "", IF(LEN(_xlpm.error), _xlfn.SWITCH(IFERROR(_xlfn.TEXTBEFORE(_xlpm.error,":"), ""), "1", "Error", "2", "Disabled", "3", "Required", "4", "Warning", "Valid"), "Valid"))))</f>
        <v>0</v>
      </c>
      <c r="BM8" s="22" cm="1">
        <f t="array" ref="BM8">_xlfn.MAP('3757 - Wall Stickers'!B8:B507, '3757 - Wall Stickers'!BM8:BM507, '3757 - Wall Stickers-WUO_ERR'!BM8:BM507, _xlfn.LAMBDA(_xlpm.part, _xlpm.val, _xlpm.error, IF(_xlpm.part = "", "", IF(LEN(_xlpm.error), _xlfn.SWITCH(IFERROR(_xlfn.TEXTBEFORE(_xlpm.error,":"), ""), "1", "Error", "2", "Disabled", "3", "Required", "4", "Warning", "Valid"), "Valid"))))</f>
        <v>0</v>
      </c>
      <c r="BN8" s="22" cm="1">
        <f t="array" ref="BN8">_xlfn.MAP('3757 - Wall Stickers'!B8:B507, '3757 - Wall Stickers'!BN8:BN507, '3757 - Wall Stickers-WUO_ERR'!BN8:BN507, _xlfn.LAMBDA(_xlpm.part, _xlpm.val, _xlpm.error, IF(_xlpm.part = "", "", IF(LEN(_xlpm.error), _xlfn.SWITCH(IFERROR(_xlfn.TEXTBEFORE(_xlpm.error,":"), ""), "1", "Error", "2", "Disabled", "3", "Required", "4", "Warning", "Valid"), "Valid"))))</f>
        <v>0</v>
      </c>
      <c r="BO8" s="22" cm="1">
        <f t="array" ref="BO8">_xlfn.MAP('3757 - Wall Stickers'!B8:B507, '3757 - Wall Stickers'!BO8:BO507, '3757 - Wall Stickers-WUO_ERR'!BO8:BO507, _xlfn.LAMBDA(_xlpm.part, _xlpm.val, _xlpm.error, IF(_xlpm.part = "", "", IF(LEN(_xlpm.error), _xlfn.SWITCH(IFERROR(_xlfn.TEXTBEFORE(_xlpm.error,":"), ""), "1", "Error", "2", "Disabled", "3", "Required", "4", "Warning", "Valid"), "Valid"))))</f>
        <v>0</v>
      </c>
      <c r="BP8" s="22" cm="1">
        <f t="array" ref="BP8">_xlfn.MAP('3757 - Wall Stickers'!B8:B507, '3757 - Wall Stickers'!BP8:BP507, '3757 - Wall Stickers-WUO_ERR'!BP8:BP507, _xlfn.LAMBDA(_xlpm.part, _xlpm.val, _xlpm.error, IF(_xlpm.part = "", "", IF(LEN(_xlpm.error), _xlfn.SWITCH(IFERROR(_xlfn.TEXTBEFORE(_xlpm.error,":"), ""), "1", "Error", "2", "Disabled", "3", "Required", "4", "Warning", "Valid"), "Valid"))))</f>
        <v>0</v>
      </c>
      <c r="BQ8" s="22" cm="1">
        <f t="array" ref="BQ8">_xlfn.MAP('3757 - Wall Stickers'!B8:B507, '3757 - Wall Stickers'!BQ8:BQ507, '3757 - Wall Stickers-WUO_ERR'!BQ8:BQ507, _xlfn.LAMBDA(_xlpm.part, _xlpm.val, _xlpm.error, IF(_xlpm.part = "", "", IF(LEN(_xlpm.error), _xlfn.SWITCH(IFERROR(_xlfn.TEXTBEFORE(_xlpm.error,":"), ""), "1", "Error", "2", "Disabled", "3", "Required", "4", "Warning", "Valid"), "Valid"))))</f>
        <v>0</v>
      </c>
      <c r="BR8" s="22" cm="1">
        <f t="array" ref="BR8">_xlfn.MAP('3757 - Wall Stickers'!B8:B507, '3757 - Wall Stickers'!BR8:BR507, '3757 - Wall Stickers-WUO_ERR'!BR8:BR507, _xlfn.LAMBDA(_xlpm.part, _xlpm.val, _xlpm.error, IF(_xlpm.part = "", "", IF(LEN(_xlpm.error), _xlfn.SWITCH(IFERROR(_xlfn.TEXTBEFORE(_xlpm.error,":"), ""), "1", "Error", "2", "Disabled", "3", "Required", "4", "Warning", "Valid"), "Valid"))))</f>
        <v>0</v>
      </c>
      <c r="BS8" s="22" cm="1">
        <f t="array" ref="BS8">_xlfn.MAP('3757 - Wall Stickers'!B8:B507, '3757 - Wall Stickers'!BS8:BS507, '3757 - Wall Stickers-WUO_ERR'!BS8:BS507, _xlfn.LAMBDA(_xlpm.part, _xlpm.val, _xlpm.error, IF(_xlpm.part = "", "", IF(LEN(_xlpm.error), _xlfn.SWITCH(IFERROR(_xlfn.TEXTBEFORE(_xlpm.error,":"), ""), "1", "Error", "2", "Disabled", "3", "Required", "4", "Warning", "Valid"), "Valid"))))</f>
        <v>0</v>
      </c>
      <c r="BT8" s="22" cm="1">
        <f t="array" ref="BT8">_xlfn.MAP('3757 - Wall Stickers'!B8:B507, '3757 - Wall Stickers'!BT8:BT507, '3757 - Wall Stickers-WUO_ERR'!BT8:BT507, _xlfn.LAMBDA(_xlpm.part, _xlpm.val, _xlpm.error, IF(_xlpm.part = "", "", IF(LEN(_xlpm.error), _xlfn.SWITCH(IFERROR(_xlfn.TEXTBEFORE(_xlpm.error,":"), ""), "1", "Error", "2", "Disabled", "3", "Required", "4", "Warning", "Valid"), "Valid"))))</f>
        <v>0</v>
      </c>
      <c r="BU8" s="22" cm="1">
        <f t="array" ref="BU8">_xlfn.MAP('3757 - Wall Stickers'!B8:B507, '3757 - Wall Stickers'!BU8:BU507, '3757 - Wall Stickers-WUO_ERR'!BU8:BU507, _xlfn.LAMBDA(_xlpm.part, _xlpm.val, _xlpm.error, IF(_xlpm.part = "", "", IF(LEN(_xlpm.error), _xlfn.SWITCH(IFERROR(_xlfn.TEXTBEFORE(_xlpm.error,":"), ""), "1", "Error", "2", "Disabled", "3", "Required", "4", "Warning", "Valid"), "Valid"))))</f>
        <v>0</v>
      </c>
      <c r="BV8" s="22" cm="1">
        <f t="array" ref="BV8">_xlfn.MAP('3757 - Wall Stickers'!B8:B507, '3757 - Wall Stickers'!BV8:BV507, '3757 - Wall Stickers-WUO_ERR'!BV8:BV507, _xlfn.LAMBDA(_xlpm.part, _xlpm.val, _xlpm.error, IF(_xlpm.part = "", "", IF(LEN(_xlpm.error), _xlfn.SWITCH(IFERROR(_xlfn.TEXTBEFORE(_xlpm.error,":"), ""), "1", "Error", "2", "Disabled", "3", "Required", "4", "Warning", "Valid"), "Valid"))))</f>
        <v>0</v>
      </c>
      <c r="BW8" s="22" cm="1">
        <f t="array" ref="BW8">_xlfn.MAP('3757 - Wall Stickers'!B8:B507, '3757 - Wall Stickers'!BW8:BW507, '3757 - Wall Stickers-WUO_ERR'!BW8:BW507, _xlfn.LAMBDA(_xlpm.part, _xlpm.val, _xlpm.error, IF(_xlpm.part = "", "", IF(LEN(_xlpm.error), _xlfn.SWITCH(IFERROR(_xlfn.TEXTBEFORE(_xlpm.error,":"), ""), "1", "Error", "2", "Disabled", "3", "Required", "4", "Warning", "Valid"), "Valid"))))</f>
        <v>0</v>
      </c>
      <c r="BX8" s="22" cm="1">
        <f t="array" ref="BX8">_xlfn.MAP('3757 - Wall Stickers'!B8:B507, '3757 - Wall Stickers'!BX8:BX507, '3757 - Wall Stickers-WUO_ERR'!BX8:BX507, _xlfn.LAMBDA(_xlpm.part, _xlpm.val, _xlpm.error, IF(_xlpm.part = "", "", IF(LEN(_xlpm.error), _xlfn.SWITCH(IFERROR(_xlfn.TEXTBEFORE(_xlpm.error,":"), ""), "1", "Error", "2", "Disabled", "3", "Required", "4", "Warning", "Valid"), "Valid"))))</f>
        <v>0</v>
      </c>
      <c r="BY8" s="22" cm="1">
        <f t="array" ref="BY8">_xlfn.MAP('3757 - Wall Stickers'!B8:B507, '3757 - Wall Stickers'!BY8:BY507, '3757 - Wall Stickers-WUO_ERR'!BY8:BY507, _xlfn.LAMBDA(_xlpm.part, _xlpm.val, _xlpm.error, IF(_xlpm.part = "", "", IF(LEN(_xlpm.error), _xlfn.SWITCH(IFERROR(_xlfn.TEXTBEFORE(_xlpm.error,":"), ""), "1", "Error", "2", "Disabled", "3", "Required", "4", "Warning", "Valid"), "Valid"))))</f>
        <v>0</v>
      </c>
      <c r="BZ8" s="22" cm="1">
        <f t="array" ref="BZ8">_xlfn.MAP('3757 - Wall Stickers'!B8:B507, '3757 - Wall Stickers'!BZ8:BZ507, '3757 - Wall Stickers-WUO_ERR'!BZ8:BZ507, _xlfn.LAMBDA(_xlpm.part, _xlpm.val, _xlpm.error, IF(_xlpm.part = "", "", IF(LEN(_xlpm.error), _xlfn.SWITCH(IFERROR(_xlfn.TEXTBEFORE(_xlpm.error,":"), ""), "1", "Error", "2", "Disabled", "3", "Required", "4", "Warning", "Valid"), "Valid"))))</f>
        <v>0</v>
      </c>
      <c r="CA8" s="22" cm="1">
        <f t="array" ref="CA8">_xlfn.MAP('3757 - Wall Stickers'!B8:B507, '3757 - Wall Stickers'!CA8:CA507, '3757 - Wall Stickers-WUO_ERR'!CA8:CA507, _xlfn.LAMBDA(_xlpm.part, _xlpm.val, _xlpm.error, IF(_xlpm.part = "", "", IF(LEN(_xlpm.error), _xlfn.SWITCH(IFERROR(_xlfn.TEXTBEFORE(_xlpm.error,":"), ""), "1", "Error", "2", "Disabled", "3", "Required", "4", "Warning", "Valid"), "Valid"))))</f>
        <v>0</v>
      </c>
      <c r="CB8" s="22" cm="1">
        <f t="array" ref="CB8">_xlfn.MAP('3757 - Wall Stickers'!B8:B507, '3757 - Wall Stickers'!CB8:CB507, '3757 - Wall Stickers-WUO_ERR'!CB8:CB507, _xlfn.LAMBDA(_xlpm.part, _xlpm.val, _xlpm.error, IF(_xlpm.part = "", "", IF(LEN(_xlpm.error), _xlfn.SWITCH(IFERROR(_xlfn.TEXTBEFORE(_xlpm.error,":"), ""), "1", "Error", "2", "Disabled", "3", "Required", "4", "Warning", "Valid"), "Valid"))))</f>
        <v>0</v>
      </c>
      <c r="CC8" s="22" cm="1">
        <f t="array" ref="CC8">_xlfn.MAP('3757 - Wall Stickers'!B8:B507, '3757 - Wall Stickers'!CC8:CC507, '3757 - Wall Stickers-WUO_ERR'!CC8:CC507, _xlfn.LAMBDA(_xlpm.part, _xlpm.val, _xlpm.error, IF(_xlpm.part = "", "", IF(LEN(_xlpm.error), _xlfn.SWITCH(IFERROR(_xlfn.TEXTBEFORE(_xlpm.error,":"), ""), "1", "Error", "2", "Disabled", "3", "Required", "4", "Warning", "Valid"), "Valid"))))</f>
        <v>0</v>
      </c>
      <c r="CD8" s="22" cm="1">
        <f t="array" ref="CD8">_xlfn.MAP('3757 - Wall Stickers'!B8:B507, '3757 - Wall Stickers'!CD8:CD507, '3757 - Wall Stickers-WUO_ERR'!CD8:CD507, _xlfn.LAMBDA(_xlpm.part, _xlpm.val, _xlpm.error, IF(_xlpm.part = "", "", IF(LEN(_xlpm.error), _xlfn.SWITCH(IFERROR(_xlfn.TEXTBEFORE(_xlpm.error,":"), ""), "1", "Error", "2", "Disabled", "3", "Required", "4", "Warning", "Valid"), "Valid"))))</f>
        <v>0</v>
      </c>
      <c r="CE8" s="22" cm="1">
        <f t="array" ref="CE8">_xlfn.MAP('3757 - Wall Stickers'!B8:B507, '3757 - Wall Stickers'!CE8:CE507, '3757 - Wall Stickers-WUO_ERR'!CE8:CE507, _xlfn.LAMBDA(_xlpm.part, _xlpm.val, _xlpm.error, IF(_xlpm.part = "", "", IF(LEN(_xlpm.error), _xlfn.SWITCH(IFERROR(_xlfn.TEXTBEFORE(_xlpm.error,":"), ""), "1", "Error", "2", "Disabled", "3", "Required", "4", "Warning", "Valid"), "Valid"))))</f>
        <v>0</v>
      </c>
      <c r="CF8" s="22" cm="1">
        <f t="array" ref="CF8">_xlfn.MAP('3757 - Wall Stickers'!B8:B507, '3757 - Wall Stickers'!CF8:CF507, '3757 - Wall Stickers-WUO_ERR'!CF8:CF507, _xlfn.LAMBDA(_xlpm.part, _xlpm.val, _xlpm.error, IF(_xlpm.part = "", "", IF(LEN(_xlpm.error), _xlfn.SWITCH(IFERROR(_xlfn.TEXTBEFORE(_xlpm.error,":"), ""), "1", "Error", "2", "Disabled", "3", "Required", "4", "Warning", "Valid"), "Valid"))))</f>
        <v>0</v>
      </c>
      <c r="CG8" s="22" cm="1">
        <f t="array" ref="CG8">_xlfn.MAP('3757 - Wall Stickers'!B8:B507, '3757 - Wall Stickers'!CG8:CG507, '3757 - Wall Stickers-WUO_ERR'!CG8:CG507, _xlfn.LAMBDA(_xlpm.part, _xlpm.val, _xlpm.error, IF(_xlpm.part = "", "", IF(LEN(_xlpm.error), _xlfn.SWITCH(IFERROR(_xlfn.TEXTBEFORE(_xlpm.error,":"), ""), "1", "Error", "2", "Disabled", "3", "Required", "4", "Warning", "Valid"), "Valid"))))</f>
        <v>0</v>
      </c>
      <c r="CH8" s="22" cm="1">
        <f t="array" ref="CH8">_xlfn.MAP('3757 - Wall Stickers'!B8:B507, '3757 - Wall Stickers'!CH8:CH507, '3757 - Wall Stickers-WUO_ERR'!CH8:CH507, _xlfn.LAMBDA(_xlpm.part, _xlpm.val, _xlpm.error, IF(_xlpm.part = "", "", IF(LEN(_xlpm.error), _xlfn.SWITCH(IFERROR(_xlfn.TEXTBEFORE(_xlpm.error,":"), ""), "1", "Error", "2", "Disabled", "3", "Required", "4", "Warning", "Valid"), "Valid"))))</f>
        <v>0</v>
      </c>
      <c r="CI8" s="22" cm="1">
        <f t="array" ref="CI8">_xlfn.MAP('3757 - Wall Stickers'!B8:B507, '3757 - Wall Stickers'!CI8:CI507, '3757 - Wall Stickers-WUO_ERR'!CI8:CI507, _xlfn.LAMBDA(_xlpm.part, _xlpm.val, _xlpm.error, IF(_xlpm.part = "", "", IF(LEN(_xlpm.error), _xlfn.SWITCH(IFERROR(_xlfn.TEXTBEFORE(_xlpm.error,":"), ""), "1", "Error", "2", "Disabled", "3", "Required", "4", "Warning", "Valid"), "Valid"))))</f>
        <v>0</v>
      </c>
      <c r="CJ8" s="22" cm="1">
        <f t="array" ref="CJ8">_xlfn.MAP('3757 - Wall Stickers'!B8:B507, '3757 - Wall Stickers'!CJ8:CJ507, '3757 - Wall Stickers-WUO_ERR'!CJ8:CJ507, _xlfn.LAMBDA(_xlpm.part, _xlpm.val, _xlpm.error, IF(_xlpm.part = "", "", IF(LEN(_xlpm.error), _xlfn.SWITCH(IFERROR(_xlfn.TEXTBEFORE(_xlpm.error,":"), ""), "1", "Error", "2", "Disabled", "3", "Required", "4", "Warning", "Valid"), "Valid"))))</f>
        <v>0</v>
      </c>
      <c r="CK8" s="22" cm="1">
        <f t="array" ref="CK8">_xlfn.MAP('3757 - Wall Stickers'!B8:B507, '3757 - Wall Stickers'!CK8:CK507, '3757 - Wall Stickers-WUO_ERR'!CK8:CK507, _xlfn.LAMBDA(_xlpm.part, _xlpm.val, _xlpm.error, IF(_xlpm.part = "", "", IF(LEN(_xlpm.error), _xlfn.SWITCH(IFERROR(_xlfn.TEXTBEFORE(_xlpm.error,":"), ""), "1", "Error", "2", "Disabled", "3", "Required", "4", "Warning", "Valid"), "Valid"))))</f>
        <v>0</v>
      </c>
      <c r="CL8" s="22" cm="1">
        <f t="array" ref="CL8">_xlfn.MAP('3757 - Wall Stickers'!B8:B507, '3757 - Wall Stickers'!CL8:CL507, '3757 - Wall Stickers-WUO_ERR'!CL8:CL507, _xlfn.LAMBDA(_xlpm.part, _xlpm.val, _xlpm.error, IF(_xlpm.part = "", "", IF(LEN(_xlpm.error), _xlfn.SWITCH(IFERROR(_xlfn.TEXTBEFORE(_xlpm.error,":"), ""), "1", "Error", "2", "Disabled", "3", "Required", "4", "Warning", "Valid"), "Valid"))))</f>
        <v>0</v>
      </c>
      <c r="CM8" s="22" cm="1">
        <f t="array" ref="CM8">_xlfn.MAP('3757 - Wall Stickers'!B8:B507, '3757 - Wall Stickers'!CM8:CM507, '3757 - Wall Stickers-WUO_ERR'!CM8:CM507, _xlfn.LAMBDA(_xlpm.part, _xlpm.val, _xlpm.error, IF(_xlpm.part = "", "", IF(LEN(_xlpm.error), _xlfn.SWITCH(IFERROR(_xlfn.TEXTBEFORE(_xlpm.error,":"), ""), "1", "Error", "2", "Disabled", "3", "Required", "4", "Warning", "Valid"), "Valid"))))</f>
        <v>0</v>
      </c>
      <c r="CN8" s="22" cm="1">
        <f t="array" ref="CN8">_xlfn.MAP('3757 - Wall Stickers'!B8:B507, '3757 - Wall Stickers'!CN8:CN507, '3757 - Wall Stickers-WUO_ERR'!CN8:CN507, _xlfn.LAMBDA(_xlpm.part, _xlpm.val, _xlpm.error, IF(_xlpm.part = "", "", IF(LEN(_xlpm.error), _xlfn.SWITCH(IFERROR(_xlfn.TEXTBEFORE(_xlpm.error,":"), ""), "1", "Error", "2", "Disabled", "3", "Required", "4", "Warning", "Valid"), "Valid"))))</f>
        <v>0</v>
      </c>
    </row>
  </sheetData>
  <sheetProtection password="8AEE" sheet="1" objects="1" scenarios="1"/>
  <mergeCells count="9">
    <mergeCell ref="B2:I2"/>
    <mergeCell ref="J2:Q2"/>
    <mergeCell ref="R2:U2"/>
    <mergeCell ref="V2:AA2"/>
    <mergeCell ref="AB2:AL2"/>
    <mergeCell ref="AM2:AP2"/>
    <mergeCell ref="AQ2:BH2"/>
    <mergeCell ref="BI2:CK2"/>
    <mergeCell ref="CL2:CN2"/>
  </mergeCells>
  <dataValidations count="71">
    <dataValidation type="list" allowBlank="1" showInputMessage="1" showErrorMessage="1" errorTitle="Invalid Brand" error="The value provided is not a valid Brand." promptTitle="" prompt="If all products in this class consistently have the same answer, you can set a default value to apply automatically. For any exceptions, you can modify the answer for specific products without changing the default." sqref="D7">
      <formula1>'WAYFAIR_USE_ONLY'!$M$7:$M8</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H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S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T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U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V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W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X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Y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Z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A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B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C7">
      <formula1>32767</formula1>
    </dataValidation>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AD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E7">
      <formula1>32767</formula1>
    </dataValidation>
    <dataValidation type="list" allowBlank="1" showInputMessage="1" showErrorMessage="1" errorTitle="Invalid Ship Type" error="The value provided is not a valid Ship Type." promptTitle="" prompt="If all products in this class consistently have the same answer, you can set a default value to apply automatically. For any exceptions, you can modify the answer for specific products without changing the default." sqref="AF7">
      <formula1>'WAYFAIR_USE_ONLY'!$Q$7:$Q9</formula1>
    </dataValidation>
    <dataValidation type="list" allowBlank="1" showInputMessage="1" showErrorMessage="1" errorTitle="Invalid Freight Class" error="The value provided is not a valid Freight Class." promptTitle="" prompt="If all products in this class consistently have the same answer, you can set a default value to apply automatically. For any exceptions, you can modify the answer for specific products without changing the default." sqref="AG7">
      <formula1>'WAYFAIR_USE_ONLY'!$R$7:$R25</formula1>
    </dataValidation>
    <dataValidation type="list" allowBlank="1" showInputMessage="1" showErrorMessage="1" errorTitle="Invalid Lead Time" error="The value provided is not a valid Lead Time." promptTitle="" prompt="If all products in this class consistently have the same answer, you can set a default value to apply automatically. For any exceptions, you can modify the answer for specific products without changing the default." sqref="AH7">
      <formula1>'WAYFAIR_USE_ONLY'!$S$7:$S24</formula1>
    </dataValidation>
    <dataValidation type="list" allowBlank="1" showInputMessage="1" showErrorMessage="1" errorTitle="Invalid Replacement Lead Time" error="The value provided is not a valid Replacement Lead Time." promptTitle="" prompt="If all products in this class consistently have the same answer, you can set a default value to apply automatically. For any exceptions, you can modify the answer for specific products without changing the default." sqref="AI7">
      <formula1>'WAYFAIR_USE_ONLY'!$T$7:$T13</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J7">
      <formula1>32767</formula1>
    </dataValidation>
    <dataValidation type="list" allowBlank="1" showInputMessage="1" showErrorMessage="1" errorTitle="Invalid Flat Pack" error="The value provided is not a valid Flat Pack." promptTitle="" prompt="If all products in this class consistently have the same answer, you can set a default value to apply automatically. For any exceptions, you can modify the answer for specific products without changing the default." sqref="AK7">
      <formula1>'WAYFAIR_USE_ONLY'!$U$7:$U9</formula1>
    </dataValidation>
    <dataValidation type="list" allowBlank="1" showInputMessage="1" showErrorMessage="1" errorTitle="Invalid Ship Palletized" error="The value provided is not a valid Ship Palletized." promptTitle="" prompt="If all products in this class consistently have the same answer, you can set a default value to apply automatically. For any exceptions, you can modify the answer for specific products without changing the default." sqref="AL7">
      <formula1>'WAYFAIR_USE_ONLY'!$V$7:$V9</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M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N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O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AP7">
      <formula1>32767</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AW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X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AY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AZ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A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B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C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D7">
      <formula1>'WAYFAIR_USE_ONLY'!$N$7:$N11</formula1>
    </dataValidation>
    <dataValidation type="textLength" operator="lessThanOrEqual" errorStyle="warning" showInputMessage="1" showErrorMessage="1" errorTitle="Invalid Text" error="The value provided is not a valid Text." promptTitle="" prompt="If all products in this class consistently have the same answer, you can set a default value to apply automatically. For any exceptions, you can modify the answer for specific products without changing the default." sqref="BE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F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G7"/>
    <dataValidation type="list" allowBlank="1" showInputMessage="1" showErrorMessage="1" errorTitle="Invalid Document Region" error="The value provided is not a valid Document Region." promptTitle="" prompt="If all products in this class consistently have the same answer, you can set a default value to apply automatically. For any exceptions, you can modify the answer for specific products without changing the default." sqref="BH7">
      <formula1>'WAYFAIR_USE_ONLY'!$N$7:$N11</formula1>
    </dataValidation>
    <dataValidation type="list" errorStyle="warning" allowBlank="1" showInputMessage="1" showErrorMessage="1" errorTitle="Invalid Product Type" error="The value provided is not a valid Product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I7">
      <formula1>'WAYFAIR_USE_ONLY'!$Y$7:$Y20</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J7"/>
    <dataValidation type="list" errorStyle="warning" allowBlank="1" showInputMessage="1" showErrorMessage="1" errorTitle="Invalid Surface Type" error="The value provided is not a valid Surface Type. Would you like to provide a custom answer?" promptTitle="" prompt="If all products in this class consistently have the same answer, you can set a default value to apply automatically. For any exceptions, you can modify the answer for specific products without changing the default." sqref="BK7">
      <formula1>'WAYFAIR_USE_ONLY'!$Z$7:$Z17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L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M7"/>
    <dataValidation type="list" allowBlank="1" showInputMessage="1" showErrorMessage="1" errorTitle="Invalid Personalization or Monog" error="The value provided is not a valid Personalization or Monogramming." promptTitle="" prompt="If all products in this class consistently have the same answer, you can set a default value to apply automatically. For any exceptions, you can modify the answer for specific products without changing the default." sqref="BN7">
      <formula1>'WAYFAIR_USE_ONLY'!$AA$7:$AA11</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O7"/>
    <dataValidation type="list" allowBlank="1" showInputMessage="1" showErrorMessage="1" errorTitle="Invalid Country of Origin" error="The value provided is not a valid Country of Origin." promptTitle="" prompt="If all products in this class consistently have the same answer, you can set a default value to apply automatically. For any exceptions, you can modify the answer for specific products without changing the default." sqref="BP7">
      <formula1>'WAYFAIR_USE_ONLY'!$AB$7:$AB254</formula1>
    </dataValidation>
    <dataValidation type="list" allowBlank="1" showInputMessage="1" showErrorMessage="1" errorTitle="Invalid Holiday / Occasion" error="The value provided is not a valid Holiday / Occasion." promptTitle="" prompt="If all products in this class consistently have the same answer, you can set a default value to apply automatically. For any exceptions, you can modify the answer for specific products without changing the default." sqref="BQ7">
      <formula1>'WAYFAIR_USE_ONLY'!$AC$7:$AC33</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R7"/>
    <dataValidation type="list" allowBlank="1" showInputMessage="1" showErrorMessage="1" errorTitle="Invalid BPA Free" error="The value provided is not a valid BPA Free." promptTitle="" prompt="If all products in this class consistently have the same answer, you can set a default value to apply automatically. For any exceptions, you can modify the answer for specific products without changing the default." sqref="BS7">
      <formula1>'WAYFAIR_USE_ONLY'!$AD$7:$AD11</formula1>
    </dataValidation>
    <dataValidation type="list" errorStyle="warning" allowBlank="1" showInputMessage="1" showErrorMessage="1" errorTitle="Invalid Licensed Product Categor" error="The value provided is not a valid Licensed Product Category. Would you like to provide a custom answer?" promptTitle="" prompt="If all products in this class consistently have the same answer, you can set a default value to apply automatically. For any exceptions, you can modify the answer for specific products without changing the default." sqref="BT7">
      <formula1>'WAYFAIR_USE_ONLY'!$AE$7:$AE14</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U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V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W7"/>
    <dataValidation type="textLength" operator="lessThanOrEqual" errorStyle="warning" showInputMessage="1" showErrorMessage="1" errorTitle="Invalid Whole Number" error="The value provided is not a valid Whole Number." promptTitle="" prompt="If all products in this class consistently have the same answer, you can set a default value to apply automatically. For any exceptions, you can modify the answer for specific products without changing the default." sqref="BX7">
      <formula1>32767</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Y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BZ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A7"/>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B7"/>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C7">
      <formula1>32767</formula1>
    </dataValidation>
    <dataValidation type="textLength" operator="lessThanOrEqual" errorStyle="warning" showInputMessage="1" showErrorMessage="1" errorTitle="Invalid Number" error="The value provided is not a valid Number." promptTitle="" prompt="If all products in this class consistently have the same answer, you can set a default value to apply automatically. For any exceptions, you can modify the answer for specific products without changing the default." sqref="CD7">
      <formula1>32767</formula1>
    </dataValidation>
    <dataValidation type="list" allowBlank="1" showInputMessage="1" showErrorMessage="1" errorTitle="Invalid Commercial Warranty" error="The value provided is not a valid Commercial Warranty." promptTitle="" prompt="If all products in this class consistently have the same answer, you can set a default value to apply automatically. For any exceptions, you can modify the answer for specific products without changing the default." sqref="CE7">
      <formula1>'WAYFAIR_USE_ONLY'!$AG$7:$AG10</formula1>
    </dataValidation>
    <dataValidation allowBlank="1" showInputMessage="1" showErrorMessage="1" promptTitle="Class Specific Child Question" prompt="This Question is directly related to the tag &quot;Commercial Warranty Your answer to the related question may influence which answers are accepted here." sqref="CF4"/>
    <dataValidation type="list" allowBlank="1" showInputMessage="1" showErrorMessage="1" errorTitle="Invalid Commercial Warranty Leng" error="The value provided is not a valid Commercial Warranty Length." promptTitle="" prompt="If all products in this class consistently have the same answer, you can set a default value to apply automatically. For any exceptions, you can modify the answer for specific products without changing the default." sqref="CF7">
      <formula1>'WAYFAIR_USE_ONLY'!$AF$7:$AF32</formula1>
    </dataValidation>
    <dataValidation type="list" allowBlank="1" showInputMessage="1" showErrorMessage="1" errorTitle="Invalid Wayfair Compliance Verif" error="The value provided is not a valid Wayfair Compliance Verified Program (including Baby Safety Alliance fka JPMA) for this product category." promptTitle="" prompt="If all products in this class consistently have the same answer, you can set a default value to apply automatically. For any exceptions, you can modify the answer for specific products without changing the default." sqref="CG7">
      <formula1>'WAYFAIR_USE_ONLY'!$AH$7:$AH9</formula1>
    </dataValidation>
    <dataValidation type="list" allowBlank="1" showInputMessage="1" showErrorMessage="1" errorTitle="Invalid Uniform Packaging and La" error="The value provided is not a valid Uniform Packaging and Labeling Regulations (UPLR) Compliant." promptTitle="" prompt="If all products in this class consistently have the same answer, you can set a default value to apply automatically. For any exceptions, you can modify the answer for specific products without changing the default." sqref="CH7">
      <formula1>'WAYFAIR_USE_ONLY'!$AI$7:$AI9</formula1>
    </dataValidation>
    <dataValidation type="list" allowBlank="1" showInputMessage="1" showErrorMessage="1" errorTitle="Invalid Canada Product Restricti" error="The value provided is not a valid Canada Product Restriction." promptTitle="" prompt="If all products in this class consistently have the same answer, you can set a default value to apply automatically. For any exceptions, you can modify the answer for specific products without changing the default." sqref="CI7">
      <formula1>'WAYFAIR_USE_ONLY'!$AJ$7:$AJ9</formula1>
    </dataValidation>
    <dataValidation type="list" allowBlank="1" showInputMessage="1" showErrorMessage="1" errorTitle="Invalid ISTA Certified" error="The value provided is not a valid ISTA Certified." promptTitle="" prompt="If all products in this class consistently have the same answer, you can set a default value to apply automatically. For any exceptions, you can modify the answer for specific products without changing the default." sqref="CJ7">
      <formula1>'WAYFAIR_USE_ONLY'!$AK$7:$AK10</formula1>
    </dataValidation>
    <dataValidation type="list" allowBlank="1" showInputMessage="1" showErrorMessage="1" errorTitle="Invalid Sustainability &amp; Social " error="The value provided is not a valid Sustainability &amp; Social Responsibility Certifications (North America Only)." promptTitle="" prompt="If all products in this class consistently have the same answer, you can set a default value to apply automatically. For any exceptions, you can modify the answer for specific products without changing the default." sqref="CK7">
      <formula1>'WAYFAIR_USE_ONLY'!$AL$7:$AL10</formula1>
    </dataValidation>
    <dataValidation type="list" allowBlank="1" showInputMessage="1" showErrorMessage="1" errorTitle="Invalid Warning Required" error="The value provided is not a valid Warning Required." promptTitle="" prompt="If all products in this class consistently have the same answer, you can set a default value to apply automatically. For any exceptions, you can modify the answer for specific products without changing the default." sqref="CL7">
      <formula1>'WAYFAIR_USE_ONLY'!$O$7:$O9</formula1>
    </dataValidation>
    <dataValidation type="list" allowBlank="1" showInputMessage="1" showErrorMessage="1" errorTitle="Invalid Chemical" error="The value provided is not a valid Chemical." promptTitle="" prompt="If all products in this class consistently have the same answer, you can set a default value to apply automatically. For any exceptions, you can modify the answer for specific products without changing the default." sqref="CM7">
      <formula1>'WAYFAIR_USE_ONLY'!$P$7:$P908</formula1>
    </dataValidation>
    <dataValidation allowBlank="1" showInputMessage="1" showErrorMessage="1" promptTitle="" prompt="If all products in this class consistently have the same answer, you can set a default value to apply automatically. For any exceptions, you can modify the answer for specific products without changing the default." sqref="CN7"/>
  </dataValidations>
  <hyperlinks>
    <hyperlink ref="D6" location="'Valid Values'!A1" display="Select"/>
    <hyperlink ref="J6" location="'Valid Values'!B1" display="Select"/>
    <hyperlink ref="L6" location="'Valid Values'!C1" display="Select"/>
    <hyperlink ref="N6" location="'Valid Values'!C1" display="Select"/>
    <hyperlink ref="P6" location="'Valid Values'!C1" display="Select"/>
    <hyperlink ref="AF6" location="'Valid Values'!E1" display="Select"/>
    <hyperlink ref="AG6" location="'Valid Values'!F1" display="Select"/>
    <hyperlink ref="AH6" location="'Valid Values'!G1" display="Select"/>
    <hyperlink ref="AI6" location="'Valid Values'!H1" display="Select"/>
    <hyperlink ref="AX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AY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AZ6" location="'Valid Values'!K1" display="Select"/>
    <hyperlink ref="BB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C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D6" location="'Valid Values'!K1" display="Select"/>
    <hyperlink ref="BF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BG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BH6" location="'Valid Values'!K1" display="Select"/>
    <hyperlink ref="BI6" location="'Valid Values'!BC1" display="Select"/>
    <hyperlink ref="BJ6" location="'Valid Values'!BE1" display="Please choose one or more from the following, using a semicolon (;) to separate each value: Animals; Astrology &amp; Stars; Scenic &amp; Cityscapes; Food &amp; Beverage; Insects; Patriotic; Entertainment; Plants &amp; Flowers; Religious &amp; Spiritual; Nautical &amp; Beach; Abstract; Sports; People; Geography; Fantasy &amp; Sci-Fi; Landscape &amp; Nature; Text &amp; Numbers; Furniture; Novelty &amp; Humor; STEM; Fashion; Buildings &amp; Architecture; Transportation; Bath &amp; Laundry; History &amp; Language; Cities &amp; Countries; Disney/Pixar; No Subject; Education; Birds; U.S. States &amp; Territories; Unavailable"/>
    <hyperlink ref="BK6" location="'Valid Values'!BG1" display="Select"/>
    <hyperlink ref="BL6" location="'Valid Values'!BI1" display="Please choose one or more from the following, using a semicolon (;) to separate each value: Fabric; Vinyl; Canvas; Paper; Plastic; PVC; Polycarbonate (PC); Polyethylene Plastic; Glass; Silicone; Stainless Steel; Melamine; Polypropylene; Cane; Raffia; Mango Wood; Aluminum; Linen Blend; Acrylic;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omposite; Carbon Steel; Compressed Polyester; Ceramic / Porcelain; Bone China; Cedar; Concrete; Cotton; Earthenware; Engineered Stone; Concrete / Cement; Corrugated; Enamel / Lacquer; Cotton Blend; Compressed Stone; Copper; Faux Leather;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Olefin; Nickel; PEVA; Nylon; Oak; Oxford Fabric; Polyamide; Plywood; Pinecones; Plastic / Acrylic; Pewter; Polycarbonate Plastic; Nickel Plated;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
    <hyperlink ref="BM6" location="'Valid Values'!BK1" display="Please choose one or more from the following, using a semicolon (;) to separate each value: Multi-Surface; Flat Surface; Textured Wall; Brick Wall; Cement Wall; Solid Wood; Glass Wall; Stainless Steel; Existing Tile; Chalkboard; Appliance; Mirror; Wallpaper; Painted Gypsum; Acrylic Panel; Orange Peel Wall; Gypsum Wall; Laminate; Plywood Wall; Drywall; Stucco Wall; Ceramic Tile Wall; Concrete; Stone Wall; Medium Density Fiberboard; Unavailable"/>
    <hyperlink ref="BO6" location="'Valid Values'!BM1" display="Please choose one or more from the following, using a semicolon (;) to separate each value: Bathroom; Kitchen; Bedroom; Living Room; Laundry Room; Nursery; Dining Room; Pantry; Home Office; Game Room; Foyer; Playroom; Patio; Closet; Restaurant Dining Room; Basement; Garage/Shop; Commercial Office; Backyard; Mudroom/Deck; School Classroom; Hotel Room; Lobby/Reception; Hallway; Studio; Art School; Commercial Kitchen; Unavailable; Does Not Apply"/>
    <hyperlink ref="BP6" location="'Valid Values'!BO1" display="Select"/>
    <hyperlink ref="BQ6" location="'Valid Values'!BQ1" display="Select"/>
    <hyperlink ref="BR6" location="'Valid Values'!BS1" display="Please choose one or more from the following, using a semicolon (;) to separate each value: Made in USA; Made in USA of Imported Materials; Product of Canada; Made In Canada; Does Not Apply"/>
    <hyperlink ref="BT6" location="'Valid Values'!BU1" display="Select"/>
    <hyperlink ref="BU6" location="'Valid Values'!BW1" display="Please choose one or more from the following, using a semicolon (;) to separate each value: Mold / Mildew Resistant; Water Resistant; No Durability Features; Fade Resistant; Heat Resistant; Stain Resistant; Tip Resistant; Waterproof; Shatter Resistant; Weather Resistant; Rust Resistant; Anodic Protection; Predator Resistant; Drill Resistant; Condensation Free; Antimicrobial; Pry Resistant; Fray Resistant; Non-Staining"/>
    <hyperlink ref="BV6" location="'Valid Values'!BY1" display="Please choose one or more from the following, using a semicolon (;) to separate each value: Removable; Retractable; Tilt; Reversible; Collapsible; Extendable; Configurable / Modular; Swivel; Trimmable; Convertible; Rotating; Lift Assist; Reclining; Double Sided; Glider; Wall Recline; Adjustable; Swing Arm; Temperature; Stackable; Tilt Lock; Tilt Out; Tilting; No Adjustability Features; Unavailable; Does Not Apply"/>
    <hyperlink ref="BW6" location="'Valid Values'!CA1" display="Please choose one or more from the following, using a semicolon (;) to separate each value: Blue; Black; Brown; White; Green; Gray; Red; Beige; Yellow; Pink; Orange; Purple; Silver; Gold; Clear; Cream; Ivory; Tan; Teal; Navy"/>
    <hyperlink ref="BY6" location="'Valid Values'!CC1" display="Please choose one or more from the following, using a semicolon (;) to separate each value: Handle(s); Paste; Unavailable; Does Not Apply"/>
    <hyperlink ref="BZ6" location="'Valid Values'!CE1" display="Please choose one or more from the following, using a semicolon (;) to separate each value: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hyperlink ref="CA6" location="'Valid Values'!CF1" display="Please choose one or more from the following, using a semicolon (;) to separate each value: Breathable; Dual Sided; Animated; Double Sided; Non-Wall Damaging; Reusable; Vintage; Window Clinging; No General Features"/>
    <hyperlink ref="CB6" location="'Valid Values'!CH1" display="Please choose one or more from the following, using a semicolon (;) to separate each value: Newborn (Birth - 6 months old); Infant (6 - 12 Months); Toddler (1 - 3 Years); Pre-school (3 - 5 Years); Youth (5 - 8 Years); Pre-teen (9 - 12 Years); Teen (13+); Adult (18+); All Ages; Adult; Baby; Kid; Teen; Toddler"/>
    <hyperlink ref="CF6" location="'Valid Values'!CJ1" display="Select"/>
    <hyperlink ref="CG6" location="'Valid Values'!CL1" display="Select"/>
    <hyperlink ref="CH6" location="'Valid Values'!CM1" display="Select"/>
    <hyperlink ref="CJ6" location="'Valid Values'!CO1" display="Select"/>
    <hyperlink ref="CM6" location="'Valid Values'!BA1" display="Select"/>
    <hyperlink ref="CN6" location="'Valid Values'!BB1" display="Please choose one or more from the following, using a semicolon (;) to separate each value: Cancer; Developmental"/>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8.7109375" style="22" customWidth="1"/>
    <col min="5" max="6" width="17.7109375" style="22" customWidth="1"/>
    <col min="26" max="26" width="0" hidden="1" customWidth="1"/>
  </cols>
  <sheetData>
    <row r="1" spans="1:26" hidden="1">
      <c r="B1" s="22" t="s">
        <v>2220</v>
      </c>
      <c r="C1" s="22" t="s">
        <v>2320</v>
      </c>
      <c r="D1" s="22" t="s">
        <v>2323</v>
      </c>
      <c r="E1" s="22" t="s">
        <v>2326</v>
      </c>
      <c r="F1" s="22" t="s">
        <v>2329</v>
      </c>
    </row>
    <row r="2" spans="1:26">
      <c r="B2" s="23" t="s">
        <v>2484</v>
      </c>
      <c r="C2" s="28" t="s">
        <v>2489</v>
      </c>
    </row>
    <row r="3" spans="1:26">
      <c r="B3" s="32" t="s">
        <v>58</v>
      </c>
      <c r="C3" s="32" t="s">
        <v>64</v>
      </c>
      <c r="D3" s="32" t="s">
        <v>64</v>
      </c>
      <c r="E3" s="32" t="s">
        <v>64</v>
      </c>
      <c r="F3" s="32" t="s">
        <v>64</v>
      </c>
    </row>
    <row r="4" spans="1:26" ht="50" customHeight="1">
      <c r="A4" s="19" t="s">
        <v>2217</v>
      </c>
      <c r="B4" s="19" t="s">
        <v>2221</v>
      </c>
      <c r="C4" s="19" t="s">
        <v>2555</v>
      </c>
      <c r="D4" s="19" t="s">
        <v>2556</v>
      </c>
      <c r="E4" s="19" t="s">
        <v>2557</v>
      </c>
      <c r="F4" s="19" t="s">
        <v>2558</v>
      </c>
    </row>
    <row r="5" spans="1:26" ht="50" customHeight="1">
      <c r="A5" s="35" t="s">
        <v>2218</v>
      </c>
      <c r="B5" s="35" t="s">
        <v>2222</v>
      </c>
      <c r="C5" s="35" t="s">
        <v>2322</v>
      </c>
      <c r="D5" s="35" t="s">
        <v>2325</v>
      </c>
      <c r="E5" s="35" t="s">
        <v>2328</v>
      </c>
      <c r="F5" s="35" t="s">
        <v>2331</v>
      </c>
    </row>
    <row r="6" spans="1:26" ht="50" customHeight="1">
      <c r="A6" s="35" t="s">
        <v>2219</v>
      </c>
      <c r="B6" s="35" t="s">
        <v>67</v>
      </c>
      <c r="C6" s="35" t="s">
        <v>2266</v>
      </c>
      <c r="D6" s="35" t="s">
        <v>2266</v>
      </c>
      <c r="E6" s="35" t="s">
        <v>2266</v>
      </c>
      <c r="F6" s="35" t="s">
        <v>2266</v>
      </c>
    </row>
    <row r="7" spans="1:26">
      <c r="A7" s="39">
        <f>IF('Additional Cartons'!B7 = "", "", IF('Additional Cartons-WUO_ERR'!A7 = "", "Validated", HYPERLINK("#" &amp; ADDRESS(7, 'Additional Cartons-WUO_TRK'!A7),_xlfn.TEXTAFTER('Additional Cartons-WUO_ERR'!A7, ":"))))</f>
        <v>0</v>
      </c>
      <c r="Z7" cm="1">
        <f t="array" ref="Z7">IF(B7:B507="", "", IFERROR(_xlfn.XLOOKUP(B7:B507, _xlfn.VSTACK('6161 - Wallpaper'!B7:B507, '3757 - Wall Stickers'!B7:B507), _xlfn.VSTACK('6161 - Wallpaper'!G7:G507, '3757 - Wall Stickers'!G7:G507)), ""))</f>
        <v>0</v>
      </c>
    </row>
    <row r="8" spans="1:26">
      <c r="A8" s="39">
        <f>IF('Additional Cartons'!B8 = "", "", IF('Additional Cartons-WUO_ERR'!A8 = "", "Validated", HYPERLINK("#" &amp; ADDRESS(8, 'Additional Cartons-WUO_TRK'!A8),_xlfn.TEXTAFTER('Additional Cartons-WUO_ERR'!A8, ":"))))</f>
        <v>0</v>
      </c>
    </row>
    <row r="9" spans="1:26">
      <c r="A9" s="39">
        <f>IF('Additional Cartons'!B9 = "", "", IF('Additional Cartons-WUO_ERR'!A9 = "", "Validated", HYPERLINK("#" &amp; ADDRESS(9, 'Additional Cartons-WUO_TRK'!A9),_xlfn.TEXTAFTER('Additional Cartons-WUO_ERR'!A9, ":"))))</f>
        <v>0</v>
      </c>
    </row>
    <row r="10" spans="1:26">
      <c r="A10" s="39">
        <f>IF('Additional Cartons'!B10 = "", "", IF('Additional Cartons-WUO_ERR'!A10 = "", "Validated", HYPERLINK("#" &amp; ADDRESS(10, 'Additional Cartons-WUO_TRK'!A10),_xlfn.TEXTAFTER('Additional Cartons-WUO_ERR'!A10, ":"))))</f>
        <v>0</v>
      </c>
    </row>
    <row r="11" spans="1:26">
      <c r="A11" s="39">
        <f>IF('Additional Cartons'!B11 = "", "", IF('Additional Cartons-WUO_ERR'!A11 = "", "Validated", HYPERLINK("#" &amp; ADDRESS(11, 'Additional Cartons-WUO_TRK'!A11),_xlfn.TEXTAFTER('Additional Cartons-WUO_ERR'!A11, ":"))))</f>
        <v>0</v>
      </c>
    </row>
    <row r="12" spans="1:26">
      <c r="A12" s="39">
        <f>IF('Additional Cartons'!B12 = "", "", IF('Additional Cartons-WUO_ERR'!A12 = "", "Validated", HYPERLINK("#" &amp; ADDRESS(12, 'Additional Cartons-WUO_TRK'!A12),_xlfn.TEXTAFTER('Additional Cartons-WUO_ERR'!A12, ":"))))</f>
        <v>0</v>
      </c>
    </row>
    <row r="13" spans="1:26">
      <c r="A13" s="39">
        <f>IF('Additional Cartons'!B13 = "", "", IF('Additional Cartons-WUO_ERR'!A13 = "", "Validated", HYPERLINK("#" &amp; ADDRESS(13, 'Additional Cartons-WUO_TRK'!A13),_xlfn.TEXTAFTER('Additional Cartons-WUO_ERR'!A13, ":"))))</f>
        <v>0</v>
      </c>
    </row>
    <row r="14" spans="1:26">
      <c r="A14" s="39">
        <f>IF('Additional Cartons'!B14 = "", "", IF('Additional Cartons-WUO_ERR'!A14 = "", "Validated", HYPERLINK("#" &amp; ADDRESS(14, 'Additional Cartons-WUO_TRK'!A14),_xlfn.TEXTAFTER('Additional Cartons-WUO_ERR'!A14, ":"))))</f>
        <v>0</v>
      </c>
    </row>
    <row r="15" spans="1:26">
      <c r="A15" s="39">
        <f>IF('Additional Cartons'!B15 = "", "", IF('Additional Cartons-WUO_ERR'!A15 = "", "Validated", HYPERLINK("#" &amp; ADDRESS(15, 'Additional Cartons-WUO_TRK'!A15),_xlfn.TEXTAFTER('Additional Cartons-WUO_ERR'!A15, ":"))))</f>
        <v>0</v>
      </c>
    </row>
    <row r="16" spans="1:26">
      <c r="A16" s="39">
        <f>IF('Additional Cartons'!B16 = "", "", IF('Additional Cartons-WUO_ERR'!A16 = "", "Validated", HYPERLINK("#" &amp; ADDRESS(16, 'Additional Cartons-WUO_TRK'!A16),_xlfn.TEXTAFTER('Additional Cartons-WUO_ERR'!A16, ":"))))</f>
        <v>0</v>
      </c>
    </row>
    <row r="17" spans="1:1">
      <c r="A17" s="39">
        <f>IF('Additional Cartons'!B17 = "", "", IF('Additional Cartons-WUO_ERR'!A17 = "", "Validated", HYPERLINK("#" &amp; ADDRESS(17, 'Additional Cartons-WUO_TRK'!A17),_xlfn.TEXTAFTER('Additional Cartons-WUO_ERR'!A17, ":"))))</f>
        <v>0</v>
      </c>
    </row>
    <row r="18" spans="1:1">
      <c r="A18" s="39">
        <f>IF('Additional Cartons'!B18 = "", "", IF('Additional Cartons-WUO_ERR'!A18 = "", "Validated", HYPERLINK("#" &amp; ADDRESS(18, 'Additional Cartons-WUO_TRK'!A18),_xlfn.TEXTAFTER('Additional Cartons-WUO_ERR'!A18, ":"))))</f>
        <v>0</v>
      </c>
    </row>
    <row r="19" spans="1:1">
      <c r="A19" s="39">
        <f>IF('Additional Cartons'!B19 = "", "", IF('Additional Cartons-WUO_ERR'!A19 = "", "Validated", HYPERLINK("#" &amp; ADDRESS(19, 'Additional Cartons-WUO_TRK'!A19),_xlfn.TEXTAFTER('Additional Cartons-WUO_ERR'!A19, ":"))))</f>
        <v>0</v>
      </c>
    </row>
    <row r="20" spans="1:1">
      <c r="A20" s="39">
        <f>IF('Additional Cartons'!B20 = "", "", IF('Additional Cartons-WUO_ERR'!A20 = "", "Validated", HYPERLINK("#" &amp; ADDRESS(20, 'Additional Cartons-WUO_TRK'!A20),_xlfn.TEXTAFTER('Additional Cartons-WUO_ERR'!A20, ":"))))</f>
        <v>0</v>
      </c>
    </row>
    <row r="21" spans="1:1">
      <c r="A21" s="39">
        <f>IF('Additional Cartons'!B21 = "", "", IF('Additional Cartons-WUO_ERR'!A21 = "", "Validated", HYPERLINK("#" &amp; ADDRESS(21, 'Additional Cartons-WUO_TRK'!A21),_xlfn.TEXTAFTER('Additional Cartons-WUO_ERR'!A21, ":"))))</f>
        <v>0</v>
      </c>
    </row>
    <row r="22" spans="1:1">
      <c r="A22" s="39">
        <f>IF('Additional Cartons'!B22 = "", "", IF('Additional Cartons-WUO_ERR'!A22 = "", "Validated", HYPERLINK("#" &amp; ADDRESS(22, 'Additional Cartons-WUO_TRK'!A22),_xlfn.TEXTAFTER('Additional Cartons-WUO_ERR'!A22, ":"))))</f>
        <v>0</v>
      </c>
    </row>
    <row r="23" spans="1:1">
      <c r="A23" s="39">
        <f>IF('Additional Cartons'!B23 = "", "", IF('Additional Cartons-WUO_ERR'!A23 = "", "Validated", HYPERLINK("#" &amp; ADDRESS(23, 'Additional Cartons-WUO_TRK'!A23),_xlfn.TEXTAFTER('Additional Cartons-WUO_ERR'!A23, ":"))))</f>
        <v>0</v>
      </c>
    </row>
    <row r="24" spans="1:1">
      <c r="A24" s="39">
        <f>IF('Additional Cartons'!B24 = "", "", IF('Additional Cartons-WUO_ERR'!A24 = "", "Validated", HYPERLINK("#" &amp; ADDRESS(24, 'Additional Cartons-WUO_TRK'!A24),_xlfn.TEXTAFTER('Additional Cartons-WUO_ERR'!A24, ":"))))</f>
        <v>0</v>
      </c>
    </row>
    <row r="25" spans="1:1">
      <c r="A25" s="39">
        <f>IF('Additional Cartons'!B25 = "", "", IF('Additional Cartons-WUO_ERR'!A25 = "", "Validated", HYPERLINK("#" &amp; ADDRESS(25, 'Additional Cartons-WUO_TRK'!A25),_xlfn.TEXTAFTER('Additional Cartons-WUO_ERR'!A25, ":"))))</f>
        <v>0</v>
      </c>
    </row>
    <row r="26" spans="1:1">
      <c r="A26" s="39">
        <f>IF('Additional Cartons'!B26 = "", "", IF('Additional Cartons-WUO_ERR'!A26 = "", "Validated", HYPERLINK("#" &amp; ADDRESS(26, 'Additional Cartons-WUO_TRK'!A26),_xlfn.TEXTAFTER('Additional Cartons-WUO_ERR'!A26, ":"))))</f>
        <v>0</v>
      </c>
    </row>
    <row r="27" spans="1:1">
      <c r="A27" s="39">
        <f>IF('Additional Cartons'!B27 = "", "", IF('Additional Cartons-WUO_ERR'!A27 = "", "Validated", HYPERLINK("#" &amp; ADDRESS(27, 'Additional Cartons-WUO_TRK'!A27),_xlfn.TEXTAFTER('Additional Cartons-WUO_ERR'!A27, ":"))))</f>
        <v>0</v>
      </c>
    </row>
    <row r="28" spans="1:1">
      <c r="A28" s="39">
        <f>IF('Additional Cartons'!B28 = "", "", IF('Additional Cartons-WUO_ERR'!A28 = "", "Validated", HYPERLINK("#" &amp; ADDRESS(28, 'Additional Cartons-WUO_TRK'!A28),_xlfn.TEXTAFTER('Additional Cartons-WUO_ERR'!A28, ":"))))</f>
        <v>0</v>
      </c>
    </row>
    <row r="29" spans="1:1">
      <c r="A29" s="39">
        <f>IF('Additional Cartons'!B29 = "", "", IF('Additional Cartons-WUO_ERR'!A29 = "", "Validated", HYPERLINK("#" &amp; ADDRESS(29, 'Additional Cartons-WUO_TRK'!A29),_xlfn.TEXTAFTER('Additional Cartons-WUO_ERR'!A29, ":"))))</f>
        <v>0</v>
      </c>
    </row>
    <row r="30" spans="1:1">
      <c r="A30" s="39">
        <f>IF('Additional Cartons'!B30 = "", "", IF('Additional Cartons-WUO_ERR'!A30 = "", "Validated", HYPERLINK("#" &amp; ADDRESS(30, 'Additional Cartons-WUO_TRK'!A30),_xlfn.TEXTAFTER('Additional Cartons-WUO_ERR'!A30, ":"))))</f>
        <v>0</v>
      </c>
    </row>
    <row r="31" spans="1:1">
      <c r="A31" s="39">
        <f>IF('Additional Cartons'!B31 = "", "", IF('Additional Cartons-WUO_ERR'!A31 = "", "Validated", HYPERLINK("#" &amp; ADDRESS(31, 'Additional Cartons-WUO_TRK'!A31),_xlfn.TEXTAFTER('Additional Cartons-WUO_ERR'!A31, ":"))))</f>
        <v>0</v>
      </c>
    </row>
    <row r="32" spans="1:1">
      <c r="A32" s="39">
        <f>IF('Additional Cartons'!B32 = "", "", IF('Additional Cartons-WUO_ERR'!A32 = "", "Validated", HYPERLINK("#" &amp; ADDRESS(32, 'Additional Cartons-WUO_TRK'!A32),_xlfn.TEXTAFTER('Additional Cartons-WUO_ERR'!A32, ":"))))</f>
        <v>0</v>
      </c>
    </row>
    <row r="33" spans="1:1">
      <c r="A33" s="39">
        <f>IF('Additional Cartons'!B33 = "", "", IF('Additional Cartons-WUO_ERR'!A33 = "", "Validated", HYPERLINK("#" &amp; ADDRESS(33, 'Additional Cartons-WUO_TRK'!A33),_xlfn.TEXTAFTER('Additional Cartons-WUO_ERR'!A33, ":"))))</f>
        <v>0</v>
      </c>
    </row>
    <row r="34" spans="1:1">
      <c r="A34" s="39">
        <f>IF('Additional Cartons'!B34 = "", "", IF('Additional Cartons-WUO_ERR'!A34 = "", "Validated", HYPERLINK("#" &amp; ADDRESS(34, 'Additional Cartons-WUO_TRK'!A34),_xlfn.TEXTAFTER('Additional Cartons-WUO_ERR'!A34, ":"))))</f>
        <v>0</v>
      </c>
    </row>
    <row r="35" spans="1:1">
      <c r="A35" s="39">
        <f>IF('Additional Cartons'!B35 = "", "", IF('Additional Cartons-WUO_ERR'!A35 = "", "Validated", HYPERLINK("#" &amp; ADDRESS(35, 'Additional Cartons-WUO_TRK'!A35),_xlfn.TEXTAFTER('Additional Cartons-WUO_ERR'!A35, ":"))))</f>
        <v>0</v>
      </c>
    </row>
    <row r="36" spans="1:1">
      <c r="A36" s="39">
        <f>IF('Additional Cartons'!B36 = "", "", IF('Additional Cartons-WUO_ERR'!A36 = "", "Validated", HYPERLINK("#" &amp; ADDRESS(36, 'Additional Cartons-WUO_TRK'!A36),_xlfn.TEXTAFTER('Additional Cartons-WUO_ERR'!A36, ":"))))</f>
        <v>0</v>
      </c>
    </row>
    <row r="37" spans="1:1">
      <c r="A37" s="39">
        <f>IF('Additional Cartons'!B37 = "", "", IF('Additional Cartons-WUO_ERR'!A37 = "", "Validated", HYPERLINK("#" &amp; ADDRESS(37, 'Additional Cartons-WUO_TRK'!A37),_xlfn.TEXTAFTER('Additional Cartons-WUO_ERR'!A37, ":"))))</f>
        <v>0</v>
      </c>
    </row>
    <row r="38" spans="1:1">
      <c r="A38" s="39">
        <f>IF('Additional Cartons'!B38 = "", "", IF('Additional Cartons-WUO_ERR'!A38 = "", "Validated", HYPERLINK("#" &amp; ADDRESS(38, 'Additional Cartons-WUO_TRK'!A38),_xlfn.TEXTAFTER('Additional Cartons-WUO_ERR'!A38, ":"))))</f>
        <v>0</v>
      </c>
    </row>
    <row r="39" spans="1:1">
      <c r="A39" s="39">
        <f>IF('Additional Cartons'!B39 = "", "", IF('Additional Cartons-WUO_ERR'!A39 = "", "Validated", HYPERLINK("#" &amp; ADDRESS(39, 'Additional Cartons-WUO_TRK'!A39),_xlfn.TEXTAFTER('Additional Cartons-WUO_ERR'!A39, ":"))))</f>
        <v>0</v>
      </c>
    </row>
    <row r="40" spans="1:1">
      <c r="A40" s="39">
        <f>IF('Additional Cartons'!B40 = "", "", IF('Additional Cartons-WUO_ERR'!A40 = "", "Validated", HYPERLINK("#" &amp; ADDRESS(40, 'Additional Cartons-WUO_TRK'!A40),_xlfn.TEXTAFTER('Additional Cartons-WUO_ERR'!A40, ":"))))</f>
        <v>0</v>
      </c>
    </row>
    <row r="41" spans="1:1">
      <c r="A41" s="39">
        <f>IF('Additional Cartons'!B41 = "", "", IF('Additional Cartons-WUO_ERR'!A41 = "", "Validated", HYPERLINK("#" &amp; ADDRESS(41, 'Additional Cartons-WUO_TRK'!A41),_xlfn.TEXTAFTER('Additional Cartons-WUO_ERR'!A41, ":"))))</f>
        <v>0</v>
      </c>
    </row>
    <row r="42" spans="1:1">
      <c r="A42" s="39">
        <f>IF('Additional Cartons'!B42 = "", "", IF('Additional Cartons-WUO_ERR'!A42 = "", "Validated", HYPERLINK("#" &amp; ADDRESS(42, 'Additional Cartons-WUO_TRK'!A42),_xlfn.TEXTAFTER('Additional Cartons-WUO_ERR'!A42, ":"))))</f>
        <v>0</v>
      </c>
    </row>
    <row r="43" spans="1:1">
      <c r="A43" s="39">
        <f>IF('Additional Cartons'!B43 = "", "", IF('Additional Cartons-WUO_ERR'!A43 = "", "Validated", HYPERLINK("#" &amp; ADDRESS(43, 'Additional Cartons-WUO_TRK'!A43),_xlfn.TEXTAFTER('Additional Cartons-WUO_ERR'!A43, ":"))))</f>
        <v>0</v>
      </c>
    </row>
    <row r="44" spans="1:1">
      <c r="A44" s="39">
        <f>IF('Additional Cartons'!B44 = "", "", IF('Additional Cartons-WUO_ERR'!A44 = "", "Validated", HYPERLINK("#" &amp; ADDRESS(44, 'Additional Cartons-WUO_TRK'!A44),_xlfn.TEXTAFTER('Additional Cartons-WUO_ERR'!A44, ":"))))</f>
        <v>0</v>
      </c>
    </row>
    <row r="45" spans="1:1">
      <c r="A45" s="39">
        <f>IF('Additional Cartons'!B45 = "", "", IF('Additional Cartons-WUO_ERR'!A45 = "", "Validated", HYPERLINK("#" &amp; ADDRESS(45, 'Additional Cartons-WUO_TRK'!A45),_xlfn.TEXTAFTER('Additional Cartons-WUO_ERR'!A45, ":"))))</f>
        <v>0</v>
      </c>
    </row>
    <row r="46" spans="1:1">
      <c r="A46" s="39">
        <f>IF('Additional Cartons'!B46 = "", "", IF('Additional Cartons-WUO_ERR'!A46 = "", "Validated", HYPERLINK("#" &amp; ADDRESS(46, 'Additional Cartons-WUO_TRK'!A46),_xlfn.TEXTAFTER('Additional Cartons-WUO_ERR'!A46, ":"))))</f>
        <v>0</v>
      </c>
    </row>
    <row r="47" spans="1:1">
      <c r="A47" s="39">
        <f>IF('Additional Cartons'!B47 = "", "", IF('Additional Cartons-WUO_ERR'!A47 = "", "Validated", HYPERLINK("#" &amp; ADDRESS(47, 'Additional Cartons-WUO_TRK'!A47),_xlfn.TEXTAFTER('Additional Cartons-WUO_ERR'!A47, ":"))))</f>
        <v>0</v>
      </c>
    </row>
    <row r="48" spans="1:1">
      <c r="A48" s="39">
        <f>IF('Additional Cartons'!B48 = "", "", IF('Additional Cartons-WUO_ERR'!A48 = "", "Validated", HYPERLINK("#" &amp; ADDRESS(48, 'Additional Cartons-WUO_TRK'!A48),_xlfn.TEXTAFTER('Additional Cartons-WUO_ERR'!A48, ":"))))</f>
        <v>0</v>
      </c>
    </row>
    <row r="49" spans="1:1">
      <c r="A49" s="39">
        <f>IF('Additional Cartons'!B49 = "", "", IF('Additional Cartons-WUO_ERR'!A49 = "", "Validated", HYPERLINK("#" &amp; ADDRESS(49, 'Additional Cartons-WUO_TRK'!A49),_xlfn.TEXTAFTER('Additional Cartons-WUO_ERR'!A49, ":"))))</f>
        <v>0</v>
      </c>
    </row>
    <row r="50" spans="1:1">
      <c r="A50" s="39">
        <f>IF('Additional Cartons'!B50 = "", "", IF('Additional Cartons-WUO_ERR'!A50 = "", "Validated", HYPERLINK("#" &amp; ADDRESS(50, 'Additional Cartons-WUO_TRK'!A50),_xlfn.TEXTAFTER('Additional Cartons-WUO_ERR'!A50, ":"))))</f>
        <v>0</v>
      </c>
    </row>
    <row r="51" spans="1:1">
      <c r="A51" s="39">
        <f>IF('Additional Cartons'!B51 = "", "", IF('Additional Cartons-WUO_ERR'!A51 = "", "Validated", HYPERLINK("#" &amp; ADDRESS(51, 'Additional Cartons-WUO_TRK'!A51),_xlfn.TEXTAFTER('Additional Cartons-WUO_ERR'!A51, ":"))))</f>
        <v>0</v>
      </c>
    </row>
    <row r="52" spans="1:1">
      <c r="A52" s="39">
        <f>IF('Additional Cartons'!B52 = "", "", IF('Additional Cartons-WUO_ERR'!A52 = "", "Validated", HYPERLINK("#" &amp; ADDRESS(52, 'Additional Cartons-WUO_TRK'!A52),_xlfn.TEXTAFTER('Additional Cartons-WUO_ERR'!A52, ":"))))</f>
        <v>0</v>
      </c>
    </row>
    <row r="53" spans="1:1">
      <c r="A53" s="39">
        <f>IF('Additional Cartons'!B53 = "", "", IF('Additional Cartons-WUO_ERR'!A53 = "", "Validated", HYPERLINK("#" &amp; ADDRESS(53, 'Additional Cartons-WUO_TRK'!A53),_xlfn.TEXTAFTER('Additional Cartons-WUO_ERR'!A53, ":"))))</f>
        <v>0</v>
      </c>
    </row>
    <row r="54" spans="1:1">
      <c r="A54" s="39">
        <f>IF('Additional Cartons'!B54 = "", "", IF('Additional Cartons-WUO_ERR'!A54 = "", "Validated", HYPERLINK("#" &amp; ADDRESS(54, 'Additional Cartons-WUO_TRK'!A54),_xlfn.TEXTAFTER('Additional Cartons-WUO_ERR'!A54, ":"))))</f>
        <v>0</v>
      </c>
    </row>
    <row r="55" spans="1:1">
      <c r="A55" s="39">
        <f>IF('Additional Cartons'!B55 = "", "", IF('Additional Cartons-WUO_ERR'!A55 = "", "Validated", HYPERLINK("#" &amp; ADDRESS(55, 'Additional Cartons-WUO_TRK'!A55),_xlfn.TEXTAFTER('Additional Cartons-WUO_ERR'!A55, ":"))))</f>
        <v>0</v>
      </c>
    </row>
    <row r="56" spans="1:1">
      <c r="A56" s="39">
        <f>IF('Additional Cartons'!B56 = "", "", IF('Additional Cartons-WUO_ERR'!A56 = "", "Validated", HYPERLINK("#" &amp; ADDRESS(56, 'Additional Cartons-WUO_TRK'!A56),_xlfn.TEXTAFTER('Additional Cartons-WUO_ERR'!A56, ":"))))</f>
        <v>0</v>
      </c>
    </row>
    <row r="57" spans="1:1">
      <c r="A57" s="39">
        <f>IF('Additional Cartons'!B57 = "", "", IF('Additional Cartons-WUO_ERR'!A57 = "", "Validated", HYPERLINK("#" &amp; ADDRESS(57, 'Additional Cartons-WUO_TRK'!A57),_xlfn.TEXTAFTER('Additional Cartons-WUO_ERR'!A57, ":"))))</f>
        <v>0</v>
      </c>
    </row>
    <row r="58" spans="1:1">
      <c r="A58" s="39">
        <f>IF('Additional Cartons'!B58 = "", "", IF('Additional Cartons-WUO_ERR'!A58 = "", "Validated", HYPERLINK("#" &amp; ADDRESS(58, 'Additional Cartons-WUO_TRK'!A58),_xlfn.TEXTAFTER('Additional Cartons-WUO_ERR'!A58, ":"))))</f>
        <v>0</v>
      </c>
    </row>
    <row r="59" spans="1:1">
      <c r="A59" s="39">
        <f>IF('Additional Cartons'!B59 = "", "", IF('Additional Cartons-WUO_ERR'!A59 = "", "Validated", HYPERLINK("#" &amp; ADDRESS(59, 'Additional Cartons-WUO_TRK'!A59),_xlfn.TEXTAFTER('Additional Cartons-WUO_ERR'!A59, ":"))))</f>
        <v>0</v>
      </c>
    </row>
    <row r="60" spans="1:1">
      <c r="A60" s="39">
        <f>IF('Additional Cartons'!B60 = "", "", IF('Additional Cartons-WUO_ERR'!A60 = "", "Validated", HYPERLINK("#" &amp; ADDRESS(60, 'Additional Cartons-WUO_TRK'!A60),_xlfn.TEXTAFTER('Additional Cartons-WUO_ERR'!A60, ":"))))</f>
        <v>0</v>
      </c>
    </row>
    <row r="61" spans="1:1">
      <c r="A61" s="39">
        <f>IF('Additional Cartons'!B61 = "", "", IF('Additional Cartons-WUO_ERR'!A61 = "", "Validated", HYPERLINK("#" &amp; ADDRESS(61, 'Additional Cartons-WUO_TRK'!A61),_xlfn.TEXTAFTER('Additional Cartons-WUO_ERR'!A61, ":"))))</f>
        <v>0</v>
      </c>
    </row>
    <row r="62" spans="1:1">
      <c r="A62" s="39">
        <f>IF('Additional Cartons'!B62 = "", "", IF('Additional Cartons-WUO_ERR'!A62 = "", "Validated", HYPERLINK("#" &amp; ADDRESS(62, 'Additional Cartons-WUO_TRK'!A62),_xlfn.TEXTAFTER('Additional Cartons-WUO_ERR'!A62, ":"))))</f>
        <v>0</v>
      </c>
    </row>
    <row r="63" spans="1:1">
      <c r="A63" s="39">
        <f>IF('Additional Cartons'!B63 = "", "", IF('Additional Cartons-WUO_ERR'!A63 = "", "Validated", HYPERLINK("#" &amp; ADDRESS(63, 'Additional Cartons-WUO_TRK'!A63),_xlfn.TEXTAFTER('Additional Cartons-WUO_ERR'!A63, ":"))))</f>
        <v>0</v>
      </c>
    </row>
    <row r="64" spans="1:1">
      <c r="A64" s="39">
        <f>IF('Additional Cartons'!B64 = "", "", IF('Additional Cartons-WUO_ERR'!A64 = "", "Validated", HYPERLINK("#" &amp; ADDRESS(64, 'Additional Cartons-WUO_TRK'!A64),_xlfn.TEXTAFTER('Additional Cartons-WUO_ERR'!A64, ":"))))</f>
        <v>0</v>
      </c>
    </row>
    <row r="65" spans="1:1">
      <c r="A65" s="39">
        <f>IF('Additional Cartons'!B65 = "", "", IF('Additional Cartons-WUO_ERR'!A65 = "", "Validated", HYPERLINK("#" &amp; ADDRESS(65, 'Additional Cartons-WUO_TRK'!A65),_xlfn.TEXTAFTER('Additional Cartons-WUO_ERR'!A65, ":"))))</f>
        <v>0</v>
      </c>
    </row>
    <row r="66" spans="1:1">
      <c r="A66" s="39">
        <f>IF('Additional Cartons'!B66 = "", "", IF('Additional Cartons-WUO_ERR'!A66 = "", "Validated", HYPERLINK("#" &amp; ADDRESS(66, 'Additional Cartons-WUO_TRK'!A66),_xlfn.TEXTAFTER('Additional Cartons-WUO_ERR'!A66, ":"))))</f>
        <v>0</v>
      </c>
    </row>
    <row r="67" spans="1:1">
      <c r="A67" s="39">
        <f>IF('Additional Cartons'!B67 = "", "", IF('Additional Cartons-WUO_ERR'!A67 = "", "Validated", HYPERLINK("#" &amp; ADDRESS(67, 'Additional Cartons-WUO_TRK'!A67),_xlfn.TEXTAFTER('Additional Cartons-WUO_ERR'!A67, ":"))))</f>
        <v>0</v>
      </c>
    </row>
    <row r="68" spans="1:1">
      <c r="A68" s="39">
        <f>IF('Additional Cartons'!B68 = "", "", IF('Additional Cartons-WUO_ERR'!A68 = "", "Validated", HYPERLINK("#" &amp; ADDRESS(68, 'Additional Cartons-WUO_TRK'!A68),_xlfn.TEXTAFTER('Additional Cartons-WUO_ERR'!A68, ":"))))</f>
        <v>0</v>
      </c>
    </row>
    <row r="69" spans="1:1">
      <c r="A69" s="39">
        <f>IF('Additional Cartons'!B69 = "", "", IF('Additional Cartons-WUO_ERR'!A69 = "", "Validated", HYPERLINK("#" &amp; ADDRESS(69, 'Additional Cartons-WUO_TRK'!A69),_xlfn.TEXTAFTER('Additional Cartons-WUO_ERR'!A69, ":"))))</f>
        <v>0</v>
      </c>
    </row>
    <row r="70" spans="1:1">
      <c r="A70" s="39">
        <f>IF('Additional Cartons'!B70 = "", "", IF('Additional Cartons-WUO_ERR'!A70 = "", "Validated", HYPERLINK("#" &amp; ADDRESS(70, 'Additional Cartons-WUO_TRK'!A70),_xlfn.TEXTAFTER('Additional Cartons-WUO_ERR'!A70, ":"))))</f>
        <v>0</v>
      </c>
    </row>
    <row r="71" spans="1:1">
      <c r="A71" s="39">
        <f>IF('Additional Cartons'!B71 = "", "", IF('Additional Cartons-WUO_ERR'!A71 = "", "Validated", HYPERLINK("#" &amp; ADDRESS(71, 'Additional Cartons-WUO_TRK'!A71),_xlfn.TEXTAFTER('Additional Cartons-WUO_ERR'!A71, ":"))))</f>
        <v>0</v>
      </c>
    </row>
    <row r="72" spans="1:1">
      <c r="A72" s="39">
        <f>IF('Additional Cartons'!B72 = "", "", IF('Additional Cartons-WUO_ERR'!A72 = "", "Validated", HYPERLINK("#" &amp; ADDRESS(72, 'Additional Cartons-WUO_TRK'!A72),_xlfn.TEXTAFTER('Additional Cartons-WUO_ERR'!A72, ":"))))</f>
        <v>0</v>
      </c>
    </row>
    <row r="73" spans="1:1">
      <c r="A73" s="39">
        <f>IF('Additional Cartons'!B73 = "", "", IF('Additional Cartons-WUO_ERR'!A73 = "", "Validated", HYPERLINK("#" &amp; ADDRESS(73, 'Additional Cartons-WUO_TRK'!A73),_xlfn.TEXTAFTER('Additional Cartons-WUO_ERR'!A73, ":"))))</f>
        <v>0</v>
      </c>
    </row>
    <row r="74" spans="1:1">
      <c r="A74" s="39">
        <f>IF('Additional Cartons'!B74 = "", "", IF('Additional Cartons-WUO_ERR'!A74 = "", "Validated", HYPERLINK("#" &amp; ADDRESS(74, 'Additional Cartons-WUO_TRK'!A74),_xlfn.TEXTAFTER('Additional Cartons-WUO_ERR'!A74, ":"))))</f>
        <v>0</v>
      </c>
    </row>
    <row r="75" spans="1:1">
      <c r="A75" s="39">
        <f>IF('Additional Cartons'!B75 = "", "", IF('Additional Cartons-WUO_ERR'!A75 = "", "Validated", HYPERLINK("#" &amp; ADDRESS(75, 'Additional Cartons-WUO_TRK'!A75),_xlfn.TEXTAFTER('Additional Cartons-WUO_ERR'!A75, ":"))))</f>
        <v>0</v>
      </c>
    </row>
    <row r="76" spans="1:1">
      <c r="A76" s="39">
        <f>IF('Additional Cartons'!B76 = "", "", IF('Additional Cartons-WUO_ERR'!A76 = "", "Validated", HYPERLINK("#" &amp; ADDRESS(76, 'Additional Cartons-WUO_TRK'!A76),_xlfn.TEXTAFTER('Additional Cartons-WUO_ERR'!A76, ":"))))</f>
        <v>0</v>
      </c>
    </row>
    <row r="77" spans="1:1">
      <c r="A77" s="39">
        <f>IF('Additional Cartons'!B77 = "", "", IF('Additional Cartons-WUO_ERR'!A77 = "", "Validated", HYPERLINK("#" &amp; ADDRESS(77, 'Additional Cartons-WUO_TRK'!A77),_xlfn.TEXTAFTER('Additional Cartons-WUO_ERR'!A77, ":"))))</f>
        <v>0</v>
      </c>
    </row>
    <row r="78" spans="1:1">
      <c r="A78" s="39">
        <f>IF('Additional Cartons'!B78 = "", "", IF('Additional Cartons-WUO_ERR'!A78 = "", "Validated", HYPERLINK("#" &amp; ADDRESS(78, 'Additional Cartons-WUO_TRK'!A78),_xlfn.TEXTAFTER('Additional Cartons-WUO_ERR'!A78, ":"))))</f>
        <v>0</v>
      </c>
    </row>
    <row r="79" spans="1:1">
      <c r="A79" s="39">
        <f>IF('Additional Cartons'!B79 = "", "", IF('Additional Cartons-WUO_ERR'!A79 = "", "Validated", HYPERLINK("#" &amp; ADDRESS(79, 'Additional Cartons-WUO_TRK'!A79),_xlfn.TEXTAFTER('Additional Cartons-WUO_ERR'!A79, ":"))))</f>
        <v>0</v>
      </c>
    </row>
    <row r="80" spans="1:1">
      <c r="A80" s="39">
        <f>IF('Additional Cartons'!B80 = "", "", IF('Additional Cartons-WUO_ERR'!A80 = "", "Validated", HYPERLINK("#" &amp; ADDRESS(80, 'Additional Cartons-WUO_TRK'!A80),_xlfn.TEXTAFTER('Additional Cartons-WUO_ERR'!A80, ":"))))</f>
        <v>0</v>
      </c>
    </row>
    <row r="81" spans="1:1">
      <c r="A81" s="39">
        <f>IF('Additional Cartons'!B81 = "", "", IF('Additional Cartons-WUO_ERR'!A81 = "", "Validated", HYPERLINK("#" &amp; ADDRESS(81, 'Additional Cartons-WUO_TRK'!A81),_xlfn.TEXTAFTER('Additional Cartons-WUO_ERR'!A81, ":"))))</f>
        <v>0</v>
      </c>
    </row>
    <row r="82" spans="1:1">
      <c r="A82" s="39">
        <f>IF('Additional Cartons'!B82 = "", "", IF('Additional Cartons-WUO_ERR'!A82 = "", "Validated", HYPERLINK("#" &amp; ADDRESS(82, 'Additional Cartons-WUO_TRK'!A82),_xlfn.TEXTAFTER('Additional Cartons-WUO_ERR'!A82, ":"))))</f>
        <v>0</v>
      </c>
    </row>
    <row r="83" spans="1:1">
      <c r="A83" s="39">
        <f>IF('Additional Cartons'!B83 = "", "", IF('Additional Cartons-WUO_ERR'!A83 = "", "Validated", HYPERLINK("#" &amp; ADDRESS(83, 'Additional Cartons-WUO_TRK'!A83),_xlfn.TEXTAFTER('Additional Cartons-WUO_ERR'!A83, ":"))))</f>
        <v>0</v>
      </c>
    </row>
    <row r="84" spans="1:1">
      <c r="A84" s="39">
        <f>IF('Additional Cartons'!B84 = "", "", IF('Additional Cartons-WUO_ERR'!A84 = "", "Validated", HYPERLINK("#" &amp; ADDRESS(84, 'Additional Cartons-WUO_TRK'!A84),_xlfn.TEXTAFTER('Additional Cartons-WUO_ERR'!A84, ":"))))</f>
        <v>0</v>
      </c>
    </row>
    <row r="85" spans="1:1">
      <c r="A85" s="39">
        <f>IF('Additional Cartons'!B85 = "", "", IF('Additional Cartons-WUO_ERR'!A85 = "", "Validated", HYPERLINK("#" &amp; ADDRESS(85, 'Additional Cartons-WUO_TRK'!A85),_xlfn.TEXTAFTER('Additional Cartons-WUO_ERR'!A85, ":"))))</f>
        <v>0</v>
      </c>
    </row>
    <row r="86" spans="1:1">
      <c r="A86" s="39">
        <f>IF('Additional Cartons'!B86 = "", "", IF('Additional Cartons-WUO_ERR'!A86 = "", "Validated", HYPERLINK("#" &amp; ADDRESS(86, 'Additional Cartons-WUO_TRK'!A86),_xlfn.TEXTAFTER('Additional Cartons-WUO_ERR'!A86, ":"))))</f>
        <v>0</v>
      </c>
    </row>
    <row r="87" spans="1:1">
      <c r="A87" s="39">
        <f>IF('Additional Cartons'!B87 = "", "", IF('Additional Cartons-WUO_ERR'!A87 = "", "Validated", HYPERLINK("#" &amp; ADDRESS(87, 'Additional Cartons-WUO_TRK'!A87),_xlfn.TEXTAFTER('Additional Cartons-WUO_ERR'!A87, ":"))))</f>
        <v>0</v>
      </c>
    </row>
    <row r="88" spans="1:1">
      <c r="A88" s="39">
        <f>IF('Additional Cartons'!B88 = "", "", IF('Additional Cartons-WUO_ERR'!A88 = "", "Validated", HYPERLINK("#" &amp; ADDRESS(88, 'Additional Cartons-WUO_TRK'!A88),_xlfn.TEXTAFTER('Additional Cartons-WUO_ERR'!A88, ":"))))</f>
        <v>0</v>
      </c>
    </row>
    <row r="89" spans="1:1">
      <c r="A89" s="39">
        <f>IF('Additional Cartons'!B89 = "", "", IF('Additional Cartons-WUO_ERR'!A89 = "", "Validated", HYPERLINK("#" &amp; ADDRESS(89, 'Additional Cartons-WUO_TRK'!A89),_xlfn.TEXTAFTER('Additional Cartons-WUO_ERR'!A89, ":"))))</f>
        <v>0</v>
      </c>
    </row>
    <row r="90" spans="1:1">
      <c r="A90" s="39">
        <f>IF('Additional Cartons'!B90 = "", "", IF('Additional Cartons-WUO_ERR'!A90 = "", "Validated", HYPERLINK("#" &amp; ADDRESS(90, 'Additional Cartons-WUO_TRK'!A90),_xlfn.TEXTAFTER('Additional Cartons-WUO_ERR'!A90, ":"))))</f>
        <v>0</v>
      </c>
    </row>
    <row r="91" spans="1:1">
      <c r="A91" s="39">
        <f>IF('Additional Cartons'!B91 = "", "", IF('Additional Cartons-WUO_ERR'!A91 = "", "Validated", HYPERLINK("#" &amp; ADDRESS(91, 'Additional Cartons-WUO_TRK'!A91),_xlfn.TEXTAFTER('Additional Cartons-WUO_ERR'!A91, ":"))))</f>
        <v>0</v>
      </c>
    </row>
    <row r="92" spans="1:1">
      <c r="A92" s="39">
        <f>IF('Additional Cartons'!B92 = "", "", IF('Additional Cartons-WUO_ERR'!A92 = "", "Validated", HYPERLINK("#" &amp; ADDRESS(92, 'Additional Cartons-WUO_TRK'!A92),_xlfn.TEXTAFTER('Additional Cartons-WUO_ERR'!A92, ":"))))</f>
        <v>0</v>
      </c>
    </row>
    <row r="93" spans="1:1">
      <c r="A93" s="39">
        <f>IF('Additional Cartons'!B93 = "", "", IF('Additional Cartons-WUO_ERR'!A93 = "", "Validated", HYPERLINK("#" &amp; ADDRESS(93, 'Additional Cartons-WUO_TRK'!A93),_xlfn.TEXTAFTER('Additional Cartons-WUO_ERR'!A93, ":"))))</f>
        <v>0</v>
      </c>
    </row>
    <row r="94" spans="1:1">
      <c r="A94" s="39">
        <f>IF('Additional Cartons'!B94 = "", "", IF('Additional Cartons-WUO_ERR'!A94 = "", "Validated", HYPERLINK("#" &amp; ADDRESS(94, 'Additional Cartons-WUO_TRK'!A94),_xlfn.TEXTAFTER('Additional Cartons-WUO_ERR'!A94, ":"))))</f>
        <v>0</v>
      </c>
    </row>
    <row r="95" spans="1:1">
      <c r="A95" s="39">
        <f>IF('Additional Cartons'!B95 = "", "", IF('Additional Cartons-WUO_ERR'!A95 = "", "Validated", HYPERLINK("#" &amp; ADDRESS(95, 'Additional Cartons-WUO_TRK'!A95),_xlfn.TEXTAFTER('Additional Cartons-WUO_ERR'!A95, ":"))))</f>
        <v>0</v>
      </c>
    </row>
    <row r="96" spans="1:1">
      <c r="A96" s="39">
        <f>IF('Additional Cartons'!B96 = "", "", IF('Additional Cartons-WUO_ERR'!A96 = "", "Validated", HYPERLINK("#" &amp; ADDRESS(96, 'Additional Cartons-WUO_TRK'!A96),_xlfn.TEXTAFTER('Additional Cartons-WUO_ERR'!A96, ":"))))</f>
        <v>0</v>
      </c>
    </row>
    <row r="97" spans="1:1">
      <c r="A97" s="39">
        <f>IF('Additional Cartons'!B97 = "", "", IF('Additional Cartons-WUO_ERR'!A97 = "", "Validated", HYPERLINK("#" &amp; ADDRESS(97, 'Additional Cartons-WUO_TRK'!A97),_xlfn.TEXTAFTER('Additional Cartons-WUO_ERR'!A97, ":"))))</f>
        <v>0</v>
      </c>
    </row>
    <row r="98" spans="1:1">
      <c r="A98" s="39">
        <f>IF('Additional Cartons'!B98 = "", "", IF('Additional Cartons-WUO_ERR'!A98 = "", "Validated", HYPERLINK("#" &amp; ADDRESS(98, 'Additional Cartons-WUO_TRK'!A98),_xlfn.TEXTAFTER('Additional Cartons-WUO_ERR'!A98, ":"))))</f>
        <v>0</v>
      </c>
    </row>
    <row r="99" spans="1:1">
      <c r="A99" s="39">
        <f>IF('Additional Cartons'!B99 = "", "", IF('Additional Cartons-WUO_ERR'!A99 = "", "Validated", HYPERLINK("#" &amp; ADDRESS(99, 'Additional Cartons-WUO_TRK'!A99),_xlfn.TEXTAFTER('Additional Cartons-WUO_ERR'!A99, ":"))))</f>
        <v>0</v>
      </c>
    </row>
    <row r="100" spans="1:1">
      <c r="A100" s="39">
        <f>IF('Additional Cartons'!B100 = "", "", IF('Additional Cartons-WUO_ERR'!A100 = "", "Validated", HYPERLINK("#" &amp; ADDRESS(100, 'Additional Cartons-WUO_TRK'!A100),_xlfn.TEXTAFTER('Additional Cartons-WUO_ERR'!A100, ":"))))</f>
        <v>0</v>
      </c>
    </row>
    <row r="101" spans="1:1">
      <c r="A101" s="39">
        <f>IF('Additional Cartons'!B101 = "", "", IF('Additional Cartons-WUO_ERR'!A101 = "", "Validated", HYPERLINK("#" &amp; ADDRESS(101, 'Additional Cartons-WUO_TRK'!A101),_xlfn.TEXTAFTER('Additional Cartons-WUO_ERR'!A101, ":"))))</f>
        <v>0</v>
      </c>
    </row>
    <row r="102" spans="1:1">
      <c r="A102" s="39">
        <f>IF('Additional Cartons'!B102 = "", "", IF('Additional Cartons-WUO_ERR'!A102 = "", "Validated", HYPERLINK("#" &amp; ADDRESS(102, 'Additional Cartons-WUO_TRK'!A102),_xlfn.TEXTAFTER('Additional Cartons-WUO_ERR'!A102, ":"))))</f>
        <v>0</v>
      </c>
    </row>
    <row r="103" spans="1:1">
      <c r="A103" s="39">
        <f>IF('Additional Cartons'!B103 = "", "", IF('Additional Cartons-WUO_ERR'!A103 = "", "Validated", HYPERLINK("#" &amp; ADDRESS(103, 'Additional Cartons-WUO_TRK'!A103),_xlfn.TEXTAFTER('Additional Cartons-WUO_ERR'!A103, ":"))))</f>
        <v>0</v>
      </c>
    </row>
    <row r="104" spans="1:1">
      <c r="A104" s="39">
        <f>IF('Additional Cartons'!B104 = "", "", IF('Additional Cartons-WUO_ERR'!A104 = "", "Validated", HYPERLINK("#" &amp; ADDRESS(104, 'Additional Cartons-WUO_TRK'!A104),_xlfn.TEXTAFTER('Additional Cartons-WUO_ERR'!A104, ":"))))</f>
        <v>0</v>
      </c>
    </row>
    <row r="105" spans="1:1">
      <c r="A105" s="39">
        <f>IF('Additional Cartons'!B105 = "", "", IF('Additional Cartons-WUO_ERR'!A105 = "", "Validated", HYPERLINK("#" &amp; ADDRESS(105, 'Additional Cartons-WUO_TRK'!A105),_xlfn.TEXTAFTER('Additional Cartons-WUO_ERR'!A105, ":"))))</f>
        <v>0</v>
      </c>
    </row>
    <row r="106" spans="1:1">
      <c r="A106" s="39">
        <f>IF('Additional Cartons'!B106 = "", "", IF('Additional Cartons-WUO_ERR'!A106 = "", "Validated", HYPERLINK("#" &amp; ADDRESS(106, 'Additional Cartons-WUO_TRK'!A106),_xlfn.TEXTAFTER('Additional Cartons-WUO_ERR'!A106, ":"))))</f>
        <v>0</v>
      </c>
    </row>
    <row r="107" spans="1:1">
      <c r="A107" s="39">
        <f>IF('Additional Cartons'!B107 = "", "", IF('Additional Cartons-WUO_ERR'!A107 = "", "Validated", HYPERLINK("#" &amp; ADDRESS(107, 'Additional Cartons-WUO_TRK'!A107),_xlfn.TEXTAFTER('Additional Cartons-WUO_ERR'!A107, ":"))))</f>
        <v>0</v>
      </c>
    </row>
    <row r="108" spans="1:1">
      <c r="A108" s="39">
        <f>IF('Additional Cartons'!B108 = "", "", IF('Additional Cartons-WUO_ERR'!A108 = "", "Validated", HYPERLINK("#" &amp; ADDRESS(108, 'Additional Cartons-WUO_TRK'!A108),_xlfn.TEXTAFTER('Additional Cartons-WUO_ERR'!A108, ":"))))</f>
        <v>0</v>
      </c>
    </row>
    <row r="109" spans="1:1">
      <c r="A109" s="39">
        <f>IF('Additional Cartons'!B109 = "", "", IF('Additional Cartons-WUO_ERR'!A109 = "", "Validated", HYPERLINK("#" &amp; ADDRESS(109, 'Additional Cartons-WUO_TRK'!A109),_xlfn.TEXTAFTER('Additional Cartons-WUO_ERR'!A109, ":"))))</f>
        <v>0</v>
      </c>
    </row>
    <row r="110" spans="1:1">
      <c r="A110" s="39">
        <f>IF('Additional Cartons'!B110 = "", "", IF('Additional Cartons-WUO_ERR'!A110 = "", "Validated", HYPERLINK("#" &amp; ADDRESS(110, 'Additional Cartons-WUO_TRK'!A110),_xlfn.TEXTAFTER('Additional Cartons-WUO_ERR'!A110, ":"))))</f>
        <v>0</v>
      </c>
    </row>
    <row r="111" spans="1:1">
      <c r="A111" s="39">
        <f>IF('Additional Cartons'!B111 = "", "", IF('Additional Cartons-WUO_ERR'!A111 = "", "Validated", HYPERLINK("#" &amp; ADDRESS(111, 'Additional Cartons-WUO_TRK'!A111),_xlfn.TEXTAFTER('Additional Cartons-WUO_ERR'!A111, ":"))))</f>
        <v>0</v>
      </c>
    </row>
    <row r="112" spans="1:1">
      <c r="A112" s="39">
        <f>IF('Additional Cartons'!B112 = "", "", IF('Additional Cartons-WUO_ERR'!A112 = "", "Validated", HYPERLINK("#" &amp; ADDRESS(112, 'Additional Cartons-WUO_TRK'!A112),_xlfn.TEXTAFTER('Additional Cartons-WUO_ERR'!A112, ":"))))</f>
        <v>0</v>
      </c>
    </row>
    <row r="113" spans="1:1">
      <c r="A113" s="39">
        <f>IF('Additional Cartons'!B113 = "", "", IF('Additional Cartons-WUO_ERR'!A113 = "", "Validated", HYPERLINK("#" &amp; ADDRESS(113, 'Additional Cartons-WUO_TRK'!A113),_xlfn.TEXTAFTER('Additional Cartons-WUO_ERR'!A113, ":"))))</f>
        <v>0</v>
      </c>
    </row>
    <row r="114" spans="1:1">
      <c r="A114" s="39">
        <f>IF('Additional Cartons'!B114 = "", "", IF('Additional Cartons-WUO_ERR'!A114 = "", "Validated", HYPERLINK("#" &amp; ADDRESS(114, 'Additional Cartons-WUO_TRK'!A114),_xlfn.TEXTAFTER('Additional Cartons-WUO_ERR'!A114, ":"))))</f>
        <v>0</v>
      </c>
    </row>
    <row r="115" spans="1:1">
      <c r="A115" s="39">
        <f>IF('Additional Cartons'!B115 = "", "", IF('Additional Cartons-WUO_ERR'!A115 = "", "Validated", HYPERLINK("#" &amp; ADDRESS(115, 'Additional Cartons-WUO_TRK'!A115),_xlfn.TEXTAFTER('Additional Cartons-WUO_ERR'!A115, ":"))))</f>
        <v>0</v>
      </c>
    </row>
    <row r="116" spans="1:1">
      <c r="A116" s="39">
        <f>IF('Additional Cartons'!B116 = "", "", IF('Additional Cartons-WUO_ERR'!A116 = "", "Validated", HYPERLINK("#" &amp; ADDRESS(116, 'Additional Cartons-WUO_TRK'!A116),_xlfn.TEXTAFTER('Additional Cartons-WUO_ERR'!A116, ":"))))</f>
        <v>0</v>
      </c>
    </row>
    <row r="117" spans="1:1">
      <c r="A117" s="39">
        <f>IF('Additional Cartons'!B117 = "", "", IF('Additional Cartons-WUO_ERR'!A117 = "", "Validated", HYPERLINK("#" &amp; ADDRESS(117, 'Additional Cartons-WUO_TRK'!A117),_xlfn.TEXTAFTER('Additional Cartons-WUO_ERR'!A117, ":"))))</f>
        <v>0</v>
      </c>
    </row>
    <row r="118" spans="1:1">
      <c r="A118" s="39">
        <f>IF('Additional Cartons'!B118 = "", "", IF('Additional Cartons-WUO_ERR'!A118 = "", "Validated", HYPERLINK("#" &amp; ADDRESS(118, 'Additional Cartons-WUO_TRK'!A118),_xlfn.TEXTAFTER('Additional Cartons-WUO_ERR'!A118, ":"))))</f>
        <v>0</v>
      </c>
    </row>
    <row r="119" spans="1:1">
      <c r="A119" s="39">
        <f>IF('Additional Cartons'!B119 = "", "", IF('Additional Cartons-WUO_ERR'!A119 = "", "Validated", HYPERLINK("#" &amp; ADDRESS(119, 'Additional Cartons-WUO_TRK'!A119),_xlfn.TEXTAFTER('Additional Cartons-WUO_ERR'!A119, ":"))))</f>
        <v>0</v>
      </c>
    </row>
    <row r="120" spans="1:1">
      <c r="A120" s="39">
        <f>IF('Additional Cartons'!B120 = "", "", IF('Additional Cartons-WUO_ERR'!A120 = "", "Validated", HYPERLINK("#" &amp; ADDRESS(120, 'Additional Cartons-WUO_TRK'!A120),_xlfn.TEXTAFTER('Additional Cartons-WUO_ERR'!A120, ":"))))</f>
        <v>0</v>
      </c>
    </row>
    <row r="121" spans="1:1">
      <c r="A121" s="39">
        <f>IF('Additional Cartons'!B121 = "", "", IF('Additional Cartons-WUO_ERR'!A121 = "", "Validated", HYPERLINK("#" &amp; ADDRESS(121, 'Additional Cartons-WUO_TRK'!A121),_xlfn.TEXTAFTER('Additional Cartons-WUO_ERR'!A121, ":"))))</f>
        <v>0</v>
      </c>
    </row>
    <row r="122" spans="1:1">
      <c r="A122" s="39">
        <f>IF('Additional Cartons'!B122 = "", "", IF('Additional Cartons-WUO_ERR'!A122 = "", "Validated", HYPERLINK("#" &amp; ADDRESS(122, 'Additional Cartons-WUO_TRK'!A122),_xlfn.TEXTAFTER('Additional Cartons-WUO_ERR'!A122, ":"))))</f>
        <v>0</v>
      </c>
    </row>
    <row r="123" spans="1:1">
      <c r="A123" s="39">
        <f>IF('Additional Cartons'!B123 = "", "", IF('Additional Cartons-WUO_ERR'!A123 = "", "Validated", HYPERLINK("#" &amp; ADDRESS(123, 'Additional Cartons-WUO_TRK'!A123),_xlfn.TEXTAFTER('Additional Cartons-WUO_ERR'!A123, ":"))))</f>
        <v>0</v>
      </c>
    </row>
    <row r="124" spans="1:1">
      <c r="A124" s="39">
        <f>IF('Additional Cartons'!B124 = "", "", IF('Additional Cartons-WUO_ERR'!A124 = "", "Validated", HYPERLINK("#" &amp; ADDRESS(124, 'Additional Cartons-WUO_TRK'!A124),_xlfn.TEXTAFTER('Additional Cartons-WUO_ERR'!A124, ":"))))</f>
        <v>0</v>
      </c>
    </row>
    <row r="125" spans="1:1">
      <c r="A125" s="39">
        <f>IF('Additional Cartons'!B125 = "", "", IF('Additional Cartons-WUO_ERR'!A125 = "", "Validated", HYPERLINK("#" &amp; ADDRESS(125, 'Additional Cartons-WUO_TRK'!A125),_xlfn.TEXTAFTER('Additional Cartons-WUO_ERR'!A125, ":"))))</f>
        <v>0</v>
      </c>
    </row>
    <row r="126" spans="1:1">
      <c r="A126" s="39">
        <f>IF('Additional Cartons'!B126 = "", "", IF('Additional Cartons-WUO_ERR'!A126 = "", "Validated", HYPERLINK("#" &amp; ADDRESS(126, 'Additional Cartons-WUO_TRK'!A126),_xlfn.TEXTAFTER('Additional Cartons-WUO_ERR'!A126, ":"))))</f>
        <v>0</v>
      </c>
    </row>
    <row r="127" spans="1:1">
      <c r="A127" s="39">
        <f>IF('Additional Cartons'!B127 = "", "", IF('Additional Cartons-WUO_ERR'!A127 = "", "Validated", HYPERLINK("#" &amp; ADDRESS(127, 'Additional Cartons-WUO_TRK'!A127),_xlfn.TEXTAFTER('Additional Cartons-WUO_ERR'!A127, ":"))))</f>
        <v>0</v>
      </c>
    </row>
    <row r="128" spans="1:1">
      <c r="A128" s="39">
        <f>IF('Additional Cartons'!B128 = "", "", IF('Additional Cartons-WUO_ERR'!A128 = "", "Validated", HYPERLINK("#" &amp; ADDRESS(128, 'Additional Cartons-WUO_TRK'!A128),_xlfn.TEXTAFTER('Additional Cartons-WUO_ERR'!A128, ":"))))</f>
        <v>0</v>
      </c>
    </row>
    <row r="129" spans="1:1">
      <c r="A129" s="39">
        <f>IF('Additional Cartons'!B129 = "", "", IF('Additional Cartons-WUO_ERR'!A129 = "", "Validated", HYPERLINK("#" &amp; ADDRESS(129, 'Additional Cartons-WUO_TRK'!A129),_xlfn.TEXTAFTER('Additional Cartons-WUO_ERR'!A129, ":"))))</f>
        <v>0</v>
      </c>
    </row>
    <row r="130" spans="1:1">
      <c r="A130" s="39">
        <f>IF('Additional Cartons'!B130 = "", "", IF('Additional Cartons-WUO_ERR'!A130 = "", "Validated", HYPERLINK("#" &amp; ADDRESS(130, 'Additional Cartons-WUO_TRK'!A130),_xlfn.TEXTAFTER('Additional Cartons-WUO_ERR'!A130, ":"))))</f>
        <v>0</v>
      </c>
    </row>
    <row r="131" spans="1:1">
      <c r="A131" s="39">
        <f>IF('Additional Cartons'!B131 = "", "", IF('Additional Cartons-WUO_ERR'!A131 = "", "Validated", HYPERLINK("#" &amp; ADDRESS(131, 'Additional Cartons-WUO_TRK'!A131),_xlfn.TEXTAFTER('Additional Cartons-WUO_ERR'!A131, ":"))))</f>
        <v>0</v>
      </c>
    </row>
    <row r="132" spans="1:1">
      <c r="A132" s="39">
        <f>IF('Additional Cartons'!B132 = "", "", IF('Additional Cartons-WUO_ERR'!A132 = "", "Validated", HYPERLINK("#" &amp; ADDRESS(132, 'Additional Cartons-WUO_TRK'!A132),_xlfn.TEXTAFTER('Additional Cartons-WUO_ERR'!A132, ":"))))</f>
        <v>0</v>
      </c>
    </row>
    <row r="133" spans="1:1">
      <c r="A133" s="39">
        <f>IF('Additional Cartons'!B133 = "", "", IF('Additional Cartons-WUO_ERR'!A133 = "", "Validated", HYPERLINK("#" &amp; ADDRESS(133, 'Additional Cartons-WUO_TRK'!A133),_xlfn.TEXTAFTER('Additional Cartons-WUO_ERR'!A133, ":"))))</f>
        <v>0</v>
      </c>
    </row>
    <row r="134" spans="1:1">
      <c r="A134" s="39">
        <f>IF('Additional Cartons'!B134 = "", "", IF('Additional Cartons-WUO_ERR'!A134 = "", "Validated", HYPERLINK("#" &amp; ADDRESS(134, 'Additional Cartons-WUO_TRK'!A134),_xlfn.TEXTAFTER('Additional Cartons-WUO_ERR'!A134, ":"))))</f>
        <v>0</v>
      </c>
    </row>
    <row r="135" spans="1:1">
      <c r="A135" s="39">
        <f>IF('Additional Cartons'!B135 = "", "", IF('Additional Cartons-WUO_ERR'!A135 = "", "Validated", HYPERLINK("#" &amp; ADDRESS(135, 'Additional Cartons-WUO_TRK'!A135),_xlfn.TEXTAFTER('Additional Cartons-WUO_ERR'!A135, ":"))))</f>
        <v>0</v>
      </c>
    </row>
    <row r="136" spans="1:1">
      <c r="A136" s="39">
        <f>IF('Additional Cartons'!B136 = "", "", IF('Additional Cartons-WUO_ERR'!A136 = "", "Validated", HYPERLINK("#" &amp; ADDRESS(136, 'Additional Cartons-WUO_TRK'!A136),_xlfn.TEXTAFTER('Additional Cartons-WUO_ERR'!A136, ":"))))</f>
        <v>0</v>
      </c>
    </row>
    <row r="137" spans="1:1">
      <c r="A137" s="39">
        <f>IF('Additional Cartons'!B137 = "", "", IF('Additional Cartons-WUO_ERR'!A137 = "", "Validated", HYPERLINK("#" &amp; ADDRESS(137, 'Additional Cartons-WUO_TRK'!A137),_xlfn.TEXTAFTER('Additional Cartons-WUO_ERR'!A137, ":"))))</f>
        <v>0</v>
      </c>
    </row>
    <row r="138" spans="1:1">
      <c r="A138" s="39">
        <f>IF('Additional Cartons'!B138 = "", "", IF('Additional Cartons-WUO_ERR'!A138 = "", "Validated", HYPERLINK("#" &amp; ADDRESS(138, 'Additional Cartons-WUO_TRK'!A138),_xlfn.TEXTAFTER('Additional Cartons-WUO_ERR'!A138, ":"))))</f>
        <v>0</v>
      </c>
    </row>
    <row r="139" spans="1:1">
      <c r="A139" s="39">
        <f>IF('Additional Cartons'!B139 = "", "", IF('Additional Cartons-WUO_ERR'!A139 = "", "Validated", HYPERLINK("#" &amp; ADDRESS(139, 'Additional Cartons-WUO_TRK'!A139),_xlfn.TEXTAFTER('Additional Cartons-WUO_ERR'!A139, ":"))))</f>
        <v>0</v>
      </c>
    </row>
    <row r="140" spans="1:1">
      <c r="A140" s="39">
        <f>IF('Additional Cartons'!B140 = "", "", IF('Additional Cartons-WUO_ERR'!A140 = "", "Validated", HYPERLINK("#" &amp; ADDRESS(140, 'Additional Cartons-WUO_TRK'!A140),_xlfn.TEXTAFTER('Additional Cartons-WUO_ERR'!A140, ":"))))</f>
        <v>0</v>
      </c>
    </row>
    <row r="141" spans="1:1">
      <c r="A141" s="39">
        <f>IF('Additional Cartons'!B141 = "", "", IF('Additional Cartons-WUO_ERR'!A141 = "", "Validated", HYPERLINK("#" &amp; ADDRESS(141, 'Additional Cartons-WUO_TRK'!A141),_xlfn.TEXTAFTER('Additional Cartons-WUO_ERR'!A141, ":"))))</f>
        <v>0</v>
      </c>
    </row>
    <row r="142" spans="1:1">
      <c r="A142" s="39">
        <f>IF('Additional Cartons'!B142 = "", "", IF('Additional Cartons-WUO_ERR'!A142 = "", "Validated", HYPERLINK("#" &amp; ADDRESS(142, 'Additional Cartons-WUO_TRK'!A142),_xlfn.TEXTAFTER('Additional Cartons-WUO_ERR'!A142, ":"))))</f>
        <v>0</v>
      </c>
    </row>
    <row r="143" spans="1:1">
      <c r="A143" s="39">
        <f>IF('Additional Cartons'!B143 = "", "", IF('Additional Cartons-WUO_ERR'!A143 = "", "Validated", HYPERLINK("#" &amp; ADDRESS(143, 'Additional Cartons-WUO_TRK'!A143),_xlfn.TEXTAFTER('Additional Cartons-WUO_ERR'!A143, ":"))))</f>
        <v>0</v>
      </c>
    </row>
    <row r="144" spans="1:1">
      <c r="A144" s="39">
        <f>IF('Additional Cartons'!B144 = "", "", IF('Additional Cartons-WUO_ERR'!A144 = "", "Validated", HYPERLINK("#" &amp; ADDRESS(144, 'Additional Cartons-WUO_TRK'!A144),_xlfn.TEXTAFTER('Additional Cartons-WUO_ERR'!A144, ":"))))</f>
        <v>0</v>
      </c>
    </row>
    <row r="145" spans="1:1">
      <c r="A145" s="39">
        <f>IF('Additional Cartons'!B145 = "", "", IF('Additional Cartons-WUO_ERR'!A145 = "", "Validated", HYPERLINK("#" &amp; ADDRESS(145, 'Additional Cartons-WUO_TRK'!A145),_xlfn.TEXTAFTER('Additional Cartons-WUO_ERR'!A145, ":"))))</f>
        <v>0</v>
      </c>
    </row>
    <row r="146" spans="1:1">
      <c r="A146" s="39">
        <f>IF('Additional Cartons'!B146 = "", "", IF('Additional Cartons-WUO_ERR'!A146 = "", "Validated", HYPERLINK("#" &amp; ADDRESS(146, 'Additional Cartons-WUO_TRK'!A146),_xlfn.TEXTAFTER('Additional Cartons-WUO_ERR'!A146, ":"))))</f>
        <v>0</v>
      </c>
    </row>
    <row r="147" spans="1:1">
      <c r="A147" s="39">
        <f>IF('Additional Cartons'!B147 = "", "", IF('Additional Cartons-WUO_ERR'!A147 = "", "Validated", HYPERLINK("#" &amp; ADDRESS(147, 'Additional Cartons-WUO_TRK'!A147),_xlfn.TEXTAFTER('Additional Cartons-WUO_ERR'!A147, ":"))))</f>
        <v>0</v>
      </c>
    </row>
    <row r="148" spans="1:1">
      <c r="A148" s="39">
        <f>IF('Additional Cartons'!B148 = "", "", IF('Additional Cartons-WUO_ERR'!A148 = "", "Validated", HYPERLINK("#" &amp; ADDRESS(148, 'Additional Cartons-WUO_TRK'!A148),_xlfn.TEXTAFTER('Additional Cartons-WUO_ERR'!A148, ":"))))</f>
        <v>0</v>
      </c>
    </row>
    <row r="149" spans="1:1">
      <c r="A149" s="39">
        <f>IF('Additional Cartons'!B149 = "", "", IF('Additional Cartons-WUO_ERR'!A149 = "", "Validated", HYPERLINK("#" &amp; ADDRESS(149, 'Additional Cartons-WUO_TRK'!A149),_xlfn.TEXTAFTER('Additional Cartons-WUO_ERR'!A149, ":"))))</f>
        <v>0</v>
      </c>
    </row>
    <row r="150" spans="1:1">
      <c r="A150" s="39">
        <f>IF('Additional Cartons'!B150 = "", "", IF('Additional Cartons-WUO_ERR'!A150 = "", "Validated", HYPERLINK("#" &amp; ADDRESS(150, 'Additional Cartons-WUO_TRK'!A150),_xlfn.TEXTAFTER('Additional Cartons-WUO_ERR'!A150, ":"))))</f>
        <v>0</v>
      </c>
    </row>
    <row r="151" spans="1:1">
      <c r="A151" s="39">
        <f>IF('Additional Cartons'!B151 = "", "", IF('Additional Cartons-WUO_ERR'!A151 = "", "Validated", HYPERLINK("#" &amp; ADDRESS(151, 'Additional Cartons-WUO_TRK'!A151),_xlfn.TEXTAFTER('Additional Cartons-WUO_ERR'!A151, ":"))))</f>
        <v>0</v>
      </c>
    </row>
    <row r="152" spans="1:1">
      <c r="A152" s="39">
        <f>IF('Additional Cartons'!B152 = "", "", IF('Additional Cartons-WUO_ERR'!A152 = "", "Validated", HYPERLINK("#" &amp; ADDRESS(152, 'Additional Cartons-WUO_TRK'!A152),_xlfn.TEXTAFTER('Additional Cartons-WUO_ERR'!A152, ":"))))</f>
        <v>0</v>
      </c>
    </row>
    <row r="153" spans="1:1">
      <c r="A153" s="39">
        <f>IF('Additional Cartons'!B153 = "", "", IF('Additional Cartons-WUO_ERR'!A153 = "", "Validated", HYPERLINK("#" &amp; ADDRESS(153, 'Additional Cartons-WUO_TRK'!A153),_xlfn.TEXTAFTER('Additional Cartons-WUO_ERR'!A153, ":"))))</f>
        <v>0</v>
      </c>
    </row>
    <row r="154" spans="1:1">
      <c r="A154" s="39">
        <f>IF('Additional Cartons'!B154 = "", "", IF('Additional Cartons-WUO_ERR'!A154 = "", "Validated", HYPERLINK("#" &amp; ADDRESS(154, 'Additional Cartons-WUO_TRK'!A154),_xlfn.TEXTAFTER('Additional Cartons-WUO_ERR'!A154, ":"))))</f>
        <v>0</v>
      </c>
    </row>
    <row r="155" spans="1:1">
      <c r="A155" s="39">
        <f>IF('Additional Cartons'!B155 = "", "", IF('Additional Cartons-WUO_ERR'!A155 = "", "Validated", HYPERLINK("#" &amp; ADDRESS(155, 'Additional Cartons-WUO_TRK'!A155),_xlfn.TEXTAFTER('Additional Cartons-WUO_ERR'!A155, ":"))))</f>
        <v>0</v>
      </c>
    </row>
    <row r="156" spans="1:1">
      <c r="A156" s="39">
        <f>IF('Additional Cartons'!B156 = "", "", IF('Additional Cartons-WUO_ERR'!A156 = "", "Validated", HYPERLINK("#" &amp; ADDRESS(156, 'Additional Cartons-WUO_TRK'!A156),_xlfn.TEXTAFTER('Additional Cartons-WUO_ERR'!A156, ":"))))</f>
        <v>0</v>
      </c>
    </row>
    <row r="157" spans="1:1">
      <c r="A157" s="39">
        <f>IF('Additional Cartons'!B157 = "", "", IF('Additional Cartons-WUO_ERR'!A157 = "", "Validated", HYPERLINK("#" &amp; ADDRESS(157, 'Additional Cartons-WUO_TRK'!A157),_xlfn.TEXTAFTER('Additional Cartons-WUO_ERR'!A157, ":"))))</f>
        <v>0</v>
      </c>
    </row>
    <row r="158" spans="1:1">
      <c r="A158" s="39">
        <f>IF('Additional Cartons'!B158 = "", "", IF('Additional Cartons-WUO_ERR'!A158 = "", "Validated", HYPERLINK("#" &amp; ADDRESS(158, 'Additional Cartons-WUO_TRK'!A158),_xlfn.TEXTAFTER('Additional Cartons-WUO_ERR'!A158, ":"))))</f>
        <v>0</v>
      </c>
    </row>
    <row r="159" spans="1:1">
      <c r="A159" s="39">
        <f>IF('Additional Cartons'!B159 = "", "", IF('Additional Cartons-WUO_ERR'!A159 = "", "Validated", HYPERLINK("#" &amp; ADDRESS(159, 'Additional Cartons-WUO_TRK'!A159),_xlfn.TEXTAFTER('Additional Cartons-WUO_ERR'!A159, ":"))))</f>
        <v>0</v>
      </c>
    </row>
    <row r="160" spans="1:1">
      <c r="A160" s="39">
        <f>IF('Additional Cartons'!B160 = "", "", IF('Additional Cartons-WUO_ERR'!A160 = "", "Validated", HYPERLINK("#" &amp; ADDRESS(160, 'Additional Cartons-WUO_TRK'!A160),_xlfn.TEXTAFTER('Additional Cartons-WUO_ERR'!A160, ":"))))</f>
        <v>0</v>
      </c>
    </row>
    <row r="161" spans="1:1">
      <c r="A161" s="39">
        <f>IF('Additional Cartons'!B161 = "", "", IF('Additional Cartons-WUO_ERR'!A161 = "", "Validated", HYPERLINK("#" &amp; ADDRESS(161, 'Additional Cartons-WUO_TRK'!A161),_xlfn.TEXTAFTER('Additional Cartons-WUO_ERR'!A161, ":"))))</f>
        <v>0</v>
      </c>
    </row>
    <row r="162" spans="1:1">
      <c r="A162" s="39">
        <f>IF('Additional Cartons'!B162 = "", "", IF('Additional Cartons-WUO_ERR'!A162 = "", "Validated", HYPERLINK("#" &amp; ADDRESS(162, 'Additional Cartons-WUO_TRK'!A162),_xlfn.TEXTAFTER('Additional Cartons-WUO_ERR'!A162, ":"))))</f>
        <v>0</v>
      </c>
    </row>
    <row r="163" spans="1:1">
      <c r="A163" s="39">
        <f>IF('Additional Cartons'!B163 = "", "", IF('Additional Cartons-WUO_ERR'!A163 = "", "Validated", HYPERLINK("#" &amp; ADDRESS(163, 'Additional Cartons-WUO_TRK'!A163),_xlfn.TEXTAFTER('Additional Cartons-WUO_ERR'!A163, ":"))))</f>
        <v>0</v>
      </c>
    </row>
    <row r="164" spans="1:1">
      <c r="A164" s="39">
        <f>IF('Additional Cartons'!B164 = "", "", IF('Additional Cartons-WUO_ERR'!A164 = "", "Validated", HYPERLINK("#" &amp; ADDRESS(164, 'Additional Cartons-WUO_TRK'!A164),_xlfn.TEXTAFTER('Additional Cartons-WUO_ERR'!A164, ":"))))</f>
        <v>0</v>
      </c>
    </row>
    <row r="165" spans="1:1">
      <c r="A165" s="39">
        <f>IF('Additional Cartons'!B165 = "", "", IF('Additional Cartons-WUO_ERR'!A165 = "", "Validated", HYPERLINK("#" &amp; ADDRESS(165, 'Additional Cartons-WUO_TRK'!A165),_xlfn.TEXTAFTER('Additional Cartons-WUO_ERR'!A165, ":"))))</f>
        <v>0</v>
      </c>
    </row>
    <row r="166" spans="1:1">
      <c r="A166" s="39">
        <f>IF('Additional Cartons'!B166 = "", "", IF('Additional Cartons-WUO_ERR'!A166 = "", "Validated", HYPERLINK("#" &amp; ADDRESS(166, 'Additional Cartons-WUO_TRK'!A166),_xlfn.TEXTAFTER('Additional Cartons-WUO_ERR'!A166, ":"))))</f>
        <v>0</v>
      </c>
    </row>
    <row r="167" spans="1:1">
      <c r="A167" s="39">
        <f>IF('Additional Cartons'!B167 = "", "", IF('Additional Cartons-WUO_ERR'!A167 = "", "Validated", HYPERLINK("#" &amp; ADDRESS(167, 'Additional Cartons-WUO_TRK'!A167),_xlfn.TEXTAFTER('Additional Cartons-WUO_ERR'!A167, ":"))))</f>
        <v>0</v>
      </c>
    </row>
    <row r="168" spans="1:1">
      <c r="A168" s="39">
        <f>IF('Additional Cartons'!B168 = "", "", IF('Additional Cartons-WUO_ERR'!A168 = "", "Validated", HYPERLINK("#" &amp; ADDRESS(168, 'Additional Cartons-WUO_TRK'!A168),_xlfn.TEXTAFTER('Additional Cartons-WUO_ERR'!A168, ":"))))</f>
        <v>0</v>
      </c>
    </row>
    <row r="169" spans="1:1">
      <c r="A169" s="39">
        <f>IF('Additional Cartons'!B169 = "", "", IF('Additional Cartons-WUO_ERR'!A169 = "", "Validated", HYPERLINK("#" &amp; ADDRESS(169, 'Additional Cartons-WUO_TRK'!A169),_xlfn.TEXTAFTER('Additional Cartons-WUO_ERR'!A169, ":"))))</f>
        <v>0</v>
      </c>
    </row>
    <row r="170" spans="1:1">
      <c r="A170" s="39">
        <f>IF('Additional Cartons'!B170 = "", "", IF('Additional Cartons-WUO_ERR'!A170 = "", "Validated", HYPERLINK("#" &amp; ADDRESS(170, 'Additional Cartons-WUO_TRK'!A170),_xlfn.TEXTAFTER('Additional Cartons-WUO_ERR'!A170, ":"))))</f>
        <v>0</v>
      </c>
    </row>
    <row r="171" spans="1:1">
      <c r="A171" s="39">
        <f>IF('Additional Cartons'!B171 = "", "", IF('Additional Cartons-WUO_ERR'!A171 = "", "Validated", HYPERLINK("#" &amp; ADDRESS(171, 'Additional Cartons-WUO_TRK'!A171),_xlfn.TEXTAFTER('Additional Cartons-WUO_ERR'!A171, ":"))))</f>
        <v>0</v>
      </c>
    </row>
    <row r="172" spans="1:1">
      <c r="A172" s="39">
        <f>IF('Additional Cartons'!B172 = "", "", IF('Additional Cartons-WUO_ERR'!A172 = "", "Validated", HYPERLINK("#" &amp; ADDRESS(172, 'Additional Cartons-WUO_TRK'!A172),_xlfn.TEXTAFTER('Additional Cartons-WUO_ERR'!A172, ":"))))</f>
        <v>0</v>
      </c>
    </row>
    <row r="173" spans="1:1">
      <c r="A173" s="39">
        <f>IF('Additional Cartons'!B173 = "", "", IF('Additional Cartons-WUO_ERR'!A173 = "", "Validated", HYPERLINK("#" &amp; ADDRESS(173, 'Additional Cartons-WUO_TRK'!A173),_xlfn.TEXTAFTER('Additional Cartons-WUO_ERR'!A173, ":"))))</f>
        <v>0</v>
      </c>
    </row>
    <row r="174" spans="1:1">
      <c r="A174" s="39">
        <f>IF('Additional Cartons'!B174 = "", "", IF('Additional Cartons-WUO_ERR'!A174 = "", "Validated", HYPERLINK("#" &amp; ADDRESS(174, 'Additional Cartons-WUO_TRK'!A174),_xlfn.TEXTAFTER('Additional Cartons-WUO_ERR'!A174, ":"))))</f>
        <v>0</v>
      </c>
    </row>
    <row r="175" spans="1:1">
      <c r="A175" s="39">
        <f>IF('Additional Cartons'!B175 = "", "", IF('Additional Cartons-WUO_ERR'!A175 = "", "Validated", HYPERLINK("#" &amp; ADDRESS(175, 'Additional Cartons-WUO_TRK'!A175),_xlfn.TEXTAFTER('Additional Cartons-WUO_ERR'!A175, ":"))))</f>
        <v>0</v>
      </c>
    </row>
    <row r="176" spans="1:1">
      <c r="A176" s="39">
        <f>IF('Additional Cartons'!B176 = "", "", IF('Additional Cartons-WUO_ERR'!A176 = "", "Validated", HYPERLINK("#" &amp; ADDRESS(176, 'Additional Cartons-WUO_TRK'!A176),_xlfn.TEXTAFTER('Additional Cartons-WUO_ERR'!A176, ":"))))</f>
        <v>0</v>
      </c>
    </row>
    <row r="177" spans="1:1">
      <c r="A177" s="39">
        <f>IF('Additional Cartons'!B177 = "", "", IF('Additional Cartons-WUO_ERR'!A177 = "", "Validated", HYPERLINK("#" &amp; ADDRESS(177, 'Additional Cartons-WUO_TRK'!A177),_xlfn.TEXTAFTER('Additional Cartons-WUO_ERR'!A177, ":"))))</f>
        <v>0</v>
      </c>
    </row>
    <row r="178" spans="1:1">
      <c r="A178" s="39">
        <f>IF('Additional Cartons'!B178 = "", "", IF('Additional Cartons-WUO_ERR'!A178 = "", "Validated", HYPERLINK("#" &amp; ADDRESS(178, 'Additional Cartons-WUO_TRK'!A178),_xlfn.TEXTAFTER('Additional Cartons-WUO_ERR'!A178, ":"))))</f>
        <v>0</v>
      </c>
    </row>
    <row r="179" spans="1:1">
      <c r="A179" s="39">
        <f>IF('Additional Cartons'!B179 = "", "", IF('Additional Cartons-WUO_ERR'!A179 = "", "Validated", HYPERLINK("#" &amp; ADDRESS(179, 'Additional Cartons-WUO_TRK'!A179),_xlfn.TEXTAFTER('Additional Cartons-WUO_ERR'!A179, ":"))))</f>
        <v>0</v>
      </c>
    </row>
    <row r="180" spans="1:1">
      <c r="A180" s="39">
        <f>IF('Additional Cartons'!B180 = "", "", IF('Additional Cartons-WUO_ERR'!A180 = "", "Validated", HYPERLINK("#" &amp; ADDRESS(180, 'Additional Cartons-WUO_TRK'!A180),_xlfn.TEXTAFTER('Additional Cartons-WUO_ERR'!A180, ":"))))</f>
        <v>0</v>
      </c>
    </row>
    <row r="181" spans="1:1">
      <c r="A181" s="39">
        <f>IF('Additional Cartons'!B181 = "", "", IF('Additional Cartons-WUO_ERR'!A181 = "", "Validated", HYPERLINK("#" &amp; ADDRESS(181, 'Additional Cartons-WUO_TRK'!A181),_xlfn.TEXTAFTER('Additional Cartons-WUO_ERR'!A181, ":"))))</f>
        <v>0</v>
      </c>
    </row>
    <row r="182" spans="1:1">
      <c r="A182" s="39">
        <f>IF('Additional Cartons'!B182 = "", "", IF('Additional Cartons-WUO_ERR'!A182 = "", "Validated", HYPERLINK("#" &amp; ADDRESS(182, 'Additional Cartons-WUO_TRK'!A182),_xlfn.TEXTAFTER('Additional Cartons-WUO_ERR'!A182, ":"))))</f>
        <v>0</v>
      </c>
    </row>
    <row r="183" spans="1:1">
      <c r="A183" s="39">
        <f>IF('Additional Cartons'!B183 = "", "", IF('Additional Cartons-WUO_ERR'!A183 = "", "Validated", HYPERLINK("#" &amp; ADDRESS(183, 'Additional Cartons-WUO_TRK'!A183),_xlfn.TEXTAFTER('Additional Cartons-WUO_ERR'!A183, ":"))))</f>
        <v>0</v>
      </c>
    </row>
    <row r="184" spans="1:1">
      <c r="A184" s="39">
        <f>IF('Additional Cartons'!B184 = "", "", IF('Additional Cartons-WUO_ERR'!A184 = "", "Validated", HYPERLINK("#" &amp; ADDRESS(184, 'Additional Cartons-WUO_TRK'!A184),_xlfn.TEXTAFTER('Additional Cartons-WUO_ERR'!A184, ":"))))</f>
        <v>0</v>
      </c>
    </row>
    <row r="185" spans="1:1">
      <c r="A185" s="39">
        <f>IF('Additional Cartons'!B185 = "", "", IF('Additional Cartons-WUO_ERR'!A185 = "", "Validated", HYPERLINK("#" &amp; ADDRESS(185, 'Additional Cartons-WUO_TRK'!A185),_xlfn.TEXTAFTER('Additional Cartons-WUO_ERR'!A185, ":"))))</f>
        <v>0</v>
      </c>
    </row>
    <row r="186" spans="1:1">
      <c r="A186" s="39">
        <f>IF('Additional Cartons'!B186 = "", "", IF('Additional Cartons-WUO_ERR'!A186 = "", "Validated", HYPERLINK("#" &amp; ADDRESS(186, 'Additional Cartons-WUO_TRK'!A186),_xlfn.TEXTAFTER('Additional Cartons-WUO_ERR'!A186, ":"))))</f>
        <v>0</v>
      </c>
    </row>
    <row r="187" spans="1:1">
      <c r="A187" s="39">
        <f>IF('Additional Cartons'!B187 = "", "", IF('Additional Cartons-WUO_ERR'!A187 = "", "Validated", HYPERLINK("#" &amp; ADDRESS(187, 'Additional Cartons-WUO_TRK'!A187),_xlfn.TEXTAFTER('Additional Cartons-WUO_ERR'!A187, ":"))))</f>
        <v>0</v>
      </c>
    </row>
    <row r="188" spans="1:1">
      <c r="A188" s="39">
        <f>IF('Additional Cartons'!B188 = "", "", IF('Additional Cartons-WUO_ERR'!A188 = "", "Validated", HYPERLINK("#" &amp; ADDRESS(188, 'Additional Cartons-WUO_TRK'!A188),_xlfn.TEXTAFTER('Additional Cartons-WUO_ERR'!A188, ":"))))</f>
        <v>0</v>
      </c>
    </row>
    <row r="189" spans="1:1">
      <c r="A189" s="39">
        <f>IF('Additional Cartons'!B189 = "", "", IF('Additional Cartons-WUO_ERR'!A189 = "", "Validated", HYPERLINK("#" &amp; ADDRESS(189, 'Additional Cartons-WUO_TRK'!A189),_xlfn.TEXTAFTER('Additional Cartons-WUO_ERR'!A189, ":"))))</f>
        <v>0</v>
      </c>
    </row>
    <row r="190" spans="1:1">
      <c r="A190" s="39">
        <f>IF('Additional Cartons'!B190 = "", "", IF('Additional Cartons-WUO_ERR'!A190 = "", "Validated", HYPERLINK("#" &amp; ADDRESS(190, 'Additional Cartons-WUO_TRK'!A190),_xlfn.TEXTAFTER('Additional Cartons-WUO_ERR'!A190, ":"))))</f>
        <v>0</v>
      </c>
    </row>
    <row r="191" spans="1:1">
      <c r="A191" s="39">
        <f>IF('Additional Cartons'!B191 = "", "", IF('Additional Cartons-WUO_ERR'!A191 = "", "Validated", HYPERLINK("#" &amp; ADDRESS(191, 'Additional Cartons-WUO_TRK'!A191),_xlfn.TEXTAFTER('Additional Cartons-WUO_ERR'!A191, ":"))))</f>
        <v>0</v>
      </c>
    </row>
    <row r="192" spans="1:1">
      <c r="A192" s="39">
        <f>IF('Additional Cartons'!B192 = "", "", IF('Additional Cartons-WUO_ERR'!A192 = "", "Validated", HYPERLINK("#" &amp; ADDRESS(192, 'Additional Cartons-WUO_TRK'!A192),_xlfn.TEXTAFTER('Additional Cartons-WUO_ERR'!A192, ":"))))</f>
        <v>0</v>
      </c>
    </row>
    <row r="193" spans="1:1">
      <c r="A193" s="39">
        <f>IF('Additional Cartons'!B193 = "", "", IF('Additional Cartons-WUO_ERR'!A193 = "", "Validated", HYPERLINK("#" &amp; ADDRESS(193, 'Additional Cartons-WUO_TRK'!A193),_xlfn.TEXTAFTER('Additional Cartons-WUO_ERR'!A193, ":"))))</f>
        <v>0</v>
      </c>
    </row>
    <row r="194" spans="1:1">
      <c r="A194" s="39">
        <f>IF('Additional Cartons'!B194 = "", "", IF('Additional Cartons-WUO_ERR'!A194 = "", "Validated", HYPERLINK("#" &amp; ADDRESS(194, 'Additional Cartons-WUO_TRK'!A194),_xlfn.TEXTAFTER('Additional Cartons-WUO_ERR'!A194, ":"))))</f>
        <v>0</v>
      </c>
    </row>
    <row r="195" spans="1:1">
      <c r="A195" s="39">
        <f>IF('Additional Cartons'!B195 = "", "", IF('Additional Cartons-WUO_ERR'!A195 = "", "Validated", HYPERLINK("#" &amp; ADDRESS(195, 'Additional Cartons-WUO_TRK'!A195),_xlfn.TEXTAFTER('Additional Cartons-WUO_ERR'!A195, ":"))))</f>
        <v>0</v>
      </c>
    </row>
    <row r="196" spans="1:1">
      <c r="A196" s="39">
        <f>IF('Additional Cartons'!B196 = "", "", IF('Additional Cartons-WUO_ERR'!A196 = "", "Validated", HYPERLINK("#" &amp; ADDRESS(196, 'Additional Cartons-WUO_TRK'!A196),_xlfn.TEXTAFTER('Additional Cartons-WUO_ERR'!A196, ":"))))</f>
        <v>0</v>
      </c>
    </row>
    <row r="197" spans="1:1">
      <c r="A197" s="39">
        <f>IF('Additional Cartons'!B197 = "", "", IF('Additional Cartons-WUO_ERR'!A197 = "", "Validated", HYPERLINK("#" &amp; ADDRESS(197, 'Additional Cartons-WUO_TRK'!A197),_xlfn.TEXTAFTER('Additional Cartons-WUO_ERR'!A197, ":"))))</f>
        <v>0</v>
      </c>
    </row>
    <row r="198" spans="1:1">
      <c r="A198" s="39">
        <f>IF('Additional Cartons'!B198 = "", "", IF('Additional Cartons-WUO_ERR'!A198 = "", "Validated", HYPERLINK("#" &amp; ADDRESS(198, 'Additional Cartons-WUO_TRK'!A198),_xlfn.TEXTAFTER('Additional Cartons-WUO_ERR'!A198, ":"))))</f>
        <v>0</v>
      </c>
    </row>
    <row r="199" spans="1:1">
      <c r="A199" s="39">
        <f>IF('Additional Cartons'!B199 = "", "", IF('Additional Cartons-WUO_ERR'!A199 = "", "Validated", HYPERLINK("#" &amp; ADDRESS(199, 'Additional Cartons-WUO_TRK'!A199),_xlfn.TEXTAFTER('Additional Cartons-WUO_ERR'!A199, ":"))))</f>
        <v>0</v>
      </c>
    </row>
    <row r="200" spans="1:1">
      <c r="A200" s="39">
        <f>IF('Additional Cartons'!B200 = "", "", IF('Additional Cartons-WUO_ERR'!A200 = "", "Validated", HYPERLINK("#" &amp; ADDRESS(200, 'Additional Cartons-WUO_TRK'!A200),_xlfn.TEXTAFTER('Additional Cartons-WUO_ERR'!A200, ":"))))</f>
        <v>0</v>
      </c>
    </row>
    <row r="201" spans="1:1">
      <c r="A201" s="39">
        <f>IF('Additional Cartons'!B201 = "", "", IF('Additional Cartons-WUO_ERR'!A201 = "", "Validated", HYPERLINK("#" &amp; ADDRESS(201, 'Additional Cartons-WUO_TRK'!A201),_xlfn.TEXTAFTER('Additional Cartons-WUO_ERR'!A201, ":"))))</f>
        <v>0</v>
      </c>
    </row>
    <row r="202" spans="1:1">
      <c r="A202" s="39">
        <f>IF('Additional Cartons'!B202 = "", "", IF('Additional Cartons-WUO_ERR'!A202 = "", "Validated", HYPERLINK("#" &amp; ADDRESS(202, 'Additional Cartons-WUO_TRK'!A202),_xlfn.TEXTAFTER('Additional Cartons-WUO_ERR'!A202, ":"))))</f>
        <v>0</v>
      </c>
    </row>
    <row r="203" spans="1:1">
      <c r="A203" s="39">
        <f>IF('Additional Cartons'!B203 = "", "", IF('Additional Cartons-WUO_ERR'!A203 = "", "Validated", HYPERLINK("#" &amp; ADDRESS(203, 'Additional Cartons-WUO_TRK'!A203),_xlfn.TEXTAFTER('Additional Cartons-WUO_ERR'!A203, ":"))))</f>
        <v>0</v>
      </c>
    </row>
    <row r="204" spans="1:1">
      <c r="A204" s="39">
        <f>IF('Additional Cartons'!B204 = "", "", IF('Additional Cartons-WUO_ERR'!A204 = "", "Validated", HYPERLINK("#" &amp; ADDRESS(204, 'Additional Cartons-WUO_TRK'!A204),_xlfn.TEXTAFTER('Additional Cartons-WUO_ERR'!A204, ":"))))</f>
        <v>0</v>
      </c>
    </row>
    <row r="205" spans="1:1">
      <c r="A205" s="39">
        <f>IF('Additional Cartons'!B205 = "", "", IF('Additional Cartons-WUO_ERR'!A205 = "", "Validated", HYPERLINK("#" &amp; ADDRESS(205, 'Additional Cartons-WUO_TRK'!A205),_xlfn.TEXTAFTER('Additional Cartons-WUO_ERR'!A205, ":"))))</f>
        <v>0</v>
      </c>
    </row>
    <row r="206" spans="1:1">
      <c r="A206" s="39">
        <f>IF('Additional Cartons'!B206 = "", "", IF('Additional Cartons-WUO_ERR'!A206 = "", "Validated", HYPERLINK("#" &amp; ADDRESS(206, 'Additional Cartons-WUO_TRK'!A206),_xlfn.TEXTAFTER('Additional Cartons-WUO_ERR'!A206, ":"))))</f>
        <v>0</v>
      </c>
    </row>
    <row r="207" spans="1:1">
      <c r="A207" s="39">
        <f>IF('Additional Cartons'!B207 = "", "", IF('Additional Cartons-WUO_ERR'!A207 = "", "Validated", HYPERLINK("#" &amp; ADDRESS(207, 'Additional Cartons-WUO_TRK'!A207),_xlfn.TEXTAFTER('Additional Cartons-WUO_ERR'!A207, ":"))))</f>
        <v>0</v>
      </c>
    </row>
    <row r="208" spans="1:1">
      <c r="A208" s="39">
        <f>IF('Additional Cartons'!B208 = "", "", IF('Additional Cartons-WUO_ERR'!A208 = "", "Validated", HYPERLINK("#" &amp; ADDRESS(208, 'Additional Cartons-WUO_TRK'!A208),_xlfn.TEXTAFTER('Additional Cartons-WUO_ERR'!A208, ":"))))</f>
        <v>0</v>
      </c>
    </row>
    <row r="209" spans="1:1">
      <c r="A209" s="39">
        <f>IF('Additional Cartons'!B209 = "", "", IF('Additional Cartons-WUO_ERR'!A209 = "", "Validated", HYPERLINK("#" &amp; ADDRESS(209, 'Additional Cartons-WUO_TRK'!A209),_xlfn.TEXTAFTER('Additional Cartons-WUO_ERR'!A209, ":"))))</f>
        <v>0</v>
      </c>
    </row>
    <row r="210" spans="1:1">
      <c r="A210" s="39">
        <f>IF('Additional Cartons'!B210 = "", "", IF('Additional Cartons-WUO_ERR'!A210 = "", "Validated", HYPERLINK("#" &amp; ADDRESS(210, 'Additional Cartons-WUO_TRK'!A210),_xlfn.TEXTAFTER('Additional Cartons-WUO_ERR'!A210, ":"))))</f>
        <v>0</v>
      </c>
    </row>
    <row r="211" spans="1:1">
      <c r="A211" s="39">
        <f>IF('Additional Cartons'!B211 = "", "", IF('Additional Cartons-WUO_ERR'!A211 = "", "Validated", HYPERLINK("#" &amp; ADDRESS(211, 'Additional Cartons-WUO_TRK'!A211),_xlfn.TEXTAFTER('Additional Cartons-WUO_ERR'!A211, ":"))))</f>
        <v>0</v>
      </c>
    </row>
    <row r="212" spans="1:1">
      <c r="A212" s="39">
        <f>IF('Additional Cartons'!B212 = "", "", IF('Additional Cartons-WUO_ERR'!A212 = "", "Validated", HYPERLINK("#" &amp; ADDRESS(212, 'Additional Cartons-WUO_TRK'!A212),_xlfn.TEXTAFTER('Additional Cartons-WUO_ERR'!A212, ":"))))</f>
        <v>0</v>
      </c>
    </row>
    <row r="213" spans="1:1">
      <c r="A213" s="39">
        <f>IF('Additional Cartons'!B213 = "", "", IF('Additional Cartons-WUO_ERR'!A213 = "", "Validated", HYPERLINK("#" &amp; ADDRESS(213, 'Additional Cartons-WUO_TRK'!A213),_xlfn.TEXTAFTER('Additional Cartons-WUO_ERR'!A213, ":"))))</f>
        <v>0</v>
      </c>
    </row>
    <row r="214" spans="1:1">
      <c r="A214" s="39">
        <f>IF('Additional Cartons'!B214 = "", "", IF('Additional Cartons-WUO_ERR'!A214 = "", "Validated", HYPERLINK("#" &amp; ADDRESS(214, 'Additional Cartons-WUO_TRK'!A214),_xlfn.TEXTAFTER('Additional Cartons-WUO_ERR'!A214, ":"))))</f>
        <v>0</v>
      </c>
    </row>
    <row r="215" spans="1:1">
      <c r="A215" s="39">
        <f>IF('Additional Cartons'!B215 = "", "", IF('Additional Cartons-WUO_ERR'!A215 = "", "Validated", HYPERLINK("#" &amp; ADDRESS(215, 'Additional Cartons-WUO_TRK'!A215),_xlfn.TEXTAFTER('Additional Cartons-WUO_ERR'!A215, ":"))))</f>
        <v>0</v>
      </c>
    </row>
    <row r="216" spans="1:1">
      <c r="A216" s="39">
        <f>IF('Additional Cartons'!B216 = "", "", IF('Additional Cartons-WUO_ERR'!A216 = "", "Validated", HYPERLINK("#" &amp; ADDRESS(216, 'Additional Cartons-WUO_TRK'!A216),_xlfn.TEXTAFTER('Additional Cartons-WUO_ERR'!A216, ":"))))</f>
        <v>0</v>
      </c>
    </row>
    <row r="217" spans="1:1">
      <c r="A217" s="39">
        <f>IF('Additional Cartons'!B217 = "", "", IF('Additional Cartons-WUO_ERR'!A217 = "", "Validated", HYPERLINK("#" &amp; ADDRESS(217, 'Additional Cartons-WUO_TRK'!A217),_xlfn.TEXTAFTER('Additional Cartons-WUO_ERR'!A217, ":"))))</f>
        <v>0</v>
      </c>
    </row>
    <row r="218" spans="1:1">
      <c r="A218" s="39">
        <f>IF('Additional Cartons'!B218 = "", "", IF('Additional Cartons-WUO_ERR'!A218 = "", "Validated", HYPERLINK("#" &amp; ADDRESS(218, 'Additional Cartons-WUO_TRK'!A218),_xlfn.TEXTAFTER('Additional Cartons-WUO_ERR'!A218, ":"))))</f>
        <v>0</v>
      </c>
    </row>
    <row r="219" spans="1:1">
      <c r="A219" s="39">
        <f>IF('Additional Cartons'!B219 = "", "", IF('Additional Cartons-WUO_ERR'!A219 = "", "Validated", HYPERLINK("#" &amp; ADDRESS(219, 'Additional Cartons-WUO_TRK'!A219),_xlfn.TEXTAFTER('Additional Cartons-WUO_ERR'!A219, ":"))))</f>
        <v>0</v>
      </c>
    </row>
    <row r="220" spans="1:1">
      <c r="A220" s="39">
        <f>IF('Additional Cartons'!B220 = "", "", IF('Additional Cartons-WUO_ERR'!A220 = "", "Validated", HYPERLINK("#" &amp; ADDRESS(220, 'Additional Cartons-WUO_TRK'!A220),_xlfn.TEXTAFTER('Additional Cartons-WUO_ERR'!A220, ":"))))</f>
        <v>0</v>
      </c>
    </row>
    <row r="221" spans="1:1">
      <c r="A221" s="39">
        <f>IF('Additional Cartons'!B221 = "", "", IF('Additional Cartons-WUO_ERR'!A221 = "", "Validated", HYPERLINK("#" &amp; ADDRESS(221, 'Additional Cartons-WUO_TRK'!A221),_xlfn.TEXTAFTER('Additional Cartons-WUO_ERR'!A221, ":"))))</f>
        <v>0</v>
      </c>
    </row>
    <row r="222" spans="1:1">
      <c r="A222" s="39">
        <f>IF('Additional Cartons'!B222 = "", "", IF('Additional Cartons-WUO_ERR'!A222 = "", "Validated", HYPERLINK("#" &amp; ADDRESS(222, 'Additional Cartons-WUO_TRK'!A222),_xlfn.TEXTAFTER('Additional Cartons-WUO_ERR'!A222, ":"))))</f>
        <v>0</v>
      </c>
    </row>
    <row r="223" spans="1:1">
      <c r="A223" s="39">
        <f>IF('Additional Cartons'!B223 = "", "", IF('Additional Cartons-WUO_ERR'!A223 = "", "Validated", HYPERLINK("#" &amp; ADDRESS(223, 'Additional Cartons-WUO_TRK'!A223),_xlfn.TEXTAFTER('Additional Cartons-WUO_ERR'!A223, ":"))))</f>
        <v>0</v>
      </c>
    </row>
    <row r="224" spans="1:1">
      <c r="A224" s="39">
        <f>IF('Additional Cartons'!B224 = "", "", IF('Additional Cartons-WUO_ERR'!A224 = "", "Validated", HYPERLINK("#" &amp; ADDRESS(224, 'Additional Cartons-WUO_TRK'!A224),_xlfn.TEXTAFTER('Additional Cartons-WUO_ERR'!A224, ":"))))</f>
        <v>0</v>
      </c>
    </row>
    <row r="225" spans="1:1">
      <c r="A225" s="39">
        <f>IF('Additional Cartons'!B225 = "", "", IF('Additional Cartons-WUO_ERR'!A225 = "", "Validated", HYPERLINK("#" &amp; ADDRESS(225, 'Additional Cartons-WUO_TRK'!A225),_xlfn.TEXTAFTER('Additional Cartons-WUO_ERR'!A225, ":"))))</f>
        <v>0</v>
      </c>
    </row>
    <row r="226" spans="1:1">
      <c r="A226" s="39">
        <f>IF('Additional Cartons'!B226 = "", "", IF('Additional Cartons-WUO_ERR'!A226 = "", "Validated", HYPERLINK("#" &amp; ADDRESS(226, 'Additional Cartons-WUO_TRK'!A226),_xlfn.TEXTAFTER('Additional Cartons-WUO_ERR'!A226, ":"))))</f>
        <v>0</v>
      </c>
    </row>
    <row r="227" spans="1:1">
      <c r="A227" s="39">
        <f>IF('Additional Cartons'!B227 = "", "", IF('Additional Cartons-WUO_ERR'!A227 = "", "Validated", HYPERLINK("#" &amp; ADDRESS(227, 'Additional Cartons-WUO_TRK'!A227),_xlfn.TEXTAFTER('Additional Cartons-WUO_ERR'!A227, ":"))))</f>
        <v>0</v>
      </c>
    </row>
    <row r="228" spans="1:1">
      <c r="A228" s="39">
        <f>IF('Additional Cartons'!B228 = "", "", IF('Additional Cartons-WUO_ERR'!A228 = "", "Validated", HYPERLINK("#" &amp; ADDRESS(228, 'Additional Cartons-WUO_TRK'!A228),_xlfn.TEXTAFTER('Additional Cartons-WUO_ERR'!A228, ":"))))</f>
        <v>0</v>
      </c>
    </row>
    <row r="229" spans="1:1">
      <c r="A229" s="39">
        <f>IF('Additional Cartons'!B229 = "", "", IF('Additional Cartons-WUO_ERR'!A229 = "", "Validated", HYPERLINK("#" &amp; ADDRESS(229, 'Additional Cartons-WUO_TRK'!A229),_xlfn.TEXTAFTER('Additional Cartons-WUO_ERR'!A229, ":"))))</f>
        <v>0</v>
      </c>
    </row>
    <row r="230" spans="1:1">
      <c r="A230" s="39">
        <f>IF('Additional Cartons'!B230 = "", "", IF('Additional Cartons-WUO_ERR'!A230 = "", "Validated", HYPERLINK("#" &amp; ADDRESS(230, 'Additional Cartons-WUO_TRK'!A230),_xlfn.TEXTAFTER('Additional Cartons-WUO_ERR'!A230, ":"))))</f>
        <v>0</v>
      </c>
    </row>
    <row r="231" spans="1:1">
      <c r="A231" s="39">
        <f>IF('Additional Cartons'!B231 = "", "", IF('Additional Cartons-WUO_ERR'!A231 = "", "Validated", HYPERLINK("#" &amp; ADDRESS(231, 'Additional Cartons-WUO_TRK'!A231),_xlfn.TEXTAFTER('Additional Cartons-WUO_ERR'!A231, ":"))))</f>
        <v>0</v>
      </c>
    </row>
    <row r="232" spans="1:1">
      <c r="A232" s="39">
        <f>IF('Additional Cartons'!B232 = "", "", IF('Additional Cartons-WUO_ERR'!A232 = "", "Validated", HYPERLINK("#" &amp; ADDRESS(232, 'Additional Cartons-WUO_TRK'!A232),_xlfn.TEXTAFTER('Additional Cartons-WUO_ERR'!A232, ":"))))</f>
        <v>0</v>
      </c>
    </row>
    <row r="233" spans="1:1">
      <c r="A233" s="39">
        <f>IF('Additional Cartons'!B233 = "", "", IF('Additional Cartons-WUO_ERR'!A233 = "", "Validated", HYPERLINK("#" &amp; ADDRESS(233, 'Additional Cartons-WUO_TRK'!A233),_xlfn.TEXTAFTER('Additional Cartons-WUO_ERR'!A233, ":"))))</f>
        <v>0</v>
      </c>
    </row>
    <row r="234" spans="1:1">
      <c r="A234" s="39">
        <f>IF('Additional Cartons'!B234 = "", "", IF('Additional Cartons-WUO_ERR'!A234 = "", "Validated", HYPERLINK("#" &amp; ADDRESS(234, 'Additional Cartons-WUO_TRK'!A234),_xlfn.TEXTAFTER('Additional Cartons-WUO_ERR'!A234, ":"))))</f>
        <v>0</v>
      </c>
    </row>
    <row r="235" spans="1:1">
      <c r="A235" s="39">
        <f>IF('Additional Cartons'!B235 = "", "", IF('Additional Cartons-WUO_ERR'!A235 = "", "Validated", HYPERLINK("#" &amp; ADDRESS(235, 'Additional Cartons-WUO_TRK'!A235),_xlfn.TEXTAFTER('Additional Cartons-WUO_ERR'!A235, ":"))))</f>
        <v>0</v>
      </c>
    </row>
    <row r="236" spans="1:1">
      <c r="A236" s="39">
        <f>IF('Additional Cartons'!B236 = "", "", IF('Additional Cartons-WUO_ERR'!A236 = "", "Validated", HYPERLINK("#" &amp; ADDRESS(236, 'Additional Cartons-WUO_TRK'!A236),_xlfn.TEXTAFTER('Additional Cartons-WUO_ERR'!A236, ":"))))</f>
        <v>0</v>
      </c>
    </row>
    <row r="237" spans="1:1">
      <c r="A237" s="39">
        <f>IF('Additional Cartons'!B237 = "", "", IF('Additional Cartons-WUO_ERR'!A237 = "", "Validated", HYPERLINK("#" &amp; ADDRESS(237, 'Additional Cartons-WUO_TRK'!A237),_xlfn.TEXTAFTER('Additional Cartons-WUO_ERR'!A237, ":"))))</f>
        <v>0</v>
      </c>
    </row>
    <row r="238" spans="1:1">
      <c r="A238" s="39">
        <f>IF('Additional Cartons'!B238 = "", "", IF('Additional Cartons-WUO_ERR'!A238 = "", "Validated", HYPERLINK("#" &amp; ADDRESS(238, 'Additional Cartons-WUO_TRK'!A238),_xlfn.TEXTAFTER('Additional Cartons-WUO_ERR'!A238, ":"))))</f>
        <v>0</v>
      </c>
    </row>
    <row r="239" spans="1:1">
      <c r="A239" s="39">
        <f>IF('Additional Cartons'!B239 = "", "", IF('Additional Cartons-WUO_ERR'!A239 = "", "Validated", HYPERLINK("#" &amp; ADDRESS(239, 'Additional Cartons-WUO_TRK'!A239),_xlfn.TEXTAFTER('Additional Cartons-WUO_ERR'!A239, ":"))))</f>
        <v>0</v>
      </c>
    </row>
    <row r="240" spans="1:1">
      <c r="A240" s="39">
        <f>IF('Additional Cartons'!B240 = "", "", IF('Additional Cartons-WUO_ERR'!A240 = "", "Validated", HYPERLINK("#" &amp; ADDRESS(240, 'Additional Cartons-WUO_TRK'!A240),_xlfn.TEXTAFTER('Additional Cartons-WUO_ERR'!A240, ":"))))</f>
        <v>0</v>
      </c>
    </row>
    <row r="241" spans="1:1">
      <c r="A241" s="39">
        <f>IF('Additional Cartons'!B241 = "", "", IF('Additional Cartons-WUO_ERR'!A241 = "", "Validated", HYPERLINK("#" &amp; ADDRESS(241, 'Additional Cartons-WUO_TRK'!A241),_xlfn.TEXTAFTER('Additional Cartons-WUO_ERR'!A241, ":"))))</f>
        <v>0</v>
      </c>
    </row>
    <row r="242" spans="1:1">
      <c r="A242" s="39">
        <f>IF('Additional Cartons'!B242 = "", "", IF('Additional Cartons-WUO_ERR'!A242 = "", "Validated", HYPERLINK("#" &amp; ADDRESS(242, 'Additional Cartons-WUO_TRK'!A242),_xlfn.TEXTAFTER('Additional Cartons-WUO_ERR'!A242, ":"))))</f>
        <v>0</v>
      </c>
    </row>
    <row r="243" spans="1:1">
      <c r="A243" s="39">
        <f>IF('Additional Cartons'!B243 = "", "", IF('Additional Cartons-WUO_ERR'!A243 = "", "Validated", HYPERLINK("#" &amp; ADDRESS(243, 'Additional Cartons-WUO_TRK'!A243),_xlfn.TEXTAFTER('Additional Cartons-WUO_ERR'!A243, ":"))))</f>
        <v>0</v>
      </c>
    </row>
    <row r="244" spans="1:1">
      <c r="A244" s="39">
        <f>IF('Additional Cartons'!B244 = "", "", IF('Additional Cartons-WUO_ERR'!A244 = "", "Validated", HYPERLINK("#" &amp; ADDRESS(244, 'Additional Cartons-WUO_TRK'!A244),_xlfn.TEXTAFTER('Additional Cartons-WUO_ERR'!A244, ":"))))</f>
        <v>0</v>
      </c>
    </row>
    <row r="245" spans="1:1">
      <c r="A245" s="39">
        <f>IF('Additional Cartons'!B245 = "", "", IF('Additional Cartons-WUO_ERR'!A245 = "", "Validated", HYPERLINK("#" &amp; ADDRESS(245, 'Additional Cartons-WUO_TRK'!A245),_xlfn.TEXTAFTER('Additional Cartons-WUO_ERR'!A245, ":"))))</f>
        <v>0</v>
      </c>
    </row>
    <row r="246" spans="1:1">
      <c r="A246" s="39">
        <f>IF('Additional Cartons'!B246 = "", "", IF('Additional Cartons-WUO_ERR'!A246 = "", "Validated", HYPERLINK("#" &amp; ADDRESS(246, 'Additional Cartons-WUO_TRK'!A246),_xlfn.TEXTAFTER('Additional Cartons-WUO_ERR'!A246, ":"))))</f>
        <v>0</v>
      </c>
    </row>
    <row r="247" spans="1:1">
      <c r="A247" s="39">
        <f>IF('Additional Cartons'!B247 = "", "", IF('Additional Cartons-WUO_ERR'!A247 = "", "Validated", HYPERLINK("#" &amp; ADDRESS(247, 'Additional Cartons-WUO_TRK'!A247),_xlfn.TEXTAFTER('Additional Cartons-WUO_ERR'!A247, ":"))))</f>
        <v>0</v>
      </c>
    </row>
    <row r="248" spans="1:1">
      <c r="A248" s="39">
        <f>IF('Additional Cartons'!B248 = "", "", IF('Additional Cartons-WUO_ERR'!A248 = "", "Validated", HYPERLINK("#" &amp; ADDRESS(248, 'Additional Cartons-WUO_TRK'!A248),_xlfn.TEXTAFTER('Additional Cartons-WUO_ERR'!A248, ":"))))</f>
        <v>0</v>
      </c>
    </row>
    <row r="249" spans="1:1">
      <c r="A249" s="39">
        <f>IF('Additional Cartons'!B249 = "", "", IF('Additional Cartons-WUO_ERR'!A249 = "", "Validated", HYPERLINK("#" &amp; ADDRESS(249, 'Additional Cartons-WUO_TRK'!A249),_xlfn.TEXTAFTER('Additional Cartons-WUO_ERR'!A249, ":"))))</f>
        <v>0</v>
      </c>
    </row>
    <row r="250" spans="1:1">
      <c r="A250" s="39">
        <f>IF('Additional Cartons'!B250 = "", "", IF('Additional Cartons-WUO_ERR'!A250 = "", "Validated", HYPERLINK("#" &amp; ADDRESS(250, 'Additional Cartons-WUO_TRK'!A250),_xlfn.TEXTAFTER('Additional Cartons-WUO_ERR'!A250, ":"))))</f>
        <v>0</v>
      </c>
    </row>
    <row r="251" spans="1:1">
      <c r="A251" s="39">
        <f>IF('Additional Cartons'!B251 = "", "", IF('Additional Cartons-WUO_ERR'!A251 = "", "Validated", HYPERLINK("#" &amp; ADDRESS(251, 'Additional Cartons-WUO_TRK'!A251),_xlfn.TEXTAFTER('Additional Cartons-WUO_ERR'!A251, ":"))))</f>
        <v>0</v>
      </c>
    </row>
    <row r="252" spans="1:1">
      <c r="A252" s="39">
        <f>IF('Additional Cartons'!B252 = "", "", IF('Additional Cartons-WUO_ERR'!A252 = "", "Validated", HYPERLINK("#" &amp; ADDRESS(252, 'Additional Cartons-WUO_TRK'!A252),_xlfn.TEXTAFTER('Additional Cartons-WUO_ERR'!A252, ":"))))</f>
        <v>0</v>
      </c>
    </row>
    <row r="253" spans="1:1">
      <c r="A253" s="39">
        <f>IF('Additional Cartons'!B253 = "", "", IF('Additional Cartons-WUO_ERR'!A253 = "", "Validated", HYPERLINK("#" &amp; ADDRESS(253, 'Additional Cartons-WUO_TRK'!A253),_xlfn.TEXTAFTER('Additional Cartons-WUO_ERR'!A253, ":"))))</f>
        <v>0</v>
      </c>
    </row>
    <row r="254" spans="1:1">
      <c r="A254" s="39">
        <f>IF('Additional Cartons'!B254 = "", "", IF('Additional Cartons-WUO_ERR'!A254 = "", "Validated", HYPERLINK("#" &amp; ADDRESS(254, 'Additional Cartons-WUO_TRK'!A254),_xlfn.TEXTAFTER('Additional Cartons-WUO_ERR'!A254, ":"))))</f>
        <v>0</v>
      </c>
    </row>
    <row r="255" spans="1:1">
      <c r="A255" s="39">
        <f>IF('Additional Cartons'!B255 = "", "", IF('Additional Cartons-WUO_ERR'!A255 = "", "Validated", HYPERLINK("#" &amp; ADDRESS(255, 'Additional Cartons-WUO_TRK'!A255),_xlfn.TEXTAFTER('Additional Cartons-WUO_ERR'!A255, ":"))))</f>
        <v>0</v>
      </c>
    </row>
    <row r="256" spans="1:1">
      <c r="A256" s="39">
        <f>IF('Additional Cartons'!B256 = "", "", IF('Additional Cartons-WUO_ERR'!A256 = "", "Validated", HYPERLINK("#" &amp; ADDRESS(256, 'Additional Cartons-WUO_TRK'!A256),_xlfn.TEXTAFTER('Additional Cartons-WUO_ERR'!A256, ":"))))</f>
        <v>0</v>
      </c>
    </row>
    <row r="257" spans="1:1">
      <c r="A257" s="39">
        <f>IF('Additional Cartons'!B257 = "", "", IF('Additional Cartons-WUO_ERR'!A257 = "", "Validated", HYPERLINK("#" &amp; ADDRESS(257, 'Additional Cartons-WUO_TRK'!A257),_xlfn.TEXTAFTER('Additional Cartons-WUO_ERR'!A257, ":"))))</f>
        <v>0</v>
      </c>
    </row>
    <row r="258" spans="1:1">
      <c r="A258" s="39">
        <f>IF('Additional Cartons'!B258 = "", "", IF('Additional Cartons-WUO_ERR'!A258 = "", "Validated", HYPERLINK("#" &amp; ADDRESS(258, 'Additional Cartons-WUO_TRK'!A258),_xlfn.TEXTAFTER('Additional Cartons-WUO_ERR'!A258, ":"))))</f>
        <v>0</v>
      </c>
    </row>
    <row r="259" spans="1:1">
      <c r="A259" s="39">
        <f>IF('Additional Cartons'!B259 = "", "", IF('Additional Cartons-WUO_ERR'!A259 = "", "Validated", HYPERLINK("#" &amp; ADDRESS(259, 'Additional Cartons-WUO_TRK'!A259),_xlfn.TEXTAFTER('Additional Cartons-WUO_ERR'!A259, ":"))))</f>
        <v>0</v>
      </c>
    </row>
    <row r="260" spans="1:1">
      <c r="A260" s="39">
        <f>IF('Additional Cartons'!B260 = "", "", IF('Additional Cartons-WUO_ERR'!A260 = "", "Validated", HYPERLINK("#" &amp; ADDRESS(260, 'Additional Cartons-WUO_TRK'!A260),_xlfn.TEXTAFTER('Additional Cartons-WUO_ERR'!A260, ":"))))</f>
        <v>0</v>
      </c>
    </row>
    <row r="261" spans="1:1">
      <c r="A261" s="39">
        <f>IF('Additional Cartons'!B261 = "", "", IF('Additional Cartons-WUO_ERR'!A261 = "", "Validated", HYPERLINK("#" &amp; ADDRESS(261, 'Additional Cartons-WUO_TRK'!A261),_xlfn.TEXTAFTER('Additional Cartons-WUO_ERR'!A261, ":"))))</f>
        <v>0</v>
      </c>
    </row>
    <row r="262" spans="1:1">
      <c r="A262" s="39">
        <f>IF('Additional Cartons'!B262 = "", "", IF('Additional Cartons-WUO_ERR'!A262 = "", "Validated", HYPERLINK("#" &amp; ADDRESS(262, 'Additional Cartons-WUO_TRK'!A262),_xlfn.TEXTAFTER('Additional Cartons-WUO_ERR'!A262, ":"))))</f>
        <v>0</v>
      </c>
    </row>
    <row r="263" spans="1:1">
      <c r="A263" s="39">
        <f>IF('Additional Cartons'!B263 = "", "", IF('Additional Cartons-WUO_ERR'!A263 = "", "Validated", HYPERLINK("#" &amp; ADDRESS(263, 'Additional Cartons-WUO_TRK'!A263),_xlfn.TEXTAFTER('Additional Cartons-WUO_ERR'!A263, ":"))))</f>
        <v>0</v>
      </c>
    </row>
    <row r="264" spans="1:1">
      <c r="A264" s="39">
        <f>IF('Additional Cartons'!B264 = "", "", IF('Additional Cartons-WUO_ERR'!A264 = "", "Validated", HYPERLINK("#" &amp; ADDRESS(264, 'Additional Cartons-WUO_TRK'!A264),_xlfn.TEXTAFTER('Additional Cartons-WUO_ERR'!A264, ":"))))</f>
        <v>0</v>
      </c>
    </row>
    <row r="265" spans="1:1">
      <c r="A265" s="39">
        <f>IF('Additional Cartons'!B265 = "", "", IF('Additional Cartons-WUO_ERR'!A265 = "", "Validated", HYPERLINK("#" &amp; ADDRESS(265, 'Additional Cartons-WUO_TRK'!A265),_xlfn.TEXTAFTER('Additional Cartons-WUO_ERR'!A265, ":"))))</f>
        <v>0</v>
      </c>
    </row>
    <row r="266" spans="1:1">
      <c r="A266" s="39">
        <f>IF('Additional Cartons'!B266 = "", "", IF('Additional Cartons-WUO_ERR'!A266 = "", "Validated", HYPERLINK("#" &amp; ADDRESS(266, 'Additional Cartons-WUO_TRK'!A266),_xlfn.TEXTAFTER('Additional Cartons-WUO_ERR'!A266, ":"))))</f>
        <v>0</v>
      </c>
    </row>
    <row r="267" spans="1:1">
      <c r="A267" s="39">
        <f>IF('Additional Cartons'!B267 = "", "", IF('Additional Cartons-WUO_ERR'!A267 = "", "Validated", HYPERLINK("#" &amp; ADDRESS(267, 'Additional Cartons-WUO_TRK'!A267),_xlfn.TEXTAFTER('Additional Cartons-WUO_ERR'!A267, ":"))))</f>
        <v>0</v>
      </c>
    </row>
    <row r="268" spans="1:1">
      <c r="A268" s="39">
        <f>IF('Additional Cartons'!B268 = "", "", IF('Additional Cartons-WUO_ERR'!A268 = "", "Validated", HYPERLINK("#" &amp; ADDRESS(268, 'Additional Cartons-WUO_TRK'!A268),_xlfn.TEXTAFTER('Additional Cartons-WUO_ERR'!A268, ":"))))</f>
        <v>0</v>
      </c>
    </row>
    <row r="269" spans="1:1">
      <c r="A269" s="39">
        <f>IF('Additional Cartons'!B269 = "", "", IF('Additional Cartons-WUO_ERR'!A269 = "", "Validated", HYPERLINK("#" &amp; ADDRESS(269, 'Additional Cartons-WUO_TRK'!A269),_xlfn.TEXTAFTER('Additional Cartons-WUO_ERR'!A269, ":"))))</f>
        <v>0</v>
      </c>
    </row>
    <row r="270" spans="1:1">
      <c r="A270" s="39">
        <f>IF('Additional Cartons'!B270 = "", "", IF('Additional Cartons-WUO_ERR'!A270 = "", "Validated", HYPERLINK("#" &amp; ADDRESS(270, 'Additional Cartons-WUO_TRK'!A270),_xlfn.TEXTAFTER('Additional Cartons-WUO_ERR'!A270, ":"))))</f>
        <v>0</v>
      </c>
    </row>
    <row r="271" spans="1:1">
      <c r="A271" s="39">
        <f>IF('Additional Cartons'!B271 = "", "", IF('Additional Cartons-WUO_ERR'!A271 = "", "Validated", HYPERLINK("#" &amp; ADDRESS(271, 'Additional Cartons-WUO_TRK'!A271),_xlfn.TEXTAFTER('Additional Cartons-WUO_ERR'!A271, ":"))))</f>
        <v>0</v>
      </c>
    </row>
    <row r="272" spans="1:1">
      <c r="A272" s="39">
        <f>IF('Additional Cartons'!B272 = "", "", IF('Additional Cartons-WUO_ERR'!A272 = "", "Validated", HYPERLINK("#" &amp; ADDRESS(272, 'Additional Cartons-WUO_TRK'!A272),_xlfn.TEXTAFTER('Additional Cartons-WUO_ERR'!A272, ":"))))</f>
        <v>0</v>
      </c>
    </row>
    <row r="273" spans="1:1">
      <c r="A273" s="39">
        <f>IF('Additional Cartons'!B273 = "", "", IF('Additional Cartons-WUO_ERR'!A273 = "", "Validated", HYPERLINK("#" &amp; ADDRESS(273, 'Additional Cartons-WUO_TRK'!A273),_xlfn.TEXTAFTER('Additional Cartons-WUO_ERR'!A273, ":"))))</f>
        <v>0</v>
      </c>
    </row>
    <row r="274" spans="1:1">
      <c r="A274" s="39">
        <f>IF('Additional Cartons'!B274 = "", "", IF('Additional Cartons-WUO_ERR'!A274 = "", "Validated", HYPERLINK("#" &amp; ADDRESS(274, 'Additional Cartons-WUO_TRK'!A274),_xlfn.TEXTAFTER('Additional Cartons-WUO_ERR'!A274, ":"))))</f>
        <v>0</v>
      </c>
    </row>
    <row r="275" spans="1:1">
      <c r="A275" s="39">
        <f>IF('Additional Cartons'!B275 = "", "", IF('Additional Cartons-WUO_ERR'!A275 = "", "Validated", HYPERLINK("#" &amp; ADDRESS(275, 'Additional Cartons-WUO_TRK'!A275),_xlfn.TEXTAFTER('Additional Cartons-WUO_ERR'!A275, ":"))))</f>
        <v>0</v>
      </c>
    </row>
    <row r="276" spans="1:1">
      <c r="A276" s="39">
        <f>IF('Additional Cartons'!B276 = "", "", IF('Additional Cartons-WUO_ERR'!A276 = "", "Validated", HYPERLINK("#" &amp; ADDRESS(276, 'Additional Cartons-WUO_TRK'!A276),_xlfn.TEXTAFTER('Additional Cartons-WUO_ERR'!A276, ":"))))</f>
        <v>0</v>
      </c>
    </row>
    <row r="277" spans="1:1">
      <c r="A277" s="39">
        <f>IF('Additional Cartons'!B277 = "", "", IF('Additional Cartons-WUO_ERR'!A277 = "", "Validated", HYPERLINK("#" &amp; ADDRESS(277, 'Additional Cartons-WUO_TRK'!A277),_xlfn.TEXTAFTER('Additional Cartons-WUO_ERR'!A277, ":"))))</f>
        <v>0</v>
      </c>
    </row>
    <row r="278" spans="1:1">
      <c r="A278" s="39">
        <f>IF('Additional Cartons'!B278 = "", "", IF('Additional Cartons-WUO_ERR'!A278 = "", "Validated", HYPERLINK("#" &amp; ADDRESS(278, 'Additional Cartons-WUO_TRK'!A278),_xlfn.TEXTAFTER('Additional Cartons-WUO_ERR'!A278, ":"))))</f>
        <v>0</v>
      </c>
    </row>
    <row r="279" spans="1:1">
      <c r="A279" s="39">
        <f>IF('Additional Cartons'!B279 = "", "", IF('Additional Cartons-WUO_ERR'!A279 = "", "Validated", HYPERLINK("#" &amp; ADDRESS(279, 'Additional Cartons-WUO_TRK'!A279),_xlfn.TEXTAFTER('Additional Cartons-WUO_ERR'!A279, ":"))))</f>
        <v>0</v>
      </c>
    </row>
    <row r="280" spans="1:1">
      <c r="A280" s="39">
        <f>IF('Additional Cartons'!B280 = "", "", IF('Additional Cartons-WUO_ERR'!A280 = "", "Validated", HYPERLINK("#" &amp; ADDRESS(280, 'Additional Cartons-WUO_TRK'!A280),_xlfn.TEXTAFTER('Additional Cartons-WUO_ERR'!A280, ":"))))</f>
        <v>0</v>
      </c>
    </row>
    <row r="281" spans="1:1">
      <c r="A281" s="39">
        <f>IF('Additional Cartons'!B281 = "", "", IF('Additional Cartons-WUO_ERR'!A281 = "", "Validated", HYPERLINK("#" &amp; ADDRESS(281, 'Additional Cartons-WUO_TRK'!A281),_xlfn.TEXTAFTER('Additional Cartons-WUO_ERR'!A281, ":"))))</f>
        <v>0</v>
      </c>
    </row>
    <row r="282" spans="1:1">
      <c r="A282" s="39">
        <f>IF('Additional Cartons'!B282 = "", "", IF('Additional Cartons-WUO_ERR'!A282 = "", "Validated", HYPERLINK("#" &amp; ADDRESS(282, 'Additional Cartons-WUO_TRK'!A282),_xlfn.TEXTAFTER('Additional Cartons-WUO_ERR'!A282, ":"))))</f>
        <v>0</v>
      </c>
    </row>
    <row r="283" spans="1:1">
      <c r="A283" s="39">
        <f>IF('Additional Cartons'!B283 = "", "", IF('Additional Cartons-WUO_ERR'!A283 = "", "Validated", HYPERLINK("#" &amp; ADDRESS(283, 'Additional Cartons-WUO_TRK'!A283),_xlfn.TEXTAFTER('Additional Cartons-WUO_ERR'!A283, ":"))))</f>
        <v>0</v>
      </c>
    </row>
    <row r="284" spans="1:1">
      <c r="A284" s="39">
        <f>IF('Additional Cartons'!B284 = "", "", IF('Additional Cartons-WUO_ERR'!A284 = "", "Validated", HYPERLINK("#" &amp; ADDRESS(284, 'Additional Cartons-WUO_TRK'!A284),_xlfn.TEXTAFTER('Additional Cartons-WUO_ERR'!A284, ":"))))</f>
        <v>0</v>
      </c>
    </row>
    <row r="285" spans="1:1">
      <c r="A285" s="39">
        <f>IF('Additional Cartons'!B285 = "", "", IF('Additional Cartons-WUO_ERR'!A285 = "", "Validated", HYPERLINK("#" &amp; ADDRESS(285, 'Additional Cartons-WUO_TRK'!A285),_xlfn.TEXTAFTER('Additional Cartons-WUO_ERR'!A285, ":"))))</f>
        <v>0</v>
      </c>
    </row>
    <row r="286" spans="1:1">
      <c r="A286" s="39">
        <f>IF('Additional Cartons'!B286 = "", "", IF('Additional Cartons-WUO_ERR'!A286 = "", "Validated", HYPERLINK("#" &amp; ADDRESS(286, 'Additional Cartons-WUO_TRK'!A286),_xlfn.TEXTAFTER('Additional Cartons-WUO_ERR'!A286, ":"))))</f>
        <v>0</v>
      </c>
    </row>
    <row r="287" spans="1:1">
      <c r="A287" s="39">
        <f>IF('Additional Cartons'!B287 = "", "", IF('Additional Cartons-WUO_ERR'!A287 = "", "Validated", HYPERLINK("#" &amp; ADDRESS(287, 'Additional Cartons-WUO_TRK'!A287),_xlfn.TEXTAFTER('Additional Cartons-WUO_ERR'!A287, ":"))))</f>
        <v>0</v>
      </c>
    </row>
    <row r="288" spans="1:1">
      <c r="A288" s="39">
        <f>IF('Additional Cartons'!B288 = "", "", IF('Additional Cartons-WUO_ERR'!A288 = "", "Validated", HYPERLINK("#" &amp; ADDRESS(288, 'Additional Cartons-WUO_TRK'!A288),_xlfn.TEXTAFTER('Additional Cartons-WUO_ERR'!A288, ":"))))</f>
        <v>0</v>
      </c>
    </row>
    <row r="289" spans="1:1">
      <c r="A289" s="39">
        <f>IF('Additional Cartons'!B289 = "", "", IF('Additional Cartons-WUO_ERR'!A289 = "", "Validated", HYPERLINK("#" &amp; ADDRESS(289, 'Additional Cartons-WUO_TRK'!A289),_xlfn.TEXTAFTER('Additional Cartons-WUO_ERR'!A289, ":"))))</f>
        <v>0</v>
      </c>
    </row>
    <row r="290" spans="1:1">
      <c r="A290" s="39">
        <f>IF('Additional Cartons'!B290 = "", "", IF('Additional Cartons-WUO_ERR'!A290 = "", "Validated", HYPERLINK("#" &amp; ADDRESS(290, 'Additional Cartons-WUO_TRK'!A290),_xlfn.TEXTAFTER('Additional Cartons-WUO_ERR'!A290, ":"))))</f>
        <v>0</v>
      </c>
    </row>
    <row r="291" spans="1:1">
      <c r="A291" s="39">
        <f>IF('Additional Cartons'!B291 = "", "", IF('Additional Cartons-WUO_ERR'!A291 = "", "Validated", HYPERLINK("#" &amp; ADDRESS(291, 'Additional Cartons-WUO_TRK'!A291),_xlfn.TEXTAFTER('Additional Cartons-WUO_ERR'!A291, ":"))))</f>
        <v>0</v>
      </c>
    </row>
    <row r="292" spans="1:1">
      <c r="A292" s="39">
        <f>IF('Additional Cartons'!B292 = "", "", IF('Additional Cartons-WUO_ERR'!A292 = "", "Validated", HYPERLINK("#" &amp; ADDRESS(292, 'Additional Cartons-WUO_TRK'!A292),_xlfn.TEXTAFTER('Additional Cartons-WUO_ERR'!A292, ":"))))</f>
        <v>0</v>
      </c>
    </row>
    <row r="293" spans="1:1">
      <c r="A293" s="39">
        <f>IF('Additional Cartons'!B293 = "", "", IF('Additional Cartons-WUO_ERR'!A293 = "", "Validated", HYPERLINK("#" &amp; ADDRESS(293, 'Additional Cartons-WUO_TRK'!A293),_xlfn.TEXTAFTER('Additional Cartons-WUO_ERR'!A293, ":"))))</f>
        <v>0</v>
      </c>
    </row>
    <row r="294" spans="1:1">
      <c r="A294" s="39">
        <f>IF('Additional Cartons'!B294 = "", "", IF('Additional Cartons-WUO_ERR'!A294 = "", "Validated", HYPERLINK("#" &amp; ADDRESS(294, 'Additional Cartons-WUO_TRK'!A294),_xlfn.TEXTAFTER('Additional Cartons-WUO_ERR'!A294, ":"))))</f>
        <v>0</v>
      </c>
    </row>
    <row r="295" spans="1:1">
      <c r="A295" s="39">
        <f>IF('Additional Cartons'!B295 = "", "", IF('Additional Cartons-WUO_ERR'!A295 = "", "Validated", HYPERLINK("#" &amp; ADDRESS(295, 'Additional Cartons-WUO_TRK'!A295),_xlfn.TEXTAFTER('Additional Cartons-WUO_ERR'!A295, ":"))))</f>
        <v>0</v>
      </c>
    </row>
    <row r="296" spans="1:1">
      <c r="A296" s="39">
        <f>IF('Additional Cartons'!B296 = "", "", IF('Additional Cartons-WUO_ERR'!A296 = "", "Validated", HYPERLINK("#" &amp; ADDRESS(296, 'Additional Cartons-WUO_TRK'!A296),_xlfn.TEXTAFTER('Additional Cartons-WUO_ERR'!A296, ":"))))</f>
        <v>0</v>
      </c>
    </row>
    <row r="297" spans="1:1">
      <c r="A297" s="39">
        <f>IF('Additional Cartons'!B297 = "", "", IF('Additional Cartons-WUO_ERR'!A297 = "", "Validated", HYPERLINK("#" &amp; ADDRESS(297, 'Additional Cartons-WUO_TRK'!A297),_xlfn.TEXTAFTER('Additional Cartons-WUO_ERR'!A297, ":"))))</f>
        <v>0</v>
      </c>
    </row>
    <row r="298" spans="1:1">
      <c r="A298" s="39">
        <f>IF('Additional Cartons'!B298 = "", "", IF('Additional Cartons-WUO_ERR'!A298 = "", "Validated", HYPERLINK("#" &amp; ADDRESS(298, 'Additional Cartons-WUO_TRK'!A298),_xlfn.TEXTAFTER('Additional Cartons-WUO_ERR'!A298, ":"))))</f>
        <v>0</v>
      </c>
    </row>
    <row r="299" spans="1:1">
      <c r="A299" s="39">
        <f>IF('Additional Cartons'!B299 = "", "", IF('Additional Cartons-WUO_ERR'!A299 = "", "Validated", HYPERLINK("#" &amp; ADDRESS(299, 'Additional Cartons-WUO_TRK'!A299),_xlfn.TEXTAFTER('Additional Cartons-WUO_ERR'!A299, ":"))))</f>
        <v>0</v>
      </c>
    </row>
    <row r="300" spans="1:1">
      <c r="A300" s="39">
        <f>IF('Additional Cartons'!B300 = "", "", IF('Additional Cartons-WUO_ERR'!A300 = "", "Validated", HYPERLINK("#" &amp; ADDRESS(300, 'Additional Cartons-WUO_TRK'!A300),_xlfn.TEXTAFTER('Additional Cartons-WUO_ERR'!A300, ":"))))</f>
        <v>0</v>
      </c>
    </row>
    <row r="301" spans="1:1">
      <c r="A301" s="39">
        <f>IF('Additional Cartons'!B301 = "", "", IF('Additional Cartons-WUO_ERR'!A301 = "", "Validated", HYPERLINK("#" &amp; ADDRESS(301, 'Additional Cartons-WUO_TRK'!A301),_xlfn.TEXTAFTER('Additional Cartons-WUO_ERR'!A301, ":"))))</f>
        <v>0</v>
      </c>
    </row>
    <row r="302" spans="1:1">
      <c r="A302" s="39">
        <f>IF('Additional Cartons'!B302 = "", "", IF('Additional Cartons-WUO_ERR'!A302 = "", "Validated", HYPERLINK("#" &amp; ADDRESS(302, 'Additional Cartons-WUO_TRK'!A302),_xlfn.TEXTAFTER('Additional Cartons-WUO_ERR'!A302, ":"))))</f>
        <v>0</v>
      </c>
    </row>
    <row r="303" spans="1:1">
      <c r="A303" s="39">
        <f>IF('Additional Cartons'!B303 = "", "", IF('Additional Cartons-WUO_ERR'!A303 = "", "Validated", HYPERLINK("#" &amp; ADDRESS(303, 'Additional Cartons-WUO_TRK'!A303),_xlfn.TEXTAFTER('Additional Cartons-WUO_ERR'!A303, ":"))))</f>
        <v>0</v>
      </c>
    </row>
    <row r="304" spans="1:1">
      <c r="A304" s="39">
        <f>IF('Additional Cartons'!B304 = "", "", IF('Additional Cartons-WUO_ERR'!A304 = "", "Validated", HYPERLINK("#" &amp; ADDRESS(304, 'Additional Cartons-WUO_TRK'!A304),_xlfn.TEXTAFTER('Additional Cartons-WUO_ERR'!A304, ":"))))</f>
        <v>0</v>
      </c>
    </row>
    <row r="305" spans="1:1">
      <c r="A305" s="39">
        <f>IF('Additional Cartons'!B305 = "", "", IF('Additional Cartons-WUO_ERR'!A305 = "", "Validated", HYPERLINK("#" &amp; ADDRESS(305, 'Additional Cartons-WUO_TRK'!A305),_xlfn.TEXTAFTER('Additional Cartons-WUO_ERR'!A305, ":"))))</f>
        <v>0</v>
      </c>
    </row>
    <row r="306" spans="1:1">
      <c r="A306" s="39">
        <f>IF('Additional Cartons'!B306 = "", "", IF('Additional Cartons-WUO_ERR'!A306 = "", "Validated", HYPERLINK("#" &amp; ADDRESS(306, 'Additional Cartons-WUO_TRK'!A306),_xlfn.TEXTAFTER('Additional Cartons-WUO_ERR'!A306, ":"))))</f>
        <v>0</v>
      </c>
    </row>
    <row r="307" spans="1:1">
      <c r="A307" s="39">
        <f>IF('Additional Cartons'!B307 = "", "", IF('Additional Cartons-WUO_ERR'!A307 = "", "Validated", HYPERLINK("#" &amp; ADDRESS(307, 'Additional Cartons-WUO_TRK'!A307),_xlfn.TEXTAFTER('Additional Cartons-WUO_ERR'!A307, ":"))))</f>
        <v>0</v>
      </c>
    </row>
    <row r="308" spans="1:1">
      <c r="A308" s="39">
        <f>IF('Additional Cartons'!B308 = "", "", IF('Additional Cartons-WUO_ERR'!A308 = "", "Validated", HYPERLINK("#" &amp; ADDRESS(308, 'Additional Cartons-WUO_TRK'!A308),_xlfn.TEXTAFTER('Additional Cartons-WUO_ERR'!A308, ":"))))</f>
        <v>0</v>
      </c>
    </row>
    <row r="309" spans="1:1">
      <c r="A309" s="39">
        <f>IF('Additional Cartons'!B309 = "", "", IF('Additional Cartons-WUO_ERR'!A309 = "", "Validated", HYPERLINK("#" &amp; ADDRESS(309, 'Additional Cartons-WUO_TRK'!A309),_xlfn.TEXTAFTER('Additional Cartons-WUO_ERR'!A309, ":"))))</f>
        <v>0</v>
      </c>
    </row>
    <row r="310" spans="1:1">
      <c r="A310" s="39">
        <f>IF('Additional Cartons'!B310 = "", "", IF('Additional Cartons-WUO_ERR'!A310 = "", "Validated", HYPERLINK("#" &amp; ADDRESS(310, 'Additional Cartons-WUO_TRK'!A310),_xlfn.TEXTAFTER('Additional Cartons-WUO_ERR'!A310, ":"))))</f>
        <v>0</v>
      </c>
    </row>
    <row r="311" spans="1:1">
      <c r="A311" s="39">
        <f>IF('Additional Cartons'!B311 = "", "", IF('Additional Cartons-WUO_ERR'!A311 = "", "Validated", HYPERLINK("#" &amp; ADDRESS(311, 'Additional Cartons-WUO_TRK'!A311),_xlfn.TEXTAFTER('Additional Cartons-WUO_ERR'!A311, ":"))))</f>
        <v>0</v>
      </c>
    </row>
    <row r="312" spans="1:1">
      <c r="A312" s="39">
        <f>IF('Additional Cartons'!B312 = "", "", IF('Additional Cartons-WUO_ERR'!A312 = "", "Validated", HYPERLINK("#" &amp; ADDRESS(312, 'Additional Cartons-WUO_TRK'!A312),_xlfn.TEXTAFTER('Additional Cartons-WUO_ERR'!A312, ":"))))</f>
        <v>0</v>
      </c>
    </row>
    <row r="313" spans="1:1">
      <c r="A313" s="39">
        <f>IF('Additional Cartons'!B313 = "", "", IF('Additional Cartons-WUO_ERR'!A313 = "", "Validated", HYPERLINK("#" &amp; ADDRESS(313, 'Additional Cartons-WUO_TRK'!A313),_xlfn.TEXTAFTER('Additional Cartons-WUO_ERR'!A313, ":"))))</f>
        <v>0</v>
      </c>
    </row>
    <row r="314" spans="1:1">
      <c r="A314" s="39">
        <f>IF('Additional Cartons'!B314 = "", "", IF('Additional Cartons-WUO_ERR'!A314 = "", "Validated", HYPERLINK("#" &amp; ADDRESS(314, 'Additional Cartons-WUO_TRK'!A314),_xlfn.TEXTAFTER('Additional Cartons-WUO_ERR'!A314, ":"))))</f>
        <v>0</v>
      </c>
    </row>
    <row r="315" spans="1:1">
      <c r="A315" s="39">
        <f>IF('Additional Cartons'!B315 = "", "", IF('Additional Cartons-WUO_ERR'!A315 = "", "Validated", HYPERLINK("#" &amp; ADDRESS(315, 'Additional Cartons-WUO_TRK'!A315),_xlfn.TEXTAFTER('Additional Cartons-WUO_ERR'!A315, ":"))))</f>
        <v>0</v>
      </c>
    </row>
    <row r="316" spans="1:1">
      <c r="A316" s="39">
        <f>IF('Additional Cartons'!B316 = "", "", IF('Additional Cartons-WUO_ERR'!A316 = "", "Validated", HYPERLINK("#" &amp; ADDRESS(316, 'Additional Cartons-WUO_TRK'!A316),_xlfn.TEXTAFTER('Additional Cartons-WUO_ERR'!A316, ":"))))</f>
        <v>0</v>
      </c>
    </row>
    <row r="317" spans="1:1">
      <c r="A317" s="39">
        <f>IF('Additional Cartons'!B317 = "", "", IF('Additional Cartons-WUO_ERR'!A317 = "", "Validated", HYPERLINK("#" &amp; ADDRESS(317, 'Additional Cartons-WUO_TRK'!A317),_xlfn.TEXTAFTER('Additional Cartons-WUO_ERR'!A317, ":"))))</f>
        <v>0</v>
      </c>
    </row>
    <row r="318" spans="1:1">
      <c r="A318" s="39">
        <f>IF('Additional Cartons'!B318 = "", "", IF('Additional Cartons-WUO_ERR'!A318 = "", "Validated", HYPERLINK("#" &amp; ADDRESS(318, 'Additional Cartons-WUO_TRK'!A318),_xlfn.TEXTAFTER('Additional Cartons-WUO_ERR'!A318, ":"))))</f>
        <v>0</v>
      </c>
    </row>
    <row r="319" spans="1:1">
      <c r="A319" s="39">
        <f>IF('Additional Cartons'!B319 = "", "", IF('Additional Cartons-WUO_ERR'!A319 = "", "Validated", HYPERLINK("#" &amp; ADDRESS(319, 'Additional Cartons-WUO_TRK'!A319),_xlfn.TEXTAFTER('Additional Cartons-WUO_ERR'!A319, ":"))))</f>
        <v>0</v>
      </c>
    </row>
    <row r="320" spans="1:1">
      <c r="A320" s="39">
        <f>IF('Additional Cartons'!B320 = "", "", IF('Additional Cartons-WUO_ERR'!A320 = "", "Validated", HYPERLINK("#" &amp; ADDRESS(320, 'Additional Cartons-WUO_TRK'!A320),_xlfn.TEXTAFTER('Additional Cartons-WUO_ERR'!A320, ":"))))</f>
        <v>0</v>
      </c>
    </row>
    <row r="321" spans="1:1">
      <c r="A321" s="39">
        <f>IF('Additional Cartons'!B321 = "", "", IF('Additional Cartons-WUO_ERR'!A321 = "", "Validated", HYPERLINK("#" &amp; ADDRESS(321, 'Additional Cartons-WUO_TRK'!A321),_xlfn.TEXTAFTER('Additional Cartons-WUO_ERR'!A321, ":"))))</f>
        <v>0</v>
      </c>
    </row>
    <row r="322" spans="1:1">
      <c r="A322" s="39">
        <f>IF('Additional Cartons'!B322 = "", "", IF('Additional Cartons-WUO_ERR'!A322 = "", "Validated", HYPERLINK("#" &amp; ADDRESS(322, 'Additional Cartons-WUO_TRK'!A322),_xlfn.TEXTAFTER('Additional Cartons-WUO_ERR'!A322, ":"))))</f>
        <v>0</v>
      </c>
    </row>
    <row r="323" spans="1:1">
      <c r="A323" s="39">
        <f>IF('Additional Cartons'!B323 = "", "", IF('Additional Cartons-WUO_ERR'!A323 = "", "Validated", HYPERLINK("#" &amp; ADDRESS(323, 'Additional Cartons-WUO_TRK'!A323),_xlfn.TEXTAFTER('Additional Cartons-WUO_ERR'!A323, ":"))))</f>
        <v>0</v>
      </c>
    </row>
    <row r="324" spans="1:1">
      <c r="A324" s="39">
        <f>IF('Additional Cartons'!B324 = "", "", IF('Additional Cartons-WUO_ERR'!A324 = "", "Validated", HYPERLINK("#" &amp; ADDRESS(324, 'Additional Cartons-WUO_TRK'!A324),_xlfn.TEXTAFTER('Additional Cartons-WUO_ERR'!A324, ":"))))</f>
        <v>0</v>
      </c>
    </row>
    <row r="325" spans="1:1">
      <c r="A325" s="39">
        <f>IF('Additional Cartons'!B325 = "", "", IF('Additional Cartons-WUO_ERR'!A325 = "", "Validated", HYPERLINK("#" &amp; ADDRESS(325, 'Additional Cartons-WUO_TRK'!A325),_xlfn.TEXTAFTER('Additional Cartons-WUO_ERR'!A325, ":"))))</f>
        <v>0</v>
      </c>
    </row>
    <row r="326" spans="1:1">
      <c r="A326" s="39">
        <f>IF('Additional Cartons'!B326 = "", "", IF('Additional Cartons-WUO_ERR'!A326 = "", "Validated", HYPERLINK("#" &amp; ADDRESS(326, 'Additional Cartons-WUO_TRK'!A326),_xlfn.TEXTAFTER('Additional Cartons-WUO_ERR'!A326, ":"))))</f>
        <v>0</v>
      </c>
    </row>
    <row r="327" spans="1:1">
      <c r="A327" s="39">
        <f>IF('Additional Cartons'!B327 = "", "", IF('Additional Cartons-WUO_ERR'!A327 = "", "Validated", HYPERLINK("#" &amp; ADDRESS(327, 'Additional Cartons-WUO_TRK'!A327),_xlfn.TEXTAFTER('Additional Cartons-WUO_ERR'!A327, ":"))))</f>
        <v>0</v>
      </c>
    </row>
    <row r="328" spans="1:1">
      <c r="A328" s="39">
        <f>IF('Additional Cartons'!B328 = "", "", IF('Additional Cartons-WUO_ERR'!A328 = "", "Validated", HYPERLINK("#" &amp; ADDRESS(328, 'Additional Cartons-WUO_TRK'!A328),_xlfn.TEXTAFTER('Additional Cartons-WUO_ERR'!A328, ":"))))</f>
        <v>0</v>
      </c>
    </row>
    <row r="329" spans="1:1">
      <c r="A329" s="39">
        <f>IF('Additional Cartons'!B329 = "", "", IF('Additional Cartons-WUO_ERR'!A329 = "", "Validated", HYPERLINK("#" &amp; ADDRESS(329, 'Additional Cartons-WUO_TRK'!A329),_xlfn.TEXTAFTER('Additional Cartons-WUO_ERR'!A329, ":"))))</f>
        <v>0</v>
      </c>
    </row>
    <row r="330" spans="1:1">
      <c r="A330" s="39">
        <f>IF('Additional Cartons'!B330 = "", "", IF('Additional Cartons-WUO_ERR'!A330 = "", "Validated", HYPERLINK("#" &amp; ADDRESS(330, 'Additional Cartons-WUO_TRK'!A330),_xlfn.TEXTAFTER('Additional Cartons-WUO_ERR'!A330, ":"))))</f>
        <v>0</v>
      </c>
    </row>
    <row r="331" spans="1:1">
      <c r="A331" s="39">
        <f>IF('Additional Cartons'!B331 = "", "", IF('Additional Cartons-WUO_ERR'!A331 = "", "Validated", HYPERLINK("#" &amp; ADDRESS(331, 'Additional Cartons-WUO_TRK'!A331),_xlfn.TEXTAFTER('Additional Cartons-WUO_ERR'!A331, ":"))))</f>
        <v>0</v>
      </c>
    </row>
    <row r="332" spans="1:1">
      <c r="A332" s="39">
        <f>IF('Additional Cartons'!B332 = "", "", IF('Additional Cartons-WUO_ERR'!A332 = "", "Validated", HYPERLINK("#" &amp; ADDRESS(332, 'Additional Cartons-WUO_TRK'!A332),_xlfn.TEXTAFTER('Additional Cartons-WUO_ERR'!A332, ":"))))</f>
        <v>0</v>
      </c>
    </row>
    <row r="333" spans="1:1">
      <c r="A333" s="39">
        <f>IF('Additional Cartons'!B333 = "", "", IF('Additional Cartons-WUO_ERR'!A333 = "", "Validated", HYPERLINK("#" &amp; ADDRESS(333, 'Additional Cartons-WUO_TRK'!A333),_xlfn.TEXTAFTER('Additional Cartons-WUO_ERR'!A333, ":"))))</f>
        <v>0</v>
      </c>
    </row>
    <row r="334" spans="1:1">
      <c r="A334" s="39">
        <f>IF('Additional Cartons'!B334 = "", "", IF('Additional Cartons-WUO_ERR'!A334 = "", "Validated", HYPERLINK("#" &amp; ADDRESS(334, 'Additional Cartons-WUO_TRK'!A334),_xlfn.TEXTAFTER('Additional Cartons-WUO_ERR'!A334, ":"))))</f>
        <v>0</v>
      </c>
    </row>
    <row r="335" spans="1:1">
      <c r="A335" s="39">
        <f>IF('Additional Cartons'!B335 = "", "", IF('Additional Cartons-WUO_ERR'!A335 = "", "Validated", HYPERLINK("#" &amp; ADDRESS(335, 'Additional Cartons-WUO_TRK'!A335),_xlfn.TEXTAFTER('Additional Cartons-WUO_ERR'!A335, ":"))))</f>
        <v>0</v>
      </c>
    </row>
    <row r="336" spans="1:1">
      <c r="A336" s="39">
        <f>IF('Additional Cartons'!B336 = "", "", IF('Additional Cartons-WUO_ERR'!A336 = "", "Validated", HYPERLINK("#" &amp; ADDRESS(336, 'Additional Cartons-WUO_TRK'!A336),_xlfn.TEXTAFTER('Additional Cartons-WUO_ERR'!A336, ":"))))</f>
        <v>0</v>
      </c>
    </row>
    <row r="337" spans="1:1">
      <c r="A337" s="39">
        <f>IF('Additional Cartons'!B337 = "", "", IF('Additional Cartons-WUO_ERR'!A337 = "", "Validated", HYPERLINK("#" &amp; ADDRESS(337, 'Additional Cartons-WUO_TRK'!A337),_xlfn.TEXTAFTER('Additional Cartons-WUO_ERR'!A337, ":"))))</f>
        <v>0</v>
      </c>
    </row>
    <row r="338" spans="1:1">
      <c r="A338" s="39">
        <f>IF('Additional Cartons'!B338 = "", "", IF('Additional Cartons-WUO_ERR'!A338 = "", "Validated", HYPERLINK("#" &amp; ADDRESS(338, 'Additional Cartons-WUO_TRK'!A338),_xlfn.TEXTAFTER('Additional Cartons-WUO_ERR'!A338, ":"))))</f>
        <v>0</v>
      </c>
    </row>
    <row r="339" spans="1:1">
      <c r="A339" s="39">
        <f>IF('Additional Cartons'!B339 = "", "", IF('Additional Cartons-WUO_ERR'!A339 = "", "Validated", HYPERLINK("#" &amp; ADDRESS(339, 'Additional Cartons-WUO_TRK'!A339),_xlfn.TEXTAFTER('Additional Cartons-WUO_ERR'!A339, ":"))))</f>
        <v>0</v>
      </c>
    </row>
    <row r="340" spans="1:1">
      <c r="A340" s="39">
        <f>IF('Additional Cartons'!B340 = "", "", IF('Additional Cartons-WUO_ERR'!A340 = "", "Validated", HYPERLINK("#" &amp; ADDRESS(340, 'Additional Cartons-WUO_TRK'!A340),_xlfn.TEXTAFTER('Additional Cartons-WUO_ERR'!A340, ":"))))</f>
        <v>0</v>
      </c>
    </row>
    <row r="341" spans="1:1">
      <c r="A341" s="39">
        <f>IF('Additional Cartons'!B341 = "", "", IF('Additional Cartons-WUO_ERR'!A341 = "", "Validated", HYPERLINK("#" &amp; ADDRESS(341, 'Additional Cartons-WUO_TRK'!A341),_xlfn.TEXTAFTER('Additional Cartons-WUO_ERR'!A341, ":"))))</f>
        <v>0</v>
      </c>
    </row>
    <row r="342" spans="1:1">
      <c r="A342" s="39">
        <f>IF('Additional Cartons'!B342 = "", "", IF('Additional Cartons-WUO_ERR'!A342 = "", "Validated", HYPERLINK("#" &amp; ADDRESS(342, 'Additional Cartons-WUO_TRK'!A342),_xlfn.TEXTAFTER('Additional Cartons-WUO_ERR'!A342, ":"))))</f>
        <v>0</v>
      </c>
    </row>
    <row r="343" spans="1:1">
      <c r="A343" s="39">
        <f>IF('Additional Cartons'!B343 = "", "", IF('Additional Cartons-WUO_ERR'!A343 = "", "Validated", HYPERLINK("#" &amp; ADDRESS(343, 'Additional Cartons-WUO_TRK'!A343),_xlfn.TEXTAFTER('Additional Cartons-WUO_ERR'!A343, ":"))))</f>
        <v>0</v>
      </c>
    </row>
    <row r="344" spans="1:1">
      <c r="A344" s="39">
        <f>IF('Additional Cartons'!B344 = "", "", IF('Additional Cartons-WUO_ERR'!A344 = "", "Validated", HYPERLINK("#" &amp; ADDRESS(344, 'Additional Cartons-WUO_TRK'!A344),_xlfn.TEXTAFTER('Additional Cartons-WUO_ERR'!A344, ":"))))</f>
        <v>0</v>
      </c>
    </row>
    <row r="345" spans="1:1">
      <c r="A345" s="39">
        <f>IF('Additional Cartons'!B345 = "", "", IF('Additional Cartons-WUO_ERR'!A345 = "", "Validated", HYPERLINK("#" &amp; ADDRESS(345, 'Additional Cartons-WUO_TRK'!A345),_xlfn.TEXTAFTER('Additional Cartons-WUO_ERR'!A345, ":"))))</f>
        <v>0</v>
      </c>
    </row>
    <row r="346" spans="1:1">
      <c r="A346" s="39">
        <f>IF('Additional Cartons'!B346 = "", "", IF('Additional Cartons-WUO_ERR'!A346 = "", "Validated", HYPERLINK("#" &amp; ADDRESS(346, 'Additional Cartons-WUO_TRK'!A346),_xlfn.TEXTAFTER('Additional Cartons-WUO_ERR'!A346, ":"))))</f>
        <v>0</v>
      </c>
    </row>
    <row r="347" spans="1:1">
      <c r="A347" s="39">
        <f>IF('Additional Cartons'!B347 = "", "", IF('Additional Cartons-WUO_ERR'!A347 = "", "Validated", HYPERLINK("#" &amp; ADDRESS(347, 'Additional Cartons-WUO_TRK'!A347),_xlfn.TEXTAFTER('Additional Cartons-WUO_ERR'!A347, ":"))))</f>
        <v>0</v>
      </c>
    </row>
    <row r="348" spans="1:1">
      <c r="A348" s="39">
        <f>IF('Additional Cartons'!B348 = "", "", IF('Additional Cartons-WUO_ERR'!A348 = "", "Validated", HYPERLINK("#" &amp; ADDRESS(348, 'Additional Cartons-WUO_TRK'!A348),_xlfn.TEXTAFTER('Additional Cartons-WUO_ERR'!A348, ":"))))</f>
        <v>0</v>
      </c>
    </row>
    <row r="349" spans="1:1">
      <c r="A349" s="39">
        <f>IF('Additional Cartons'!B349 = "", "", IF('Additional Cartons-WUO_ERR'!A349 = "", "Validated", HYPERLINK("#" &amp; ADDRESS(349, 'Additional Cartons-WUO_TRK'!A349),_xlfn.TEXTAFTER('Additional Cartons-WUO_ERR'!A349, ":"))))</f>
        <v>0</v>
      </c>
    </row>
    <row r="350" spans="1:1">
      <c r="A350" s="39">
        <f>IF('Additional Cartons'!B350 = "", "", IF('Additional Cartons-WUO_ERR'!A350 = "", "Validated", HYPERLINK("#" &amp; ADDRESS(350, 'Additional Cartons-WUO_TRK'!A350),_xlfn.TEXTAFTER('Additional Cartons-WUO_ERR'!A350, ":"))))</f>
        <v>0</v>
      </c>
    </row>
    <row r="351" spans="1:1">
      <c r="A351" s="39">
        <f>IF('Additional Cartons'!B351 = "", "", IF('Additional Cartons-WUO_ERR'!A351 = "", "Validated", HYPERLINK("#" &amp; ADDRESS(351, 'Additional Cartons-WUO_TRK'!A351),_xlfn.TEXTAFTER('Additional Cartons-WUO_ERR'!A351, ":"))))</f>
        <v>0</v>
      </c>
    </row>
    <row r="352" spans="1:1">
      <c r="A352" s="39">
        <f>IF('Additional Cartons'!B352 = "", "", IF('Additional Cartons-WUO_ERR'!A352 = "", "Validated", HYPERLINK("#" &amp; ADDRESS(352, 'Additional Cartons-WUO_TRK'!A352),_xlfn.TEXTAFTER('Additional Cartons-WUO_ERR'!A352, ":"))))</f>
        <v>0</v>
      </c>
    </row>
    <row r="353" spans="1:1">
      <c r="A353" s="39">
        <f>IF('Additional Cartons'!B353 = "", "", IF('Additional Cartons-WUO_ERR'!A353 = "", "Validated", HYPERLINK("#" &amp; ADDRESS(353, 'Additional Cartons-WUO_TRK'!A353),_xlfn.TEXTAFTER('Additional Cartons-WUO_ERR'!A353, ":"))))</f>
        <v>0</v>
      </c>
    </row>
    <row r="354" spans="1:1">
      <c r="A354" s="39">
        <f>IF('Additional Cartons'!B354 = "", "", IF('Additional Cartons-WUO_ERR'!A354 = "", "Validated", HYPERLINK("#" &amp; ADDRESS(354, 'Additional Cartons-WUO_TRK'!A354),_xlfn.TEXTAFTER('Additional Cartons-WUO_ERR'!A354, ":"))))</f>
        <v>0</v>
      </c>
    </row>
    <row r="355" spans="1:1">
      <c r="A355" s="39">
        <f>IF('Additional Cartons'!B355 = "", "", IF('Additional Cartons-WUO_ERR'!A355 = "", "Validated", HYPERLINK("#" &amp; ADDRESS(355, 'Additional Cartons-WUO_TRK'!A355),_xlfn.TEXTAFTER('Additional Cartons-WUO_ERR'!A355, ":"))))</f>
        <v>0</v>
      </c>
    </row>
    <row r="356" spans="1:1">
      <c r="A356" s="39">
        <f>IF('Additional Cartons'!B356 = "", "", IF('Additional Cartons-WUO_ERR'!A356 = "", "Validated", HYPERLINK("#" &amp; ADDRESS(356, 'Additional Cartons-WUO_TRK'!A356),_xlfn.TEXTAFTER('Additional Cartons-WUO_ERR'!A356, ":"))))</f>
        <v>0</v>
      </c>
    </row>
    <row r="357" spans="1:1">
      <c r="A357" s="39">
        <f>IF('Additional Cartons'!B357 = "", "", IF('Additional Cartons-WUO_ERR'!A357 = "", "Validated", HYPERLINK("#" &amp; ADDRESS(357, 'Additional Cartons-WUO_TRK'!A357),_xlfn.TEXTAFTER('Additional Cartons-WUO_ERR'!A357, ":"))))</f>
        <v>0</v>
      </c>
    </row>
    <row r="358" spans="1:1">
      <c r="A358" s="39">
        <f>IF('Additional Cartons'!B358 = "", "", IF('Additional Cartons-WUO_ERR'!A358 = "", "Validated", HYPERLINK("#" &amp; ADDRESS(358, 'Additional Cartons-WUO_TRK'!A358),_xlfn.TEXTAFTER('Additional Cartons-WUO_ERR'!A358, ":"))))</f>
        <v>0</v>
      </c>
    </row>
    <row r="359" spans="1:1">
      <c r="A359" s="39">
        <f>IF('Additional Cartons'!B359 = "", "", IF('Additional Cartons-WUO_ERR'!A359 = "", "Validated", HYPERLINK("#" &amp; ADDRESS(359, 'Additional Cartons-WUO_TRK'!A359),_xlfn.TEXTAFTER('Additional Cartons-WUO_ERR'!A359, ":"))))</f>
        <v>0</v>
      </c>
    </row>
    <row r="360" spans="1:1">
      <c r="A360" s="39">
        <f>IF('Additional Cartons'!B360 = "", "", IF('Additional Cartons-WUO_ERR'!A360 = "", "Validated", HYPERLINK("#" &amp; ADDRESS(360, 'Additional Cartons-WUO_TRK'!A360),_xlfn.TEXTAFTER('Additional Cartons-WUO_ERR'!A360, ":"))))</f>
        <v>0</v>
      </c>
    </row>
    <row r="361" spans="1:1">
      <c r="A361" s="39">
        <f>IF('Additional Cartons'!B361 = "", "", IF('Additional Cartons-WUO_ERR'!A361 = "", "Validated", HYPERLINK("#" &amp; ADDRESS(361, 'Additional Cartons-WUO_TRK'!A361),_xlfn.TEXTAFTER('Additional Cartons-WUO_ERR'!A361, ":"))))</f>
        <v>0</v>
      </c>
    </row>
    <row r="362" spans="1:1">
      <c r="A362" s="39">
        <f>IF('Additional Cartons'!B362 = "", "", IF('Additional Cartons-WUO_ERR'!A362 = "", "Validated", HYPERLINK("#" &amp; ADDRESS(362, 'Additional Cartons-WUO_TRK'!A362),_xlfn.TEXTAFTER('Additional Cartons-WUO_ERR'!A362, ":"))))</f>
        <v>0</v>
      </c>
    </row>
    <row r="363" spans="1:1">
      <c r="A363" s="39">
        <f>IF('Additional Cartons'!B363 = "", "", IF('Additional Cartons-WUO_ERR'!A363 = "", "Validated", HYPERLINK("#" &amp; ADDRESS(363, 'Additional Cartons-WUO_TRK'!A363),_xlfn.TEXTAFTER('Additional Cartons-WUO_ERR'!A363, ":"))))</f>
        <v>0</v>
      </c>
    </row>
    <row r="364" spans="1:1">
      <c r="A364" s="39">
        <f>IF('Additional Cartons'!B364 = "", "", IF('Additional Cartons-WUO_ERR'!A364 = "", "Validated", HYPERLINK("#" &amp; ADDRESS(364, 'Additional Cartons-WUO_TRK'!A364),_xlfn.TEXTAFTER('Additional Cartons-WUO_ERR'!A364, ":"))))</f>
        <v>0</v>
      </c>
    </row>
    <row r="365" spans="1:1">
      <c r="A365" s="39">
        <f>IF('Additional Cartons'!B365 = "", "", IF('Additional Cartons-WUO_ERR'!A365 = "", "Validated", HYPERLINK("#" &amp; ADDRESS(365, 'Additional Cartons-WUO_TRK'!A365),_xlfn.TEXTAFTER('Additional Cartons-WUO_ERR'!A365, ":"))))</f>
        <v>0</v>
      </c>
    </row>
    <row r="366" spans="1:1">
      <c r="A366" s="39">
        <f>IF('Additional Cartons'!B366 = "", "", IF('Additional Cartons-WUO_ERR'!A366 = "", "Validated", HYPERLINK("#" &amp; ADDRESS(366, 'Additional Cartons-WUO_TRK'!A366),_xlfn.TEXTAFTER('Additional Cartons-WUO_ERR'!A366, ":"))))</f>
        <v>0</v>
      </c>
    </row>
    <row r="367" spans="1:1">
      <c r="A367" s="39">
        <f>IF('Additional Cartons'!B367 = "", "", IF('Additional Cartons-WUO_ERR'!A367 = "", "Validated", HYPERLINK("#" &amp; ADDRESS(367, 'Additional Cartons-WUO_TRK'!A367),_xlfn.TEXTAFTER('Additional Cartons-WUO_ERR'!A367, ":"))))</f>
        <v>0</v>
      </c>
    </row>
    <row r="368" spans="1:1">
      <c r="A368" s="39">
        <f>IF('Additional Cartons'!B368 = "", "", IF('Additional Cartons-WUO_ERR'!A368 = "", "Validated", HYPERLINK("#" &amp; ADDRESS(368, 'Additional Cartons-WUO_TRK'!A368),_xlfn.TEXTAFTER('Additional Cartons-WUO_ERR'!A368, ":"))))</f>
        <v>0</v>
      </c>
    </row>
    <row r="369" spans="1:1">
      <c r="A369" s="39">
        <f>IF('Additional Cartons'!B369 = "", "", IF('Additional Cartons-WUO_ERR'!A369 = "", "Validated", HYPERLINK("#" &amp; ADDRESS(369, 'Additional Cartons-WUO_TRK'!A369),_xlfn.TEXTAFTER('Additional Cartons-WUO_ERR'!A369, ":"))))</f>
        <v>0</v>
      </c>
    </row>
    <row r="370" spans="1:1">
      <c r="A370" s="39">
        <f>IF('Additional Cartons'!B370 = "", "", IF('Additional Cartons-WUO_ERR'!A370 = "", "Validated", HYPERLINK("#" &amp; ADDRESS(370, 'Additional Cartons-WUO_TRK'!A370),_xlfn.TEXTAFTER('Additional Cartons-WUO_ERR'!A370, ":"))))</f>
        <v>0</v>
      </c>
    </row>
    <row r="371" spans="1:1">
      <c r="A371" s="39">
        <f>IF('Additional Cartons'!B371 = "", "", IF('Additional Cartons-WUO_ERR'!A371 = "", "Validated", HYPERLINK("#" &amp; ADDRESS(371, 'Additional Cartons-WUO_TRK'!A371),_xlfn.TEXTAFTER('Additional Cartons-WUO_ERR'!A371, ":"))))</f>
        <v>0</v>
      </c>
    </row>
    <row r="372" spans="1:1">
      <c r="A372" s="39">
        <f>IF('Additional Cartons'!B372 = "", "", IF('Additional Cartons-WUO_ERR'!A372 = "", "Validated", HYPERLINK("#" &amp; ADDRESS(372, 'Additional Cartons-WUO_TRK'!A372),_xlfn.TEXTAFTER('Additional Cartons-WUO_ERR'!A372, ":"))))</f>
        <v>0</v>
      </c>
    </row>
    <row r="373" spans="1:1">
      <c r="A373" s="39">
        <f>IF('Additional Cartons'!B373 = "", "", IF('Additional Cartons-WUO_ERR'!A373 = "", "Validated", HYPERLINK("#" &amp; ADDRESS(373, 'Additional Cartons-WUO_TRK'!A373),_xlfn.TEXTAFTER('Additional Cartons-WUO_ERR'!A373, ":"))))</f>
        <v>0</v>
      </c>
    </row>
    <row r="374" spans="1:1">
      <c r="A374" s="39">
        <f>IF('Additional Cartons'!B374 = "", "", IF('Additional Cartons-WUO_ERR'!A374 = "", "Validated", HYPERLINK("#" &amp; ADDRESS(374, 'Additional Cartons-WUO_TRK'!A374),_xlfn.TEXTAFTER('Additional Cartons-WUO_ERR'!A374, ":"))))</f>
        <v>0</v>
      </c>
    </row>
    <row r="375" spans="1:1">
      <c r="A375" s="39">
        <f>IF('Additional Cartons'!B375 = "", "", IF('Additional Cartons-WUO_ERR'!A375 = "", "Validated", HYPERLINK("#" &amp; ADDRESS(375, 'Additional Cartons-WUO_TRK'!A375),_xlfn.TEXTAFTER('Additional Cartons-WUO_ERR'!A375, ":"))))</f>
        <v>0</v>
      </c>
    </row>
    <row r="376" spans="1:1">
      <c r="A376" s="39">
        <f>IF('Additional Cartons'!B376 = "", "", IF('Additional Cartons-WUO_ERR'!A376 = "", "Validated", HYPERLINK("#" &amp; ADDRESS(376, 'Additional Cartons-WUO_TRK'!A376),_xlfn.TEXTAFTER('Additional Cartons-WUO_ERR'!A376, ":"))))</f>
        <v>0</v>
      </c>
    </row>
    <row r="377" spans="1:1">
      <c r="A377" s="39">
        <f>IF('Additional Cartons'!B377 = "", "", IF('Additional Cartons-WUO_ERR'!A377 = "", "Validated", HYPERLINK("#" &amp; ADDRESS(377, 'Additional Cartons-WUO_TRK'!A377),_xlfn.TEXTAFTER('Additional Cartons-WUO_ERR'!A377, ":"))))</f>
        <v>0</v>
      </c>
    </row>
    <row r="378" spans="1:1">
      <c r="A378" s="39">
        <f>IF('Additional Cartons'!B378 = "", "", IF('Additional Cartons-WUO_ERR'!A378 = "", "Validated", HYPERLINK("#" &amp; ADDRESS(378, 'Additional Cartons-WUO_TRK'!A378),_xlfn.TEXTAFTER('Additional Cartons-WUO_ERR'!A378, ":"))))</f>
        <v>0</v>
      </c>
    </row>
    <row r="379" spans="1:1">
      <c r="A379" s="39">
        <f>IF('Additional Cartons'!B379 = "", "", IF('Additional Cartons-WUO_ERR'!A379 = "", "Validated", HYPERLINK("#" &amp; ADDRESS(379, 'Additional Cartons-WUO_TRK'!A379),_xlfn.TEXTAFTER('Additional Cartons-WUO_ERR'!A379, ":"))))</f>
        <v>0</v>
      </c>
    </row>
    <row r="380" spans="1:1">
      <c r="A380" s="39">
        <f>IF('Additional Cartons'!B380 = "", "", IF('Additional Cartons-WUO_ERR'!A380 = "", "Validated", HYPERLINK("#" &amp; ADDRESS(380, 'Additional Cartons-WUO_TRK'!A380),_xlfn.TEXTAFTER('Additional Cartons-WUO_ERR'!A380, ":"))))</f>
        <v>0</v>
      </c>
    </row>
    <row r="381" spans="1:1">
      <c r="A381" s="39">
        <f>IF('Additional Cartons'!B381 = "", "", IF('Additional Cartons-WUO_ERR'!A381 = "", "Validated", HYPERLINK("#" &amp; ADDRESS(381, 'Additional Cartons-WUO_TRK'!A381),_xlfn.TEXTAFTER('Additional Cartons-WUO_ERR'!A381, ":"))))</f>
        <v>0</v>
      </c>
    </row>
    <row r="382" spans="1:1">
      <c r="A382" s="39">
        <f>IF('Additional Cartons'!B382 = "", "", IF('Additional Cartons-WUO_ERR'!A382 = "", "Validated", HYPERLINK("#" &amp; ADDRESS(382, 'Additional Cartons-WUO_TRK'!A382),_xlfn.TEXTAFTER('Additional Cartons-WUO_ERR'!A382, ":"))))</f>
        <v>0</v>
      </c>
    </row>
    <row r="383" spans="1:1">
      <c r="A383" s="39">
        <f>IF('Additional Cartons'!B383 = "", "", IF('Additional Cartons-WUO_ERR'!A383 = "", "Validated", HYPERLINK("#" &amp; ADDRESS(383, 'Additional Cartons-WUO_TRK'!A383),_xlfn.TEXTAFTER('Additional Cartons-WUO_ERR'!A383, ":"))))</f>
        <v>0</v>
      </c>
    </row>
    <row r="384" spans="1:1">
      <c r="A384" s="39">
        <f>IF('Additional Cartons'!B384 = "", "", IF('Additional Cartons-WUO_ERR'!A384 = "", "Validated", HYPERLINK("#" &amp; ADDRESS(384, 'Additional Cartons-WUO_TRK'!A384),_xlfn.TEXTAFTER('Additional Cartons-WUO_ERR'!A384, ":"))))</f>
        <v>0</v>
      </c>
    </row>
    <row r="385" spans="1:1">
      <c r="A385" s="39">
        <f>IF('Additional Cartons'!B385 = "", "", IF('Additional Cartons-WUO_ERR'!A385 = "", "Validated", HYPERLINK("#" &amp; ADDRESS(385, 'Additional Cartons-WUO_TRK'!A385),_xlfn.TEXTAFTER('Additional Cartons-WUO_ERR'!A385, ":"))))</f>
        <v>0</v>
      </c>
    </row>
    <row r="386" spans="1:1">
      <c r="A386" s="39">
        <f>IF('Additional Cartons'!B386 = "", "", IF('Additional Cartons-WUO_ERR'!A386 = "", "Validated", HYPERLINK("#" &amp; ADDRESS(386, 'Additional Cartons-WUO_TRK'!A386),_xlfn.TEXTAFTER('Additional Cartons-WUO_ERR'!A386, ":"))))</f>
        <v>0</v>
      </c>
    </row>
    <row r="387" spans="1:1">
      <c r="A387" s="39">
        <f>IF('Additional Cartons'!B387 = "", "", IF('Additional Cartons-WUO_ERR'!A387 = "", "Validated", HYPERLINK("#" &amp; ADDRESS(387, 'Additional Cartons-WUO_TRK'!A387),_xlfn.TEXTAFTER('Additional Cartons-WUO_ERR'!A387, ":"))))</f>
        <v>0</v>
      </c>
    </row>
    <row r="388" spans="1:1">
      <c r="A388" s="39">
        <f>IF('Additional Cartons'!B388 = "", "", IF('Additional Cartons-WUO_ERR'!A388 = "", "Validated", HYPERLINK("#" &amp; ADDRESS(388, 'Additional Cartons-WUO_TRK'!A388),_xlfn.TEXTAFTER('Additional Cartons-WUO_ERR'!A388, ":"))))</f>
        <v>0</v>
      </c>
    </row>
    <row r="389" spans="1:1">
      <c r="A389" s="39">
        <f>IF('Additional Cartons'!B389 = "", "", IF('Additional Cartons-WUO_ERR'!A389 = "", "Validated", HYPERLINK("#" &amp; ADDRESS(389, 'Additional Cartons-WUO_TRK'!A389),_xlfn.TEXTAFTER('Additional Cartons-WUO_ERR'!A389, ":"))))</f>
        <v>0</v>
      </c>
    </row>
    <row r="390" spans="1:1">
      <c r="A390" s="39">
        <f>IF('Additional Cartons'!B390 = "", "", IF('Additional Cartons-WUO_ERR'!A390 = "", "Validated", HYPERLINK("#" &amp; ADDRESS(390, 'Additional Cartons-WUO_TRK'!A390),_xlfn.TEXTAFTER('Additional Cartons-WUO_ERR'!A390, ":"))))</f>
        <v>0</v>
      </c>
    </row>
    <row r="391" spans="1:1">
      <c r="A391" s="39">
        <f>IF('Additional Cartons'!B391 = "", "", IF('Additional Cartons-WUO_ERR'!A391 = "", "Validated", HYPERLINK("#" &amp; ADDRESS(391, 'Additional Cartons-WUO_TRK'!A391),_xlfn.TEXTAFTER('Additional Cartons-WUO_ERR'!A391, ":"))))</f>
        <v>0</v>
      </c>
    </row>
    <row r="392" spans="1:1">
      <c r="A392" s="39">
        <f>IF('Additional Cartons'!B392 = "", "", IF('Additional Cartons-WUO_ERR'!A392 = "", "Validated", HYPERLINK("#" &amp; ADDRESS(392, 'Additional Cartons-WUO_TRK'!A392),_xlfn.TEXTAFTER('Additional Cartons-WUO_ERR'!A392, ":"))))</f>
        <v>0</v>
      </c>
    </row>
    <row r="393" spans="1:1">
      <c r="A393" s="39">
        <f>IF('Additional Cartons'!B393 = "", "", IF('Additional Cartons-WUO_ERR'!A393 = "", "Validated", HYPERLINK("#" &amp; ADDRESS(393, 'Additional Cartons-WUO_TRK'!A393),_xlfn.TEXTAFTER('Additional Cartons-WUO_ERR'!A393, ":"))))</f>
        <v>0</v>
      </c>
    </row>
    <row r="394" spans="1:1">
      <c r="A394" s="39">
        <f>IF('Additional Cartons'!B394 = "", "", IF('Additional Cartons-WUO_ERR'!A394 = "", "Validated", HYPERLINK("#" &amp; ADDRESS(394, 'Additional Cartons-WUO_TRK'!A394),_xlfn.TEXTAFTER('Additional Cartons-WUO_ERR'!A394, ":"))))</f>
        <v>0</v>
      </c>
    </row>
    <row r="395" spans="1:1">
      <c r="A395" s="39">
        <f>IF('Additional Cartons'!B395 = "", "", IF('Additional Cartons-WUO_ERR'!A395 = "", "Validated", HYPERLINK("#" &amp; ADDRESS(395, 'Additional Cartons-WUO_TRK'!A395),_xlfn.TEXTAFTER('Additional Cartons-WUO_ERR'!A395, ":"))))</f>
        <v>0</v>
      </c>
    </row>
    <row r="396" spans="1:1">
      <c r="A396" s="39">
        <f>IF('Additional Cartons'!B396 = "", "", IF('Additional Cartons-WUO_ERR'!A396 = "", "Validated", HYPERLINK("#" &amp; ADDRESS(396, 'Additional Cartons-WUO_TRK'!A396),_xlfn.TEXTAFTER('Additional Cartons-WUO_ERR'!A396, ":"))))</f>
        <v>0</v>
      </c>
    </row>
    <row r="397" spans="1:1">
      <c r="A397" s="39">
        <f>IF('Additional Cartons'!B397 = "", "", IF('Additional Cartons-WUO_ERR'!A397 = "", "Validated", HYPERLINK("#" &amp; ADDRESS(397, 'Additional Cartons-WUO_TRK'!A397),_xlfn.TEXTAFTER('Additional Cartons-WUO_ERR'!A397, ":"))))</f>
        <v>0</v>
      </c>
    </row>
    <row r="398" spans="1:1">
      <c r="A398" s="39">
        <f>IF('Additional Cartons'!B398 = "", "", IF('Additional Cartons-WUO_ERR'!A398 = "", "Validated", HYPERLINK("#" &amp; ADDRESS(398, 'Additional Cartons-WUO_TRK'!A398),_xlfn.TEXTAFTER('Additional Cartons-WUO_ERR'!A398, ":"))))</f>
        <v>0</v>
      </c>
    </row>
    <row r="399" spans="1:1">
      <c r="A399" s="39">
        <f>IF('Additional Cartons'!B399 = "", "", IF('Additional Cartons-WUO_ERR'!A399 = "", "Validated", HYPERLINK("#" &amp; ADDRESS(399, 'Additional Cartons-WUO_TRK'!A399),_xlfn.TEXTAFTER('Additional Cartons-WUO_ERR'!A399, ":"))))</f>
        <v>0</v>
      </c>
    </row>
    <row r="400" spans="1:1">
      <c r="A400" s="39">
        <f>IF('Additional Cartons'!B400 = "", "", IF('Additional Cartons-WUO_ERR'!A400 = "", "Validated", HYPERLINK("#" &amp; ADDRESS(400, 'Additional Cartons-WUO_TRK'!A400),_xlfn.TEXTAFTER('Additional Cartons-WUO_ERR'!A400, ":"))))</f>
        <v>0</v>
      </c>
    </row>
    <row r="401" spans="1:1">
      <c r="A401" s="39">
        <f>IF('Additional Cartons'!B401 = "", "", IF('Additional Cartons-WUO_ERR'!A401 = "", "Validated", HYPERLINK("#" &amp; ADDRESS(401, 'Additional Cartons-WUO_TRK'!A401),_xlfn.TEXTAFTER('Additional Cartons-WUO_ERR'!A401, ":"))))</f>
        <v>0</v>
      </c>
    </row>
    <row r="402" spans="1:1">
      <c r="A402" s="39">
        <f>IF('Additional Cartons'!B402 = "", "", IF('Additional Cartons-WUO_ERR'!A402 = "", "Validated", HYPERLINK("#" &amp; ADDRESS(402, 'Additional Cartons-WUO_TRK'!A402),_xlfn.TEXTAFTER('Additional Cartons-WUO_ERR'!A402, ":"))))</f>
        <v>0</v>
      </c>
    </row>
    <row r="403" spans="1:1">
      <c r="A403" s="39">
        <f>IF('Additional Cartons'!B403 = "", "", IF('Additional Cartons-WUO_ERR'!A403 = "", "Validated", HYPERLINK("#" &amp; ADDRESS(403, 'Additional Cartons-WUO_TRK'!A403),_xlfn.TEXTAFTER('Additional Cartons-WUO_ERR'!A403, ":"))))</f>
        <v>0</v>
      </c>
    </row>
    <row r="404" spans="1:1">
      <c r="A404" s="39">
        <f>IF('Additional Cartons'!B404 = "", "", IF('Additional Cartons-WUO_ERR'!A404 = "", "Validated", HYPERLINK("#" &amp; ADDRESS(404, 'Additional Cartons-WUO_TRK'!A404),_xlfn.TEXTAFTER('Additional Cartons-WUO_ERR'!A404, ":"))))</f>
        <v>0</v>
      </c>
    </row>
    <row r="405" spans="1:1">
      <c r="A405" s="39">
        <f>IF('Additional Cartons'!B405 = "", "", IF('Additional Cartons-WUO_ERR'!A405 = "", "Validated", HYPERLINK("#" &amp; ADDRESS(405, 'Additional Cartons-WUO_TRK'!A405),_xlfn.TEXTAFTER('Additional Cartons-WUO_ERR'!A405, ":"))))</f>
        <v>0</v>
      </c>
    </row>
    <row r="406" spans="1:1">
      <c r="A406" s="39">
        <f>IF('Additional Cartons'!B406 = "", "", IF('Additional Cartons-WUO_ERR'!A406 = "", "Validated", HYPERLINK("#" &amp; ADDRESS(406, 'Additional Cartons-WUO_TRK'!A406),_xlfn.TEXTAFTER('Additional Cartons-WUO_ERR'!A406, ":"))))</f>
        <v>0</v>
      </c>
    </row>
    <row r="407" spans="1:1">
      <c r="A407" s="39">
        <f>IF('Additional Cartons'!B407 = "", "", IF('Additional Cartons-WUO_ERR'!A407 = "", "Validated", HYPERLINK("#" &amp; ADDRESS(407, 'Additional Cartons-WUO_TRK'!A407),_xlfn.TEXTAFTER('Additional Cartons-WUO_ERR'!A407, ":"))))</f>
        <v>0</v>
      </c>
    </row>
    <row r="408" spans="1:1">
      <c r="A408" s="39">
        <f>IF('Additional Cartons'!B408 = "", "", IF('Additional Cartons-WUO_ERR'!A408 = "", "Validated", HYPERLINK("#" &amp; ADDRESS(408, 'Additional Cartons-WUO_TRK'!A408),_xlfn.TEXTAFTER('Additional Cartons-WUO_ERR'!A408, ":"))))</f>
        <v>0</v>
      </c>
    </row>
    <row r="409" spans="1:1">
      <c r="A409" s="39">
        <f>IF('Additional Cartons'!B409 = "", "", IF('Additional Cartons-WUO_ERR'!A409 = "", "Validated", HYPERLINK("#" &amp; ADDRESS(409, 'Additional Cartons-WUO_TRK'!A409),_xlfn.TEXTAFTER('Additional Cartons-WUO_ERR'!A409, ":"))))</f>
        <v>0</v>
      </c>
    </row>
    <row r="410" spans="1:1">
      <c r="A410" s="39">
        <f>IF('Additional Cartons'!B410 = "", "", IF('Additional Cartons-WUO_ERR'!A410 = "", "Validated", HYPERLINK("#" &amp; ADDRESS(410, 'Additional Cartons-WUO_TRK'!A410),_xlfn.TEXTAFTER('Additional Cartons-WUO_ERR'!A410, ":"))))</f>
        <v>0</v>
      </c>
    </row>
    <row r="411" spans="1:1">
      <c r="A411" s="39">
        <f>IF('Additional Cartons'!B411 = "", "", IF('Additional Cartons-WUO_ERR'!A411 = "", "Validated", HYPERLINK("#" &amp; ADDRESS(411, 'Additional Cartons-WUO_TRK'!A411),_xlfn.TEXTAFTER('Additional Cartons-WUO_ERR'!A411, ":"))))</f>
        <v>0</v>
      </c>
    </row>
    <row r="412" spans="1:1">
      <c r="A412" s="39">
        <f>IF('Additional Cartons'!B412 = "", "", IF('Additional Cartons-WUO_ERR'!A412 = "", "Validated", HYPERLINK("#" &amp; ADDRESS(412, 'Additional Cartons-WUO_TRK'!A412),_xlfn.TEXTAFTER('Additional Cartons-WUO_ERR'!A412, ":"))))</f>
        <v>0</v>
      </c>
    </row>
    <row r="413" spans="1:1">
      <c r="A413" s="39">
        <f>IF('Additional Cartons'!B413 = "", "", IF('Additional Cartons-WUO_ERR'!A413 = "", "Validated", HYPERLINK("#" &amp; ADDRESS(413, 'Additional Cartons-WUO_TRK'!A413),_xlfn.TEXTAFTER('Additional Cartons-WUO_ERR'!A413, ":"))))</f>
        <v>0</v>
      </c>
    </row>
    <row r="414" spans="1:1">
      <c r="A414" s="39">
        <f>IF('Additional Cartons'!B414 = "", "", IF('Additional Cartons-WUO_ERR'!A414 = "", "Validated", HYPERLINK("#" &amp; ADDRESS(414, 'Additional Cartons-WUO_TRK'!A414),_xlfn.TEXTAFTER('Additional Cartons-WUO_ERR'!A414, ":"))))</f>
        <v>0</v>
      </c>
    </row>
    <row r="415" spans="1:1">
      <c r="A415" s="39">
        <f>IF('Additional Cartons'!B415 = "", "", IF('Additional Cartons-WUO_ERR'!A415 = "", "Validated", HYPERLINK("#" &amp; ADDRESS(415, 'Additional Cartons-WUO_TRK'!A415),_xlfn.TEXTAFTER('Additional Cartons-WUO_ERR'!A415, ":"))))</f>
        <v>0</v>
      </c>
    </row>
    <row r="416" spans="1:1">
      <c r="A416" s="39">
        <f>IF('Additional Cartons'!B416 = "", "", IF('Additional Cartons-WUO_ERR'!A416 = "", "Validated", HYPERLINK("#" &amp; ADDRESS(416, 'Additional Cartons-WUO_TRK'!A416),_xlfn.TEXTAFTER('Additional Cartons-WUO_ERR'!A416, ":"))))</f>
        <v>0</v>
      </c>
    </row>
    <row r="417" spans="1:1">
      <c r="A417" s="39">
        <f>IF('Additional Cartons'!B417 = "", "", IF('Additional Cartons-WUO_ERR'!A417 = "", "Validated", HYPERLINK("#" &amp; ADDRESS(417, 'Additional Cartons-WUO_TRK'!A417),_xlfn.TEXTAFTER('Additional Cartons-WUO_ERR'!A417, ":"))))</f>
        <v>0</v>
      </c>
    </row>
    <row r="418" spans="1:1">
      <c r="A418" s="39">
        <f>IF('Additional Cartons'!B418 = "", "", IF('Additional Cartons-WUO_ERR'!A418 = "", "Validated", HYPERLINK("#" &amp; ADDRESS(418, 'Additional Cartons-WUO_TRK'!A418),_xlfn.TEXTAFTER('Additional Cartons-WUO_ERR'!A418, ":"))))</f>
        <v>0</v>
      </c>
    </row>
    <row r="419" spans="1:1">
      <c r="A419" s="39">
        <f>IF('Additional Cartons'!B419 = "", "", IF('Additional Cartons-WUO_ERR'!A419 = "", "Validated", HYPERLINK("#" &amp; ADDRESS(419, 'Additional Cartons-WUO_TRK'!A419),_xlfn.TEXTAFTER('Additional Cartons-WUO_ERR'!A419, ":"))))</f>
        <v>0</v>
      </c>
    </row>
    <row r="420" spans="1:1">
      <c r="A420" s="39">
        <f>IF('Additional Cartons'!B420 = "", "", IF('Additional Cartons-WUO_ERR'!A420 = "", "Validated", HYPERLINK("#" &amp; ADDRESS(420, 'Additional Cartons-WUO_TRK'!A420),_xlfn.TEXTAFTER('Additional Cartons-WUO_ERR'!A420, ":"))))</f>
        <v>0</v>
      </c>
    </row>
    <row r="421" spans="1:1">
      <c r="A421" s="39">
        <f>IF('Additional Cartons'!B421 = "", "", IF('Additional Cartons-WUO_ERR'!A421 = "", "Validated", HYPERLINK("#" &amp; ADDRESS(421, 'Additional Cartons-WUO_TRK'!A421),_xlfn.TEXTAFTER('Additional Cartons-WUO_ERR'!A421, ":"))))</f>
        <v>0</v>
      </c>
    </row>
    <row r="422" spans="1:1">
      <c r="A422" s="39">
        <f>IF('Additional Cartons'!B422 = "", "", IF('Additional Cartons-WUO_ERR'!A422 = "", "Validated", HYPERLINK("#" &amp; ADDRESS(422, 'Additional Cartons-WUO_TRK'!A422),_xlfn.TEXTAFTER('Additional Cartons-WUO_ERR'!A422, ":"))))</f>
        <v>0</v>
      </c>
    </row>
    <row r="423" spans="1:1">
      <c r="A423" s="39">
        <f>IF('Additional Cartons'!B423 = "", "", IF('Additional Cartons-WUO_ERR'!A423 = "", "Validated", HYPERLINK("#" &amp; ADDRESS(423, 'Additional Cartons-WUO_TRK'!A423),_xlfn.TEXTAFTER('Additional Cartons-WUO_ERR'!A423, ":"))))</f>
        <v>0</v>
      </c>
    </row>
    <row r="424" spans="1:1">
      <c r="A424" s="39">
        <f>IF('Additional Cartons'!B424 = "", "", IF('Additional Cartons-WUO_ERR'!A424 = "", "Validated", HYPERLINK("#" &amp; ADDRESS(424, 'Additional Cartons-WUO_TRK'!A424),_xlfn.TEXTAFTER('Additional Cartons-WUO_ERR'!A424, ":"))))</f>
        <v>0</v>
      </c>
    </row>
    <row r="425" spans="1:1">
      <c r="A425" s="39">
        <f>IF('Additional Cartons'!B425 = "", "", IF('Additional Cartons-WUO_ERR'!A425 = "", "Validated", HYPERLINK("#" &amp; ADDRESS(425, 'Additional Cartons-WUO_TRK'!A425),_xlfn.TEXTAFTER('Additional Cartons-WUO_ERR'!A425, ":"))))</f>
        <v>0</v>
      </c>
    </row>
    <row r="426" spans="1:1">
      <c r="A426" s="39">
        <f>IF('Additional Cartons'!B426 = "", "", IF('Additional Cartons-WUO_ERR'!A426 = "", "Validated", HYPERLINK("#" &amp; ADDRESS(426, 'Additional Cartons-WUO_TRK'!A426),_xlfn.TEXTAFTER('Additional Cartons-WUO_ERR'!A426, ":"))))</f>
        <v>0</v>
      </c>
    </row>
    <row r="427" spans="1:1">
      <c r="A427" s="39">
        <f>IF('Additional Cartons'!B427 = "", "", IF('Additional Cartons-WUO_ERR'!A427 = "", "Validated", HYPERLINK("#" &amp; ADDRESS(427, 'Additional Cartons-WUO_TRK'!A427),_xlfn.TEXTAFTER('Additional Cartons-WUO_ERR'!A427, ":"))))</f>
        <v>0</v>
      </c>
    </row>
    <row r="428" spans="1:1">
      <c r="A428" s="39">
        <f>IF('Additional Cartons'!B428 = "", "", IF('Additional Cartons-WUO_ERR'!A428 = "", "Validated", HYPERLINK("#" &amp; ADDRESS(428, 'Additional Cartons-WUO_TRK'!A428),_xlfn.TEXTAFTER('Additional Cartons-WUO_ERR'!A428, ":"))))</f>
        <v>0</v>
      </c>
    </row>
    <row r="429" spans="1:1">
      <c r="A429" s="39">
        <f>IF('Additional Cartons'!B429 = "", "", IF('Additional Cartons-WUO_ERR'!A429 = "", "Validated", HYPERLINK("#" &amp; ADDRESS(429, 'Additional Cartons-WUO_TRK'!A429),_xlfn.TEXTAFTER('Additional Cartons-WUO_ERR'!A429, ":"))))</f>
        <v>0</v>
      </c>
    </row>
    <row r="430" spans="1:1">
      <c r="A430" s="39">
        <f>IF('Additional Cartons'!B430 = "", "", IF('Additional Cartons-WUO_ERR'!A430 = "", "Validated", HYPERLINK("#" &amp; ADDRESS(430, 'Additional Cartons-WUO_TRK'!A430),_xlfn.TEXTAFTER('Additional Cartons-WUO_ERR'!A430, ":"))))</f>
        <v>0</v>
      </c>
    </row>
    <row r="431" spans="1:1">
      <c r="A431" s="39">
        <f>IF('Additional Cartons'!B431 = "", "", IF('Additional Cartons-WUO_ERR'!A431 = "", "Validated", HYPERLINK("#" &amp; ADDRESS(431, 'Additional Cartons-WUO_TRK'!A431),_xlfn.TEXTAFTER('Additional Cartons-WUO_ERR'!A431, ":"))))</f>
        <v>0</v>
      </c>
    </row>
    <row r="432" spans="1:1">
      <c r="A432" s="39">
        <f>IF('Additional Cartons'!B432 = "", "", IF('Additional Cartons-WUO_ERR'!A432 = "", "Validated", HYPERLINK("#" &amp; ADDRESS(432, 'Additional Cartons-WUO_TRK'!A432),_xlfn.TEXTAFTER('Additional Cartons-WUO_ERR'!A432, ":"))))</f>
        <v>0</v>
      </c>
    </row>
    <row r="433" spans="1:1">
      <c r="A433" s="39">
        <f>IF('Additional Cartons'!B433 = "", "", IF('Additional Cartons-WUO_ERR'!A433 = "", "Validated", HYPERLINK("#" &amp; ADDRESS(433, 'Additional Cartons-WUO_TRK'!A433),_xlfn.TEXTAFTER('Additional Cartons-WUO_ERR'!A433, ":"))))</f>
        <v>0</v>
      </c>
    </row>
    <row r="434" spans="1:1">
      <c r="A434" s="39">
        <f>IF('Additional Cartons'!B434 = "", "", IF('Additional Cartons-WUO_ERR'!A434 = "", "Validated", HYPERLINK("#" &amp; ADDRESS(434, 'Additional Cartons-WUO_TRK'!A434),_xlfn.TEXTAFTER('Additional Cartons-WUO_ERR'!A434, ":"))))</f>
        <v>0</v>
      </c>
    </row>
    <row r="435" spans="1:1">
      <c r="A435" s="39">
        <f>IF('Additional Cartons'!B435 = "", "", IF('Additional Cartons-WUO_ERR'!A435 = "", "Validated", HYPERLINK("#" &amp; ADDRESS(435, 'Additional Cartons-WUO_TRK'!A435),_xlfn.TEXTAFTER('Additional Cartons-WUO_ERR'!A435, ":"))))</f>
        <v>0</v>
      </c>
    </row>
    <row r="436" spans="1:1">
      <c r="A436" s="39">
        <f>IF('Additional Cartons'!B436 = "", "", IF('Additional Cartons-WUO_ERR'!A436 = "", "Validated", HYPERLINK("#" &amp; ADDRESS(436, 'Additional Cartons-WUO_TRK'!A436),_xlfn.TEXTAFTER('Additional Cartons-WUO_ERR'!A436, ":"))))</f>
        <v>0</v>
      </c>
    </row>
    <row r="437" spans="1:1">
      <c r="A437" s="39">
        <f>IF('Additional Cartons'!B437 = "", "", IF('Additional Cartons-WUO_ERR'!A437 = "", "Validated", HYPERLINK("#" &amp; ADDRESS(437, 'Additional Cartons-WUO_TRK'!A437),_xlfn.TEXTAFTER('Additional Cartons-WUO_ERR'!A437, ":"))))</f>
        <v>0</v>
      </c>
    </row>
    <row r="438" spans="1:1">
      <c r="A438" s="39">
        <f>IF('Additional Cartons'!B438 = "", "", IF('Additional Cartons-WUO_ERR'!A438 = "", "Validated", HYPERLINK("#" &amp; ADDRESS(438, 'Additional Cartons-WUO_TRK'!A438),_xlfn.TEXTAFTER('Additional Cartons-WUO_ERR'!A438, ":"))))</f>
        <v>0</v>
      </c>
    </row>
    <row r="439" spans="1:1">
      <c r="A439" s="39">
        <f>IF('Additional Cartons'!B439 = "", "", IF('Additional Cartons-WUO_ERR'!A439 = "", "Validated", HYPERLINK("#" &amp; ADDRESS(439, 'Additional Cartons-WUO_TRK'!A439),_xlfn.TEXTAFTER('Additional Cartons-WUO_ERR'!A439, ":"))))</f>
        <v>0</v>
      </c>
    </row>
    <row r="440" spans="1:1">
      <c r="A440" s="39">
        <f>IF('Additional Cartons'!B440 = "", "", IF('Additional Cartons-WUO_ERR'!A440 = "", "Validated", HYPERLINK("#" &amp; ADDRESS(440, 'Additional Cartons-WUO_TRK'!A440),_xlfn.TEXTAFTER('Additional Cartons-WUO_ERR'!A440, ":"))))</f>
        <v>0</v>
      </c>
    </row>
    <row r="441" spans="1:1">
      <c r="A441" s="39">
        <f>IF('Additional Cartons'!B441 = "", "", IF('Additional Cartons-WUO_ERR'!A441 = "", "Validated", HYPERLINK("#" &amp; ADDRESS(441, 'Additional Cartons-WUO_TRK'!A441),_xlfn.TEXTAFTER('Additional Cartons-WUO_ERR'!A441, ":"))))</f>
        <v>0</v>
      </c>
    </row>
    <row r="442" spans="1:1">
      <c r="A442" s="39">
        <f>IF('Additional Cartons'!B442 = "", "", IF('Additional Cartons-WUO_ERR'!A442 = "", "Validated", HYPERLINK("#" &amp; ADDRESS(442, 'Additional Cartons-WUO_TRK'!A442),_xlfn.TEXTAFTER('Additional Cartons-WUO_ERR'!A442, ":"))))</f>
        <v>0</v>
      </c>
    </row>
    <row r="443" spans="1:1">
      <c r="A443" s="39">
        <f>IF('Additional Cartons'!B443 = "", "", IF('Additional Cartons-WUO_ERR'!A443 = "", "Validated", HYPERLINK("#" &amp; ADDRESS(443, 'Additional Cartons-WUO_TRK'!A443),_xlfn.TEXTAFTER('Additional Cartons-WUO_ERR'!A443, ":"))))</f>
        <v>0</v>
      </c>
    </row>
    <row r="444" spans="1:1">
      <c r="A444" s="39">
        <f>IF('Additional Cartons'!B444 = "", "", IF('Additional Cartons-WUO_ERR'!A444 = "", "Validated", HYPERLINK("#" &amp; ADDRESS(444, 'Additional Cartons-WUO_TRK'!A444),_xlfn.TEXTAFTER('Additional Cartons-WUO_ERR'!A444, ":"))))</f>
        <v>0</v>
      </c>
    </row>
    <row r="445" spans="1:1">
      <c r="A445" s="39">
        <f>IF('Additional Cartons'!B445 = "", "", IF('Additional Cartons-WUO_ERR'!A445 = "", "Validated", HYPERLINK("#" &amp; ADDRESS(445, 'Additional Cartons-WUO_TRK'!A445),_xlfn.TEXTAFTER('Additional Cartons-WUO_ERR'!A445, ":"))))</f>
        <v>0</v>
      </c>
    </row>
    <row r="446" spans="1:1">
      <c r="A446" s="39">
        <f>IF('Additional Cartons'!B446 = "", "", IF('Additional Cartons-WUO_ERR'!A446 = "", "Validated", HYPERLINK("#" &amp; ADDRESS(446, 'Additional Cartons-WUO_TRK'!A446),_xlfn.TEXTAFTER('Additional Cartons-WUO_ERR'!A446, ":"))))</f>
        <v>0</v>
      </c>
    </row>
    <row r="447" spans="1:1">
      <c r="A447" s="39">
        <f>IF('Additional Cartons'!B447 = "", "", IF('Additional Cartons-WUO_ERR'!A447 = "", "Validated", HYPERLINK("#" &amp; ADDRESS(447, 'Additional Cartons-WUO_TRK'!A447),_xlfn.TEXTAFTER('Additional Cartons-WUO_ERR'!A447, ":"))))</f>
        <v>0</v>
      </c>
    </row>
    <row r="448" spans="1:1">
      <c r="A448" s="39">
        <f>IF('Additional Cartons'!B448 = "", "", IF('Additional Cartons-WUO_ERR'!A448 = "", "Validated", HYPERLINK("#" &amp; ADDRESS(448, 'Additional Cartons-WUO_TRK'!A448),_xlfn.TEXTAFTER('Additional Cartons-WUO_ERR'!A448, ":"))))</f>
        <v>0</v>
      </c>
    </row>
    <row r="449" spans="1:1">
      <c r="A449" s="39">
        <f>IF('Additional Cartons'!B449 = "", "", IF('Additional Cartons-WUO_ERR'!A449 = "", "Validated", HYPERLINK("#" &amp; ADDRESS(449, 'Additional Cartons-WUO_TRK'!A449),_xlfn.TEXTAFTER('Additional Cartons-WUO_ERR'!A449, ":"))))</f>
        <v>0</v>
      </c>
    </row>
    <row r="450" spans="1:1">
      <c r="A450" s="39">
        <f>IF('Additional Cartons'!B450 = "", "", IF('Additional Cartons-WUO_ERR'!A450 = "", "Validated", HYPERLINK("#" &amp; ADDRESS(450, 'Additional Cartons-WUO_TRK'!A450),_xlfn.TEXTAFTER('Additional Cartons-WUO_ERR'!A450, ":"))))</f>
        <v>0</v>
      </c>
    </row>
    <row r="451" spans="1:1">
      <c r="A451" s="39">
        <f>IF('Additional Cartons'!B451 = "", "", IF('Additional Cartons-WUO_ERR'!A451 = "", "Validated", HYPERLINK("#" &amp; ADDRESS(451, 'Additional Cartons-WUO_TRK'!A451),_xlfn.TEXTAFTER('Additional Cartons-WUO_ERR'!A451, ":"))))</f>
        <v>0</v>
      </c>
    </row>
    <row r="452" spans="1:1">
      <c r="A452" s="39">
        <f>IF('Additional Cartons'!B452 = "", "", IF('Additional Cartons-WUO_ERR'!A452 = "", "Validated", HYPERLINK("#" &amp; ADDRESS(452, 'Additional Cartons-WUO_TRK'!A452),_xlfn.TEXTAFTER('Additional Cartons-WUO_ERR'!A452, ":"))))</f>
        <v>0</v>
      </c>
    </row>
    <row r="453" spans="1:1">
      <c r="A453" s="39">
        <f>IF('Additional Cartons'!B453 = "", "", IF('Additional Cartons-WUO_ERR'!A453 = "", "Validated", HYPERLINK("#" &amp; ADDRESS(453, 'Additional Cartons-WUO_TRK'!A453),_xlfn.TEXTAFTER('Additional Cartons-WUO_ERR'!A453, ":"))))</f>
        <v>0</v>
      </c>
    </row>
    <row r="454" spans="1:1">
      <c r="A454" s="39">
        <f>IF('Additional Cartons'!B454 = "", "", IF('Additional Cartons-WUO_ERR'!A454 = "", "Validated", HYPERLINK("#" &amp; ADDRESS(454, 'Additional Cartons-WUO_TRK'!A454),_xlfn.TEXTAFTER('Additional Cartons-WUO_ERR'!A454, ":"))))</f>
        <v>0</v>
      </c>
    </row>
    <row r="455" spans="1:1">
      <c r="A455" s="39">
        <f>IF('Additional Cartons'!B455 = "", "", IF('Additional Cartons-WUO_ERR'!A455 = "", "Validated", HYPERLINK("#" &amp; ADDRESS(455, 'Additional Cartons-WUO_TRK'!A455),_xlfn.TEXTAFTER('Additional Cartons-WUO_ERR'!A455, ":"))))</f>
        <v>0</v>
      </c>
    </row>
    <row r="456" spans="1:1">
      <c r="A456" s="39">
        <f>IF('Additional Cartons'!B456 = "", "", IF('Additional Cartons-WUO_ERR'!A456 = "", "Validated", HYPERLINK("#" &amp; ADDRESS(456, 'Additional Cartons-WUO_TRK'!A456),_xlfn.TEXTAFTER('Additional Cartons-WUO_ERR'!A456, ":"))))</f>
        <v>0</v>
      </c>
    </row>
    <row r="457" spans="1:1">
      <c r="A457" s="39">
        <f>IF('Additional Cartons'!B457 = "", "", IF('Additional Cartons-WUO_ERR'!A457 = "", "Validated", HYPERLINK("#" &amp; ADDRESS(457, 'Additional Cartons-WUO_TRK'!A457),_xlfn.TEXTAFTER('Additional Cartons-WUO_ERR'!A457, ":"))))</f>
        <v>0</v>
      </c>
    </row>
    <row r="458" spans="1:1">
      <c r="A458" s="39">
        <f>IF('Additional Cartons'!B458 = "", "", IF('Additional Cartons-WUO_ERR'!A458 = "", "Validated", HYPERLINK("#" &amp; ADDRESS(458, 'Additional Cartons-WUO_TRK'!A458),_xlfn.TEXTAFTER('Additional Cartons-WUO_ERR'!A458, ":"))))</f>
        <v>0</v>
      </c>
    </row>
    <row r="459" spans="1:1">
      <c r="A459" s="39">
        <f>IF('Additional Cartons'!B459 = "", "", IF('Additional Cartons-WUO_ERR'!A459 = "", "Validated", HYPERLINK("#" &amp; ADDRESS(459, 'Additional Cartons-WUO_TRK'!A459),_xlfn.TEXTAFTER('Additional Cartons-WUO_ERR'!A459, ":"))))</f>
        <v>0</v>
      </c>
    </row>
    <row r="460" spans="1:1">
      <c r="A460" s="39">
        <f>IF('Additional Cartons'!B460 = "", "", IF('Additional Cartons-WUO_ERR'!A460 = "", "Validated", HYPERLINK("#" &amp; ADDRESS(460, 'Additional Cartons-WUO_TRK'!A460),_xlfn.TEXTAFTER('Additional Cartons-WUO_ERR'!A460, ":"))))</f>
        <v>0</v>
      </c>
    </row>
    <row r="461" spans="1:1">
      <c r="A461" s="39">
        <f>IF('Additional Cartons'!B461 = "", "", IF('Additional Cartons-WUO_ERR'!A461 = "", "Validated", HYPERLINK("#" &amp; ADDRESS(461, 'Additional Cartons-WUO_TRK'!A461),_xlfn.TEXTAFTER('Additional Cartons-WUO_ERR'!A461, ":"))))</f>
        <v>0</v>
      </c>
    </row>
    <row r="462" spans="1:1">
      <c r="A462" s="39">
        <f>IF('Additional Cartons'!B462 = "", "", IF('Additional Cartons-WUO_ERR'!A462 = "", "Validated", HYPERLINK("#" &amp; ADDRESS(462, 'Additional Cartons-WUO_TRK'!A462),_xlfn.TEXTAFTER('Additional Cartons-WUO_ERR'!A462, ":"))))</f>
        <v>0</v>
      </c>
    </row>
    <row r="463" spans="1:1">
      <c r="A463" s="39">
        <f>IF('Additional Cartons'!B463 = "", "", IF('Additional Cartons-WUO_ERR'!A463 = "", "Validated", HYPERLINK("#" &amp; ADDRESS(463, 'Additional Cartons-WUO_TRK'!A463),_xlfn.TEXTAFTER('Additional Cartons-WUO_ERR'!A463, ":"))))</f>
        <v>0</v>
      </c>
    </row>
    <row r="464" spans="1:1">
      <c r="A464" s="39">
        <f>IF('Additional Cartons'!B464 = "", "", IF('Additional Cartons-WUO_ERR'!A464 = "", "Validated", HYPERLINK("#" &amp; ADDRESS(464, 'Additional Cartons-WUO_TRK'!A464),_xlfn.TEXTAFTER('Additional Cartons-WUO_ERR'!A464, ":"))))</f>
        <v>0</v>
      </c>
    </row>
    <row r="465" spans="1:1">
      <c r="A465" s="39">
        <f>IF('Additional Cartons'!B465 = "", "", IF('Additional Cartons-WUO_ERR'!A465 = "", "Validated", HYPERLINK("#" &amp; ADDRESS(465, 'Additional Cartons-WUO_TRK'!A465),_xlfn.TEXTAFTER('Additional Cartons-WUO_ERR'!A465, ":"))))</f>
        <v>0</v>
      </c>
    </row>
    <row r="466" spans="1:1">
      <c r="A466" s="39">
        <f>IF('Additional Cartons'!B466 = "", "", IF('Additional Cartons-WUO_ERR'!A466 = "", "Validated", HYPERLINK("#" &amp; ADDRESS(466, 'Additional Cartons-WUO_TRK'!A466),_xlfn.TEXTAFTER('Additional Cartons-WUO_ERR'!A466, ":"))))</f>
        <v>0</v>
      </c>
    </row>
    <row r="467" spans="1:1">
      <c r="A467" s="39">
        <f>IF('Additional Cartons'!B467 = "", "", IF('Additional Cartons-WUO_ERR'!A467 = "", "Validated", HYPERLINK("#" &amp; ADDRESS(467, 'Additional Cartons-WUO_TRK'!A467),_xlfn.TEXTAFTER('Additional Cartons-WUO_ERR'!A467, ":"))))</f>
        <v>0</v>
      </c>
    </row>
    <row r="468" spans="1:1">
      <c r="A468" s="39">
        <f>IF('Additional Cartons'!B468 = "", "", IF('Additional Cartons-WUO_ERR'!A468 = "", "Validated", HYPERLINK("#" &amp; ADDRESS(468, 'Additional Cartons-WUO_TRK'!A468),_xlfn.TEXTAFTER('Additional Cartons-WUO_ERR'!A468, ":"))))</f>
        <v>0</v>
      </c>
    </row>
    <row r="469" spans="1:1">
      <c r="A469" s="39">
        <f>IF('Additional Cartons'!B469 = "", "", IF('Additional Cartons-WUO_ERR'!A469 = "", "Validated", HYPERLINK("#" &amp; ADDRESS(469, 'Additional Cartons-WUO_TRK'!A469),_xlfn.TEXTAFTER('Additional Cartons-WUO_ERR'!A469, ":"))))</f>
        <v>0</v>
      </c>
    </row>
    <row r="470" spans="1:1">
      <c r="A470" s="39">
        <f>IF('Additional Cartons'!B470 = "", "", IF('Additional Cartons-WUO_ERR'!A470 = "", "Validated", HYPERLINK("#" &amp; ADDRESS(470, 'Additional Cartons-WUO_TRK'!A470),_xlfn.TEXTAFTER('Additional Cartons-WUO_ERR'!A470, ":"))))</f>
        <v>0</v>
      </c>
    </row>
    <row r="471" spans="1:1">
      <c r="A471" s="39">
        <f>IF('Additional Cartons'!B471 = "", "", IF('Additional Cartons-WUO_ERR'!A471 = "", "Validated", HYPERLINK("#" &amp; ADDRESS(471, 'Additional Cartons-WUO_TRK'!A471),_xlfn.TEXTAFTER('Additional Cartons-WUO_ERR'!A471, ":"))))</f>
        <v>0</v>
      </c>
    </row>
    <row r="472" spans="1:1">
      <c r="A472" s="39">
        <f>IF('Additional Cartons'!B472 = "", "", IF('Additional Cartons-WUO_ERR'!A472 = "", "Validated", HYPERLINK("#" &amp; ADDRESS(472, 'Additional Cartons-WUO_TRK'!A472),_xlfn.TEXTAFTER('Additional Cartons-WUO_ERR'!A472, ":"))))</f>
        <v>0</v>
      </c>
    </row>
    <row r="473" spans="1:1">
      <c r="A473" s="39">
        <f>IF('Additional Cartons'!B473 = "", "", IF('Additional Cartons-WUO_ERR'!A473 = "", "Validated", HYPERLINK("#" &amp; ADDRESS(473, 'Additional Cartons-WUO_TRK'!A473),_xlfn.TEXTAFTER('Additional Cartons-WUO_ERR'!A473, ":"))))</f>
        <v>0</v>
      </c>
    </row>
    <row r="474" spans="1:1">
      <c r="A474" s="39">
        <f>IF('Additional Cartons'!B474 = "", "", IF('Additional Cartons-WUO_ERR'!A474 = "", "Validated", HYPERLINK("#" &amp; ADDRESS(474, 'Additional Cartons-WUO_TRK'!A474),_xlfn.TEXTAFTER('Additional Cartons-WUO_ERR'!A474, ":"))))</f>
        <v>0</v>
      </c>
    </row>
    <row r="475" spans="1:1">
      <c r="A475" s="39">
        <f>IF('Additional Cartons'!B475 = "", "", IF('Additional Cartons-WUO_ERR'!A475 = "", "Validated", HYPERLINK("#" &amp; ADDRESS(475, 'Additional Cartons-WUO_TRK'!A475),_xlfn.TEXTAFTER('Additional Cartons-WUO_ERR'!A475, ":"))))</f>
        <v>0</v>
      </c>
    </row>
    <row r="476" spans="1:1">
      <c r="A476" s="39">
        <f>IF('Additional Cartons'!B476 = "", "", IF('Additional Cartons-WUO_ERR'!A476 = "", "Validated", HYPERLINK("#" &amp; ADDRESS(476, 'Additional Cartons-WUO_TRK'!A476),_xlfn.TEXTAFTER('Additional Cartons-WUO_ERR'!A476, ":"))))</f>
        <v>0</v>
      </c>
    </row>
    <row r="477" spans="1:1">
      <c r="A477" s="39">
        <f>IF('Additional Cartons'!B477 = "", "", IF('Additional Cartons-WUO_ERR'!A477 = "", "Validated", HYPERLINK("#" &amp; ADDRESS(477, 'Additional Cartons-WUO_TRK'!A477),_xlfn.TEXTAFTER('Additional Cartons-WUO_ERR'!A477, ":"))))</f>
        <v>0</v>
      </c>
    </row>
    <row r="478" spans="1:1">
      <c r="A478" s="39">
        <f>IF('Additional Cartons'!B478 = "", "", IF('Additional Cartons-WUO_ERR'!A478 = "", "Validated", HYPERLINK("#" &amp; ADDRESS(478, 'Additional Cartons-WUO_TRK'!A478),_xlfn.TEXTAFTER('Additional Cartons-WUO_ERR'!A478, ":"))))</f>
        <v>0</v>
      </c>
    </row>
    <row r="479" spans="1:1">
      <c r="A479" s="39">
        <f>IF('Additional Cartons'!B479 = "", "", IF('Additional Cartons-WUO_ERR'!A479 = "", "Validated", HYPERLINK("#" &amp; ADDRESS(479, 'Additional Cartons-WUO_TRK'!A479),_xlfn.TEXTAFTER('Additional Cartons-WUO_ERR'!A479, ":"))))</f>
        <v>0</v>
      </c>
    </row>
    <row r="480" spans="1:1">
      <c r="A480" s="39">
        <f>IF('Additional Cartons'!B480 = "", "", IF('Additional Cartons-WUO_ERR'!A480 = "", "Validated", HYPERLINK("#" &amp; ADDRESS(480, 'Additional Cartons-WUO_TRK'!A480),_xlfn.TEXTAFTER('Additional Cartons-WUO_ERR'!A480, ":"))))</f>
        <v>0</v>
      </c>
    </row>
    <row r="481" spans="1:1">
      <c r="A481" s="39">
        <f>IF('Additional Cartons'!B481 = "", "", IF('Additional Cartons-WUO_ERR'!A481 = "", "Validated", HYPERLINK("#" &amp; ADDRESS(481, 'Additional Cartons-WUO_TRK'!A481),_xlfn.TEXTAFTER('Additional Cartons-WUO_ERR'!A481, ":"))))</f>
        <v>0</v>
      </c>
    </row>
    <row r="482" spans="1:1">
      <c r="A482" s="39">
        <f>IF('Additional Cartons'!B482 = "", "", IF('Additional Cartons-WUO_ERR'!A482 = "", "Validated", HYPERLINK("#" &amp; ADDRESS(482, 'Additional Cartons-WUO_TRK'!A482),_xlfn.TEXTAFTER('Additional Cartons-WUO_ERR'!A482, ":"))))</f>
        <v>0</v>
      </c>
    </row>
    <row r="483" spans="1:1">
      <c r="A483" s="39">
        <f>IF('Additional Cartons'!B483 = "", "", IF('Additional Cartons-WUO_ERR'!A483 = "", "Validated", HYPERLINK("#" &amp; ADDRESS(483, 'Additional Cartons-WUO_TRK'!A483),_xlfn.TEXTAFTER('Additional Cartons-WUO_ERR'!A483, ":"))))</f>
        <v>0</v>
      </c>
    </row>
    <row r="484" spans="1:1">
      <c r="A484" s="39">
        <f>IF('Additional Cartons'!B484 = "", "", IF('Additional Cartons-WUO_ERR'!A484 = "", "Validated", HYPERLINK("#" &amp; ADDRESS(484, 'Additional Cartons-WUO_TRK'!A484),_xlfn.TEXTAFTER('Additional Cartons-WUO_ERR'!A484, ":"))))</f>
        <v>0</v>
      </c>
    </row>
    <row r="485" spans="1:1">
      <c r="A485" s="39">
        <f>IF('Additional Cartons'!B485 = "", "", IF('Additional Cartons-WUO_ERR'!A485 = "", "Validated", HYPERLINK("#" &amp; ADDRESS(485, 'Additional Cartons-WUO_TRK'!A485),_xlfn.TEXTAFTER('Additional Cartons-WUO_ERR'!A485, ":"))))</f>
        <v>0</v>
      </c>
    </row>
    <row r="486" spans="1:1">
      <c r="A486" s="39">
        <f>IF('Additional Cartons'!B486 = "", "", IF('Additional Cartons-WUO_ERR'!A486 = "", "Validated", HYPERLINK("#" &amp; ADDRESS(486, 'Additional Cartons-WUO_TRK'!A486),_xlfn.TEXTAFTER('Additional Cartons-WUO_ERR'!A486, ":"))))</f>
        <v>0</v>
      </c>
    </row>
    <row r="487" spans="1:1">
      <c r="A487" s="39">
        <f>IF('Additional Cartons'!B487 = "", "", IF('Additional Cartons-WUO_ERR'!A487 = "", "Validated", HYPERLINK("#" &amp; ADDRESS(487, 'Additional Cartons-WUO_TRK'!A487),_xlfn.TEXTAFTER('Additional Cartons-WUO_ERR'!A487, ":"))))</f>
        <v>0</v>
      </c>
    </row>
    <row r="488" spans="1:1">
      <c r="A488" s="39">
        <f>IF('Additional Cartons'!B488 = "", "", IF('Additional Cartons-WUO_ERR'!A488 = "", "Validated", HYPERLINK("#" &amp; ADDRESS(488, 'Additional Cartons-WUO_TRK'!A488),_xlfn.TEXTAFTER('Additional Cartons-WUO_ERR'!A488, ":"))))</f>
        <v>0</v>
      </c>
    </row>
    <row r="489" spans="1:1">
      <c r="A489" s="39">
        <f>IF('Additional Cartons'!B489 = "", "", IF('Additional Cartons-WUO_ERR'!A489 = "", "Validated", HYPERLINK("#" &amp; ADDRESS(489, 'Additional Cartons-WUO_TRK'!A489),_xlfn.TEXTAFTER('Additional Cartons-WUO_ERR'!A489, ":"))))</f>
        <v>0</v>
      </c>
    </row>
    <row r="490" spans="1:1">
      <c r="A490" s="39">
        <f>IF('Additional Cartons'!B490 = "", "", IF('Additional Cartons-WUO_ERR'!A490 = "", "Validated", HYPERLINK("#" &amp; ADDRESS(490, 'Additional Cartons-WUO_TRK'!A490),_xlfn.TEXTAFTER('Additional Cartons-WUO_ERR'!A490, ":"))))</f>
        <v>0</v>
      </c>
    </row>
    <row r="491" spans="1:1">
      <c r="A491" s="39">
        <f>IF('Additional Cartons'!B491 = "", "", IF('Additional Cartons-WUO_ERR'!A491 = "", "Validated", HYPERLINK("#" &amp; ADDRESS(491, 'Additional Cartons-WUO_TRK'!A491),_xlfn.TEXTAFTER('Additional Cartons-WUO_ERR'!A491, ":"))))</f>
        <v>0</v>
      </c>
    </row>
    <row r="492" spans="1:1">
      <c r="A492" s="39">
        <f>IF('Additional Cartons'!B492 = "", "", IF('Additional Cartons-WUO_ERR'!A492 = "", "Validated", HYPERLINK("#" &amp; ADDRESS(492, 'Additional Cartons-WUO_TRK'!A492),_xlfn.TEXTAFTER('Additional Cartons-WUO_ERR'!A492, ":"))))</f>
        <v>0</v>
      </c>
    </row>
    <row r="493" spans="1:1">
      <c r="A493" s="39">
        <f>IF('Additional Cartons'!B493 = "", "", IF('Additional Cartons-WUO_ERR'!A493 = "", "Validated", HYPERLINK("#" &amp; ADDRESS(493, 'Additional Cartons-WUO_TRK'!A493),_xlfn.TEXTAFTER('Additional Cartons-WUO_ERR'!A493, ":"))))</f>
        <v>0</v>
      </c>
    </row>
    <row r="494" spans="1:1">
      <c r="A494" s="39">
        <f>IF('Additional Cartons'!B494 = "", "", IF('Additional Cartons-WUO_ERR'!A494 = "", "Validated", HYPERLINK("#" &amp; ADDRESS(494, 'Additional Cartons-WUO_TRK'!A494),_xlfn.TEXTAFTER('Additional Cartons-WUO_ERR'!A494, ":"))))</f>
        <v>0</v>
      </c>
    </row>
    <row r="495" spans="1:1">
      <c r="A495" s="39">
        <f>IF('Additional Cartons'!B495 = "", "", IF('Additional Cartons-WUO_ERR'!A495 = "", "Validated", HYPERLINK("#" &amp; ADDRESS(495, 'Additional Cartons-WUO_TRK'!A495),_xlfn.TEXTAFTER('Additional Cartons-WUO_ERR'!A495, ":"))))</f>
        <v>0</v>
      </c>
    </row>
    <row r="496" spans="1:1">
      <c r="A496" s="39">
        <f>IF('Additional Cartons'!B496 = "", "", IF('Additional Cartons-WUO_ERR'!A496 = "", "Validated", HYPERLINK("#" &amp; ADDRESS(496, 'Additional Cartons-WUO_TRK'!A496),_xlfn.TEXTAFTER('Additional Cartons-WUO_ERR'!A496, ":"))))</f>
        <v>0</v>
      </c>
    </row>
    <row r="497" spans="1:1">
      <c r="A497" s="39">
        <f>IF('Additional Cartons'!B497 = "", "", IF('Additional Cartons-WUO_ERR'!A497 = "", "Validated", HYPERLINK("#" &amp; ADDRESS(497, 'Additional Cartons-WUO_TRK'!A497),_xlfn.TEXTAFTER('Additional Cartons-WUO_ERR'!A497, ":"))))</f>
        <v>0</v>
      </c>
    </row>
    <row r="498" spans="1:1">
      <c r="A498" s="39">
        <f>IF('Additional Cartons'!B498 = "", "", IF('Additional Cartons-WUO_ERR'!A498 = "", "Validated", HYPERLINK("#" &amp; ADDRESS(498, 'Additional Cartons-WUO_TRK'!A498),_xlfn.TEXTAFTER('Additional Cartons-WUO_ERR'!A498, ":"))))</f>
        <v>0</v>
      </c>
    </row>
    <row r="499" spans="1:1">
      <c r="A499" s="39">
        <f>IF('Additional Cartons'!B499 = "", "", IF('Additional Cartons-WUO_ERR'!A499 = "", "Validated", HYPERLINK("#" &amp; ADDRESS(499, 'Additional Cartons-WUO_TRK'!A499),_xlfn.TEXTAFTER('Additional Cartons-WUO_ERR'!A499, ":"))))</f>
        <v>0</v>
      </c>
    </row>
    <row r="500" spans="1:1">
      <c r="A500" s="39">
        <f>IF('Additional Cartons'!B500 = "", "", IF('Additional Cartons-WUO_ERR'!A500 = "", "Validated", HYPERLINK("#" &amp; ADDRESS(500, 'Additional Cartons-WUO_TRK'!A500),_xlfn.TEXTAFTER('Additional Cartons-WUO_ERR'!A500, ":"))))</f>
        <v>0</v>
      </c>
    </row>
    <row r="501" spans="1:1">
      <c r="A501" s="39">
        <f>IF('Additional Cartons'!B501 = "", "", IF('Additional Cartons-WUO_ERR'!A501 = "", "Validated", HYPERLINK("#" &amp; ADDRESS(501, 'Additional Cartons-WUO_TRK'!A501),_xlfn.TEXTAFTER('Additional Cartons-WUO_ERR'!A501, ":"))))</f>
        <v>0</v>
      </c>
    </row>
    <row r="502" spans="1:1">
      <c r="A502" s="39">
        <f>IF('Additional Cartons'!B502 = "", "", IF('Additional Cartons-WUO_ERR'!A502 = "", "Validated", HYPERLINK("#" &amp; ADDRESS(502, 'Additional Cartons-WUO_TRK'!A502),_xlfn.TEXTAFTER('Additional Cartons-WUO_ERR'!A502, ":"))))</f>
        <v>0</v>
      </c>
    </row>
    <row r="503" spans="1:1">
      <c r="A503" s="39">
        <f>IF('Additional Cartons'!B503 = "", "", IF('Additional Cartons-WUO_ERR'!A503 = "", "Validated", HYPERLINK("#" &amp; ADDRESS(503, 'Additional Cartons-WUO_TRK'!A503),_xlfn.TEXTAFTER('Additional Cartons-WUO_ERR'!A503, ":"))))</f>
        <v>0</v>
      </c>
    </row>
    <row r="504" spans="1:1">
      <c r="A504" s="39">
        <f>IF('Additional Cartons'!B504 = "", "", IF('Additional Cartons-WUO_ERR'!A504 = "", "Validated", HYPERLINK("#" &amp; ADDRESS(504, 'Additional Cartons-WUO_TRK'!A504),_xlfn.TEXTAFTER('Additional Cartons-WUO_ERR'!A504, ":"))))</f>
        <v>0</v>
      </c>
    </row>
    <row r="505" spans="1:1">
      <c r="A505" s="39">
        <f>IF('Additional Cartons'!B505 = "", "", IF('Additional Cartons-WUO_ERR'!A505 = "", "Validated", HYPERLINK("#" &amp; ADDRESS(505, 'Additional Cartons-WUO_TRK'!A505),_xlfn.TEXTAFTER('Additional Cartons-WUO_ERR'!A505, ":"))))</f>
        <v>0</v>
      </c>
    </row>
    <row r="506" spans="1:1">
      <c r="A506" s="39">
        <f>IF('Additional Cartons'!B506 = "", "", IF('Additional Cartons-WUO_ERR'!A506 = "", "Validated", HYPERLINK("#" &amp; ADDRESS(506, 'Additional Cartons-WUO_TRK'!A506),_xlfn.TEXTAFTER('Additional Cartons-WUO_ERR'!A506, ":"))))</f>
        <v>0</v>
      </c>
    </row>
    <row r="507" spans="1:1">
      <c r="A507" s="39">
        <f>IF('Additional Cartons'!B507 = "", "", IF('Additional Cartons-WUO_ERR'!A507 = "", "Validated", HYPERLINK("#" &amp; ADDRESS(507, 'Additional Cartons-WUO_TRK'!A507),_xlfn.TEXTAFTER('Additional Cartons-WUO_ERR'!A507, ":"))))</f>
        <v>0</v>
      </c>
    </row>
  </sheetData>
  <sheetProtection password="E718"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Cartons-WUO_TRK'!B7:G7,"Error"),COUNTIF('Additional Cartons-WUO_TRK'!B7:G7,"Required"))</formula>
    </cfRule>
    <cfRule type="expression" dxfId="6" priority="7">
      <formula>COUNTIF('Additional Cartons-WUO_TRK'!B7:G7,"Warning")</formula>
    </cfRule>
  </conditionalFormatting>
  <conditionalFormatting sqref="B7:G507">
    <cfRule type="expression" dxfId="0" priority="1">
      <formula>'Additional Cartons-WUO_TRK'!B7="Error"</formula>
    </cfRule>
    <cfRule type="expression" dxfId="1" priority="2">
      <formula>'Additional Cartons-WUO_TRK'!B7="Required"</formula>
    </cfRule>
    <cfRule type="expression" dxfId="2" priority="3">
      <formula>'Additional Cartons-WUO_TRK'!B7="Warning"</formula>
    </cfRule>
    <cfRule type="expression" dxfId="3" priority="4">
      <formula>'Additional Cartons-WUO_TRK'!B7="Disabled"</formula>
    </cfRule>
  </conditionalFormatting>
  <dataValidations count="4">
    <dataValidation type="textLength" operator="lessThanOrEqual" errorStyle="warning" showInputMessage="1" showErrorMessage="1" errorTitle="Invalid Number" error="The value provided is not a valid Number." promptTitle="Carton Weight" prompt="Please enter Number" sqref="C7:C2500">
      <formula1>32767</formula1>
    </dataValidation>
    <dataValidation type="textLength" operator="lessThanOrEqual" errorStyle="warning" showInputMessage="1" showErrorMessage="1" errorTitle="Invalid Number" error="The value provided is not a valid Number." promptTitle="Carton Height" prompt="Please enter Number" sqref="D7:D2500">
      <formula1>32767</formula1>
    </dataValidation>
    <dataValidation type="textLength" operator="lessThanOrEqual" errorStyle="warning" showInputMessage="1" showErrorMessage="1" errorTitle="Invalid Number" error="The value provided is not a valid Number." promptTitle="Carton Width" prompt="Please enter Number" sqref="E7:E2500">
      <formula1>32767</formula1>
    </dataValidation>
    <dataValidation type="textLength" operator="lessThanOrEqual" errorStyle="warning" showInputMessage="1" showErrorMessage="1" errorTitle="Invalid Number" error="The value provided is not a valid Number." promptTitle="Carton Depth" prompt="Please enter Number" sqref="F7:F2500">
      <formula1>32767</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2220</v>
      </c>
      <c r="C1" s="22" t="s">
        <v>2320</v>
      </c>
      <c r="D1" s="22" t="s">
        <v>2323</v>
      </c>
      <c r="E1" s="22" t="s">
        <v>2326</v>
      </c>
      <c r="F1" s="22" t="s">
        <v>2329</v>
      </c>
    </row>
    <row r="3" spans="1:6">
      <c r="B3" s="32" t="s">
        <v>58</v>
      </c>
      <c r="C3" s="32" t="s">
        <v>64</v>
      </c>
      <c r="D3" s="32" t="s">
        <v>64</v>
      </c>
      <c r="E3" s="32" t="s">
        <v>64</v>
      </c>
      <c r="F3" s="32" t="s">
        <v>64</v>
      </c>
    </row>
    <row r="4" spans="1:6" ht="50" customHeight="1">
      <c r="B4" s="19" t="s">
        <v>2221</v>
      </c>
      <c r="C4" s="19" t="s">
        <v>2555</v>
      </c>
      <c r="D4" s="19" t="s">
        <v>2556</v>
      </c>
      <c r="E4" s="19" t="s">
        <v>2557</v>
      </c>
      <c r="F4" s="19" t="s">
        <v>2558</v>
      </c>
    </row>
    <row r="5" spans="1:6" ht="50" customHeight="1">
      <c r="B5" s="35" t="s">
        <v>2222</v>
      </c>
      <c r="C5" s="35" t="s">
        <v>2322</v>
      </c>
      <c r="D5" s="35" t="s">
        <v>2325</v>
      </c>
      <c r="E5" s="35" t="s">
        <v>2328</v>
      </c>
      <c r="F5" s="35" t="s">
        <v>2331</v>
      </c>
    </row>
    <row r="6" spans="1:6" ht="50" customHeight="1">
      <c r="B6" s="35" t="s">
        <v>67</v>
      </c>
      <c r="C6" s="35" t="s">
        <v>2266</v>
      </c>
      <c r="D6" s="35" t="s">
        <v>2266</v>
      </c>
      <c r="E6" s="35" t="s">
        <v>2266</v>
      </c>
      <c r="F6" s="35" t="s">
        <v>2266</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Cartons'!B7:B507, 'Additional Cartons'!B7:B507,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Cartons'!B7:B507, 'Additional Cartons'!C7:C507, 'Additional Cartons'!D7:D507, 'Additional Cartons'!E7:E507, 'Additional Cartons'!F7:F507, _xlfn.LAMBDA(_xlpm.part, _xlpm.val, _xlpm.dep1, _xlpm.dep2, _xlpm.dep3, IF(_xlpm.part = "", "", _xlfn.LET(_xlpm.check1, IF(AND(NOT(ISBLANK(_xlpm.val)),OR(NOT(ISNUMBER(IFERROR(VALUE(_xlpm.val), ""))), IFERROR(VALUE(_xlpm.val), -1) &lt; 0)), "1:Carton Weight - Value should be numeric", ""), IF(LEN(_xlpm.check1) &gt; 0, _xlpm.check1, _xlfn.LET(_xlpm.check2, IF(AND(_xlpm.val &lt;&gt; "" ,IFERROR(VALUE(_xlpm.val), _xlpm.val)&lt;0), "1:Shipping weight must be a positive number", ""), IF(LEN(_xlpm.check2) &gt; 0, _xlpm.check2, _xlfn.LET(_xlpm.check3, IF(AND(_xlpm.val = "", C$3="Required"), "3:Carton Weight - Value is required", ""), IF(LEN(_xlpm.check3) &gt; 0, _xlpm.check3, _xlfn.LET(_xlpm.check4, IF(OR(_xlpm.dep1 &lt;&gt; "", _xlpm.dep2 &lt;&gt; "", _xlpm.dep3 &lt;&gt; ""), IF(_xlpm.val = "", "3:Shipping weight is required", ""), ""), IF(LEN(_xlpm.check4) &gt; 0, _xlpm.check4, IF(AND(_xlpm.dep3 = "", _xlpm.dep1 = "", _xlpm.dep2 = ""), IF(_xlpm.val = "", "3:Shipping weight is required", ""), ""))))))))))))</f>
        <v>0</v>
      </c>
      <c r="D7" s="22" cm="1">
        <f t="array" ref="D7">_xlfn.MAP('Additional Cartons'!B7:B507, 'Additional Cartons'!D7:D507, 'Additional Cartons'!C7:C507, 'Additional Cartons'!E7:E507, 'Additional Cartons'!F7:F507, _xlfn.LAMBDA(_xlpm.part, _xlpm.val, _xlpm.dep1, _xlpm.dep2, _xlpm.dep3, IF(_xlpm.part = "", "", _xlfn.LET(_xlpm.check1, IF(AND(NOT(ISBLANK(_xlpm.val)),OR(NOT(ISNUMBER(IFERROR(VALUE(_xlpm.val), ""))), IFERROR(VALUE(_xlpm.val), -1) &lt; 0)), "1:Carton Height - Value should be numeric", ""), IF(LEN(_xlpm.check1) &gt; 0, _xlpm.check1, _xlfn.LET(_xlpm.check2, IF(AND(_xlpm.val &lt;&gt; "" ,IFERROR(VALUE(_xlpm.val), _xlpm.val)&lt;0), "1:Carton height must be a positive number", ""), IF(LEN(_xlpm.check2) &gt; 0, _xlpm.check2, _xlfn.LET(_xlpm.check3, IF(AND(_xlpm.val = "", D$3="Required"), "3:Carton Height - Value is required", ""), IF(LEN(_xlpm.check3) &gt; 0, _xlpm.check3, _xlfn.LET(_xlpm.check4, IF(OR(_xlpm.dep1 &lt;&gt; "", _xlpm.dep2 &lt;&gt; "", _xlpm.dep3 &lt;&gt; ""), IF(_xlpm.val = "", "3:Carton height is required", ""), ""), IF(LEN(_xlpm.check4) &gt; 0, _xlpm.check4, IF(AND(_xlpm.dep1 = "", _xlpm.dep3 = "", _xlpm.dep2 = ""), IF(_xlpm.val = "", "3:Carton height is required", ""), ""))))))))))))</f>
        <v>0</v>
      </c>
      <c r="E7" s="22" cm="1">
        <f t="array" ref="E7">_xlfn.MAP('Additional Cartons'!B7:B507, 'Additional Cartons'!E7:E507, 'Additional Cartons'!C7:C507, 'Additional Cartons'!D7:D507, 'Additional Cartons'!F7:F507, _xlfn.LAMBDA(_xlpm.part, _xlpm.val, _xlpm.dep1, _xlpm.dep2, _xlpm.dep3, IF(_xlpm.part = "", "", _xlfn.LET(_xlpm.check1, IF(AND(NOT(ISBLANK(_xlpm.val)),OR(NOT(ISNUMBER(IFERROR(VALUE(_xlpm.val), ""))), IFERROR(VALUE(_xlpm.val), -1) &lt; 0)), "1:Carton Width - Value should be numeric", ""), IF(LEN(_xlpm.check1) &gt; 0, _xlpm.check1, _xlfn.LET(_xlpm.check2, IF(AND(_xlpm.val &lt;&gt; "" ,IFERROR(VALUE(_xlpm.val), _xlpm.val)&lt;0), "1:Carton width must be a positive number", ""), IF(LEN(_xlpm.check2) &gt; 0, _xlpm.check2, _xlfn.LET(_xlpm.check3, IF(AND(_xlpm.val = "", E$3="Required"), "3:Carton Width - Value is required", ""), IF(LEN(_xlpm.check3) &gt; 0, _xlpm.check3, _xlfn.LET(_xlpm.check4, IF(OR(_xlpm.dep1 &lt;&gt; "", _xlpm.dep2 &lt;&gt; "", _xlpm.dep3 &lt;&gt; ""), IF(_xlpm.val = "", "3:Carton width is required", ""), ""), IF(LEN(_xlpm.check4) &gt; 0, _xlpm.check4, IF(AND(_xlpm.dep1 = "", _xlpm.dep2 = "", _xlpm.dep3 = ""), IF(_xlpm.val = "", "3:Carton width is required", ""), ""))))))))))))</f>
        <v>0</v>
      </c>
      <c r="F7" s="22" cm="1">
        <f t="array" ref="F7">_xlfn.MAP('Additional Cartons'!B7:B507, 'Additional Cartons'!F7:F507, 'Additional Cartons'!C7:C507, 'Additional Cartons'!D7:D507, 'Additional Cartons'!E7:E507, _xlfn.LAMBDA(_xlpm.part, _xlpm.val, _xlpm.dep1, _xlpm.dep2, _xlpm.dep3, IF(_xlpm.part = "", "", _xlfn.LET(_xlpm.check1, IF(AND(NOT(ISBLANK(_xlpm.val)),OR(NOT(ISNUMBER(IFERROR(VALUE(_xlpm.val), ""))), IFERROR(VALUE(_xlpm.val), -1) &lt; 0)), "1:Carton Depth - Value should be numeric", ""), IF(LEN(_xlpm.check1) &gt; 0, _xlpm.check1, _xlfn.LET(_xlpm.check2, IF(AND(_xlpm.val &lt;&gt; "" ,IFERROR(VALUE(_xlpm.val), _xlpm.val)&lt;0), "1:Carton depth must be a positive number", ""), IF(LEN(_xlpm.check2) &gt; 0, _xlpm.check2, _xlfn.LET(_xlpm.check3, IF(AND(_xlpm.val = "", F$3="Required"), "3:Carton Depth - Value is required", ""), IF(LEN(_xlpm.check3) &gt; 0, _xlpm.check3, _xlfn.LET(_xlpm.check4, IF(OR(_xlpm.dep1 &lt;&gt; "", _xlpm.dep2 &lt;&gt; "", _xlpm.dep3 &lt;&gt; ""), IF(_xlpm.val = "", "3:Carton depth is required", ""), ""), IF(LEN(_xlpm.check4) &gt; 0, _xlpm.check4, IF(AND(_xlpm.dep1 = "", _xlpm.dep2 = "", _xlpm.dep3 = ""), IF(_xlpm.val = "", "3:Carton depth is required", ""), ""))))))))))))</f>
        <v>0</v>
      </c>
    </row>
  </sheetData>
  <sheetProtection password="D0E6"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4" width="18.7109375" style="22" customWidth="1"/>
    <col min="5" max="6" width="17.7109375" style="22" customWidth="1"/>
  </cols>
  <sheetData>
    <row r="1" spans="1:6" hidden="1">
      <c r="B1" s="22" t="s">
        <v>2220</v>
      </c>
      <c r="C1" s="22" t="s">
        <v>2320</v>
      </c>
      <c r="D1" s="22" t="s">
        <v>2323</v>
      </c>
      <c r="E1" s="22" t="s">
        <v>2326</v>
      </c>
      <c r="F1" s="22" t="s">
        <v>2329</v>
      </c>
    </row>
    <row r="3" spans="1:6">
      <c r="B3" s="32" t="s">
        <v>58</v>
      </c>
      <c r="C3" s="32" t="s">
        <v>64</v>
      </c>
      <c r="D3" s="32" t="s">
        <v>64</v>
      </c>
      <c r="E3" s="32" t="s">
        <v>64</v>
      </c>
      <c r="F3" s="32" t="s">
        <v>64</v>
      </c>
    </row>
    <row r="4" spans="1:6" ht="50" customHeight="1">
      <c r="B4" s="19" t="s">
        <v>2221</v>
      </c>
      <c r="C4" s="19" t="s">
        <v>2555</v>
      </c>
      <c r="D4" s="19" t="s">
        <v>2556</v>
      </c>
      <c r="E4" s="19" t="s">
        <v>2557</v>
      </c>
      <c r="F4" s="19" t="s">
        <v>2558</v>
      </c>
    </row>
    <row r="5" spans="1:6" ht="50" customHeight="1">
      <c r="B5" s="35" t="s">
        <v>2222</v>
      </c>
      <c r="C5" s="35" t="s">
        <v>2322</v>
      </c>
      <c r="D5" s="35" t="s">
        <v>2325</v>
      </c>
      <c r="E5" s="35" t="s">
        <v>2328</v>
      </c>
      <c r="F5" s="35" t="s">
        <v>2331</v>
      </c>
    </row>
    <row r="6" spans="1:6" ht="50" customHeight="1">
      <c r="B6" s="35" t="s">
        <v>67</v>
      </c>
      <c r="C6" s="35" t="s">
        <v>2266</v>
      </c>
      <c r="D6" s="35" t="s">
        <v>2266</v>
      </c>
      <c r="E6" s="35" t="s">
        <v>2266</v>
      </c>
      <c r="F6" s="35" t="s">
        <v>2266</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Cartons'!B7:B507, 'Additional Cartons'!B7:B507, 'Additional Cartons-WUO_ERR'!B7:B507, _xlfn.LAMBDA(_xlpm.part, _xlpm.val, _xlpm.error, IF(_xlpm.part = "", "", IF(LEN(_xlpm.error), _xlfn.SWITCH(IFERROR(_xlfn.TEXTBEFORE(_xlpm.error,":"), ""), "1", "Error", "2", "Disabled", "3", "Required", "4", "Warning", "Valid"), "Valid"))))</f>
        <v>0</v>
      </c>
      <c r="C7" s="22" cm="1">
        <f t="array" ref="C7">_xlfn.MAP('Additional Cartons'!B7:B507, 'Additional Cartons'!C7:C507, 'Additional Cartons-WUO_ERR'!C7:C507, _xlfn.LAMBDA(_xlpm.part, _xlpm.val, _xlpm.error, IF(_xlpm.part = "", "", IF(LEN(_xlpm.error), _xlfn.SWITCH(IFERROR(_xlfn.TEXTBEFORE(_xlpm.error,":"), ""), "1", "Error", "2", "Disabled", "3", "Required", "4", "Warning", "Valid"), "Valid"))))</f>
        <v>0</v>
      </c>
      <c r="D7" s="22" cm="1">
        <f t="array" ref="D7">_xlfn.MAP('Additional Cartons'!B7:B507, 'Additional Cartons'!D7:D507, 'Additional Cartons-WUO_ERR'!D7:D507, _xlfn.LAMBDA(_xlpm.part, _xlpm.val, _xlpm.error, IF(_xlpm.part = "", "", IF(LEN(_xlpm.error), _xlfn.SWITCH(IFERROR(_xlfn.TEXTBEFORE(_xlpm.error,":"), ""), "1", "Error", "2", "Disabled", "3", "Required", "4", "Warning", "Valid"), "Valid"))))</f>
        <v>0</v>
      </c>
      <c r="E7" s="22" cm="1">
        <f t="array" ref="E7">_xlfn.MAP('Additional Cartons'!B7:B507, 'Additional Cartons'!E7:E507, 'Additional Cartons-WUO_ERR'!E7:E507, _xlfn.LAMBDA(_xlpm.part, _xlpm.val, _xlpm.error, IF(_xlpm.part = "", "", IF(LEN(_xlpm.error), _xlfn.SWITCH(IFERROR(_xlfn.TEXTBEFORE(_xlpm.error,":"), ""), "1", "Error", "2", "Disabled", "3", "Required", "4", "Warning", "Valid"), "Valid"))))</f>
        <v>0</v>
      </c>
      <c r="F7" s="22" cm="1">
        <f t="array" ref="F7">_xlfn.MAP('Additional Cartons'!B7:B507, 'Additional Cartons'!F7:F507, 'Additional Cartons-WUO_ERR'!F7:F507, _xlfn.LAMBDA(_xlpm.part, _xlpm.val, _xlpm.error, IF(_xlpm.part = "", "", IF(LEN(_xlpm.error), _xlfn.SWITCH(IFERROR(_xlfn.TEXTBEFORE(_xlpm.error,":"), ""), "1", "Error", "2", "Disabled", "3", "Required", "4", "Warning", "Valid"), "Valid"))))</f>
        <v>0</v>
      </c>
    </row>
  </sheetData>
  <sheetProtection password="BAE7"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2220</v>
      </c>
      <c r="C1" s="22" t="s">
        <v>2332</v>
      </c>
    </row>
    <row r="2" spans="1:26">
      <c r="B2" s="23" t="s">
        <v>2484</v>
      </c>
      <c r="C2" s="29" t="s">
        <v>2490</v>
      </c>
    </row>
    <row r="3" spans="1:26">
      <c r="B3" s="32" t="s">
        <v>58</v>
      </c>
      <c r="C3" s="32" t="s">
        <v>62</v>
      </c>
    </row>
    <row r="4" spans="1:26" ht="50" customHeight="1">
      <c r="A4" s="19" t="s">
        <v>2217</v>
      </c>
      <c r="B4" s="19" t="s">
        <v>2221</v>
      </c>
      <c r="C4" s="19" t="s">
        <v>2559</v>
      </c>
    </row>
    <row r="5" spans="1:26" ht="50" customHeight="1">
      <c r="A5" s="35" t="s">
        <v>2218</v>
      </c>
      <c r="B5" s="35" t="s">
        <v>2222</v>
      </c>
      <c r="C5" s="35" t="s">
        <v>2334</v>
      </c>
    </row>
    <row r="6" spans="1:26" ht="50" customHeight="1">
      <c r="A6" s="35" t="s">
        <v>2219</v>
      </c>
      <c r="B6" s="35" t="s">
        <v>67</v>
      </c>
      <c r="C6" s="35" t="s">
        <v>67</v>
      </c>
    </row>
    <row r="7" spans="1:26">
      <c r="A7" s="39">
        <f>IF('Additional Images'!B7 = "", "", IF('Additional Images-WUO_ERR'!A7 = "", "Validated", HYPERLINK("#" &amp; ADDRESS(7, 'Additional Images-WUO_TRK'!A7),_xlfn.TEXTAFTER('Additional Images-WUO_ERR'!A7, ":"))))</f>
        <v>0</v>
      </c>
      <c r="Z7" cm="1">
        <f t="array" ref="Z7">IF(B7:B507="", "", IFERROR(_xlfn.XLOOKUP(B7:B507, _xlfn.VSTACK('6161 - Wallpaper'!B7:B507, '3757 - Wall Stickers'!B7:B507), _xlfn.VSTACK('6161 - Wallpaper'!G7:G507, '3757 - Wall Stickers'!G7:G507)), ""))</f>
        <v>0</v>
      </c>
    </row>
    <row r="8" spans="1:26">
      <c r="A8" s="39">
        <f>IF('Additional Images'!B8 = "", "", IF('Additional Images-WUO_ERR'!A8 = "", "Validated", HYPERLINK("#" &amp; ADDRESS(8, 'Additional Images-WUO_TRK'!A8),_xlfn.TEXTAFTER('Additional Images-WUO_ERR'!A8, ":"))))</f>
        <v>0</v>
      </c>
    </row>
    <row r="9" spans="1:26">
      <c r="A9" s="39">
        <f>IF('Additional Images'!B9 = "", "", IF('Additional Images-WUO_ERR'!A9 = "", "Validated", HYPERLINK("#" &amp; ADDRESS(9, 'Additional Images-WUO_TRK'!A9),_xlfn.TEXTAFTER('Additional Images-WUO_ERR'!A9, ":"))))</f>
        <v>0</v>
      </c>
    </row>
    <row r="10" spans="1:26">
      <c r="A10" s="39">
        <f>IF('Additional Images'!B10 = "", "", IF('Additional Images-WUO_ERR'!A10 = "", "Validated", HYPERLINK("#" &amp; ADDRESS(10, 'Additional Images-WUO_TRK'!A10),_xlfn.TEXTAFTER('Additional Images-WUO_ERR'!A10, ":"))))</f>
        <v>0</v>
      </c>
    </row>
    <row r="11" spans="1:26">
      <c r="A11" s="39">
        <f>IF('Additional Images'!B11 = "", "", IF('Additional Images-WUO_ERR'!A11 = "", "Validated", HYPERLINK("#" &amp; ADDRESS(11, 'Additional Images-WUO_TRK'!A11),_xlfn.TEXTAFTER('Additional Images-WUO_ERR'!A11, ":"))))</f>
        <v>0</v>
      </c>
    </row>
    <row r="12" spans="1:26">
      <c r="A12" s="39">
        <f>IF('Additional Images'!B12 = "", "", IF('Additional Images-WUO_ERR'!A12 = "", "Validated", HYPERLINK("#" &amp; ADDRESS(12, 'Additional Images-WUO_TRK'!A12),_xlfn.TEXTAFTER('Additional Images-WUO_ERR'!A12, ":"))))</f>
        <v>0</v>
      </c>
    </row>
    <row r="13" spans="1:26">
      <c r="A13" s="39">
        <f>IF('Additional Images'!B13 = "", "", IF('Additional Images-WUO_ERR'!A13 = "", "Validated", HYPERLINK("#" &amp; ADDRESS(13, 'Additional Images-WUO_TRK'!A13),_xlfn.TEXTAFTER('Additional Images-WUO_ERR'!A13, ":"))))</f>
        <v>0</v>
      </c>
    </row>
    <row r="14" spans="1:26">
      <c r="A14" s="39">
        <f>IF('Additional Images'!B14 = "", "", IF('Additional Images-WUO_ERR'!A14 = "", "Validated", HYPERLINK("#" &amp; ADDRESS(14, 'Additional Images-WUO_TRK'!A14),_xlfn.TEXTAFTER('Additional Images-WUO_ERR'!A14, ":"))))</f>
        <v>0</v>
      </c>
    </row>
    <row r="15" spans="1:26">
      <c r="A15" s="39">
        <f>IF('Additional Images'!B15 = "", "", IF('Additional Images-WUO_ERR'!A15 = "", "Validated", HYPERLINK("#" &amp; ADDRESS(15, 'Additional Images-WUO_TRK'!A15),_xlfn.TEXTAFTER('Additional Images-WUO_ERR'!A15, ":"))))</f>
        <v>0</v>
      </c>
    </row>
    <row r="16" spans="1:26">
      <c r="A16" s="39">
        <f>IF('Additional Images'!B16 = "", "", IF('Additional Images-WUO_ERR'!A16 = "", "Validated", HYPERLINK("#" &amp; ADDRESS(16, 'Additional Images-WUO_TRK'!A16),_xlfn.TEXTAFTER('Additional Images-WUO_ERR'!A16, ":"))))</f>
        <v>0</v>
      </c>
    </row>
    <row r="17" spans="1:1">
      <c r="A17" s="39">
        <f>IF('Additional Images'!B17 = "", "", IF('Additional Images-WUO_ERR'!A17 = "", "Validated", HYPERLINK("#" &amp; ADDRESS(17, 'Additional Images-WUO_TRK'!A17),_xlfn.TEXTAFTER('Additional Images-WUO_ERR'!A17, ":"))))</f>
        <v>0</v>
      </c>
    </row>
    <row r="18" spans="1:1">
      <c r="A18" s="39">
        <f>IF('Additional Images'!B18 = "", "", IF('Additional Images-WUO_ERR'!A18 = "", "Validated", HYPERLINK("#" &amp; ADDRESS(18, 'Additional Images-WUO_TRK'!A18),_xlfn.TEXTAFTER('Additional Images-WUO_ERR'!A18, ":"))))</f>
        <v>0</v>
      </c>
    </row>
    <row r="19" spans="1:1">
      <c r="A19" s="39">
        <f>IF('Additional Images'!B19 = "", "", IF('Additional Images-WUO_ERR'!A19 = "", "Validated", HYPERLINK("#" &amp; ADDRESS(19, 'Additional Images-WUO_TRK'!A19),_xlfn.TEXTAFTER('Additional Images-WUO_ERR'!A19, ":"))))</f>
        <v>0</v>
      </c>
    </row>
    <row r="20" spans="1:1">
      <c r="A20" s="39">
        <f>IF('Additional Images'!B20 = "", "", IF('Additional Images-WUO_ERR'!A20 = "", "Validated", HYPERLINK("#" &amp; ADDRESS(20, 'Additional Images-WUO_TRK'!A20),_xlfn.TEXTAFTER('Additional Images-WUO_ERR'!A20, ":"))))</f>
        <v>0</v>
      </c>
    </row>
    <row r="21" spans="1:1">
      <c r="A21" s="39">
        <f>IF('Additional Images'!B21 = "", "", IF('Additional Images-WUO_ERR'!A21 = "", "Validated", HYPERLINK("#" &amp; ADDRESS(21, 'Additional Images-WUO_TRK'!A21),_xlfn.TEXTAFTER('Additional Images-WUO_ERR'!A21, ":"))))</f>
        <v>0</v>
      </c>
    </row>
    <row r="22" spans="1:1">
      <c r="A22" s="39">
        <f>IF('Additional Images'!B22 = "", "", IF('Additional Images-WUO_ERR'!A22 = "", "Validated", HYPERLINK("#" &amp; ADDRESS(22, 'Additional Images-WUO_TRK'!A22),_xlfn.TEXTAFTER('Additional Images-WUO_ERR'!A22, ":"))))</f>
        <v>0</v>
      </c>
    </row>
    <row r="23" spans="1:1">
      <c r="A23" s="39">
        <f>IF('Additional Images'!B23 = "", "", IF('Additional Images-WUO_ERR'!A23 = "", "Validated", HYPERLINK("#" &amp; ADDRESS(23, 'Additional Images-WUO_TRK'!A23),_xlfn.TEXTAFTER('Additional Images-WUO_ERR'!A23, ":"))))</f>
        <v>0</v>
      </c>
    </row>
    <row r="24" spans="1:1">
      <c r="A24" s="39">
        <f>IF('Additional Images'!B24 = "", "", IF('Additional Images-WUO_ERR'!A24 = "", "Validated", HYPERLINK("#" &amp; ADDRESS(24, 'Additional Images-WUO_TRK'!A24),_xlfn.TEXTAFTER('Additional Images-WUO_ERR'!A24, ":"))))</f>
        <v>0</v>
      </c>
    </row>
    <row r="25" spans="1:1">
      <c r="A25" s="39">
        <f>IF('Additional Images'!B25 = "", "", IF('Additional Images-WUO_ERR'!A25 = "", "Validated", HYPERLINK("#" &amp; ADDRESS(25, 'Additional Images-WUO_TRK'!A25),_xlfn.TEXTAFTER('Additional Images-WUO_ERR'!A25, ":"))))</f>
        <v>0</v>
      </c>
    </row>
    <row r="26" spans="1:1">
      <c r="A26" s="39">
        <f>IF('Additional Images'!B26 = "", "", IF('Additional Images-WUO_ERR'!A26 = "", "Validated", HYPERLINK("#" &amp; ADDRESS(26, 'Additional Images-WUO_TRK'!A26),_xlfn.TEXTAFTER('Additional Images-WUO_ERR'!A26, ":"))))</f>
        <v>0</v>
      </c>
    </row>
    <row r="27" spans="1:1">
      <c r="A27" s="39">
        <f>IF('Additional Images'!B27 = "", "", IF('Additional Images-WUO_ERR'!A27 = "", "Validated", HYPERLINK("#" &amp; ADDRESS(27, 'Additional Images-WUO_TRK'!A27),_xlfn.TEXTAFTER('Additional Images-WUO_ERR'!A27, ":"))))</f>
        <v>0</v>
      </c>
    </row>
    <row r="28" spans="1:1">
      <c r="A28" s="39">
        <f>IF('Additional Images'!B28 = "", "", IF('Additional Images-WUO_ERR'!A28 = "", "Validated", HYPERLINK("#" &amp; ADDRESS(28, 'Additional Images-WUO_TRK'!A28),_xlfn.TEXTAFTER('Additional Images-WUO_ERR'!A28, ":"))))</f>
        <v>0</v>
      </c>
    </row>
    <row r="29" spans="1:1">
      <c r="A29" s="39">
        <f>IF('Additional Images'!B29 = "", "", IF('Additional Images-WUO_ERR'!A29 = "", "Validated", HYPERLINK("#" &amp; ADDRESS(29, 'Additional Images-WUO_TRK'!A29),_xlfn.TEXTAFTER('Additional Images-WUO_ERR'!A29, ":"))))</f>
        <v>0</v>
      </c>
    </row>
    <row r="30" spans="1:1">
      <c r="A30" s="39">
        <f>IF('Additional Images'!B30 = "", "", IF('Additional Images-WUO_ERR'!A30 = "", "Validated", HYPERLINK("#" &amp; ADDRESS(30, 'Additional Images-WUO_TRK'!A30),_xlfn.TEXTAFTER('Additional Images-WUO_ERR'!A30, ":"))))</f>
        <v>0</v>
      </c>
    </row>
    <row r="31" spans="1:1">
      <c r="A31" s="39">
        <f>IF('Additional Images'!B31 = "", "", IF('Additional Images-WUO_ERR'!A31 = "", "Validated", HYPERLINK("#" &amp; ADDRESS(31, 'Additional Images-WUO_TRK'!A31),_xlfn.TEXTAFTER('Additional Images-WUO_ERR'!A31, ":"))))</f>
        <v>0</v>
      </c>
    </row>
    <row r="32" spans="1:1">
      <c r="A32" s="39">
        <f>IF('Additional Images'!B32 = "", "", IF('Additional Images-WUO_ERR'!A32 = "", "Validated", HYPERLINK("#" &amp; ADDRESS(32, 'Additional Images-WUO_TRK'!A32),_xlfn.TEXTAFTER('Additional Images-WUO_ERR'!A32, ":"))))</f>
        <v>0</v>
      </c>
    </row>
    <row r="33" spans="1:1">
      <c r="A33" s="39">
        <f>IF('Additional Images'!B33 = "", "", IF('Additional Images-WUO_ERR'!A33 = "", "Validated", HYPERLINK("#" &amp; ADDRESS(33, 'Additional Images-WUO_TRK'!A33),_xlfn.TEXTAFTER('Additional Images-WUO_ERR'!A33, ":"))))</f>
        <v>0</v>
      </c>
    </row>
    <row r="34" spans="1:1">
      <c r="A34" s="39">
        <f>IF('Additional Images'!B34 = "", "", IF('Additional Images-WUO_ERR'!A34 = "", "Validated", HYPERLINK("#" &amp; ADDRESS(34, 'Additional Images-WUO_TRK'!A34),_xlfn.TEXTAFTER('Additional Images-WUO_ERR'!A34, ":"))))</f>
        <v>0</v>
      </c>
    </row>
    <row r="35" spans="1:1">
      <c r="A35" s="39">
        <f>IF('Additional Images'!B35 = "", "", IF('Additional Images-WUO_ERR'!A35 = "", "Validated", HYPERLINK("#" &amp; ADDRESS(35, 'Additional Images-WUO_TRK'!A35),_xlfn.TEXTAFTER('Additional Images-WUO_ERR'!A35, ":"))))</f>
        <v>0</v>
      </c>
    </row>
    <row r="36" spans="1:1">
      <c r="A36" s="39">
        <f>IF('Additional Images'!B36 = "", "", IF('Additional Images-WUO_ERR'!A36 = "", "Validated", HYPERLINK("#" &amp; ADDRESS(36, 'Additional Images-WUO_TRK'!A36),_xlfn.TEXTAFTER('Additional Images-WUO_ERR'!A36, ":"))))</f>
        <v>0</v>
      </c>
    </row>
    <row r="37" spans="1:1">
      <c r="A37" s="39">
        <f>IF('Additional Images'!B37 = "", "", IF('Additional Images-WUO_ERR'!A37 = "", "Validated", HYPERLINK("#" &amp; ADDRESS(37, 'Additional Images-WUO_TRK'!A37),_xlfn.TEXTAFTER('Additional Images-WUO_ERR'!A37, ":"))))</f>
        <v>0</v>
      </c>
    </row>
    <row r="38" spans="1:1">
      <c r="A38" s="39">
        <f>IF('Additional Images'!B38 = "", "", IF('Additional Images-WUO_ERR'!A38 = "", "Validated", HYPERLINK("#" &amp; ADDRESS(38, 'Additional Images-WUO_TRK'!A38),_xlfn.TEXTAFTER('Additional Images-WUO_ERR'!A38, ":"))))</f>
        <v>0</v>
      </c>
    </row>
    <row r="39" spans="1:1">
      <c r="A39" s="39">
        <f>IF('Additional Images'!B39 = "", "", IF('Additional Images-WUO_ERR'!A39 = "", "Validated", HYPERLINK("#" &amp; ADDRESS(39, 'Additional Images-WUO_TRK'!A39),_xlfn.TEXTAFTER('Additional Images-WUO_ERR'!A39, ":"))))</f>
        <v>0</v>
      </c>
    </row>
    <row r="40" spans="1:1">
      <c r="A40" s="39">
        <f>IF('Additional Images'!B40 = "", "", IF('Additional Images-WUO_ERR'!A40 = "", "Validated", HYPERLINK("#" &amp; ADDRESS(40, 'Additional Images-WUO_TRK'!A40),_xlfn.TEXTAFTER('Additional Images-WUO_ERR'!A40, ":"))))</f>
        <v>0</v>
      </c>
    </row>
    <row r="41" spans="1:1">
      <c r="A41" s="39">
        <f>IF('Additional Images'!B41 = "", "", IF('Additional Images-WUO_ERR'!A41 = "", "Validated", HYPERLINK("#" &amp; ADDRESS(41, 'Additional Images-WUO_TRK'!A41),_xlfn.TEXTAFTER('Additional Images-WUO_ERR'!A41, ":"))))</f>
        <v>0</v>
      </c>
    </row>
    <row r="42" spans="1:1">
      <c r="A42" s="39">
        <f>IF('Additional Images'!B42 = "", "", IF('Additional Images-WUO_ERR'!A42 = "", "Validated", HYPERLINK("#" &amp; ADDRESS(42, 'Additional Images-WUO_TRK'!A42),_xlfn.TEXTAFTER('Additional Images-WUO_ERR'!A42, ":"))))</f>
        <v>0</v>
      </c>
    </row>
    <row r="43" spans="1:1">
      <c r="A43" s="39">
        <f>IF('Additional Images'!B43 = "", "", IF('Additional Images-WUO_ERR'!A43 = "", "Validated", HYPERLINK("#" &amp; ADDRESS(43, 'Additional Images-WUO_TRK'!A43),_xlfn.TEXTAFTER('Additional Images-WUO_ERR'!A43, ":"))))</f>
        <v>0</v>
      </c>
    </row>
    <row r="44" spans="1:1">
      <c r="A44" s="39">
        <f>IF('Additional Images'!B44 = "", "", IF('Additional Images-WUO_ERR'!A44 = "", "Validated", HYPERLINK("#" &amp; ADDRESS(44, 'Additional Images-WUO_TRK'!A44),_xlfn.TEXTAFTER('Additional Images-WUO_ERR'!A44, ":"))))</f>
        <v>0</v>
      </c>
    </row>
    <row r="45" spans="1:1">
      <c r="A45" s="39">
        <f>IF('Additional Images'!B45 = "", "", IF('Additional Images-WUO_ERR'!A45 = "", "Validated", HYPERLINK("#" &amp; ADDRESS(45, 'Additional Images-WUO_TRK'!A45),_xlfn.TEXTAFTER('Additional Images-WUO_ERR'!A45, ":"))))</f>
        <v>0</v>
      </c>
    </row>
    <row r="46" spans="1:1">
      <c r="A46" s="39">
        <f>IF('Additional Images'!B46 = "", "", IF('Additional Images-WUO_ERR'!A46 = "", "Validated", HYPERLINK("#" &amp; ADDRESS(46, 'Additional Images-WUO_TRK'!A46),_xlfn.TEXTAFTER('Additional Images-WUO_ERR'!A46, ":"))))</f>
        <v>0</v>
      </c>
    </row>
    <row r="47" spans="1:1">
      <c r="A47" s="39">
        <f>IF('Additional Images'!B47 = "", "", IF('Additional Images-WUO_ERR'!A47 = "", "Validated", HYPERLINK("#" &amp; ADDRESS(47, 'Additional Images-WUO_TRK'!A47),_xlfn.TEXTAFTER('Additional Images-WUO_ERR'!A47, ":"))))</f>
        <v>0</v>
      </c>
    </row>
    <row r="48" spans="1:1">
      <c r="A48" s="39">
        <f>IF('Additional Images'!B48 = "", "", IF('Additional Images-WUO_ERR'!A48 = "", "Validated", HYPERLINK("#" &amp; ADDRESS(48, 'Additional Images-WUO_TRK'!A48),_xlfn.TEXTAFTER('Additional Images-WUO_ERR'!A48, ":"))))</f>
        <v>0</v>
      </c>
    </row>
    <row r="49" spans="1:1">
      <c r="A49" s="39">
        <f>IF('Additional Images'!B49 = "", "", IF('Additional Images-WUO_ERR'!A49 = "", "Validated", HYPERLINK("#" &amp; ADDRESS(49, 'Additional Images-WUO_TRK'!A49),_xlfn.TEXTAFTER('Additional Images-WUO_ERR'!A49, ":"))))</f>
        <v>0</v>
      </c>
    </row>
    <row r="50" spans="1:1">
      <c r="A50" s="39">
        <f>IF('Additional Images'!B50 = "", "", IF('Additional Images-WUO_ERR'!A50 = "", "Validated", HYPERLINK("#" &amp; ADDRESS(50, 'Additional Images-WUO_TRK'!A50),_xlfn.TEXTAFTER('Additional Images-WUO_ERR'!A50, ":"))))</f>
        <v>0</v>
      </c>
    </row>
    <row r="51" spans="1:1">
      <c r="A51" s="39">
        <f>IF('Additional Images'!B51 = "", "", IF('Additional Images-WUO_ERR'!A51 = "", "Validated", HYPERLINK("#" &amp; ADDRESS(51, 'Additional Images-WUO_TRK'!A51),_xlfn.TEXTAFTER('Additional Images-WUO_ERR'!A51, ":"))))</f>
        <v>0</v>
      </c>
    </row>
    <row r="52" spans="1:1">
      <c r="A52" s="39">
        <f>IF('Additional Images'!B52 = "", "", IF('Additional Images-WUO_ERR'!A52 = "", "Validated", HYPERLINK("#" &amp; ADDRESS(52, 'Additional Images-WUO_TRK'!A52),_xlfn.TEXTAFTER('Additional Images-WUO_ERR'!A52, ":"))))</f>
        <v>0</v>
      </c>
    </row>
    <row r="53" spans="1:1">
      <c r="A53" s="39">
        <f>IF('Additional Images'!B53 = "", "", IF('Additional Images-WUO_ERR'!A53 = "", "Validated", HYPERLINK("#" &amp; ADDRESS(53, 'Additional Images-WUO_TRK'!A53),_xlfn.TEXTAFTER('Additional Images-WUO_ERR'!A53, ":"))))</f>
        <v>0</v>
      </c>
    </row>
    <row r="54" spans="1:1">
      <c r="A54" s="39">
        <f>IF('Additional Images'!B54 = "", "", IF('Additional Images-WUO_ERR'!A54 = "", "Validated", HYPERLINK("#" &amp; ADDRESS(54, 'Additional Images-WUO_TRK'!A54),_xlfn.TEXTAFTER('Additional Images-WUO_ERR'!A54, ":"))))</f>
        <v>0</v>
      </c>
    </row>
    <row r="55" spans="1:1">
      <c r="A55" s="39">
        <f>IF('Additional Images'!B55 = "", "", IF('Additional Images-WUO_ERR'!A55 = "", "Validated", HYPERLINK("#" &amp; ADDRESS(55, 'Additional Images-WUO_TRK'!A55),_xlfn.TEXTAFTER('Additional Images-WUO_ERR'!A55, ":"))))</f>
        <v>0</v>
      </c>
    </row>
    <row r="56" spans="1:1">
      <c r="A56" s="39">
        <f>IF('Additional Images'!B56 = "", "", IF('Additional Images-WUO_ERR'!A56 = "", "Validated", HYPERLINK("#" &amp; ADDRESS(56, 'Additional Images-WUO_TRK'!A56),_xlfn.TEXTAFTER('Additional Images-WUO_ERR'!A56, ":"))))</f>
        <v>0</v>
      </c>
    </row>
    <row r="57" spans="1:1">
      <c r="A57" s="39">
        <f>IF('Additional Images'!B57 = "", "", IF('Additional Images-WUO_ERR'!A57 = "", "Validated", HYPERLINK("#" &amp; ADDRESS(57, 'Additional Images-WUO_TRK'!A57),_xlfn.TEXTAFTER('Additional Images-WUO_ERR'!A57, ":"))))</f>
        <v>0</v>
      </c>
    </row>
    <row r="58" spans="1:1">
      <c r="A58" s="39">
        <f>IF('Additional Images'!B58 = "", "", IF('Additional Images-WUO_ERR'!A58 = "", "Validated", HYPERLINK("#" &amp; ADDRESS(58, 'Additional Images-WUO_TRK'!A58),_xlfn.TEXTAFTER('Additional Images-WUO_ERR'!A58, ":"))))</f>
        <v>0</v>
      </c>
    </row>
    <row r="59" spans="1:1">
      <c r="A59" s="39">
        <f>IF('Additional Images'!B59 = "", "", IF('Additional Images-WUO_ERR'!A59 = "", "Validated", HYPERLINK("#" &amp; ADDRESS(59, 'Additional Images-WUO_TRK'!A59),_xlfn.TEXTAFTER('Additional Images-WUO_ERR'!A59, ":"))))</f>
        <v>0</v>
      </c>
    </row>
    <row r="60" spans="1:1">
      <c r="A60" s="39">
        <f>IF('Additional Images'!B60 = "", "", IF('Additional Images-WUO_ERR'!A60 = "", "Validated", HYPERLINK("#" &amp; ADDRESS(60, 'Additional Images-WUO_TRK'!A60),_xlfn.TEXTAFTER('Additional Images-WUO_ERR'!A60, ":"))))</f>
        <v>0</v>
      </c>
    </row>
    <row r="61" spans="1:1">
      <c r="A61" s="39">
        <f>IF('Additional Images'!B61 = "", "", IF('Additional Images-WUO_ERR'!A61 = "", "Validated", HYPERLINK("#" &amp; ADDRESS(61, 'Additional Images-WUO_TRK'!A61),_xlfn.TEXTAFTER('Additional Images-WUO_ERR'!A61, ":"))))</f>
        <v>0</v>
      </c>
    </row>
    <row r="62" spans="1:1">
      <c r="A62" s="39">
        <f>IF('Additional Images'!B62 = "", "", IF('Additional Images-WUO_ERR'!A62 = "", "Validated", HYPERLINK("#" &amp; ADDRESS(62, 'Additional Images-WUO_TRK'!A62),_xlfn.TEXTAFTER('Additional Images-WUO_ERR'!A62, ":"))))</f>
        <v>0</v>
      </c>
    </row>
    <row r="63" spans="1:1">
      <c r="A63" s="39">
        <f>IF('Additional Images'!B63 = "", "", IF('Additional Images-WUO_ERR'!A63 = "", "Validated", HYPERLINK("#" &amp; ADDRESS(63, 'Additional Images-WUO_TRK'!A63),_xlfn.TEXTAFTER('Additional Images-WUO_ERR'!A63, ":"))))</f>
        <v>0</v>
      </c>
    </row>
    <row r="64" spans="1:1">
      <c r="A64" s="39">
        <f>IF('Additional Images'!B64 = "", "", IF('Additional Images-WUO_ERR'!A64 = "", "Validated", HYPERLINK("#" &amp; ADDRESS(64, 'Additional Images-WUO_TRK'!A64),_xlfn.TEXTAFTER('Additional Images-WUO_ERR'!A64, ":"))))</f>
        <v>0</v>
      </c>
    </row>
    <row r="65" spans="1:1">
      <c r="A65" s="39">
        <f>IF('Additional Images'!B65 = "", "", IF('Additional Images-WUO_ERR'!A65 = "", "Validated", HYPERLINK("#" &amp; ADDRESS(65, 'Additional Images-WUO_TRK'!A65),_xlfn.TEXTAFTER('Additional Images-WUO_ERR'!A65, ":"))))</f>
        <v>0</v>
      </c>
    </row>
    <row r="66" spans="1:1">
      <c r="A66" s="39">
        <f>IF('Additional Images'!B66 = "", "", IF('Additional Images-WUO_ERR'!A66 = "", "Validated", HYPERLINK("#" &amp; ADDRESS(66, 'Additional Images-WUO_TRK'!A66),_xlfn.TEXTAFTER('Additional Images-WUO_ERR'!A66, ":"))))</f>
        <v>0</v>
      </c>
    </row>
    <row r="67" spans="1:1">
      <c r="A67" s="39">
        <f>IF('Additional Images'!B67 = "", "", IF('Additional Images-WUO_ERR'!A67 = "", "Validated", HYPERLINK("#" &amp; ADDRESS(67, 'Additional Images-WUO_TRK'!A67),_xlfn.TEXTAFTER('Additional Images-WUO_ERR'!A67, ":"))))</f>
        <v>0</v>
      </c>
    </row>
    <row r="68" spans="1:1">
      <c r="A68" s="39">
        <f>IF('Additional Images'!B68 = "", "", IF('Additional Images-WUO_ERR'!A68 = "", "Validated", HYPERLINK("#" &amp; ADDRESS(68, 'Additional Images-WUO_TRK'!A68),_xlfn.TEXTAFTER('Additional Images-WUO_ERR'!A68, ":"))))</f>
        <v>0</v>
      </c>
    </row>
    <row r="69" spans="1:1">
      <c r="A69" s="39">
        <f>IF('Additional Images'!B69 = "", "", IF('Additional Images-WUO_ERR'!A69 = "", "Validated", HYPERLINK("#" &amp; ADDRESS(69, 'Additional Images-WUO_TRK'!A69),_xlfn.TEXTAFTER('Additional Images-WUO_ERR'!A69, ":"))))</f>
        <v>0</v>
      </c>
    </row>
    <row r="70" spans="1:1">
      <c r="A70" s="39">
        <f>IF('Additional Images'!B70 = "", "", IF('Additional Images-WUO_ERR'!A70 = "", "Validated", HYPERLINK("#" &amp; ADDRESS(70, 'Additional Images-WUO_TRK'!A70),_xlfn.TEXTAFTER('Additional Images-WUO_ERR'!A70, ":"))))</f>
        <v>0</v>
      </c>
    </row>
    <row r="71" spans="1:1">
      <c r="A71" s="39">
        <f>IF('Additional Images'!B71 = "", "", IF('Additional Images-WUO_ERR'!A71 = "", "Validated", HYPERLINK("#" &amp; ADDRESS(71, 'Additional Images-WUO_TRK'!A71),_xlfn.TEXTAFTER('Additional Images-WUO_ERR'!A71, ":"))))</f>
        <v>0</v>
      </c>
    </row>
    <row r="72" spans="1:1">
      <c r="A72" s="39">
        <f>IF('Additional Images'!B72 = "", "", IF('Additional Images-WUO_ERR'!A72 = "", "Validated", HYPERLINK("#" &amp; ADDRESS(72, 'Additional Images-WUO_TRK'!A72),_xlfn.TEXTAFTER('Additional Images-WUO_ERR'!A72, ":"))))</f>
        <v>0</v>
      </c>
    </row>
    <row r="73" spans="1:1">
      <c r="A73" s="39">
        <f>IF('Additional Images'!B73 = "", "", IF('Additional Images-WUO_ERR'!A73 = "", "Validated", HYPERLINK("#" &amp; ADDRESS(73, 'Additional Images-WUO_TRK'!A73),_xlfn.TEXTAFTER('Additional Images-WUO_ERR'!A73, ":"))))</f>
        <v>0</v>
      </c>
    </row>
    <row r="74" spans="1:1">
      <c r="A74" s="39">
        <f>IF('Additional Images'!B74 = "", "", IF('Additional Images-WUO_ERR'!A74 = "", "Validated", HYPERLINK("#" &amp; ADDRESS(74, 'Additional Images-WUO_TRK'!A74),_xlfn.TEXTAFTER('Additional Images-WUO_ERR'!A74, ":"))))</f>
        <v>0</v>
      </c>
    </row>
    <row r="75" spans="1:1">
      <c r="A75" s="39">
        <f>IF('Additional Images'!B75 = "", "", IF('Additional Images-WUO_ERR'!A75 = "", "Validated", HYPERLINK("#" &amp; ADDRESS(75, 'Additional Images-WUO_TRK'!A75),_xlfn.TEXTAFTER('Additional Images-WUO_ERR'!A75, ":"))))</f>
        <v>0</v>
      </c>
    </row>
    <row r="76" spans="1:1">
      <c r="A76" s="39">
        <f>IF('Additional Images'!B76 = "", "", IF('Additional Images-WUO_ERR'!A76 = "", "Validated", HYPERLINK("#" &amp; ADDRESS(76, 'Additional Images-WUO_TRK'!A76),_xlfn.TEXTAFTER('Additional Images-WUO_ERR'!A76, ":"))))</f>
        <v>0</v>
      </c>
    </row>
    <row r="77" spans="1:1">
      <c r="A77" s="39">
        <f>IF('Additional Images'!B77 = "", "", IF('Additional Images-WUO_ERR'!A77 = "", "Validated", HYPERLINK("#" &amp; ADDRESS(77, 'Additional Images-WUO_TRK'!A77),_xlfn.TEXTAFTER('Additional Images-WUO_ERR'!A77, ":"))))</f>
        <v>0</v>
      </c>
    </row>
    <row r="78" spans="1:1">
      <c r="A78" s="39">
        <f>IF('Additional Images'!B78 = "", "", IF('Additional Images-WUO_ERR'!A78 = "", "Validated", HYPERLINK("#" &amp; ADDRESS(78, 'Additional Images-WUO_TRK'!A78),_xlfn.TEXTAFTER('Additional Images-WUO_ERR'!A78, ":"))))</f>
        <v>0</v>
      </c>
    </row>
    <row r="79" spans="1:1">
      <c r="A79" s="39">
        <f>IF('Additional Images'!B79 = "", "", IF('Additional Images-WUO_ERR'!A79 = "", "Validated", HYPERLINK("#" &amp; ADDRESS(79, 'Additional Images-WUO_TRK'!A79),_xlfn.TEXTAFTER('Additional Images-WUO_ERR'!A79, ":"))))</f>
        <v>0</v>
      </c>
    </row>
    <row r="80" spans="1:1">
      <c r="A80" s="39">
        <f>IF('Additional Images'!B80 = "", "", IF('Additional Images-WUO_ERR'!A80 = "", "Validated", HYPERLINK("#" &amp; ADDRESS(80, 'Additional Images-WUO_TRK'!A80),_xlfn.TEXTAFTER('Additional Images-WUO_ERR'!A80, ":"))))</f>
        <v>0</v>
      </c>
    </row>
    <row r="81" spans="1:1">
      <c r="A81" s="39">
        <f>IF('Additional Images'!B81 = "", "", IF('Additional Images-WUO_ERR'!A81 = "", "Validated", HYPERLINK("#" &amp; ADDRESS(81, 'Additional Images-WUO_TRK'!A81),_xlfn.TEXTAFTER('Additional Images-WUO_ERR'!A81, ":"))))</f>
        <v>0</v>
      </c>
    </row>
    <row r="82" spans="1:1">
      <c r="A82" s="39">
        <f>IF('Additional Images'!B82 = "", "", IF('Additional Images-WUO_ERR'!A82 = "", "Validated", HYPERLINK("#" &amp; ADDRESS(82, 'Additional Images-WUO_TRK'!A82),_xlfn.TEXTAFTER('Additional Images-WUO_ERR'!A82, ":"))))</f>
        <v>0</v>
      </c>
    </row>
    <row r="83" spans="1:1">
      <c r="A83" s="39">
        <f>IF('Additional Images'!B83 = "", "", IF('Additional Images-WUO_ERR'!A83 = "", "Validated", HYPERLINK("#" &amp; ADDRESS(83, 'Additional Images-WUO_TRK'!A83),_xlfn.TEXTAFTER('Additional Images-WUO_ERR'!A83, ":"))))</f>
        <v>0</v>
      </c>
    </row>
    <row r="84" spans="1:1">
      <c r="A84" s="39">
        <f>IF('Additional Images'!B84 = "", "", IF('Additional Images-WUO_ERR'!A84 = "", "Validated", HYPERLINK("#" &amp; ADDRESS(84, 'Additional Images-WUO_TRK'!A84),_xlfn.TEXTAFTER('Additional Images-WUO_ERR'!A84, ":"))))</f>
        <v>0</v>
      </c>
    </row>
    <row r="85" spans="1:1">
      <c r="A85" s="39">
        <f>IF('Additional Images'!B85 = "", "", IF('Additional Images-WUO_ERR'!A85 = "", "Validated", HYPERLINK("#" &amp; ADDRESS(85, 'Additional Images-WUO_TRK'!A85),_xlfn.TEXTAFTER('Additional Images-WUO_ERR'!A85, ":"))))</f>
        <v>0</v>
      </c>
    </row>
    <row r="86" spans="1:1">
      <c r="A86" s="39">
        <f>IF('Additional Images'!B86 = "", "", IF('Additional Images-WUO_ERR'!A86 = "", "Validated", HYPERLINK("#" &amp; ADDRESS(86, 'Additional Images-WUO_TRK'!A86),_xlfn.TEXTAFTER('Additional Images-WUO_ERR'!A86, ":"))))</f>
        <v>0</v>
      </c>
    </row>
    <row r="87" spans="1:1">
      <c r="A87" s="39">
        <f>IF('Additional Images'!B87 = "", "", IF('Additional Images-WUO_ERR'!A87 = "", "Validated", HYPERLINK("#" &amp; ADDRESS(87, 'Additional Images-WUO_TRK'!A87),_xlfn.TEXTAFTER('Additional Images-WUO_ERR'!A87, ":"))))</f>
        <v>0</v>
      </c>
    </row>
    <row r="88" spans="1:1">
      <c r="A88" s="39">
        <f>IF('Additional Images'!B88 = "", "", IF('Additional Images-WUO_ERR'!A88 = "", "Validated", HYPERLINK("#" &amp; ADDRESS(88, 'Additional Images-WUO_TRK'!A88),_xlfn.TEXTAFTER('Additional Images-WUO_ERR'!A88, ":"))))</f>
        <v>0</v>
      </c>
    </row>
    <row r="89" spans="1:1">
      <c r="A89" s="39">
        <f>IF('Additional Images'!B89 = "", "", IF('Additional Images-WUO_ERR'!A89 = "", "Validated", HYPERLINK("#" &amp; ADDRESS(89, 'Additional Images-WUO_TRK'!A89),_xlfn.TEXTAFTER('Additional Images-WUO_ERR'!A89, ":"))))</f>
        <v>0</v>
      </c>
    </row>
    <row r="90" spans="1:1">
      <c r="A90" s="39">
        <f>IF('Additional Images'!B90 = "", "", IF('Additional Images-WUO_ERR'!A90 = "", "Validated", HYPERLINK("#" &amp; ADDRESS(90, 'Additional Images-WUO_TRK'!A90),_xlfn.TEXTAFTER('Additional Images-WUO_ERR'!A90, ":"))))</f>
        <v>0</v>
      </c>
    </row>
    <row r="91" spans="1:1">
      <c r="A91" s="39">
        <f>IF('Additional Images'!B91 = "", "", IF('Additional Images-WUO_ERR'!A91 = "", "Validated", HYPERLINK("#" &amp; ADDRESS(91, 'Additional Images-WUO_TRK'!A91),_xlfn.TEXTAFTER('Additional Images-WUO_ERR'!A91, ":"))))</f>
        <v>0</v>
      </c>
    </row>
    <row r="92" spans="1:1">
      <c r="A92" s="39">
        <f>IF('Additional Images'!B92 = "", "", IF('Additional Images-WUO_ERR'!A92 = "", "Validated", HYPERLINK("#" &amp; ADDRESS(92, 'Additional Images-WUO_TRK'!A92),_xlfn.TEXTAFTER('Additional Images-WUO_ERR'!A92, ":"))))</f>
        <v>0</v>
      </c>
    </row>
    <row r="93" spans="1:1">
      <c r="A93" s="39">
        <f>IF('Additional Images'!B93 = "", "", IF('Additional Images-WUO_ERR'!A93 = "", "Validated", HYPERLINK("#" &amp; ADDRESS(93, 'Additional Images-WUO_TRK'!A93),_xlfn.TEXTAFTER('Additional Images-WUO_ERR'!A93, ":"))))</f>
        <v>0</v>
      </c>
    </row>
    <row r="94" spans="1:1">
      <c r="A94" s="39">
        <f>IF('Additional Images'!B94 = "", "", IF('Additional Images-WUO_ERR'!A94 = "", "Validated", HYPERLINK("#" &amp; ADDRESS(94, 'Additional Images-WUO_TRK'!A94),_xlfn.TEXTAFTER('Additional Images-WUO_ERR'!A94, ":"))))</f>
        <v>0</v>
      </c>
    </row>
    <row r="95" spans="1:1">
      <c r="A95" s="39">
        <f>IF('Additional Images'!B95 = "", "", IF('Additional Images-WUO_ERR'!A95 = "", "Validated", HYPERLINK("#" &amp; ADDRESS(95, 'Additional Images-WUO_TRK'!A95),_xlfn.TEXTAFTER('Additional Images-WUO_ERR'!A95, ":"))))</f>
        <v>0</v>
      </c>
    </row>
    <row r="96" spans="1:1">
      <c r="A96" s="39">
        <f>IF('Additional Images'!B96 = "", "", IF('Additional Images-WUO_ERR'!A96 = "", "Validated", HYPERLINK("#" &amp; ADDRESS(96, 'Additional Images-WUO_TRK'!A96),_xlfn.TEXTAFTER('Additional Images-WUO_ERR'!A96, ":"))))</f>
        <v>0</v>
      </c>
    </row>
    <row r="97" spans="1:1">
      <c r="A97" s="39">
        <f>IF('Additional Images'!B97 = "", "", IF('Additional Images-WUO_ERR'!A97 = "", "Validated", HYPERLINK("#" &amp; ADDRESS(97, 'Additional Images-WUO_TRK'!A97),_xlfn.TEXTAFTER('Additional Images-WUO_ERR'!A97, ":"))))</f>
        <v>0</v>
      </c>
    </row>
    <row r="98" spans="1:1">
      <c r="A98" s="39">
        <f>IF('Additional Images'!B98 = "", "", IF('Additional Images-WUO_ERR'!A98 = "", "Validated", HYPERLINK("#" &amp; ADDRESS(98, 'Additional Images-WUO_TRK'!A98),_xlfn.TEXTAFTER('Additional Images-WUO_ERR'!A98, ":"))))</f>
        <v>0</v>
      </c>
    </row>
    <row r="99" spans="1:1">
      <c r="A99" s="39">
        <f>IF('Additional Images'!B99 = "", "", IF('Additional Images-WUO_ERR'!A99 = "", "Validated", HYPERLINK("#" &amp; ADDRESS(99, 'Additional Images-WUO_TRK'!A99),_xlfn.TEXTAFTER('Additional Images-WUO_ERR'!A99, ":"))))</f>
        <v>0</v>
      </c>
    </row>
    <row r="100" spans="1:1">
      <c r="A100" s="39">
        <f>IF('Additional Images'!B100 = "", "", IF('Additional Images-WUO_ERR'!A100 = "", "Validated", HYPERLINK("#" &amp; ADDRESS(100, 'Additional Images-WUO_TRK'!A100),_xlfn.TEXTAFTER('Additional Images-WUO_ERR'!A100, ":"))))</f>
        <v>0</v>
      </c>
    </row>
    <row r="101" spans="1:1">
      <c r="A101" s="39">
        <f>IF('Additional Images'!B101 = "", "", IF('Additional Images-WUO_ERR'!A101 = "", "Validated", HYPERLINK("#" &amp; ADDRESS(101, 'Additional Images-WUO_TRK'!A101),_xlfn.TEXTAFTER('Additional Images-WUO_ERR'!A101, ":"))))</f>
        <v>0</v>
      </c>
    </row>
    <row r="102" spans="1:1">
      <c r="A102" s="39">
        <f>IF('Additional Images'!B102 = "", "", IF('Additional Images-WUO_ERR'!A102 = "", "Validated", HYPERLINK("#" &amp; ADDRESS(102, 'Additional Images-WUO_TRK'!A102),_xlfn.TEXTAFTER('Additional Images-WUO_ERR'!A102, ":"))))</f>
        <v>0</v>
      </c>
    </row>
    <row r="103" spans="1:1">
      <c r="A103" s="39">
        <f>IF('Additional Images'!B103 = "", "", IF('Additional Images-WUO_ERR'!A103 = "", "Validated", HYPERLINK("#" &amp; ADDRESS(103, 'Additional Images-WUO_TRK'!A103),_xlfn.TEXTAFTER('Additional Images-WUO_ERR'!A103, ":"))))</f>
        <v>0</v>
      </c>
    </row>
    <row r="104" spans="1:1">
      <c r="A104" s="39">
        <f>IF('Additional Images'!B104 = "", "", IF('Additional Images-WUO_ERR'!A104 = "", "Validated", HYPERLINK("#" &amp; ADDRESS(104, 'Additional Images-WUO_TRK'!A104),_xlfn.TEXTAFTER('Additional Images-WUO_ERR'!A104, ":"))))</f>
        <v>0</v>
      </c>
    </row>
    <row r="105" spans="1:1">
      <c r="A105" s="39">
        <f>IF('Additional Images'!B105 = "", "", IF('Additional Images-WUO_ERR'!A105 = "", "Validated", HYPERLINK("#" &amp; ADDRESS(105, 'Additional Images-WUO_TRK'!A105),_xlfn.TEXTAFTER('Additional Images-WUO_ERR'!A105, ":"))))</f>
        <v>0</v>
      </c>
    </row>
    <row r="106" spans="1:1">
      <c r="A106" s="39">
        <f>IF('Additional Images'!B106 = "", "", IF('Additional Images-WUO_ERR'!A106 = "", "Validated", HYPERLINK("#" &amp; ADDRESS(106, 'Additional Images-WUO_TRK'!A106),_xlfn.TEXTAFTER('Additional Images-WUO_ERR'!A106, ":"))))</f>
        <v>0</v>
      </c>
    </row>
    <row r="107" spans="1:1">
      <c r="A107" s="39">
        <f>IF('Additional Images'!B107 = "", "", IF('Additional Images-WUO_ERR'!A107 = "", "Validated", HYPERLINK("#" &amp; ADDRESS(107, 'Additional Images-WUO_TRK'!A107),_xlfn.TEXTAFTER('Additional Images-WUO_ERR'!A107, ":"))))</f>
        <v>0</v>
      </c>
    </row>
    <row r="108" spans="1:1">
      <c r="A108" s="39">
        <f>IF('Additional Images'!B108 = "", "", IF('Additional Images-WUO_ERR'!A108 = "", "Validated", HYPERLINK("#" &amp; ADDRESS(108, 'Additional Images-WUO_TRK'!A108),_xlfn.TEXTAFTER('Additional Images-WUO_ERR'!A108, ":"))))</f>
        <v>0</v>
      </c>
    </row>
    <row r="109" spans="1:1">
      <c r="A109" s="39">
        <f>IF('Additional Images'!B109 = "", "", IF('Additional Images-WUO_ERR'!A109 = "", "Validated", HYPERLINK("#" &amp; ADDRESS(109, 'Additional Images-WUO_TRK'!A109),_xlfn.TEXTAFTER('Additional Images-WUO_ERR'!A109, ":"))))</f>
        <v>0</v>
      </c>
    </row>
    <row r="110" spans="1:1">
      <c r="A110" s="39">
        <f>IF('Additional Images'!B110 = "", "", IF('Additional Images-WUO_ERR'!A110 = "", "Validated", HYPERLINK("#" &amp; ADDRESS(110, 'Additional Images-WUO_TRK'!A110),_xlfn.TEXTAFTER('Additional Images-WUO_ERR'!A110, ":"))))</f>
        <v>0</v>
      </c>
    </row>
    <row r="111" spans="1:1">
      <c r="A111" s="39">
        <f>IF('Additional Images'!B111 = "", "", IF('Additional Images-WUO_ERR'!A111 = "", "Validated", HYPERLINK("#" &amp; ADDRESS(111, 'Additional Images-WUO_TRK'!A111),_xlfn.TEXTAFTER('Additional Images-WUO_ERR'!A111, ":"))))</f>
        <v>0</v>
      </c>
    </row>
    <row r="112" spans="1:1">
      <c r="A112" s="39">
        <f>IF('Additional Images'!B112 = "", "", IF('Additional Images-WUO_ERR'!A112 = "", "Validated", HYPERLINK("#" &amp; ADDRESS(112, 'Additional Images-WUO_TRK'!A112),_xlfn.TEXTAFTER('Additional Images-WUO_ERR'!A112, ":"))))</f>
        <v>0</v>
      </c>
    </row>
    <row r="113" spans="1:1">
      <c r="A113" s="39">
        <f>IF('Additional Images'!B113 = "", "", IF('Additional Images-WUO_ERR'!A113 = "", "Validated", HYPERLINK("#" &amp; ADDRESS(113, 'Additional Images-WUO_TRK'!A113),_xlfn.TEXTAFTER('Additional Images-WUO_ERR'!A113, ":"))))</f>
        <v>0</v>
      </c>
    </row>
    <row r="114" spans="1:1">
      <c r="A114" s="39">
        <f>IF('Additional Images'!B114 = "", "", IF('Additional Images-WUO_ERR'!A114 = "", "Validated", HYPERLINK("#" &amp; ADDRESS(114, 'Additional Images-WUO_TRK'!A114),_xlfn.TEXTAFTER('Additional Images-WUO_ERR'!A114, ":"))))</f>
        <v>0</v>
      </c>
    </row>
    <row r="115" spans="1:1">
      <c r="A115" s="39">
        <f>IF('Additional Images'!B115 = "", "", IF('Additional Images-WUO_ERR'!A115 = "", "Validated", HYPERLINK("#" &amp; ADDRESS(115, 'Additional Images-WUO_TRK'!A115),_xlfn.TEXTAFTER('Additional Images-WUO_ERR'!A115, ":"))))</f>
        <v>0</v>
      </c>
    </row>
    <row r="116" spans="1:1">
      <c r="A116" s="39">
        <f>IF('Additional Images'!B116 = "", "", IF('Additional Images-WUO_ERR'!A116 = "", "Validated", HYPERLINK("#" &amp; ADDRESS(116, 'Additional Images-WUO_TRK'!A116),_xlfn.TEXTAFTER('Additional Images-WUO_ERR'!A116, ":"))))</f>
        <v>0</v>
      </c>
    </row>
    <row r="117" spans="1:1">
      <c r="A117" s="39">
        <f>IF('Additional Images'!B117 = "", "", IF('Additional Images-WUO_ERR'!A117 = "", "Validated", HYPERLINK("#" &amp; ADDRESS(117, 'Additional Images-WUO_TRK'!A117),_xlfn.TEXTAFTER('Additional Images-WUO_ERR'!A117, ":"))))</f>
        <v>0</v>
      </c>
    </row>
    <row r="118" spans="1:1">
      <c r="A118" s="39">
        <f>IF('Additional Images'!B118 = "", "", IF('Additional Images-WUO_ERR'!A118 = "", "Validated", HYPERLINK("#" &amp; ADDRESS(118, 'Additional Images-WUO_TRK'!A118),_xlfn.TEXTAFTER('Additional Images-WUO_ERR'!A118, ":"))))</f>
        <v>0</v>
      </c>
    </row>
    <row r="119" spans="1:1">
      <c r="A119" s="39">
        <f>IF('Additional Images'!B119 = "", "", IF('Additional Images-WUO_ERR'!A119 = "", "Validated", HYPERLINK("#" &amp; ADDRESS(119, 'Additional Images-WUO_TRK'!A119),_xlfn.TEXTAFTER('Additional Images-WUO_ERR'!A119, ":"))))</f>
        <v>0</v>
      </c>
    </row>
    <row r="120" spans="1:1">
      <c r="A120" s="39">
        <f>IF('Additional Images'!B120 = "", "", IF('Additional Images-WUO_ERR'!A120 = "", "Validated", HYPERLINK("#" &amp; ADDRESS(120, 'Additional Images-WUO_TRK'!A120),_xlfn.TEXTAFTER('Additional Images-WUO_ERR'!A120, ":"))))</f>
        <v>0</v>
      </c>
    </row>
    <row r="121" spans="1:1">
      <c r="A121" s="39">
        <f>IF('Additional Images'!B121 = "", "", IF('Additional Images-WUO_ERR'!A121 = "", "Validated", HYPERLINK("#" &amp; ADDRESS(121, 'Additional Images-WUO_TRK'!A121),_xlfn.TEXTAFTER('Additional Images-WUO_ERR'!A121, ":"))))</f>
        <v>0</v>
      </c>
    </row>
    <row r="122" spans="1:1">
      <c r="A122" s="39">
        <f>IF('Additional Images'!B122 = "", "", IF('Additional Images-WUO_ERR'!A122 = "", "Validated", HYPERLINK("#" &amp; ADDRESS(122, 'Additional Images-WUO_TRK'!A122),_xlfn.TEXTAFTER('Additional Images-WUO_ERR'!A122, ":"))))</f>
        <v>0</v>
      </c>
    </row>
    <row r="123" spans="1:1">
      <c r="A123" s="39">
        <f>IF('Additional Images'!B123 = "", "", IF('Additional Images-WUO_ERR'!A123 = "", "Validated", HYPERLINK("#" &amp; ADDRESS(123, 'Additional Images-WUO_TRK'!A123),_xlfn.TEXTAFTER('Additional Images-WUO_ERR'!A123, ":"))))</f>
        <v>0</v>
      </c>
    </row>
    <row r="124" spans="1:1">
      <c r="A124" s="39">
        <f>IF('Additional Images'!B124 = "", "", IF('Additional Images-WUO_ERR'!A124 = "", "Validated", HYPERLINK("#" &amp; ADDRESS(124, 'Additional Images-WUO_TRK'!A124),_xlfn.TEXTAFTER('Additional Images-WUO_ERR'!A124, ":"))))</f>
        <v>0</v>
      </c>
    </row>
    <row r="125" spans="1:1">
      <c r="A125" s="39">
        <f>IF('Additional Images'!B125 = "", "", IF('Additional Images-WUO_ERR'!A125 = "", "Validated", HYPERLINK("#" &amp; ADDRESS(125, 'Additional Images-WUO_TRK'!A125),_xlfn.TEXTAFTER('Additional Images-WUO_ERR'!A125, ":"))))</f>
        <v>0</v>
      </c>
    </row>
    <row r="126" spans="1:1">
      <c r="A126" s="39">
        <f>IF('Additional Images'!B126 = "", "", IF('Additional Images-WUO_ERR'!A126 = "", "Validated", HYPERLINK("#" &amp; ADDRESS(126, 'Additional Images-WUO_TRK'!A126),_xlfn.TEXTAFTER('Additional Images-WUO_ERR'!A126, ":"))))</f>
        <v>0</v>
      </c>
    </row>
    <row r="127" spans="1:1">
      <c r="A127" s="39">
        <f>IF('Additional Images'!B127 = "", "", IF('Additional Images-WUO_ERR'!A127 = "", "Validated", HYPERLINK("#" &amp; ADDRESS(127, 'Additional Images-WUO_TRK'!A127),_xlfn.TEXTAFTER('Additional Images-WUO_ERR'!A127, ":"))))</f>
        <v>0</v>
      </c>
    </row>
    <row r="128" spans="1:1">
      <c r="A128" s="39">
        <f>IF('Additional Images'!B128 = "", "", IF('Additional Images-WUO_ERR'!A128 = "", "Validated", HYPERLINK("#" &amp; ADDRESS(128, 'Additional Images-WUO_TRK'!A128),_xlfn.TEXTAFTER('Additional Images-WUO_ERR'!A128, ":"))))</f>
        <v>0</v>
      </c>
    </row>
    <row r="129" spans="1:1">
      <c r="A129" s="39">
        <f>IF('Additional Images'!B129 = "", "", IF('Additional Images-WUO_ERR'!A129 = "", "Validated", HYPERLINK("#" &amp; ADDRESS(129, 'Additional Images-WUO_TRK'!A129),_xlfn.TEXTAFTER('Additional Images-WUO_ERR'!A129, ":"))))</f>
        <v>0</v>
      </c>
    </row>
    <row r="130" spans="1:1">
      <c r="A130" s="39">
        <f>IF('Additional Images'!B130 = "", "", IF('Additional Images-WUO_ERR'!A130 = "", "Validated", HYPERLINK("#" &amp; ADDRESS(130, 'Additional Images-WUO_TRK'!A130),_xlfn.TEXTAFTER('Additional Images-WUO_ERR'!A130, ":"))))</f>
        <v>0</v>
      </c>
    </row>
    <row r="131" spans="1:1">
      <c r="A131" s="39">
        <f>IF('Additional Images'!B131 = "", "", IF('Additional Images-WUO_ERR'!A131 = "", "Validated", HYPERLINK("#" &amp; ADDRESS(131, 'Additional Images-WUO_TRK'!A131),_xlfn.TEXTAFTER('Additional Images-WUO_ERR'!A131, ":"))))</f>
        <v>0</v>
      </c>
    </row>
    <row r="132" spans="1:1">
      <c r="A132" s="39">
        <f>IF('Additional Images'!B132 = "", "", IF('Additional Images-WUO_ERR'!A132 = "", "Validated", HYPERLINK("#" &amp; ADDRESS(132, 'Additional Images-WUO_TRK'!A132),_xlfn.TEXTAFTER('Additional Images-WUO_ERR'!A132, ":"))))</f>
        <v>0</v>
      </c>
    </row>
    <row r="133" spans="1:1">
      <c r="A133" s="39">
        <f>IF('Additional Images'!B133 = "", "", IF('Additional Images-WUO_ERR'!A133 = "", "Validated", HYPERLINK("#" &amp; ADDRESS(133, 'Additional Images-WUO_TRK'!A133),_xlfn.TEXTAFTER('Additional Images-WUO_ERR'!A133, ":"))))</f>
        <v>0</v>
      </c>
    </row>
    <row r="134" spans="1:1">
      <c r="A134" s="39">
        <f>IF('Additional Images'!B134 = "", "", IF('Additional Images-WUO_ERR'!A134 = "", "Validated", HYPERLINK("#" &amp; ADDRESS(134, 'Additional Images-WUO_TRK'!A134),_xlfn.TEXTAFTER('Additional Images-WUO_ERR'!A134, ":"))))</f>
        <v>0</v>
      </c>
    </row>
    <row r="135" spans="1:1">
      <c r="A135" s="39">
        <f>IF('Additional Images'!B135 = "", "", IF('Additional Images-WUO_ERR'!A135 = "", "Validated", HYPERLINK("#" &amp; ADDRESS(135, 'Additional Images-WUO_TRK'!A135),_xlfn.TEXTAFTER('Additional Images-WUO_ERR'!A135, ":"))))</f>
        <v>0</v>
      </c>
    </row>
    <row r="136" spans="1:1">
      <c r="A136" s="39">
        <f>IF('Additional Images'!B136 = "", "", IF('Additional Images-WUO_ERR'!A136 = "", "Validated", HYPERLINK("#" &amp; ADDRESS(136, 'Additional Images-WUO_TRK'!A136),_xlfn.TEXTAFTER('Additional Images-WUO_ERR'!A136, ":"))))</f>
        <v>0</v>
      </c>
    </row>
    <row r="137" spans="1:1">
      <c r="A137" s="39">
        <f>IF('Additional Images'!B137 = "", "", IF('Additional Images-WUO_ERR'!A137 = "", "Validated", HYPERLINK("#" &amp; ADDRESS(137, 'Additional Images-WUO_TRK'!A137),_xlfn.TEXTAFTER('Additional Images-WUO_ERR'!A137, ":"))))</f>
        <v>0</v>
      </c>
    </row>
    <row r="138" spans="1:1">
      <c r="A138" s="39">
        <f>IF('Additional Images'!B138 = "", "", IF('Additional Images-WUO_ERR'!A138 = "", "Validated", HYPERLINK("#" &amp; ADDRESS(138, 'Additional Images-WUO_TRK'!A138),_xlfn.TEXTAFTER('Additional Images-WUO_ERR'!A138, ":"))))</f>
        <v>0</v>
      </c>
    </row>
    <row r="139" spans="1:1">
      <c r="A139" s="39">
        <f>IF('Additional Images'!B139 = "", "", IF('Additional Images-WUO_ERR'!A139 = "", "Validated", HYPERLINK("#" &amp; ADDRESS(139, 'Additional Images-WUO_TRK'!A139),_xlfn.TEXTAFTER('Additional Images-WUO_ERR'!A139, ":"))))</f>
        <v>0</v>
      </c>
    </row>
    <row r="140" spans="1:1">
      <c r="A140" s="39">
        <f>IF('Additional Images'!B140 = "", "", IF('Additional Images-WUO_ERR'!A140 = "", "Validated", HYPERLINK("#" &amp; ADDRESS(140, 'Additional Images-WUO_TRK'!A140),_xlfn.TEXTAFTER('Additional Images-WUO_ERR'!A140, ":"))))</f>
        <v>0</v>
      </c>
    </row>
    <row r="141" spans="1:1">
      <c r="A141" s="39">
        <f>IF('Additional Images'!B141 = "", "", IF('Additional Images-WUO_ERR'!A141 = "", "Validated", HYPERLINK("#" &amp; ADDRESS(141, 'Additional Images-WUO_TRK'!A141),_xlfn.TEXTAFTER('Additional Images-WUO_ERR'!A141, ":"))))</f>
        <v>0</v>
      </c>
    </row>
    <row r="142" spans="1:1">
      <c r="A142" s="39">
        <f>IF('Additional Images'!B142 = "", "", IF('Additional Images-WUO_ERR'!A142 = "", "Validated", HYPERLINK("#" &amp; ADDRESS(142, 'Additional Images-WUO_TRK'!A142),_xlfn.TEXTAFTER('Additional Images-WUO_ERR'!A142, ":"))))</f>
        <v>0</v>
      </c>
    </row>
    <row r="143" spans="1:1">
      <c r="A143" s="39">
        <f>IF('Additional Images'!B143 = "", "", IF('Additional Images-WUO_ERR'!A143 = "", "Validated", HYPERLINK("#" &amp; ADDRESS(143, 'Additional Images-WUO_TRK'!A143),_xlfn.TEXTAFTER('Additional Images-WUO_ERR'!A143, ":"))))</f>
        <v>0</v>
      </c>
    </row>
    <row r="144" spans="1:1">
      <c r="A144" s="39">
        <f>IF('Additional Images'!B144 = "", "", IF('Additional Images-WUO_ERR'!A144 = "", "Validated", HYPERLINK("#" &amp; ADDRESS(144, 'Additional Images-WUO_TRK'!A144),_xlfn.TEXTAFTER('Additional Images-WUO_ERR'!A144, ":"))))</f>
        <v>0</v>
      </c>
    </row>
    <row r="145" spans="1:1">
      <c r="A145" s="39">
        <f>IF('Additional Images'!B145 = "", "", IF('Additional Images-WUO_ERR'!A145 = "", "Validated", HYPERLINK("#" &amp; ADDRESS(145, 'Additional Images-WUO_TRK'!A145),_xlfn.TEXTAFTER('Additional Images-WUO_ERR'!A145, ":"))))</f>
        <v>0</v>
      </c>
    </row>
    <row r="146" spans="1:1">
      <c r="A146" s="39">
        <f>IF('Additional Images'!B146 = "", "", IF('Additional Images-WUO_ERR'!A146 = "", "Validated", HYPERLINK("#" &amp; ADDRESS(146, 'Additional Images-WUO_TRK'!A146),_xlfn.TEXTAFTER('Additional Images-WUO_ERR'!A146, ":"))))</f>
        <v>0</v>
      </c>
    </row>
    <row r="147" spans="1:1">
      <c r="A147" s="39">
        <f>IF('Additional Images'!B147 = "", "", IF('Additional Images-WUO_ERR'!A147 = "", "Validated", HYPERLINK("#" &amp; ADDRESS(147, 'Additional Images-WUO_TRK'!A147),_xlfn.TEXTAFTER('Additional Images-WUO_ERR'!A147, ":"))))</f>
        <v>0</v>
      </c>
    </row>
    <row r="148" spans="1:1">
      <c r="A148" s="39">
        <f>IF('Additional Images'!B148 = "", "", IF('Additional Images-WUO_ERR'!A148 = "", "Validated", HYPERLINK("#" &amp; ADDRESS(148, 'Additional Images-WUO_TRK'!A148),_xlfn.TEXTAFTER('Additional Images-WUO_ERR'!A148, ":"))))</f>
        <v>0</v>
      </c>
    </row>
    <row r="149" spans="1:1">
      <c r="A149" s="39">
        <f>IF('Additional Images'!B149 = "", "", IF('Additional Images-WUO_ERR'!A149 = "", "Validated", HYPERLINK("#" &amp; ADDRESS(149, 'Additional Images-WUO_TRK'!A149),_xlfn.TEXTAFTER('Additional Images-WUO_ERR'!A149, ":"))))</f>
        <v>0</v>
      </c>
    </row>
    <row r="150" spans="1:1">
      <c r="A150" s="39">
        <f>IF('Additional Images'!B150 = "", "", IF('Additional Images-WUO_ERR'!A150 = "", "Validated", HYPERLINK("#" &amp; ADDRESS(150, 'Additional Images-WUO_TRK'!A150),_xlfn.TEXTAFTER('Additional Images-WUO_ERR'!A150, ":"))))</f>
        <v>0</v>
      </c>
    </row>
    <row r="151" spans="1:1">
      <c r="A151" s="39">
        <f>IF('Additional Images'!B151 = "", "", IF('Additional Images-WUO_ERR'!A151 = "", "Validated", HYPERLINK("#" &amp; ADDRESS(151, 'Additional Images-WUO_TRK'!A151),_xlfn.TEXTAFTER('Additional Images-WUO_ERR'!A151, ":"))))</f>
        <v>0</v>
      </c>
    </row>
    <row r="152" spans="1:1">
      <c r="A152" s="39">
        <f>IF('Additional Images'!B152 = "", "", IF('Additional Images-WUO_ERR'!A152 = "", "Validated", HYPERLINK("#" &amp; ADDRESS(152, 'Additional Images-WUO_TRK'!A152),_xlfn.TEXTAFTER('Additional Images-WUO_ERR'!A152, ":"))))</f>
        <v>0</v>
      </c>
    </row>
    <row r="153" spans="1:1">
      <c r="A153" s="39">
        <f>IF('Additional Images'!B153 = "", "", IF('Additional Images-WUO_ERR'!A153 = "", "Validated", HYPERLINK("#" &amp; ADDRESS(153, 'Additional Images-WUO_TRK'!A153),_xlfn.TEXTAFTER('Additional Images-WUO_ERR'!A153, ":"))))</f>
        <v>0</v>
      </c>
    </row>
    <row r="154" spans="1:1">
      <c r="A154" s="39">
        <f>IF('Additional Images'!B154 = "", "", IF('Additional Images-WUO_ERR'!A154 = "", "Validated", HYPERLINK("#" &amp; ADDRESS(154, 'Additional Images-WUO_TRK'!A154),_xlfn.TEXTAFTER('Additional Images-WUO_ERR'!A154, ":"))))</f>
        <v>0</v>
      </c>
    </row>
    <row r="155" spans="1:1">
      <c r="A155" s="39">
        <f>IF('Additional Images'!B155 = "", "", IF('Additional Images-WUO_ERR'!A155 = "", "Validated", HYPERLINK("#" &amp; ADDRESS(155, 'Additional Images-WUO_TRK'!A155),_xlfn.TEXTAFTER('Additional Images-WUO_ERR'!A155, ":"))))</f>
        <v>0</v>
      </c>
    </row>
    <row r="156" spans="1:1">
      <c r="A156" s="39">
        <f>IF('Additional Images'!B156 = "", "", IF('Additional Images-WUO_ERR'!A156 = "", "Validated", HYPERLINK("#" &amp; ADDRESS(156, 'Additional Images-WUO_TRK'!A156),_xlfn.TEXTAFTER('Additional Images-WUO_ERR'!A156, ":"))))</f>
        <v>0</v>
      </c>
    </row>
    <row r="157" spans="1:1">
      <c r="A157" s="39">
        <f>IF('Additional Images'!B157 = "", "", IF('Additional Images-WUO_ERR'!A157 = "", "Validated", HYPERLINK("#" &amp; ADDRESS(157, 'Additional Images-WUO_TRK'!A157),_xlfn.TEXTAFTER('Additional Images-WUO_ERR'!A157, ":"))))</f>
        <v>0</v>
      </c>
    </row>
    <row r="158" spans="1:1">
      <c r="A158" s="39">
        <f>IF('Additional Images'!B158 = "", "", IF('Additional Images-WUO_ERR'!A158 = "", "Validated", HYPERLINK("#" &amp; ADDRESS(158, 'Additional Images-WUO_TRK'!A158),_xlfn.TEXTAFTER('Additional Images-WUO_ERR'!A158, ":"))))</f>
        <v>0</v>
      </c>
    </row>
    <row r="159" spans="1:1">
      <c r="A159" s="39">
        <f>IF('Additional Images'!B159 = "", "", IF('Additional Images-WUO_ERR'!A159 = "", "Validated", HYPERLINK("#" &amp; ADDRESS(159, 'Additional Images-WUO_TRK'!A159),_xlfn.TEXTAFTER('Additional Images-WUO_ERR'!A159, ":"))))</f>
        <v>0</v>
      </c>
    </row>
    <row r="160" spans="1:1">
      <c r="A160" s="39">
        <f>IF('Additional Images'!B160 = "", "", IF('Additional Images-WUO_ERR'!A160 = "", "Validated", HYPERLINK("#" &amp; ADDRESS(160, 'Additional Images-WUO_TRK'!A160),_xlfn.TEXTAFTER('Additional Images-WUO_ERR'!A160, ":"))))</f>
        <v>0</v>
      </c>
    </row>
    <row r="161" spans="1:1">
      <c r="A161" s="39">
        <f>IF('Additional Images'!B161 = "", "", IF('Additional Images-WUO_ERR'!A161 = "", "Validated", HYPERLINK("#" &amp; ADDRESS(161, 'Additional Images-WUO_TRK'!A161),_xlfn.TEXTAFTER('Additional Images-WUO_ERR'!A161, ":"))))</f>
        <v>0</v>
      </c>
    </row>
    <row r="162" spans="1:1">
      <c r="A162" s="39">
        <f>IF('Additional Images'!B162 = "", "", IF('Additional Images-WUO_ERR'!A162 = "", "Validated", HYPERLINK("#" &amp; ADDRESS(162, 'Additional Images-WUO_TRK'!A162),_xlfn.TEXTAFTER('Additional Images-WUO_ERR'!A162, ":"))))</f>
        <v>0</v>
      </c>
    </row>
    <row r="163" spans="1:1">
      <c r="A163" s="39">
        <f>IF('Additional Images'!B163 = "", "", IF('Additional Images-WUO_ERR'!A163 = "", "Validated", HYPERLINK("#" &amp; ADDRESS(163, 'Additional Images-WUO_TRK'!A163),_xlfn.TEXTAFTER('Additional Images-WUO_ERR'!A163, ":"))))</f>
        <v>0</v>
      </c>
    </row>
    <row r="164" spans="1:1">
      <c r="A164" s="39">
        <f>IF('Additional Images'!B164 = "", "", IF('Additional Images-WUO_ERR'!A164 = "", "Validated", HYPERLINK("#" &amp; ADDRESS(164, 'Additional Images-WUO_TRK'!A164),_xlfn.TEXTAFTER('Additional Images-WUO_ERR'!A164, ":"))))</f>
        <v>0</v>
      </c>
    </row>
    <row r="165" spans="1:1">
      <c r="A165" s="39">
        <f>IF('Additional Images'!B165 = "", "", IF('Additional Images-WUO_ERR'!A165 = "", "Validated", HYPERLINK("#" &amp; ADDRESS(165, 'Additional Images-WUO_TRK'!A165),_xlfn.TEXTAFTER('Additional Images-WUO_ERR'!A165, ":"))))</f>
        <v>0</v>
      </c>
    </row>
    <row r="166" spans="1:1">
      <c r="A166" s="39">
        <f>IF('Additional Images'!B166 = "", "", IF('Additional Images-WUO_ERR'!A166 = "", "Validated", HYPERLINK("#" &amp; ADDRESS(166, 'Additional Images-WUO_TRK'!A166),_xlfn.TEXTAFTER('Additional Images-WUO_ERR'!A166, ":"))))</f>
        <v>0</v>
      </c>
    </row>
    <row r="167" spans="1:1">
      <c r="A167" s="39">
        <f>IF('Additional Images'!B167 = "", "", IF('Additional Images-WUO_ERR'!A167 = "", "Validated", HYPERLINK("#" &amp; ADDRESS(167, 'Additional Images-WUO_TRK'!A167),_xlfn.TEXTAFTER('Additional Images-WUO_ERR'!A167, ":"))))</f>
        <v>0</v>
      </c>
    </row>
    <row r="168" spans="1:1">
      <c r="A168" s="39">
        <f>IF('Additional Images'!B168 = "", "", IF('Additional Images-WUO_ERR'!A168 = "", "Validated", HYPERLINK("#" &amp; ADDRESS(168, 'Additional Images-WUO_TRK'!A168),_xlfn.TEXTAFTER('Additional Images-WUO_ERR'!A168, ":"))))</f>
        <v>0</v>
      </c>
    </row>
    <row r="169" spans="1:1">
      <c r="A169" s="39">
        <f>IF('Additional Images'!B169 = "", "", IF('Additional Images-WUO_ERR'!A169 = "", "Validated", HYPERLINK("#" &amp; ADDRESS(169, 'Additional Images-WUO_TRK'!A169),_xlfn.TEXTAFTER('Additional Images-WUO_ERR'!A169, ":"))))</f>
        <v>0</v>
      </c>
    </row>
    <row r="170" spans="1:1">
      <c r="A170" s="39">
        <f>IF('Additional Images'!B170 = "", "", IF('Additional Images-WUO_ERR'!A170 = "", "Validated", HYPERLINK("#" &amp; ADDRESS(170, 'Additional Images-WUO_TRK'!A170),_xlfn.TEXTAFTER('Additional Images-WUO_ERR'!A170, ":"))))</f>
        <v>0</v>
      </c>
    </row>
    <row r="171" spans="1:1">
      <c r="A171" s="39">
        <f>IF('Additional Images'!B171 = "", "", IF('Additional Images-WUO_ERR'!A171 = "", "Validated", HYPERLINK("#" &amp; ADDRESS(171, 'Additional Images-WUO_TRK'!A171),_xlfn.TEXTAFTER('Additional Images-WUO_ERR'!A171, ":"))))</f>
        <v>0</v>
      </c>
    </row>
    <row r="172" spans="1:1">
      <c r="A172" s="39">
        <f>IF('Additional Images'!B172 = "", "", IF('Additional Images-WUO_ERR'!A172 = "", "Validated", HYPERLINK("#" &amp; ADDRESS(172, 'Additional Images-WUO_TRK'!A172),_xlfn.TEXTAFTER('Additional Images-WUO_ERR'!A172, ":"))))</f>
        <v>0</v>
      </c>
    </row>
    <row r="173" spans="1:1">
      <c r="A173" s="39">
        <f>IF('Additional Images'!B173 = "", "", IF('Additional Images-WUO_ERR'!A173 = "", "Validated", HYPERLINK("#" &amp; ADDRESS(173, 'Additional Images-WUO_TRK'!A173),_xlfn.TEXTAFTER('Additional Images-WUO_ERR'!A173, ":"))))</f>
        <v>0</v>
      </c>
    </row>
    <row r="174" spans="1:1">
      <c r="A174" s="39">
        <f>IF('Additional Images'!B174 = "", "", IF('Additional Images-WUO_ERR'!A174 = "", "Validated", HYPERLINK("#" &amp; ADDRESS(174, 'Additional Images-WUO_TRK'!A174),_xlfn.TEXTAFTER('Additional Images-WUO_ERR'!A174, ":"))))</f>
        <v>0</v>
      </c>
    </row>
    <row r="175" spans="1:1">
      <c r="A175" s="39">
        <f>IF('Additional Images'!B175 = "", "", IF('Additional Images-WUO_ERR'!A175 = "", "Validated", HYPERLINK("#" &amp; ADDRESS(175, 'Additional Images-WUO_TRK'!A175),_xlfn.TEXTAFTER('Additional Images-WUO_ERR'!A175, ":"))))</f>
        <v>0</v>
      </c>
    </row>
    <row r="176" spans="1:1">
      <c r="A176" s="39">
        <f>IF('Additional Images'!B176 = "", "", IF('Additional Images-WUO_ERR'!A176 = "", "Validated", HYPERLINK("#" &amp; ADDRESS(176, 'Additional Images-WUO_TRK'!A176),_xlfn.TEXTAFTER('Additional Images-WUO_ERR'!A176, ":"))))</f>
        <v>0</v>
      </c>
    </row>
    <row r="177" spans="1:1">
      <c r="A177" s="39">
        <f>IF('Additional Images'!B177 = "", "", IF('Additional Images-WUO_ERR'!A177 = "", "Validated", HYPERLINK("#" &amp; ADDRESS(177, 'Additional Images-WUO_TRK'!A177),_xlfn.TEXTAFTER('Additional Images-WUO_ERR'!A177, ":"))))</f>
        <v>0</v>
      </c>
    </row>
    <row r="178" spans="1:1">
      <c r="A178" s="39">
        <f>IF('Additional Images'!B178 = "", "", IF('Additional Images-WUO_ERR'!A178 = "", "Validated", HYPERLINK("#" &amp; ADDRESS(178, 'Additional Images-WUO_TRK'!A178),_xlfn.TEXTAFTER('Additional Images-WUO_ERR'!A178, ":"))))</f>
        <v>0</v>
      </c>
    </row>
    <row r="179" spans="1:1">
      <c r="A179" s="39">
        <f>IF('Additional Images'!B179 = "", "", IF('Additional Images-WUO_ERR'!A179 = "", "Validated", HYPERLINK("#" &amp; ADDRESS(179, 'Additional Images-WUO_TRK'!A179),_xlfn.TEXTAFTER('Additional Images-WUO_ERR'!A179, ":"))))</f>
        <v>0</v>
      </c>
    </row>
    <row r="180" spans="1:1">
      <c r="A180" s="39">
        <f>IF('Additional Images'!B180 = "", "", IF('Additional Images-WUO_ERR'!A180 = "", "Validated", HYPERLINK("#" &amp; ADDRESS(180, 'Additional Images-WUO_TRK'!A180),_xlfn.TEXTAFTER('Additional Images-WUO_ERR'!A180, ":"))))</f>
        <v>0</v>
      </c>
    </row>
    <row r="181" spans="1:1">
      <c r="A181" s="39">
        <f>IF('Additional Images'!B181 = "", "", IF('Additional Images-WUO_ERR'!A181 = "", "Validated", HYPERLINK("#" &amp; ADDRESS(181, 'Additional Images-WUO_TRK'!A181),_xlfn.TEXTAFTER('Additional Images-WUO_ERR'!A181, ":"))))</f>
        <v>0</v>
      </c>
    </row>
    <row r="182" spans="1:1">
      <c r="A182" s="39">
        <f>IF('Additional Images'!B182 = "", "", IF('Additional Images-WUO_ERR'!A182 = "", "Validated", HYPERLINK("#" &amp; ADDRESS(182, 'Additional Images-WUO_TRK'!A182),_xlfn.TEXTAFTER('Additional Images-WUO_ERR'!A182, ":"))))</f>
        <v>0</v>
      </c>
    </row>
    <row r="183" spans="1:1">
      <c r="A183" s="39">
        <f>IF('Additional Images'!B183 = "", "", IF('Additional Images-WUO_ERR'!A183 = "", "Validated", HYPERLINK("#" &amp; ADDRESS(183, 'Additional Images-WUO_TRK'!A183),_xlfn.TEXTAFTER('Additional Images-WUO_ERR'!A183, ":"))))</f>
        <v>0</v>
      </c>
    </row>
    <row r="184" spans="1:1">
      <c r="A184" s="39">
        <f>IF('Additional Images'!B184 = "", "", IF('Additional Images-WUO_ERR'!A184 = "", "Validated", HYPERLINK("#" &amp; ADDRESS(184, 'Additional Images-WUO_TRK'!A184),_xlfn.TEXTAFTER('Additional Images-WUO_ERR'!A184, ":"))))</f>
        <v>0</v>
      </c>
    </row>
    <row r="185" spans="1:1">
      <c r="A185" s="39">
        <f>IF('Additional Images'!B185 = "", "", IF('Additional Images-WUO_ERR'!A185 = "", "Validated", HYPERLINK("#" &amp; ADDRESS(185, 'Additional Images-WUO_TRK'!A185),_xlfn.TEXTAFTER('Additional Images-WUO_ERR'!A185, ":"))))</f>
        <v>0</v>
      </c>
    </row>
    <row r="186" spans="1:1">
      <c r="A186" s="39">
        <f>IF('Additional Images'!B186 = "", "", IF('Additional Images-WUO_ERR'!A186 = "", "Validated", HYPERLINK("#" &amp; ADDRESS(186, 'Additional Images-WUO_TRK'!A186),_xlfn.TEXTAFTER('Additional Images-WUO_ERR'!A186, ":"))))</f>
        <v>0</v>
      </c>
    </row>
    <row r="187" spans="1:1">
      <c r="A187" s="39">
        <f>IF('Additional Images'!B187 = "", "", IF('Additional Images-WUO_ERR'!A187 = "", "Validated", HYPERLINK("#" &amp; ADDRESS(187, 'Additional Images-WUO_TRK'!A187),_xlfn.TEXTAFTER('Additional Images-WUO_ERR'!A187, ":"))))</f>
        <v>0</v>
      </c>
    </row>
    <row r="188" spans="1:1">
      <c r="A188" s="39">
        <f>IF('Additional Images'!B188 = "", "", IF('Additional Images-WUO_ERR'!A188 = "", "Validated", HYPERLINK("#" &amp; ADDRESS(188, 'Additional Images-WUO_TRK'!A188),_xlfn.TEXTAFTER('Additional Images-WUO_ERR'!A188, ":"))))</f>
        <v>0</v>
      </c>
    </row>
    <row r="189" spans="1:1">
      <c r="A189" s="39">
        <f>IF('Additional Images'!B189 = "", "", IF('Additional Images-WUO_ERR'!A189 = "", "Validated", HYPERLINK("#" &amp; ADDRESS(189, 'Additional Images-WUO_TRK'!A189),_xlfn.TEXTAFTER('Additional Images-WUO_ERR'!A189, ":"))))</f>
        <v>0</v>
      </c>
    </row>
    <row r="190" spans="1:1">
      <c r="A190" s="39">
        <f>IF('Additional Images'!B190 = "", "", IF('Additional Images-WUO_ERR'!A190 = "", "Validated", HYPERLINK("#" &amp; ADDRESS(190, 'Additional Images-WUO_TRK'!A190),_xlfn.TEXTAFTER('Additional Images-WUO_ERR'!A190, ":"))))</f>
        <v>0</v>
      </c>
    </row>
    <row r="191" spans="1:1">
      <c r="A191" s="39">
        <f>IF('Additional Images'!B191 = "", "", IF('Additional Images-WUO_ERR'!A191 = "", "Validated", HYPERLINK("#" &amp; ADDRESS(191, 'Additional Images-WUO_TRK'!A191),_xlfn.TEXTAFTER('Additional Images-WUO_ERR'!A191, ":"))))</f>
        <v>0</v>
      </c>
    </row>
    <row r="192" spans="1:1">
      <c r="A192" s="39">
        <f>IF('Additional Images'!B192 = "", "", IF('Additional Images-WUO_ERR'!A192 = "", "Validated", HYPERLINK("#" &amp; ADDRESS(192, 'Additional Images-WUO_TRK'!A192),_xlfn.TEXTAFTER('Additional Images-WUO_ERR'!A192, ":"))))</f>
        <v>0</v>
      </c>
    </row>
    <row r="193" spans="1:1">
      <c r="A193" s="39">
        <f>IF('Additional Images'!B193 = "", "", IF('Additional Images-WUO_ERR'!A193 = "", "Validated", HYPERLINK("#" &amp; ADDRESS(193, 'Additional Images-WUO_TRK'!A193),_xlfn.TEXTAFTER('Additional Images-WUO_ERR'!A193, ":"))))</f>
        <v>0</v>
      </c>
    </row>
    <row r="194" spans="1:1">
      <c r="A194" s="39">
        <f>IF('Additional Images'!B194 = "", "", IF('Additional Images-WUO_ERR'!A194 = "", "Validated", HYPERLINK("#" &amp; ADDRESS(194, 'Additional Images-WUO_TRK'!A194),_xlfn.TEXTAFTER('Additional Images-WUO_ERR'!A194, ":"))))</f>
        <v>0</v>
      </c>
    </row>
    <row r="195" spans="1:1">
      <c r="A195" s="39">
        <f>IF('Additional Images'!B195 = "", "", IF('Additional Images-WUO_ERR'!A195 = "", "Validated", HYPERLINK("#" &amp; ADDRESS(195, 'Additional Images-WUO_TRK'!A195),_xlfn.TEXTAFTER('Additional Images-WUO_ERR'!A195, ":"))))</f>
        <v>0</v>
      </c>
    </row>
    <row r="196" spans="1:1">
      <c r="A196" s="39">
        <f>IF('Additional Images'!B196 = "", "", IF('Additional Images-WUO_ERR'!A196 = "", "Validated", HYPERLINK("#" &amp; ADDRESS(196, 'Additional Images-WUO_TRK'!A196),_xlfn.TEXTAFTER('Additional Images-WUO_ERR'!A196, ":"))))</f>
        <v>0</v>
      </c>
    </row>
    <row r="197" spans="1:1">
      <c r="A197" s="39">
        <f>IF('Additional Images'!B197 = "", "", IF('Additional Images-WUO_ERR'!A197 = "", "Validated", HYPERLINK("#" &amp; ADDRESS(197, 'Additional Images-WUO_TRK'!A197),_xlfn.TEXTAFTER('Additional Images-WUO_ERR'!A197, ":"))))</f>
        <v>0</v>
      </c>
    </row>
    <row r="198" spans="1:1">
      <c r="A198" s="39">
        <f>IF('Additional Images'!B198 = "", "", IF('Additional Images-WUO_ERR'!A198 = "", "Validated", HYPERLINK("#" &amp; ADDRESS(198, 'Additional Images-WUO_TRK'!A198),_xlfn.TEXTAFTER('Additional Images-WUO_ERR'!A198, ":"))))</f>
        <v>0</v>
      </c>
    </row>
    <row r="199" spans="1:1">
      <c r="A199" s="39">
        <f>IF('Additional Images'!B199 = "", "", IF('Additional Images-WUO_ERR'!A199 = "", "Validated", HYPERLINK("#" &amp; ADDRESS(199, 'Additional Images-WUO_TRK'!A199),_xlfn.TEXTAFTER('Additional Images-WUO_ERR'!A199, ":"))))</f>
        <v>0</v>
      </c>
    </row>
    <row r="200" spans="1:1">
      <c r="A200" s="39">
        <f>IF('Additional Images'!B200 = "", "", IF('Additional Images-WUO_ERR'!A200 = "", "Validated", HYPERLINK("#" &amp; ADDRESS(200, 'Additional Images-WUO_TRK'!A200),_xlfn.TEXTAFTER('Additional Images-WUO_ERR'!A200, ":"))))</f>
        <v>0</v>
      </c>
    </row>
    <row r="201" spans="1:1">
      <c r="A201" s="39">
        <f>IF('Additional Images'!B201 = "", "", IF('Additional Images-WUO_ERR'!A201 = "", "Validated", HYPERLINK("#" &amp; ADDRESS(201, 'Additional Images-WUO_TRK'!A201),_xlfn.TEXTAFTER('Additional Images-WUO_ERR'!A201, ":"))))</f>
        <v>0</v>
      </c>
    </row>
    <row r="202" spans="1:1">
      <c r="A202" s="39">
        <f>IF('Additional Images'!B202 = "", "", IF('Additional Images-WUO_ERR'!A202 = "", "Validated", HYPERLINK("#" &amp; ADDRESS(202, 'Additional Images-WUO_TRK'!A202),_xlfn.TEXTAFTER('Additional Images-WUO_ERR'!A202, ":"))))</f>
        <v>0</v>
      </c>
    </row>
    <row r="203" spans="1:1">
      <c r="A203" s="39">
        <f>IF('Additional Images'!B203 = "", "", IF('Additional Images-WUO_ERR'!A203 = "", "Validated", HYPERLINK("#" &amp; ADDRESS(203, 'Additional Images-WUO_TRK'!A203),_xlfn.TEXTAFTER('Additional Images-WUO_ERR'!A203, ":"))))</f>
        <v>0</v>
      </c>
    </row>
    <row r="204" spans="1:1">
      <c r="A204" s="39">
        <f>IF('Additional Images'!B204 = "", "", IF('Additional Images-WUO_ERR'!A204 = "", "Validated", HYPERLINK("#" &amp; ADDRESS(204, 'Additional Images-WUO_TRK'!A204),_xlfn.TEXTAFTER('Additional Images-WUO_ERR'!A204, ":"))))</f>
        <v>0</v>
      </c>
    </row>
    <row r="205" spans="1:1">
      <c r="A205" s="39">
        <f>IF('Additional Images'!B205 = "", "", IF('Additional Images-WUO_ERR'!A205 = "", "Validated", HYPERLINK("#" &amp; ADDRESS(205, 'Additional Images-WUO_TRK'!A205),_xlfn.TEXTAFTER('Additional Images-WUO_ERR'!A205, ":"))))</f>
        <v>0</v>
      </c>
    </row>
    <row r="206" spans="1:1">
      <c r="A206" s="39">
        <f>IF('Additional Images'!B206 = "", "", IF('Additional Images-WUO_ERR'!A206 = "", "Validated", HYPERLINK("#" &amp; ADDRESS(206, 'Additional Images-WUO_TRK'!A206),_xlfn.TEXTAFTER('Additional Images-WUO_ERR'!A206, ":"))))</f>
        <v>0</v>
      </c>
    </row>
    <row r="207" spans="1:1">
      <c r="A207" s="39">
        <f>IF('Additional Images'!B207 = "", "", IF('Additional Images-WUO_ERR'!A207 = "", "Validated", HYPERLINK("#" &amp; ADDRESS(207, 'Additional Images-WUO_TRK'!A207),_xlfn.TEXTAFTER('Additional Images-WUO_ERR'!A207, ":"))))</f>
        <v>0</v>
      </c>
    </row>
    <row r="208" spans="1:1">
      <c r="A208" s="39">
        <f>IF('Additional Images'!B208 = "", "", IF('Additional Images-WUO_ERR'!A208 = "", "Validated", HYPERLINK("#" &amp; ADDRESS(208, 'Additional Images-WUO_TRK'!A208),_xlfn.TEXTAFTER('Additional Images-WUO_ERR'!A208, ":"))))</f>
        <v>0</v>
      </c>
    </row>
    <row r="209" spans="1:1">
      <c r="A209" s="39">
        <f>IF('Additional Images'!B209 = "", "", IF('Additional Images-WUO_ERR'!A209 = "", "Validated", HYPERLINK("#" &amp; ADDRESS(209, 'Additional Images-WUO_TRK'!A209),_xlfn.TEXTAFTER('Additional Images-WUO_ERR'!A209, ":"))))</f>
        <v>0</v>
      </c>
    </row>
    <row r="210" spans="1:1">
      <c r="A210" s="39">
        <f>IF('Additional Images'!B210 = "", "", IF('Additional Images-WUO_ERR'!A210 = "", "Validated", HYPERLINK("#" &amp; ADDRESS(210, 'Additional Images-WUO_TRK'!A210),_xlfn.TEXTAFTER('Additional Images-WUO_ERR'!A210, ":"))))</f>
        <v>0</v>
      </c>
    </row>
    <row r="211" spans="1:1">
      <c r="A211" s="39">
        <f>IF('Additional Images'!B211 = "", "", IF('Additional Images-WUO_ERR'!A211 = "", "Validated", HYPERLINK("#" &amp; ADDRESS(211, 'Additional Images-WUO_TRK'!A211),_xlfn.TEXTAFTER('Additional Images-WUO_ERR'!A211, ":"))))</f>
        <v>0</v>
      </c>
    </row>
    <row r="212" spans="1:1">
      <c r="A212" s="39">
        <f>IF('Additional Images'!B212 = "", "", IF('Additional Images-WUO_ERR'!A212 = "", "Validated", HYPERLINK("#" &amp; ADDRESS(212, 'Additional Images-WUO_TRK'!A212),_xlfn.TEXTAFTER('Additional Images-WUO_ERR'!A212, ":"))))</f>
        <v>0</v>
      </c>
    </row>
    <row r="213" spans="1:1">
      <c r="A213" s="39">
        <f>IF('Additional Images'!B213 = "", "", IF('Additional Images-WUO_ERR'!A213 = "", "Validated", HYPERLINK("#" &amp; ADDRESS(213, 'Additional Images-WUO_TRK'!A213),_xlfn.TEXTAFTER('Additional Images-WUO_ERR'!A213, ":"))))</f>
        <v>0</v>
      </c>
    </row>
    <row r="214" spans="1:1">
      <c r="A214" s="39">
        <f>IF('Additional Images'!B214 = "", "", IF('Additional Images-WUO_ERR'!A214 = "", "Validated", HYPERLINK("#" &amp; ADDRESS(214, 'Additional Images-WUO_TRK'!A214),_xlfn.TEXTAFTER('Additional Images-WUO_ERR'!A214, ":"))))</f>
        <v>0</v>
      </c>
    </row>
    <row r="215" spans="1:1">
      <c r="A215" s="39">
        <f>IF('Additional Images'!B215 = "", "", IF('Additional Images-WUO_ERR'!A215 = "", "Validated", HYPERLINK("#" &amp; ADDRESS(215, 'Additional Images-WUO_TRK'!A215),_xlfn.TEXTAFTER('Additional Images-WUO_ERR'!A215, ":"))))</f>
        <v>0</v>
      </c>
    </row>
    <row r="216" spans="1:1">
      <c r="A216" s="39">
        <f>IF('Additional Images'!B216 = "", "", IF('Additional Images-WUO_ERR'!A216 = "", "Validated", HYPERLINK("#" &amp; ADDRESS(216, 'Additional Images-WUO_TRK'!A216),_xlfn.TEXTAFTER('Additional Images-WUO_ERR'!A216, ":"))))</f>
        <v>0</v>
      </c>
    </row>
    <row r="217" spans="1:1">
      <c r="A217" s="39">
        <f>IF('Additional Images'!B217 = "", "", IF('Additional Images-WUO_ERR'!A217 = "", "Validated", HYPERLINK("#" &amp; ADDRESS(217, 'Additional Images-WUO_TRK'!A217),_xlfn.TEXTAFTER('Additional Images-WUO_ERR'!A217, ":"))))</f>
        <v>0</v>
      </c>
    </row>
    <row r="218" spans="1:1">
      <c r="A218" s="39">
        <f>IF('Additional Images'!B218 = "", "", IF('Additional Images-WUO_ERR'!A218 = "", "Validated", HYPERLINK("#" &amp; ADDRESS(218, 'Additional Images-WUO_TRK'!A218),_xlfn.TEXTAFTER('Additional Images-WUO_ERR'!A218, ":"))))</f>
        <v>0</v>
      </c>
    </row>
    <row r="219" spans="1:1">
      <c r="A219" s="39">
        <f>IF('Additional Images'!B219 = "", "", IF('Additional Images-WUO_ERR'!A219 = "", "Validated", HYPERLINK("#" &amp; ADDRESS(219, 'Additional Images-WUO_TRK'!A219),_xlfn.TEXTAFTER('Additional Images-WUO_ERR'!A219, ":"))))</f>
        <v>0</v>
      </c>
    </row>
    <row r="220" spans="1:1">
      <c r="A220" s="39">
        <f>IF('Additional Images'!B220 = "", "", IF('Additional Images-WUO_ERR'!A220 = "", "Validated", HYPERLINK("#" &amp; ADDRESS(220, 'Additional Images-WUO_TRK'!A220),_xlfn.TEXTAFTER('Additional Images-WUO_ERR'!A220, ":"))))</f>
        <v>0</v>
      </c>
    </row>
    <row r="221" spans="1:1">
      <c r="A221" s="39">
        <f>IF('Additional Images'!B221 = "", "", IF('Additional Images-WUO_ERR'!A221 = "", "Validated", HYPERLINK("#" &amp; ADDRESS(221, 'Additional Images-WUO_TRK'!A221),_xlfn.TEXTAFTER('Additional Images-WUO_ERR'!A221, ":"))))</f>
        <v>0</v>
      </c>
    </row>
    <row r="222" spans="1:1">
      <c r="A222" s="39">
        <f>IF('Additional Images'!B222 = "", "", IF('Additional Images-WUO_ERR'!A222 = "", "Validated", HYPERLINK("#" &amp; ADDRESS(222, 'Additional Images-WUO_TRK'!A222),_xlfn.TEXTAFTER('Additional Images-WUO_ERR'!A222, ":"))))</f>
        <v>0</v>
      </c>
    </row>
    <row r="223" spans="1:1">
      <c r="A223" s="39">
        <f>IF('Additional Images'!B223 = "", "", IF('Additional Images-WUO_ERR'!A223 = "", "Validated", HYPERLINK("#" &amp; ADDRESS(223, 'Additional Images-WUO_TRK'!A223),_xlfn.TEXTAFTER('Additional Images-WUO_ERR'!A223, ":"))))</f>
        <v>0</v>
      </c>
    </row>
    <row r="224" spans="1:1">
      <c r="A224" s="39">
        <f>IF('Additional Images'!B224 = "", "", IF('Additional Images-WUO_ERR'!A224 = "", "Validated", HYPERLINK("#" &amp; ADDRESS(224, 'Additional Images-WUO_TRK'!A224),_xlfn.TEXTAFTER('Additional Images-WUO_ERR'!A224, ":"))))</f>
        <v>0</v>
      </c>
    </row>
    <row r="225" spans="1:1">
      <c r="A225" s="39">
        <f>IF('Additional Images'!B225 = "", "", IF('Additional Images-WUO_ERR'!A225 = "", "Validated", HYPERLINK("#" &amp; ADDRESS(225, 'Additional Images-WUO_TRK'!A225),_xlfn.TEXTAFTER('Additional Images-WUO_ERR'!A225, ":"))))</f>
        <v>0</v>
      </c>
    </row>
    <row r="226" spans="1:1">
      <c r="A226" s="39">
        <f>IF('Additional Images'!B226 = "", "", IF('Additional Images-WUO_ERR'!A226 = "", "Validated", HYPERLINK("#" &amp; ADDRESS(226, 'Additional Images-WUO_TRK'!A226),_xlfn.TEXTAFTER('Additional Images-WUO_ERR'!A226, ":"))))</f>
        <v>0</v>
      </c>
    </row>
    <row r="227" spans="1:1">
      <c r="A227" s="39">
        <f>IF('Additional Images'!B227 = "", "", IF('Additional Images-WUO_ERR'!A227 = "", "Validated", HYPERLINK("#" &amp; ADDRESS(227, 'Additional Images-WUO_TRK'!A227),_xlfn.TEXTAFTER('Additional Images-WUO_ERR'!A227, ":"))))</f>
        <v>0</v>
      </c>
    </row>
    <row r="228" spans="1:1">
      <c r="A228" s="39">
        <f>IF('Additional Images'!B228 = "", "", IF('Additional Images-WUO_ERR'!A228 = "", "Validated", HYPERLINK("#" &amp; ADDRESS(228, 'Additional Images-WUO_TRK'!A228),_xlfn.TEXTAFTER('Additional Images-WUO_ERR'!A228, ":"))))</f>
        <v>0</v>
      </c>
    </row>
    <row r="229" spans="1:1">
      <c r="A229" s="39">
        <f>IF('Additional Images'!B229 = "", "", IF('Additional Images-WUO_ERR'!A229 = "", "Validated", HYPERLINK("#" &amp; ADDRESS(229, 'Additional Images-WUO_TRK'!A229),_xlfn.TEXTAFTER('Additional Images-WUO_ERR'!A229, ":"))))</f>
        <v>0</v>
      </c>
    </row>
    <row r="230" spans="1:1">
      <c r="A230" s="39">
        <f>IF('Additional Images'!B230 = "", "", IF('Additional Images-WUO_ERR'!A230 = "", "Validated", HYPERLINK("#" &amp; ADDRESS(230, 'Additional Images-WUO_TRK'!A230),_xlfn.TEXTAFTER('Additional Images-WUO_ERR'!A230, ":"))))</f>
        <v>0</v>
      </c>
    </row>
    <row r="231" spans="1:1">
      <c r="A231" s="39">
        <f>IF('Additional Images'!B231 = "", "", IF('Additional Images-WUO_ERR'!A231 = "", "Validated", HYPERLINK("#" &amp; ADDRESS(231, 'Additional Images-WUO_TRK'!A231),_xlfn.TEXTAFTER('Additional Images-WUO_ERR'!A231, ":"))))</f>
        <v>0</v>
      </c>
    </row>
    <row r="232" spans="1:1">
      <c r="A232" s="39">
        <f>IF('Additional Images'!B232 = "", "", IF('Additional Images-WUO_ERR'!A232 = "", "Validated", HYPERLINK("#" &amp; ADDRESS(232, 'Additional Images-WUO_TRK'!A232),_xlfn.TEXTAFTER('Additional Images-WUO_ERR'!A232, ":"))))</f>
        <v>0</v>
      </c>
    </row>
    <row r="233" spans="1:1">
      <c r="A233" s="39">
        <f>IF('Additional Images'!B233 = "", "", IF('Additional Images-WUO_ERR'!A233 = "", "Validated", HYPERLINK("#" &amp; ADDRESS(233, 'Additional Images-WUO_TRK'!A233),_xlfn.TEXTAFTER('Additional Images-WUO_ERR'!A233, ":"))))</f>
        <v>0</v>
      </c>
    </row>
    <row r="234" spans="1:1">
      <c r="A234" s="39">
        <f>IF('Additional Images'!B234 = "", "", IF('Additional Images-WUO_ERR'!A234 = "", "Validated", HYPERLINK("#" &amp; ADDRESS(234, 'Additional Images-WUO_TRK'!A234),_xlfn.TEXTAFTER('Additional Images-WUO_ERR'!A234, ":"))))</f>
        <v>0</v>
      </c>
    </row>
    <row r="235" spans="1:1">
      <c r="A235" s="39">
        <f>IF('Additional Images'!B235 = "", "", IF('Additional Images-WUO_ERR'!A235 = "", "Validated", HYPERLINK("#" &amp; ADDRESS(235, 'Additional Images-WUO_TRK'!A235),_xlfn.TEXTAFTER('Additional Images-WUO_ERR'!A235, ":"))))</f>
        <v>0</v>
      </c>
    </row>
    <row r="236" spans="1:1">
      <c r="A236" s="39">
        <f>IF('Additional Images'!B236 = "", "", IF('Additional Images-WUO_ERR'!A236 = "", "Validated", HYPERLINK("#" &amp; ADDRESS(236, 'Additional Images-WUO_TRK'!A236),_xlfn.TEXTAFTER('Additional Images-WUO_ERR'!A236, ":"))))</f>
        <v>0</v>
      </c>
    </row>
    <row r="237" spans="1:1">
      <c r="A237" s="39">
        <f>IF('Additional Images'!B237 = "", "", IF('Additional Images-WUO_ERR'!A237 = "", "Validated", HYPERLINK("#" &amp; ADDRESS(237, 'Additional Images-WUO_TRK'!A237),_xlfn.TEXTAFTER('Additional Images-WUO_ERR'!A237, ":"))))</f>
        <v>0</v>
      </c>
    </row>
    <row r="238" spans="1:1">
      <c r="A238" s="39">
        <f>IF('Additional Images'!B238 = "", "", IF('Additional Images-WUO_ERR'!A238 = "", "Validated", HYPERLINK("#" &amp; ADDRESS(238, 'Additional Images-WUO_TRK'!A238),_xlfn.TEXTAFTER('Additional Images-WUO_ERR'!A238, ":"))))</f>
        <v>0</v>
      </c>
    </row>
    <row r="239" spans="1:1">
      <c r="A239" s="39">
        <f>IF('Additional Images'!B239 = "", "", IF('Additional Images-WUO_ERR'!A239 = "", "Validated", HYPERLINK("#" &amp; ADDRESS(239, 'Additional Images-WUO_TRK'!A239),_xlfn.TEXTAFTER('Additional Images-WUO_ERR'!A239, ":"))))</f>
        <v>0</v>
      </c>
    </row>
    <row r="240" spans="1:1">
      <c r="A240" s="39">
        <f>IF('Additional Images'!B240 = "", "", IF('Additional Images-WUO_ERR'!A240 = "", "Validated", HYPERLINK("#" &amp; ADDRESS(240, 'Additional Images-WUO_TRK'!A240),_xlfn.TEXTAFTER('Additional Images-WUO_ERR'!A240, ":"))))</f>
        <v>0</v>
      </c>
    </row>
    <row r="241" spans="1:1">
      <c r="A241" s="39">
        <f>IF('Additional Images'!B241 = "", "", IF('Additional Images-WUO_ERR'!A241 = "", "Validated", HYPERLINK("#" &amp; ADDRESS(241, 'Additional Images-WUO_TRK'!A241),_xlfn.TEXTAFTER('Additional Images-WUO_ERR'!A241, ":"))))</f>
        <v>0</v>
      </c>
    </row>
    <row r="242" spans="1:1">
      <c r="A242" s="39">
        <f>IF('Additional Images'!B242 = "", "", IF('Additional Images-WUO_ERR'!A242 = "", "Validated", HYPERLINK("#" &amp; ADDRESS(242, 'Additional Images-WUO_TRK'!A242),_xlfn.TEXTAFTER('Additional Images-WUO_ERR'!A242, ":"))))</f>
        <v>0</v>
      </c>
    </row>
    <row r="243" spans="1:1">
      <c r="A243" s="39">
        <f>IF('Additional Images'!B243 = "", "", IF('Additional Images-WUO_ERR'!A243 = "", "Validated", HYPERLINK("#" &amp; ADDRESS(243, 'Additional Images-WUO_TRK'!A243),_xlfn.TEXTAFTER('Additional Images-WUO_ERR'!A243, ":"))))</f>
        <v>0</v>
      </c>
    </row>
    <row r="244" spans="1:1">
      <c r="A244" s="39">
        <f>IF('Additional Images'!B244 = "", "", IF('Additional Images-WUO_ERR'!A244 = "", "Validated", HYPERLINK("#" &amp; ADDRESS(244, 'Additional Images-WUO_TRK'!A244),_xlfn.TEXTAFTER('Additional Images-WUO_ERR'!A244, ":"))))</f>
        <v>0</v>
      </c>
    </row>
    <row r="245" spans="1:1">
      <c r="A245" s="39">
        <f>IF('Additional Images'!B245 = "", "", IF('Additional Images-WUO_ERR'!A245 = "", "Validated", HYPERLINK("#" &amp; ADDRESS(245, 'Additional Images-WUO_TRK'!A245),_xlfn.TEXTAFTER('Additional Images-WUO_ERR'!A245, ":"))))</f>
        <v>0</v>
      </c>
    </row>
    <row r="246" spans="1:1">
      <c r="A246" s="39">
        <f>IF('Additional Images'!B246 = "", "", IF('Additional Images-WUO_ERR'!A246 = "", "Validated", HYPERLINK("#" &amp; ADDRESS(246, 'Additional Images-WUO_TRK'!A246),_xlfn.TEXTAFTER('Additional Images-WUO_ERR'!A246, ":"))))</f>
        <v>0</v>
      </c>
    </row>
    <row r="247" spans="1:1">
      <c r="A247" s="39">
        <f>IF('Additional Images'!B247 = "", "", IF('Additional Images-WUO_ERR'!A247 = "", "Validated", HYPERLINK("#" &amp; ADDRESS(247, 'Additional Images-WUO_TRK'!A247),_xlfn.TEXTAFTER('Additional Images-WUO_ERR'!A247, ":"))))</f>
        <v>0</v>
      </c>
    </row>
    <row r="248" spans="1:1">
      <c r="A248" s="39">
        <f>IF('Additional Images'!B248 = "", "", IF('Additional Images-WUO_ERR'!A248 = "", "Validated", HYPERLINK("#" &amp; ADDRESS(248, 'Additional Images-WUO_TRK'!A248),_xlfn.TEXTAFTER('Additional Images-WUO_ERR'!A248, ":"))))</f>
        <v>0</v>
      </c>
    </row>
    <row r="249" spans="1:1">
      <c r="A249" s="39">
        <f>IF('Additional Images'!B249 = "", "", IF('Additional Images-WUO_ERR'!A249 = "", "Validated", HYPERLINK("#" &amp; ADDRESS(249, 'Additional Images-WUO_TRK'!A249),_xlfn.TEXTAFTER('Additional Images-WUO_ERR'!A249, ":"))))</f>
        <v>0</v>
      </c>
    </row>
    <row r="250" spans="1:1">
      <c r="A250" s="39">
        <f>IF('Additional Images'!B250 = "", "", IF('Additional Images-WUO_ERR'!A250 = "", "Validated", HYPERLINK("#" &amp; ADDRESS(250, 'Additional Images-WUO_TRK'!A250),_xlfn.TEXTAFTER('Additional Images-WUO_ERR'!A250, ":"))))</f>
        <v>0</v>
      </c>
    </row>
    <row r="251" spans="1:1">
      <c r="A251" s="39">
        <f>IF('Additional Images'!B251 = "", "", IF('Additional Images-WUO_ERR'!A251 = "", "Validated", HYPERLINK("#" &amp; ADDRESS(251, 'Additional Images-WUO_TRK'!A251),_xlfn.TEXTAFTER('Additional Images-WUO_ERR'!A251, ":"))))</f>
        <v>0</v>
      </c>
    </row>
    <row r="252" spans="1:1">
      <c r="A252" s="39">
        <f>IF('Additional Images'!B252 = "", "", IF('Additional Images-WUO_ERR'!A252 = "", "Validated", HYPERLINK("#" &amp; ADDRESS(252, 'Additional Images-WUO_TRK'!A252),_xlfn.TEXTAFTER('Additional Images-WUO_ERR'!A252, ":"))))</f>
        <v>0</v>
      </c>
    </row>
    <row r="253" spans="1:1">
      <c r="A253" s="39">
        <f>IF('Additional Images'!B253 = "", "", IF('Additional Images-WUO_ERR'!A253 = "", "Validated", HYPERLINK("#" &amp; ADDRESS(253, 'Additional Images-WUO_TRK'!A253),_xlfn.TEXTAFTER('Additional Images-WUO_ERR'!A253, ":"))))</f>
        <v>0</v>
      </c>
    </row>
    <row r="254" spans="1:1">
      <c r="A254" s="39">
        <f>IF('Additional Images'!B254 = "", "", IF('Additional Images-WUO_ERR'!A254 = "", "Validated", HYPERLINK("#" &amp; ADDRESS(254, 'Additional Images-WUO_TRK'!A254),_xlfn.TEXTAFTER('Additional Images-WUO_ERR'!A254, ":"))))</f>
        <v>0</v>
      </c>
    </row>
    <row r="255" spans="1:1">
      <c r="A255" s="39">
        <f>IF('Additional Images'!B255 = "", "", IF('Additional Images-WUO_ERR'!A255 = "", "Validated", HYPERLINK("#" &amp; ADDRESS(255, 'Additional Images-WUO_TRK'!A255),_xlfn.TEXTAFTER('Additional Images-WUO_ERR'!A255, ":"))))</f>
        <v>0</v>
      </c>
    </row>
    <row r="256" spans="1:1">
      <c r="A256" s="39">
        <f>IF('Additional Images'!B256 = "", "", IF('Additional Images-WUO_ERR'!A256 = "", "Validated", HYPERLINK("#" &amp; ADDRESS(256, 'Additional Images-WUO_TRK'!A256),_xlfn.TEXTAFTER('Additional Images-WUO_ERR'!A256, ":"))))</f>
        <v>0</v>
      </c>
    </row>
    <row r="257" spans="1:1">
      <c r="A257" s="39">
        <f>IF('Additional Images'!B257 = "", "", IF('Additional Images-WUO_ERR'!A257 = "", "Validated", HYPERLINK("#" &amp; ADDRESS(257, 'Additional Images-WUO_TRK'!A257),_xlfn.TEXTAFTER('Additional Images-WUO_ERR'!A257, ":"))))</f>
        <v>0</v>
      </c>
    </row>
    <row r="258" spans="1:1">
      <c r="A258" s="39">
        <f>IF('Additional Images'!B258 = "", "", IF('Additional Images-WUO_ERR'!A258 = "", "Validated", HYPERLINK("#" &amp; ADDRESS(258, 'Additional Images-WUO_TRK'!A258),_xlfn.TEXTAFTER('Additional Images-WUO_ERR'!A258, ":"))))</f>
        <v>0</v>
      </c>
    </row>
    <row r="259" spans="1:1">
      <c r="A259" s="39">
        <f>IF('Additional Images'!B259 = "", "", IF('Additional Images-WUO_ERR'!A259 = "", "Validated", HYPERLINK("#" &amp; ADDRESS(259, 'Additional Images-WUO_TRK'!A259),_xlfn.TEXTAFTER('Additional Images-WUO_ERR'!A259, ":"))))</f>
        <v>0</v>
      </c>
    </row>
    <row r="260" spans="1:1">
      <c r="A260" s="39">
        <f>IF('Additional Images'!B260 = "", "", IF('Additional Images-WUO_ERR'!A260 = "", "Validated", HYPERLINK("#" &amp; ADDRESS(260, 'Additional Images-WUO_TRK'!A260),_xlfn.TEXTAFTER('Additional Images-WUO_ERR'!A260, ":"))))</f>
        <v>0</v>
      </c>
    </row>
    <row r="261" spans="1:1">
      <c r="A261" s="39">
        <f>IF('Additional Images'!B261 = "", "", IF('Additional Images-WUO_ERR'!A261 = "", "Validated", HYPERLINK("#" &amp; ADDRESS(261, 'Additional Images-WUO_TRK'!A261),_xlfn.TEXTAFTER('Additional Images-WUO_ERR'!A261, ":"))))</f>
        <v>0</v>
      </c>
    </row>
    <row r="262" spans="1:1">
      <c r="A262" s="39">
        <f>IF('Additional Images'!B262 = "", "", IF('Additional Images-WUO_ERR'!A262 = "", "Validated", HYPERLINK("#" &amp; ADDRESS(262, 'Additional Images-WUO_TRK'!A262),_xlfn.TEXTAFTER('Additional Images-WUO_ERR'!A262, ":"))))</f>
        <v>0</v>
      </c>
    </row>
    <row r="263" spans="1:1">
      <c r="A263" s="39">
        <f>IF('Additional Images'!B263 = "", "", IF('Additional Images-WUO_ERR'!A263 = "", "Validated", HYPERLINK("#" &amp; ADDRESS(263, 'Additional Images-WUO_TRK'!A263),_xlfn.TEXTAFTER('Additional Images-WUO_ERR'!A263, ":"))))</f>
        <v>0</v>
      </c>
    </row>
    <row r="264" spans="1:1">
      <c r="A264" s="39">
        <f>IF('Additional Images'!B264 = "", "", IF('Additional Images-WUO_ERR'!A264 = "", "Validated", HYPERLINK("#" &amp; ADDRESS(264, 'Additional Images-WUO_TRK'!A264),_xlfn.TEXTAFTER('Additional Images-WUO_ERR'!A264, ":"))))</f>
        <v>0</v>
      </c>
    </row>
    <row r="265" spans="1:1">
      <c r="A265" s="39">
        <f>IF('Additional Images'!B265 = "", "", IF('Additional Images-WUO_ERR'!A265 = "", "Validated", HYPERLINK("#" &amp; ADDRESS(265, 'Additional Images-WUO_TRK'!A265),_xlfn.TEXTAFTER('Additional Images-WUO_ERR'!A265, ":"))))</f>
        <v>0</v>
      </c>
    </row>
    <row r="266" spans="1:1">
      <c r="A266" s="39">
        <f>IF('Additional Images'!B266 = "", "", IF('Additional Images-WUO_ERR'!A266 = "", "Validated", HYPERLINK("#" &amp; ADDRESS(266, 'Additional Images-WUO_TRK'!A266),_xlfn.TEXTAFTER('Additional Images-WUO_ERR'!A266, ":"))))</f>
        <v>0</v>
      </c>
    </row>
    <row r="267" spans="1:1">
      <c r="A267" s="39">
        <f>IF('Additional Images'!B267 = "", "", IF('Additional Images-WUO_ERR'!A267 = "", "Validated", HYPERLINK("#" &amp; ADDRESS(267, 'Additional Images-WUO_TRK'!A267),_xlfn.TEXTAFTER('Additional Images-WUO_ERR'!A267, ":"))))</f>
        <v>0</v>
      </c>
    </row>
    <row r="268" spans="1:1">
      <c r="A268" s="39">
        <f>IF('Additional Images'!B268 = "", "", IF('Additional Images-WUO_ERR'!A268 = "", "Validated", HYPERLINK("#" &amp; ADDRESS(268, 'Additional Images-WUO_TRK'!A268),_xlfn.TEXTAFTER('Additional Images-WUO_ERR'!A268, ":"))))</f>
        <v>0</v>
      </c>
    </row>
    <row r="269" spans="1:1">
      <c r="A269" s="39">
        <f>IF('Additional Images'!B269 = "", "", IF('Additional Images-WUO_ERR'!A269 = "", "Validated", HYPERLINK("#" &amp; ADDRESS(269, 'Additional Images-WUO_TRK'!A269),_xlfn.TEXTAFTER('Additional Images-WUO_ERR'!A269, ":"))))</f>
        <v>0</v>
      </c>
    </row>
    <row r="270" spans="1:1">
      <c r="A270" s="39">
        <f>IF('Additional Images'!B270 = "", "", IF('Additional Images-WUO_ERR'!A270 = "", "Validated", HYPERLINK("#" &amp; ADDRESS(270, 'Additional Images-WUO_TRK'!A270),_xlfn.TEXTAFTER('Additional Images-WUO_ERR'!A270, ":"))))</f>
        <v>0</v>
      </c>
    </row>
    <row r="271" spans="1:1">
      <c r="A271" s="39">
        <f>IF('Additional Images'!B271 = "", "", IF('Additional Images-WUO_ERR'!A271 = "", "Validated", HYPERLINK("#" &amp; ADDRESS(271, 'Additional Images-WUO_TRK'!A271),_xlfn.TEXTAFTER('Additional Images-WUO_ERR'!A271, ":"))))</f>
        <v>0</v>
      </c>
    </row>
    <row r="272" spans="1:1">
      <c r="A272" s="39">
        <f>IF('Additional Images'!B272 = "", "", IF('Additional Images-WUO_ERR'!A272 = "", "Validated", HYPERLINK("#" &amp; ADDRESS(272, 'Additional Images-WUO_TRK'!A272),_xlfn.TEXTAFTER('Additional Images-WUO_ERR'!A272, ":"))))</f>
        <v>0</v>
      </c>
    </row>
    <row r="273" spans="1:1">
      <c r="A273" s="39">
        <f>IF('Additional Images'!B273 = "", "", IF('Additional Images-WUO_ERR'!A273 = "", "Validated", HYPERLINK("#" &amp; ADDRESS(273, 'Additional Images-WUO_TRK'!A273),_xlfn.TEXTAFTER('Additional Images-WUO_ERR'!A273, ":"))))</f>
        <v>0</v>
      </c>
    </row>
    <row r="274" spans="1:1">
      <c r="A274" s="39">
        <f>IF('Additional Images'!B274 = "", "", IF('Additional Images-WUO_ERR'!A274 = "", "Validated", HYPERLINK("#" &amp; ADDRESS(274, 'Additional Images-WUO_TRK'!A274),_xlfn.TEXTAFTER('Additional Images-WUO_ERR'!A274, ":"))))</f>
        <v>0</v>
      </c>
    </row>
    <row r="275" spans="1:1">
      <c r="A275" s="39">
        <f>IF('Additional Images'!B275 = "", "", IF('Additional Images-WUO_ERR'!A275 = "", "Validated", HYPERLINK("#" &amp; ADDRESS(275, 'Additional Images-WUO_TRK'!A275),_xlfn.TEXTAFTER('Additional Images-WUO_ERR'!A275, ":"))))</f>
        <v>0</v>
      </c>
    </row>
    <row r="276" spans="1:1">
      <c r="A276" s="39">
        <f>IF('Additional Images'!B276 = "", "", IF('Additional Images-WUO_ERR'!A276 = "", "Validated", HYPERLINK("#" &amp; ADDRESS(276, 'Additional Images-WUO_TRK'!A276),_xlfn.TEXTAFTER('Additional Images-WUO_ERR'!A276, ":"))))</f>
        <v>0</v>
      </c>
    </row>
    <row r="277" spans="1:1">
      <c r="A277" s="39">
        <f>IF('Additional Images'!B277 = "", "", IF('Additional Images-WUO_ERR'!A277 = "", "Validated", HYPERLINK("#" &amp; ADDRESS(277, 'Additional Images-WUO_TRK'!A277),_xlfn.TEXTAFTER('Additional Images-WUO_ERR'!A277, ":"))))</f>
        <v>0</v>
      </c>
    </row>
    <row r="278" spans="1:1">
      <c r="A278" s="39">
        <f>IF('Additional Images'!B278 = "", "", IF('Additional Images-WUO_ERR'!A278 = "", "Validated", HYPERLINK("#" &amp; ADDRESS(278, 'Additional Images-WUO_TRK'!A278),_xlfn.TEXTAFTER('Additional Images-WUO_ERR'!A278, ":"))))</f>
        <v>0</v>
      </c>
    </row>
    <row r="279" spans="1:1">
      <c r="A279" s="39">
        <f>IF('Additional Images'!B279 = "", "", IF('Additional Images-WUO_ERR'!A279 = "", "Validated", HYPERLINK("#" &amp; ADDRESS(279, 'Additional Images-WUO_TRK'!A279),_xlfn.TEXTAFTER('Additional Images-WUO_ERR'!A279, ":"))))</f>
        <v>0</v>
      </c>
    </row>
    <row r="280" spans="1:1">
      <c r="A280" s="39">
        <f>IF('Additional Images'!B280 = "", "", IF('Additional Images-WUO_ERR'!A280 = "", "Validated", HYPERLINK("#" &amp; ADDRESS(280, 'Additional Images-WUO_TRK'!A280),_xlfn.TEXTAFTER('Additional Images-WUO_ERR'!A280, ":"))))</f>
        <v>0</v>
      </c>
    </row>
    <row r="281" spans="1:1">
      <c r="A281" s="39">
        <f>IF('Additional Images'!B281 = "", "", IF('Additional Images-WUO_ERR'!A281 = "", "Validated", HYPERLINK("#" &amp; ADDRESS(281, 'Additional Images-WUO_TRK'!A281),_xlfn.TEXTAFTER('Additional Images-WUO_ERR'!A281, ":"))))</f>
        <v>0</v>
      </c>
    </row>
    <row r="282" spans="1:1">
      <c r="A282" s="39">
        <f>IF('Additional Images'!B282 = "", "", IF('Additional Images-WUO_ERR'!A282 = "", "Validated", HYPERLINK("#" &amp; ADDRESS(282, 'Additional Images-WUO_TRK'!A282),_xlfn.TEXTAFTER('Additional Images-WUO_ERR'!A282, ":"))))</f>
        <v>0</v>
      </c>
    </row>
    <row r="283" spans="1:1">
      <c r="A283" s="39">
        <f>IF('Additional Images'!B283 = "", "", IF('Additional Images-WUO_ERR'!A283 = "", "Validated", HYPERLINK("#" &amp; ADDRESS(283, 'Additional Images-WUO_TRK'!A283),_xlfn.TEXTAFTER('Additional Images-WUO_ERR'!A283, ":"))))</f>
        <v>0</v>
      </c>
    </row>
    <row r="284" spans="1:1">
      <c r="A284" s="39">
        <f>IF('Additional Images'!B284 = "", "", IF('Additional Images-WUO_ERR'!A284 = "", "Validated", HYPERLINK("#" &amp; ADDRESS(284, 'Additional Images-WUO_TRK'!A284),_xlfn.TEXTAFTER('Additional Images-WUO_ERR'!A284, ":"))))</f>
        <v>0</v>
      </c>
    </row>
    <row r="285" spans="1:1">
      <c r="A285" s="39">
        <f>IF('Additional Images'!B285 = "", "", IF('Additional Images-WUO_ERR'!A285 = "", "Validated", HYPERLINK("#" &amp; ADDRESS(285, 'Additional Images-WUO_TRK'!A285),_xlfn.TEXTAFTER('Additional Images-WUO_ERR'!A285, ":"))))</f>
        <v>0</v>
      </c>
    </row>
    <row r="286" spans="1:1">
      <c r="A286" s="39">
        <f>IF('Additional Images'!B286 = "", "", IF('Additional Images-WUO_ERR'!A286 = "", "Validated", HYPERLINK("#" &amp; ADDRESS(286, 'Additional Images-WUO_TRK'!A286),_xlfn.TEXTAFTER('Additional Images-WUO_ERR'!A286, ":"))))</f>
        <v>0</v>
      </c>
    </row>
    <row r="287" spans="1:1">
      <c r="A287" s="39">
        <f>IF('Additional Images'!B287 = "", "", IF('Additional Images-WUO_ERR'!A287 = "", "Validated", HYPERLINK("#" &amp; ADDRESS(287, 'Additional Images-WUO_TRK'!A287),_xlfn.TEXTAFTER('Additional Images-WUO_ERR'!A287, ":"))))</f>
        <v>0</v>
      </c>
    </row>
    <row r="288" spans="1:1">
      <c r="A288" s="39">
        <f>IF('Additional Images'!B288 = "", "", IF('Additional Images-WUO_ERR'!A288 = "", "Validated", HYPERLINK("#" &amp; ADDRESS(288, 'Additional Images-WUO_TRK'!A288),_xlfn.TEXTAFTER('Additional Images-WUO_ERR'!A288, ":"))))</f>
        <v>0</v>
      </c>
    </row>
    <row r="289" spans="1:1">
      <c r="A289" s="39">
        <f>IF('Additional Images'!B289 = "", "", IF('Additional Images-WUO_ERR'!A289 = "", "Validated", HYPERLINK("#" &amp; ADDRESS(289, 'Additional Images-WUO_TRK'!A289),_xlfn.TEXTAFTER('Additional Images-WUO_ERR'!A289, ":"))))</f>
        <v>0</v>
      </c>
    </row>
    <row r="290" spans="1:1">
      <c r="A290" s="39">
        <f>IF('Additional Images'!B290 = "", "", IF('Additional Images-WUO_ERR'!A290 = "", "Validated", HYPERLINK("#" &amp; ADDRESS(290, 'Additional Images-WUO_TRK'!A290),_xlfn.TEXTAFTER('Additional Images-WUO_ERR'!A290, ":"))))</f>
        <v>0</v>
      </c>
    </row>
    <row r="291" spans="1:1">
      <c r="A291" s="39">
        <f>IF('Additional Images'!B291 = "", "", IF('Additional Images-WUO_ERR'!A291 = "", "Validated", HYPERLINK("#" &amp; ADDRESS(291, 'Additional Images-WUO_TRK'!A291),_xlfn.TEXTAFTER('Additional Images-WUO_ERR'!A291, ":"))))</f>
        <v>0</v>
      </c>
    </row>
    <row r="292" spans="1:1">
      <c r="A292" s="39">
        <f>IF('Additional Images'!B292 = "", "", IF('Additional Images-WUO_ERR'!A292 = "", "Validated", HYPERLINK("#" &amp; ADDRESS(292, 'Additional Images-WUO_TRK'!A292),_xlfn.TEXTAFTER('Additional Images-WUO_ERR'!A292, ":"))))</f>
        <v>0</v>
      </c>
    </row>
    <row r="293" spans="1:1">
      <c r="A293" s="39">
        <f>IF('Additional Images'!B293 = "", "", IF('Additional Images-WUO_ERR'!A293 = "", "Validated", HYPERLINK("#" &amp; ADDRESS(293, 'Additional Images-WUO_TRK'!A293),_xlfn.TEXTAFTER('Additional Images-WUO_ERR'!A293, ":"))))</f>
        <v>0</v>
      </c>
    </row>
    <row r="294" spans="1:1">
      <c r="A294" s="39">
        <f>IF('Additional Images'!B294 = "", "", IF('Additional Images-WUO_ERR'!A294 = "", "Validated", HYPERLINK("#" &amp; ADDRESS(294, 'Additional Images-WUO_TRK'!A294),_xlfn.TEXTAFTER('Additional Images-WUO_ERR'!A294, ":"))))</f>
        <v>0</v>
      </c>
    </row>
    <row r="295" spans="1:1">
      <c r="A295" s="39">
        <f>IF('Additional Images'!B295 = "", "", IF('Additional Images-WUO_ERR'!A295 = "", "Validated", HYPERLINK("#" &amp; ADDRESS(295, 'Additional Images-WUO_TRK'!A295),_xlfn.TEXTAFTER('Additional Images-WUO_ERR'!A295, ":"))))</f>
        <v>0</v>
      </c>
    </row>
    <row r="296" spans="1:1">
      <c r="A296" s="39">
        <f>IF('Additional Images'!B296 = "", "", IF('Additional Images-WUO_ERR'!A296 = "", "Validated", HYPERLINK("#" &amp; ADDRESS(296, 'Additional Images-WUO_TRK'!A296),_xlfn.TEXTAFTER('Additional Images-WUO_ERR'!A296, ":"))))</f>
        <v>0</v>
      </c>
    </row>
    <row r="297" spans="1:1">
      <c r="A297" s="39">
        <f>IF('Additional Images'!B297 = "", "", IF('Additional Images-WUO_ERR'!A297 = "", "Validated", HYPERLINK("#" &amp; ADDRESS(297, 'Additional Images-WUO_TRK'!A297),_xlfn.TEXTAFTER('Additional Images-WUO_ERR'!A297, ":"))))</f>
        <v>0</v>
      </c>
    </row>
    <row r="298" spans="1:1">
      <c r="A298" s="39">
        <f>IF('Additional Images'!B298 = "", "", IF('Additional Images-WUO_ERR'!A298 = "", "Validated", HYPERLINK("#" &amp; ADDRESS(298, 'Additional Images-WUO_TRK'!A298),_xlfn.TEXTAFTER('Additional Images-WUO_ERR'!A298, ":"))))</f>
        <v>0</v>
      </c>
    </row>
    <row r="299" spans="1:1">
      <c r="A299" s="39">
        <f>IF('Additional Images'!B299 = "", "", IF('Additional Images-WUO_ERR'!A299 = "", "Validated", HYPERLINK("#" &amp; ADDRESS(299, 'Additional Images-WUO_TRK'!A299),_xlfn.TEXTAFTER('Additional Images-WUO_ERR'!A299, ":"))))</f>
        <v>0</v>
      </c>
    </row>
    <row r="300" spans="1:1">
      <c r="A300" s="39">
        <f>IF('Additional Images'!B300 = "", "", IF('Additional Images-WUO_ERR'!A300 = "", "Validated", HYPERLINK("#" &amp; ADDRESS(300, 'Additional Images-WUO_TRK'!A300),_xlfn.TEXTAFTER('Additional Images-WUO_ERR'!A300, ":"))))</f>
        <v>0</v>
      </c>
    </row>
    <row r="301" spans="1:1">
      <c r="A301" s="39">
        <f>IF('Additional Images'!B301 = "", "", IF('Additional Images-WUO_ERR'!A301 = "", "Validated", HYPERLINK("#" &amp; ADDRESS(301, 'Additional Images-WUO_TRK'!A301),_xlfn.TEXTAFTER('Additional Images-WUO_ERR'!A301, ":"))))</f>
        <v>0</v>
      </c>
    </row>
    <row r="302" spans="1:1">
      <c r="A302" s="39">
        <f>IF('Additional Images'!B302 = "", "", IF('Additional Images-WUO_ERR'!A302 = "", "Validated", HYPERLINK("#" &amp; ADDRESS(302, 'Additional Images-WUO_TRK'!A302),_xlfn.TEXTAFTER('Additional Images-WUO_ERR'!A302, ":"))))</f>
        <v>0</v>
      </c>
    </row>
    <row r="303" spans="1:1">
      <c r="A303" s="39">
        <f>IF('Additional Images'!B303 = "", "", IF('Additional Images-WUO_ERR'!A303 = "", "Validated", HYPERLINK("#" &amp; ADDRESS(303, 'Additional Images-WUO_TRK'!A303),_xlfn.TEXTAFTER('Additional Images-WUO_ERR'!A303, ":"))))</f>
        <v>0</v>
      </c>
    </row>
    <row r="304" spans="1:1">
      <c r="A304" s="39">
        <f>IF('Additional Images'!B304 = "", "", IF('Additional Images-WUO_ERR'!A304 = "", "Validated", HYPERLINK("#" &amp; ADDRESS(304, 'Additional Images-WUO_TRK'!A304),_xlfn.TEXTAFTER('Additional Images-WUO_ERR'!A304, ":"))))</f>
        <v>0</v>
      </c>
    </row>
    <row r="305" spans="1:1">
      <c r="A305" s="39">
        <f>IF('Additional Images'!B305 = "", "", IF('Additional Images-WUO_ERR'!A305 = "", "Validated", HYPERLINK("#" &amp; ADDRESS(305, 'Additional Images-WUO_TRK'!A305),_xlfn.TEXTAFTER('Additional Images-WUO_ERR'!A305, ":"))))</f>
        <v>0</v>
      </c>
    </row>
    <row r="306" spans="1:1">
      <c r="A306" s="39">
        <f>IF('Additional Images'!B306 = "", "", IF('Additional Images-WUO_ERR'!A306 = "", "Validated", HYPERLINK("#" &amp; ADDRESS(306, 'Additional Images-WUO_TRK'!A306),_xlfn.TEXTAFTER('Additional Images-WUO_ERR'!A306, ":"))))</f>
        <v>0</v>
      </c>
    </row>
    <row r="307" spans="1:1">
      <c r="A307" s="39">
        <f>IF('Additional Images'!B307 = "", "", IF('Additional Images-WUO_ERR'!A307 = "", "Validated", HYPERLINK("#" &amp; ADDRESS(307, 'Additional Images-WUO_TRK'!A307),_xlfn.TEXTAFTER('Additional Images-WUO_ERR'!A307, ":"))))</f>
        <v>0</v>
      </c>
    </row>
    <row r="308" spans="1:1">
      <c r="A308" s="39">
        <f>IF('Additional Images'!B308 = "", "", IF('Additional Images-WUO_ERR'!A308 = "", "Validated", HYPERLINK("#" &amp; ADDRESS(308, 'Additional Images-WUO_TRK'!A308),_xlfn.TEXTAFTER('Additional Images-WUO_ERR'!A308, ":"))))</f>
        <v>0</v>
      </c>
    </row>
    <row r="309" spans="1:1">
      <c r="A309" s="39">
        <f>IF('Additional Images'!B309 = "", "", IF('Additional Images-WUO_ERR'!A309 = "", "Validated", HYPERLINK("#" &amp; ADDRESS(309, 'Additional Images-WUO_TRK'!A309),_xlfn.TEXTAFTER('Additional Images-WUO_ERR'!A309, ":"))))</f>
        <v>0</v>
      </c>
    </row>
    <row r="310" spans="1:1">
      <c r="A310" s="39">
        <f>IF('Additional Images'!B310 = "", "", IF('Additional Images-WUO_ERR'!A310 = "", "Validated", HYPERLINK("#" &amp; ADDRESS(310, 'Additional Images-WUO_TRK'!A310),_xlfn.TEXTAFTER('Additional Images-WUO_ERR'!A310, ":"))))</f>
        <v>0</v>
      </c>
    </row>
    <row r="311" spans="1:1">
      <c r="A311" s="39">
        <f>IF('Additional Images'!B311 = "", "", IF('Additional Images-WUO_ERR'!A311 = "", "Validated", HYPERLINK("#" &amp; ADDRESS(311, 'Additional Images-WUO_TRK'!A311),_xlfn.TEXTAFTER('Additional Images-WUO_ERR'!A311, ":"))))</f>
        <v>0</v>
      </c>
    </row>
    <row r="312" spans="1:1">
      <c r="A312" s="39">
        <f>IF('Additional Images'!B312 = "", "", IF('Additional Images-WUO_ERR'!A312 = "", "Validated", HYPERLINK("#" &amp; ADDRESS(312, 'Additional Images-WUO_TRK'!A312),_xlfn.TEXTAFTER('Additional Images-WUO_ERR'!A312, ":"))))</f>
        <v>0</v>
      </c>
    </row>
    <row r="313" spans="1:1">
      <c r="A313" s="39">
        <f>IF('Additional Images'!B313 = "", "", IF('Additional Images-WUO_ERR'!A313 = "", "Validated", HYPERLINK("#" &amp; ADDRESS(313, 'Additional Images-WUO_TRK'!A313),_xlfn.TEXTAFTER('Additional Images-WUO_ERR'!A313, ":"))))</f>
        <v>0</v>
      </c>
    </row>
    <row r="314" spans="1:1">
      <c r="A314" s="39">
        <f>IF('Additional Images'!B314 = "", "", IF('Additional Images-WUO_ERR'!A314 = "", "Validated", HYPERLINK("#" &amp; ADDRESS(314, 'Additional Images-WUO_TRK'!A314),_xlfn.TEXTAFTER('Additional Images-WUO_ERR'!A314, ":"))))</f>
        <v>0</v>
      </c>
    </row>
    <row r="315" spans="1:1">
      <c r="A315" s="39">
        <f>IF('Additional Images'!B315 = "", "", IF('Additional Images-WUO_ERR'!A315 = "", "Validated", HYPERLINK("#" &amp; ADDRESS(315, 'Additional Images-WUO_TRK'!A315),_xlfn.TEXTAFTER('Additional Images-WUO_ERR'!A315, ":"))))</f>
        <v>0</v>
      </c>
    </row>
    <row r="316" spans="1:1">
      <c r="A316" s="39">
        <f>IF('Additional Images'!B316 = "", "", IF('Additional Images-WUO_ERR'!A316 = "", "Validated", HYPERLINK("#" &amp; ADDRESS(316, 'Additional Images-WUO_TRK'!A316),_xlfn.TEXTAFTER('Additional Images-WUO_ERR'!A316, ":"))))</f>
        <v>0</v>
      </c>
    </row>
    <row r="317" spans="1:1">
      <c r="A317" s="39">
        <f>IF('Additional Images'!B317 = "", "", IF('Additional Images-WUO_ERR'!A317 = "", "Validated", HYPERLINK("#" &amp; ADDRESS(317, 'Additional Images-WUO_TRK'!A317),_xlfn.TEXTAFTER('Additional Images-WUO_ERR'!A317, ":"))))</f>
        <v>0</v>
      </c>
    </row>
    <row r="318" spans="1:1">
      <c r="A318" s="39">
        <f>IF('Additional Images'!B318 = "", "", IF('Additional Images-WUO_ERR'!A318 = "", "Validated", HYPERLINK("#" &amp; ADDRESS(318, 'Additional Images-WUO_TRK'!A318),_xlfn.TEXTAFTER('Additional Images-WUO_ERR'!A318, ":"))))</f>
        <v>0</v>
      </c>
    </row>
    <row r="319" spans="1:1">
      <c r="A319" s="39">
        <f>IF('Additional Images'!B319 = "", "", IF('Additional Images-WUO_ERR'!A319 = "", "Validated", HYPERLINK("#" &amp; ADDRESS(319, 'Additional Images-WUO_TRK'!A319),_xlfn.TEXTAFTER('Additional Images-WUO_ERR'!A319, ":"))))</f>
        <v>0</v>
      </c>
    </row>
    <row r="320" spans="1:1">
      <c r="A320" s="39">
        <f>IF('Additional Images'!B320 = "", "", IF('Additional Images-WUO_ERR'!A320 = "", "Validated", HYPERLINK("#" &amp; ADDRESS(320, 'Additional Images-WUO_TRK'!A320),_xlfn.TEXTAFTER('Additional Images-WUO_ERR'!A320, ":"))))</f>
        <v>0</v>
      </c>
    </row>
    <row r="321" spans="1:1">
      <c r="A321" s="39">
        <f>IF('Additional Images'!B321 = "", "", IF('Additional Images-WUO_ERR'!A321 = "", "Validated", HYPERLINK("#" &amp; ADDRESS(321, 'Additional Images-WUO_TRK'!A321),_xlfn.TEXTAFTER('Additional Images-WUO_ERR'!A321, ":"))))</f>
        <v>0</v>
      </c>
    </row>
    <row r="322" spans="1:1">
      <c r="A322" s="39">
        <f>IF('Additional Images'!B322 = "", "", IF('Additional Images-WUO_ERR'!A322 = "", "Validated", HYPERLINK("#" &amp; ADDRESS(322, 'Additional Images-WUO_TRK'!A322),_xlfn.TEXTAFTER('Additional Images-WUO_ERR'!A322, ":"))))</f>
        <v>0</v>
      </c>
    </row>
    <row r="323" spans="1:1">
      <c r="A323" s="39">
        <f>IF('Additional Images'!B323 = "", "", IF('Additional Images-WUO_ERR'!A323 = "", "Validated", HYPERLINK("#" &amp; ADDRESS(323, 'Additional Images-WUO_TRK'!A323),_xlfn.TEXTAFTER('Additional Images-WUO_ERR'!A323, ":"))))</f>
        <v>0</v>
      </c>
    </row>
    <row r="324" spans="1:1">
      <c r="A324" s="39">
        <f>IF('Additional Images'!B324 = "", "", IF('Additional Images-WUO_ERR'!A324 = "", "Validated", HYPERLINK("#" &amp; ADDRESS(324, 'Additional Images-WUO_TRK'!A324),_xlfn.TEXTAFTER('Additional Images-WUO_ERR'!A324, ":"))))</f>
        <v>0</v>
      </c>
    </row>
    <row r="325" spans="1:1">
      <c r="A325" s="39">
        <f>IF('Additional Images'!B325 = "", "", IF('Additional Images-WUO_ERR'!A325 = "", "Validated", HYPERLINK("#" &amp; ADDRESS(325, 'Additional Images-WUO_TRK'!A325),_xlfn.TEXTAFTER('Additional Images-WUO_ERR'!A325, ":"))))</f>
        <v>0</v>
      </c>
    </row>
    <row r="326" spans="1:1">
      <c r="A326" s="39">
        <f>IF('Additional Images'!B326 = "", "", IF('Additional Images-WUO_ERR'!A326 = "", "Validated", HYPERLINK("#" &amp; ADDRESS(326, 'Additional Images-WUO_TRK'!A326),_xlfn.TEXTAFTER('Additional Images-WUO_ERR'!A326, ":"))))</f>
        <v>0</v>
      </c>
    </row>
    <row r="327" spans="1:1">
      <c r="A327" s="39">
        <f>IF('Additional Images'!B327 = "", "", IF('Additional Images-WUO_ERR'!A327 = "", "Validated", HYPERLINK("#" &amp; ADDRESS(327, 'Additional Images-WUO_TRK'!A327),_xlfn.TEXTAFTER('Additional Images-WUO_ERR'!A327, ":"))))</f>
        <v>0</v>
      </c>
    </row>
    <row r="328" spans="1:1">
      <c r="A328" s="39">
        <f>IF('Additional Images'!B328 = "", "", IF('Additional Images-WUO_ERR'!A328 = "", "Validated", HYPERLINK("#" &amp; ADDRESS(328, 'Additional Images-WUO_TRK'!A328),_xlfn.TEXTAFTER('Additional Images-WUO_ERR'!A328, ":"))))</f>
        <v>0</v>
      </c>
    </row>
    <row r="329" spans="1:1">
      <c r="A329" s="39">
        <f>IF('Additional Images'!B329 = "", "", IF('Additional Images-WUO_ERR'!A329 = "", "Validated", HYPERLINK("#" &amp; ADDRESS(329, 'Additional Images-WUO_TRK'!A329),_xlfn.TEXTAFTER('Additional Images-WUO_ERR'!A329, ":"))))</f>
        <v>0</v>
      </c>
    </row>
    <row r="330" spans="1:1">
      <c r="A330" s="39">
        <f>IF('Additional Images'!B330 = "", "", IF('Additional Images-WUO_ERR'!A330 = "", "Validated", HYPERLINK("#" &amp; ADDRESS(330, 'Additional Images-WUO_TRK'!A330),_xlfn.TEXTAFTER('Additional Images-WUO_ERR'!A330, ":"))))</f>
        <v>0</v>
      </c>
    </row>
    <row r="331" spans="1:1">
      <c r="A331" s="39">
        <f>IF('Additional Images'!B331 = "", "", IF('Additional Images-WUO_ERR'!A331 = "", "Validated", HYPERLINK("#" &amp; ADDRESS(331, 'Additional Images-WUO_TRK'!A331),_xlfn.TEXTAFTER('Additional Images-WUO_ERR'!A331, ":"))))</f>
        <v>0</v>
      </c>
    </row>
    <row r="332" spans="1:1">
      <c r="A332" s="39">
        <f>IF('Additional Images'!B332 = "", "", IF('Additional Images-WUO_ERR'!A332 = "", "Validated", HYPERLINK("#" &amp; ADDRESS(332, 'Additional Images-WUO_TRK'!A332),_xlfn.TEXTAFTER('Additional Images-WUO_ERR'!A332, ":"))))</f>
        <v>0</v>
      </c>
    </row>
    <row r="333" spans="1:1">
      <c r="A333" s="39">
        <f>IF('Additional Images'!B333 = "", "", IF('Additional Images-WUO_ERR'!A333 = "", "Validated", HYPERLINK("#" &amp; ADDRESS(333, 'Additional Images-WUO_TRK'!A333),_xlfn.TEXTAFTER('Additional Images-WUO_ERR'!A333, ":"))))</f>
        <v>0</v>
      </c>
    </row>
    <row r="334" spans="1:1">
      <c r="A334" s="39">
        <f>IF('Additional Images'!B334 = "", "", IF('Additional Images-WUO_ERR'!A334 = "", "Validated", HYPERLINK("#" &amp; ADDRESS(334, 'Additional Images-WUO_TRK'!A334),_xlfn.TEXTAFTER('Additional Images-WUO_ERR'!A334, ":"))))</f>
        <v>0</v>
      </c>
    </row>
    <row r="335" spans="1:1">
      <c r="A335" s="39">
        <f>IF('Additional Images'!B335 = "", "", IF('Additional Images-WUO_ERR'!A335 = "", "Validated", HYPERLINK("#" &amp; ADDRESS(335, 'Additional Images-WUO_TRK'!A335),_xlfn.TEXTAFTER('Additional Images-WUO_ERR'!A335, ":"))))</f>
        <v>0</v>
      </c>
    </row>
    <row r="336" spans="1:1">
      <c r="A336" s="39">
        <f>IF('Additional Images'!B336 = "", "", IF('Additional Images-WUO_ERR'!A336 = "", "Validated", HYPERLINK("#" &amp; ADDRESS(336, 'Additional Images-WUO_TRK'!A336),_xlfn.TEXTAFTER('Additional Images-WUO_ERR'!A336, ":"))))</f>
        <v>0</v>
      </c>
    </row>
    <row r="337" spans="1:1">
      <c r="A337" s="39">
        <f>IF('Additional Images'!B337 = "", "", IF('Additional Images-WUO_ERR'!A337 = "", "Validated", HYPERLINK("#" &amp; ADDRESS(337, 'Additional Images-WUO_TRK'!A337),_xlfn.TEXTAFTER('Additional Images-WUO_ERR'!A337, ":"))))</f>
        <v>0</v>
      </c>
    </row>
    <row r="338" spans="1:1">
      <c r="A338" s="39">
        <f>IF('Additional Images'!B338 = "", "", IF('Additional Images-WUO_ERR'!A338 = "", "Validated", HYPERLINK("#" &amp; ADDRESS(338, 'Additional Images-WUO_TRK'!A338),_xlfn.TEXTAFTER('Additional Images-WUO_ERR'!A338, ":"))))</f>
        <v>0</v>
      </c>
    </row>
    <row r="339" spans="1:1">
      <c r="A339" s="39">
        <f>IF('Additional Images'!B339 = "", "", IF('Additional Images-WUO_ERR'!A339 = "", "Validated", HYPERLINK("#" &amp; ADDRESS(339, 'Additional Images-WUO_TRK'!A339),_xlfn.TEXTAFTER('Additional Images-WUO_ERR'!A339, ":"))))</f>
        <v>0</v>
      </c>
    </row>
    <row r="340" spans="1:1">
      <c r="A340" s="39">
        <f>IF('Additional Images'!B340 = "", "", IF('Additional Images-WUO_ERR'!A340 = "", "Validated", HYPERLINK("#" &amp; ADDRESS(340, 'Additional Images-WUO_TRK'!A340),_xlfn.TEXTAFTER('Additional Images-WUO_ERR'!A340, ":"))))</f>
        <v>0</v>
      </c>
    </row>
    <row r="341" spans="1:1">
      <c r="A341" s="39">
        <f>IF('Additional Images'!B341 = "", "", IF('Additional Images-WUO_ERR'!A341 = "", "Validated", HYPERLINK("#" &amp; ADDRESS(341, 'Additional Images-WUO_TRK'!A341),_xlfn.TEXTAFTER('Additional Images-WUO_ERR'!A341, ":"))))</f>
        <v>0</v>
      </c>
    </row>
    <row r="342" spans="1:1">
      <c r="A342" s="39">
        <f>IF('Additional Images'!B342 = "", "", IF('Additional Images-WUO_ERR'!A342 = "", "Validated", HYPERLINK("#" &amp; ADDRESS(342, 'Additional Images-WUO_TRK'!A342),_xlfn.TEXTAFTER('Additional Images-WUO_ERR'!A342, ":"))))</f>
        <v>0</v>
      </c>
    </row>
    <row r="343" spans="1:1">
      <c r="A343" s="39">
        <f>IF('Additional Images'!B343 = "", "", IF('Additional Images-WUO_ERR'!A343 = "", "Validated", HYPERLINK("#" &amp; ADDRESS(343, 'Additional Images-WUO_TRK'!A343),_xlfn.TEXTAFTER('Additional Images-WUO_ERR'!A343, ":"))))</f>
        <v>0</v>
      </c>
    </row>
    <row r="344" spans="1:1">
      <c r="A344" s="39">
        <f>IF('Additional Images'!B344 = "", "", IF('Additional Images-WUO_ERR'!A344 = "", "Validated", HYPERLINK("#" &amp; ADDRESS(344, 'Additional Images-WUO_TRK'!A344),_xlfn.TEXTAFTER('Additional Images-WUO_ERR'!A344, ":"))))</f>
        <v>0</v>
      </c>
    </row>
    <row r="345" spans="1:1">
      <c r="A345" s="39">
        <f>IF('Additional Images'!B345 = "", "", IF('Additional Images-WUO_ERR'!A345 = "", "Validated", HYPERLINK("#" &amp; ADDRESS(345, 'Additional Images-WUO_TRK'!A345),_xlfn.TEXTAFTER('Additional Images-WUO_ERR'!A345, ":"))))</f>
        <v>0</v>
      </c>
    </row>
    <row r="346" spans="1:1">
      <c r="A346" s="39">
        <f>IF('Additional Images'!B346 = "", "", IF('Additional Images-WUO_ERR'!A346 = "", "Validated", HYPERLINK("#" &amp; ADDRESS(346, 'Additional Images-WUO_TRK'!A346),_xlfn.TEXTAFTER('Additional Images-WUO_ERR'!A346, ":"))))</f>
        <v>0</v>
      </c>
    </row>
    <row r="347" spans="1:1">
      <c r="A347" s="39">
        <f>IF('Additional Images'!B347 = "", "", IF('Additional Images-WUO_ERR'!A347 = "", "Validated", HYPERLINK("#" &amp; ADDRESS(347, 'Additional Images-WUO_TRK'!A347),_xlfn.TEXTAFTER('Additional Images-WUO_ERR'!A347, ":"))))</f>
        <v>0</v>
      </c>
    </row>
    <row r="348" spans="1:1">
      <c r="A348" s="39">
        <f>IF('Additional Images'!B348 = "", "", IF('Additional Images-WUO_ERR'!A348 = "", "Validated", HYPERLINK("#" &amp; ADDRESS(348, 'Additional Images-WUO_TRK'!A348),_xlfn.TEXTAFTER('Additional Images-WUO_ERR'!A348, ":"))))</f>
        <v>0</v>
      </c>
    </row>
    <row r="349" spans="1:1">
      <c r="A349" s="39">
        <f>IF('Additional Images'!B349 = "", "", IF('Additional Images-WUO_ERR'!A349 = "", "Validated", HYPERLINK("#" &amp; ADDRESS(349, 'Additional Images-WUO_TRK'!A349),_xlfn.TEXTAFTER('Additional Images-WUO_ERR'!A349, ":"))))</f>
        <v>0</v>
      </c>
    </row>
    <row r="350" spans="1:1">
      <c r="A350" s="39">
        <f>IF('Additional Images'!B350 = "", "", IF('Additional Images-WUO_ERR'!A350 = "", "Validated", HYPERLINK("#" &amp; ADDRESS(350, 'Additional Images-WUO_TRK'!A350),_xlfn.TEXTAFTER('Additional Images-WUO_ERR'!A350, ":"))))</f>
        <v>0</v>
      </c>
    </row>
    <row r="351" spans="1:1">
      <c r="A351" s="39">
        <f>IF('Additional Images'!B351 = "", "", IF('Additional Images-WUO_ERR'!A351 = "", "Validated", HYPERLINK("#" &amp; ADDRESS(351, 'Additional Images-WUO_TRK'!A351),_xlfn.TEXTAFTER('Additional Images-WUO_ERR'!A351, ":"))))</f>
        <v>0</v>
      </c>
    </row>
    <row r="352" spans="1:1">
      <c r="A352" s="39">
        <f>IF('Additional Images'!B352 = "", "", IF('Additional Images-WUO_ERR'!A352 = "", "Validated", HYPERLINK("#" &amp; ADDRESS(352, 'Additional Images-WUO_TRK'!A352),_xlfn.TEXTAFTER('Additional Images-WUO_ERR'!A352, ":"))))</f>
        <v>0</v>
      </c>
    </row>
    <row r="353" spans="1:1">
      <c r="A353" s="39">
        <f>IF('Additional Images'!B353 = "", "", IF('Additional Images-WUO_ERR'!A353 = "", "Validated", HYPERLINK("#" &amp; ADDRESS(353, 'Additional Images-WUO_TRK'!A353),_xlfn.TEXTAFTER('Additional Images-WUO_ERR'!A353, ":"))))</f>
        <v>0</v>
      </c>
    </row>
    <row r="354" spans="1:1">
      <c r="A354" s="39">
        <f>IF('Additional Images'!B354 = "", "", IF('Additional Images-WUO_ERR'!A354 = "", "Validated", HYPERLINK("#" &amp; ADDRESS(354, 'Additional Images-WUO_TRK'!A354),_xlfn.TEXTAFTER('Additional Images-WUO_ERR'!A354, ":"))))</f>
        <v>0</v>
      </c>
    </row>
    <row r="355" spans="1:1">
      <c r="A355" s="39">
        <f>IF('Additional Images'!B355 = "", "", IF('Additional Images-WUO_ERR'!A355 = "", "Validated", HYPERLINK("#" &amp; ADDRESS(355, 'Additional Images-WUO_TRK'!A355),_xlfn.TEXTAFTER('Additional Images-WUO_ERR'!A355, ":"))))</f>
        <v>0</v>
      </c>
    </row>
    <row r="356" spans="1:1">
      <c r="A356" s="39">
        <f>IF('Additional Images'!B356 = "", "", IF('Additional Images-WUO_ERR'!A356 = "", "Validated", HYPERLINK("#" &amp; ADDRESS(356, 'Additional Images-WUO_TRK'!A356),_xlfn.TEXTAFTER('Additional Images-WUO_ERR'!A356, ":"))))</f>
        <v>0</v>
      </c>
    </row>
    <row r="357" spans="1:1">
      <c r="A357" s="39">
        <f>IF('Additional Images'!B357 = "", "", IF('Additional Images-WUO_ERR'!A357 = "", "Validated", HYPERLINK("#" &amp; ADDRESS(357, 'Additional Images-WUO_TRK'!A357),_xlfn.TEXTAFTER('Additional Images-WUO_ERR'!A357, ":"))))</f>
        <v>0</v>
      </c>
    </row>
    <row r="358" spans="1:1">
      <c r="A358" s="39">
        <f>IF('Additional Images'!B358 = "", "", IF('Additional Images-WUO_ERR'!A358 = "", "Validated", HYPERLINK("#" &amp; ADDRESS(358, 'Additional Images-WUO_TRK'!A358),_xlfn.TEXTAFTER('Additional Images-WUO_ERR'!A358, ":"))))</f>
        <v>0</v>
      </c>
    </row>
    <row r="359" spans="1:1">
      <c r="A359" s="39">
        <f>IF('Additional Images'!B359 = "", "", IF('Additional Images-WUO_ERR'!A359 = "", "Validated", HYPERLINK("#" &amp; ADDRESS(359, 'Additional Images-WUO_TRK'!A359),_xlfn.TEXTAFTER('Additional Images-WUO_ERR'!A359, ":"))))</f>
        <v>0</v>
      </c>
    </row>
    <row r="360" spans="1:1">
      <c r="A360" s="39">
        <f>IF('Additional Images'!B360 = "", "", IF('Additional Images-WUO_ERR'!A360 = "", "Validated", HYPERLINK("#" &amp; ADDRESS(360, 'Additional Images-WUO_TRK'!A360),_xlfn.TEXTAFTER('Additional Images-WUO_ERR'!A360, ":"))))</f>
        <v>0</v>
      </c>
    </row>
    <row r="361" spans="1:1">
      <c r="A361" s="39">
        <f>IF('Additional Images'!B361 = "", "", IF('Additional Images-WUO_ERR'!A361 = "", "Validated", HYPERLINK("#" &amp; ADDRESS(361, 'Additional Images-WUO_TRK'!A361),_xlfn.TEXTAFTER('Additional Images-WUO_ERR'!A361, ":"))))</f>
        <v>0</v>
      </c>
    </row>
    <row r="362" spans="1:1">
      <c r="A362" s="39">
        <f>IF('Additional Images'!B362 = "", "", IF('Additional Images-WUO_ERR'!A362 = "", "Validated", HYPERLINK("#" &amp; ADDRESS(362, 'Additional Images-WUO_TRK'!A362),_xlfn.TEXTAFTER('Additional Images-WUO_ERR'!A362, ":"))))</f>
        <v>0</v>
      </c>
    </row>
    <row r="363" spans="1:1">
      <c r="A363" s="39">
        <f>IF('Additional Images'!B363 = "", "", IF('Additional Images-WUO_ERR'!A363 = "", "Validated", HYPERLINK("#" &amp; ADDRESS(363, 'Additional Images-WUO_TRK'!A363),_xlfn.TEXTAFTER('Additional Images-WUO_ERR'!A363, ":"))))</f>
        <v>0</v>
      </c>
    </row>
    <row r="364" spans="1:1">
      <c r="A364" s="39">
        <f>IF('Additional Images'!B364 = "", "", IF('Additional Images-WUO_ERR'!A364 = "", "Validated", HYPERLINK("#" &amp; ADDRESS(364, 'Additional Images-WUO_TRK'!A364),_xlfn.TEXTAFTER('Additional Images-WUO_ERR'!A364, ":"))))</f>
        <v>0</v>
      </c>
    </row>
    <row r="365" spans="1:1">
      <c r="A365" s="39">
        <f>IF('Additional Images'!B365 = "", "", IF('Additional Images-WUO_ERR'!A365 = "", "Validated", HYPERLINK("#" &amp; ADDRESS(365, 'Additional Images-WUO_TRK'!A365),_xlfn.TEXTAFTER('Additional Images-WUO_ERR'!A365, ":"))))</f>
        <v>0</v>
      </c>
    </row>
    <row r="366" spans="1:1">
      <c r="A366" s="39">
        <f>IF('Additional Images'!B366 = "", "", IF('Additional Images-WUO_ERR'!A366 = "", "Validated", HYPERLINK("#" &amp; ADDRESS(366, 'Additional Images-WUO_TRK'!A366),_xlfn.TEXTAFTER('Additional Images-WUO_ERR'!A366, ":"))))</f>
        <v>0</v>
      </c>
    </row>
    <row r="367" spans="1:1">
      <c r="A367" s="39">
        <f>IF('Additional Images'!B367 = "", "", IF('Additional Images-WUO_ERR'!A367 = "", "Validated", HYPERLINK("#" &amp; ADDRESS(367, 'Additional Images-WUO_TRK'!A367),_xlfn.TEXTAFTER('Additional Images-WUO_ERR'!A367, ":"))))</f>
        <v>0</v>
      </c>
    </row>
    <row r="368" spans="1:1">
      <c r="A368" s="39">
        <f>IF('Additional Images'!B368 = "", "", IF('Additional Images-WUO_ERR'!A368 = "", "Validated", HYPERLINK("#" &amp; ADDRESS(368, 'Additional Images-WUO_TRK'!A368),_xlfn.TEXTAFTER('Additional Images-WUO_ERR'!A368, ":"))))</f>
        <v>0</v>
      </c>
    </row>
    <row r="369" spans="1:1">
      <c r="A369" s="39">
        <f>IF('Additional Images'!B369 = "", "", IF('Additional Images-WUO_ERR'!A369 = "", "Validated", HYPERLINK("#" &amp; ADDRESS(369, 'Additional Images-WUO_TRK'!A369),_xlfn.TEXTAFTER('Additional Images-WUO_ERR'!A369, ":"))))</f>
        <v>0</v>
      </c>
    </row>
    <row r="370" spans="1:1">
      <c r="A370" s="39">
        <f>IF('Additional Images'!B370 = "", "", IF('Additional Images-WUO_ERR'!A370 = "", "Validated", HYPERLINK("#" &amp; ADDRESS(370, 'Additional Images-WUO_TRK'!A370),_xlfn.TEXTAFTER('Additional Images-WUO_ERR'!A370, ":"))))</f>
        <v>0</v>
      </c>
    </row>
    <row r="371" spans="1:1">
      <c r="A371" s="39">
        <f>IF('Additional Images'!B371 = "", "", IF('Additional Images-WUO_ERR'!A371 = "", "Validated", HYPERLINK("#" &amp; ADDRESS(371, 'Additional Images-WUO_TRK'!A371),_xlfn.TEXTAFTER('Additional Images-WUO_ERR'!A371, ":"))))</f>
        <v>0</v>
      </c>
    </row>
    <row r="372" spans="1:1">
      <c r="A372" s="39">
        <f>IF('Additional Images'!B372 = "", "", IF('Additional Images-WUO_ERR'!A372 = "", "Validated", HYPERLINK("#" &amp; ADDRESS(372, 'Additional Images-WUO_TRK'!A372),_xlfn.TEXTAFTER('Additional Images-WUO_ERR'!A372, ":"))))</f>
        <v>0</v>
      </c>
    </row>
    <row r="373" spans="1:1">
      <c r="A373" s="39">
        <f>IF('Additional Images'!B373 = "", "", IF('Additional Images-WUO_ERR'!A373 = "", "Validated", HYPERLINK("#" &amp; ADDRESS(373, 'Additional Images-WUO_TRK'!A373),_xlfn.TEXTAFTER('Additional Images-WUO_ERR'!A373, ":"))))</f>
        <v>0</v>
      </c>
    </row>
    <row r="374" spans="1:1">
      <c r="A374" s="39">
        <f>IF('Additional Images'!B374 = "", "", IF('Additional Images-WUO_ERR'!A374 = "", "Validated", HYPERLINK("#" &amp; ADDRESS(374, 'Additional Images-WUO_TRK'!A374),_xlfn.TEXTAFTER('Additional Images-WUO_ERR'!A374, ":"))))</f>
        <v>0</v>
      </c>
    </row>
    <row r="375" spans="1:1">
      <c r="A375" s="39">
        <f>IF('Additional Images'!B375 = "", "", IF('Additional Images-WUO_ERR'!A375 = "", "Validated", HYPERLINK("#" &amp; ADDRESS(375, 'Additional Images-WUO_TRK'!A375),_xlfn.TEXTAFTER('Additional Images-WUO_ERR'!A375, ":"))))</f>
        <v>0</v>
      </c>
    </row>
    <row r="376" spans="1:1">
      <c r="A376" s="39">
        <f>IF('Additional Images'!B376 = "", "", IF('Additional Images-WUO_ERR'!A376 = "", "Validated", HYPERLINK("#" &amp; ADDRESS(376, 'Additional Images-WUO_TRK'!A376),_xlfn.TEXTAFTER('Additional Images-WUO_ERR'!A376, ":"))))</f>
        <v>0</v>
      </c>
    </row>
    <row r="377" spans="1:1">
      <c r="A377" s="39">
        <f>IF('Additional Images'!B377 = "", "", IF('Additional Images-WUO_ERR'!A377 = "", "Validated", HYPERLINK("#" &amp; ADDRESS(377, 'Additional Images-WUO_TRK'!A377),_xlfn.TEXTAFTER('Additional Images-WUO_ERR'!A377, ":"))))</f>
        <v>0</v>
      </c>
    </row>
    <row r="378" spans="1:1">
      <c r="A378" s="39">
        <f>IF('Additional Images'!B378 = "", "", IF('Additional Images-WUO_ERR'!A378 = "", "Validated", HYPERLINK("#" &amp; ADDRESS(378, 'Additional Images-WUO_TRK'!A378),_xlfn.TEXTAFTER('Additional Images-WUO_ERR'!A378, ":"))))</f>
        <v>0</v>
      </c>
    </row>
    <row r="379" spans="1:1">
      <c r="A379" s="39">
        <f>IF('Additional Images'!B379 = "", "", IF('Additional Images-WUO_ERR'!A379 = "", "Validated", HYPERLINK("#" &amp; ADDRESS(379, 'Additional Images-WUO_TRK'!A379),_xlfn.TEXTAFTER('Additional Images-WUO_ERR'!A379, ":"))))</f>
        <v>0</v>
      </c>
    </row>
    <row r="380" spans="1:1">
      <c r="A380" s="39">
        <f>IF('Additional Images'!B380 = "", "", IF('Additional Images-WUO_ERR'!A380 = "", "Validated", HYPERLINK("#" &amp; ADDRESS(380, 'Additional Images-WUO_TRK'!A380),_xlfn.TEXTAFTER('Additional Images-WUO_ERR'!A380, ":"))))</f>
        <v>0</v>
      </c>
    </row>
    <row r="381" spans="1:1">
      <c r="A381" s="39">
        <f>IF('Additional Images'!B381 = "", "", IF('Additional Images-WUO_ERR'!A381 = "", "Validated", HYPERLINK("#" &amp; ADDRESS(381, 'Additional Images-WUO_TRK'!A381),_xlfn.TEXTAFTER('Additional Images-WUO_ERR'!A381, ":"))))</f>
        <v>0</v>
      </c>
    </row>
    <row r="382" spans="1:1">
      <c r="A382" s="39">
        <f>IF('Additional Images'!B382 = "", "", IF('Additional Images-WUO_ERR'!A382 = "", "Validated", HYPERLINK("#" &amp; ADDRESS(382, 'Additional Images-WUO_TRK'!A382),_xlfn.TEXTAFTER('Additional Images-WUO_ERR'!A382, ":"))))</f>
        <v>0</v>
      </c>
    </row>
    <row r="383" spans="1:1">
      <c r="A383" s="39">
        <f>IF('Additional Images'!B383 = "", "", IF('Additional Images-WUO_ERR'!A383 = "", "Validated", HYPERLINK("#" &amp; ADDRESS(383, 'Additional Images-WUO_TRK'!A383),_xlfn.TEXTAFTER('Additional Images-WUO_ERR'!A383, ":"))))</f>
        <v>0</v>
      </c>
    </row>
    <row r="384" spans="1:1">
      <c r="A384" s="39">
        <f>IF('Additional Images'!B384 = "", "", IF('Additional Images-WUO_ERR'!A384 = "", "Validated", HYPERLINK("#" &amp; ADDRESS(384, 'Additional Images-WUO_TRK'!A384),_xlfn.TEXTAFTER('Additional Images-WUO_ERR'!A384, ":"))))</f>
        <v>0</v>
      </c>
    </row>
    <row r="385" spans="1:1">
      <c r="A385" s="39">
        <f>IF('Additional Images'!B385 = "", "", IF('Additional Images-WUO_ERR'!A385 = "", "Validated", HYPERLINK("#" &amp; ADDRESS(385, 'Additional Images-WUO_TRK'!A385),_xlfn.TEXTAFTER('Additional Images-WUO_ERR'!A385, ":"))))</f>
        <v>0</v>
      </c>
    </row>
    <row r="386" spans="1:1">
      <c r="A386" s="39">
        <f>IF('Additional Images'!B386 = "", "", IF('Additional Images-WUO_ERR'!A386 = "", "Validated", HYPERLINK("#" &amp; ADDRESS(386, 'Additional Images-WUO_TRK'!A386),_xlfn.TEXTAFTER('Additional Images-WUO_ERR'!A386, ":"))))</f>
        <v>0</v>
      </c>
    </row>
    <row r="387" spans="1:1">
      <c r="A387" s="39">
        <f>IF('Additional Images'!B387 = "", "", IF('Additional Images-WUO_ERR'!A387 = "", "Validated", HYPERLINK("#" &amp; ADDRESS(387, 'Additional Images-WUO_TRK'!A387),_xlfn.TEXTAFTER('Additional Images-WUO_ERR'!A387, ":"))))</f>
        <v>0</v>
      </c>
    </row>
    <row r="388" spans="1:1">
      <c r="A388" s="39">
        <f>IF('Additional Images'!B388 = "", "", IF('Additional Images-WUO_ERR'!A388 = "", "Validated", HYPERLINK("#" &amp; ADDRESS(388, 'Additional Images-WUO_TRK'!A388),_xlfn.TEXTAFTER('Additional Images-WUO_ERR'!A388, ":"))))</f>
        <v>0</v>
      </c>
    </row>
    <row r="389" spans="1:1">
      <c r="A389" s="39">
        <f>IF('Additional Images'!B389 = "", "", IF('Additional Images-WUO_ERR'!A389 = "", "Validated", HYPERLINK("#" &amp; ADDRESS(389, 'Additional Images-WUO_TRK'!A389),_xlfn.TEXTAFTER('Additional Images-WUO_ERR'!A389, ":"))))</f>
        <v>0</v>
      </c>
    </row>
    <row r="390" spans="1:1">
      <c r="A390" s="39">
        <f>IF('Additional Images'!B390 = "", "", IF('Additional Images-WUO_ERR'!A390 = "", "Validated", HYPERLINK("#" &amp; ADDRESS(390, 'Additional Images-WUO_TRK'!A390),_xlfn.TEXTAFTER('Additional Images-WUO_ERR'!A390, ":"))))</f>
        <v>0</v>
      </c>
    </row>
    <row r="391" spans="1:1">
      <c r="A391" s="39">
        <f>IF('Additional Images'!B391 = "", "", IF('Additional Images-WUO_ERR'!A391 = "", "Validated", HYPERLINK("#" &amp; ADDRESS(391, 'Additional Images-WUO_TRK'!A391),_xlfn.TEXTAFTER('Additional Images-WUO_ERR'!A391, ":"))))</f>
        <v>0</v>
      </c>
    </row>
    <row r="392" spans="1:1">
      <c r="A392" s="39">
        <f>IF('Additional Images'!B392 = "", "", IF('Additional Images-WUO_ERR'!A392 = "", "Validated", HYPERLINK("#" &amp; ADDRESS(392, 'Additional Images-WUO_TRK'!A392),_xlfn.TEXTAFTER('Additional Images-WUO_ERR'!A392, ":"))))</f>
        <v>0</v>
      </c>
    </row>
    <row r="393" spans="1:1">
      <c r="A393" s="39">
        <f>IF('Additional Images'!B393 = "", "", IF('Additional Images-WUO_ERR'!A393 = "", "Validated", HYPERLINK("#" &amp; ADDRESS(393, 'Additional Images-WUO_TRK'!A393),_xlfn.TEXTAFTER('Additional Images-WUO_ERR'!A393, ":"))))</f>
        <v>0</v>
      </c>
    </row>
    <row r="394" spans="1:1">
      <c r="A394" s="39">
        <f>IF('Additional Images'!B394 = "", "", IF('Additional Images-WUO_ERR'!A394 = "", "Validated", HYPERLINK("#" &amp; ADDRESS(394, 'Additional Images-WUO_TRK'!A394),_xlfn.TEXTAFTER('Additional Images-WUO_ERR'!A394, ":"))))</f>
        <v>0</v>
      </c>
    </row>
    <row r="395" spans="1:1">
      <c r="A395" s="39">
        <f>IF('Additional Images'!B395 = "", "", IF('Additional Images-WUO_ERR'!A395 = "", "Validated", HYPERLINK("#" &amp; ADDRESS(395, 'Additional Images-WUO_TRK'!A395),_xlfn.TEXTAFTER('Additional Images-WUO_ERR'!A395, ":"))))</f>
        <v>0</v>
      </c>
    </row>
    <row r="396" spans="1:1">
      <c r="A396" s="39">
        <f>IF('Additional Images'!B396 = "", "", IF('Additional Images-WUO_ERR'!A396 = "", "Validated", HYPERLINK("#" &amp; ADDRESS(396, 'Additional Images-WUO_TRK'!A396),_xlfn.TEXTAFTER('Additional Images-WUO_ERR'!A396, ":"))))</f>
        <v>0</v>
      </c>
    </row>
    <row r="397" spans="1:1">
      <c r="A397" s="39">
        <f>IF('Additional Images'!B397 = "", "", IF('Additional Images-WUO_ERR'!A397 = "", "Validated", HYPERLINK("#" &amp; ADDRESS(397, 'Additional Images-WUO_TRK'!A397),_xlfn.TEXTAFTER('Additional Images-WUO_ERR'!A397, ":"))))</f>
        <v>0</v>
      </c>
    </row>
    <row r="398" spans="1:1">
      <c r="A398" s="39">
        <f>IF('Additional Images'!B398 = "", "", IF('Additional Images-WUO_ERR'!A398 = "", "Validated", HYPERLINK("#" &amp; ADDRESS(398, 'Additional Images-WUO_TRK'!A398),_xlfn.TEXTAFTER('Additional Images-WUO_ERR'!A398, ":"))))</f>
        <v>0</v>
      </c>
    </row>
    <row r="399" spans="1:1">
      <c r="A399" s="39">
        <f>IF('Additional Images'!B399 = "", "", IF('Additional Images-WUO_ERR'!A399 = "", "Validated", HYPERLINK("#" &amp; ADDRESS(399, 'Additional Images-WUO_TRK'!A399),_xlfn.TEXTAFTER('Additional Images-WUO_ERR'!A399, ":"))))</f>
        <v>0</v>
      </c>
    </row>
    <row r="400" spans="1:1">
      <c r="A400" s="39">
        <f>IF('Additional Images'!B400 = "", "", IF('Additional Images-WUO_ERR'!A400 = "", "Validated", HYPERLINK("#" &amp; ADDRESS(400, 'Additional Images-WUO_TRK'!A400),_xlfn.TEXTAFTER('Additional Images-WUO_ERR'!A400, ":"))))</f>
        <v>0</v>
      </c>
    </row>
    <row r="401" spans="1:1">
      <c r="A401" s="39">
        <f>IF('Additional Images'!B401 = "", "", IF('Additional Images-WUO_ERR'!A401 = "", "Validated", HYPERLINK("#" &amp; ADDRESS(401, 'Additional Images-WUO_TRK'!A401),_xlfn.TEXTAFTER('Additional Images-WUO_ERR'!A401, ":"))))</f>
        <v>0</v>
      </c>
    </row>
    <row r="402" spans="1:1">
      <c r="A402" s="39">
        <f>IF('Additional Images'!B402 = "", "", IF('Additional Images-WUO_ERR'!A402 = "", "Validated", HYPERLINK("#" &amp; ADDRESS(402, 'Additional Images-WUO_TRK'!A402),_xlfn.TEXTAFTER('Additional Images-WUO_ERR'!A402, ":"))))</f>
        <v>0</v>
      </c>
    </row>
    <row r="403" spans="1:1">
      <c r="A403" s="39">
        <f>IF('Additional Images'!B403 = "", "", IF('Additional Images-WUO_ERR'!A403 = "", "Validated", HYPERLINK("#" &amp; ADDRESS(403, 'Additional Images-WUO_TRK'!A403),_xlfn.TEXTAFTER('Additional Images-WUO_ERR'!A403, ":"))))</f>
        <v>0</v>
      </c>
    </row>
    <row r="404" spans="1:1">
      <c r="A404" s="39">
        <f>IF('Additional Images'!B404 = "", "", IF('Additional Images-WUO_ERR'!A404 = "", "Validated", HYPERLINK("#" &amp; ADDRESS(404, 'Additional Images-WUO_TRK'!A404),_xlfn.TEXTAFTER('Additional Images-WUO_ERR'!A404, ":"))))</f>
        <v>0</v>
      </c>
    </row>
    <row r="405" spans="1:1">
      <c r="A405" s="39">
        <f>IF('Additional Images'!B405 = "", "", IF('Additional Images-WUO_ERR'!A405 = "", "Validated", HYPERLINK("#" &amp; ADDRESS(405, 'Additional Images-WUO_TRK'!A405),_xlfn.TEXTAFTER('Additional Images-WUO_ERR'!A405, ":"))))</f>
        <v>0</v>
      </c>
    </row>
    <row r="406" spans="1:1">
      <c r="A406" s="39">
        <f>IF('Additional Images'!B406 = "", "", IF('Additional Images-WUO_ERR'!A406 = "", "Validated", HYPERLINK("#" &amp; ADDRESS(406, 'Additional Images-WUO_TRK'!A406),_xlfn.TEXTAFTER('Additional Images-WUO_ERR'!A406, ":"))))</f>
        <v>0</v>
      </c>
    </row>
    <row r="407" spans="1:1">
      <c r="A407" s="39">
        <f>IF('Additional Images'!B407 = "", "", IF('Additional Images-WUO_ERR'!A407 = "", "Validated", HYPERLINK("#" &amp; ADDRESS(407, 'Additional Images-WUO_TRK'!A407),_xlfn.TEXTAFTER('Additional Images-WUO_ERR'!A407, ":"))))</f>
        <v>0</v>
      </c>
    </row>
    <row r="408" spans="1:1">
      <c r="A408" s="39">
        <f>IF('Additional Images'!B408 = "", "", IF('Additional Images-WUO_ERR'!A408 = "", "Validated", HYPERLINK("#" &amp; ADDRESS(408, 'Additional Images-WUO_TRK'!A408),_xlfn.TEXTAFTER('Additional Images-WUO_ERR'!A408, ":"))))</f>
        <v>0</v>
      </c>
    </row>
    <row r="409" spans="1:1">
      <c r="A409" s="39">
        <f>IF('Additional Images'!B409 = "", "", IF('Additional Images-WUO_ERR'!A409 = "", "Validated", HYPERLINK("#" &amp; ADDRESS(409, 'Additional Images-WUO_TRK'!A409),_xlfn.TEXTAFTER('Additional Images-WUO_ERR'!A409, ":"))))</f>
        <v>0</v>
      </c>
    </row>
    <row r="410" spans="1:1">
      <c r="A410" s="39">
        <f>IF('Additional Images'!B410 = "", "", IF('Additional Images-WUO_ERR'!A410 = "", "Validated", HYPERLINK("#" &amp; ADDRESS(410, 'Additional Images-WUO_TRK'!A410),_xlfn.TEXTAFTER('Additional Images-WUO_ERR'!A410, ":"))))</f>
        <v>0</v>
      </c>
    </row>
    <row r="411" spans="1:1">
      <c r="A411" s="39">
        <f>IF('Additional Images'!B411 = "", "", IF('Additional Images-WUO_ERR'!A411 = "", "Validated", HYPERLINK("#" &amp; ADDRESS(411, 'Additional Images-WUO_TRK'!A411),_xlfn.TEXTAFTER('Additional Images-WUO_ERR'!A411, ":"))))</f>
        <v>0</v>
      </c>
    </row>
    <row r="412" spans="1:1">
      <c r="A412" s="39">
        <f>IF('Additional Images'!B412 = "", "", IF('Additional Images-WUO_ERR'!A412 = "", "Validated", HYPERLINK("#" &amp; ADDRESS(412, 'Additional Images-WUO_TRK'!A412),_xlfn.TEXTAFTER('Additional Images-WUO_ERR'!A412, ":"))))</f>
        <v>0</v>
      </c>
    </row>
    <row r="413" spans="1:1">
      <c r="A413" s="39">
        <f>IF('Additional Images'!B413 = "", "", IF('Additional Images-WUO_ERR'!A413 = "", "Validated", HYPERLINK("#" &amp; ADDRESS(413, 'Additional Images-WUO_TRK'!A413),_xlfn.TEXTAFTER('Additional Images-WUO_ERR'!A413, ":"))))</f>
        <v>0</v>
      </c>
    </row>
    <row r="414" spans="1:1">
      <c r="A414" s="39">
        <f>IF('Additional Images'!B414 = "", "", IF('Additional Images-WUO_ERR'!A414 = "", "Validated", HYPERLINK("#" &amp; ADDRESS(414, 'Additional Images-WUO_TRK'!A414),_xlfn.TEXTAFTER('Additional Images-WUO_ERR'!A414, ":"))))</f>
        <v>0</v>
      </c>
    </row>
    <row r="415" spans="1:1">
      <c r="A415" s="39">
        <f>IF('Additional Images'!B415 = "", "", IF('Additional Images-WUO_ERR'!A415 = "", "Validated", HYPERLINK("#" &amp; ADDRESS(415, 'Additional Images-WUO_TRK'!A415),_xlfn.TEXTAFTER('Additional Images-WUO_ERR'!A415, ":"))))</f>
        <v>0</v>
      </c>
    </row>
    <row r="416" spans="1:1">
      <c r="A416" s="39">
        <f>IF('Additional Images'!B416 = "", "", IF('Additional Images-WUO_ERR'!A416 = "", "Validated", HYPERLINK("#" &amp; ADDRESS(416, 'Additional Images-WUO_TRK'!A416),_xlfn.TEXTAFTER('Additional Images-WUO_ERR'!A416, ":"))))</f>
        <v>0</v>
      </c>
    </row>
    <row r="417" spans="1:1">
      <c r="A417" s="39">
        <f>IF('Additional Images'!B417 = "", "", IF('Additional Images-WUO_ERR'!A417 = "", "Validated", HYPERLINK("#" &amp; ADDRESS(417, 'Additional Images-WUO_TRK'!A417),_xlfn.TEXTAFTER('Additional Images-WUO_ERR'!A417, ":"))))</f>
        <v>0</v>
      </c>
    </row>
    <row r="418" spans="1:1">
      <c r="A418" s="39">
        <f>IF('Additional Images'!B418 = "", "", IF('Additional Images-WUO_ERR'!A418 = "", "Validated", HYPERLINK("#" &amp; ADDRESS(418, 'Additional Images-WUO_TRK'!A418),_xlfn.TEXTAFTER('Additional Images-WUO_ERR'!A418, ":"))))</f>
        <v>0</v>
      </c>
    </row>
    <row r="419" spans="1:1">
      <c r="A419" s="39">
        <f>IF('Additional Images'!B419 = "", "", IF('Additional Images-WUO_ERR'!A419 = "", "Validated", HYPERLINK("#" &amp; ADDRESS(419, 'Additional Images-WUO_TRK'!A419),_xlfn.TEXTAFTER('Additional Images-WUO_ERR'!A419, ":"))))</f>
        <v>0</v>
      </c>
    </row>
    <row r="420" spans="1:1">
      <c r="A420" s="39">
        <f>IF('Additional Images'!B420 = "", "", IF('Additional Images-WUO_ERR'!A420 = "", "Validated", HYPERLINK("#" &amp; ADDRESS(420, 'Additional Images-WUO_TRK'!A420),_xlfn.TEXTAFTER('Additional Images-WUO_ERR'!A420, ":"))))</f>
        <v>0</v>
      </c>
    </row>
    <row r="421" spans="1:1">
      <c r="A421" s="39">
        <f>IF('Additional Images'!B421 = "", "", IF('Additional Images-WUO_ERR'!A421 = "", "Validated", HYPERLINK("#" &amp; ADDRESS(421, 'Additional Images-WUO_TRK'!A421),_xlfn.TEXTAFTER('Additional Images-WUO_ERR'!A421, ":"))))</f>
        <v>0</v>
      </c>
    </row>
    <row r="422" spans="1:1">
      <c r="A422" s="39">
        <f>IF('Additional Images'!B422 = "", "", IF('Additional Images-WUO_ERR'!A422 = "", "Validated", HYPERLINK("#" &amp; ADDRESS(422, 'Additional Images-WUO_TRK'!A422),_xlfn.TEXTAFTER('Additional Images-WUO_ERR'!A422, ":"))))</f>
        <v>0</v>
      </c>
    </row>
    <row r="423" spans="1:1">
      <c r="A423" s="39">
        <f>IF('Additional Images'!B423 = "", "", IF('Additional Images-WUO_ERR'!A423 = "", "Validated", HYPERLINK("#" &amp; ADDRESS(423, 'Additional Images-WUO_TRK'!A423),_xlfn.TEXTAFTER('Additional Images-WUO_ERR'!A423, ":"))))</f>
        <v>0</v>
      </c>
    </row>
    <row r="424" spans="1:1">
      <c r="A424" s="39">
        <f>IF('Additional Images'!B424 = "", "", IF('Additional Images-WUO_ERR'!A424 = "", "Validated", HYPERLINK("#" &amp; ADDRESS(424, 'Additional Images-WUO_TRK'!A424),_xlfn.TEXTAFTER('Additional Images-WUO_ERR'!A424, ":"))))</f>
        <v>0</v>
      </c>
    </row>
    <row r="425" spans="1:1">
      <c r="A425" s="39">
        <f>IF('Additional Images'!B425 = "", "", IF('Additional Images-WUO_ERR'!A425 = "", "Validated", HYPERLINK("#" &amp; ADDRESS(425, 'Additional Images-WUO_TRK'!A425),_xlfn.TEXTAFTER('Additional Images-WUO_ERR'!A425, ":"))))</f>
        <v>0</v>
      </c>
    </row>
    <row r="426" spans="1:1">
      <c r="A426" s="39">
        <f>IF('Additional Images'!B426 = "", "", IF('Additional Images-WUO_ERR'!A426 = "", "Validated", HYPERLINK("#" &amp; ADDRESS(426, 'Additional Images-WUO_TRK'!A426),_xlfn.TEXTAFTER('Additional Images-WUO_ERR'!A426, ":"))))</f>
        <v>0</v>
      </c>
    </row>
    <row r="427" spans="1:1">
      <c r="A427" s="39">
        <f>IF('Additional Images'!B427 = "", "", IF('Additional Images-WUO_ERR'!A427 = "", "Validated", HYPERLINK("#" &amp; ADDRESS(427, 'Additional Images-WUO_TRK'!A427),_xlfn.TEXTAFTER('Additional Images-WUO_ERR'!A427, ":"))))</f>
        <v>0</v>
      </c>
    </row>
    <row r="428" spans="1:1">
      <c r="A428" s="39">
        <f>IF('Additional Images'!B428 = "", "", IF('Additional Images-WUO_ERR'!A428 = "", "Validated", HYPERLINK("#" &amp; ADDRESS(428, 'Additional Images-WUO_TRK'!A428),_xlfn.TEXTAFTER('Additional Images-WUO_ERR'!A428, ":"))))</f>
        <v>0</v>
      </c>
    </row>
    <row r="429" spans="1:1">
      <c r="A429" s="39">
        <f>IF('Additional Images'!B429 = "", "", IF('Additional Images-WUO_ERR'!A429 = "", "Validated", HYPERLINK("#" &amp; ADDRESS(429, 'Additional Images-WUO_TRK'!A429),_xlfn.TEXTAFTER('Additional Images-WUO_ERR'!A429, ":"))))</f>
        <v>0</v>
      </c>
    </row>
    <row r="430" spans="1:1">
      <c r="A430" s="39">
        <f>IF('Additional Images'!B430 = "", "", IF('Additional Images-WUO_ERR'!A430 = "", "Validated", HYPERLINK("#" &amp; ADDRESS(430, 'Additional Images-WUO_TRK'!A430),_xlfn.TEXTAFTER('Additional Images-WUO_ERR'!A430, ":"))))</f>
        <v>0</v>
      </c>
    </row>
    <row r="431" spans="1:1">
      <c r="A431" s="39">
        <f>IF('Additional Images'!B431 = "", "", IF('Additional Images-WUO_ERR'!A431 = "", "Validated", HYPERLINK("#" &amp; ADDRESS(431, 'Additional Images-WUO_TRK'!A431),_xlfn.TEXTAFTER('Additional Images-WUO_ERR'!A431, ":"))))</f>
        <v>0</v>
      </c>
    </row>
    <row r="432" spans="1:1">
      <c r="A432" s="39">
        <f>IF('Additional Images'!B432 = "", "", IF('Additional Images-WUO_ERR'!A432 = "", "Validated", HYPERLINK("#" &amp; ADDRESS(432, 'Additional Images-WUO_TRK'!A432),_xlfn.TEXTAFTER('Additional Images-WUO_ERR'!A432, ":"))))</f>
        <v>0</v>
      </c>
    </row>
    <row r="433" spans="1:1">
      <c r="A433" s="39">
        <f>IF('Additional Images'!B433 = "", "", IF('Additional Images-WUO_ERR'!A433 = "", "Validated", HYPERLINK("#" &amp; ADDRESS(433, 'Additional Images-WUO_TRK'!A433),_xlfn.TEXTAFTER('Additional Images-WUO_ERR'!A433, ":"))))</f>
        <v>0</v>
      </c>
    </row>
    <row r="434" spans="1:1">
      <c r="A434" s="39">
        <f>IF('Additional Images'!B434 = "", "", IF('Additional Images-WUO_ERR'!A434 = "", "Validated", HYPERLINK("#" &amp; ADDRESS(434, 'Additional Images-WUO_TRK'!A434),_xlfn.TEXTAFTER('Additional Images-WUO_ERR'!A434, ":"))))</f>
        <v>0</v>
      </c>
    </row>
    <row r="435" spans="1:1">
      <c r="A435" s="39">
        <f>IF('Additional Images'!B435 = "", "", IF('Additional Images-WUO_ERR'!A435 = "", "Validated", HYPERLINK("#" &amp; ADDRESS(435, 'Additional Images-WUO_TRK'!A435),_xlfn.TEXTAFTER('Additional Images-WUO_ERR'!A435, ":"))))</f>
        <v>0</v>
      </c>
    </row>
    <row r="436" spans="1:1">
      <c r="A436" s="39">
        <f>IF('Additional Images'!B436 = "", "", IF('Additional Images-WUO_ERR'!A436 = "", "Validated", HYPERLINK("#" &amp; ADDRESS(436, 'Additional Images-WUO_TRK'!A436),_xlfn.TEXTAFTER('Additional Images-WUO_ERR'!A436, ":"))))</f>
        <v>0</v>
      </c>
    </row>
    <row r="437" spans="1:1">
      <c r="A437" s="39">
        <f>IF('Additional Images'!B437 = "", "", IF('Additional Images-WUO_ERR'!A437 = "", "Validated", HYPERLINK("#" &amp; ADDRESS(437, 'Additional Images-WUO_TRK'!A437),_xlfn.TEXTAFTER('Additional Images-WUO_ERR'!A437, ":"))))</f>
        <v>0</v>
      </c>
    </row>
    <row r="438" spans="1:1">
      <c r="A438" s="39">
        <f>IF('Additional Images'!B438 = "", "", IF('Additional Images-WUO_ERR'!A438 = "", "Validated", HYPERLINK("#" &amp; ADDRESS(438, 'Additional Images-WUO_TRK'!A438),_xlfn.TEXTAFTER('Additional Images-WUO_ERR'!A438, ":"))))</f>
        <v>0</v>
      </c>
    </row>
    <row r="439" spans="1:1">
      <c r="A439" s="39">
        <f>IF('Additional Images'!B439 = "", "", IF('Additional Images-WUO_ERR'!A439 = "", "Validated", HYPERLINK("#" &amp; ADDRESS(439, 'Additional Images-WUO_TRK'!A439),_xlfn.TEXTAFTER('Additional Images-WUO_ERR'!A439, ":"))))</f>
        <v>0</v>
      </c>
    </row>
    <row r="440" spans="1:1">
      <c r="A440" s="39">
        <f>IF('Additional Images'!B440 = "", "", IF('Additional Images-WUO_ERR'!A440 = "", "Validated", HYPERLINK("#" &amp; ADDRESS(440, 'Additional Images-WUO_TRK'!A440),_xlfn.TEXTAFTER('Additional Images-WUO_ERR'!A440, ":"))))</f>
        <v>0</v>
      </c>
    </row>
    <row r="441" spans="1:1">
      <c r="A441" s="39">
        <f>IF('Additional Images'!B441 = "", "", IF('Additional Images-WUO_ERR'!A441 = "", "Validated", HYPERLINK("#" &amp; ADDRESS(441, 'Additional Images-WUO_TRK'!A441),_xlfn.TEXTAFTER('Additional Images-WUO_ERR'!A441, ":"))))</f>
        <v>0</v>
      </c>
    </row>
    <row r="442" spans="1:1">
      <c r="A442" s="39">
        <f>IF('Additional Images'!B442 = "", "", IF('Additional Images-WUO_ERR'!A442 = "", "Validated", HYPERLINK("#" &amp; ADDRESS(442, 'Additional Images-WUO_TRK'!A442),_xlfn.TEXTAFTER('Additional Images-WUO_ERR'!A442, ":"))))</f>
        <v>0</v>
      </c>
    </row>
    <row r="443" spans="1:1">
      <c r="A443" s="39">
        <f>IF('Additional Images'!B443 = "", "", IF('Additional Images-WUO_ERR'!A443 = "", "Validated", HYPERLINK("#" &amp; ADDRESS(443, 'Additional Images-WUO_TRK'!A443),_xlfn.TEXTAFTER('Additional Images-WUO_ERR'!A443, ":"))))</f>
        <v>0</v>
      </c>
    </row>
    <row r="444" spans="1:1">
      <c r="A444" s="39">
        <f>IF('Additional Images'!B444 = "", "", IF('Additional Images-WUO_ERR'!A444 = "", "Validated", HYPERLINK("#" &amp; ADDRESS(444, 'Additional Images-WUO_TRK'!A444),_xlfn.TEXTAFTER('Additional Images-WUO_ERR'!A444, ":"))))</f>
        <v>0</v>
      </c>
    </row>
    <row r="445" spans="1:1">
      <c r="A445" s="39">
        <f>IF('Additional Images'!B445 = "", "", IF('Additional Images-WUO_ERR'!A445 = "", "Validated", HYPERLINK("#" &amp; ADDRESS(445, 'Additional Images-WUO_TRK'!A445),_xlfn.TEXTAFTER('Additional Images-WUO_ERR'!A445, ":"))))</f>
        <v>0</v>
      </c>
    </row>
    <row r="446" spans="1:1">
      <c r="A446" s="39">
        <f>IF('Additional Images'!B446 = "", "", IF('Additional Images-WUO_ERR'!A446 = "", "Validated", HYPERLINK("#" &amp; ADDRESS(446, 'Additional Images-WUO_TRK'!A446),_xlfn.TEXTAFTER('Additional Images-WUO_ERR'!A446, ":"))))</f>
        <v>0</v>
      </c>
    </row>
    <row r="447" spans="1:1">
      <c r="A447" s="39">
        <f>IF('Additional Images'!B447 = "", "", IF('Additional Images-WUO_ERR'!A447 = "", "Validated", HYPERLINK("#" &amp; ADDRESS(447, 'Additional Images-WUO_TRK'!A447),_xlfn.TEXTAFTER('Additional Images-WUO_ERR'!A447, ":"))))</f>
        <v>0</v>
      </c>
    </row>
    <row r="448" spans="1:1">
      <c r="A448" s="39">
        <f>IF('Additional Images'!B448 = "", "", IF('Additional Images-WUO_ERR'!A448 = "", "Validated", HYPERLINK("#" &amp; ADDRESS(448, 'Additional Images-WUO_TRK'!A448),_xlfn.TEXTAFTER('Additional Images-WUO_ERR'!A448, ":"))))</f>
        <v>0</v>
      </c>
    </row>
    <row r="449" spans="1:1">
      <c r="A449" s="39">
        <f>IF('Additional Images'!B449 = "", "", IF('Additional Images-WUO_ERR'!A449 = "", "Validated", HYPERLINK("#" &amp; ADDRESS(449, 'Additional Images-WUO_TRK'!A449),_xlfn.TEXTAFTER('Additional Images-WUO_ERR'!A449, ":"))))</f>
        <v>0</v>
      </c>
    </row>
    <row r="450" spans="1:1">
      <c r="A450" s="39">
        <f>IF('Additional Images'!B450 = "", "", IF('Additional Images-WUO_ERR'!A450 = "", "Validated", HYPERLINK("#" &amp; ADDRESS(450, 'Additional Images-WUO_TRK'!A450),_xlfn.TEXTAFTER('Additional Images-WUO_ERR'!A450, ":"))))</f>
        <v>0</v>
      </c>
    </row>
    <row r="451" spans="1:1">
      <c r="A451" s="39">
        <f>IF('Additional Images'!B451 = "", "", IF('Additional Images-WUO_ERR'!A451 = "", "Validated", HYPERLINK("#" &amp; ADDRESS(451, 'Additional Images-WUO_TRK'!A451),_xlfn.TEXTAFTER('Additional Images-WUO_ERR'!A451, ":"))))</f>
        <v>0</v>
      </c>
    </row>
    <row r="452" spans="1:1">
      <c r="A452" s="39">
        <f>IF('Additional Images'!B452 = "", "", IF('Additional Images-WUO_ERR'!A452 = "", "Validated", HYPERLINK("#" &amp; ADDRESS(452, 'Additional Images-WUO_TRK'!A452),_xlfn.TEXTAFTER('Additional Images-WUO_ERR'!A452, ":"))))</f>
        <v>0</v>
      </c>
    </row>
    <row r="453" spans="1:1">
      <c r="A453" s="39">
        <f>IF('Additional Images'!B453 = "", "", IF('Additional Images-WUO_ERR'!A453 = "", "Validated", HYPERLINK("#" &amp; ADDRESS(453, 'Additional Images-WUO_TRK'!A453),_xlfn.TEXTAFTER('Additional Images-WUO_ERR'!A453, ":"))))</f>
        <v>0</v>
      </c>
    </row>
    <row r="454" spans="1:1">
      <c r="A454" s="39">
        <f>IF('Additional Images'!B454 = "", "", IF('Additional Images-WUO_ERR'!A454 = "", "Validated", HYPERLINK("#" &amp; ADDRESS(454, 'Additional Images-WUO_TRK'!A454),_xlfn.TEXTAFTER('Additional Images-WUO_ERR'!A454, ":"))))</f>
        <v>0</v>
      </c>
    </row>
    <row r="455" spans="1:1">
      <c r="A455" s="39">
        <f>IF('Additional Images'!B455 = "", "", IF('Additional Images-WUO_ERR'!A455 = "", "Validated", HYPERLINK("#" &amp; ADDRESS(455, 'Additional Images-WUO_TRK'!A455),_xlfn.TEXTAFTER('Additional Images-WUO_ERR'!A455, ":"))))</f>
        <v>0</v>
      </c>
    </row>
    <row r="456" spans="1:1">
      <c r="A456" s="39">
        <f>IF('Additional Images'!B456 = "", "", IF('Additional Images-WUO_ERR'!A456 = "", "Validated", HYPERLINK("#" &amp; ADDRESS(456, 'Additional Images-WUO_TRK'!A456),_xlfn.TEXTAFTER('Additional Images-WUO_ERR'!A456, ":"))))</f>
        <v>0</v>
      </c>
    </row>
    <row r="457" spans="1:1">
      <c r="A457" s="39">
        <f>IF('Additional Images'!B457 = "", "", IF('Additional Images-WUO_ERR'!A457 = "", "Validated", HYPERLINK("#" &amp; ADDRESS(457, 'Additional Images-WUO_TRK'!A457),_xlfn.TEXTAFTER('Additional Images-WUO_ERR'!A457, ":"))))</f>
        <v>0</v>
      </c>
    </row>
    <row r="458" spans="1:1">
      <c r="A458" s="39">
        <f>IF('Additional Images'!B458 = "", "", IF('Additional Images-WUO_ERR'!A458 = "", "Validated", HYPERLINK("#" &amp; ADDRESS(458, 'Additional Images-WUO_TRK'!A458),_xlfn.TEXTAFTER('Additional Images-WUO_ERR'!A458, ":"))))</f>
        <v>0</v>
      </c>
    </row>
    <row r="459" spans="1:1">
      <c r="A459" s="39">
        <f>IF('Additional Images'!B459 = "", "", IF('Additional Images-WUO_ERR'!A459 = "", "Validated", HYPERLINK("#" &amp; ADDRESS(459, 'Additional Images-WUO_TRK'!A459),_xlfn.TEXTAFTER('Additional Images-WUO_ERR'!A459, ":"))))</f>
        <v>0</v>
      </c>
    </row>
    <row r="460" spans="1:1">
      <c r="A460" s="39">
        <f>IF('Additional Images'!B460 = "", "", IF('Additional Images-WUO_ERR'!A460 = "", "Validated", HYPERLINK("#" &amp; ADDRESS(460, 'Additional Images-WUO_TRK'!A460),_xlfn.TEXTAFTER('Additional Images-WUO_ERR'!A460, ":"))))</f>
        <v>0</v>
      </c>
    </row>
    <row r="461" spans="1:1">
      <c r="A461" s="39">
        <f>IF('Additional Images'!B461 = "", "", IF('Additional Images-WUO_ERR'!A461 = "", "Validated", HYPERLINK("#" &amp; ADDRESS(461, 'Additional Images-WUO_TRK'!A461),_xlfn.TEXTAFTER('Additional Images-WUO_ERR'!A461, ":"))))</f>
        <v>0</v>
      </c>
    </row>
    <row r="462" spans="1:1">
      <c r="A462" s="39">
        <f>IF('Additional Images'!B462 = "", "", IF('Additional Images-WUO_ERR'!A462 = "", "Validated", HYPERLINK("#" &amp; ADDRESS(462, 'Additional Images-WUO_TRK'!A462),_xlfn.TEXTAFTER('Additional Images-WUO_ERR'!A462, ":"))))</f>
        <v>0</v>
      </c>
    </row>
    <row r="463" spans="1:1">
      <c r="A463" s="39">
        <f>IF('Additional Images'!B463 = "", "", IF('Additional Images-WUO_ERR'!A463 = "", "Validated", HYPERLINK("#" &amp; ADDRESS(463, 'Additional Images-WUO_TRK'!A463),_xlfn.TEXTAFTER('Additional Images-WUO_ERR'!A463, ":"))))</f>
        <v>0</v>
      </c>
    </row>
    <row r="464" spans="1:1">
      <c r="A464" s="39">
        <f>IF('Additional Images'!B464 = "", "", IF('Additional Images-WUO_ERR'!A464 = "", "Validated", HYPERLINK("#" &amp; ADDRESS(464, 'Additional Images-WUO_TRK'!A464),_xlfn.TEXTAFTER('Additional Images-WUO_ERR'!A464, ":"))))</f>
        <v>0</v>
      </c>
    </row>
    <row r="465" spans="1:1">
      <c r="A465" s="39">
        <f>IF('Additional Images'!B465 = "", "", IF('Additional Images-WUO_ERR'!A465 = "", "Validated", HYPERLINK("#" &amp; ADDRESS(465, 'Additional Images-WUO_TRK'!A465),_xlfn.TEXTAFTER('Additional Images-WUO_ERR'!A465, ":"))))</f>
        <v>0</v>
      </c>
    </row>
    <row r="466" spans="1:1">
      <c r="A466" s="39">
        <f>IF('Additional Images'!B466 = "", "", IF('Additional Images-WUO_ERR'!A466 = "", "Validated", HYPERLINK("#" &amp; ADDRESS(466, 'Additional Images-WUO_TRK'!A466),_xlfn.TEXTAFTER('Additional Images-WUO_ERR'!A466, ":"))))</f>
        <v>0</v>
      </c>
    </row>
    <row r="467" spans="1:1">
      <c r="A467" s="39">
        <f>IF('Additional Images'!B467 = "", "", IF('Additional Images-WUO_ERR'!A467 = "", "Validated", HYPERLINK("#" &amp; ADDRESS(467, 'Additional Images-WUO_TRK'!A467),_xlfn.TEXTAFTER('Additional Images-WUO_ERR'!A467, ":"))))</f>
        <v>0</v>
      </c>
    </row>
    <row r="468" spans="1:1">
      <c r="A468" s="39">
        <f>IF('Additional Images'!B468 = "", "", IF('Additional Images-WUO_ERR'!A468 = "", "Validated", HYPERLINK("#" &amp; ADDRESS(468, 'Additional Images-WUO_TRK'!A468),_xlfn.TEXTAFTER('Additional Images-WUO_ERR'!A468, ":"))))</f>
        <v>0</v>
      </c>
    </row>
    <row r="469" spans="1:1">
      <c r="A469" s="39">
        <f>IF('Additional Images'!B469 = "", "", IF('Additional Images-WUO_ERR'!A469 = "", "Validated", HYPERLINK("#" &amp; ADDRESS(469, 'Additional Images-WUO_TRK'!A469),_xlfn.TEXTAFTER('Additional Images-WUO_ERR'!A469, ":"))))</f>
        <v>0</v>
      </c>
    </row>
    <row r="470" spans="1:1">
      <c r="A470" s="39">
        <f>IF('Additional Images'!B470 = "", "", IF('Additional Images-WUO_ERR'!A470 = "", "Validated", HYPERLINK("#" &amp; ADDRESS(470, 'Additional Images-WUO_TRK'!A470),_xlfn.TEXTAFTER('Additional Images-WUO_ERR'!A470, ":"))))</f>
        <v>0</v>
      </c>
    </row>
    <row r="471" spans="1:1">
      <c r="A471" s="39">
        <f>IF('Additional Images'!B471 = "", "", IF('Additional Images-WUO_ERR'!A471 = "", "Validated", HYPERLINK("#" &amp; ADDRESS(471, 'Additional Images-WUO_TRK'!A471),_xlfn.TEXTAFTER('Additional Images-WUO_ERR'!A471, ":"))))</f>
        <v>0</v>
      </c>
    </row>
    <row r="472" spans="1:1">
      <c r="A472" s="39">
        <f>IF('Additional Images'!B472 = "", "", IF('Additional Images-WUO_ERR'!A472 = "", "Validated", HYPERLINK("#" &amp; ADDRESS(472, 'Additional Images-WUO_TRK'!A472),_xlfn.TEXTAFTER('Additional Images-WUO_ERR'!A472, ":"))))</f>
        <v>0</v>
      </c>
    </row>
    <row r="473" spans="1:1">
      <c r="A473" s="39">
        <f>IF('Additional Images'!B473 = "", "", IF('Additional Images-WUO_ERR'!A473 = "", "Validated", HYPERLINK("#" &amp; ADDRESS(473, 'Additional Images-WUO_TRK'!A473),_xlfn.TEXTAFTER('Additional Images-WUO_ERR'!A473, ":"))))</f>
        <v>0</v>
      </c>
    </row>
    <row r="474" spans="1:1">
      <c r="A474" s="39">
        <f>IF('Additional Images'!B474 = "", "", IF('Additional Images-WUO_ERR'!A474 = "", "Validated", HYPERLINK("#" &amp; ADDRESS(474, 'Additional Images-WUO_TRK'!A474),_xlfn.TEXTAFTER('Additional Images-WUO_ERR'!A474, ":"))))</f>
        <v>0</v>
      </c>
    </row>
    <row r="475" spans="1:1">
      <c r="A475" s="39">
        <f>IF('Additional Images'!B475 = "", "", IF('Additional Images-WUO_ERR'!A475 = "", "Validated", HYPERLINK("#" &amp; ADDRESS(475, 'Additional Images-WUO_TRK'!A475),_xlfn.TEXTAFTER('Additional Images-WUO_ERR'!A475, ":"))))</f>
        <v>0</v>
      </c>
    </row>
    <row r="476" spans="1:1">
      <c r="A476" s="39">
        <f>IF('Additional Images'!B476 = "", "", IF('Additional Images-WUO_ERR'!A476 = "", "Validated", HYPERLINK("#" &amp; ADDRESS(476, 'Additional Images-WUO_TRK'!A476),_xlfn.TEXTAFTER('Additional Images-WUO_ERR'!A476, ":"))))</f>
        <v>0</v>
      </c>
    </row>
    <row r="477" spans="1:1">
      <c r="A477" s="39">
        <f>IF('Additional Images'!B477 = "", "", IF('Additional Images-WUO_ERR'!A477 = "", "Validated", HYPERLINK("#" &amp; ADDRESS(477, 'Additional Images-WUO_TRK'!A477),_xlfn.TEXTAFTER('Additional Images-WUO_ERR'!A477, ":"))))</f>
        <v>0</v>
      </c>
    </row>
    <row r="478" spans="1:1">
      <c r="A478" s="39">
        <f>IF('Additional Images'!B478 = "", "", IF('Additional Images-WUO_ERR'!A478 = "", "Validated", HYPERLINK("#" &amp; ADDRESS(478, 'Additional Images-WUO_TRK'!A478),_xlfn.TEXTAFTER('Additional Images-WUO_ERR'!A478, ":"))))</f>
        <v>0</v>
      </c>
    </row>
    <row r="479" spans="1:1">
      <c r="A479" s="39">
        <f>IF('Additional Images'!B479 = "", "", IF('Additional Images-WUO_ERR'!A479 = "", "Validated", HYPERLINK("#" &amp; ADDRESS(479, 'Additional Images-WUO_TRK'!A479),_xlfn.TEXTAFTER('Additional Images-WUO_ERR'!A479, ":"))))</f>
        <v>0</v>
      </c>
    </row>
    <row r="480" spans="1:1">
      <c r="A480" s="39">
        <f>IF('Additional Images'!B480 = "", "", IF('Additional Images-WUO_ERR'!A480 = "", "Validated", HYPERLINK("#" &amp; ADDRESS(480, 'Additional Images-WUO_TRK'!A480),_xlfn.TEXTAFTER('Additional Images-WUO_ERR'!A480, ":"))))</f>
        <v>0</v>
      </c>
    </row>
    <row r="481" spans="1:1">
      <c r="A481" s="39">
        <f>IF('Additional Images'!B481 = "", "", IF('Additional Images-WUO_ERR'!A481 = "", "Validated", HYPERLINK("#" &amp; ADDRESS(481, 'Additional Images-WUO_TRK'!A481),_xlfn.TEXTAFTER('Additional Images-WUO_ERR'!A481, ":"))))</f>
        <v>0</v>
      </c>
    </row>
    <row r="482" spans="1:1">
      <c r="A482" s="39">
        <f>IF('Additional Images'!B482 = "", "", IF('Additional Images-WUO_ERR'!A482 = "", "Validated", HYPERLINK("#" &amp; ADDRESS(482, 'Additional Images-WUO_TRK'!A482),_xlfn.TEXTAFTER('Additional Images-WUO_ERR'!A482, ":"))))</f>
        <v>0</v>
      </c>
    </row>
    <row r="483" spans="1:1">
      <c r="A483" s="39">
        <f>IF('Additional Images'!B483 = "", "", IF('Additional Images-WUO_ERR'!A483 = "", "Validated", HYPERLINK("#" &amp; ADDRESS(483, 'Additional Images-WUO_TRK'!A483),_xlfn.TEXTAFTER('Additional Images-WUO_ERR'!A483, ":"))))</f>
        <v>0</v>
      </c>
    </row>
    <row r="484" spans="1:1">
      <c r="A484" s="39">
        <f>IF('Additional Images'!B484 = "", "", IF('Additional Images-WUO_ERR'!A484 = "", "Validated", HYPERLINK("#" &amp; ADDRESS(484, 'Additional Images-WUO_TRK'!A484),_xlfn.TEXTAFTER('Additional Images-WUO_ERR'!A484, ":"))))</f>
        <v>0</v>
      </c>
    </row>
    <row r="485" spans="1:1">
      <c r="A485" s="39">
        <f>IF('Additional Images'!B485 = "", "", IF('Additional Images-WUO_ERR'!A485 = "", "Validated", HYPERLINK("#" &amp; ADDRESS(485, 'Additional Images-WUO_TRK'!A485),_xlfn.TEXTAFTER('Additional Images-WUO_ERR'!A485, ":"))))</f>
        <v>0</v>
      </c>
    </row>
    <row r="486" spans="1:1">
      <c r="A486" s="39">
        <f>IF('Additional Images'!B486 = "", "", IF('Additional Images-WUO_ERR'!A486 = "", "Validated", HYPERLINK("#" &amp; ADDRESS(486, 'Additional Images-WUO_TRK'!A486),_xlfn.TEXTAFTER('Additional Images-WUO_ERR'!A486, ":"))))</f>
        <v>0</v>
      </c>
    </row>
    <row r="487" spans="1:1">
      <c r="A487" s="39">
        <f>IF('Additional Images'!B487 = "", "", IF('Additional Images-WUO_ERR'!A487 = "", "Validated", HYPERLINK("#" &amp; ADDRESS(487, 'Additional Images-WUO_TRK'!A487),_xlfn.TEXTAFTER('Additional Images-WUO_ERR'!A487, ":"))))</f>
        <v>0</v>
      </c>
    </row>
    <row r="488" spans="1:1">
      <c r="A488" s="39">
        <f>IF('Additional Images'!B488 = "", "", IF('Additional Images-WUO_ERR'!A488 = "", "Validated", HYPERLINK("#" &amp; ADDRESS(488, 'Additional Images-WUO_TRK'!A488),_xlfn.TEXTAFTER('Additional Images-WUO_ERR'!A488, ":"))))</f>
        <v>0</v>
      </c>
    </row>
    <row r="489" spans="1:1">
      <c r="A489" s="39">
        <f>IF('Additional Images'!B489 = "", "", IF('Additional Images-WUO_ERR'!A489 = "", "Validated", HYPERLINK("#" &amp; ADDRESS(489, 'Additional Images-WUO_TRK'!A489),_xlfn.TEXTAFTER('Additional Images-WUO_ERR'!A489, ":"))))</f>
        <v>0</v>
      </c>
    </row>
    <row r="490" spans="1:1">
      <c r="A490" s="39">
        <f>IF('Additional Images'!B490 = "", "", IF('Additional Images-WUO_ERR'!A490 = "", "Validated", HYPERLINK("#" &amp; ADDRESS(490, 'Additional Images-WUO_TRK'!A490),_xlfn.TEXTAFTER('Additional Images-WUO_ERR'!A490, ":"))))</f>
        <v>0</v>
      </c>
    </row>
    <row r="491" spans="1:1">
      <c r="A491" s="39">
        <f>IF('Additional Images'!B491 = "", "", IF('Additional Images-WUO_ERR'!A491 = "", "Validated", HYPERLINK("#" &amp; ADDRESS(491, 'Additional Images-WUO_TRK'!A491),_xlfn.TEXTAFTER('Additional Images-WUO_ERR'!A491, ":"))))</f>
        <v>0</v>
      </c>
    </row>
    <row r="492" spans="1:1">
      <c r="A492" s="39">
        <f>IF('Additional Images'!B492 = "", "", IF('Additional Images-WUO_ERR'!A492 = "", "Validated", HYPERLINK("#" &amp; ADDRESS(492, 'Additional Images-WUO_TRK'!A492),_xlfn.TEXTAFTER('Additional Images-WUO_ERR'!A492, ":"))))</f>
        <v>0</v>
      </c>
    </row>
    <row r="493" spans="1:1">
      <c r="A493" s="39">
        <f>IF('Additional Images'!B493 = "", "", IF('Additional Images-WUO_ERR'!A493 = "", "Validated", HYPERLINK("#" &amp; ADDRESS(493, 'Additional Images-WUO_TRK'!A493),_xlfn.TEXTAFTER('Additional Images-WUO_ERR'!A493, ":"))))</f>
        <v>0</v>
      </c>
    </row>
    <row r="494" spans="1:1">
      <c r="A494" s="39">
        <f>IF('Additional Images'!B494 = "", "", IF('Additional Images-WUO_ERR'!A494 = "", "Validated", HYPERLINK("#" &amp; ADDRESS(494, 'Additional Images-WUO_TRK'!A494),_xlfn.TEXTAFTER('Additional Images-WUO_ERR'!A494, ":"))))</f>
        <v>0</v>
      </c>
    </row>
    <row r="495" spans="1:1">
      <c r="A495" s="39">
        <f>IF('Additional Images'!B495 = "", "", IF('Additional Images-WUO_ERR'!A495 = "", "Validated", HYPERLINK("#" &amp; ADDRESS(495, 'Additional Images-WUO_TRK'!A495),_xlfn.TEXTAFTER('Additional Images-WUO_ERR'!A495, ":"))))</f>
        <v>0</v>
      </c>
    </row>
    <row r="496" spans="1:1">
      <c r="A496" s="39">
        <f>IF('Additional Images'!B496 = "", "", IF('Additional Images-WUO_ERR'!A496 = "", "Validated", HYPERLINK("#" &amp; ADDRESS(496, 'Additional Images-WUO_TRK'!A496),_xlfn.TEXTAFTER('Additional Images-WUO_ERR'!A496, ":"))))</f>
        <v>0</v>
      </c>
    </row>
    <row r="497" spans="1:1">
      <c r="A497" s="39">
        <f>IF('Additional Images'!B497 = "", "", IF('Additional Images-WUO_ERR'!A497 = "", "Validated", HYPERLINK("#" &amp; ADDRESS(497, 'Additional Images-WUO_TRK'!A497),_xlfn.TEXTAFTER('Additional Images-WUO_ERR'!A497, ":"))))</f>
        <v>0</v>
      </c>
    </row>
    <row r="498" spans="1:1">
      <c r="A498" s="39">
        <f>IF('Additional Images'!B498 = "", "", IF('Additional Images-WUO_ERR'!A498 = "", "Validated", HYPERLINK("#" &amp; ADDRESS(498, 'Additional Images-WUO_TRK'!A498),_xlfn.TEXTAFTER('Additional Images-WUO_ERR'!A498, ":"))))</f>
        <v>0</v>
      </c>
    </row>
    <row r="499" spans="1:1">
      <c r="A499" s="39">
        <f>IF('Additional Images'!B499 = "", "", IF('Additional Images-WUO_ERR'!A499 = "", "Validated", HYPERLINK("#" &amp; ADDRESS(499, 'Additional Images-WUO_TRK'!A499),_xlfn.TEXTAFTER('Additional Images-WUO_ERR'!A499, ":"))))</f>
        <v>0</v>
      </c>
    </row>
    <row r="500" spans="1:1">
      <c r="A500" s="39">
        <f>IF('Additional Images'!B500 = "", "", IF('Additional Images-WUO_ERR'!A500 = "", "Validated", HYPERLINK("#" &amp; ADDRESS(500, 'Additional Images-WUO_TRK'!A500),_xlfn.TEXTAFTER('Additional Images-WUO_ERR'!A500, ":"))))</f>
        <v>0</v>
      </c>
    </row>
    <row r="501" spans="1:1">
      <c r="A501" s="39">
        <f>IF('Additional Images'!B501 = "", "", IF('Additional Images-WUO_ERR'!A501 = "", "Validated", HYPERLINK("#" &amp; ADDRESS(501, 'Additional Images-WUO_TRK'!A501),_xlfn.TEXTAFTER('Additional Images-WUO_ERR'!A501, ":"))))</f>
        <v>0</v>
      </c>
    </row>
    <row r="502" spans="1:1">
      <c r="A502" s="39">
        <f>IF('Additional Images'!B502 = "", "", IF('Additional Images-WUO_ERR'!A502 = "", "Validated", HYPERLINK("#" &amp; ADDRESS(502, 'Additional Images-WUO_TRK'!A502),_xlfn.TEXTAFTER('Additional Images-WUO_ERR'!A502, ":"))))</f>
        <v>0</v>
      </c>
    </row>
    <row r="503" spans="1:1">
      <c r="A503" s="39">
        <f>IF('Additional Images'!B503 = "", "", IF('Additional Images-WUO_ERR'!A503 = "", "Validated", HYPERLINK("#" &amp; ADDRESS(503, 'Additional Images-WUO_TRK'!A503),_xlfn.TEXTAFTER('Additional Images-WUO_ERR'!A503, ":"))))</f>
        <v>0</v>
      </c>
    </row>
    <row r="504" spans="1:1">
      <c r="A504" s="39">
        <f>IF('Additional Images'!B504 = "", "", IF('Additional Images-WUO_ERR'!A504 = "", "Validated", HYPERLINK("#" &amp; ADDRESS(504, 'Additional Images-WUO_TRK'!A504),_xlfn.TEXTAFTER('Additional Images-WUO_ERR'!A504, ":"))))</f>
        <v>0</v>
      </c>
    </row>
    <row r="505" spans="1:1">
      <c r="A505" s="39">
        <f>IF('Additional Images'!B505 = "", "", IF('Additional Images-WUO_ERR'!A505 = "", "Validated", HYPERLINK("#" &amp; ADDRESS(505, 'Additional Images-WUO_TRK'!A505),_xlfn.TEXTAFTER('Additional Images-WUO_ERR'!A505, ":"))))</f>
        <v>0</v>
      </c>
    </row>
    <row r="506" spans="1:1">
      <c r="A506" s="39">
        <f>IF('Additional Images'!B506 = "", "", IF('Additional Images-WUO_ERR'!A506 = "", "Validated", HYPERLINK("#" &amp; ADDRESS(506, 'Additional Images-WUO_TRK'!A506),_xlfn.TEXTAFTER('Additional Images-WUO_ERR'!A506, ":"))))</f>
        <v>0</v>
      </c>
    </row>
    <row r="507" spans="1:1">
      <c r="A507" s="39">
        <f>IF('Additional Images'!B507 = "", "", IF('Additional Images-WUO_ERR'!A507 = "", "Validated", HYPERLINK("#" &amp; ADDRESS(507, 'Additional Images-WUO_TRK'!A507),_xlfn.TEXTAFTER('Additional Images-WUO_ERR'!A507, ":"))))</f>
        <v>0</v>
      </c>
    </row>
  </sheetData>
  <sheetProtection password="84FB"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Images-WUO_TRK'!B7:D7,"Error"),COUNTIF('Additional Images-WUO_TRK'!B7:D7,"Required"))</formula>
    </cfRule>
    <cfRule type="expression" dxfId="6" priority="7">
      <formula>COUNTIF('Additional Images-WUO_TRK'!B7:D7,"Warning")</formula>
    </cfRule>
  </conditionalFormatting>
  <conditionalFormatting sqref="B7:D507">
    <cfRule type="expression" dxfId="0" priority="1">
      <formula>'Additional Images-WUO_TRK'!B7="Error"</formula>
    </cfRule>
    <cfRule type="expression" dxfId="1" priority="2">
      <formula>'Additional Images-WUO_TRK'!B7="Required"</formula>
    </cfRule>
    <cfRule type="expression" dxfId="2" priority="3">
      <formula>'Additional Images-WUO_TRK'!B7="Warning"</formula>
    </cfRule>
    <cfRule type="expression" dxfId="3" priority="4">
      <formula>'Additional Images-WUO_TRK'!B7="Disabled"</formula>
    </cfRule>
  </conditionalFormatting>
  <dataValidations count="1">
    <dataValidation type="textLength" operator="lessThanOrEqual" errorStyle="warning" showInputMessage="1" showErrorMessage="1" errorTitle="Invalid Text" error="The value provided is not a valid Text." promptTitle="Image File Name or URL" prompt="Please enter Text" sqref="C7:C2500">
      <formula1>32767</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2220</v>
      </c>
      <c r="C1" s="22" t="s">
        <v>2332</v>
      </c>
    </row>
    <row r="3" spans="1:3">
      <c r="B3" s="32" t="s">
        <v>58</v>
      </c>
      <c r="C3" s="32" t="s">
        <v>62</v>
      </c>
    </row>
    <row r="4" spans="1:3" ht="50" customHeight="1">
      <c r="B4" s="19" t="s">
        <v>2221</v>
      </c>
      <c r="C4" s="19" t="s">
        <v>2559</v>
      </c>
    </row>
    <row r="5" spans="1:3" ht="50" customHeight="1">
      <c r="B5" s="35" t="s">
        <v>2222</v>
      </c>
      <c r="C5" s="35" t="s">
        <v>2334</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Images'!B7:B507, 'Additional Images'!B7:B507,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Images'!B7:B507, 'Additional Images'!C7:C507, _xlfn.LAMBDA(_xlpm.part, _xlpm.val, IF(_xlpm.part = "", "", IF(AND(_xlpm.val = "", C$3="Required"), "3:Image File Name or URL - Value is required", ""))))</f>
        <v>0</v>
      </c>
    </row>
  </sheetData>
  <sheetProtection password="9F08"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2220</v>
      </c>
      <c r="C1" s="22" t="s">
        <v>2332</v>
      </c>
    </row>
    <row r="3" spans="1:3">
      <c r="B3" s="32" t="s">
        <v>58</v>
      </c>
      <c r="C3" s="32" t="s">
        <v>62</v>
      </c>
    </row>
    <row r="4" spans="1:3" ht="50" customHeight="1">
      <c r="B4" s="19" t="s">
        <v>2221</v>
      </c>
      <c r="C4" s="19" t="s">
        <v>2559</v>
      </c>
    </row>
    <row r="5" spans="1:3" ht="50" customHeight="1">
      <c r="B5" s="35" t="s">
        <v>2222</v>
      </c>
      <c r="C5" s="35" t="s">
        <v>2334</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Images'!B7:B507, 'Additional Images'!B7:B507, 'Additional Images-WUO_ERR'!B7:B507, _xlfn.LAMBDA(_xlpm.part, _xlpm.val, _xlpm.error, IF(_xlpm.part = "", "", IF(LEN(_xlpm.error), _xlfn.SWITCH(IFERROR(_xlfn.TEXTBEFORE(_xlpm.error,":"), ""), "1", "Error", "2", "Disabled", "3", "Required", "4", "Warning", "Valid"), "Valid"))))</f>
        <v>0</v>
      </c>
      <c r="C7" s="22" cm="1">
        <f t="array" ref="C7">_xlfn.MAP('Additional Images'!B7:B507, 'Additional Images'!C7:C507, 'Additional Images-WUO_ERR'!C7:C507, _xlfn.LAMBDA(_xlpm.part, _xlpm.val, _xlpm.error, IF(_xlpm.part = "", "", IF(LEN(_xlpm.error), _xlfn.SWITCH(IFERROR(_xlfn.TEXTBEFORE(_xlpm.error,":"), ""), "1", "Error", "2", "Disabled", "3", "Required", "4", "Warning", "Valid"), "Valid"))))</f>
        <v>0</v>
      </c>
    </row>
  </sheetData>
  <sheetProtection password="EA08" sheet="1" objects="1" scenarios="1"/>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27.7109375" style="22" customWidth="1"/>
    <col min="26" max="26" width="0" hidden="1" customWidth="1"/>
  </cols>
  <sheetData>
    <row r="1" spans="1:26" hidden="1">
      <c r="B1" s="22" t="s">
        <v>2220</v>
      </c>
      <c r="C1" s="22" t="s">
        <v>2339</v>
      </c>
    </row>
    <row r="2" spans="1:26">
      <c r="B2" s="23" t="s">
        <v>2484</v>
      </c>
      <c r="C2" s="29" t="s">
        <v>2490</v>
      </c>
    </row>
    <row r="3" spans="1:26">
      <c r="B3" s="32" t="s">
        <v>58</v>
      </c>
      <c r="C3" s="32" t="s">
        <v>62</v>
      </c>
    </row>
    <row r="4" spans="1:26" ht="50" customHeight="1">
      <c r="A4" s="19" t="s">
        <v>2217</v>
      </c>
      <c r="B4" s="19" t="s">
        <v>2221</v>
      </c>
      <c r="C4" s="19" t="s">
        <v>2560</v>
      </c>
    </row>
    <row r="5" spans="1:26" ht="50" customHeight="1">
      <c r="A5" s="35" t="s">
        <v>2218</v>
      </c>
      <c r="B5" s="35" t="s">
        <v>2222</v>
      </c>
      <c r="C5" s="35" t="s">
        <v>2341</v>
      </c>
    </row>
    <row r="6" spans="1:26" ht="50" customHeight="1">
      <c r="A6" s="35" t="s">
        <v>2219</v>
      </c>
      <c r="B6" s="35" t="s">
        <v>67</v>
      </c>
      <c r="C6" s="35" t="s">
        <v>67</v>
      </c>
    </row>
    <row r="7" spans="1:26">
      <c r="A7" s="39">
        <f>IF('Additional Videos'!B7 = "", "", IF('Additional Videos-WUO_ERR'!A7 = "", "Validated", HYPERLINK("#" &amp; ADDRESS(7, 'Additional Videos-WUO_TRK'!A7),_xlfn.TEXTAFTER('Additional Videos-WUO_ERR'!A7, ":"))))</f>
        <v>0</v>
      </c>
      <c r="Z7" cm="1">
        <f t="array" ref="Z7">IF(B7:B507="", "", IFERROR(_xlfn.XLOOKUP(B7:B507, _xlfn.VSTACK('6161 - Wallpaper'!B7:B507, '3757 - Wall Stickers'!B7:B507), _xlfn.VSTACK('6161 - Wallpaper'!G7:G507, '3757 - Wall Stickers'!G7:G507)), ""))</f>
        <v>0</v>
      </c>
    </row>
    <row r="8" spans="1:26">
      <c r="A8" s="39">
        <f>IF('Additional Videos'!B8 = "", "", IF('Additional Videos-WUO_ERR'!A8 = "", "Validated", HYPERLINK("#" &amp; ADDRESS(8, 'Additional Videos-WUO_TRK'!A8),_xlfn.TEXTAFTER('Additional Videos-WUO_ERR'!A8, ":"))))</f>
        <v>0</v>
      </c>
    </row>
    <row r="9" spans="1:26">
      <c r="A9" s="39">
        <f>IF('Additional Videos'!B9 = "", "", IF('Additional Videos-WUO_ERR'!A9 = "", "Validated", HYPERLINK("#" &amp; ADDRESS(9, 'Additional Videos-WUO_TRK'!A9),_xlfn.TEXTAFTER('Additional Videos-WUO_ERR'!A9, ":"))))</f>
        <v>0</v>
      </c>
    </row>
    <row r="10" spans="1:26">
      <c r="A10" s="39">
        <f>IF('Additional Videos'!B10 = "", "", IF('Additional Videos-WUO_ERR'!A10 = "", "Validated", HYPERLINK("#" &amp; ADDRESS(10, 'Additional Videos-WUO_TRK'!A10),_xlfn.TEXTAFTER('Additional Videos-WUO_ERR'!A10, ":"))))</f>
        <v>0</v>
      </c>
    </row>
    <row r="11" spans="1:26">
      <c r="A11" s="39">
        <f>IF('Additional Videos'!B11 = "", "", IF('Additional Videos-WUO_ERR'!A11 = "", "Validated", HYPERLINK("#" &amp; ADDRESS(11, 'Additional Videos-WUO_TRK'!A11),_xlfn.TEXTAFTER('Additional Videos-WUO_ERR'!A11, ":"))))</f>
        <v>0</v>
      </c>
    </row>
    <row r="12" spans="1:26">
      <c r="A12" s="39">
        <f>IF('Additional Videos'!B12 = "", "", IF('Additional Videos-WUO_ERR'!A12 = "", "Validated", HYPERLINK("#" &amp; ADDRESS(12, 'Additional Videos-WUO_TRK'!A12),_xlfn.TEXTAFTER('Additional Videos-WUO_ERR'!A12, ":"))))</f>
        <v>0</v>
      </c>
    </row>
    <row r="13" spans="1:26">
      <c r="A13" s="39">
        <f>IF('Additional Videos'!B13 = "", "", IF('Additional Videos-WUO_ERR'!A13 = "", "Validated", HYPERLINK("#" &amp; ADDRESS(13, 'Additional Videos-WUO_TRK'!A13),_xlfn.TEXTAFTER('Additional Videos-WUO_ERR'!A13, ":"))))</f>
        <v>0</v>
      </c>
    </row>
    <row r="14" spans="1:26">
      <c r="A14" s="39">
        <f>IF('Additional Videos'!B14 = "", "", IF('Additional Videos-WUO_ERR'!A14 = "", "Validated", HYPERLINK("#" &amp; ADDRESS(14, 'Additional Videos-WUO_TRK'!A14),_xlfn.TEXTAFTER('Additional Videos-WUO_ERR'!A14, ":"))))</f>
        <v>0</v>
      </c>
    </row>
    <row r="15" spans="1:26">
      <c r="A15" s="39">
        <f>IF('Additional Videos'!B15 = "", "", IF('Additional Videos-WUO_ERR'!A15 = "", "Validated", HYPERLINK("#" &amp; ADDRESS(15, 'Additional Videos-WUO_TRK'!A15),_xlfn.TEXTAFTER('Additional Videos-WUO_ERR'!A15, ":"))))</f>
        <v>0</v>
      </c>
    </row>
    <row r="16" spans="1:26">
      <c r="A16" s="39">
        <f>IF('Additional Videos'!B16 = "", "", IF('Additional Videos-WUO_ERR'!A16 = "", "Validated", HYPERLINK("#" &amp; ADDRESS(16, 'Additional Videos-WUO_TRK'!A16),_xlfn.TEXTAFTER('Additional Videos-WUO_ERR'!A16, ":"))))</f>
        <v>0</v>
      </c>
    </row>
    <row r="17" spans="1:1">
      <c r="A17" s="39">
        <f>IF('Additional Videos'!B17 = "", "", IF('Additional Videos-WUO_ERR'!A17 = "", "Validated", HYPERLINK("#" &amp; ADDRESS(17, 'Additional Videos-WUO_TRK'!A17),_xlfn.TEXTAFTER('Additional Videos-WUO_ERR'!A17, ":"))))</f>
        <v>0</v>
      </c>
    </row>
    <row r="18" spans="1:1">
      <c r="A18" s="39">
        <f>IF('Additional Videos'!B18 = "", "", IF('Additional Videos-WUO_ERR'!A18 = "", "Validated", HYPERLINK("#" &amp; ADDRESS(18, 'Additional Videos-WUO_TRK'!A18),_xlfn.TEXTAFTER('Additional Videos-WUO_ERR'!A18, ":"))))</f>
        <v>0</v>
      </c>
    </row>
    <row r="19" spans="1:1">
      <c r="A19" s="39">
        <f>IF('Additional Videos'!B19 = "", "", IF('Additional Videos-WUO_ERR'!A19 = "", "Validated", HYPERLINK("#" &amp; ADDRESS(19, 'Additional Videos-WUO_TRK'!A19),_xlfn.TEXTAFTER('Additional Videos-WUO_ERR'!A19, ":"))))</f>
        <v>0</v>
      </c>
    </row>
    <row r="20" spans="1:1">
      <c r="A20" s="39">
        <f>IF('Additional Videos'!B20 = "", "", IF('Additional Videos-WUO_ERR'!A20 = "", "Validated", HYPERLINK("#" &amp; ADDRESS(20, 'Additional Videos-WUO_TRK'!A20),_xlfn.TEXTAFTER('Additional Videos-WUO_ERR'!A20, ":"))))</f>
        <v>0</v>
      </c>
    </row>
    <row r="21" spans="1:1">
      <c r="A21" s="39">
        <f>IF('Additional Videos'!B21 = "", "", IF('Additional Videos-WUO_ERR'!A21 = "", "Validated", HYPERLINK("#" &amp; ADDRESS(21, 'Additional Videos-WUO_TRK'!A21),_xlfn.TEXTAFTER('Additional Videos-WUO_ERR'!A21, ":"))))</f>
        <v>0</v>
      </c>
    </row>
    <row r="22" spans="1:1">
      <c r="A22" s="39">
        <f>IF('Additional Videos'!B22 = "", "", IF('Additional Videos-WUO_ERR'!A22 = "", "Validated", HYPERLINK("#" &amp; ADDRESS(22, 'Additional Videos-WUO_TRK'!A22),_xlfn.TEXTAFTER('Additional Videos-WUO_ERR'!A22, ":"))))</f>
        <v>0</v>
      </c>
    </row>
    <row r="23" spans="1:1">
      <c r="A23" s="39">
        <f>IF('Additional Videos'!B23 = "", "", IF('Additional Videos-WUO_ERR'!A23 = "", "Validated", HYPERLINK("#" &amp; ADDRESS(23, 'Additional Videos-WUO_TRK'!A23),_xlfn.TEXTAFTER('Additional Videos-WUO_ERR'!A23, ":"))))</f>
        <v>0</v>
      </c>
    </row>
    <row r="24" spans="1:1">
      <c r="A24" s="39">
        <f>IF('Additional Videos'!B24 = "", "", IF('Additional Videos-WUO_ERR'!A24 = "", "Validated", HYPERLINK("#" &amp; ADDRESS(24, 'Additional Videos-WUO_TRK'!A24),_xlfn.TEXTAFTER('Additional Videos-WUO_ERR'!A24, ":"))))</f>
        <v>0</v>
      </c>
    </row>
    <row r="25" spans="1:1">
      <c r="A25" s="39">
        <f>IF('Additional Videos'!B25 = "", "", IF('Additional Videos-WUO_ERR'!A25 = "", "Validated", HYPERLINK("#" &amp; ADDRESS(25, 'Additional Videos-WUO_TRK'!A25),_xlfn.TEXTAFTER('Additional Videos-WUO_ERR'!A25, ":"))))</f>
        <v>0</v>
      </c>
    </row>
    <row r="26" spans="1:1">
      <c r="A26" s="39">
        <f>IF('Additional Videos'!B26 = "", "", IF('Additional Videos-WUO_ERR'!A26 = "", "Validated", HYPERLINK("#" &amp; ADDRESS(26, 'Additional Videos-WUO_TRK'!A26),_xlfn.TEXTAFTER('Additional Videos-WUO_ERR'!A26, ":"))))</f>
        <v>0</v>
      </c>
    </row>
    <row r="27" spans="1:1">
      <c r="A27" s="39">
        <f>IF('Additional Videos'!B27 = "", "", IF('Additional Videos-WUO_ERR'!A27 = "", "Validated", HYPERLINK("#" &amp; ADDRESS(27, 'Additional Videos-WUO_TRK'!A27),_xlfn.TEXTAFTER('Additional Videos-WUO_ERR'!A27, ":"))))</f>
        <v>0</v>
      </c>
    </row>
    <row r="28" spans="1:1">
      <c r="A28" s="39">
        <f>IF('Additional Videos'!B28 = "", "", IF('Additional Videos-WUO_ERR'!A28 = "", "Validated", HYPERLINK("#" &amp; ADDRESS(28, 'Additional Videos-WUO_TRK'!A28),_xlfn.TEXTAFTER('Additional Videos-WUO_ERR'!A28, ":"))))</f>
        <v>0</v>
      </c>
    </row>
    <row r="29" spans="1:1">
      <c r="A29" s="39">
        <f>IF('Additional Videos'!B29 = "", "", IF('Additional Videos-WUO_ERR'!A29 = "", "Validated", HYPERLINK("#" &amp; ADDRESS(29, 'Additional Videos-WUO_TRK'!A29),_xlfn.TEXTAFTER('Additional Videos-WUO_ERR'!A29, ":"))))</f>
        <v>0</v>
      </c>
    </row>
    <row r="30" spans="1:1">
      <c r="A30" s="39">
        <f>IF('Additional Videos'!B30 = "", "", IF('Additional Videos-WUO_ERR'!A30 = "", "Validated", HYPERLINK("#" &amp; ADDRESS(30, 'Additional Videos-WUO_TRK'!A30),_xlfn.TEXTAFTER('Additional Videos-WUO_ERR'!A30, ":"))))</f>
        <v>0</v>
      </c>
    </row>
    <row r="31" spans="1:1">
      <c r="A31" s="39">
        <f>IF('Additional Videos'!B31 = "", "", IF('Additional Videos-WUO_ERR'!A31 = "", "Validated", HYPERLINK("#" &amp; ADDRESS(31, 'Additional Videos-WUO_TRK'!A31),_xlfn.TEXTAFTER('Additional Videos-WUO_ERR'!A31, ":"))))</f>
        <v>0</v>
      </c>
    </row>
    <row r="32" spans="1:1">
      <c r="A32" s="39">
        <f>IF('Additional Videos'!B32 = "", "", IF('Additional Videos-WUO_ERR'!A32 = "", "Validated", HYPERLINK("#" &amp; ADDRESS(32, 'Additional Videos-WUO_TRK'!A32),_xlfn.TEXTAFTER('Additional Videos-WUO_ERR'!A32, ":"))))</f>
        <v>0</v>
      </c>
    </row>
    <row r="33" spans="1:1">
      <c r="A33" s="39">
        <f>IF('Additional Videos'!B33 = "", "", IF('Additional Videos-WUO_ERR'!A33 = "", "Validated", HYPERLINK("#" &amp; ADDRESS(33, 'Additional Videos-WUO_TRK'!A33),_xlfn.TEXTAFTER('Additional Videos-WUO_ERR'!A33, ":"))))</f>
        <v>0</v>
      </c>
    </row>
    <row r="34" spans="1:1">
      <c r="A34" s="39">
        <f>IF('Additional Videos'!B34 = "", "", IF('Additional Videos-WUO_ERR'!A34 = "", "Validated", HYPERLINK("#" &amp; ADDRESS(34, 'Additional Videos-WUO_TRK'!A34),_xlfn.TEXTAFTER('Additional Videos-WUO_ERR'!A34, ":"))))</f>
        <v>0</v>
      </c>
    </row>
    <row r="35" spans="1:1">
      <c r="A35" s="39">
        <f>IF('Additional Videos'!B35 = "", "", IF('Additional Videos-WUO_ERR'!A35 = "", "Validated", HYPERLINK("#" &amp; ADDRESS(35, 'Additional Videos-WUO_TRK'!A35),_xlfn.TEXTAFTER('Additional Videos-WUO_ERR'!A35, ":"))))</f>
        <v>0</v>
      </c>
    </row>
    <row r="36" spans="1:1">
      <c r="A36" s="39">
        <f>IF('Additional Videos'!B36 = "", "", IF('Additional Videos-WUO_ERR'!A36 = "", "Validated", HYPERLINK("#" &amp; ADDRESS(36, 'Additional Videos-WUO_TRK'!A36),_xlfn.TEXTAFTER('Additional Videos-WUO_ERR'!A36, ":"))))</f>
        <v>0</v>
      </c>
    </row>
    <row r="37" spans="1:1">
      <c r="A37" s="39">
        <f>IF('Additional Videos'!B37 = "", "", IF('Additional Videos-WUO_ERR'!A37 = "", "Validated", HYPERLINK("#" &amp; ADDRESS(37, 'Additional Videos-WUO_TRK'!A37),_xlfn.TEXTAFTER('Additional Videos-WUO_ERR'!A37, ":"))))</f>
        <v>0</v>
      </c>
    </row>
    <row r="38" spans="1:1">
      <c r="A38" s="39">
        <f>IF('Additional Videos'!B38 = "", "", IF('Additional Videos-WUO_ERR'!A38 = "", "Validated", HYPERLINK("#" &amp; ADDRESS(38, 'Additional Videos-WUO_TRK'!A38),_xlfn.TEXTAFTER('Additional Videos-WUO_ERR'!A38, ":"))))</f>
        <v>0</v>
      </c>
    </row>
    <row r="39" spans="1:1">
      <c r="A39" s="39">
        <f>IF('Additional Videos'!B39 = "", "", IF('Additional Videos-WUO_ERR'!A39 = "", "Validated", HYPERLINK("#" &amp; ADDRESS(39, 'Additional Videos-WUO_TRK'!A39),_xlfn.TEXTAFTER('Additional Videos-WUO_ERR'!A39, ":"))))</f>
        <v>0</v>
      </c>
    </row>
    <row r="40" spans="1:1">
      <c r="A40" s="39">
        <f>IF('Additional Videos'!B40 = "", "", IF('Additional Videos-WUO_ERR'!A40 = "", "Validated", HYPERLINK("#" &amp; ADDRESS(40, 'Additional Videos-WUO_TRK'!A40),_xlfn.TEXTAFTER('Additional Videos-WUO_ERR'!A40, ":"))))</f>
        <v>0</v>
      </c>
    </row>
    <row r="41" spans="1:1">
      <c r="A41" s="39">
        <f>IF('Additional Videos'!B41 = "", "", IF('Additional Videos-WUO_ERR'!A41 = "", "Validated", HYPERLINK("#" &amp; ADDRESS(41, 'Additional Videos-WUO_TRK'!A41),_xlfn.TEXTAFTER('Additional Videos-WUO_ERR'!A41, ":"))))</f>
        <v>0</v>
      </c>
    </row>
    <row r="42" spans="1:1">
      <c r="A42" s="39">
        <f>IF('Additional Videos'!B42 = "", "", IF('Additional Videos-WUO_ERR'!A42 = "", "Validated", HYPERLINK("#" &amp; ADDRESS(42, 'Additional Videos-WUO_TRK'!A42),_xlfn.TEXTAFTER('Additional Videos-WUO_ERR'!A42, ":"))))</f>
        <v>0</v>
      </c>
    </row>
    <row r="43" spans="1:1">
      <c r="A43" s="39">
        <f>IF('Additional Videos'!B43 = "", "", IF('Additional Videos-WUO_ERR'!A43 = "", "Validated", HYPERLINK("#" &amp; ADDRESS(43, 'Additional Videos-WUO_TRK'!A43),_xlfn.TEXTAFTER('Additional Videos-WUO_ERR'!A43, ":"))))</f>
        <v>0</v>
      </c>
    </row>
    <row r="44" spans="1:1">
      <c r="A44" s="39">
        <f>IF('Additional Videos'!B44 = "", "", IF('Additional Videos-WUO_ERR'!A44 = "", "Validated", HYPERLINK("#" &amp; ADDRESS(44, 'Additional Videos-WUO_TRK'!A44),_xlfn.TEXTAFTER('Additional Videos-WUO_ERR'!A44, ":"))))</f>
        <v>0</v>
      </c>
    </row>
    <row r="45" spans="1:1">
      <c r="A45" s="39">
        <f>IF('Additional Videos'!B45 = "", "", IF('Additional Videos-WUO_ERR'!A45 = "", "Validated", HYPERLINK("#" &amp; ADDRESS(45, 'Additional Videos-WUO_TRK'!A45),_xlfn.TEXTAFTER('Additional Videos-WUO_ERR'!A45, ":"))))</f>
        <v>0</v>
      </c>
    </row>
    <row r="46" spans="1:1">
      <c r="A46" s="39">
        <f>IF('Additional Videos'!B46 = "", "", IF('Additional Videos-WUO_ERR'!A46 = "", "Validated", HYPERLINK("#" &amp; ADDRESS(46, 'Additional Videos-WUO_TRK'!A46),_xlfn.TEXTAFTER('Additional Videos-WUO_ERR'!A46, ":"))))</f>
        <v>0</v>
      </c>
    </row>
    <row r="47" spans="1:1">
      <c r="A47" s="39">
        <f>IF('Additional Videos'!B47 = "", "", IF('Additional Videos-WUO_ERR'!A47 = "", "Validated", HYPERLINK("#" &amp; ADDRESS(47, 'Additional Videos-WUO_TRK'!A47),_xlfn.TEXTAFTER('Additional Videos-WUO_ERR'!A47, ":"))))</f>
        <v>0</v>
      </c>
    </row>
    <row r="48" spans="1:1">
      <c r="A48" s="39">
        <f>IF('Additional Videos'!B48 = "", "", IF('Additional Videos-WUO_ERR'!A48 = "", "Validated", HYPERLINK("#" &amp; ADDRESS(48, 'Additional Videos-WUO_TRK'!A48),_xlfn.TEXTAFTER('Additional Videos-WUO_ERR'!A48, ":"))))</f>
        <v>0</v>
      </c>
    </row>
    <row r="49" spans="1:1">
      <c r="A49" s="39">
        <f>IF('Additional Videos'!B49 = "", "", IF('Additional Videos-WUO_ERR'!A49 = "", "Validated", HYPERLINK("#" &amp; ADDRESS(49, 'Additional Videos-WUO_TRK'!A49),_xlfn.TEXTAFTER('Additional Videos-WUO_ERR'!A49, ":"))))</f>
        <v>0</v>
      </c>
    </row>
    <row r="50" spans="1:1">
      <c r="A50" s="39">
        <f>IF('Additional Videos'!B50 = "", "", IF('Additional Videos-WUO_ERR'!A50 = "", "Validated", HYPERLINK("#" &amp; ADDRESS(50, 'Additional Videos-WUO_TRK'!A50),_xlfn.TEXTAFTER('Additional Videos-WUO_ERR'!A50, ":"))))</f>
        <v>0</v>
      </c>
    </row>
    <row r="51" spans="1:1">
      <c r="A51" s="39">
        <f>IF('Additional Videos'!B51 = "", "", IF('Additional Videos-WUO_ERR'!A51 = "", "Validated", HYPERLINK("#" &amp; ADDRESS(51, 'Additional Videos-WUO_TRK'!A51),_xlfn.TEXTAFTER('Additional Videos-WUO_ERR'!A51, ":"))))</f>
        <v>0</v>
      </c>
    </row>
    <row r="52" spans="1:1">
      <c r="A52" s="39">
        <f>IF('Additional Videos'!B52 = "", "", IF('Additional Videos-WUO_ERR'!A52 = "", "Validated", HYPERLINK("#" &amp; ADDRESS(52, 'Additional Videos-WUO_TRK'!A52),_xlfn.TEXTAFTER('Additional Videos-WUO_ERR'!A52, ":"))))</f>
        <v>0</v>
      </c>
    </row>
    <row r="53" spans="1:1">
      <c r="A53" s="39">
        <f>IF('Additional Videos'!B53 = "", "", IF('Additional Videos-WUO_ERR'!A53 = "", "Validated", HYPERLINK("#" &amp; ADDRESS(53, 'Additional Videos-WUO_TRK'!A53),_xlfn.TEXTAFTER('Additional Videos-WUO_ERR'!A53, ":"))))</f>
        <v>0</v>
      </c>
    </row>
    <row r="54" spans="1:1">
      <c r="A54" s="39">
        <f>IF('Additional Videos'!B54 = "", "", IF('Additional Videos-WUO_ERR'!A54 = "", "Validated", HYPERLINK("#" &amp; ADDRESS(54, 'Additional Videos-WUO_TRK'!A54),_xlfn.TEXTAFTER('Additional Videos-WUO_ERR'!A54, ":"))))</f>
        <v>0</v>
      </c>
    </row>
    <row r="55" spans="1:1">
      <c r="A55" s="39">
        <f>IF('Additional Videos'!B55 = "", "", IF('Additional Videos-WUO_ERR'!A55 = "", "Validated", HYPERLINK("#" &amp; ADDRESS(55, 'Additional Videos-WUO_TRK'!A55),_xlfn.TEXTAFTER('Additional Videos-WUO_ERR'!A55, ":"))))</f>
        <v>0</v>
      </c>
    </row>
    <row r="56" spans="1:1">
      <c r="A56" s="39">
        <f>IF('Additional Videos'!B56 = "", "", IF('Additional Videos-WUO_ERR'!A56 = "", "Validated", HYPERLINK("#" &amp; ADDRESS(56, 'Additional Videos-WUO_TRK'!A56),_xlfn.TEXTAFTER('Additional Videos-WUO_ERR'!A56, ":"))))</f>
        <v>0</v>
      </c>
    </row>
    <row r="57" spans="1:1">
      <c r="A57" s="39">
        <f>IF('Additional Videos'!B57 = "", "", IF('Additional Videos-WUO_ERR'!A57 = "", "Validated", HYPERLINK("#" &amp; ADDRESS(57, 'Additional Videos-WUO_TRK'!A57),_xlfn.TEXTAFTER('Additional Videos-WUO_ERR'!A57, ":"))))</f>
        <v>0</v>
      </c>
    </row>
    <row r="58" spans="1:1">
      <c r="A58" s="39">
        <f>IF('Additional Videos'!B58 = "", "", IF('Additional Videos-WUO_ERR'!A58 = "", "Validated", HYPERLINK("#" &amp; ADDRESS(58, 'Additional Videos-WUO_TRK'!A58),_xlfn.TEXTAFTER('Additional Videos-WUO_ERR'!A58, ":"))))</f>
        <v>0</v>
      </c>
    </row>
    <row r="59" spans="1:1">
      <c r="A59" s="39">
        <f>IF('Additional Videos'!B59 = "", "", IF('Additional Videos-WUO_ERR'!A59 = "", "Validated", HYPERLINK("#" &amp; ADDRESS(59, 'Additional Videos-WUO_TRK'!A59),_xlfn.TEXTAFTER('Additional Videos-WUO_ERR'!A59, ":"))))</f>
        <v>0</v>
      </c>
    </row>
    <row r="60" spans="1:1">
      <c r="A60" s="39">
        <f>IF('Additional Videos'!B60 = "", "", IF('Additional Videos-WUO_ERR'!A60 = "", "Validated", HYPERLINK("#" &amp; ADDRESS(60, 'Additional Videos-WUO_TRK'!A60),_xlfn.TEXTAFTER('Additional Videos-WUO_ERR'!A60, ":"))))</f>
        <v>0</v>
      </c>
    </row>
    <row r="61" spans="1:1">
      <c r="A61" s="39">
        <f>IF('Additional Videos'!B61 = "", "", IF('Additional Videos-WUO_ERR'!A61 = "", "Validated", HYPERLINK("#" &amp; ADDRESS(61, 'Additional Videos-WUO_TRK'!A61),_xlfn.TEXTAFTER('Additional Videos-WUO_ERR'!A61, ":"))))</f>
        <v>0</v>
      </c>
    </row>
    <row r="62" spans="1:1">
      <c r="A62" s="39">
        <f>IF('Additional Videos'!B62 = "", "", IF('Additional Videos-WUO_ERR'!A62 = "", "Validated", HYPERLINK("#" &amp; ADDRESS(62, 'Additional Videos-WUO_TRK'!A62),_xlfn.TEXTAFTER('Additional Videos-WUO_ERR'!A62, ":"))))</f>
        <v>0</v>
      </c>
    </row>
    <row r="63" spans="1:1">
      <c r="A63" s="39">
        <f>IF('Additional Videos'!B63 = "", "", IF('Additional Videos-WUO_ERR'!A63 = "", "Validated", HYPERLINK("#" &amp; ADDRESS(63, 'Additional Videos-WUO_TRK'!A63),_xlfn.TEXTAFTER('Additional Videos-WUO_ERR'!A63, ":"))))</f>
        <v>0</v>
      </c>
    </row>
    <row r="64" spans="1:1">
      <c r="A64" s="39">
        <f>IF('Additional Videos'!B64 = "", "", IF('Additional Videos-WUO_ERR'!A64 = "", "Validated", HYPERLINK("#" &amp; ADDRESS(64, 'Additional Videos-WUO_TRK'!A64),_xlfn.TEXTAFTER('Additional Videos-WUO_ERR'!A64, ":"))))</f>
        <v>0</v>
      </c>
    </row>
    <row r="65" spans="1:1">
      <c r="A65" s="39">
        <f>IF('Additional Videos'!B65 = "", "", IF('Additional Videos-WUO_ERR'!A65 = "", "Validated", HYPERLINK("#" &amp; ADDRESS(65, 'Additional Videos-WUO_TRK'!A65),_xlfn.TEXTAFTER('Additional Videos-WUO_ERR'!A65, ":"))))</f>
        <v>0</v>
      </c>
    </row>
    <row r="66" spans="1:1">
      <c r="A66" s="39">
        <f>IF('Additional Videos'!B66 = "", "", IF('Additional Videos-WUO_ERR'!A66 = "", "Validated", HYPERLINK("#" &amp; ADDRESS(66, 'Additional Videos-WUO_TRK'!A66),_xlfn.TEXTAFTER('Additional Videos-WUO_ERR'!A66, ":"))))</f>
        <v>0</v>
      </c>
    </row>
    <row r="67" spans="1:1">
      <c r="A67" s="39">
        <f>IF('Additional Videos'!B67 = "", "", IF('Additional Videos-WUO_ERR'!A67 = "", "Validated", HYPERLINK("#" &amp; ADDRESS(67, 'Additional Videos-WUO_TRK'!A67),_xlfn.TEXTAFTER('Additional Videos-WUO_ERR'!A67, ":"))))</f>
        <v>0</v>
      </c>
    </row>
    <row r="68" spans="1:1">
      <c r="A68" s="39">
        <f>IF('Additional Videos'!B68 = "", "", IF('Additional Videos-WUO_ERR'!A68 = "", "Validated", HYPERLINK("#" &amp; ADDRESS(68, 'Additional Videos-WUO_TRK'!A68),_xlfn.TEXTAFTER('Additional Videos-WUO_ERR'!A68, ":"))))</f>
        <v>0</v>
      </c>
    </row>
    <row r="69" spans="1:1">
      <c r="A69" s="39">
        <f>IF('Additional Videos'!B69 = "", "", IF('Additional Videos-WUO_ERR'!A69 = "", "Validated", HYPERLINK("#" &amp; ADDRESS(69, 'Additional Videos-WUO_TRK'!A69),_xlfn.TEXTAFTER('Additional Videos-WUO_ERR'!A69, ":"))))</f>
        <v>0</v>
      </c>
    </row>
    <row r="70" spans="1:1">
      <c r="A70" s="39">
        <f>IF('Additional Videos'!B70 = "", "", IF('Additional Videos-WUO_ERR'!A70 = "", "Validated", HYPERLINK("#" &amp; ADDRESS(70, 'Additional Videos-WUO_TRK'!A70),_xlfn.TEXTAFTER('Additional Videos-WUO_ERR'!A70, ":"))))</f>
        <v>0</v>
      </c>
    </row>
    <row r="71" spans="1:1">
      <c r="A71" s="39">
        <f>IF('Additional Videos'!B71 = "", "", IF('Additional Videos-WUO_ERR'!A71 = "", "Validated", HYPERLINK("#" &amp; ADDRESS(71, 'Additional Videos-WUO_TRK'!A71),_xlfn.TEXTAFTER('Additional Videos-WUO_ERR'!A71, ":"))))</f>
        <v>0</v>
      </c>
    </row>
    <row r="72" spans="1:1">
      <c r="A72" s="39">
        <f>IF('Additional Videos'!B72 = "", "", IF('Additional Videos-WUO_ERR'!A72 = "", "Validated", HYPERLINK("#" &amp; ADDRESS(72, 'Additional Videos-WUO_TRK'!A72),_xlfn.TEXTAFTER('Additional Videos-WUO_ERR'!A72, ":"))))</f>
        <v>0</v>
      </c>
    </row>
    <row r="73" spans="1:1">
      <c r="A73" s="39">
        <f>IF('Additional Videos'!B73 = "", "", IF('Additional Videos-WUO_ERR'!A73 = "", "Validated", HYPERLINK("#" &amp; ADDRESS(73, 'Additional Videos-WUO_TRK'!A73),_xlfn.TEXTAFTER('Additional Videos-WUO_ERR'!A73, ":"))))</f>
        <v>0</v>
      </c>
    </row>
    <row r="74" spans="1:1">
      <c r="A74" s="39">
        <f>IF('Additional Videos'!B74 = "", "", IF('Additional Videos-WUO_ERR'!A74 = "", "Validated", HYPERLINK("#" &amp; ADDRESS(74, 'Additional Videos-WUO_TRK'!A74),_xlfn.TEXTAFTER('Additional Videos-WUO_ERR'!A74, ":"))))</f>
        <v>0</v>
      </c>
    </row>
    <row r="75" spans="1:1">
      <c r="A75" s="39">
        <f>IF('Additional Videos'!B75 = "", "", IF('Additional Videos-WUO_ERR'!A75 = "", "Validated", HYPERLINK("#" &amp; ADDRESS(75, 'Additional Videos-WUO_TRK'!A75),_xlfn.TEXTAFTER('Additional Videos-WUO_ERR'!A75, ":"))))</f>
        <v>0</v>
      </c>
    </row>
    <row r="76" spans="1:1">
      <c r="A76" s="39">
        <f>IF('Additional Videos'!B76 = "", "", IF('Additional Videos-WUO_ERR'!A76 = "", "Validated", HYPERLINK("#" &amp; ADDRESS(76, 'Additional Videos-WUO_TRK'!A76),_xlfn.TEXTAFTER('Additional Videos-WUO_ERR'!A76, ":"))))</f>
        <v>0</v>
      </c>
    </row>
    <row r="77" spans="1:1">
      <c r="A77" s="39">
        <f>IF('Additional Videos'!B77 = "", "", IF('Additional Videos-WUO_ERR'!A77 = "", "Validated", HYPERLINK("#" &amp; ADDRESS(77, 'Additional Videos-WUO_TRK'!A77),_xlfn.TEXTAFTER('Additional Videos-WUO_ERR'!A77, ":"))))</f>
        <v>0</v>
      </c>
    </row>
    <row r="78" spans="1:1">
      <c r="A78" s="39">
        <f>IF('Additional Videos'!B78 = "", "", IF('Additional Videos-WUO_ERR'!A78 = "", "Validated", HYPERLINK("#" &amp; ADDRESS(78, 'Additional Videos-WUO_TRK'!A78),_xlfn.TEXTAFTER('Additional Videos-WUO_ERR'!A78, ":"))))</f>
        <v>0</v>
      </c>
    </row>
    <row r="79" spans="1:1">
      <c r="A79" s="39">
        <f>IF('Additional Videos'!B79 = "", "", IF('Additional Videos-WUO_ERR'!A79 = "", "Validated", HYPERLINK("#" &amp; ADDRESS(79, 'Additional Videos-WUO_TRK'!A79),_xlfn.TEXTAFTER('Additional Videos-WUO_ERR'!A79, ":"))))</f>
        <v>0</v>
      </c>
    </row>
    <row r="80" spans="1:1">
      <c r="A80" s="39">
        <f>IF('Additional Videos'!B80 = "", "", IF('Additional Videos-WUO_ERR'!A80 = "", "Validated", HYPERLINK("#" &amp; ADDRESS(80, 'Additional Videos-WUO_TRK'!A80),_xlfn.TEXTAFTER('Additional Videos-WUO_ERR'!A80, ":"))))</f>
        <v>0</v>
      </c>
    </row>
    <row r="81" spans="1:1">
      <c r="A81" s="39">
        <f>IF('Additional Videos'!B81 = "", "", IF('Additional Videos-WUO_ERR'!A81 = "", "Validated", HYPERLINK("#" &amp; ADDRESS(81, 'Additional Videos-WUO_TRK'!A81),_xlfn.TEXTAFTER('Additional Videos-WUO_ERR'!A81, ":"))))</f>
        <v>0</v>
      </c>
    </row>
    <row r="82" spans="1:1">
      <c r="A82" s="39">
        <f>IF('Additional Videos'!B82 = "", "", IF('Additional Videos-WUO_ERR'!A82 = "", "Validated", HYPERLINK("#" &amp; ADDRESS(82, 'Additional Videos-WUO_TRK'!A82),_xlfn.TEXTAFTER('Additional Videos-WUO_ERR'!A82, ":"))))</f>
        <v>0</v>
      </c>
    </row>
    <row r="83" spans="1:1">
      <c r="A83" s="39">
        <f>IF('Additional Videos'!B83 = "", "", IF('Additional Videos-WUO_ERR'!A83 = "", "Validated", HYPERLINK("#" &amp; ADDRESS(83, 'Additional Videos-WUO_TRK'!A83),_xlfn.TEXTAFTER('Additional Videos-WUO_ERR'!A83, ":"))))</f>
        <v>0</v>
      </c>
    </row>
    <row r="84" spans="1:1">
      <c r="A84" s="39">
        <f>IF('Additional Videos'!B84 = "", "", IF('Additional Videos-WUO_ERR'!A84 = "", "Validated", HYPERLINK("#" &amp; ADDRESS(84, 'Additional Videos-WUO_TRK'!A84),_xlfn.TEXTAFTER('Additional Videos-WUO_ERR'!A84, ":"))))</f>
        <v>0</v>
      </c>
    </row>
    <row r="85" spans="1:1">
      <c r="A85" s="39">
        <f>IF('Additional Videos'!B85 = "", "", IF('Additional Videos-WUO_ERR'!A85 = "", "Validated", HYPERLINK("#" &amp; ADDRESS(85, 'Additional Videos-WUO_TRK'!A85),_xlfn.TEXTAFTER('Additional Videos-WUO_ERR'!A85, ":"))))</f>
        <v>0</v>
      </c>
    </row>
    <row r="86" spans="1:1">
      <c r="A86" s="39">
        <f>IF('Additional Videos'!B86 = "", "", IF('Additional Videos-WUO_ERR'!A86 = "", "Validated", HYPERLINK("#" &amp; ADDRESS(86, 'Additional Videos-WUO_TRK'!A86),_xlfn.TEXTAFTER('Additional Videos-WUO_ERR'!A86, ":"))))</f>
        <v>0</v>
      </c>
    </row>
    <row r="87" spans="1:1">
      <c r="A87" s="39">
        <f>IF('Additional Videos'!B87 = "", "", IF('Additional Videos-WUO_ERR'!A87 = "", "Validated", HYPERLINK("#" &amp; ADDRESS(87, 'Additional Videos-WUO_TRK'!A87),_xlfn.TEXTAFTER('Additional Videos-WUO_ERR'!A87, ":"))))</f>
        <v>0</v>
      </c>
    </row>
    <row r="88" spans="1:1">
      <c r="A88" s="39">
        <f>IF('Additional Videos'!B88 = "", "", IF('Additional Videos-WUO_ERR'!A88 = "", "Validated", HYPERLINK("#" &amp; ADDRESS(88, 'Additional Videos-WUO_TRK'!A88),_xlfn.TEXTAFTER('Additional Videos-WUO_ERR'!A88, ":"))))</f>
        <v>0</v>
      </c>
    </row>
    <row r="89" spans="1:1">
      <c r="A89" s="39">
        <f>IF('Additional Videos'!B89 = "", "", IF('Additional Videos-WUO_ERR'!A89 = "", "Validated", HYPERLINK("#" &amp; ADDRESS(89, 'Additional Videos-WUO_TRK'!A89),_xlfn.TEXTAFTER('Additional Videos-WUO_ERR'!A89, ":"))))</f>
        <v>0</v>
      </c>
    </row>
    <row r="90" spans="1:1">
      <c r="A90" s="39">
        <f>IF('Additional Videos'!B90 = "", "", IF('Additional Videos-WUO_ERR'!A90 = "", "Validated", HYPERLINK("#" &amp; ADDRESS(90, 'Additional Videos-WUO_TRK'!A90),_xlfn.TEXTAFTER('Additional Videos-WUO_ERR'!A90, ":"))))</f>
        <v>0</v>
      </c>
    </row>
    <row r="91" spans="1:1">
      <c r="A91" s="39">
        <f>IF('Additional Videos'!B91 = "", "", IF('Additional Videos-WUO_ERR'!A91 = "", "Validated", HYPERLINK("#" &amp; ADDRESS(91, 'Additional Videos-WUO_TRK'!A91),_xlfn.TEXTAFTER('Additional Videos-WUO_ERR'!A91, ":"))))</f>
        <v>0</v>
      </c>
    </row>
    <row r="92" spans="1:1">
      <c r="A92" s="39">
        <f>IF('Additional Videos'!B92 = "", "", IF('Additional Videos-WUO_ERR'!A92 = "", "Validated", HYPERLINK("#" &amp; ADDRESS(92, 'Additional Videos-WUO_TRK'!A92),_xlfn.TEXTAFTER('Additional Videos-WUO_ERR'!A92, ":"))))</f>
        <v>0</v>
      </c>
    </row>
    <row r="93" spans="1:1">
      <c r="A93" s="39">
        <f>IF('Additional Videos'!B93 = "", "", IF('Additional Videos-WUO_ERR'!A93 = "", "Validated", HYPERLINK("#" &amp; ADDRESS(93, 'Additional Videos-WUO_TRK'!A93),_xlfn.TEXTAFTER('Additional Videos-WUO_ERR'!A93, ":"))))</f>
        <v>0</v>
      </c>
    </row>
    <row r="94" spans="1:1">
      <c r="A94" s="39">
        <f>IF('Additional Videos'!B94 = "", "", IF('Additional Videos-WUO_ERR'!A94 = "", "Validated", HYPERLINK("#" &amp; ADDRESS(94, 'Additional Videos-WUO_TRK'!A94),_xlfn.TEXTAFTER('Additional Videos-WUO_ERR'!A94, ":"))))</f>
        <v>0</v>
      </c>
    </row>
    <row r="95" spans="1:1">
      <c r="A95" s="39">
        <f>IF('Additional Videos'!B95 = "", "", IF('Additional Videos-WUO_ERR'!A95 = "", "Validated", HYPERLINK("#" &amp; ADDRESS(95, 'Additional Videos-WUO_TRK'!A95),_xlfn.TEXTAFTER('Additional Videos-WUO_ERR'!A95, ":"))))</f>
        <v>0</v>
      </c>
    </row>
    <row r="96" spans="1:1">
      <c r="A96" s="39">
        <f>IF('Additional Videos'!B96 = "", "", IF('Additional Videos-WUO_ERR'!A96 = "", "Validated", HYPERLINK("#" &amp; ADDRESS(96, 'Additional Videos-WUO_TRK'!A96),_xlfn.TEXTAFTER('Additional Videos-WUO_ERR'!A96, ":"))))</f>
        <v>0</v>
      </c>
    </row>
    <row r="97" spans="1:1">
      <c r="A97" s="39">
        <f>IF('Additional Videos'!B97 = "", "", IF('Additional Videos-WUO_ERR'!A97 = "", "Validated", HYPERLINK("#" &amp; ADDRESS(97, 'Additional Videos-WUO_TRK'!A97),_xlfn.TEXTAFTER('Additional Videos-WUO_ERR'!A97, ":"))))</f>
        <v>0</v>
      </c>
    </row>
    <row r="98" spans="1:1">
      <c r="A98" s="39">
        <f>IF('Additional Videos'!B98 = "", "", IF('Additional Videos-WUO_ERR'!A98 = "", "Validated", HYPERLINK("#" &amp; ADDRESS(98, 'Additional Videos-WUO_TRK'!A98),_xlfn.TEXTAFTER('Additional Videos-WUO_ERR'!A98, ":"))))</f>
        <v>0</v>
      </c>
    </row>
    <row r="99" spans="1:1">
      <c r="A99" s="39">
        <f>IF('Additional Videos'!B99 = "", "", IF('Additional Videos-WUO_ERR'!A99 = "", "Validated", HYPERLINK("#" &amp; ADDRESS(99, 'Additional Videos-WUO_TRK'!A99),_xlfn.TEXTAFTER('Additional Videos-WUO_ERR'!A99, ":"))))</f>
        <v>0</v>
      </c>
    </row>
    <row r="100" spans="1:1">
      <c r="A100" s="39">
        <f>IF('Additional Videos'!B100 = "", "", IF('Additional Videos-WUO_ERR'!A100 = "", "Validated", HYPERLINK("#" &amp; ADDRESS(100, 'Additional Videos-WUO_TRK'!A100),_xlfn.TEXTAFTER('Additional Videos-WUO_ERR'!A100, ":"))))</f>
        <v>0</v>
      </c>
    </row>
    <row r="101" spans="1:1">
      <c r="A101" s="39">
        <f>IF('Additional Videos'!B101 = "", "", IF('Additional Videos-WUO_ERR'!A101 = "", "Validated", HYPERLINK("#" &amp; ADDRESS(101, 'Additional Videos-WUO_TRK'!A101),_xlfn.TEXTAFTER('Additional Videos-WUO_ERR'!A101, ":"))))</f>
        <v>0</v>
      </c>
    </row>
    <row r="102" spans="1:1">
      <c r="A102" s="39">
        <f>IF('Additional Videos'!B102 = "", "", IF('Additional Videos-WUO_ERR'!A102 = "", "Validated", HYPERLINK("#" &amp; ADDRESS(102, 'Additional Videos-WUO_TRK'!A102),_xlfn.TEXTAFTER('Additional Videos-WUO_ERR'!A102, ":"))))</f>
        <v>0</v>
      </c>
    </row>
    <row r="103" spans="1:1">
      <c r="A103" s="39">
        <f>IF('Additional Videos'!B103 = "", "", IF('Additional Videos-WUO_ERR'!A103 = "", "Validated", HYPERLINK("#" &amp; ADDRESS(103, 'Additional Videos-WUO_TRK'!A103),_xlfn.TEXTAFTER('Additional Videos-WUO_ERR'!A103, ":"))))</f>
        <v>0</v>
      </c>
    </row>
    <row r="104" spans="1:1">
      <c r="A104" s="39">
        <f>IF('Additional Videos'!B104 = "", "", IF('Additional Videos-WUO_ERR'!A104 = "", "Validated", HYPERLINK("#" &amp; ADDRESS(104, 'Additional Videos-WUO_TRK'!A104),_xlfn.TEXTAFTER('Additional Videos-WUO_ERR'!A104, ":"))))</f>
        <v>0</v>
      </c>
    </row>
    <row r="105" spans="1:1">
      <c r="A105" s="39">
        <f>IF('Additional Videos'!B105 = "", "", IF('Additional Videos-WUO_ERR'!A105 = "", "Validated", HYPERLINK("#" &amp; ADDRESS(105, 'Additional Videos-WUO_TRK'!A105),_xlfn.TEXTAFTER('Additional Videos-WUO_ERR'!A105, ":"))))</f>
        <v>0</v>
      </c>
    </row>
    <row r="106" spans="1:1">
      <c r="A106" s="39">
        <f>IF('Additional Videos'!B106 = "", "", IF('Additional Videos-WUO_ERR'!A106 = "", "Validated", HYPERLINK("#" &amp; ADDRESS(106, 'Additional Videos-WUO_TRK'!A106),_xlfn.TEXTAFTER('Additional Videos-WUO_ERR'!A106, ":"))))</f>
        <v>0</v>
      </c>
    </row>
    <row r="107" spans="1:1">
      <c r="A107" s="39">
        <f>IF('Additional Videos'!B107 = "", "", IF('Additional Videos-WUO_ERR'!A107 = "", "Validated", HYPERLINK("#" &amp; ADDRESS(107, 'Additional Videos-WUO_TRK'!A107),_xlfn.TEXTAFTER('Additional Videos-WUO_ERR'!A107, ":"))))</f>
        <v>0</v>
      </c>
    </row>
    <row r="108" spans="1:1">
      <c r="A108" s="39">
        <f>IF('Additional Videos'!B108 = "", "", IF('Additional Videos-WUO_ERR'!A108 = "", "Validated", HYPERLINK("#" &amp; ADDRESS(108, 'Additional Videos-WUO_TRK'!A108),_xlfn.TEXTAFTER('Additional Videos-WUO_ERR'!A108, ":"))))</f>
        <v>0</v>
      </c>
    </row>
    <row r="109" spans="1:1">
      <c r="A109" s="39">
        <f>IF('Additional Videos'!B109 = "", "", IF('Additional Videos-WUO_ERR'!A109 = "", "Validated", HYPERLINK("#" &amp; ADDRESS(109, 'Additional Videos-WUO_TRK'!A109),_xlfn.TEXTAFTER('Additional Videos-WUO_ERR'!A109, ":"))))</f>
        <v>0</v>
      </c>
    </row>
    <row r="110" spans="1:1">
      <c r="A110" s="39">
        <f>IF('Additional Videos'!B110 = "", "", IF('Additional Videos-WUO_ERR'!A110 = "", "Validated", HYPERLINK("#" &amp; ADDRESS(110, 'Additional Videos-WUO_TRK'!A110),_xlfn.TEXTAFTER('Additional Videos-WUO_ERR'!A110, ":"))))</f>
        <v>0</v>
      </c>
    </row>
    <row r="111" spans="1:1">
      <c r="A111" s="39">
        <f>IF('Additional Videos'!B111 = "", "", IF('Additional Videos-WUO_ERR'!A111 = "", "Validated", HYPERLINK("#" &amp; ADDRESS(111, 'Additional Videos-WUO_TRK'!A111),_xlfn.TEXTAFTER('Additional Videos-WUO_ERR'!A111, ":"))))</f>
        <v>0</v>
      </c>
    </row>
    <row r="112" spans="1:1">
      <c r="A112" s="39">
        <f>IF('Additional Videos'!B112 = "", "", IF('Additional Videos-WUO_ERR'!A112 = "", "Validated", HYPERLINK("#" &amp; ADDRESS(112, 'Additional Videos-WUO_TRK'!A112),_xlfn.TEXTAFTER('Additional Videos-WUO_ERR'!A112, ":"))))</f>
        <v>0</v>
      </c>
    </row>
    <row r="113" spans="1:1">
      <c r="A113" s="39">
        <f>IF('Additional Videos'!B113 = "", "", IF('Additional Videos-WUO_ERR'!A113 = "", "Validated", HYPERLINK("#" &amp; ADDRESS(113, 'Additional Videos-WUO_TRK'!A113),_xlfn.TEXTAFTER('Additional Videos-WUO_ERR'!A113, ":"))))</f>
        <v>0</v>
      </c>
    </row>
    <row r="114" spans="1:1">
      <c r="A114" s="39">
        <f>IF('Additional Videos'!B114 = "", "", IF('Additional Videos-WUO_ERR'!A114 = "", "Validated", HYPERLINK("#" &amp; ADDRESS(114, 'Additional Videos-WUO_TRK'!A114),_xlfn.TEXTAFTER('Additional Videos-WUO_ERR'!A114, ":"))))</f>
        <v>0</v>
      </c>
    </row>
    <row r="115" spans="1:1">
      <c r="A115" s="39">
        <f>IF('Additional Videos'!B115 = "", "", IF('Additional Videos-WUO_ERR'!A115 = "", "Validated", HYPERLINK("#" &amp; ADDRESS(115, 'Additional Videos-WUO_TRK'!A115),_xlfn.TEXTAFTER('Additional Videos-WUO_ERR'!A115, ":"))))</f>
        <v>0</v>
      </c>
    </row>
    <row r="116" spans="1:1">
      <c r="A116" s="39">
        <f>IF('Additional Videos'!B116 = "", "", IF('Additional Videos-WUO_ERR'!A116 = "", "Validated", HYPERLINK("#" &amp; ADDRESS(116, 'Additional Videos-WUO_TRK'!A116),_xlfn.TEXTAFTER('Additional Videos-WUO_ERR'!A116, ":"))))</f>
        <v>0</v>
      </c>
    </row>
    <row r="117" spans="1:1">
      <c r="A117" s="39">
        <f>IF('Additional Videos'!B117 = "", "", IF('Additional Videos-WUO_ERR'!A117 = "", "Validated", HYPERLINK("#" &amp; ADDRESS(117, 'Additional Videos-WUO_TRK'!A117),_xlfn.TEXTAFTER('Additional Videos-WUO_ERR'!A117, ":"))))</f>
        <v>0</v>
      </c>
    </row>
    <row r="118" spans="1:1">
      <c r="A118" s="39">
        <f>IF('Additional Videos'!B118 = "", "", IF('Additional Videos-WUO_ERR'!A118 = "", "Validated", HYPERLINK("#" &amp; ADDRESS(118, 'Additional Videos-WUO_TRK'!A118),_xlfn.TEXTAFTER('Additional Videos-WUO_ERR'!A118, ":"))))</f>
        <v>0</v>
      </c>
    </row>
    <row r="119" spans="1:1">
      <c r="A119" s="39">
        <f>IF('Additional Videos'!B119 = "", "", IF('Additional Videos-WUO_ERR'!A119 = "", "Validated", HYPERLINK("#" &amp; ADDRESS(119, 'Additional Videos-WUO_TRK'!A119),_xlfn.TEXTAFTER('Additional Videos-WUO_ERR'!A119, ":"))))</f>
        <v>0</v>
      </c>
    </row>
    <row r="120" spans="1:1">
      <c r="A120" s="39">
        <f>IF('Additional Videos'!B120 = "", "", IF('Additional Videos-WUO_ERR'!A120 = "", "Validated", HYPERLINK("#" &amp; ADDRESS(120, 'Additional Videos-WUO_TRK'!A120),_xlfn.TEXTAFTER('Additional Videos-WUO_ERR'!A120, ":"))))</f>
        <v>0</v>
      </c>
    </row>
    <row r="121" spans="1:1">
      <c r="A121" s="39">
        <f>IF('Additional Videos'!B121 = "", "", IF('Additional Videos-WUO_ERR'!A121 = "", "Validated", HYPERLINK("#" &amp; ADDRESS(121, 'Additional Videos-WUO_TRK'!A121),_xlfn.TEXTAFTER('Additional Videos-WUO_ERR'!A121, ":"))))</f>
        <v>0</v>
      </c>
    </row>
    <row r="122" spans="1:1">
      <c r="A122" s="39">
        <f>IF('Additional Videos'!B122 = "", "", IF('Additional Videos-WUO_ERR'!A122 = "", "Validated", HYPERLINK("#" &amp; ADDRESS(122, 'Additional Videos-WUO_TRK'!A122),_xlfn.TEXTAFTER('Additional Videos-WUO_ERR'!A122, ":"))))</f>
        <v>0</v>
      </c>
    </row>
    <row r="123" spans="1:1">
      <c r="A123" s="39">
        <f>IF('Additional Videos'!B123 = "", "", IF('Additional Videos-WUO_ERR'!A123 = "", "Validated", HYPERLINK("#" &amp; ADDRESS(123, 'Additional Videos-WUO_TRK'!A123),_xlfn.TEXTAFTER('Additional Videos-WUO_ERR'!A123, ":"))))</f>
        <v>0</v>
      </c>
    </row>
    <row r="124" spans="1:1">
      <c r="A124" s="39">
        <f>IF('Additional Videos'!B124 = "", "", IF('Additional Videos-WUO_ERR'!A124 = "", "Validated", HYPERLINK("#" &amp; ADDRESS(124, 'Additional Videos-WUO_TRK'!A124),_xlfn.TEXTAFTER('Additional Videos-WUO_ERR'!A124, ":"))))</f>
        <v>0</v>
      </c>
    </row>
    <row r="125" spans="1:1">
      <c r="A125" s="39">
        <f>IF('Additional Videos'!B125 = "", "", IF('Additional Videos-WUO_ERR'!A125 = "", "Validated", HYPERLINK("#" &amp; ADDRESS(125, 'Additional Videos-WUO_TRK'!A125),_xlfn.TEXTAFTER('Additional Videos-WUO_ERR'!A125, ":"))))</f>
        <v>0</v>
      </c>
    </row>
    <row r="126" spans="1:1">
      <c r="A126" s="39">
        <f>IF('Additional Videos'!B126 = "", "", IF('Additional Videos-WUO_ERR'!A126 = "", "Validated", HYPERLINK("#" &amp; ADDRESS(126, 'Additional Videos-WUO_TRK'!A126),_xlfn.TEXTAFTER('Additional Videos-WUO_ERR'!A126, ":"))))</f>
        <v>0</v>
      </c>
    </row>
    <row r="127" spans="1:1">
      <c r="A127" s="39">
        <f>IF('Additional Videos'!B127 = "", "", IF('Additional Videos-WUO_ERR'!A127 = "", "Validated", HYPERLINK("#" &amp; ADDRESS(127, 'Additional Videos-WUO_TRK'!A127),_xlfn.TEXTAFTER('Additional Videos-WUO_ERR'!A127, ":"))))</f>
        <v>0</v>
      </c>
    </row>
    <row r="128" spans="1:1">
      <c r="A128" s="39">
        <f>IF('Additional Videos'!B128 = "", "", IF('Additional Videos-WUO_ERR'!A128 = "", "Validated", HYPERLINK("#" &amp; ADDRESS(128, 'Additional Videos-WUO_TRK'!A128),_xlfn.TEXTAFTER('Additional Videos-WUO_ERR'!A128, ":"))))</f>
        <v>0</v>
      </c>
    </row>
    <row r="129" spans="1:1">
      <c r="A129" s="39">
        <f>IF('Additional Videos'!B129 = "", "", IF('Additional Videos-WUO_ERR'!A129 = "", "Validated", HYPERLINK("#" &amp; ADDRESS(129, 'Additional Videos-WUO_TRK'!A129),_xlfn.TEXTAFTER('Additional Videos-WUO_ERR'!A129, ":"))))</f>
        <v>0</v>
      </c>
    </row>
    <row r="130" spans="1:1">
      <c r="A130" s="39">
        <f>IF('Additional Videos'!B130 = "", "", IF('Additional Videos-WUO_ERR'!A130 = "", "Validated", HYPERLINK("#" &amp; ADDRESS(130, 'Additional Videos-WUO_TRK'!A130),_xlfn.TEXTAFTER('Additional Videos-WUO_ERR'!A130, ":"))))</f>
        <v>0</v>
      </c>
    </row>
    <row r="131" spans="1:1">
      <c r="A131" s="39">
        <f>IF('Additional Videos'!B131 = "", "", IF('Additional Videos-WUO_ERR'!A131 = "", "Validated", HYPERLINK("#" &amp; ADDRESS(131, 'Additional Videos-WUO_TRK'!A131),_xlfn.TEXTAFTER('Additional Videos-WUO_ERR'!A131, ":"))))</f>
        <v>0</v>
      </c>
    </row>
    <row r="132" spans="1:1">
      <c r="A132" s="39">
        <f>IF('Additional Videos'!B132 = "", "", IF('Additional Videos-WUO_ERR'!A132 = "", "Validated", HYPERLINK("#" &amp; ADDRESS(132, 'Additional Videos-WUO_TRK'!A132),_xlfn.TEXTAFTER('Additional Videos-WUO_ERR'!A132, ":"))))</f>
        <v>0</v>
      </c>
    </row>
    <row r="133" spans="1:1">
      <c r="A133" s="39">
        <f>IF('Additional Videos'!B133 = "", "", IF('Additional Videos-WUO_ERR'!A133 = "", "Validated", HYPERLINK("#" &amp; ADDRESS(133, 'Additional Videos-WUO_TRK'!A133),_xlfn.TEXTAFTER('Additional Videos-WUO_ERR'!A133, ":"))))</f>
        <v>0</v>
      </c>
    </row>
    <row r="134" spans="1:1">
      <c r="A134" s="39">
        <f>IF('Additional Videos'!B134 = "", "", IF('Additional Videos-WUO_ERR'!A134 = "", "Validated", HYPERLINK("#" &amp; ADDRESS(134, 'Additional Videos-WUO_TRK'!A134),_xlfn.TEXTAFTER('Additional Videos-WUO_ERR'!A134, ":"))))</f>
        <v>0</v>
      </c>
    </row>
    <row r="135" spans="1:1">
      <c r="A135" s="39">
        <f>IF('Additional Videos'!B135 = "", "", IF('Additional Videos-WUO_ERR'!A135 = "", "Validated", HYPERLINK("#" &amp; ADDRESS(135, 'Additional Videos-WUO_TRK'!A135),_xlfn.TEXTAFTER('Additional Videos-WUO_ERR'!A135, ":"))))</f>
        <v>0</v>
      </c>
    </row>
    <row r="136" spans="1:1">
      <c r="A136" s="39">
        <f>IF('Additional Videos'!B136 = "", "", IF('Additional Videos-WUO_ERR'!A136 = "", "Validated", HYPERLINK("#" &amp; ADDRESS(136, 'Additional Videos-WUO_TRK'!A136),_xlfn.TEXTAFTER('Additional Videos-WUO_ERR'!A136, ":"))))</f>
        <v>0</v>
      </c>
    </row>
    <row r="137" spans="1:1">
      <c r="A137" s="39">
        <f>IF('Additional Videos'!B137 = "", "", IF('Additional Videos-WUO_ERR'!A137 = "", "Validated", HYPERLINK("#" &amp; ADDRESS(137, 'Additional Videos-WUO_TRK'!A137),_xlfn.TEXTAFTER('Additional Videos-WUO_ERR'!A137, ":"))))</f>
        <v>0</v>
      </c>
    </row>
    <row r="138" spans="1:1">
      <c r="A138" s="39">
        <f>IF('Additional Videos'!B138 = "", "", IF('Additional Videos-WUO_ERR'!A138 = "", "Validated", HYPERLINK("#" &amp; ADDRESS(138, 'Additional Videos-WUO_TRK'!A138),_xlfn.TEXTAFTER('Additional Videos-WUO_ERR'!A138, ":"))))</f>
        <v>0</v>
      </c>
    </row>
    <row r="139" spans="1:1">
      <c r="A139" s="39">
        <f>IF('Additional Videos'!B139 = "", "", IF('Additional Videos-WUO_ERR'!A139 = "", "Validated", HYPERLINK("#" &amp; ADDRESS(139, 'Additional Videos-WUO_TRK'!A139),_xlfn.TEXTAFTER('Additional Videos-WUO_ERR'!A139, ":"))))</f>
        <v>0</v>
      </c>
    </row>
    <row r="140" spans="1:1">
      <c r="A140" s="39">
        <f>IF('Additional Videos'!B140 = "", "", IF('Additional Videos-WUO_ERR'!A140 = "", "Validated", HYPERLINK("#" &amp; ADDRESS(140, 'Additional Videos-WUO_TRK'!A140),_xlfn.TEXTAFTER('Additional Videos-WUO_ERR'!A140, ":"))))</f>
        <v>0</v>
      </c>
    </row>
    <row r="141" spans="1:1">
      <c r="A141" s="39">
        <f>IF('Additional Videos'!B141 = "", "", IF('Additional Videos-WUO_ERR'!A141 = "", "Validated", HYPERLINK("#" &amp; ADDRESS(141, 'Additional Videos-WUO_TRK'!A141),_xlfn.TEXTAFTER('Additional Videos-WUO_ERR'!A141, ":"))))</f>
        <v>0</v>
      </c>
    </row>
    <row r="142" spans="1:1">
      <c r="A142" s="39">
        <f>IF('Additional Videos'!B142 = "", "", IF('Additional Videos-WUO_ERR'!A142 = "", "Validated", HYPERLINK("#" &amp; ADDRESS(142, 'Additional Videos-WUO_TRK'!A142),_xlfn.TEXTAFTER('Additional Videos-WUO_ERR'!A142, ":"))))</f>
        <v>0</v>
      </c>
    </row>
    <row r="143" spans="1:1">
      <c r="A143" s="39">
        <f>IF('Additional Videos'!B143 = "", "", IF('Additional Videos-WUO_ERR'!A143 = "", "Validated", HYPERLINK("#" &amp; ADDRESS(143, 'Additional Videos-WUO_TRK'!A143),_xlfn.TEXTAFTER('Additional Videos-WUO_ERR'!A143, ":"))))</f>
        <v>0</v>
      </c>
    </row>
    <row r="144" spans="1:1">
      <c r="A144" s="39">
        <f>IF('Additional Videos'!B144 = "", "", IF('Additional Videos-WUO_ERR'!A144 = "", "Validated", HYPERLINK("#" &amp; ADDRESS(144, 'Additional Videos-WUO_TRK'!A144),_xlfn.TEXTAFTER('Additional Videos-WUO_ERR'!A144, ":"))))</f>
        <v>0</v>
      </c>
    </row>
    <row r="145" spans="1:1">
      <c r="A145" s="39">
        <f>IF('Additional Videos'!B145 = "", "", IF('Additional Videos-WUO_ERR'!A145 = "", "Validated", HYPERLINK("#" &amp; ADDRESS(145, 'Additional Videos-WUO_TRK'!A145),_xlfn.TEXTAFTER('Additional Videos-WUO_ERR'!A145, ":"))))</f>
        <v>0</v>
      </c>
    </row>
    <row r="146" spans="1:1">
      <c r="A146" s="39">
        <f>IF('Additional Videos'!B146 = "", "", IF('Additional Videos-WUO_ERR'!A146 = "", "Validated", HYPERLINK("#" &amp; ADDRESS(146, 'Additional Videos-WUO_TRK'!A146),_xlfn.TEXTAFTER('Additional Videos-WUO_ERR'!A146, ":"))))</f>
        <v>0</v>
      </c>
    </row>
    <row r="147" spans="1:1">
      <c r="A147" s="39">
        <f>IF('Additional Videos'!B147 = "", "", IF('Additional Videos-WUO_ERR'!A147 = "", "Validated", HYPERLINK("#" &amp; ADDRESS(147, 'Additional Videos-WUO_TRK'!A147),_xlfn.TEXTAFTER('Additional Videos-WUO_ERR'!A147, ":"))))</f>
        <v>0</v>
      </c>
    </row>
    <row r="148" spans="1:1">
      <c r="A148" s="39">
        <f>IF('Additional Videos'!B148 = "", "", IF('Additional Videos-WUO_ERR'!A148 = "", "Validated", HYPERLINK("#" &amp; ADDRESS(148, 'Additional Videos-WUO_TRK'!A148),_xlfn.TEXTAFTER('Additional Videos-WUO_ERR'!A148, ":"))))</f>
        <v>0</v>
      </c>
    </row>
    <row r="149" spans="1:1">
      <c r="A149" s="39">
        <f>IF('Additional Videos'!B149 = "", "", IF('Additional Videos-WUO_ERR'!A149 = "", "Validated", HYPERLINK("#" &amp; ADDRESS(149, 'Additional Videos-WUO_TRK'!A149),_xlfn.TEXTAFTER('Additional Videos-WUO_ERR'!A149, ":"))))</f>
        <v>0</v>
      </c>
    </row>
    <row r="150" spans="1:1">
      <c r="A150" s="39">
        <f>IF('Additional Videos'!B150 = "", "", IF('Additional Videos-WUO_ERR'!A150 = "", "Validated", HYPERLINK("#" &amp; ADDRESS(150, 'Additional Videos-WUO_TRK'!A150),_xlfn.TEXTAFTER('Additional Videos-WUO_ERR'!A150, ":"))))</f>
        <v>0</v>
      </c>
    </row>
    <row r="151" spans="1:1">
      <c r="A151" s="39">
        <f>IF('Additional Videos'!B151 = "", "", IF('Additional Videos-WUO_ERR'!A151 = "", "Validated", HYPERLINK("#" &amp; ADDRESS(151, 'Additional Videos-WUO_TRK'!A151),_xlfn.TEXTAFTER('Additional Videos-WUO_ERR'!A151, ":"))))</f>
        <v>0</v>
      </c>
    </row>
    <row r="152" spans="1:1">
      <c r="A152" s="39">
        <f>IF('Additional Videos'!B152 = "", "", IF('Additional Videos-WUO_ERR'!A152 = "", "Validated", HYPERLINK("#" &amp; ADDRESS(152, 'Additional Videos-WUO_TRK'!A152),_xlfn.TEXTAFTER('Additional Videos-WUO_ERR'!A152, ":"))))</f>
        <v>0</v>
      </c>
    </row>
    <row r="153" spans="1:1">
      <c r="A153" s="39">
        <f>IF('Additional Videos'!B153 = "", "", IF('Additional Videos-WUO_ERR'!A153 = "", "Validated", HYPERLINK("#" &amp; ADDRESS(153, 'Additional Videos-WUO_TRK'!A153),_xlfn.TEXTAFTER('Additional Videos-WUO_ERR'!A153, ":"))))</f>
        <v>0</v>
      </c>
    </row>
    <row r="154" spans="1:1">
      <c r="A154" s="39">
        <f>IF('Additional Videos'!B154 = "", "", IF('Additional Videos-WUO_ERR'!A154 = "", "Validated", HYPERLINK("#" &amp; ADDRESS(154, 'Additional Videos-WUO_TRK'!A154),_xlfn.TEXTAFTER('Additional Videos-WUO_ERR'!A154, ":"))))</f>
        <v>0</v>
      </c>
    </row>
    <row r="155" spans="1:1">
      <c r="A155" s="39">
        <f>IF('Additional Videos'!B155 = "", "", IF('Additional Videos-WUO_ERR'!A155 = "", "Validated", HYPERLINK("#" &amp; ADDRESS(155, 'Additional Videos-WUO_TRK'!A155),_xlfn.TEXTAFTER('Additional Videos-WUO_ERR'!A155, ":"))))</f>
        <v>0</v>
      </c>
    </row>
    <row r="156" spans="1:1">
      <c r="A156" s="39">
        <f>IF('Additional Videos'!B156 = "", "", IF('Additional Videos-WUO_ERR'!A156 = "", "Validated", HYPERLINK("#" &amp; ADDRESS(156, 'Additional Videos-WUO_TRK'!A156),_xlfn.TEXTAFTER('Additional Videos-WUO_ERR'!A156, ":"))))</f>
        <v>0</v>
      </c>
    </row>
    <row r="157" spans="1:1">
      <c r="A157" s="39">
        <f>IF('Additional Videos'!B157 = "", "", IF('Additional Videos-WUO_ERR'!A157 = "", "Validated", HYPERLINK("#" &amp; ADDRESS(157, 'Additional Videos-WUO_TRK'!A157),_xlfn.TEXTAFTER('Additional Videos-WUO_ERR'!A157, ":"))))</f>
        <v>0</v>
      </c>
    </row>
    <row r="158" spans="1:1">
      <c r="A158" s="39">
        <f>IF('Additional Videos'!B158 = "", "", IF('Additional Videos-WUO_ERR'!A158 = "", "Validated", HYPERLINK("#" &amp; ADDRESS(158, 'Additional Videos-WUO_TRK'!A158),_xlfn.TEXTAFTER('Additional Videos-WUO_ERR'!A158, ":"))))</f>
        <v>0</v>
      </c>
    </row>
    <row r="159" spans="1:1">
      <c r="A159" s="39">
        <f>IF('Additional Videos'!B159 = "", "", IF('Additional Videos-WUO_ERR'!A159 = "", "Validated", HYPERLINK("#" &amp; ADDRESS(159, 'Additional Videos-WUO_TRK'!A159),_xlfn.TEXTAFTER('Additional Videos-WUO_ERR'!A159, ":"))))</f>
        <v>0</v>
      </c>
    </row>
    <row r="160" spans="1:1">
      <c r="A160" s="39">
        <f>IF('Additional Videos'!B160 = "", "", IF('Additional Videos-WUO_ERR'!A160 = "", "Validated", HYPERLINK("#" &amp; ADDRESS(160, 'Additional Videos-WUO_TRK'!A160),_xlfn.TEXTAFTER('Additional Videos-WUO_ERR'!A160, ":"))))</f>
        <v>0</v>
      </c>
    </row>
    <row r="161" spans="1:1">
      <c r="A161" s="39">
        <f>IF('Additional Videos'!B161 = "", "", IF('Additional Videos-WUO_ERR'!A161 = "", "Validated", HYPERLINK("#" &amp; ADDRESS(161, 'Additional Videos-WUO_TRK'!A161),_xlfn.TEXTAFTER('Additional Videos-WUO_ERR'!A161, ":"))))</f>
        <v>0</v>
      </c>
    </row>
    <row r="162" spans="1:1">
      <c r="A162" s="39">
        <f>IF('Additional Videos'!B162 = "", "", IF('Additional Videos-WUO_ERR'!A162 = "", "Validated", HYPERLINK("#" &amp; ADDRESS(162, 'Additional Videos-WUO_TRK'!A162),_xlfn.TEXTAFTER('Additional Videos-WUO_ERR'!A162, ":"))))</f>
        <v>0</v>
      </c>
    </row>
    <row r="163" spans="1:1">
      <c r="A163" s="39">
        <f>IF('Additional Videos'!B163 = "", "", IF('Additional Videos-WUO_ERR'!A163 = "", "Validated", HYPERLINK("#" &amp; ADDRESS(163, 'Additional Videos-WUO_TRK'!A163),_xlfn.TEXTAFTER('Additional Videos-WUO_ERR'!A163, ":"))))</f>
        <v>0</v>
      </c>
    </row>
    <row r="164" spans="1:1">
      <c r="A164" s="39">
        <f>IF('Additional Videos'!B164 = "", "", IF('Additional Videos-WUO_ERR'!A164 = "", "Validated", HYPERLINK("#" &amp; ADDRESS(164, 'Additional Videos-WUO_TRK'!A164),_xlfn.TEXTAFTER('Additional Videos-WUO_ERR'!A164, ":"))))</f>
        <v>0</v>
      </c>
    </row>
    <row r="165" spans="1:1">
      <c r="A165" s="39">
        <f>IF('Additional Videos'!B165 = "", "", IF('Additional Videos-WUO_ERR'!A165 = "", "Validated", HYPERLINK("#" &amp; ADDRESS(165, 'Additional Videos-WUO_TRK'!A165),_xlfn.TEXTAFTER('Additional Videos-WUO_ERR'!A165, ":"))))</f>
        <v>0</v>
      </c>
    </row>
    <row r="166" spans="1:1">
      <c r="A166" s="39">
        <f>IF('Additional Videos'!B166 = "", "", IF('Additional Videos-WUO_ERR'!A166 = "", "Validated", HYPERLINK("#" &amp; ADDRESS(166, 'Additional Videos-WUO_TRK'!A166),_xlfn.TEXTAFTER('Additional Videos-WUO_ERR'!A166, ":"))))</f>
        <v>0</v>
      </c>
    </row>
    <row r="167" spans="1:1">
      <c r="A167" s="39">
        <f>IF('Additional Videos'!B167 = "", "", IF('Additional Videos-WUO_ERR'!A167 = "", "Validated", HYPERLINK("#" &amp; ADDRESS(167, 'Additional Videos-WUO_TRK'!A167),_xlfn.TEXTAFTER('Additional Videos-WUO_ERR'!A167, ":"))))</f>
        <v>0</v>
      </c>
    </row>
    <row r="168" spans="1:1">
      <c r="A168" s="39">
        <f>IF('Additional Videos'!B168 = "", "", IF('Additional Videos-WUO_ERR'!A168 = "", "Validated", HYPERLINK("#" &amp; ADDRESS(168, 'Additional Videos-WUO_TRK'!A168),_xlfn.TEXTAFTER('Additional Videos-WUO_ERR'!A168, ":"))))</f>
        <v>0</v>
      </c>
    </row>
    <row r="169" spans="1:1">
      <c r="A169" s="39">
        <f>IF('Additional Videos'!B169 = "", "", IF('Additional Videos-WUO_ERR'!A169 = "", "Validated", HYPERLINK("#" &amp; ADDRESS(169, 'Additional Videos-WUO_TRK'!A169),_xlfn.TEXTAFTER('Additional Videos-WUO_ERR'!A169, ":"))))</f>
        <v>0</v>
      </c>
    </row>
    <row r="170" spans="1:1">
      <c r="A170" s="39">
        <f>IF('Additional Videos'!B170 = "", "", IF('Additional Videos-WUO_ERR'!A170 = "", "Validated", HYPERLINK("#" &amp; ADDRESS(170, 'Additional Videos-WUO_TRK'!A170),_xlfn.TEXTAFTER('Additional Videos-WUO_ERR'!A170, ":"))))</f>
        <v>0</v>
      </c>
    </row>
    <row r="171" spans="1:1">
      <c r="A171" s="39">
        <f>IF('Additional Videos'!B171 = "", "", IF('Additional Videos-WUO_ERR'!A171 = "", "Validated", HYPERLINK("#" &amp; ADDRESS(171, 'Additional Videos-WUO_TRK'!A171),_xlfn.TEXTAFTER('Additional Videos-WUO_ERR'!A171, ":"))))</f>
        <v>0</v>
      </c>
    </row>
    <row r="172" spans="1:1">
      <c r="A172" s="39">
        <f>IF('Additional Videos'!B172 = "", "", IF('Additional Videos-WUO_ERR'!A172 = "", "Validated", HYPERLINK("#" &amp; ADDRESS(172, 'Additional Videos-WUO_TRK'!A172),_xlfn.TEXTAFTER('Additional Videos-WUO_ERR'!A172, ":"))))</f>
        <v>0</v>
      </c>
    </row>
    <row r="173" spans="1:1">
      <c r="A173" s="39">
        <f>IF('Additional Videos'!B173 = "", "", IF('Additional Videos-WUO_ERR'!A173 = "", "Validated", HYPERLINK("#" &amp; ADDRESS(173, 'Additional Videos-WUO_TRK'!A173),_xlfn.TEXTAFTER('Additional Videos-WUO_ERR'!A173, ":"))))</f>
        <v>0</v>
      </c>
    </row>
    <row r="174" spans="1:1">
      <c r="A174" s="39">
        <f>IF('Additional Videos'!B174 = "", "", IF('Additional Videos-WUO_ERR'!A174 = "", "Validated", HYPERLINK("#" &amp; ADDRESS(174, 'Additional Videos-WUO_TRK'!A174),_xlfn.TEXTAFTER('Additional Videos-WUO_ERR'!A174, ":"))))</f>
        <v>0</v>
      </c>
    </row>
    <row r="175" spans="1:1">
      <c r="A175" s="39">
        <f>IF('Additional Videos'!B175 = "", "", IF('Additional Videos-WUO_ERR'!A175 = "", "Validated", HYPERLINK("#" &amp; ADDRESS(175, 'Additional Videos-WUO_TRK'!A175),_xlfn.TEXTAFTER('Additional Videos-WUO_ERR'!A175, ":"))))</f>
        <v>0</v>
      </c>
    </row>
    <row r="176" spans="1:1">
      <c r="A176" s="39">
        <f>IF('Additional Videos'!B176 = "", "", IF('Additional Videos-WUO_ERR'!A176 = "", "Validated", HYPERLINK("#" &amp; ADDRESS(176, 'Additional Videos-WUO_TRK'!A176),_xlfn.TEXTAFTER('Additional Videos-WUO_ERR'!A176, ":"))))</f>
        <v>0</v>
      </c>
    </row>
    <row r="177" spans="1:1">
      <c r="A177" s="39">
        <f>IF('Additional Videos'!B177 = "", "", IF('Additional Videos-WUO_ERR'!A177 = "", "Validated", HYPERLINK("#" &amp; ADDRESS(177, 'Additional Videos-WUO_TRK'!A177),_xlfn.TEXTAFTER('Additional Videos-WUO_ERR'!A177, ":"))))</f>
        <v>0</v>
      </c>
    </row>
    <row r="178" spans="1:1">
      <c r="A178" s="39">
        <f>IF('Additional Videos'!B178 = "", "", IF('Additional Videos-WUO_ERR'!A178 = "", "Validated", HYPERLINK("#" &amp; ADDRESS(178, 'Additional Videos-WUO_TRK'!A178),_xlfn.TEXTAFTER('Additional Videos-WUO_ERR'!A178, ":"))))</f>
        <v>0</v>
      </c>
    </row>
    <row r="179" spans="1:1">
      <c r="A179" s="39">
        <f>IF('Additional Videos'!B179 = "", "", IF('Additional Videos-WUO_ERR'!A179 = "", "Validated", HYPERLINK("#" &amp; ADDRESS(179, 'Additional Videos-WUO_TRK'!A179),_xlfn.TEXTAFTER('Additional Videos-WUO_ERR'!A179, ":"))))</f>
        <v>0</v>
      </c>
    </row>
    <row r="180" spans="1:1">
      <c r="A180" s="39">
        <f>IF('Additional Videos'!B180 = "", "", IF('Additional Videos-WUO_ERR'!A180 = "", "Validated", HYPERLINK("#" &amp; ADDRESS(180, 'Additional Videos-WUO_TRK'!A180),_xlfn.TEXTAFTER('Additional Videos-WUO_ERR'!A180, ":"))))</f>
        <v>0</v>
      </c>
    </row>
    <row r="181" spans="1:1">
      <c r="A181" s="39">
        <f>IF('Additional Videos'!B181 = "", "", IF('Additional Videos-WUO_ERR'!A181 = "", "Validated", HYPERLINK("#" &amp; ADDRESS(181, 'Additional Videos-WUO_TRK'!A181),_xlfn.TEXTAFTER('Additional Videos-WUO_ERR'!A181, ":"))))</f>
        <v>0</v>
      </c>
    </row>
    <row r="182" spans="1:1">
      <c r="A182" s="39">
        <f>IF('Additional Videos'!B182 = "", "", IF('Additional Videos-WUO_ERR'!A182 = "", "Validated", HYPERLINK("#" &amp; ADDRESS(182, 'Additional Videos-WUO_TRK'!A182),_xlfn.TEXTAFTER('Additional Videos-WUO_ERR'!A182, ":"))))</f>
        <v>0</v>
      </c>
    </row>
    <row r="183" spans="1:1">
      <c r="A183" s="39">
        <f>IF('Additional Videos'!B183 = "", "", IF('Additional Videos-WUO_ERR'!A183 = "", "Validated", HYPERLINK("#" &amp; ADDRESS(183, 'Additional Videos-WUO_TRK'!A183),_xlfn.TEXTAFTER('Additional Videos-WUO_ERR'!A183, ":"))))</f>
        <v>0</v>
      </c>
    </row>
    <row r="184" spans="1:1">
      <c r="A184" s="39">
        <f>IF('Additional Videos'!B184 = "", "", IF('Additional Videos-WUO_ERR'!A184 = "", "Validated", HYPERLINK("#" &amp; ADDRESS(184, 'Additional Videos-WUO_TRK'!A184),_xlfn.TEXTAFTER('Additional Videos-WUO_ERR'!A184, ":"))))</f>
        <v>0</v>
      </c>
    </row>
    <row r="185" spans="1:1">
      <c r="A185" s="39">
        <f>IF('Additional Videos'!B185 = "", "", IF('Additional Videos-WUO_ERR'!A185 = "", "Validated", HYPERLINK("#" &amp; ADDRESS(185, 'Additional Videos-WUO_TRK'!A185),_xlfn.TEXTAFTER('Additional Videos-WUO_ERR'!A185, ":"))))</f>
        <v>0</v>
      </c>
    </row>
    <row r="186" spans="1:1">
      <c r="A186" s="39">
        <f>IF('Additional Videos'!B186 = "", "", IF('Additional Videos-WUO_ERR'!A186 = "", "Validated", HYPERLINK("#" &amp; ADDRESS(186, 'Additional Videos-WUO_TRK'!A186),_xlfn.TEXTAFTER('Additional Videos-WUO_ERR'!A186, ":"))))</f>
        <v>0</v>
      </c>
    </row>
    <row r="187" spans="1:1">
      <c r="A187" s="39">
        <f>IF('Additional Videos'!B187 = "", "", IF('Additional Videos-WUO_ERR'!A187 = "", "Validated", HYPERLINK("#" &amp; ADDRESS(187, 'Additional Videos-WUO_TRK'!A187),_xlfn.TEXTAFTER('Additional Videos-WUO_ERR'!A187, ":"))))</f>
        <v>0</v>
      </c>
    </row>
    <row r="188" spans="1:1">
      <c r="A188" s="39">
        <f>IF('Additional Videos'!B188 = "", "", IF('Additional Videos-WUO_ERR'!A188 = "", "Validated", HYPERLINK("#" &amp; ADDRESS(188, 'Additional Videos-WUO_TRK'!A188),_xlfn.TEXTAFTER('Additional Videos-WUO_ERR'!A188, ":"))))</f>
        <v>0</v>
      </c>
    </row>
    <row r="189" spans="1:1">
      <c r="A189" s="39">
        <f>IF('Additional Videos'!B189 = "", "", IF('Additional Videos-WUO_ERR'!A189 = "", "Validated", HYPERLINK("#" &amp; ADDRESS(189, 'Additional Videos-WUO_TRK'!A189),_xlfn.TEXTAFTER('Additional Videos-WUO_ERR'!A189, ":"))))</f>
        <v>0</v>
      </c>
    </row>
    <row r="190" spans="1:1">
      <c r="A190" s="39">
        <f>IF('Additional Videos'!B190 = "", "", IF('Additional Videos-WUO_ERR'!A190 = "", "Validated", HYPERLINK("#" &amp; ADDRESS(190, 'Additional Videos-WUO_TRK'!A190),_xlfn.TEXTAFTER('Additional Videos-WUO_ERR'!A190, ":"))))</f>
        <v>0</v>
      </c>
    </row>
    <row r="191" spans="1:1">
      <c r="A191" s="39">
        <f>IF('Additional Videos'!B191 = "", "", IF('Additional Videos-WUO_ERR'!A191 = "", "Validated", HYPERLINK("#" &amp; ADDRESS(191, 'Additional Videos-WUO_TRK'!A191),_xlfn.TEXTAFTER('Additional Videos-WUO_ERR'!A191, ":"))))</f>
        <v>0</v>
      </c>
    </row>
    <row r="192" spans="1:1">
      <c r="A192" s="39">
        <f>IF('Additional Videos'!B192 = "", "", IF('Additional Videos-WUO_ERR'!A192 = "", "Validated", HYPERLINK("#" &amp; ADDRESS(192, 'Additional Videos-WUO_TRK'!A192),_xlfn.TEXTAFTER('Additional Videos-WUO_ERR'!A192, ":"))))</f>
        <v>0</v>
      </c>
    </row>
    <row r="193" spans="1:1">
      <c r="A193" s="39">
        <f>IF('Additional Videos'!B193 = "", "", IF('Additional Videos-WUO_ERR'!A193 = "", "Validated", HYPERLINK("#" &amp; ADDRESS(193, 'Additional Videos-WUO_TRK'!A193),_xlfn.TEXTAFTER('Additional Videos-WUO_ERR'!A193, ":"))))</f>
        <v>0</v>
      </c>
    </row>
    <row r="194" spans="1:1">
      <c r="A194" s="39">
        <f>IF('Additional Videos'!B194 = "", "", IF('Additional Videos-WUO_ERR'!A194 = "", "Validated", HYPERLINK("#" &amp; ADDRESS(194, 'Additional Videos-WUO_TRK'!A194),_xlfn.TEXTAFTER('Additional Videos-WUO_ERR'!A194, ":"))))</f>
        <v>0</v>
      </c>
    </row>
    <row r="195" spans="1:1">
      <c r="A195" s="39">
        <f>IF('Additional Videos'!B195 = "", "", IF('Additional Videos-WUO_ERR'!A195 = "", "Validated", HYPERLINK("#" &amp; ADDRESS(195, 'Additional Videos-WUO_TRK'!A195),_xlfn.TEXTAFTER('Additional Videos-WUO_ERR'!A195, ":"))))</f>
        <v>0</v>
      </c>
    </row>
    <row r="196" spans="1:1">
      <c r="A196" s="39">
        <f>IF('Additional Videos'!B196 = "", "", IF('Additional Videos-WUO_ERR'!A196 = "", "Validated", HYPERLINK("#" &amp; ADDRESS(196, 'Additional Videos-WUO_TRK'!A196),_xlfn.TEXTAFTER('Additional Videos-WUO_ERR'!A196, ":"))))</f>
        <v>0</v>
      </c>
    </row>
    <row r="197" spans="1:1">
      <c r="A197" s="39">
        <f>IF('Additional Videos'!B197 = "", "", IF('Additional Videos-WUO_ERR'!A197 = "", "Validated", HYPERLINK("#" &amp; ADDRESS(197, 'Additional Videos-WUO_TRK'!A197),_xlfn.TEXTAFTER('Additional Videos-WUO_ERR'!A197, ":"))))</f>
        <v>0</v>
      </c>
    </row>
    <row r="198" spans="1:1">
      <c r="A198" s="39">
        <f>IF('Additional Videos'!B198 = "", "", IF('Additional Videos-WUO_ERR'!A198 = "", "Validated", HYPERLINK("#" &amp; ADDRESS(198, 'Additional Videos-WUO_TRK'!A198),_xlfn.TEXTAFTER('Additional Videos-WUO_ERR'!A198, ":"))))</f>
        <v>0</v>
      </c>
    </row>
    <row r="199" spans="1:1">
      <c r="A199" s="39">
        <f>IF('Additional Videos'!B199 = "", "", IF('Additional Videos-WUO_ERR'!A199 = "", "Validated", HYPERLINK("#" &amp; ADDRESS(199, 'Additional Videos-WUO_TRK'!A199),_xlfn.TEXTAFTER('Additional Videos-WUO_ERR'!A199, ":"))))</f>
        <v>0</v>
      </c>
    </row>
    <row r="200" spans="1:1">
      <c r="A200" s="39">
        <f>IF('Additional Videos'!B200 = "", "", IF('Additional Videos-WUO_ERR'!A200 = "", "Validated", HYPERLINK("#" &amp; ADDRESS(200, 'Additional Videos-WUO_TRK'!A200),_xlfn.TEXTAFTER('Additional Videos-WUO_ERR'!A200, ":"))))</f>
        <v>0</v>
      </c>
    </row>
    <row r="201" spans="1:1">
      <c r="A201" s="39">
        <f>IF('Additional Videos'!B201 = "", "", IF('Additional Videos-WUO_ERR'!A201 = "", "Validated", HYPERLINK("#" &amp; ADDRESS(201, 'Additional Videos-WUO_TRK'!A201),_xlfn.TEXTAFTER('Additional Videos-WUO_ERR'!A201, ":"))))</f>
        <v>0</v>
      </c>
    </row>
    <row r="202" spans="1:1">
      <c r="A202" s="39">
        <f>IF('Additional Videos'!B202 = "", "", IF('Additional Videos-WUO_ERR'!A202 = "", "Validated", HYPERLINK("#" &amp; ADDRESS(202, 'Additional Videos-WUO_TRK'!A202),_xlfn.TEXTAFTER('Additional Videos-WUO_ERR'!A202, ":"))))</f>
        <v>0</v>
      </c>
    </row>
    <row r="203" spans="1:1">
      <c r="A203" s="39">
        <f>IF('Additional Videos'!B203 = "", "", IF('Additional Videos-WUO_ERR'!A203 = "", "Validated", HYPERLINK("#" &amp; ADDRESS(203, 'Additional Videos-WUO_TRK'!A203),_xlfn.TEXTAFTER('Additional Videos-WUO_ERR'!A203, ":"))))</f>
        <v>0</v>
      </c>
    </row>
    <row r="204" spans="1:1">
      <c r="A204" s="39">
        <f>IF('Additional Videos'!B204 = "", "", IF('Additional Videos-WUO_ERR'!A204 = "", "Validated", HYPERLINK("#" &amp; ADDRESS(204, 'Additional Videos-WUO_TRK'!A204),_xlfn.TEXTAFTER('Additional Videos-WUO_ERR'!A204, ":"))))</f>
        <v>0</v>
      </c>
    </row>
    <row r="205" spans="1:1">
      <c r="A205" s="39">
        <f>IF('Additional Videos'!B205 = "", "", IF('Additional Videos-WUO_ERR'!A205 = "", "Validated", HYPERLINK("#" &amp; ADDRESS(205, 'Additional Videos-WUO_TRK'!A205),_xlfn.TEXTAFTER('Additional Videos-WUO_ERR'!A205, ":"))))</f>
        <v>0</v>
      </c>
    </row>
    <row r="206" spans="1:1">
      <c r="A206" s="39">
        <f>IF('Additional Videos'!B206 = "", "", IF('Additional Videos-WUO_ERR'!A206 = "", "Validated", HYPERLINK("#" &amp; ADDRESS(206, 'Additional Videos-WUO_TRK'!A206),_xlfn.TEXTAFTER('Additional Videos-WUO_ERR'!A206, ":"))))</f>
        <v>0</v>
      </c>
    </row>
    <row r="207" spans="1:1">
      <c r="A207" s="39">
        <f>IF('Additional Videos'!B207 = "", "", IF('Additional Videos-WUO_ERR'!A207 = "", "Validated", HYPERLINK("#" &amp; ADDRESS(207, 'Additional Videos-WUO_TRK'!A207),_xlfn.TEXTAFTER('Additional Videos-WUO_ERR'!A207, ":"))))</f>
        <v>0</v>
      </c>
    </row>
    <row r="208" spans="1:1">
      <c r="A208" s="39">
        <f>IF('Additional Videos'!B208 = "", "", IF('Additional Videos-WUO_ERR'!A208 = "", "Validated", HYPERLINK("#" &amp; ADDRESS(208, 'Additional Videos-WUO_TRK'!A208),_xlfn.TEXTAFTER('Additional Videos-WUO_ERR'!A208, ":"))))</f>
        <v>0</v>
      </c>
    </row>
    <row r="209" spans="1:1">
      <c r="A209" s="39">
        <f>IF('Additional Videos'!B209 = "", "", IF('Additional Videos-WUO_ERR'!A209 = "", "Validated", HYPERLINK("#" &amp; ADDRESS(209, 'Additional Videos-WUO_TRK'!A209),_xlfn.TEXTAFTER('Additional Videos-WUO_ERR'!A209, ":"))))</f>
        <v>0</v>
      </c>
    </row>
    <row r="210" spans="1:1">
      <c r="A210" s="39">
        <f>IF('Additional Videos'!B210 = "", "", IF('Additional Videos-WUO_ERR'!A210 = "", "Validated", HYPERLINK("#" &amp; ADDRESS(210, 'Additional Videos-WUO_TRK'!A210),_xlfn.TEXTAFTER('Additional Videos-WUO_ERR'!A210, ":"))))</f>
        <v>0</v>
      </c>
    </row>
    <row r="211" spans="1:1">
      <c r="A211" s="39">
        <f>IF('Additional Videos'!B211 = "", "", IF('Additional Videos-WUO_ERR'!A211 = "", "Validated", HYPERLINK("#" &amp; ADDRESS(211, 'Additional Videos-WUO_TRK'!A211),_xlfn.TEXTAFTER('Additional Videos-WUO_ERR'!A211, ":"))))</f>
        <v>0</v>
      </c>
    </row>
    <row r="212" spans="1:1">
      <c r="A212" s="39">
        <f>IF('Additional Videos'!B212 = "", "", IF('Additional Videos-WUO_ERR'!A212 = "", "Validated", HYPERLINK("#" &amp; ADDRESS(212, 'Additional Videos-WUO_TRK'!A212),_xlfn.TEXTAFTER('Additional Videos-WUO_ERR'!A212, ":"))))</f>
        <v>0</v>
      </c>
    </row>
    <row r="213" spans="1:1">
      <c r="A213" s="39">
        <f>IF('Additional Videos'!B213 = "", "", IF('Additional Videos-WUO_ERR'!A213 = "", "Validated", HYPERLINK("#" &amp; ADDRESS(213, 'Additional Videos-WUO_TRK'!A213),_xlfn.TEXTAFTER('Additional Videos-WUO_ERR'!A213, ":"))))</f>
        <v>0</v>
      </c>
    </row>
    <row r="214" spans="1:1">
      <c r="A214" s="39">
        <f>IF('Additional Videos'!B214 = "", "", IF('Additional Videos-WUO_ERR'!A214 = "", "Validated", HYPERLINK("#" &amp; ADDRESS(214, 'Additional Videos-WUO_TRK'!A214),_xlfn.TEXTAFTER('Additional Videos-WUO_ERR'!A214, ":"))))</f>
        <v>0</v>
      </c>
    </row>
    <row r="215" spans="1:1">
      <c r="A215" s="39">
        <f>IF('Additional Videos'!B215 = "", "", IF('Additional Videos-WUO_ERR'!A215 = "", "Validated", HYPERLINK("#" &amp; ADDRESS(215, 'Additional Videos-WUO_TRK'!A215),_xlfn.TEXTAFTER('Additional Videos-WUO_ERR'!A215, ":"))))</f>
        <v>0</v>
      </c>
    </row>
    <row r="216" spans="1:1">
      <c r="A216" s="39">
        <f>IF('Additional Videos'!B216 = "", "", IF('Additional Videos-WUO_ERR'!A216 = "", "Validated", HYPERLINK("#" &amp; ADDRESS(216, 'Additional Videos-WUO_TRK'!A216),_xlfn.TEXTAFTER('Additional Videos-WUO_ERR'!A216, ":"))))</f>
        <v>0</v>
      </c>
    </row>
    <row r="217" spans="1:1">
      <c r="A217" s="39">
        <f>IF('Additional Videos'!B217 = "", "", IF('Additional Videos-WUO_ERR'!A217 = "", "Validated", HYPERLINK("#" &amp; ADDRESS(217, 'Additional Videos-WUO_TRK'!A217),_xlfn.TEXTAFTER('Additional Videos-WUO_ERR'!A217, ":"))))</f>
        <v>0</v>
      </c>
    </row>
    <row r="218" spans="1:1">
      <c r="A218" s="39">
        <f>IF('Additional Videos'!B218 = "", "", IF('Additional Videos-WUO_ERR'!A218 = "", "Validated", HYPERLINK("#" &amp; ADDRESS(218, 'Additional Videos-WUO_TRK'!A218),_xlfn.TEXTAFTER('Additional Videos-WUO_ERR'!A218, ":"))))</f>
        <v>0</v>
      </c>
    </row>
    <row r="219" spans="1:1">
      <c r="A219" s="39">
        <f>IF('Additional Videos'!B219 = "", "", IF('Additional Videos-WUO_ERR'!A219 = "", "Validated", HYPERLINK("#" &amp; ADDRESS(219, 'Additional Videos-WUO_TRK'!A219),_xlfn.TEXTAFTER('Additional Videos-WUO_ERR'!A219, ":"))))</f>
        <v>0</v>
      </c>
    </row>
    <row r="220" spans="1:1">
      <c r="A220" s="39">
        <f>IF('Additional Videos'!B220 = "", "", IF('Additional Videos-WUO_ERR'!A220 = "", "Validated", HYPERLINK("#" &amp; ADDRESS(220, 'Additional Videos-WUO_TRK'!A220),_xlfn.TEXTAFTER('Additional Videos-WUO_ERR'!A220, ":"))))</f>
        <v>0</v>
      </c>
    </row>
    <row r="221" spans="1:1">
      <c r="A221" s="39">
        <f>IF('Additional Videos'!B221 = "", "", IF('Additional Videos-WUO_ERR'!A221 = "", "Validated", HYPERLINK("#" &amp; ADDRESS(221, 'Additional Videos-WUO_TRK'!A221),_xlfn.TEXTAFTER('Additional Videos-WUO_ERR'!A221, ":"))))</f>
        <v>0</v>
      </c>
    </row>
    <row r="222" spans="1:1">
      <c r="A222" s="39">
        <f>IF('Additional Videos'!B222 = "", "", IF('Additional Videos-WUO_ERR'!A222 = "", "Validated", HYPERLINK("#" &amp; ADDRESS(222, 'Additional Videos-WUO_TRK'!A222),_xlfn.TEXTAFTER('Additional Videos-WUO_ERR'!A222, ":"))))</f>
        <v>0</v>
      </c>
    </row>
    <row r="223" spans="1:1">
      <c r="A223" s="39">
        <f>IF('Additional Videos'!B223 = "", "", IF('Additional Videos-WUO_ERR'!A223 = "", "Validated", HYPERLINK("#" &amp; ADDRESS(223, 'Additional Videos-WUO_TRK'!A223),_xlfn.TEXTAFTER('Additional Videos-WUO_ERR'!A223, ":"))))</f>
        <v>0</v>
      </c>
    </row>
    <row r="224" spans="1:1">
      <c r="A224" s="39">
        <f>IF('Additional Videos'!B224 = "", "", IF('Additional Videos-WUO_ERR'!A224 = "", "Validated", HYPERLINK("#" &amp; ADDRESS(224, 'Additional Videos-WUO_TRK'!A224),_xlfn.TEXTAFTER('Additional Videos-WUO_ERR'!A224, ":"))))</f>
        <v>0</v>
      </c>
    </row>
    <row r="225" spans="1:1">
      <c r="A225" s="39">
        <f>IF('Additional Videos'!B225 = "", "", IF('Additional Videos-WUO_ERR'!A225 = "", "Validated", HYPERLINK("#" &amp; ADDRESS(225, 'Additional Videos-WUO_TRK'!A225),_xlfn.TEXTAFTER('Additional Videos-WUO_ERR'!A225, ":"))))</f>
        <v>0</v>
      </c>
    </row>
    <row r="226" spans="1:1">
      <c r="A226" s="39">
        <f>IF('Additional Videos'!B226 = "", "", IF('Additional Videos-WUO_ERR'!A226 = "", "Validated", HYPERLINK("#" &amp; ADDRESS(226, 'Additional Videos-WUO_TRK'!A226),_xlfn.TEXTAFTER('Additional Videos-WUO_ERR'!A226, ":"))))</f>
        <v>0</v>
      </c>
    </row>
    <row r="227" spans="1:1">
      <c r="A227" s="39">
        <f>IF('Additional Videos'!B227 = "", "", IF('Additional Videos-WUO_ERR'!A227 = "", "Validated", HYPERLINK("#" &amp; ADDRESS(227, 'Additional Videos-WUO_TRK'!A227),_xlfn.TEXTAFTER('Additional Videos-WUO_ERR'!A227, ":"))))</f>
        <v>0</v>
      </c>
    </row>
    <row r="228" spans="1:1">
      <c r="A228" s="39">
        <f>IF('Additional Videos'!B228 = "", "", IF('Additional Videos-WUO_ERR'!A228 = "", "Validated", HYPERLINK("#" &amp; ADDRESS(228, 'Additional Videos-WUO_TRK'!A228),_xlfn.TEXTAFTER('Additional Videos-WUO_ERR'!A228, ":"))))</f>
        <v>0</v>
      </c>
    </row>
    <row r="229" spans="1:1">
      <c r="A229" s="39">
        <f>IF('Additional Videos'!B229 = "", "", IF('Additional Videos-WUO_ERR'!A229 = "", "Validated", HYPERLINK("#" &amp; ADDRESS(229, 'Additional Videos-WUO_TRK'!A229),_xlfn.TEXTAFTER('Additional Videos-WUO_ERR'!A229, ":"))))</f>
        <v>0</v>
      </c>
    </row>
    <row r="230" spans="1:1">
      <c r="A230" s="39">
        <f>IF('Additional Videos'!B230 = "", "", IF('Additional Videos-WUO_ERR'!A230 = "", "Validated", HYPERLINK("#" &amp; ADDRESS(230, 'Additional Videos-WUO_TRK'!A230),_xlfn.TEXTAFTER('Additional Videos-WUO_ERR'!A230, ":"))))</f>
        <v>0</v>
      </c>
    </row>
    <row r="231" spans="1:1">
      <c r="A231" s="39">
        <f>IF('Additional Videos'!B231 = "", "", IF('Additional Videos-WUO_ERR'!A231 = "", "Validated", HYPERLINK("#" &amp; ADDRESS(231, 'Additional Videos-WUO_TRK'!A231),_xlfn.TEXTAFTER('Additional Videos-WUO_ERR'!A231, ":"))))</f>
        <v>0</v>
      </c>
    </row>
    <row r="232" spans="1:1">
      <c r="A232" s="39">
        <f>IF('Additional Videos'!B232 = "", "", IF('Additional Videos-WUO_ERR'!A232 = "", "Validated", HYPERLINK("#" &amp; ADDRESS(232, 'Additional Videos-WUO_TRK'!A232),_xlfn.TEXTAFTER('Additional Videos-WUO_ERR'!A232, ":"))))</f>
        <v>0</v>
      </c>
    </row>
    <row r="233" spans="1:1">
      <c r="A233" s="39">
        <f>IF('Additional Videos'!B233 = "", "", IF('Additional Videos-WUO_ERR'!A233 = "", "Validated", HYPERLINK("#" &amp; ADDRESS(233, 'Additional Videos-WUO_TRK'!A233),_xlfn.TEXTAFTER('Additional Videos-WUO_ERR'!A233, ":"))))</f>
        <v>0</v>
      </c>
    </row>
    <row r="234" spans="1:1">
      <c r="A234" s="39">
        <f>IF('Additional Videos'!B234 = "", "", IF('Additional Videos-WUO_ERR'!A234 = "", "Validated", HYPERLINK("#" &amp; ADDRESS(234, 'Additional Videos-WUO_TRK'!A234),_xlfn.TEXTAFTER('Additional Videos-WUO_ERR'!A234, ":"))))</f>
        <v>0</v>
      </c>
    </row>
    <row r="235" spans="1:1">
      <c r="A235" s="39">
        <f>IF('Additional Videos'!B235 = "", "", IF('Additional Videos-WUO_ERR'!A235 = "", "Validated", HYPERLINK("#" &amp; ADDRESS(235, 'Additional Videos-WUO_TRK'!A235),_xlfn.TEXTAFTER('Additional Videos-WUO_ERR'!A235, ":"))))</f>
        <v>0</v>
      </c>
    </row>
    <row r="236" spans="1:1">
      <c r="A236" s="39">
        <f>IF('Additional Videos'!B236 = "", "", IF('Additional Videos-WUO_ERR'!A236 = "", "Validated", HYPERLINK("#" &amp; ADDRESS(236, 'Additional Videos-WUO_TRK'!A236),_xlfn.TEXTAFTER('Additional Videos-WUO_ERR'!A236, ":"))))</f>
        <v>0</v>
      </c>
    </row>
    <row r="237" spans="1:1">
      <c r="A237" s="39">
        <f>IF('Additional Videos'!B237 = "", "", IF('Additional Videos-WUO_ERR'!A237 = "", "Validated", HYPERLINK("#" &amp; ADDRESS(237, 'Additional Videos-WUO_TRK'!A237),_xlfn.TEXTAFTER('Additional Videos-WUO_ERR'!A237, ":"))))</f>
        <v>0</v>
      </c>
    </row>
    <row r="238" spans="1:1">
      <c r="A238" s="39">
        <f>IF('Additional Videos'!B238 = "", "", IF('Additional Videos-WUO_ERR'!A238 = "", "Validated", HYPERLINK("#" &amp; ADDRESS(238, 'Additional Videos-WUO_TRK'!A238),_xlfn.TEXTAFTER('Additional Videos-WUO_ERR'!A238, ":"))))</f>
        <v>0</v>
      </c>
    </row>
    <row r="239" spans="1:1">
      <c r="A239" s="39">
        <f>IF('Additional Videos'!B239 = "", "", IF('Additional Videos-WUO_ERR'!A239 = "", "Validated", HYPERLINK("#" &amp; ADDRESS(239, 'Additional Videos-WUO_TRK'!A239),_xlfn.TEXTAFTER('Additional Videos-WUO_ERR'!A239, ":"))))</f>
        <v>0</v>
      </c>
    </row>
    <row r="240" spans="1:1">
      <c r="A240" s="39">
        <f>IF('Additional Videos'!B240 = "", "", IF('Additional Videos-WUO_ERR'!A240 = "", "Validated", HYPERLINK("#" &amp; ADDRESS(240, 'Additional Videos-WUO_TRK'!A240),_xlfn.TEXTAFTER('Additional Videos-WUO_ERR'!A240, ":"))))</f>
        <v>0</v>
      </c>
    </row>
    <row r="241" spans="1:1">
      <c r="A241" s="39">
        <f>IF('Additional Videos'!B241 = "", "", IF('Additional Videos-WUO_ERR'!A241 = "", "Validated", HYPERLINK("#" &amp; ADDRESS(241, 'Additional Videos-WUO_TRK'!A241),_xlfn.TEXTAFTER('Additional Videos-WUO_ERR'!A241, ":"))))</f>
        <v>0</v>
      </c>
    </row>
    <row r="242" spans="1:1">
      <c r="A242" s="39">
        <f>IF('Additional Videos'!B242 = "", "", IF('Additional Videos-WUO_ERR'!A242 = "", "Validated", HYPERLINK("#" &amp; ADDRESS(242, 'Additional Videos-WUO_TRK'!A242),_xlfn.TEXTAFTER('Additional Videos-WUO_ERR'!A242, ":"))))</f>
        <v>0</v>
      </c>
    </row>
    <row r="243" spans="1:1">
      <c r="A243" s="39">
        <f>IF('Additional Videos'!B243 = "", "", IF('Additional Videos-WUO_ERR'!A243 = "", "Validated", HYPERLINK("#" &amp; ADDRESS(243, 'Additional Videos-WUO_TRK'!A243),_xlfn.TEXTAFTER('Additional Videos-WUO_ERR'!A243, ":"))))</f>
        <v>0</v>
      </c>
    </row>
    <row r="244" spans="1:1">
      <c r="A244" s="39">
        <f>IF('Additional Videos'!B244 = "", "", IF('Additional Videos-WUO_ERR'!A244 = "", "Validated", HYPERLINK("#" &amp; ADDRESS(244, 'Additional Videos-WUO_TRK'!A244),_xlfn.TEXTAFTER('Additional Videos-WUO_ERR'!A244, ":"))))</f>
        <v>0</v>
      </c>
    </row>
    <row r="245" spans="1:1">
      <c r="A245" s="39">
        <f>IF('Additional Videos'!B245 = "", "", IF('Additional Videos-WUO_ERR'!A245 = "", "Validated", HYPERLINK("#" &amp; ADDRESS(245, 'Additional Videos-WUO_TRK'!A245),_xlfn.TEXTAFTER('Additional Videos-WUO_ERR'!A245, ":"))))</f>
        <v>0</v>
      </c>
    </row>
    <row r="246" spans="1:1">
      <c r="A246" s="39">
        <f>IF('Additional Videos'!B246 = "", "", IF('Additional Videos-WUO_ERR'!A246 = "", "Validated", HYPERLINK("#" &amp; ADDRESS(246, 'Additional Videos-WUO_TRK'!A246),_xlfn.TEXTAFTER('Additional Videos-WUO_ERR'!A246, ":"))))</f>
        <v>0</v>
      </c>
    </row>
    <row r="247" spans="1:1">
      <c r="A247" s="39">
        <f>IF('Additional Videos'!B247 = "", "", IF('Additional Videos-WUO_ERR'!A247 = "", "Validated", HYPERLINK("#" &amp; ADDRESS(247, 'Additional Videos-WUO_TRK'!A247),_xlfn.TEXTAFTER('Additional Videos-WUO_ERR'!A247, ":"))))</f>
        <v>0</v>
      </c>
    </row>
    <row r="248" spans="1:1">
      <c r="A248" s="39">
        <f>IF('Additional Videos'!B248 = "", "", IF('Additional Videos-WUO_ERR'!A248 = "", "Validated", HYPERLINK("#" &amp; ADDRESS(248, 'Additional Videos-WUO_TRK'!A248),_xlfn.TEXTAFTER('Additional Videos-WUO_ERR'!A248, ":"))))</f>
        <v>0</v>
      </c>
    </row>
    <row r="249" spans="1:1">
      <c r="A249" s="39">
        <f>IF('Additional Videos'!B249 = "", "", IF('Additional Videos-WUO_ERR'!A249 = "", "Validated", HYPERLINK("#" &amp; ADDRESS(249, 'Additional Videos-WUO_TRK'!A249),_xlfn.TEXTAFTER('Additional Videos-WUO_ERR'!A249, ":"))))</f>
        <v>0</v>
      </c>
    </row>
    <row r="250" spans="1:1">
      <c r="A250" s="39">
        <f>IF('Additional Videos'!B250 = "", "", IF('Additional Videos-WUO_ERR'!A250 = "", "Validated", HYPERLINK("#" &amp; ADDRESS(250, 'Additional Videos-WUO_TRK'!A250),_xlfn.TEXTAFTER('Additional Videos-WUO_ERR'!A250, ":"))))</f>
        <v>0</v>
      </c>
    </row>
    <row r="251" spans="1:1">
      <c r="A251" s="39">
        <f>IF('Additional Videos'!B251 = "", "", IF('Additional Videos-WUO_ERR'!A251 = "", "Validated", HYPERLINK("#" &amp; ADDRESS(251, 'Additional Videos-WUO_TRK'!A251),_xlfn.TEXTAFTER('Additional Videos-WUO_ERR'!A251, ":"))))</f>
        <v>0</v>
      </c>
    </row>
    <row r="252" spans="1:1">
      <c r="A252" s="39">
        <f>IF('Additional Videos'!B252 = "", "", IF('Additional Videos-WUO_ERR'!A252 = "", "Validated", HYPERLINK("#" &amp; ADDRESS(252, 'Additional Videos-WUO_TRK'!A252),_xlfn.TEXTAFTER('Additional Videos-WUO_ERR'!A252, ":"))))</f>
        <v>0</v>
      </c>
    </row>
    <row r="253" spans="1:1">
      <c r="A253" s="39">
        <f>IF('Additional Videos'!B253 = "", "", IF('Additional Videos-WUO_ERR'!A253 = "", "Validated", HYPERLINK("#" &amp; ADDRESS(253, 'Additional Videos-WUO_TRK'!A253),_xlfn.TEXTAFTER('Additional Videos-WUO_ERR'!A253, ":"))))</f>
        <v>0</v>
      </c>
    </row>
    <row r="254" spans="1:1">
      <c r="A254" s="39">
        <f>IF('Additional Videos'!B254 = "", "", IF('Additional Videos-WUO_ERR'!A254 = "", "Validated", HYPERLINK("#" &amp; ADDRESS(254, 'Additional Videos-WUO_TRK'!A254),_xlfn.TEXTAFTER('Additional Videos-WUO_ERR'!A254, ":"))))</f>
        <v>0</v>
      </c>
    </row>
    <row r="255" spans="1:1">
      <c r="A255" s="39">
        <f>IF('Additional Videos'!B255 = "", "", IF('Additional Videos-WUO_ERR'!A255 = "", "Validated", HYPERLINK("#" &amp; ADDRESS(255, 'Additional Videos-WUO_TRK'!A255),_xlfn.TEXTAFTER('Additional Videos-WUO_ERR'!A255, ":"))))</f>
        <v>0</v>
      </c>
    </row>
    <row r="256" spans="1:1">
      <c r="A256" s="39">
        <f>IF('Additional Videos'!B256 = "", "", IF('Additional Videos-WUO_ERR'!A256 = "", "Validated", HYPERLINK("#" &amp; ADDRESS(256, 'Additional Videos-WUO_TRK'!A256),_xlfn.TEXTAFTER('Additional Videos-WUO_ERR'!A256, ":"))))</f>
        <v>0</v>
      </c>
    </row>
    <row r="257" spans="1:1">
      <c r="A257" s="39">
        <f>IF('Additional Videos'!B257 = "", "", IF('Additional Videos-WUO_ERR'!A257 = "", "Validated", HYPERLINK("#" &amp; ADDRESS(257, 'Additional Videos-WUO_TRK'!A257),_xlfn.TEXTAFTER('Additional Videos-WUO_ERR'!A257, ":"))))</f>
        <v>0</v>
      </c>
    </row>
    <row r="258" spans="1:1">
      <c r="A258" s="39">
        <f>IF('Additional Videos'!B258 = "", "", IF('Additional Videos-WUO_ERR'!A258 = "", "Validated", HYPERLINK("#" &amp; ADDRESS(258, 'Additional Videos-WUO_TRK'!A258),_xlfn.TEXTAFTER('Additional Videos-WUO_ERR'!A258, ":"))))</f>
        <v>0</v>
      </c>
    </row>
    <row r="259" spans="1:1">
      <c r="A259" s="39">
        <f>IF('Additional Videos'!B259 = "", "", IF('Additional Videos-WUO_ERR'!A259 = "", "Validated", HYPERLINK("#" &amp; ADDRESS(259, 'Additional Videos-WUO_TRK'!A259),_xlfn.TEXTAFTER('Additional Videos-WUO_ERR'!A259, ":"))))</f>
        <v>0</v>
      </c>
    </row>
    <row r="260" spans="1:1">
      <c r="A260" s="39">
        <f>IF('Additional Videos'!B260 = "", "", IF('Additional Videos-WUO_ERR'!A260 = "", "Validated", HYPERLINK("#" &amp; ADDRESS(260, 'Additional Videos-WUO_TRK'!A260),_xlfn.TEXTAFTER('Additional Videos-WUO_ERR'!A260, ":"))))</f>
        <v>0</v>
      </c>
    </row>
    <row r="261" spans="1:1">
      <c r="A261" s="39">
        <f>IF('Additional Videos'!B261 = "", "", IF('Additional Videos-WUO_ERR'!A261 = "", "Validated", HYPERLINK("#" &amp; ADDRESS(261, 'Additional Videos-WUO_TRK'!A261),_xlfn.TEXTAFTER('Additional Videos-WUO_ERR'!A261, ":"))))</f>
        <v>0</v>
      </c>
    </row>
    <row r="262" spans="1:1">
      <c r="A262" s="39">
        <f>IF('Additional Videos'!B262 = "", "", IF('Additional Videos-WUO_ERR'!A262 = "", "Validated", HYPERLINK("#" &amp; ADDRESS(262, 'Additional Videos-WUO_TRK'!A262),_xlfn.TEXTAFTER('Additional Videos-WUO_ERR'!A262, ":"))))</f>
        <v>0</v>
      </c>
    </row>
    <row r="263" spans="1:1">
      <c r="A263" s="39">
        <f>IF('Additional Videos'!B263 = "", "", IF('Additional Videos-WUO_ERR'!A263 = "", "Validated", HYPERLINK("#" &amp; ADDRESS(263, 'Additional Videos-WUO_TRK'!A263),_xlfn.TEXTAFTER('Additional Videos-WUO_ERR'!A263, ":"))))</f>
        <v>0</v>
      </c>
    </row>
    <row r="264" spans="1:1">
      <c r="A264" s="39">
        <f>IF('Additional Videos'!B264 = "", "", IF('Additional Videos-WUO_ERR'!A264 = "", "Validated", HYPERLINK("#" &amp; ADDRESS(264, 'Additional Videos-WUO_TRK'!A264),_xlfn.TEXTAFTER('Additional Videos-WUO_ERR'!A264, ":"))))</f>
        <v>0</v>
      </c>
    </row>
    <row r="265" spans="1:1">
      <c r="A265" s="39">
        <f>IF('Additional Videos'!B265 = "", "", IF('Additional Videos-WUO_ERR'!A265 = "", "Validated", HYPERLINK("#" &amp; ADDRESS(265, 'Additional Videos-WUO_TRK'!A265),_xlfn.TEXTAFTER('Additional Videos-WUO_ERR'!A265, ":"))))</f>
        <v>0</v>
      </c>
    </row>
    <row r="266" spans="1:1">
      <c r="A266" s="39">
        <f>IF('Additional Videos'!B266 = "", "", IF('Additional Videos-WUO_ERR'!A266 = "", "Validated", HYPERLINK("#" &amp; ADDRESS(266, 'Additional Videos-WUO_TRK'!A266),_xlfn.TEXTAFTER('Additional Videos-WUO_ERR'!A266, ":"))))</f>
        <v>0</v>
      </c>
    </row>
    <row r="267" spans="1:1">
      <c r="A267" s="39">
        <f>IF('Additional Videos'!B267 = "", "", IF('Additional Videos-WUO_ERR'!A267 = "", "Validated", HYPERLINK("#" &amp; ADDRESS(267, 'Additional Videos-WUO_TRK'!A267),_xlfn.TEXTAFTER('Additional Videos-WUO_ERR'!A267, ":"))))</f>
        <v>0</v>
      </c>
    </row>
    <row r="268" spans="1:1">
      <c r="A268" s="39">
        <f>IF('Additional Videos'!B268 = "", "", IF('Additional Videos-WUO_ERR'!A268 = "", "Validated", HYPERLINK("#" &amp; ADDRESS(268, 'Additional Videos-WUO_TRK'!A268),_xlfn.TEXTAFTER('Additional Videos-WUO_ERR'!A268, ":"))))</f>
        <v>0</v>
      </c>
    </row>
    <row r="269" spans="1:1">
      <c r="A269" s="39">
        <f>IF('Additional Videos'!B269 = "", "", IF('Additional Videos-WUO_ERR'!A269 = "", "Validated", HYPERLINK("#" &amp; ADDRESS(269, 'Additional Videos-WUO_TRK'!A269),_xlfn.TEXTAFTER('Additional Videos-WUO_ERR'!A269, ":"))))</f>
        <v>0</v>
      </c>
    </row>
    <row r="270" spans="1:1">
      <c r="A270" s="39">
        <f>IF('Additional Videos'!B270 = "", "", IF('Additional Videos-WUO_ERR'!A270 = "", "Validated", HYPERLINK("#" &amp; ADDRESS(270, 'Additional Videos-WUO_TRK'!A270),_xlfn.TEXTAFTER('Additional Videos-WUO_ERR'!A270, ":"))))</f>
        <v>0</v>
      </c>
    </row>
    <row r="271" spans="1:1">
      <c r="A271" s="39">
        <f>IF('Additional Videos'!B271 = "", "", IF('Additional Videos-WUO_ERR'!A271 = "", "Validated", HYPERLINK("#" &amp; ADDRESS(271, 'Additional Videos-WUO_TRK'!A271),_xlfn.TEXTAFTER('Additional Videos-WUO_ERR'!A271, ":"))))</f>
        <v>0</v>
      </c>
    </row>
    <row r="272" spans="1:1">
      <c r="A272" s="39">
        <f>IF('Additional Videos'!B272 = "", "", IF('Additional Videos-WUO_ERR'!A272 = "", "Validated", HYPERLINK("#" &amp; ADDRESS(272, 'Additional Videos-WUO_TRK'!A272),_xlfn.TEXTAFTER('Additional Videos-WUO_ERR'!A272, ":"))))</f>
        <v>0</v>
      </c>
    </row>
    <row r="273" spans="1:1">
      <c r="A273" s="39">
        <f>IF('Additional Videos'!B273 = "", "", IF('Additional Videos-WUO_ERR'!A273 = "", "Validated", HYPERLINK("#" &amp; ADDRESS(273, 'Additional Videos-WUO_TRK'!A273),_xlfn.TEXTAFTER('Additional Videos-WUO_ERR'!A273, ":"))))</f>
        <v>0</v>
      </c>
    </row>
    <row r="274" spans="1:1">
      <c r="A274" s="39">
        <f>IF('Additional Videos'!B274 = "", "", IF('Additional Videos-WUO_ERR'!A274 = "", "Validated", HYPERLINK("#" &amp; ADDRESS(274, 'Additional Videos-WUO_TRK'!A274),_xlfn.TEXTAFTER('Additional Videos-WUO_ERR'!A274, ":"))))</f>
        <v>0</v>
      </c>
    </row>
    <row r="275" spans="1:1">
      <c r="A275" s="39">
        <f>IF('Additional Videos'!B275 = "", "", IF('Additional Videos-WUO_ERR'!A275 = "", "Validated", HYPERLINK("#" &amp; ADDRESS(275, 'Additional Videos-WUO_TRK'!A275),_xlfn.TEXTAFTER('Additional Videos-WUO_ERR'!A275, ":"))))</f>
        <v>0</v>
      </c>
    </row>
    <row r="276" spans="1:1">
      <c r="A276" s="39">
        <f>IF('Additional Videos'!B276 = "", "", IF('Additional Videos-WUO_ERR'!A276 = "", "Validated", HYPERLINK("#" &amp; ADDRESS(276, 'Additional Videos-WUO_TRK'!A276),_xlfn.TEXTAFTER('Additional Videos-WUO_ERR'!A276, ":"))))</f>
        <v>0</v>
      </c>
    </row>
    <row r="277" spans="1:1">
      <c r="A277" s="39">
        <f>IF('Additional Videos'!B277 = "", "", IF('Additional Videos-WUO_ERR'!A277 = "", "Validated", HYPERLINK("#" &amp; ADDRESS(277, 'Additional Videos-WUO_TRK'!A277),_xlfn.TEXTAFTER('Additional Videos-WUO_ERR'!A277, ":"))))</f>
        <v>0</v>
      </c>
    </row>
    <row r="278" spans="1:1">
      <c r="A278" s="39">
        <f>IF('Additional Videos'!B278 = "", "", IF('Additional Videos-WUO_ERR'!A278 = "", "Validated", HYPERLINK("#" &amp; ADDRESS(278, 'Additional Videos-WUO_TRK'!A278),_xlfn.TEXTAFTER('Additional Videos-WUO_ERR'!A278, ":"))))</f>
        <v>0</v>
      </c>
    </row>
    <row r="279" spans="1:1">
      <c r="A279" s="39">
        <f>IF('Additional Videos'!B279 = "", "", IF('Additional Videos-WUO_ERR'!A279 = "", "Validated", HYPERLINK("#" &amp; ADDRESS(279, 'Additional Videos-WUO_TRK'!A279),_xlfn.TEXTAFTER('Additional Videos-WUO_ERR'!A279, ":"))))</f>
        <v>0</v>
      </c>
    </row>
    <row r="280" spans="1:1">
      <c r="A280" s="39">
        <f>IF('Additional Videos'!B280 = "", "", IF('Additional Videos-WUO_ERR'!A280 = "", "Validated", HYPERLINK("#" &amp; ADDRESS(280, 'Additional Videos-WUO_TRK'!A280),_xlfn.TEXTAFTER('Additional Videos-WUO_ERR'!A280, ":"))))</f>
        <v>0</v>
      </c>
    </row>
    <row r="281" spans="1:1">
      <c r="A281" s="39">
        <f>IF('Additional Videos'!B281 = "", "", IF('Additional Videos-WUO_ERR'!A281 = "", "Validated", HYPERLINK("#" &amp; ADDRESS(281, 'Additional Videos-WUO_TRK'!A281),_xlfn.TEXTAFTER('Additional Videos-WUO_ERR'!A281, ":"))))</f>
        <v>0</v>
      </c>
    </row>
    <row r="282" spans="1:1">
      <c r="A282" s="39">
        <f>IF('Additional Videos'!B282 = "", "", IF('Additional Videos-WUO_ERR'!A282 = "", "Validated", HYPERLINK("#" &amp; ADDRESS(282, 'Additional Videos-WUO_TRK'!A282),_xlfn.TEXTAFTER('Additional Videos-WUO_ERR'!A282, ":"))))</f>
        <v>0</v>
      </c>
    </row>
    <row r="283" spans="1:1">
      <c r="A283" s="39">
        <f>IF('Additional Videos'!B283 = "", "", IF('Additional Videos-WUO_ERR'!A283 = "", "Validated", HYPERLINK("#" &amp; ADDRESS(283, 'Additional Videos-WUO_TRK'!A283),_xlfn.TEXTAFTER('Additional Videos-WUO_ERR'!A283, ":"))))</f>
        <v>0</v>
      </c>
    </row>
    <row r="284" spans="1:1">
      <c r="A284" s="39">
        <f>IF('Additional Videos'!B284 = "", "", IF('Additional Videos-WUO_ERR'!A284 = "", "Validated", HYPERLINK("#" &amp; ADDRESS(284, 'Additional Videos-WUO_TRK'!A284),_xlfn.TEXTAFTER('Additional Videos-WUO_ERR'!A284, ":"))))</f>
        <v>0</v>
      </c>
    </row>
    <row r="285" spans="1:1">
      <c r="A285" s="39">
        <f>IF('Additional Videos'!B285 = "", "", IF('Additional Videos-WUO_ERR'!A285 = "", "Validated", HYPERLINK("#" &amp; ADDRESS(285, 'Additional Videos-WUO_TRK'!A285),_xlfn.TEXTAFTER('Additional Videos-WUO_ERR'!A285, ":"))))</f>
        <v>0</v>
      </c>
    </row>
    <row r="286" spans="1:1">
      <c r="A286" s="39">
        <f>IF('Additional Videos'!B286 = "", "", IF('Additional Videos-WUO_ERR'!A286 = "", "Validated", HYPERLINK("#" &amp; ADDRESS(286, 'Additional Videos-WUO_TRK'!A286),_xlfn.TEXTAFTER('Additional Videos-WUO_ERR'!A286, ":"))))</f>
        <v>0</v>
      </c>
    </row>
    <row r="287" spans="1:1">
      <c r="A287" s="39">
        <f>IF('Additional Videos'!B287 = "", "", IF('Additional Videos-WUO_ERR'!A287 = "", "Validated", HYPERLINK("#" &amp; ADDRESS(287, 'Additional Videos-WUO_TRK'!A287),_xlfn.TEXTAFTER('Additional Videos-WUO_ERR'!A287, ":"))))</f>
        <v>0</v>
      </c>
    </row>
    <row r="288" spans="1:1">
      <c r="A288" s="39">
        <f>IF('Additional Videos'!B288 = "", "", IF('Additional Videos-WUO_ERR'!A288 = "", "Validated", HYPERLINK("#" &amp; ADDRESS(288, 'Additional Videos-WUO_TRK'!A288),_xlfn.TEXTAFTER('Additional Videos-WUO_ERR'!A288, ":"))))</f>
        <v>0</v>
      </c>
    </row>
    <row r="289" spans="1:1">
      <c r="A289" s="39">
        <f>IF('Additional Videos'!B289 = "", "", IF('Additional Videos-WUO_ERR'!A289 = "", "Validated", HYPERLINK("#" &amp; ADDRESS(289, 'Additional Videos-WUO_TRK'!A289),_xlfn.TEXTAFTER('Additional Videos-WUO_ERR'!A289, ":"))))</f>
        <v>0</v>
      </c>
    </row>
    <row r="290" spans="1:1">
      <c r="A290" s="39">
        <f>IF('Additional Videos'!B290 = "", "", IF('Additional Videos-WUO_ERR'!A290 = "", "Validated", HYPERLINK("#" &amp; ADDRESS(290, 'Additional Videos-WUO_TRK'!A290),_xlfn.TEXTAFTER('Additional Videos-WUO_ERR'!A290, ":"))))</f>
        <v>0</v>
      </c>
    </row>
    <row r="291" spans="1:1">
      <c r="A291" s="39">
        <f>IF('Additional Videos'!B291 = "", "", IF('Additional Videos-WUO_ERR'!A291 = "", "Validated", HYPERLINK("#" &amp; ADDRESS(291, 'Additional Videos-WUO_TRK'!A291),_xlfn.TEXTAFTER('Additional Videos-WUO_ERR'!A291, ":"))))</f>
        <v>0</v>
      </c>
    </row>
    <row r="292" spans="1:1">
      <c r="A292" s="39">
        <f>IF('Additional Videos'!B292 = "", "", IF('Additional Videos-WUO_ERR'!A292 = "", "Validated", HYPERLINK("#" &amp; ADDRESS(292, 'Additional Videos-WUO_TRK'!A292),_xlfn.TEXTAFTER('Additional Videos-WUO_ERR'!A292, ":"))))</f>
        <v>0</v>
      </c>
    </row>
    <row r="293" spans="1:1">
      <c r="A293" s="39">
        <f>IF('Additional Videos'!B293 = "", "", IF('Additional Videos-WUO_ERR'!A293 = "", "Validated", HYPERLINK("#" &amp; ADDRESS(293, 'Additional Videos-WUO_TRK'!A293),_xlfn.TEXTAFTER('Additional Videos-WUO_ERR'!A293, ":"))))</f>
        <v>0</v>
      </c>
    </row>
    <row r="294" spans="1:1">
      <c r="A294" s="39">
        <f>IF('Additional Videos'!B294 = "", "", IF('Additional Videos-WUO_ERR'!A294 = "", "Validated", HYPERLINK("#" &amp; ADDRESS(294, 'Additional Videos-WUO_TRK'!A294),_xlfn.TEXTAFTER('Additional Videos-WUO_ERR'!A294, ":"))))</f>
        <v>0</v>
      </c>
    </row>
    <row r="295" spans="1:1">
      <c r="A295" s="39">
        <f>IF('Additional Videos'!B295 = "", "", IF('Additional Videos-WUO_ERR'!A295 = "", "Validated", HYPERLINK("#" &amp; ADDRESS(295, 'Additional Videos-WUO_TRK'!A295),_xlfn.TEXTAFTER('Additional Videos-WUO_ERR'!A295, ":"))))</f>
        <v>0</v>
      </c>
    </row>
    <row r="296" spans="1:1">
      <c r="A296" s="39">
        <f>IF('Additional Videos'!B296 = "", "", IF('Additional Videos-WUO_ERR'!A296 = "", "Validated", HYPERLINK("#" &amp; ADDRESS(296, 'Additional Videos-WUO_TRK'!A296),_xlfn.TEXTAFTER('Additional Videos-WUO_ERR'!A296, ":"))))</f>
        <v>0</v>
      </c>
    </row>
    <row r="297" spans="1:1">
      <c r="A297" s="39">
        <f>IF('Additional Videos'!B297 = "", "", IF('Additional Videos-WUO_ERR'!A297 = "", "Validated", HYPERLINK("#" &amp; ADDRESS(297, 'Additional Videos-WUO_TRK'!A297),_xlfn.TEXTAFTER('Additional Videos-WUO_ERR'!A297, ":"))))</f>
        <v>0</v>
      </c>
    </row>
    <row r="298" spans="1:1">
      <c r="A298" s="39">
        <f>IF('Additional Videos'!B298 = "", "", IF('Additional Videos-WUO_ERR'!A298 = "", "Validated", HYPERLINK("#" &amp; ADDRESS(298, 'Additional Videos-WUO_TRK'!A298),_xlfn.TEXTAFTER('Additional Videos-WUO_ERR'!A298, ":"))))</f>
        <v>0</v>
      </c>
    </row>
    <row r="299" spans="1:1">
      <c r="A299" s="39">
        <f>IF('Additional Videos'!B299 = "", "", IF('Additional Videos-WUO_ERR'!A299 = "", "Validated", HYPERLINK("#" &amp; ADDRESS(299, 'Additional Videos-WUO_TRK'!A299),_xlfn.TEXTAFTER('Additional Videos-WUO_ERR'!A299, ":"))))</f>
        <v>0</v>
      </c>
    </row>
    <row r="300" spans="1:1">
      <c r="A300" s="39">
        <f>IF('Additional Videos'!B300 = "", "", IF('Additional Videos-WUO_ERR'!A300 = "", "Validated", HYPERLINK("#" &amp; ADDRESS(300, 'Additional Videos-WUO_TRK'!A300),_xlfn.TEXTAFTER('Additional Videos-WUO_ERR'!A300, ":"))))</f>
        <v>0</v>
      </c>
    </row>
    <row r="301" spans="1:1">
      <c r="A301" s="39">
        <f>IF('Additional Videos'!B301 = "", "", IF('Additional Videos-WUO_ERR'!A301 = "", "Validated", HYPERLINK("#" &amp; ADDRESS(301, 'Additional Videos-WUO_TRK'!A301),_xlfn.TEXTAFTER('Additional Videos-WUO_ERR'!A301, ":"))))</f>
        <v>0</v>
      </c>
    </row>
    <row r="302" spans="1:1">
      <c r="A302" s="39">
        <f>IF('Additional Videos'!B302 = "", "", IF('Additional Videos-WUO_ERR'!A302 = "", "Validated", HYPERLINK("#" &amp; ADDRESS(302, 'Additional Videos-WUO_TRK'!A302),_xlfn.TEXTAFTER('Additional Videos-WUO_ERR'!A302, ":"))))</f>
        <v>0</v>
      </c>
    </row>
    <row r="303" spans="1:1">
      <c r="A303" s="39">
        <f>IF('Additional Videos'!B303 = "", "", IF('Additional Videos-WUO_ERR'!A303 = "", "Validated", HYPERLINK("#" &amp; ADDRESS(303, 'Additional Videos-WUO_TRK'!A303),_xlfn.TEXTAFTER('Additional Videos-WUO_ERR'!A303, ":"))))</f>
        <v>0</v>
      </c>
    </row>
    <row r="304" spans="1:1">
      <c r="A304" s="39">
        <f>IF('Additional Videos'!B304 = "", "", IF('Additional Videos-WUO_ERR'!A304 = "", "Validated", HYPERLINK("#" &amp; ADDRESS(304, 'Additional Videos-WUO_TRK'!A304),_xlfn.TEXTAFTER('Additional Videos-WUO_ERR'!A304, ":"))))</f>
        <v>0</v>
      </c>
    </row>
    <row r="305" spans="1:1">
      <c r="A305" s="39">
        <f>IF('Additional Videos'!B305 = "", "", IF('Additional Videos-WUO_ERR'!A305 = "", "Validated", HYPERLINK("#" &amp; ADDRESS(305, 'Additional Videos-WUO_TRK'!A305),_xlfn.TEXTAFTER('Additional Videos-WUO_ERR'!A305, ":"))))</f>
        <v>0</v>
      </c>
    </row>
    <row r="306" spans="1:1">
      <c r="A306" s="39">
        <f>IF('Additional Videos'!B306 = "", "", IF('Additional Videos-WUO_ERR'!A306 = "", "Validated", HYPERLINK("#" &amp; ADDRESS(306, 'Additional Videos-WUO_TRK'!A306),_xlfn.TEXTAFTER('Additional Videos-WUO_ERR'!A306, ":"))))</f>
        <v>0</v>
      </c>
    </row>
    <row r="307" spans="1:1">
      <c r="A307" s="39">
        <f>IF('Additional Videos'!B307 = "", "", IF('Additional Videos-WUO_ERR'!A307 = "", "Validated", HYPERLINK("#" &amp; ADDRESS(307, 'Additional Videos-WUO_TRK'!A307),_xlfn.TEXTAFTER('Additional Videos-WUO_ERR'!A307, ":"))))</f>
        <v>0</v>
      </c>
    </row>
    <row r="308" spans="1:1">
      <c r="A308" s="39">
        <f>IF('Additional Videos'!B308 = "", "", IF('Additional Videos-WUO_ERR'!A308 = "", "Validated", HYPERLINK("#" &amp; ADDRESS(308, 'Additional Videos-WUO_TRK'!A308),_xlfn.TEXTAFTER('Additional Videos-WUO_ERR'!A308, ":"))))</f>
        <v>0</v>
      </c>
    </row>
    <row r="309" spans="1:1">
      <c r="A309" s="39">
        <f>IF('Additional Videos'!B309 = "", "", IF('Additional Videos-WUO_ERR'!A309 = "", "Validated", HYPERLINK("#" &amp; ADDRESS(309, 'Additional Videos-WUO_TRK'!A309),_xlfn.TEXTAFTER('Additional Videos-WUO_ERR'!A309, ":"))))</f>
        <v>0</v>
      </c>
    </row>
    <row r="310" spans="1:1">
      <c r="A310" s="39">
        <f>IF('Additional Videos'!B310 = "", "", IF('Additional Videos-WUO_ERR'!A310 = "", "Validated", HYPERLINK("#" &amp; ADDRESS(310, 'Additional Videos-WUO_TRK'!A310),_xlfn.TEXTAFTER('Additional Videos-WUO_ERR'!A310, ":"))))</f>
        <v>0</v>
      </c>
    </row>
    <row r="311" spans="1:1">
      <c r="A311" s="39">
        <f>IF('Additional Videos'!B311 = "", "", IF('Additional Videos-WUO_ERR'!A311 = "", "Validated", HYPERLINK("#" &amp; ADDRESS(311, 'Additional Videos-WUO_TRK'!A311),_xlfn.TEXTAFTER('Additional Videos-WUO_ERR'!A311, ":"))))</f>
        <v>0</v>
      </c>
    </row>
    <row r="312" spans="1:1">
      <c r="A312" s="39">
        <f>IF('Additional Videos'!B312 = "", "", IF('Additional Videos-WUO_ERR'!A312 = "", "Validated", HYPERLINK("#" &amp; ADDRESS(312, 'Additional Videos-WUO_TRK'!A312),_xlfn.TEXTAFTER('Additional Videos-WUO_ERR'!A312, ":"))))</f>
        <v>0</v>
      </c>
    </row>
    <row r="313" spans="1:1">
      <c r="A313" s="39">
        <f>IF('Additional Videos'!B313 = "", "", IF('Additional Videos-WUO_ERR'!A313 = "", "Validated", HYPERLINK("#" &amp; ADDRESS(313, 'Additional Videos-WUO_TRK'!A313),_xlfn.TEXTAFTER('Additional Videos-WUO_ERR'!A313, ":"))))</f>
        <v>0</v>
      </c>
    </row>
    <row r="314" spans="1:1">
      <c r="A314" s="39">
        <f>IF('Additional Videos'!B314 = "", "", IF('Additional Videos-WUO_ERR'!A314 = "", "Validated", HYPERLINK("#" &amp; ADDRESS(314, 'Additional Videos-WUO_TRK'!A314),_xlfn.TEXTAFTER('Additional Videos-WUO_ERR'!A314, ":"))))</f>
        <v>0</v>
      </c>
    </row>
    <row r="315" spans="1:1">
      <c r="A315" s="39">
        <f>IF('Additional Videos'!B315 = "", "", IF('Additional Videos-WUO_ERR'!A315 = "", "Validated", HYPERLINK("#" &amp; ADDRESS(315, 'Additional Videos-WUO_TRK'!A315),_xlfn.TEXTAFTER('Additional Videos-WUO_ERR'!A315, ":"))))</f>
        <v>0</v>
      </c>
    </row>
    <row r="316" spans="1:1">
      <c r="A316" s="39">
        <f>IF('Additional Videos'!B316 = "", "", IF('Additional Videos-WUO_ERR'!A316 = "", "Validated", HYPERLINK("#" &amp; ADDRESS(316, 'Additional Videos-WUO_TRK'!A316),_xlfn.TEXTAFTER('Additional Videos-WUO_ERR'!A316, ":"))))</f>
        <v>0</v>
      </c>
    </row>
    <row r="317" spans="1:1">
      <c r="A317" s="39">
        <f>IF('Additional Videos'!B317 = "", "", IF('Additional Videos-WUO_ERR'!A317 = "", "Validated", HYPERLINK("#" &amp; ADDRESS(317, 'Additional Videos-WUO_TRK'!A317),_xlfn.TEXTAFTER('Additional Videos-WUO_ERR'!A317, ":"))))</f>
        <v>0</v>
      </c>
    </row>
    <row r="318" spans="1:1">
      <c r="A318" s="39">
        <f>IF('Additional Videos'!B318 = "", "", IF('Additional Videos-WUO_ERR'!A318 = "", "Validated", HYPERLINK("#" &amp; ADDRESS(318, 'Additional Videos-WUO_TRK'!A318),_xlfn.TEXTAFTER('Additional Videos-WUO_ERR'!A318, ":"))))</f>
        <v>0</v>
      </c>
    </row>
    <row r="319" spans="1:1">
      <c r="A319" s="39">
        <f>IF('Additional Videos'!B319 = "", "", IF('Additional Videos-WUO_ERR'!A319 = "", "Validated", HYPERLINK("#" &amp; ADDRESS(319, 'Additional Videos-WUO_TRK'!A319),_xlfn.TEXTAFTER('Additional Videos-WUO_ERR'!A319, ":"))))</f>
        <v>0</v>
      </c>
    </row>
    <row r="320" spans="1:1">
      <c r="A320" s="39">
        <f>IF('Additional Videos'!B320 = "", "", IF('Additional Videos-WUO_ERR'!A320 = "", "Validated", HYPERLINK("#" &amp; ADDRESS(320, 'Additional Videos-WUO_TRK'!A320),_xlfn.TEXTAFTER('Additional Videos-WUO_ERR'!A320, ":"))))</f>
        <v>0</v>
      </c>
    </row>
    <row r="321" spans="1:1">
      <c r="A321" s="39">
        <f>IF('Additional Videos'!B321 = "", "", IF('Additional Videos-WUO_ERR'!A321 = "", "Validated", HYPERLINK("#" &amp; ADDRESS(321, 'Additional Videos-WUO_TRK'!A321),_xlfn.TEXTAFTER('Additional Videos-WUO_ERR'!A321, ":"))))</f>
        <v>0</v>
      </c>
    </row>
    <row r="322" spans="1:1">
      <c r="A322" s="39">
        <f>IF('Additional Videos'!B322 = "", "", IF('Additional Videos-WUO_ERR'!A322 = "", "Validated", HYPERLINK("#" &amp; ADDRESS(322, 'Additional Videos-WUO_TRK'!A322),_xlfn.TEXTAFTER('Additional Videos-WUO_ERR'!A322, ":"))))</f>
        <v>0</v>
      </c>
    </row>
    <row r="323" spans="1:1">
      <c r="A323" s="39">
        <f>IF('Additional Videos'!B323 = "", "", IF('Additional Videos-WUO_ERR'!A323 = "", "Validated", HYPERLINK("#" &amp; ADDRESS(323, 'Additional Videos-WUO_TRK'!A323),_xlfn.TEXTAFTER('Additional Videos-WUO_ERR'!A323, ":"))))</f>
        <v>0</v>
      </c>
    </row>
    <row r="324" spans="1:1">
      <c r="A324" s="39">
        <f>IF('Additional Videos'!B324 = "", "", IF('Additional Videos-WUO_ERR'!A324 = "", "Validated", HYPERLINK("#" &amp; ADDRESS(324, 'Additional Videos-WUO_TRK'!A324),_xlfn.TEXTAFTER('Additional Videos-WUO_ERR'!A324, ":"))))</f>
        <v>0</v>
      </c>
    </row>
    <row r="325" spans="1:1">
      <c r="A325" s="39">
        <f>IF('Additional Videos'!B325 = "", "", IF('Additional Videos-WUO_ERR'!A325 = "", "Validated", HYPERLINK("#" &amp; ADDRESS(325, 'Additional Videos-WUO_TRK'!A325),_xlfn.TEXTAFTER('Additional Videos-WUO_ERR'!A325, ":"))))</f>
        <v>0</v>
      </c>
    </row>
    <row r="326" spans="1:1">
      <c r="A326" s="39">
        <f>IF('Additional Videos'!B326 = "", "", IF('Additional Videos-WUO_ERR'!A326 = "", "Validated", HYPERLINK("#" &amp; ADDRESS(326, 'Additional Videos-WUO_TRK'!A326),_xlfn.TEXTAFTER('Additional Videos-WUO_ERR'!A326, ":"))))</f>
        <v>0</v>
      </c>
    </row>
    <row r="327" spans="1:1">
      <c r="A327" s="39">
        <f>IF('Additional Videos'!B327 = "", "", IF('Additional Videos-WUO_ERR'!A327 = "", "Validated", HYPERLINK("#" &amp; ADDRESS(327, 'Additional Videos-WUO_TRK'!A327),_xlfn.TEXTAFTER('Additional Videos-WUO_ERR'!A327, ":"))))</f>
        <v>0</v>
      </c>
    </row>
    <row r="328" spans="1:1">
      <c r="A328" s="39">
        <f>IF('Additional Videos'!B328 = "", "", IF('Additional Videos-WUO_ERR'!A328 = "", "Validated", HYPERLINK("#" &amp; ADDRESS(328, 'Additional Videos-WUO_TRK'!A328),_xlfn.TEXTAFTER('Additional Videos-WUO_ERR'!A328, ":"))))</f>
        <v>0</v>
      </c>
    </row>
    <row r="329" spans="1:1">
      <c r="A329" s="39">
        <f>IF('Additional Videos'!B329 = "", "", IF('Additional Videos-WUO_ERR'!A329 = "", "Validated", HYPERLINK("#" &amp; ADDRESS(329, 'Additional Videos-WUO_TRK'!A329),_xlfn.TEXTAFTER('Additional Videos-WUO_ERR'!A329, ":"))))</f>
        <v>0</v>
      </c>
    </row>
    <row r="330" spans="1:1">
      <c r="A330" s="39">
        <f>IF('Additional Videos'!B330 = "", "", IF('Additional Videos-WUO_ERR'!A330 = "", "Validated", HYPERLINK("#" &amp; ADDRESS(330, 'Additional Videos-WUO_TRK'!A330),_xlfn.TEXTAFTER('Additional Videos-WUO_ERR'!A330, ":"))))</f>
        <v>0</v>
      </c>
    </row>
    <row r="331" spans="1:1">
      <c r="A331" s="39">
        <f>IF('Additional Videos'!B331 = "", "", IF('Additional Videos-WUO_ERR'!A331 = "", "Validated", HYPERLINK("#" &amp; ADDRESS(331, 'Additional Videos-WUO_TRK'!A331),_xlfn.TEXTAFTER('Additional Videos-WUO_ERR'!A331, ":"))))</f>
        <v>0</v>
      </c>
    </row>
    <row r="332" spans="1:1">
      <c r="A332" s="39">
        <f>IF('Additional Videos'!B332 = "", "", IF('Additional Videos-WUO_ERR'!A332 = "", "Validated", HYPERLINK("#" &amp; ADDRESS(332, 'Additional Videos-WUO_TRK'!A332),_xlfn.TEXTAFTER('Additional Videos-WUO_ERR'!A332, ":"))))</f>
        <v>0</v>
      </c>
    </row>
    <row r="333" spans="1:1">
      <c r="A333" s="39">
        <f>IF('Additional Videos'!B333 = "", "", IF('Additional Videos-WUO_ERR'!A333 = "", "Validated", HYPERLINK("#" &amp; ADDRESS(333, 'Additional Videos-WUO_TRK'!A333),_xlfn.TEXTAFTER('Additional Videos-WUO_ERR'!A333, ":"))))</f>
        <v>0</v>
      </c>
    </row>
    <row r="334" spans="1:1">
      <c r="A334" s="39">
        <f>IF('Additional Videos'!B334 = "", "", IF('Additional Videos-WUO_ERR'!A334 = "", "Validated", HYPERLINK("#" &amp; ADDRESS(334, 'Additional Videos-WUO_TRK'!A334),_xlfn.TEXTAFTER('Additional Videos-WUO_ERR'!A334, ":"))))</f>
        <v>0</v>
      </c>
    </row>
    <row r="335" spans="1:1">
      <c r="A335" s="39">
        <f>IF('Additional Videos'!B335 = "", "", IF('Additional Videos-WUO_ERR'!A335 = "", "Validated", HYPERLINK("#" &amp; ADDRESS(335, 'Additional Videos-WUO_TRK'!A335),_xlfn.TEXTAFTER('Additional Videos-WUO_ERR'!A335, ":"))))</f>
        <v>0</v>
      </c>
    </row>
    <row r="336" spans="1:1">
      <c r="A336" s="39">
        <f>IF('Additional Videos'!B336 = "", "", IF('Additional Videos-WUO_ERR'!A336 = "", "Validated", HYPERLINK("#" &amp; ADDRESS(336, 'Additional Videos-WUO_TRK'!A336),_xlfn.TEXTAFTER('Additional Videos-WUO_ERR'!A336, ":"))))</f>
        <v>0</v>
      </c>
    </row>
    <row r="337" spans="1:1">
      <c r="A337" s="39">
        <f>IF('Additional Videos'!B337 = "", "", IF('Additional Videos-WUO_ERR'!A337 = "", "Validated", HYPERLINK("#" &amp; ADDRESS(337, 'Additional Videos-WUO_TRK'!A337),_xlfn.TEXTAFTER('Additional Videos-WUO_ERR'!A337, ":"))))</f>
        <v>0</v>
      </c>
    </row>
    <row r="338" spans="1:1">
      <c r="A338" s="39">
        <f>IF('Additional Videos'!B338 = "", "", IF('Additional Videos-WUO_ERR'!A338 = "", "Validated", HYPERLINK("#" &amp; ADDRESS(338, 'Additional Videos-WUO_TRK'!A338),_xlfn.TEXTAFTER('Additional Videos-WUO_ERR'!A338, ":"))))</f>
        <v>0</v>
      </c>
    </row>
    <row r="339" spans="1:1">
      <c r="A339" s="39">
        <f>IF('Additional Videos'!B339 = "", "", IF('Additional Videos-WUO_ERR'!A339 = "", "Validated", HYPERLINK("#" &amp; ADDRESS(339, 'Additional Videos-WUO_TRK'!A339),_xlfn.TEXTAFTER('Additional Videos-WUO_ERR'!A339, ":"))))</f>
        <v>0</v>
      </c>
    </row>
    <row r="340" spans="1:1">
      <c r="A340" s="39">
        <f>IF('Additional Videos'!B340 = "", "", IF('Additional Videos-WUO_ERR'!A340 = "", "Validated", HYPERLINK("#" &amp; ADDRESS(340, 'Additional Videos-WUO_TRK'!A340),_xlfn.TEXTAFTER('Additional Videos-WUO_ERR'!A340, ":"))))</f>
        <v>0</v>
      </c>
    </row>
    <row r="341" spans="1:1">
      <c r="A341" s="39">
        <f>IF('Additional Videos'!B341 = "", "", IF('Additional Videos-WUO_ERR'!A341 = "", "Validated", HYPERLINK("#" &amp; ADDRESS(341, 'Additional Videos-WUO_TRK'!A341),_xlfn.TEXTAFTER('Additional Videos-WUO_ERR'!A341, ":"))))</f>
        <v>0</v>
      </c>
    </row>
    <row r="342" spans="1:1">
      <c r="A342" s="39">
        <f>IF('Additional Videos'!B342 = "", "", IF('Additional Videos-WUO_ERR'!A342 = "", "Validated", HYPERLINK("#" &amp; ADDRESS(342, 'Additional Videos-WUO_TRK'!A342),_xlfn.TEXTAFTER('Additional Videos-WUO_ERR'!A342, ":"))))</f>
        <v>0</v>
      </c>
    </row>
    <row r="343" spans="1:1">
      <c r="A343" s="39">
        <f>IF('Additional Videos'!B343 = "", "", IF('Additional Videos-WUO_ERR'!A343 = "", "Validated", HYPERLINK("#" &amp; ADDRESS(343, 'Additional Videos-WUO_TRK'!A343),_xlfn.TEXTAFTER('Additional Videos-WUO_ERR'!A343, ":"))))</f>
        <v>0</v>
      </c>
    </row>
    <row r="344" spans="1:1">
      <c r="A344" s="39">
        <f>IF('Additional Videos'!B344 = "", "", IF('Additional Videos-WUO_ERR'!A344 = "", "Validated", HYPERLINK("#" &amp; ADDRESS(344, 'Additional Videos-WUO_TRK'!A344),_xlfn.TEXTAFTER('Additional Videos-WUO_ERR'!A344, ":"))))</f>
        <v>0</v>
      </c>
    </row>
    <row r="345" spans="1:1">
      <c r="A345" s="39">
        <f>IF('Additional Videos'!B345 = "", "", IF('Additional Videos-WUO_ERR'!A345 = "", "Validated", HYPERLINK("#" &amp; ADDRESS(345, 'Additional Videos-WUO_TRK'!A345),_xlfn.TEXTAFTER('Additional Videos-WUO_ERR'!A345, ":"))))</f>
        <v>0</v>
      </c>
    </row>
    <row r="346" spans="1:1">
      <c r="A346" s="39">
        <f>IF('Additional Videos'!B346 = "", "", IF('Additional Videos-WUO_ERR'!A346 = "", "Validated", HYPERLINK("#" &amp; ADDRESS(346, 'Additional Videos-WUO_TRK'!A346),_xlfn.TEXTAFTER('Additional Videos-WUO_ERR'!A346, ":"))))</f>
        <v>0</v>
      </c>
    </row>
    <row r="347" spans="1:1">
      <c r="A347" s="39">
        <f>IF('Additional Videos'!B347 = "", "", IF('Additional Videos-WUO_ERR'!A347 = "", "Validated", HYPERLINK("#" &amp; ADDRESS(347, 'Additional Videos-WUO_TRK'!A347),_xlfn.TEXTAFTER('Additional Videos-WUO_ERR'!A347, ":"))))</f>
        <v>0</v>
      </c>
    </row>
    <row r="348" spans="1:1">
      <c r="A348" s="39">
        <f>IF('Additional Videos'!B348 = "", "", IF('Additional Videos-WUO_ERR'!A348 = "", "Validated", HYPERLINK("#" &amp; ADDRESS(348, 'Additional Videos-WUO_TRK'!A348),_xlfn.TEXTAFTER('Additional Videos-WUO_ERR'!A348, ":"))))</f>
        <v>0</v>
      </c>
    </row>
    <row r="349" spans="1:1">
      <c r="A349" s="39">
        <f>IF('Additional Videos'!B349 = "", "", IF('Additional Videos-WUO_ERR'!A349 = "", "Validated", HYPERLINK("#" &amp; ADDRESS(349, 'Additional Videos-WUO_TRK'!A349),_xlfn.TEXTAFTER('Additional Videos-WUO_ERR'!A349, ":"))))</f>
        <v>0</v>
      </c>
    </row>
    <row r="350" spans="1:1">
      <c r="A350" s="39">
        <f>IF('Additional Videos'!B350 = "", "", IF('Additional Videos-WUO_ERR'!A350 = "", "Validated", HYPERLINK("#" &amp; ADDRESS(350, 'Additional Videos-WUO_TRK'!A350),_xlfn.TEXTAFTER('Additional Videos-WUO_ERR'!A350, ":"))))</f>
        <v>0</v>
      </c>
    </row>
    <row r="351" spans="1:1">
      <c r="A351" s="39">
        <f>IF('Additional Videos'!B351 = "", "", IF('Additional Videos-WUO_ERR'!A351 = "", "Validated", HYPERLINK("#" &amp; ADDRESS(351, 'Additional Videos-WUO_TRK'!A351),_xlfn.TEXTAFTER('Additional Videos-WUO_ERR'!A351, ":"))))</f>
        <v>0</v>
      </c>
    </row>
    <row r="352" spans="1:1">
      <c r="A352" s="39">
        <f>IF('Additional Videos'!B352 = "", "", IF('Additional Videos-WUO_ERR'!A352 = "", "Validated", HYPERLINK("#" &amp; ADDRESS(352, 'Additional Videos-WUO_TRK'!A352),_xlfn.TEXTAFTER('Additional Videos-WUO_ERR'!A352, ":"))))</f>
        <v>0</v>
      </c>
    </row>
    <row r="353" spans="1:1">
      <c r="A353" s="39">
        <f>IF('Additional Videos'!B353 = "", "", IF('Additional Videos-WUO_ERR'!A353 = "", "Validated", HYPERLINK("#" &amp; ADDRESS(353, 'Additional Videos-WUO_TRK'!A353),_xlfn.TEXTAFTER('Additional Videos-WUO_ERR'!A353, ":"))))</f>
        <v>0</v>
      </c>
    </row>
    <row r="354" spans="1:1">
      <c r="A354" s="39">
        <f>IF('Additional Videos'!B354 = "", "", IF('Additional Videos-WUO_ERR'!A354 = "", "Validated", HYPERLINK("#" &amp; ADDRESS(354, 'Additional Videos-WUO_TRK'!A354),_xlfn.TEXTAFTER('Additional Videos-WUO_ERR'!A354, ":"))))</f>
        <v>0</v>
      </c>
    </row>
    <row r="355" spans="1:1">
      <c r="A355" s="39">
        <f>IF('Additional Videos'!B355 = "", "", IF('Additional Videos-WUO_ERR'!A355 = "", "Validated", HYPERLINK("#" &amp; ADDRESS(355, 'Additional Videos-WUO_TRK'!A355),_xlfn.TEXTAFTER('Additional Videos-WUO_ERR'!A355, ":"))))</f>
        <v>0</v>
      </c>
    </row>
    <row r="356" spans="1:1">
      <c r="A356" s="39">
        <f>IF('Additional Videos'!B356 = "", "", IF('Additional Videos-WUO_ERR'!A356 = "", "Validated", HYPERLINK("#" &amp; ADDRESS(356, 'Additional Videos-WUO_TRK'!A356),_xlfn.TEXTAFTER('Additional Videos-WUO_ERR'!A356, ":"))))</f>
        <v>0</v>
      </c>
    </row>
    <row r="357" spans="1:1">
      <c r="A357" s="39">
        <f>IF('Additional Videos'!B357 = "", "", IF('Additional Videos-WUO_ERR'!A357 = "", "Validated", HYPERLINK("#" &amp; ADDRESS(357, 'Additional Videos-WUO_TRK'!A357),_xlfn.TEXTAFTER('Additional Videos-WUO_ERR'!A357, ":"))))</f>
        <v>0</v>
      </c>
    </row>
    <row r="358" spans="1:1">
      <c r="A358" s="39">
        <f>IF('Additional Videos'!B358 = "", "", IF('Additional Videos-WUO_ERR'!A358 = "", "Validated", HYPERLINK("#" &amp; ADDRESS(358, 'Additional Videos-WUO_TRK'!A358),_xlfn.TEXTAFTER('Additional Videos-WUO_ERR'!A358, ":"))))</f>
        <v>0</v>
      </c>
    </row>
    <row r="359" spans="1:1">
      <c r="A359" s="39">
        <f>IF('Additional Videos'!B359 = "", "", IF('Additional Videos-WUO_ERR'!A359 = "", "Validated", HYPERLINK("#" &amp; ADDRESS(359, 'Additional Videos-WUO_TRK'!A359),_xlfn.TEXTAFTER('Additional Videos-WUO_ERR'!A359, ":"))))</f>
        <v>0</v>
      </c>
    </row>
    <row r="360" spans="1:1">
      <c r="A360" s="39">
        <f>IF('Additional Videos'!B360 = "", "", IF('Additional Videos-WUO_ERR'!A360 = "", "Validated", HYPERLINK("#" &amp; ADDRESS(360, 'Additional Videos-WUO_TRK'!A360),_xlfn.TEXTAFTER('Additional Videos-WUO_ERR'!A360, ":"))))</f>
        <v>0</v>
      </c>
    </row>
    <row r="361" spans="1:1">
      <c r="A361" s="39">
        <f>IF('Additional Videos'!B361 = "", "", IF('Additional Videos-WUO_ERR'!A361 = "", "Validated", HYPERLINK("#" &amp; ADDRESS(361, 'Additional Videos-WUO_TRK'!A361),_xlfn.TEXTAFTER('Additional Videos-WUO_ERR'!A361, ":"))))</f>
        <v>0</v>
      </c>
    </row>
    <row r="362" spans="1:1">
      <c r="A362" s="39">
        <f>IF('Additional Videos'!B362 = "", "", IF('Additional Videos-WUO_ERR'!A362 = "", "Validated", HYPERLINK("#" &amp; ADDRESS(362, 'Additional Videos-WUO_TRK'!A362),_xlfn.TEXTAFTER('Additional Videos-WUO_ERR'!A362, ":"))))</f>
        <v>0</v>
      </c>
    </row>
    <row r="363" spans="1:1">
      <c r="A363" s="39">
        <f>IF('Additional Videos'!B363 = "", "", IF('Additional Videos-WUO_ERR'!A363 = "", "Validated", HYPERLINK("#" &amp; ADDRESS(363, 'Additional Videos-WUO_TRK'!A363),_xlfn.TEXTAFTER('Additional Videos-WUO_ERR'!A363, ":"))))</f>
        <v>0</v>
      </c>
    </row>
    <row r="364" spans="1:1">
      <c r="A364" s="39">
        <f>IF('Additional Videos'!B364 = "", "", IF('Additional Videos-WUO_ERR'!A364 = "", "Validated", HYPERLINK("#" &amp; ADDRESS(364, 'Additional Videos-WUO_TRK'!A364),_xlfn.TEXTAFTER('Additional Videos-WUO_ERR'!A364, ":"))))</f>
        <v>0</v>
      </c>
    </row>
    <row r="365" spans="1:1">
      <c r="A365" s="39">
        <f>IF('Additional Videos'!B365 = "", "", IF('Additional Videos-WUO_ERR'!A365 = "", "Validated", HYPERLINK("#" &amp; ADDRESS(365, 'Additional Videos-WUO_TRK'!A365),_xlfn.TEXTAFTER('Additional Videos-WUO_ERR'!A365, ":"))))</f>
        <v>0</v>
      </c>
    </row>
    <row r="366" spans="1:1">
      <c r="A366" s="39">
        <f>IF('Additional Videos'!B366 = "", "", IF('Additional Videos-WUO_ERR'!A366 = "", "Validated", HYPERLINK("#" &amp; ADDRESS(366, 'Additional Videos-WUO_TRK'!A366),_xlfn.TEXTAFTER('Additional Videos-WUO_ERR'!A366, ":"))))</f>
        <v>0</v>
      </c>
    </row>
    <row r="367" spans="1:1">
      <c r="A367" s="39">
        <f>IF('Additional Videos'!B367 = "", "", IF('Additional Videos-WUO_ERR'!A367 = "", "Validated", HYPERLINK("#" &amp; ADDRESS(367, 'Additional Videos-WUO_TRK'!A367),_xlfn.TEXTAFTER('Additional Videos-WUO_ERR'!A367, ":"))))</f>
        <v>0</v>
      </c>
    </row>
    <row r="368" spans="1:1">
      <c r="A368" s="39">
        <f>IF('Additional Videos'!B368 = "", "", IF('Additional Videos-WUO_ERR'!A368 = "", "Validated", HYPERLINK("#" &amp; ADDRESS(368, 'Additional Videos-WUO_TRK'!A368),_xlfn.TEXTAFTER('Additional Videos-WUO_ERR'!A368, ":"))))</f>
        <v>0</v>
      </c>
    </row>
    <row r="369" spans="1:1">
      <c r="A369" s="39">
        <f>IF('Additional Videos'!B369 = "", "", IF('Additional Videos-WUO_ERR'!A369 = "", "Validated", HYPERLINK("#" &amp; ADDRESS(369, 'Additional Videos-WUO_TRK'!A369),_xlfn.TEXTAFTER('Additional Videos-WUO_ERR'!A369, ":"))))</f>
        <v>0</v>
      </c>
    </row>
    <row r="370" spans="1:1">
      <c r="A370" s="39">
        <f>IF('Additional Videos'!B370 = "", "", IF('Additional Videos-WUO_ERR'!A370 = "", "Validated", HYPERLINK("#" &amp; ADDRESS(370, 'Additional Videos-WUO_TRK'!A370),_xlfn.TEXTAFTER('Additional Videos-WUO_ERR'!A370, ":"))))</f>
        <v>0</v>
      </c>
    </row>
    <row r="371" spans="1:1">
      <c r="A371" s="39">
        <f>IF('Additional Videos'!B371 = "", "", IF('Additional Videos-WUO_ERR'!A371 = "", "Validated", HYPERLINK("#" &amp; ADDRESS(371, 'Additional Videos-WUO_TRK'!A371),_xlfn.TEXTAFTER('Additional Videos-WUO_ERR'!A371, ":"))))</f>
        <v>0</v>
      </c>
    </row>
    <row r="372" spans="1:1">
      <c r="A372" s="39">
        <f>IF('Additional Videos'!B372 = "", "", IF('Additional Videos-WUO_ERR'!A372 = "", "Validated", HYPERLINK("#" &amp; ADDRESS(372, 'Additional Videos-WUO_TRK'!A372),_xlfn.TEXTAFTER('Additional Videos-WUO_ERR'!A372, ":"))))</f>
        <v>0</v>
      </c>
    </row>
    <row r="373" spans="1:1">
      <c r="A373" s="39">
        <f>IF('Additional Videos'!B373 = "", "", IF('Additional Videos-WUO_ERR'!A373 = "", "Validated", HYPERLINK("#" &amp; ADDRESS(373, 'Additional Videos-WUO_TRK'!A373),_xlfn.TEXTAFTER('Additional Videos-WUO_ERR'!A373, ":"))))</f>
        <v>0</v>
      </c>
    </row>
    <row r="374" spans="1:1">
      <c r="A374" s="39">
        <f>IF('Additional Videos'!B374 = "", "", IF('Additional Videos-WUO_ERR'!A374 = "", "Validated", HYPERLINK("#" &amp; ADDRESS(374, 'Additional Videos-WUO_TRK'!A374),_xlfn.TEXTAFTER('Additional Videos-WUO_ERR'!A374, ":"))))</f>
        <v>0</v>
      </c>
    </row>
    <row r="375" spans="1:1">
      <c r="A375" s="39">
        <f>IF('Additional Videos'!B375 = "", "", IF('Additional Videos-WUO_ERR'!A375 = "", "Validated", HYPERLINK("#" &amp; ADDRESS(375, 'Additional Videos-WUO_TRK'!A375),_xlfn.TEXTAFTER('Additional Videos-WUO_ERR'!A375, ":"))))</f>
        <v>0</v>
      </c>
    </row>
    <row r="376" spans="1:1">
      <c r="A376" s="39">
        <f>IF('Additional Videos'!B376 = "", "", IF('Additional Videos-WUO_ERR'!A376 = "", "Validated", HYPERLINK("#" &amp; ADDRESS(376, 'Additional Videos-WUO_TRK'!A376),_xlfn.TEXTAFTER('Additional Videos-WUO_ERR'!A376, ":"))))</f>
        <v>0</v>
      </c>
    </row>
    <row r="377" spans="1:1">
      <c r="A377" s="39">
        <f>IF('Additional Videos'!B377 = "", "", IF('Additional Videos-WUO_ERR'!A377 = "", "Validated", HYPERLINK("#" &amp; ADDRESS(377, 'Additional Videos-WUO_TRK'!A377),_xlfn.TEXTAFTER('Additional Videos-WUO_ERR'!A377, ":"))))</f>
        <v>0</v>
      </c>
    </row>
    <row r="378" spans="1:1">
      <c r="A378" s="39">
        <f>IF('Additional Videos'!B378 = "", "", IF('Additional Videos-WUO_ERR'!A378 = "", "Validated", HYPERLINK("#" &amp; ADDRESS(378, 'Additional Videos-WUO_TRK'!A378),_xlfn.TEXTAFTER('Additional Videos-WUO_ERR'!A378, ":"))))</f>
        <v>0</v>
      </c>
    </row>
    <row r="379" spans="1:1">
      <c r="A379" s="39">
        <f>IF('Additional Videos'!B379 = "", "", IF('Additional Videos-WUO_ERR'!A379 = "", "Validated", HYPERLINK("#" &amp; ADDRESS(379, 'Additional Videos-WUO_TRK'!A379),_xlfn.TEXTAFTER('Additional Videos-WUO_ERR'!A379, ":"))))</f>
        <v>0</v>
      </c>
    </row>
    <row r="380" spans="1:1">
      <c r="A380" s="39">
        <f>IF('Additional Videos'!B380 = "", "", IF('Additional Videos-WUO_ERR'!A380 = "", "Validated", HYPERLINK("#" &amp; ADDRESS(380, 'Additional Videos-WUO_TRK'!A380),_xlfn.TEXTAFTER('Additional Videos-WUO_ERR'!A380, ":"))))</f>
        <v>0</v>
      </c>
    </row>
    <row r="381" spans="1:1">
      <c r="A381" s="39">
        <f>IF('Additional Videos'!B381 = "", "", IF('Additional Videos-WUO_ERR'!A381 = "", "Validated", HYPERLINK("#" &amp; ADDRESS(381, 'Additional Videos-WUO_TRK'!A381),_xlfn.TEXTAFTER('Additional Videos-WUO_ERR'!A381, ":"))))</f>
        <v>0</v>
      </c>
    </row>
    <row r="382" spans="1:1">
      <c r="A382" s="39">
        <f>IF('Additional Videos'!B382 = "", "", IF('Additional Videos-WUO_ERR'!A382 = "", "Validated", HYPERLINK("#" &amp; ADDRESS(382, 'Additional Videos-WUO_TRK'!A382),_xlfn.TEXTAFTER('Additional Videos-WUO_ERR'!A382, ":"))))</f>
        <v>0</v>
      </c>
    </row>
    <row r="383" spans="1:1">
      <c r="A383" s="39">
        <f>IF('Additional Videos'!B383 = "", "", IF('Additional Videos-WUO_ERR'!A383 = "", "Validated", HYPERLINK("#" &amp; ADDRESS(383, 'Additional Videos-WUO_TRK'!A383),_xlfn.TEXTAFTER('Additional Videos-WUO_ERR'!A383, ":"))))</f>
        <v>0</v>
      </c>
    </row>
    <row r="384" spans="1:1">
      <c r="A384" s="39">
        <f>IF('Additional Videos'!B384 = "", "", IF('Additional Videos-WUO_ERR'!A384 = "", "Validated", HYPERLINK("#" &amp; ADDRESS(384, 'Additional Videos-WUO_TRK'!A384),_xlfn.TEXTAFTER('Additional Videos-WUO_ERR'!A384, ":"))))</f>
        <v>0</v>
      </c>
    </row>
    <row r="385" spans="1:1">
      <c r="A385" s="39">
        <f>IF('Additional Videos'!B385 = "", "", IF('Additional Videos-WUO_ERR'!A385 = "", "Validated", HYPERLINK("#" &amp; ADDRESS(385, 'Additional Videos-WUO_TRK'!A385),_xlfn.TEXTAFTER('Additional Videos-WUO_ERR'!A385, ":"))))</f>
        <v>0</v>
      </c>
    </row>
    <row r="386" spans="1:1">
      <c r="A386" s="39">
        <f>IF('Additional Videos'!B386 = "", "", IF('Additional Videos-WUO_ERR'!A386 = "", "Validated", HYPERLINK("#" &amp; ADDRESS(386, 'Additional Videos-WUO_TRK'!A386),_xlfn.TEXTAFTER('Additional Videos-WUO_ERR'!A386, ":"))))</f>
        <v>0</v>
      </c>
    </row>
    <row r="387" spans="1:1">
      <c r="A387" s="39">
        <f>IF('Additional Videos'!B387 = "", "", IF('Additional Videos-WUO_ERR'!A387 = "", "Validated", HYPERLINK("#" &amp; ADDRESS(387, 'Additional Videos-WUO_TRK'!A387),_xlfn.TEXTAFTER('Additional Videos-WUO_ERR'!A387, ":"))))</f>
        <v>0</v>
      </c>
    </row>
    <row r="388" spans="1:1">
      <c r="A388" s="39">
        <f>IF('Additional Videos'!B388 = "", "", IF('Additional Videos-WUO_ERR'!A388 = "", "Validated", HYPERLINK("#" &amp; ADDRESS(388, 'Additional Videos-WUO_TRK'!A388),_xlfn.TEXTAFTER('Additional Videos-WUO_ERR'!A388, ":"))))</f>
        <v>0</v>
      </c>
    </row>
    <row r="389" spans="1:1">
      <c r="A389" s="39">
        <f>IF('Additional Videos'!B389 = "", "", IF('Additional Videos-WUO_ERR'!A389 = "", "Validated", HYPERLINK("#" &amp; ADDRESS(389, 'Additional Videos-WUO_TRK'!A389),_xlfn.TEXTAFTER('Additional Videos-WUO_ERR'!A389, ":"))))</f>
        <v>0</v>
      </c>
    </row>
    <row r="390" spans="1:1">
      <c r="A390" s="39">
        <f>IF('Additional Videos'!B390 = "", "", IF('Additional Videos-WUO_ERR'!A390 = "", "Validated", HYPERLINK("#" &amp; ADDRESS(390, 'Additional Videos-WUO_TRK'!A390),_xlfn.TEXTAFTER('Additional Videos-WUO_ERR'!A390, ":"))))</f>
        <v>0</v>
      </c>
    </row>
    <row r="391" spans="1:1">
      <c r="A391" s="39">
        <f>IF('Additional Videos'!B391 = "", "", IF('Additional Videos-WUO_ERR'!A391 = "", "Validated", HYPERLINK("#" &amp; ADDRESS(391, 'Additional Videos-WUO_TRK'!A391),_xlfn.TEXTAFTER('Additional Videos-WUO_ERR'!A391, ":"))))</f>
        <v>0</v>
      </c>
    </row>
    <row r="392" spans="1:1">
      <c r="A392" s="39">
        <f>IF('Additional Videos'!B392 = "", "", IF('Additional Videos-WUO_ERR'!A392 = "", "Validated", HYPERLINK("#" &amp; ADDRESS(392, 'Additional Videos-WUO_TRK'!A392),_xlfn.TEXTAFTER('Additional Videos-WUO_ERR'!A392, ":"))))</f>
        <v>0</v>
      </c>
    </row>
    <row r="393" spans="1:1">
      <c r="A393" s="39">
        <f>IF('Additional Videos'!B393 = "", "", IF('Additional Videos-WUO_ERR'!A393 = "", "Validated", HYPERLINK("#" &amp; ADDRESS(393, 'Additional Videos-WUO_TRK'!A393),_xlfn.TEXTAFTER('Additional Videos-WUO_ERR'!A393, ":"))))</f>
        <v>0</v>
      </c>
    </row>
    <row r="394" spans="1:1">
      <c r="A394" s="39">
        <f>IF('Additional Videos'!B394 = "", "", IF('Additional Videos-WUO_ERR'!A394 = "", "Validated", HYPERLINK("#" &amp; ADDRESS(394, 'Additional Videos-WUO_TRK'!A394),_xlfn.TEXTAFTER('Additional Videos-WUO_ERR'!A394, ":"))))</f>
        <v>0</v>
      </c>
    </row>
    <row r="395" spans="1:1">
      <c r="A395" s="39">
        <f>IF('Additional Videos'!B395 = "", "", IF('Additional Videos-WUO_ERR'!A395 = "", "Validated", HYPERLINK("#" &amp; ADDRESS(395, 'Additional Videos-WUO_TRK'!A395),_xlfn.TEXTAFTER('Additional Videos-WUO_ERR'!A395, ":"))))</f>
        <v>0</v>
      </c>
    </row>
    <row r="396" spans="1:1">
      <c r="A396" s="39">
        <f>IF('Additional Videos'!B396 = "", "", IF('Additional Videos-WUO_ERR'!A396 = "", "Validated", HYPERLINK("#" &amp; ADDRESS(396, 'Additional Videos-WUO_TRK'!A396),_xlfn.TEXTAFTER('Additional Videos-WUO_ERR'!A396, ":"))))</f>
        <v>0</v>
      </c>
    </row>
    <row r="397" spans="1:1">
      <c r="A397" s="39">
        <f>IF('Additional Videos'!B397 = "", "", IF('Additional Videos-WUO_ERR'!A397 = "", "Validated", HYPERLINK("#" &amp; ADDRESS(397, 'Additional Videos-WUO_TRK'!A397),_xlfn.TEXTAFTER('Additional Videos-WUO_ERR'!A397, ":"))))</f>
        <v>0</v>
      </c>
    </row>
    <row r="398" spans="1:1">
      <c r="A398" s="39">
        <f>IF('Additional Videos'!B398 = "", "", IF('Additional Videos-WUO_ERR'!A398 = "", "Validated", HYPERLINK("#" &amp; ADDRESS(398, 'Additional Videos-WUO_TRK'!A398),_xlfn.TEXTAFTER('Additional Videos-WUO_ERR'!A398, ":"))))</f>
        <v>0</v>
      </c>
    </row>
    <row r="399" spans="1:1">
      <c r="A399" s="39">
        <f>IF('Additional Videos'!B399 = "", "", IF('Additional Videos-WUO_ERR'!A399 = "", "Validated", HYPERLINK("#" &amp; ADDRESS(399, 'Additional Videos-WUO_TRK'!A399),_xlfn.TEXTAFTER('Additional Videos-WUO_ERR'!A399, ":"))))</f>
        <v>0</v>
      </c>
    </row>
    <row r="400" spans="1:1">
      <c r="A400" s="39">
        <f>IF('Additional Videos'!B400 = "", "", IF('Additional Videos-WUO_ERR'!A400 = "", "Validated", HYPERLINK("#" &amp; ADDRESS(400, 'Additional Videos-WUO_TRK'!A400),_xlfn.TEXTAFTER('Additional Videos-WUO_ERR'!A400, ":"))))</f>
        <v>0</v>
      </c>
    </row>
    <row r="401" spans="1:1">
      <c r="A401" s="39">
        <f>IF('Additional Videos'!B401 = "", "", IF('Additional Videos-WUO_ERR'!A401 = "", "Validated", HYPERLINK("#" &amp; ADDRESS(401, 'Additional Videos-WUO_TRK'!A401),_xlfn.TEXTAFTER('Additional Videos-WUO_ERR'!A401, ":"))))</f>
        <v>0</v>
      </c>
    </row>
    <row r="402" spans="1:1">
      <c r="A402" s="39">
        <f>IF('Additional Videos'!B402 = "", "", IF('Additional Videos-WUO_ERR'!A402 = "", "Validated", HYPERLINK("#" &amp; ADDRESS(402, 'Additional Videos-WUO_TRK'!A402),_xlfn.TEXTAFTER('Additional Videos-WUO_ERR'!A402, ":"))))</f>
        <v>0</v>
      </c>
    </row>
    <row r="403" spans="1:1">
      <c r="A403" s="39">
        <f>IF('Additional Videos'!B403 = "", "", IF('Additional Videos-WUO_ERR'!A403 = "", "Validated", HYPERLINK("#" &amp; ADDRESS(403, 'Additional Videos-WUO_TRK'!A403),_xlfn.TEXTAFTER('Additional Videos-WUO_ERR'!A403, ":"))))</f>
        <v>0</v>
      </c>
    </row>
    <row r="404" spans="1:1">
      <c r="A404" s="39">
        <f>IF('Additional Videos'!B404 = "", "", IF('Additional Videos-WUO_ERR'!A404 = "", "Validated", HYPERLINK("#" &amp; ADDRESS(404, 'Additional Videos-WUO_TRK'!A404),_xlfn.TEXTAFTER('Additional Videos-WUO_ERR'!A404, ":"))))</f>
        <v>0</v>
      </c>
    </row>
    <row r="405" spans="1:1">
      <c r="A405" s="39">
        <f>IF('Additional Videos'!B405 = "", "", IF('Additional Videos-WUO_ERR'!A405 = "", "Validated", HYPERLINK("#" &amp; ADDRESS(405, 'Additional Videos-WUO_TRK'!A405),_xlfn.TEXTAFTER('Additional Videos-WUO_ERR'!A405, ":"))))</f>
        <v>0</v>
      </c>
    </row>
    <row r="406" spans="1:1">
      <c r="A406" s="39">
        <f>IF('Additional Videos'!B406 = "", "", IF('Additional Videos-WUO_ERR'!A406 = "", "Validated", HYPERLINK("#" &amp; ADDRESS(406, 'Additional Videos-WUO_TRK'!A406),_xlfn.TEXTAFTER('Additional Videos-WUO_ERR'!A406, ":"))))</f>
        <v>0</v>
      </c>
    </row>
    <row r="407" spans="1:1">
      <c r="A407" s="39">
        <f>IF('Additional Videos'!B407 = "", "", IF('Additional Videos-WUO_ERR'!A407 = "", "Validated", HYPERLINK("#" &amp; ADDRESS(407, 'Additional Videos-WUO_TRK'!A407),_xlfn.TEXTAFTER('Additional Videos-WUO_ERR'!A407, ":"))))</f>
        <v>0</v>
      </c>
    </row>
    <row r="408" spans="1:1">
      <c r="A408" s="39">
        <f>IF('Additional Videos'!B408 = "", "", IF('Additional Videos-WUO_ERR'!A408 = "", "Validated", HYPERLINK("#" &amp; ADDRESS(408, 'Additional Videos-WUO_TRK'!A408),_xlfn.TEXTAFTER('Additional Videos-WUO_ERR'!A408, ":"))))</f>
        <v>0</v>
      </c>
    </row>
    <row r="409" spans="1:1">
      <c r="A409" s="39">
        <f>IF('Additional Videos'!B409 = "", "", IF('Additional Videos-WUO_ERR'!A409 = "", "Validated", HYPERLINK("#" &amp; ADDRESS(409, 'Additional Videos-WUO_TRK'!A409),_xlfn.TEXTAFTER('Additional Videos-WUO_ERR'!A409, ":"))))</f>
        <v>0</v>
      </c>
    </row>
    <row r="410" spans="1:1">
      <c r="A410" s="39">
        <f>IF('Additional Videos'!B410 = "", "", IF('Additional Videos-WUO_ERR'!A410 = "", "Validated", HYPERLINK("#" &amp; ADDRESS(410, 'Additional Videos-WUO_TRK'!A410),_xlfn.TEXTAFTER('Additional Videos-WUO_ERR'!A410, ":"))))</f>
        <v>0</v>
      </c>
    </row>
    <row r="411" spans="1:1">
      <c r="A411" s="39">
        <f>IF('Additional Videos'!B411 = "", "", IF('Additional Videos-WUO_ERR'!A411 = "", "Validated", HYPERLINK("#" &amp; ADDRESS(411, 'Additional Videos-WUO_TRK'!A411),_xlfn.TEXTAFTER('Additional Videos-WUO_ERR'!A411, ":"))))</f>
        <v>0</v>
      </c>
    </row>
    <row r="412" spans="1:1">
      <c r="A412" s="39">
        <f>IF('Additional Videos'!B412 = "", "", IF('Additional Videos-WUO_ERR'!A412 = "", "Validated", HYPERLINK("#" &amp; ADDRESS(412, 'Additional Videos-WUO_TRK'!A412),_xlfn.TEXTAFTER('Additional Videos-WUO_ERR'!A412, ":"))))</f>
        <v>0</v>
      </c>
    </row>
    <row r="413" spans="1:1">
      <c r="A413" s="39">
        <f>IF('Additional Videos'!B413 = "", "", IF('Additional Videos-WUO_ERR'!A413 = "", "Validated", HYPERLINK("#" &amp; ADDRESS(413, 'Additional Videos-WUO_TRK'!A413),_xlfn.TEXTAFTER('Additional Videos-WUO_ERR'!A413, ":"))))</f>
        <v>0</v>
      </c>
    </row>
    <row r="414" spans="1:1">
      <c r="A414" s="39">
        <f>IF('Additional Videos'!B414 = "", "", IF('Additional Videos-WUO_ERR'!A414 = "", "Validated", HYPERLINK("#" &amp; ADDRESS(414, 'Additional Videos-WUO_TRK'!A414),_xlfn.TEXTAFTER('Additional Videos-WUO_ERR'!A414, ":"))))</f>
        <v>0</v>
      </c>
    </row>
    <row r="415" spans="1:1">
      <c r="A415" s="39">
        <f>IF('Additional Videos'!B415 = "", "", IF('Additional Videos-WUO_ERR'!A415 = "", "Validated", HYPERLINK("#" &amp; ADDRESS(415, 'Additional Videos-WUO_TRK'!A415),_xlfn.TEXTAFTER('Additional Videos-WUO_ERR'!A415, ":"))))</f>
        <v>0</v>
      </c>
    </row>
    <row r="416" spans="1:1">
      <c r="A416" s="39">
        <f>IF('Additional Videos'!B416 = "", "", IF('Additional Videos-WUO_ERR'!A416 = "", "Validated", HYPERLINK("#" &amp; ADDRESS(416, 'Additional Videos-WUO_TRK'!A416),_xlfn.TEXTAFTER('Additional Videos-WUO_ERR'!A416, ":"))))</f>
        <v>0</v>
      </c>
    </row>
    <row r="417" spans="1:1">
      <c r="A417" s="39">
        <f>IF('Additional Videos'!B417 = "", "", IF('Additional Videos-WUO_ERR'!A417 = "", "Validated", HYPERLINK("#" &amp; ADDRESS(417, 'Additional Videos-WUO_TRK'!A417),_xlfn.TEXTAFTER('Additional Videos-WUO_ERR'!A417, ":"))))</f>
        <v>0</v>
      </c>
    </row>
    <row r="418" spans="1:1">
      <c r="A418" s="39">
        <f>IF('Additional Videos'!B418 = "", "", IF('Additional Videos-WUO_ERR'!A418 = "", "Validated", HYPERLINK("#" &amp; ADDRESS(418, 'Additional Videos-WUO_TRK'!A418),_xlfn.TEXTAFTER('Additional Videos-WUO_ERR'!A418, ":"))))</f>
        <v>0</v>
      </c>
    </row>
    <row r="419" spans="1:1">
      <c r="A419" s="39">
        <f>IF('Additional Videos'!B419 = "", "", IF('Additional Videos-WUO_ERR'!A419 = "", "Validated", HYPERLINK("#" &amp; ADDRESS(419, 'Additional Videos-WUO_TRK'!A419),_xlfn.TEXTAFTER('Additional Videos-WUO_ERR'!A419, ":"))))</f>
        <v>0</v>
      </c>
    </row>
    <row r="420" spans="1:1">
      <c r="A420" s="39">
        <f>IF('Additional Videos'!B420 = "", "", IF('Additional Videos-WUO_ERR'!A420 = "", "Validated", HYPERLINK("#" &amp; ADDRESS(420, 'Additional Videos-WUO_TRK'!A420),_xlfn.TEXTAFTER('Additional Videos-WUO_ERR'!A420, ":"))))</f>
        <v>0</v>
      </c>
    </row>
    <row r="421" spans="1:1">
      <c r="A421" s="39">
        <f>IF('Additional Videos'!B421 = "", "", IF('Additional Videos-WUO_ERR'!A421 = "", "Validated", HYPERLINK("#" &amp; ADDRESS(421, 'Additional Videos-WUO_TRK'!A421),_xlfn.TEXTAFTER('Additional Videos-WUO_ERR'!A421, ":"))))</f>
        <v>0</v>
      </c>
    </row>
    <row r="422" spans="1:1">
      <c r="A422" s="39">
        <f>IF('Additional Videos'!B422 = "", "", IF('Additional Videos-WUO_ERR'!A422 = "", "Validated", HYPERLINK("#" &amp; ADDRESS(422, 'Additional Videos-WUO_TRK'!A422),_xlfn.TEXTAFTER('Additional Videos-WUO_ERR'!A422, ":"))))</f>
        <v>0</v>
      </c>
    </row>
    <row r="423" spans="1:1">
      <c r="A423" s="39">
        <f>IF('Additional Videos'!B423 = "", "", IF('Additional Videos-WUO_ERR'!A423 = "", "Validated", HYPERLINK("#" &amp; ADDRESS(423, 'Additional Videos-WUO_TRK'!A423),_xlfn.TEXTAFTER('Additional Videos-WUO_ERR'!A423, ":"))))</f>
        <v>0</v>
      </c>
    </row>
    <row r="424" spans="1:1">
      <c r="A424" s="39">
        <f>IF('Additional Videos'!B424 = "", "", IF('Additional Videos-WUO_ERR'!A424 = "", "Validated", HYPERLINK("#" &amp; ADDRESS(424, 'Additional Videos-WUO_TRK'!A424),_xlfn.TEXTAFTER('Additional Videos-WUO_ERR'!A424, ":"))))</f>
        <v>0</v>
      </c>
    </row>
    <row r="425" spans="1:1">
      <c r="A425" s="39">
        <f>IF('Additional Videos'!B425 = "", "", IF('Additional Videos-WUO_ERR'!A425 = "", "Validated", HYPERLINK("#" &amp; ADDRESS(425, 'Additional Videos-WUO_TRK'!A425),_xlfn.TEXTAFTER('Additional Videos-WUO_ERR'!A425, ":"))))</f>
        <v>0</v>
      </c>
    </row>
    <row r="426" spans="1:1">
      <c r="A426" s="39">
        <f>IF('Additional Videos'!B426 = "", "", IF('Additional Videos-WUO_ERR'!A426 = "", "Validated", HYPERLINK("#" &amp; ADDRESS(426, 'Additional Videos-WUO_TRK'!A426),_xlfn.TEXTAFTER('Additional Videos-WUO_ERR'!A426, ":"))))</f>
        <v>0</v>
      </c>
    </row>
    <row r="427" spans="1:1">
      <c r="A427" s="39">
        <f>IF('Additional Videos'!B427 = "", "", IF('Additional Videos-WUO_ERR'!A427 = "", "Validated", HYPERLINK("#" &amp; ADDRESS(427, 'Additional Videos-WUO_TRK'!A427),_xlfn.TEXTAFTER('Additional Videos-WUO_ERR'!A427, ":"))))</f>
        <v>0</v>
      </c>
    </row>
    <row r="428" spans="1:1">
      <c r="A428" s="39">
        <f>IF('Additional Videos'!B428 = "", "", IF('Additional Videos-WUO_ERR'!A428 = "", "Validated", HYPERLINK("#" &amp; ADDRESS(428, 'Additional Videos-WUO_TRK'!A428),_xlfn.TEXTAFTER('Additional Videos-WUO_ERR'!A428, ":"))))</f>
        <v>0</v>
      </c>
    </row>
    <row r="429" spans="1:1">
      <c r="A429" s="39">
        <f>IF('Additional Videos'!B429 = "", "", IF('Additional Videos-WUO_ERR'!A429 = "", "Validated", HYPERLINK("#" &amp; ADDRESS(429, 'Additional Videos-WUO_TRK'!A429),_xlfn.TEXTAFTER('Additional Videos-WUO_ERR'!A429, ":"))))</f>
        <v>0</v>
      </c>
    </row>
    <row r="430" spans="1:1">
      <c r="A430" s="39">
        <f>IF('Additional Videos'!B430 = "", "", IF('Additional Videos-WUO_ERR'!A430 = "", "Validated", HYPERLINK("#" &amp; ADDRESS(430, 'Additional Videos-WUO_TRK'!A430),_xlfn.TEXTAFTER('Additional Videos-WUO_ERR'!A430, ":"))))</f>
        <v>0</v>
      </c>
    </row>
    <row r="431" spans="1:1">
      <c r="A431" s="39">
        <f>IF('Additional Videos'!B431 = "", "", IF('Additional Videos-WUO_ERR'!A431 = "", "Validated", HYPERLINK("#" &amp; ADDRESS(431, 'Additional Videos-WUO_TRK'!A431),_xlfn.TEXTAFTER('Additional Videos-WUO_ERR'!A431, ":"))))</f>
        <v>0</v>
      </c>
    </row>
    <row r="432" spans="1:1">
      <c r="A432" s="39">
        <f>IF('Additional Videos'!B432 = "", "", IF('Additional Videos-WUO_ERR'!A432 = "", "Validated", HYPERLINK("#" &amp; ADDRESS(432, 'Additional Videos-WUO_TRK'!A432),_xlfn.TEXTAFTER('Additional Videos-WUO_ERR'!A432, ":"))))</f>
        <v>0</v>
      </c>
    </row>
    <row r="433" spans="1:1">
      <c r="A433" s="39">
        <f>IF('Additional Videos'!B433 = "", "", IF('Additional Videos-WUO_ERR'!A433 = "", "Validated", HYPERLINK("#" &amp; ADDRESS(433, 'Additional Videos-WUO_TRK'!A433),_xlfn.TEXTAFTER('Additional Videos-WUO_ERR'!A433, ":"))))</f>
        <v>0</v>
      </c>
    </row>
    <row r="434" spans="1:1">
      <c r="A434" s="39">
        <f>IF('Additional Videos'!B434 = "", "", IF('Additional Videos-WUO_ERR'!A434 = "", "Validated", HYPERLINK("#" &amp; ADDRESS(434, 'Additional Videos-WUO_TRK'!A434),_xlfn.TEXTAFTER('Additional Videos-WUO_ERR'!A434, ":"))))</f>
        <v>0</v>
      </c>
    </row>
    <row r="435" spans="1:1">
      <c r="A435" s="39">
        <f>IF('Additional Videos'!B435 = "", "", IF('Additional Videos-WUO_ERR'!A435 = "", "Validated", HYPERLINK("#" &amp; ADDRESS(435, 'Additional Videos-WUO_TRK'!A435),_xlfn.TEXTAFTER('Additional Videos-WUO_ERR'!A435, ":"))))</f>
        <v>0</v>
      </c>
    </row>
    <row r="436" spans="1:1">
      <c r="A436" s="39">
        <f>IF('Additional Videos'!B436 = "", "", IF('Additional Videos-WUO_ERR'!A436 = "", "Validated", HYPERLINK("#" &amp; ADDRESS(436, 'Additional Videos-WUO_TRK'!A436),_xlfn.TEXTAFTER('Additional Videos-WUO_ERR'!A436, ":"))))</f>
        <v>0</v>
      </c>
    </row>
    <row r="437" spans="1:1">
      <c r="A437" s="39">
        <f>IF('Additional Videos'!B437 = "", "", IF('Additional Videos-WUO_ERR'!A437 = "", "Validated", HYPERLINK("#" &amp; ADDRESS(437, 'Additional Videos-WUO_TRK'!A437),_xlfn.TEXTAFTER('Additional Videos-WUO_ERR'!A437, ":"))))</f>
        <v>0</v>
      </c>
    </row>
    <row r="438" spans="1:1">
      <c r="A438" s="39">
        <f>IF('Additional Videos'!B438 = "", "", IF('Additional Videos-WUO_ERR'!A438 = "", "Validated", HYPERLINK("#" &amp; ADDRESS(438, 'Additional Videos-WUO_TRK'!A438),_xlfn.TEXTAFTER('Additional Videos-WUO_ERR'!A438, ":"))))</f>
        <v>0</v>
      </c>
    </row>
    <row r="439" spans="1:1">
      <c r="A439" s="39">
        <f>IF('Additional Videos'!B439 = "", "", IF('Additional Videos-WUO_ERR'!A439 = "", "Validated", HYPERLINK("#" &amp; ADDRESS(439, 'Additional Videos-WUO_TRK'!A439),_xlfn.TEXTAFTER('Additional Videos-WUO_ERR'!A439, ":"))))</f>
        <v>0</v>
      </c>
    </row>
    <row r="440" spans="1:1">
      <c r="A440" s="39">
        <f>IF('Additional Videos'!B440 = "", "", IF('Additional Videos-WUO_ERR'!A440 = "", "Validated", HYPERLINK("#" &amp; ADDRESS(440, 'Additional Videos-WUO_TRK'!A440),_xlfn.TEXTAFTER('Additional Videos-WUO_ERR'!A440, ":"))))</f>
        <v>0</v>
      </c>
    </row>
    <row r="441" spans="1:1">
      <c r="A441" s="39">
        <f>IF('Additional Videos'!B441 = "", "", IF('Additional Videos-WUO_ERR'!A441 = "", "Validated", HYPERLINK("#" &amp; ADDRESS(441, 'Additional Videos-WUO_TRK'!A441),_xlfn.TEXTAFTER('Additional Videos-WUO_ERR'!A441, ":"))))</f>
        <v>0</v>
      </c>
    </row>
    <row r="442" spans="1:1">
      <c r="A442" s="39">
        <f>IF('Additional Videos'!B442 = "", "", IF('Additional Videos-WUO_ERR'!A442 = "", "Validated", HYPERLINK("#" &amp; ADDRESS(442, 'Additional Videos-WUO_TRK'!A442),_xlfn.TEXTAFTER('Additional Videos-WUO_ERR'!A442, ":"))))</f>
        <v>0</v>
      </c>
    </row>
    <row r="443" spans="1:1">
      <c r="A443" s="39">
        <f>IF('Additional Videos'!B443 = "", "", IF('Additional Videos-WUO_ERR'!A443 = "", "Validated", HYPERLINK("#" &amp; ADDRESS(443, 'Additional Videos-WUO_TRK'!A443),_xlfn.TEXTAFTER('Additional Videos-WUO_ERR'!A443, ":"))))</f>
        <v>0</v>
      </c>
    </row>
    <row r="444" spans="1:1">
      <c r="A444" s="39">
        <f>IF('Additional Videos'!B444 = "", "", IF('Additional Videos-WUO_ERR'!A444 = "", "Validated", HYPERLINK("#" &amp; ADDRESS(444, 'Additional Videos-WUO_TRK'!A444),_xlfn.TEXTAFTER('Additional Videos-WUO_ERR'!A444, ":"))))</f>
        <v>0</v>
      </c>
    </row>
    <row r="445" spans="1:1">
      <c r="A445" s="39">
        <f>IF('Additional Videos'!B445 = "", "", IF('Additional Videos-WUO_ERR'!A445 = "", "Validated", HYPERLINK("#" &amp; ADDRESS(445, 'Additional Videos-WUO_TRK'!A445),_xlfn.TEXTAFTER('Additional Videos-WUO_ERR'!A445, ":"))))</f>
        <v>0</v>
      </c>
    </row>
    <row r="446" spans="1:1">
      <c r="A446" s="39">
        <f>IF('Additional Videos'!B446 = "", "", IF('Additional Videos-WUO_ERR'!A446 = "", "Validated", HYPERLINK("#" &amp; ADDRESS(446, 'Additional Videos-WUO_TRK'!A446),_xlfn.TEXTAFTER('Additional Videos-WUO_ERR'!A446, ":"))))</f>
        <v>0</v>
      </c>
    </row>
    <row r="447" spans="1:1">
      <c r="A447" s="39">
        <f>IF('Additional Videos'!B447 = "", "", IF('Additional Videos-WUO_ERR'!A447 = "", "Validated", HYPERLINK("#" &amp; ADDRESS(447, 'Additional Videos-WUO_TRK'!A447),_xlfn.TEXTAFTER('Additional Videos-WUO_ERR'!A447, ":"))))</f>
        <v>0</v>
      </c>
    </row>
    <row r="448" spans="1:1">
      <c r="A448" s="39">
        <f>IF('Additional Videos'!B448 = "", "", IF('Additional Videos-WUO_ERR'!A448 = "", "Validated", HYPERLINK("#" &amp; ADDRESS(448, 'Additional Videos-WUO_TRK'!A448),_xlfn.TEXTAFTER('Additional Videos-WUO_ERR'!A448, ":"))))</f>
        <v>0</v>
      </c>
    </row>
    <row r="449" spans="1:1">
      <c r="A449" s="39">
        <f>IF('Additional Videos'!B449 = "", "", IF('Additional Videos-WUO_ERR'!A449 = "", "Validated", HYPERLINK("#" &amp; ADDRESS(449, 'Additional Videos-WUO_TRK'!A449),_xlfn.TEXTAFTER('Additional Videos-WUO_ERR'!A449, ":"))))</f>
        <v>0</v>
      </c>
    </row>
    <row r="450" spans="1:1">
      <c r="A450" s="39">
        <f>IF('Additional Videos'!B450 = "", "", IF('Additional Videos-WUO_ERR'!A450 = "", "Validated", HYPERLINK("#" &amp; ADDRESS(450, 'Additional Videos-WUO_TRK'!A450),_xlfn.TEXTAFTER('Additional Videos-WUO_ERR'!A450, ":"))))</f>
        <v>0</v>
      </c>
    </row>
    <row r="451" spans="1:1">
      <c r="A451" s="39">
        <f>IF('Additional Videos'!B451 = "", "", IF('Additional Videos-WUO_ERR'!A451 = "", "Validated", HYPERLINK("#" &amp; ADDRESS(451, 'Additional Videos-WUO_TRK'!A451),_xlfn.TEXTAFTER('Additional Videos-WUO_ERR'!A451, ":"))))</f>
        <v>0</v>
      </c>
    </row>
    <row r="452" spans="1:1">
      <c r="A452" s="39">
        <f>IF('Additional Videos'!B452 = "", "", IF('Additional Videos-WUO_ERR'!A452 = "", "Validated", HYPERLINK("#" &amp; ADDRESS(452, 'Additional Videos-WUO_TRK'!A452),_xlfn.TEXTAFTER('Additional Videos-WUO_ERR'!A452, ":"))))</f>
        <v>0</v>
      </c>
    </row>
    <row r="453" spans="1:1">
      <c r="A453" s="39">
        <f>IF('Additional Videos'!B453 = "", "", IF('Additional Videos-WUO_ERR'!A453 = "", "Validated", HYPERLINK("#" &amp; ADDRESS(453, 'Additional Videos-WUO_TRK'!A453),_xlfn.TEXTAFTER('Additional Videos-WUO_ERR'!A453, ":"))))</f>
        <v>0</v>
      </c>
    </row>
    <row r="454" spans="1:1">
      <c r="A454" s="39">
        <f>IF('Additional Videos'!B454 = "", "", IF('Additional Videos-WUO_ERR'!A454 = "", "Validated", HYPERLINK("#" &amp; ADDRESS(454, 'Additional Videos-WUO_TRK'!A454),_xlfn.TEXTAFTER('Additional Videos-WUO_ERR'!A454, ":"))))</f>
        <v>0</v>
      </c>
    </row>
    <row r="455" spans="1:1">
      <c r="A455" s="39">
        <f>IF('Additional Videos'!B455 = "", "", IF('Additional Videos-WUO_ERR'!A455 = "", "Validated", HYPERLINK("#" &amp; ADDRESS(455, 'Additional Videos-WUO_TRK'!A455),_xlfn.TEXTAFTER('Additional Videos-WUO_ERR'!A455, ":"))))</f>
        <v>0</v>
      </c>
    </row>
    <row r="456" spans="1:1">
      <c r="A456" s="39">
        <f>IF('Additional Videos'!B456 = "", "", IF('Additional Videos-WUO_ERR'!A456 = "", "Validated", HYPERLINK("#" &amp; ADDRESS(456, 'Additional Videos-WUO_TRK'!A456),_xlfn.TEXTAFTER('Additional Videos-WUO_ERR'!A456, ":"))))</f>
        <v>0</v>
      </c>
    </row>
    <row r="457" spans="1:1">
      <c r="A457" s="39">
        <f>IF('Additional Videos'!B457 = "", "", IF('Additional Videos-WUO_ERR'!A457 = "", "Validated", HYPERLINK("#" &amp; ADDRESS(457, 'Additional Videos-WUO_TRK'!A457),_xlfn.TEXTAFTER('Additional Videos-WUO_ERR'!A457, ":"))))</f>
        <v>0</v>
      </c>
    </row>
    <row r="458" spans="1:1">
      <c r="A458" s="39">
        <f>IF('Additional Videos'!B458 = "", "", IF('Additional Videos-WUO_ERR'!A458 = "", "Validated", HYPERLINK("#" &amp; ADDRESS(458, 'Additional Videos-WUO_TRK'!A458),_xlfn.TEXTAFTER('Additional Videos-WUO_ERR'!A458, ":"))))</f>
        <v>0</v>
      </c>
    </row>
    <row r="459" spans="1:1">
      <c r="A459" s="39">
        <f>IF('Additional Videos'!B459 = "", "", IF('Additional Videos-WUO_ERR'!A459 = "", "Validated", HYPERLINK("#" &amp; ADDRESS(459, 'Additional Videos-WUO_TRK'!A459),_xlfn.TEXTAFTER('Additional Videos-WUO_ERR'!A459, ":"))))</f>
        <v>0</v>
      </c>
    </row>
    <row r="460" spans="1:1">
      <c r="A460" s="39">
        <f>IF('Additional Videos'!B460 = "", "", IF('Additional Videos-WUO_ERR'!A460 = "", "Validated", HYPERLINK("#" &amp; ADDRESS(460, 'Additional Videos-WUO_TRK'!A460),_xlfn.TEXTAFTER('Additional Videos-WUO_ERR'!A460, ":"))))</f>
        <v>0</v>
      </c>
    </row>
    <row r="461" spans="1:1">
      <c r="A461" s="39">
        <f>IF('Additional Videos'!B461 = "", "", IF('Additional Videos-WUO_ERR'!A461 = "", "Validated", HYPERLINK("#" &amp; ADDRESS(461, 'Additional Videos-WUO_TRK'!A461),_xlfn.TEXTAFTER('Additional Videos-WUO_ERR'!A461, ":"))))</f>
        <v>0</v>
      </c>
    </row>
    <row r="462" spans="1:1">
      <c r="A462" s="39">
        <f>IF('Additional Videos'!B462 = "", "", IF('Additional Videos-WUO_ERR'!A462 = "", "Validated", HYPERLINK("#" &amp; ADDRESS(462, 'Additional Videos-WUO_TRK'!A462),_xlfn.TEXTAFTER('Additional Videos-WUO_ERR'!A462, ":"))))</f>
        <v>0</v>
      </c>
    </row>
    <row r="463" spans="1:1">
      <c r="A463" s="39">
        <f>IF('Additional Videos'!B463 = "", "", IF('Additional Videos-WUO_ERR'!A463 = "", "Validated", HYPERLINK("#" &amp; ADDRESS(463, 'Additional Videos-WUO_TRK'!A463),_xlfn.TEXTAFTER('Additional Videos-WUO_ERR'!A463, ":"))))</f>
        <v>0</v>
      </c>
    </row>
    <row r="464" spans="1:1">
      <c r="A464" s="39">
        <f>IF('Additional Videos'!B464 = "", "", IF('Additional Videos-WUO_ERR'!A464 = "", "Validated", HYPERLINK("#" &amp; ADDRESS(464, 'Additional Videos-WUO_TRK'!A464),_xlfn.TEXTAFTER('Additional Videos-WUO_ERR'!A464, ":"))))</f>
        <v>0</v>
      </c>
    </row>
    <row r="465" spans="1:1">
      <c r="A465" s="39">
        <f>IF('Additional Videos'!B465 = "", "", IF('Additional Videos-WUO_ERR'!A465 = "", "Validated", HYPERLINK("#" &amp; ADDRESS(465, 'Additional Videos-WUO_TRK'!A465),_xlfn.TEXTAFTER('Additional Videos-WUO_ERR'!A465, ":"))))</f>
        <v>0</v>
      </c>
    </row>
    <row r="466" spans="1:1">
      <c r="A466" s="39">
        <f>IF('Additional Videos'!B466 = "", "", IF('Additional Videos-WUO_ERR'!A466 = "", "Validated", HYPERLINK("#" &amp; ADDRESS(466, 'Additional Videos-WUO_TRK'!A466),_xlfn.TEXTAFTER('Additional Videos-WUO_ERR'!A466, ":"))))</f>
        <v>0</v>
      </c>
    </row>
    <row r="467" spans="1:1">
      <c r="A467" s="39">
        <f>IF('Additional Videos'!B467 = "", "", IF('Additional Videos-WUO_ERR'!A467 = "", "Validated", HYPERLINK("#" &amp; ADDRESS(467, 'Additional Videos-WUO_TRK'!A467),_xlfn.TEXTAFTER('Additional Videos-WUO_ERR'!A467, ":"))))</f>
        <v>0</v>
      </c>
    </row>
    <row r="468" spans="1:1">
      <c r="A468" s="39">
        <f>IF('Additional Videos'!B468 = "", "", IF('Additional Videos-WUO_ERR'!A468 = "", "Validated", HYPERLINK("#" &amp; ADDRESS(468, 'Additional Videos-WUO_TRK'!A468),_xlfn.TEXTAFTER('Additional Videos-WUO_ERR'!A468, ":"))))</f>
        <v>0</v>
      </c>
    </row>
    <row r="469" spans="1:1">
      <c r="A469" s="39">
        <f>IF('Additional Videos'!B469 = "", "", IF('Additional Videos-WUO_ERR'!A469 = "", "Validated", HYPERLINK("#" &amp; ADDRESS(469, 'Additional Videos-WUO_TRK'!A469),_xlfn.TEXTAFTER('Additional Videos-WUO_ERR'!A469, ":"))))</f>
        <v>0</v>
      </c>
    </row>
    <row r="470" spans="1:1">
      <c r="A470" s="39">
        <f>IF('Additional Videos'!B470 = "", "", IF('Additional Videos-WUO_ERR'!A470 = "", "Validated", HYPERLINK("#" &amp; ADDRESS(470, 'Additional Videos-WUO_TRK'!A470),_xlfn.TEXTAFTER('Additional Videos-WUO_ERR'!A470, ":"))))</f>
        <v>0</v>
      </c>
    </row>
    <row r="471" spans="1:1">
      <c r="A471" s="39">
        <f>IF('Additional Videos'!B471 = "", "", IF('Additional Videos-WUO_ERR'!A471 = "", "Validated", HYPERLINK("#" &amp; ADDRESS(471, 'Additional Videos-WUO_TRK'!A471),_xlfn.TEXTAFTER('Additional Videos-WUO_ERR'!A471, ":"))))</f>
        <v>0</v>
      </c>
    </row>
    <row r="472" spans="1:1">
      <c r="A472" s="39">
        <f>IF('Additional Videos'!B472 = "", "", IF('Additional Videos-WUO_ERR'!A472 = "", "Validated", HYPERLINK("#" &amp; ADDRESS(472, 'Additional Videos-WUO_TRK'!A472),_xlfn.TEXTAFTER('Additional Videos-WUO_ERR'!A472, ":"))))</f>
        <v>0</v>
      </c>
    </row>
    <row r="473" spans="1:1">
      <c r="A473" s="39">
        <f>IF('Additional Videos'!B473 = "", "", IF('Additional Videos-WUO_ERR'!A473 = "", "Validated", HYPERLINK("#" &amp; ADDRESS(473, 'Additional Videos-WUO_TRK'!A473),_xlfn.TEXTAFTER('Additional Videos-WUO_ERR'!A473, ":"))))</f>
        <v>0</v>
      </c>
    </row>
    <row r="474" spans="1:1">
      <c r="A474" s="39">
        <f>IF('Additional Videos'!B474 = "", "", IF('Additional Videos-WUO_ERR'!A474 = "", "Validated", HYPERLINK("#" &amp; ADDRESS(474, 'Additional Videos-WUO_TRK'!A474),_xlfn.TEXTAFTER('Additional Videos-WUO_ERR'!A474, ":"))))</f>
        <v>0</v>
      </c>
    </row>
    <row r="475" spans="1:1">
      <c r="A475" s="39">
        <f>IF('Additional Videos'!B475 = "", "", IF('Additional Videos-WUO_ERR'!A475 = "", "Validated", HYPERLINK("#" &amp; ADDRESS(475, 'Additional Videos-WUO_TRK'!A475),_xlfn.TEXTAFTER('Additional Videos-WUO_ERR'!A475, ":"))))</f>
        <v>0</v>
      </c>
    </row>
    <row r="476" spans="1:1">
      <c r="A476" s="39">
        <f>IF('Additional Videos'!B476 = "", "", IF('Additional Videos-WUO_ERR'!A476 = "", "Validated", HYPERLINK("#" &amp; ADDRESS(476, 'Additional Videos-WUO_TRK'!A476),_xlfn.TEXTAFTER('Additional Videos-WUO_ERR'!A476, ":"))))</f>
        <v>0</v>
      </c>
    </row>
    <row r="477" spans="1:1">
      <c r="A477" s="39">
        <f>IF('Additional Videos'!B477 = "", "", IF('Additional Videos-WUO_ERR'!A477 = "", "Validated", HYPERLINK("#" &amp; ADDRESS(477, 'Additional Videos-WUO_TRK'!A477),_xlfn.TEXTAFTER('Additional Videos-WUO_ERR'!A477, ":"))))</f>
        <v>0</v>
      </c>
    </row>
    <row r="478" spans="1:1">
      <c r="A478" s="39">
        <f>IF('Additional Videos'!B478 = "", "", IF('Additional Videos-WUO_ERR'!A478 = "", "Validated", HYPERLINK("#" &amp; ADDRESS(478, 'Additional Videos-WUO_TRK'!A478),_xlfn.TEXTAFTER('Additional Videos-WUO_ERR'!A478, ":"))))</f>
        <v>0</v>
      </c>
    </row>
    <row r="479" spans="1:1">
      <c r="A479" s="39">
        <f>IF('Additional Videos'!B479 = "", "", IF('Additional Videos-WUO_ERR'!A479 = "", "Validated", HYPERLINK("#" &amp; ADDRESS(479, 'Additional Videos-WUO_TRK'!A479),_xlfn.TEXTAFTER('Additional Videos-WUO_ERR'!A479, ":"))))</f>
        <v>0</v>
      </c>
    </row>
    <row r="480" spans="1:1">
      <c r="A480" s="39">
        <f>IF('Additional Videos'!B480 = "", "", IF('Additional Videos-WUO_ERR'!A480 = "", "Validated", HYPERLINK("#" &amp; ADDRESS(480, 'Additional Videos-WUO_TRK'!A480),_xlfn.TEXTAFTER('Additional Videos-WUO_ERR'!A480, ":"))))</f>
        <v>0</v>
      </c>
    </row>
    <row r="481" spans="1:1">
      <c r="A481" s="39">
        <f>IF('Additional Videos'!B481 = "", "", IF('Additional Videos-WUO_ERR'!A481 = "", "Validated", HYPERLINK("#" &amp; ADDRESS(481, 'Additional Videos-WUO_TRK'!A481),_xlfn.TEXTAFTER('Additional Videos-WUO_ERR'!A481, ":"))))</f>
        <v>0</v>
      </c>
    </row>
    <row r="482" spans="1:1">
      <c r="A482" s="39">
        <f>IF('Additional Videos'!B482 = "", "", IF('Additional Videos-WUO_ERR'!A482 = "", "Validated", HYPERLINK("#" &amp; ADDRESS(482, 'Additional Videos-WUO_TRK'!A482),_xlfn.TEXTAFTER('Additional Videos-WUO_ERR'!A482, ":"))))</f>
        <v>0</v>
      </c>
    </row>
    <row r="483" spans="1:1">
      <c r="A483" s="39">
        <f>IF('Additional Videos'!B483 = "", "", IF('Additional Videos-WUO_ERR'!A483 = "", "Validated", HYPERLINK("#" &amp; ADDRESS(483, 'Additional Videos-WUO_TRK'!A483),_xlfn.TEXTAFTER('Additional Videos-WUO_ERR'!A483, ":"))))</f>
        <v>0</v>
      </c>
    </row>
    <row r="484" spans="1:1">
      <c r="A484" s="39">
        <f>IF('Additional Videos'!B484 = "", "", IF('Additional Videos-WUO_ERR'!A484 = "", "Validated", HYPERLINK("#" &amp; ADDRESS(484, 'Additional Videos-WUO_TRK'!A484),_xlfn.TEXTAFTER('Additional Videos-WUO_ERR'!A484, ":"))))</f>
        <v>0</v>
      </c>
    </row>
    <row r="485" spans="1:1">
      <c r="A485" s="39">
        <f>IF('Additional Videos'!B485 = "", "", IF('Additional Videos-WUO_ERR'!A485 = "", "Validated", HYPERLINK("#" &amp; ADDRESS(485, 'Additional Videos-WUO_TRK'!A485),_xlfn.TEXTAFTER('Additional Videos-WUO_ERR'!A485, ":"))))</f>
        <v>0</v>
      </c>
    </row>
    <row r="486" spans="1:1">
      <c r="A486" s="39">
        <f>IF('Additional Videos'!B486 = "", "", IF('Additional Videos-WUO_ERR'!A486 = "", "Validated", HYPERLINK("#" &amp; ADDRESS(486, 'Additional Videos-WUO_TRK'!A486),_xlfn.TEXTAFTER('Additional Videos-WUO_ERR'!A486, ":"))))</f>
        <v>0</v>
      </c>
    </row>
    <row r="487" spans="1:1">
      <c r="A487" s="39">
        <f>IF('Additional Videos'!B487 = "", "", IF('Additional Videos-WUO_ERR'!A487 = "", "Validated", HYPERLINK("#" &amp; ADDRESS(487, 'Additional Videos-WUO_TRK'!A487),_xlfn.TEXTAFTER('Additional Videos-WUO_ERR'!A487, ":"))))</f>
        <v>0</v>
      </c>
    </row>
    <row r="488" spans="1:1">
      <c r="A488" s="39">
        <f>IF('Additional Videos'!B488 = "", "", IF('Additional Videos-WUO_ERR'!A488 = "", "Validated", HYPERLINK("#" &amp; ADDRESS(488, 'Additional Videos-WUO_TRK'!A488),_xlfn.TEXTAFTER('Additional Videos-WUO_ERR'!A488, ":"))))</f>
        <v>0</v>
      </c>
    </row>
    <row r="489" spans="1:1">
      <c r="A489" s="39">
        <f>IF('Additional Videos'!B489 = "", "", IF('Additional Videos-WUO_ERR'!A489 = "", "Validated", HYPERLINK("#" &amp; ADDRESS(489, 'Additional Videos-WUO_TRK'!A489),_xlfn.TEXTAFTER('Additional Videos-WUO_ERR'!A489, ":"))))</f>
        <v>0</v>
      </c>
    </row>
    <row r="490" spans="1:1">
      <c r="A490" s="39">
        <f>IF('Additional Videos'!B490 = "", "", IF('Additional Videos-WUO_ERR'!A490 = "", "Validated", HYPERLINK("#" &amp; ADDRESS(490, 'Additional Videos-WUO_TRK'!A490),_xlfn.TEXTAFTER('Additional Videos-WUO_ERR'!A490, ":"))))</f>
        <v>0</v>
      </c>
    </row>
    <row r="491" spans="1:1">
      <c r="A491" s="39">
        <f>IF('Additional Videos'!B491 = "", "", IF('Additional Videos-WUO_ERR'!A491 = "", "Validated", HYPERLINK("#" &amp; ADDRESS(491, 'Additional Videos-WUO_TRK'!A491),_xlfn.TEXTAFTER('Additional Videos-WUO_ERR'!A491, ":"))))</f>
        <v>0</v>
      </c>
    </row>
    <row r="492" spans="1:1">
      <c r="A492" s="39">
        <f>IF('Additional Videos'!B492 = "", "", IF('Additional Videos-WUO_ERR'!A492 = "", "Validated", HYPERLINK("#" &amp; ADDRESS(492, 'Additional Videos-WUO_TRK'!A492),_xlfn.TEXTAFTER('Additional Videos-WUO_ERR'!A492, ":"))))</f>
        <v>0</v>
      </c>
    </row>
    <row r="493" spans="1:1">
      <c r="A493" s="39">
        <f>IF('Additional Videos'!B493 = "", "", IF('Additional Videos-WUO_ERR'!A493 = "", "Validated", HYPERLINK("#" &amp; ADDRESS(493, 'Additional Videos-WUO_TRK'!A493),_xlfn.TEXTAFTER('Additional Videos-WUO_ERR'!A493, ":"))))</f>
        <v>0</v>
      </c>
    </row>
    <row r="494" spans="1:1">
      <c r="A494" s="39">
        <f>IF('Additional Videos'!B494 = "", "", IF('Additional Videos-WUO_ERR'!A494 = "", "Validated", HYPERLINK("#" &amp; ADDRESS(494, 'Additional Videos-WUO_TRK'!A494),_xlfn.TEXTAFTER('Additional Videos-WUO_ERR'!A494, ":"))))</f>
        <v>0</v>
      </c>
    </row>
    <row r="495" spans="1:1">
      <c r="A495" s="39">
        <f>IF('Additional Videos'!B495 = "", "", IF('Additional Videos-WUO_ERR'!A495 = "", "Validated", HYPERLINK("#" &amp; ADDRESS(495, 'Additional Videos-WUO_TRK'!A495),_xlfn.TEXTAFTER('Additional Videos-WUO_ERR'!A495, ":"))))</f>
        <v>0</v>
      </c>
    </row>
    <row r="496" spans="1:1">
      <c r="A496" s="39">
        <f>IF('Additional Videos'!B496 = "", "", IF('Additional Videos-WUO_ERR'!A496 = "", "Validated", HYPERLINK("#" &amp; ADDRESS(496, 'Additional Videos-WUO_TRK'!A496),_xlfn.TEXTAFTER('Additional Videos-WUO_ERR'!A496, ":"))))</f>
        <v>0</v>
      </c>
    </row>
    <row r="497" spans="1:1">
      <c r="A497" s="39">
        <f>IF('Additional Videos'!B497 = "", "", IF('Additional Videos-WUO_ERR'!A497 = "", "Validated", HYPERLINK("#" &amp; ADDRESS(497, 'Additional Videos-WUO_TRK'!A497),_xlfn.TEXTAFTER('Additional Videos-WUO_ERR'!A497, ":"))))</f>
        <v>0</v>
      </c>
    </row>
    <row r="498" spans="1:1">
      <c r="A498" s="39">
        <f>IF('Additional Videos'!B498 = "", "", IF('Additional Videos-WUO_ERR'!A498 = "", "Validated", HYPERLINK("#" &amp; ADDRESS(498, 'Additional Videos-WUO_TRK'!A498),_xlfn.TEXTAFTER('Additional Videos-WUO_ERR'!A498, ":"))))</f>
        <v>0</v>
      </c>
    </row>
    <row r="499" spans="1:1">
      <c r="A499" s="39">
        <f>IF('Additional Videos'!B499 = "", "", IF('Additional Videos-WUO_ERR'!A499 = "", "Validated", HYPERLINK("#" &amp; ADDRESS(499, 'Additional Videos-WUO_TRK'!A499),_xlfn.TEXTAFTER('Additional Videos-WUO_ERR'!A499, ":"))))</f>
        <v>0</v>
      </c>
    </row>
    <row r="500" spans="1:1">
      <c r="A500" s="39">
        <f>IF('Additional Videos'!B500 = "", "", IF('Additional Videos-WUO_ERR'!A500 = "", "Validated", HYPERLINK("#" &amp; ADDRESS(500, 'Additional Videos-WUO_TRK'!A500),_xlfn.TEXTAFTER('Additional Videos-WUO_ERR'!A500, ":"))))</f>
        <v>0</v>
      </c>
    </row>
    <row r="501" spans="1:1">
      <c r="A501" s="39">
        <f>IF('Additional Videos'!B501 = "", "", IF('Additional Videos-WUO_ERR'!A501 = "", "Validated", HYPERLINK("#" &amp; ADDRESS(501, 'Additional Videos-WUO_TRK'!A501),_xlfn.TEXTAFTER('Additional Videos-WUO_ERR'!A501, ":"))))</f>
        <v>0</v>
      </c>
    </row>
    <row r="502" spans="1:1">
      <c r="A502" s="39">
        <f>IF('Additional Videos'!B502 = "", "", IF('Additional Videos-WUO_ERR'!A502 = "", "Validated", HYPERLINK("#" &amp; ADDRESS(502, 'Additional Videos-WUO_TRK'!A502),_xlfn.TEXTAFTER('Additional Videos-WUO_ERR'!A502, ":"))))</f>
        <v>0</v>
      </c>
    </row>
    <row r="503" spans="1:1">
      <c r="A503" s="39">
        <f>IF('Additional Videos'!B503 = "", "", IF('Additional Videos-WUO_ERR'!A503 = "", "Validated", HYPERLINK("#" &amp; ADDRESS(503, 'Additional Videos-WUO_TRK'!A503),_xlfn.TEXTAFTER('Additional Videos-WUO_ERR'!A503, ":"))))</f>
        <v>0</v>
      </c>
    </row>
    <row r="504" spans="1:1">
      <c r="A504" s="39">
        <f>IF('Additional Videos'!B504 = "", "", IF('Additional Videos-WUO_ERR'!A504 = "", "Validated", HYPERLINK("#" &amp; ADDRESS(504, 'Additional Videos-WUO_TRK'!A504),_xlfn.TEXTAFTER('Additional Videos-WUO_ERR'!A504, ":"))))</f>
        <v>0</v>
      </c>
    </row>
    <row r="505" spans="1:1">
      <c r="A505" s="39">
        <f>IF('Additional Videos'!B505 = "", "", IF('Additional Videos-WUO_ERR'!A505 = "", "Validated", HYPERLINK("#" &amp; ADDRESS(505, 'Additional Videos-WUO_TRK'!A505),_xlfn.TEXTAFTER('Additional Videos-WUO_ERR'!A505, ":"))))</f>
        <v>0</v>
      </c>
    </row>
    <row r="506" spans="1:1">
      <c r="A506" s="39">
        <f>IF('Additional Videos'!B506 = "", "", IF('Additional Videos-WUO_ERR'!A506 = "", "Validated", HYPERLINK("#" &amp; ADDRESS(506, 'Additional Videos-WUO_TRK'!A506),_xlfn.TEXTAFTER('Additional Videos-WUO_ERR'!A506, ":"))))</f>
        <v>0</v>
      </c>
    </row>
    <row r="507" spans="1:1">
      <c r="A507" s="39">
        <f>IF('Additional Videos'!B507 = "", "", IF('Additional Videos-WUO_ERR'!A507 = "", "Validated", HYPERLINK("#" &amp; ADDRESS(507, 'Additional Videos-WUO_TRK'!A507),_xlfn.TEXTAFTER('Additional Videos-WUO_ERR'!A507, ":"))))</f>
        <v>0</v>
      </c>
    </row>
  </sheetData>
  <sheetProtection password="B4ED" sheet="1" objects="1" scenarios="1" formatColumns="0" formatRows="0"/>
  <protectedRanges>
    <protectedRange sqref="B7:D10000" name="Range1"/>
  </protectedRanges>
  <conditionalFormatting sqref="A7:A507">
    <cfRule type="expression" dxfId="4" priority="5">
      <formula>A7="Validated"</formula>
    </cfRule>
    <cfRule type="expression" dxfId="5" priority="6">
      <formula>OR(COUNTIF('Additional Videos-WUO_TRK'!B7:D7,"Error"),COUNTIF('Additional Videos-WUO_TRK'!B7:D7,"Required"))</formula>
    </cfRule>
    <cfRule type="expression" dxfId="6" priority="7">
      <formula>COUNTIF('Additional Videos-WUO_TRK'!B7:D7,"Warning")</formula>
    </cfRule>
  </conditionalFormatting>
  <conditionalFormatting sqref="B7:D507">
    <cfRule type="expression" dxfId="0" priority="1">
      <formula>'Additional Videos-WUO_TRK'!B7="Error"</formula>
    </cfRule>
    <cfRule type="expression" dxfId="1" priority="2">
      <formula>'Additional Videos-WUO_TRK'!B7="Required"</formula>
    </cfRule>
    <cfRule type="expression" dxfId="2" priority="3">
      <formula>'Additional Videos-WUO_TRK'!B7="Warning"</formula>
    </cfRule>
    <cfRule type="expression" dxfId="3" priority="4">
      <formula>'Additional Videos-WUO_TRK'!B7="Disabled"</formula>
    </cfRule>
  </conditionalFormatting>
  <dataValidations count="1">
    <dataValidation type="textLength" operator="lessThanOrEqual" errorStyle="warning" showInputMessage="1" showErrorMessage="1" errorTitle="Invalid Text" error="The value provided is not a valid Text." promptTitle="Video File Name or URL" prompt="Please enter Text" sqref="C7:C2500">
      <formula1>32767</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2220</v>
      </c>
      <c r="C1" s="22" t="s">
        <v>2339</v>
      </c>
    </row>
    <row r="3" spans="1:3">
      <c r="B3" s="32" t="s">
        <v>58</v>
      </c>
      <c r="C3" s="32" t="s">
        <v>62</v>
      </c>
    </row>
    <row r="4" spans="1:3" ht="50" customHeight="1">
      <c r="B4" s="19" t="s">
        <v>2221</v>
      </c>
      <c r="C4" s="19" t="s">
        <v>2560</v>
      </c>
    </row>
    <row r="5" spans="1:3" ht="50" customHeight="1">
      <c r="B5" s="35" t="s">
        <v>2222</v>
      </c>
      <c r="C5" s="35" t="s">
        <v>2341</v>
      </c>
    </row>
    <row r="6" spans="1:3" ht="50" customHeight="1">
      <c r="B6" s="35" t="s">
        <v>67</v>
      </c>
      <c r="C6" s="35" t="s">
        <v>67</v>
      </c>
    </row>
    <row r="7" spans="1:3">
      <c r="A7" cm="1">
        <f t="array" ref="A7">_xlfn.BYROW(B7:D507,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Videos'!B7:B507, 'Additional Videos'!B7:B507,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Videos'!B7:B507, 'Additional Videos'!C7:C507, _xlfn.LAMBDA(_xlpm.part, _xlpm.val, IF(_xlpm.part = "", "", IF(AND(_xlpm.val = "", C$3="Required"), "3:Video File Name or URL - Value is required", ""))))</f>
        <v>0</v>
      </c>
    </row>
  </sheetData>
  <sheetProtection password="AF1E" sheet="1" objects="1" scenarios="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C7"/>
  <sheetViews>
    <sheetView workbookViewId="0"/>
  </sheetViews>
  <sheetFormatPr defaultRowHeight="15"/>
  <cols>
    <col min="2" max="2" width="25.7109375" style="22" customWidth="1"/>
    <col min="3" max="3" width="27.7109375" style="22" customWidth="1"/>
  </cols>
  <sheetData>
    <row r="1" spans="1:3" hidden="1">
      <c r="B1" s="22" t="s">
        <v>2220</v>
      </c>
      <c r="C1" s="22" t="s">
        <v>2339</v>
      </c>
    </row>
    <row r="3" spans="1:3">
      <c r="B3" s="32" t="s">
        <v>58</v>
      </c>
      <c r="C3" s="32" t="s">
        <v>62</v>
      </c>
    </row>
    <row r="4" spans="1:3" ht="50" customHeight="1">
      <c r="B4" s="19" t="s">
        <v>2221</v>
      </c>
      <c r="C4" s="19" t="s">
        <v>2560</v>
      </c>
    </row>
    <row r="5" spans="1:3" ht="50" customHeight="1">
      <c r="B5" s="35" t="s">
        <v>2222</v>
      </c>
      <c r="C5" s="35" t="s">
        <v>2341</v>
      </c>
    </row>
    <row r="6" spans="1:3" ht="50" customHeight="1">
      <c r="B6" s="35" t="s">
        <v>67</v>
      </c>
      <c r="C6" s="35" t="s">
        <v>67</v>
      </c>
    </row>
    <row r="7" spans="1:3">
      <c r="A7" cm="1">
        <f t="array" ref="A7">_xlfn.BYROW(B7:D507, _xlfn.LAMBDA(_xlpm.r, _xlfn.LET(_xlpm.high_priority_idx, IFERROR(MATCH(TRUE, (_xlpm.r = "Error") + (_xlpm.r = "Required") &gt; 0, 0), 0), IF(_xlpm.high_priority_idx &gt; 0, _xlpm.high_priority_idx + 1, IFERROR(MATCH(1, (_xlpm.r = "Warning") * 1, 0) + 1, "")))))</f>
        <v>0</v>
      </c>
      <c r="B7" s="22" cm="1">
        <f t="array" ref="B7">_xlfn.MAP('Additional Videos'!B7:B507, 'Additional Videos'!B7:B507, 'Additional Videos-WUO_ERR'!B7:B507, _xlfn.LAMBDA(_xlpm.part, _xlpm.val, _xlpm.error, IF(_xlpm.part = "", "", IF(LEN(_xlpm.error), _xlfn.SWITCH(IFERROR(_xlfn.TEXTBEFORE(_xlpm.error,":"), ""), "1", "Error", "2", "Disabled", "3", "Required", "4", "Warning", "Valid"), "Valid"))))</f>
        <v>0</v>
      </c>
      <c r="C7" s="22" cm="1">
        <f t="array" ref="C7">_xlfn.MAP('Additional Videos'!B7:B507, 'Additional Videos'!C7:C507, 'Additional Videos-WUO_ERR'!C7:C507, _xlfn.LAMBDA(_xlpm.part, _xlpm.val, _xlpm.error, IF(_xlpm.part = "", "", IF(LEN(_xlpm.error), _xlfn.SWITCH(IFERROR(_xlfn.TEXTBEFORE(_xlpm.error,":"), ""), "1", "Error", "2", "Disabled", "3", "Required", "4", "Warning", "Valid"), "Valid"))))</f>
        <v>0</v>
      </c>
    </row>
  </sheetData>
  <sheetProtection password="DA1E" sheet="1" objects="1" scenarios="1"/>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3" width="30.7109375" style="22" customWidth="1"/>
    <col min="4" max="4" width="18.7109375" style="22" customWidth="1"/>
    <col min="5" max="5" width="24.7109375" style="22" customWidth="1"/>
    <col min="6" max="6" width="20.7109375" style="22" customWidth="1"/>
    <col min="26" max="26" width="0" hidden="1" customWidth="1"/>
  </cols>
  <sheetData>
    <row r="1" spans="1:26" hidden="1">
      <c r="B1" s="22" t="s">
        <v>2220</v>
      </c>
      <c r="C1" s="22" t="s">
        <v>2342</v>
      </c>
      <c r="D1" s="22" t="s">
        <v>2345</v>
      </c>
      <c r="E1" s="22" t="s">
        <v>2349</v>
      </c>
      <c r="F1" s="22" t="s">
        <v>2353</v>
      </c>
    </row>
    <row r="2" spans="1:26">
      <c r="B2" s="23" t="s">
        <v>2484</v>
      </c>
      <c r="C2" s="29" t="s">
        <v>2490</v>
      </c>
    </row>
    <row r="3" spans="1:26">
      <c r="B3" s="32" t="s">
        <v>58</v>
      </c>
      <c r="C3" s="32" t="s">
        <v>64</v>
      </c>
      <c r="D3" s="32" t="s">
        <v>64</v>
      </c>
      <c r="E3" s="32" t="s">
        <v>64</v>
      </c>
      <c r="F3" s="32" t="s">
        <v>64</v>
      </c>
    </row>
    <row r="4" spans="1:26" ht="50" customHeight="1">
      <c r="A4" s="19" t="s">
        <v>2217</v>
      </c>
      <c r="B4" s="19" t="s">
        <v>2221</v>
      </c>
      <c r="C4" s="19" t="s">
        <v>2561</v>
      </c>
      <c r="D4" s="19" t="s">
        <v>2562</v>
      </c>
      <c r="E4" s="19" t="s">
        <v>2563</v>
      </c>
      <c r="F4" s="19" t="s">
        <v>2564</v>
      </c>
    </row>
    <row r="5" spans="1:26" ht="50" customHeight="1">
      <c r="A5" s="35" t="s">
        <v>2218</v>
      </c>
      <c r="B5" s="35" t="s">
        <v>2222</v>
      </c>
      <c r="C5" s="35" t="s">
        <v>2344</v>
      </c>
      <c r="D5" s="35" t="s">
        <v>2347</v>
      </c>
      <c r="E5" s="35" t="s">
        <v>2351</v>
      </c>
      <c r="F5" s="35" t="s">
        <v>2355</v>
      </c>
    </row>
    <row r="6" spans="1:26" ht="50" customHeight="1">
      <c r="A6" s="35" t="s">
        <v>2219</v>
      </c>
      <c r="B6" s="35" t="s">
        <v>67</v>
      </c>
      <c r="C6" s="35" t="s">
        <v>67</v>
      </c>
      <c r="D6" s="36" t="s">
        <v>2348</v>
      </c>
      <c r="E6" s="36" t="s">
        <v>3114</v>
      </c>
      <c r="F6" s="36" t="s">
        <v>2231</v>
      </c>
    </row>
    <row r="7" spans="1:26">
      <c r="A7" s="39">
        <f>IF('Additional Documents'!B7 = "", "", IF('Additional Documents-WUO_ERR'!A7 = "", "Validated", HYPERLINK("#" &amp; ADDRESS(7, 'Additional Documents-WUO_TRK'!A7),_xlfn.TEXTAFTER('Additional Documents-WUO_ERR'!A7, ":"))))</f>
        <v>0</v>
      </c>
      <c r="Z7" cm="1">
        <f t="array" ref="Z7">IF(B7:B507="", "", IFERROR(_xlfn.XLOOKUP(B7:B507, _xlfn.VSTACK('6161 - Wallpaper'!B7:B507, '3757 - Wall Stickers'!B7:B507), _xlfn.VSTACK('6161 - Wallpaper'!G7:G507, '3757 - Wall Stickers'!G7:G507)), ""))</f>
        <v>0</v>
      </c>
    </row>
    <row r="8" spans="1:26">
      <c r="A8" s="39">
        <f>IF('Additional Documents'!B8 = "", "", IF('Additional Documents-WUO_ERR'!A8 = "", "Validated", HYPERLINK("#" &amp; ADDRESS(8, 'Additional Documents-WUO_TRK'!A8),_xlfn.TEXTAFTER('Additional Documents-WUO_ERR'!A8, ":"))))</f>
        <v>0</v>
      </c>
    </row>
    <row r="9" spans="1:26">
      <c r="A9" s="39">
        <f>IF('Additional Documents'!B9 = "", "", IF('Additional Documents-WUO_ERR'!A9 = "", "Validated", HYPERLINK("#" &amp; ADDRESS(9, 'Additional Documents-WUO_TRK'!A9),_xlfn.TEXTAFTER('Additional Documents-WUO_ERR'!A9, ":"))))</f>
        <v>0</v>
      </c>
    </row>
    <row r="10" spans="1:26">
      <c r="A10" s="39">
        <f>IF('Additional Documents'!B10 = "", "", IF('Additional Documents-WUO_ERR'!A10 = "", "Validated", HYPERLINK("#" &amp; ADDRESS(10, 'Additional Documents-WUO_TRK'!A10),_xlfn.TEXTAFTER('Additional Documents-WUO_ERR'!A10, ":"))))</f>
        <v>0</v>
      </c>
    </row>
    <row r="11" spans="1:26">
      <c r="A11" s="39">
        <f>IF('Additional Documents'!B11 = "", "", IF('Additional Documents-WUO_ERR'!A11 = "", "Validated", HYPERLINK("#" &amp; ADDRESS(11, 'Additional Documents-WUO_TRK'!A11),_xlfn.TEXTAFTER('Additional Documents-WUO_ERR'!A11, ":"))))</f>
        <v>0</v>
      </c>
    </row>
    <row r="12" spans="1:26">
      <c r="A12" s="39">
        <f>IF('Additional Documents'!B12 = "", "", IF('Additional Documents-WUO_ERR'!A12 = "", "Validated", HYPERLINK("#" &amp; ADDRESS(12, 'Additional Documents-WUO_TRK'!A12),_xlfn.TEXTAFTER('Additional Documents-WUO_ERR'!A12, ":"))))</f>
        <v>0</v>
      </c>
    </row>
    <row r="13" spans="1:26">
      <c r="A13" s="39">
        <f>IF('Additional Documents'!B13 = "", "", IF('Additional Documents-WUO_ERR'!A13 = "", "Validated", HYPERLINK("#" &amp; ADDRESS(13, 'Additional Documents-WUO_TRK'!A13),_xlfn.TEXTAFTER('Additional Documents-WUO_ERR'!A13, ":"))))</f>
        <v>0</v>
      </c>
    </row>
    <row r="14" spans="1:26">
      <c r="A14" s="39">
        <f>IF('Additional Documents'!B14 = "", "", IF('Additional Documents-WUO_ERR'!A14 = "", "Validated", HYPERLINK("#" &amp; ADDRESS(14, 'Additional Documents-WUO_TRK'!A14),_xlfn.TEXTAFTER('Additional Documents-WUO_ERR'!A14, ":"))))</f>
        <v>0</v>
      </c>
    </row>
    <row r="15" spans="1:26">
      <c r="A15" s="39">
        <f>IF('Additional Documents'!B15 = "", "", IF('Additional Documents-WUO_ERR'!A15 = "", "Validated", HYPERLINK("#" &amp; ADDRESS(15, 'Additional Documents-WUO_TRK'!A15),_xlfn.TEXTAFTER('Additional Documents-WUO_ERR'!A15, ":"))))</f>
        <v>0</v>
      </c>
    </row>
    <row r="16" spans="1:26">
      <c r="A16" s="39">
        <f>IF('Additional Documents'!B16 = "", "", IF('Additional Documents-WUO_ERR'!A16 = "", "Validated", HYPERLINK("#" &amp; ADDRESS(16, 'Additional Documents-WUO_TRK'!A16),_xlfn.TEXTAFTER('Additional Documents-WUO_ERR'!A16, ":"))))</f>
        <v>0</v>
      </c>
    </row>
    <row r="17" spans="1:1">
      <c r="A17" s="39">
        <f>IF('Additional Documents'!B17 = "", "", IF('Additional Documents-WUO_ERR'!A17 = "", "Validated", HYPERLINK("#" &amp; ADDRESS(17, 'Additional Documents-WUO_TRK'!A17),_xlfn.TEXTAFTER('Additional Documents-WUO_ERR'!A17, ":"))))</f>
        <v>0</v>
      </c>
    </row>
    <row r="18" spans="1:1">
      <c r="A18" s="39">
        <f>IF('Additional Documents'!B18 = "", "", IF('Additional Documents-WUO_ERR'!A18 = "", "Validated", HYPERLINK("#" &amp; ADDRESS(18, 'Additional Documents-WUO_TRK'!A18),_xlfn.TEXTAFTER('Additional Documents-WUO_ERR'!A18, ":"))))</f>
        <v>0</v>
      </c>
    </row>
    <row r="19" spans="1:1">
      <c r="A19" s="39">
        <f>IF('Additional Documents'!B19 = "", "", IF('Additional Documents-WUO_ERR'!A19 = "", "Validated", HYPERLINK("#" &amp; ADDRESS(19, 'Additional Documents-WUO_TRK'!A19),_xlfn.TEXTAFTER('Additional Documents-WUO_ERR'!A19, ":"))))</f>
        <v>0</v>
      </c>
    </row>
    <row r="20" spans="1:1">
      <c r="A20" s="39">
        <f>IF('Additional Documents'!B20 = "", "", IF('Additional Documents-WUO_ERR'!A20 = "", "Validated", HYPERLINK("#" &amp; ADDRESS(20, 'Additional Documents-WUO_TRK'!A20),_xlfn.TEXTAFTER('Additional Documents-WUO_ERR'!A20, ":"))))</f>
        <v>0</v>
      </c>
    </row>
    <row r="21" spans="1:1">
      <c r="A21" s="39">
        <f>IF('Additional Documents'!B21 = "", "", IF('Additional Documents-WUO_ERR'!A21 = "", "Validated", HYPERLINK("#" &amp; ADDRESS(21, 'Additional Documents-WUO_TRK'!A21),_xlfn.TEXTAFTER('Additional Documents-WUO_ERR'!A21, ":"))))</f>
        <v>0</v>
      </c>
    </row>
    <row r="22" spans="1:1">
      <c r="A22" s="39">
        <f>IF('Additional Documents'!B22 = "", "", IF('Additional Documents-WUO_ERR'!A22 = "", "Validated", HYPERLINK("#" &amp; ADDRESS(22, 'Additional Documents-WUO_TRK'!A22),_xlfn.TEXTAFTER('Additional Documents-WUO_ERR'!A22, ":"))))</f>
        <v>0</v>
      </c>
    </row>
    <row r="23" spans="1:1">
      <c r="A23" s="39">
        <f>IF('Additional Documents'!B23 = "", "", IF('Additional Documents-WUO_ERR'!A23 = "", "Validated", HYPERLINK("#" &amp; ADDRESS(23, 'Additional Documents-WUO_TRK'!A23),_xlfn.TEXTAFTER('Additional Documents-WUO_ERR'!A23, ":"))))</f>
        <v>0</v>
      </c>
    </row>
    <row r="24" spans="1:1">
      <c r="A24" s="39">
        <f>IF('Additional Documents'!B24 = "", "", IF('Additional Documents-WUO_ERR'!A24 = "", "Validated", HYPERLINK("#" &amp; ADDRESS(24, 'Additional Documents-WUO_TRK'!A24),_xlfn.TEXTAFTER('Additional Documents-WUO_ERR'!A24, ":"))))</f>
        <v>0</v>
      </c>
    </row>
    <row r="25" spans="1:1">
      <c r="A25" s="39">
        <f>IF('Additional Documents'!B25 = "", "", IF('Additional Documents-WUO_ERR'!A25 = "", "Validated", HYPERLINK("#" &amp; ADDRESS(25, 'Additional Documents-WUO_TRK'!A25),_xlfn.TEXTAFTER('Additional Documents-WUO_ERR'!A25, ":"))))</f>
        <v>0</v>
      </c>
    </row>
    <row r="26" spans="1:1">
      <c r="A26" s="39">
        <f>IF('Additional Documents'!B26 = "", "", IF('Additional Documents-WUO_ERR'!A26 = "", "Validated", HYPERLINK("#" &amp; ADDRESS(26, 'Additional Documents-WUO_TRK'!A26),_xlfn.TEXTAFTER('Additional Documents-WUO_ERR'!A26, ":"))))</f>
        <v>0</v>
      </c>
    </row>
    <row r="27" spans="1:1">
      <c r="A27" s="39">
        <f>IF('Additional Documents'!B27 = "", "", IF('Additional Documents-WUO_ERR'!A27 = "", "Validated", HYPERLINK("#" &amp; ADDRESS(27, 'Additional Documents-WUO_TRK'!A27),_xlfn.TEXTAFTER('Additional Documents-WUO_ERR'!A27, ":"))))</f>
        <v>0</v>
      </c>
    </row>
    <row r="28" spans="1:1">
      <c r="A28" s="39">
        <f>IF('Additional Documents'!B28 = "", "", IF('Additional Documents-WUO_ERR'!A28 = "", "Validated", HYPERLINK("#" &amp; ADDRESS(28, 'Additional Documents-WUO_TRK'!A28),_xlfn.TEXTAFTER('Additional Documents-WUO_ERR'!A28, ":"))))</f>
        <v>0</v>
      </c>
    </row>
    <row r="29" spans="1:1">
      <c r="A29" s="39">
        <f>IF('Additional Documents'!B29 = "", "", IF('Additional Documents-WUO_ERR'!A29 = "", "Validated", HYPERLINK("#" &amp; ADDRESS(29, 'Additional Documents-WUO_TRK'!A29),_xlfn.TEXTAFTER('Additional Documents-WUO_ERR'!A29, ":"))))</f>
        <v>0</v>
      </c>
    </row>
    <row r="30" spans="1:1">
      <c r="A30" s="39">
        <f>IF('Additional Documents'!B30 = "", "", IF('Additional Documents-WUO_ERR'!A30 = "", "Validated", HYPERLINK("#" &amp; ADDRESS(30, 'Additional Documents-WUO_TRK'!A30),_xlfn.TEXTAFTER('Additional Documents-WUO_ERR'!A30, ":"))))</f>
        <v>0</v>
      </c>
    </row>
    <row r="31" spans="1:1">
      <c r="A31" s="39">
        <f>IF('Additional Documents'!B31 = "", "", IF('Additional Documents-WUO_ERR'!A31 = "", "Validated", HYPERLINK("#" &amp; ADDRESS(31, 'Additional Documents-WUO_TRK'!A31),_xlfn.TEXTAFTER('Additional Documents-WUO_ERR'!A31, ":"))))</f>
        <v>0</v>
      </c>
    </row>
    <row r="32" spans="1:1">
      <c r="A32" s="39">
        <f>IF('Additional Documents'!B32 = "", "", IF('Additional Documents-WUO_ERR'!A32 = "", "Validated", HYPERLINK("#" &amp; ADDRESS(32, 'Additional Documents-WUO_TRK'!A32),_xlfn.TEXTAFTER('Additional Documents-WUO_ERR'!A32, ":"))))</f>
        <v>0</v>
      </c>
    </row>
    <row r="33" spans="1:1">
      <c r="A33" s="39">
        <f>IF('Additional Documents'!B33 = "", "", IF('Additional Documents-WUO_ERR'!A33 = "", "Validated", HYPERLINK("#" &amp; ADDRESS(33, 'Additional Documents-WUO_TRK'!A33),_xlfn.TEXTAFTER('Additional Documents-WUO_ERR'!A33, ":"))))</f>
        <v>0</v>
      </c>
    </row>
    <row r="34" spans="1:1">
      <c r="A34" s="39">
        <f>IF('Additional Documents'!B34 = "", "", IF('Additional Documents-WUO_ERR'!A34 = "", "Validated", HYPERLINK("#" &amp; ADDRESS(34, 'Additional Documents-WUO_TRK'!A34),_xlfn.TEXTAFTER('Additional Documents-WUO_ERR'!A34, ":"))))</f>
        <v>0</v>
      </c>
    </row>
    <row r="35" spans="1:1">
      <c r="A35" s="39">
        <f>IF('Additional Documents'!B35 = "", "", IF('Additional Documents-WUO_ERR'!A35 = "", "Validated", HYPERLINK("#" &amp; ADDRESS(35, 'Additional Documents-WUO_TRK'!A35),_xlfn.TEXTAFTER('Additional Documents-WUO_ERR'!A35, ":"))))</f>
        <v>0</v>
      </c>
    </row>
    <row r="36" spans="1:1">
      <c r="A36" s="39">
        <f>IF('Additional Documents'!B36 = "", "", IF('Additional Documents-WUO_ERR'!A36 = "", "Validated", HYPERLINK("#" &amp; ADDRESS(36, 'Additional Documents-WUO_TRK'!A36),_xlfn.TEXTAFTER('Additional Documents-WUO_ERR'!A36, ":"))))</f>
        <v>0</v>
      </c>
    </row>
    <row r="37" spans="1:1">
      <c r="A37" s="39">
        <f>IF('Additional Documents'!B37 = "", "", IF('Additional Documents-WUO_ERR'!A37 = "", "Validated", HYPERLINK("#" &amp; ADDRESS(37, 'Additional Documents-WUO_TRK'!A37),_xlfn.TEXTAFTER('Additional Documents-WUO_ERR'!A37, ":"))))</f>
        <v>0</v>
      </c>
    </row>
    <row r="38" spans="1:1">
      <c r="A38" s="39">
        <f>IF('Additional Documents'!B38 = "", "", IF('Additional Documents-WUO_ERR'!A38 = "", "Validated", HYPERLINK("#" &amp; ADDRESS(38, 'Additional Documents-WUO_TRK'!A38),_xlfn.TEXTAFTER('Additional Documents-WUO_ERR'!A38, ":"))))</f>
        <v>0</v>
      </c>
    </row>
    <row r="39" spans="1:1">
      <c r="A39" s="39">
        <f>IF('Additional Documents'!B39 = "", "", IF('Additional Documents-WUO_ERR'!A39 = "", "Validated", HYPERLINK("#" &amp; ADDRESS(39, 'Additional Documents-WUO_TRK'!A39),_xlfn.TEXTAFTER('Additional Documents-WUO_ERR'!A39, ":"))))</f>
        <v>0</v>
      </c>
    </row>
    <row r="40" spans="1:1">
      <c r="A40" s="39">
        <f>IF('Additional Documents'!B40 = "", "", IF('Additional Documents-WUO_ERR'!A40 = "", "Validated", HYPERLINK("#" &amp; ADDRESS(40, 'Additional Documents-WUO_TRK'!A40),_xlfn.TEXTAFTER('Additional Documents-WUO_ERR'!A40, ":"))))</f>
        <v>0</v>
      </c>
    </row>
    <row r="41" spans="1:1">
      <c r="A41" s="39">
        <f>IF('Additional Documents'!B41 = "", "", IF('Additional Documents-WUO_ERR'!A41 = "", "Validated", HYPERLINK("#" &amp; ADDRESS(41, 'Additional Documents-WUO_TRK'!A41),_xlfn.TEXTAFTER('Additional Documents-WUO_ERR'!A41, ":"))))</f>
        <v>0</v>
      </c>
    </row>
    <row r="42" spans="1:1">
      <c r="A42" s="39">
        <f>IF('Additional Documents'!B42 = "", "", IF('Additional Documents-WUO_ERR'!A42 = "", "Validated", HYPERLINK("#" &amp; ADDRESS(42, 'Additional Documents-WUO_TRK'!A42),_xlfn.TEXTAFTER('Additional Documents-WUO_ERR'!A42, ":"))))</f>
        <v>0</v>
      </c>
    </row>
    <row r="43" spans="1:1">
      <c r="A43" s="39">
        <f>IF('Additional Documents'!B43 = "", "", IF('Additional Documents-WUO_ERR'!A43 = "", "Validated", HYPERLINK("#" &amp; ADDRESS(43, 'Additional Documents-WUO_TRK'!A43),_xlfn.TEXTAFTER('Additional Documents-WUO_ERR'!A43, ":"))))</f>
        <v>0</v>
      </c>
    </row>
    <row r="44" spans="1:1">
      <c r="A44" s="39">
        <f>IF('Additional Documents'!B44 = "", "", IF('Additional Documents-WUO_ERR'!A44 = "", "Validated", HYPERLINK("#" &amp; ADDRESS(44, 'Additional Documents-WUO_TRK'!A44),_xlfn.TEXTAFTER('Additional Documents-WUO_ERR'!A44, ":"))))</f>
        <v>0</v>
      </c>
    </row>
    <row r="45" spans="1:1">
      <c r="A45" s="39">
        <f>IF('Additional Documents'!B45 = "", "", IF('Additional Documents-WUO_ERR'!A45 = "", "Validated", HYPERLINK("#" &amp; ADDRESS(45, 'Additional Documents-WUO_TRK'!A45),_xlfn.TEXTAFTER('Additional Documents-WUO_ERR'!A45, ":"))))</f>
        <v>0</v>
      </c>
    </row>
    <row r="46" spans="1:1">
      <c r="A46" s="39">
        <f>IF('Additional Documents'!B46 = "", "", IF('Additional Documents-WUO_ERR'!A46 = "", "Validated", HYPERLINK("#" &amp; ADDRESS(46, 'Additional Documents-WUO_TRK'!A46),_xlfn.TEXTAFTER('Additional Documents-WUO_ERR'!A46, ":"))))</f>
        <v>0</v>
      </c>
    </row>
    <row r="47" spans="1:1">
      <c r="A47" s="39">
        <f>IF('Additional Documents'!B47 = "", "", IF('Additional Documents-WUO_ERR'!A47 = "", "Validated", HYPERLINK("#" &amp; ADDRESS(47, 'Additional Documents-WUO_TRK'!A47),_xlfn.TEXTAFTER('Additional Documents-WUO_ERR'!A47, ":"))))</f>
        <v>0</v>
      </c>
    </row>
    <row r="48" spans="1:1">
      <c r="A48" s="39">
        <f>IF('Additional Documents'!B48 = "", "", IF('Additional Documents-WUO_ERR'!A48 = "", "Validated", HYPERLINK("#" &amp; ADDRESS(48, 'Additional Documents-WUO_TRK'!A48),_xlfn.TEXTAFTER('Additional Documents-WUO_ERR'!A48, ":"))))</f>
        <v>0</v>
      </c>
    </row>
    <row r="49" spans="1:1">
      <c r="A49" s="39">
        <f>IF('Additional Documents'!B49 = "", "", IF('Additional Documents-WUO_ERR'!A49 = "", "Validated", HYPERLINK("#" &amp; ADDRESS(49, 'Additional Documents-WUO_TRK'!A49),_xlfn.TEXTAFTER('Additional Documents-WUO_ERR'!A49, ":"))))</f>
        <v>0</v>
      </c>
    </row>
    <row r="50" spans="1:1">
      <c r="A50" s="39">
        <f>IF('Additional Documents'!B50 = "", "", IF('Additional Documents-WUO_ERR'!A50 = "", "Validated", HYPERLINK("#" &amp; ADDRESS(50, 'Additional Documents-WUO_TRK'!A50),_xlfn.TEXTAFTER('Additional Documents-WUO_ERR'!A50, ":"))))</f>
        <v>0</v>
      </c>
    </row>
    <row r="51" spans="1:1">
      <c r="A51" s="39">
        <f>IF('Additional Documents'!B51 = "", "", IF('Additional Documents-WUO_ERR'!A51 = "", "Validated", HYPERLINK("#" &amp; ADDRESS(51, 'Additional Documents-WUO_TRK'!A51),_xlfn.TEXTAFTER('Additional Documents-WUO_ERR'!A51, ":"))))</f>
        <v>0</v>
      </c>
    </row>
    <row r="52" spans="1:1">
      <c r="A52" s="39">
        <f>IF('Additional Documents'!B52 = "", "", IF('Additional Documents-WUO_ERR'!A52 = "", "Validated", HYPERLINK("#" &amp; ADDRESS(52, 'Additional Documents-WUO_TRK'!A52),_xlfn.TEXTAFTER('Additional Documents-WUO_ERR'!A52, ":"))))</f>
        <v>0</v>
      </c>
    </row>
    <row r="53" spans="1:1">
      <c r="A53" s="39">
        <f>IF('Additional Documents'!B53 = "", "", IF('Additional Documents-WUO_ERR'!A53 = "", "Validated", HYPERLINK("#" &amp; ADDRESS(53, 'Additional Documents-WUO_TRK'!A53),_xlfn.TEXTAFTER('Additional Documents-WUO_ERR'!A53, ":"))))</f>
        <v>0</v>
      </c>
    </row>
    <row r="54" spans="1:1">
      <c r="A54" s="39">
        <f>IF('Additional Documents'!B54 = "", "", IF('Additional Documents-WUO_ERR'!A54 = "", "Validated", HYPERLINK("#" &amp; ADDRESS(54, 'Additional Documents-WUO_TRK'!A54),_xlfn.TEXTAFTER('Additional Documents-WUO_ERR'!A54, ":"))))</f>
        <v>0</v>
      </c>
    </row>
    <row r="55" spans="1:1">
      <c r="A55" s="39">
        <f>IF('Additional Documents'!B55 = "", "", IF('Additional Documents-WUO_ERR'!A55 = "", "Validated", HYPERLINK("#" &amp; ADDRESS(55, 'Additional Documents-WUO_TRK'!A55),_xlfn.TEXTAFTER('Additional Documents-WUO_ERR'!A55, ":"))))</f>
        <v>0</v>
      </c>
    </row>
    <row r="56" spans="1:1">
      <c r="A56" s="39">
        <f>IF('Additional Documents'!B56 = "", "", IF('Additional Documents-WUO_ERR'!A56 = "", "Validated", HYPERLINK("#" &amp; ADDRESS(56, 'Additional Documents-WUO_TRK'!A56),_xlfn.TEXTAFTER('Additional Documents-WUO_ERR'!A56, ":"))))</f>
        <v>0</v>
      </c>
    </row>
    <row r="57" spans="1:1">
      <c r="A57" s="39">
        <f>IF('Additional Documents'!B57 = "", "", IF('Additional Documents-WUO_ERR'!A57 = "", "Validated", HYPERLINK("#" &amp; ADDRESS(57, 'Additional Documents-WUO_TRK'!A57),_xlfn.TEXTAFTER('Additional Documents-WUO_ERR'!A57, ":"))))</f>
        <v>0</v>
      </c>
    </row>
    <row r="58" spans="1:1">
      <c r="A58" s="39">
        <f>IF('Additional Documents'!B58 = "", "", IF('Additional Documents-WUO_ERR'!A58 = "", "Validated", HYPERLINK("#" &amp; ADDRESS(58, 'Additional Documents-WUO_TRK'!A58),_xlfn.TEXTAFTER('Additional Documents-WUO_ERR'!A58, ":"))))</f>
        <v>0</v>
      </c>
    </row>
    <row r="59" spans="1:1">
      <c r="A59" s="39">
        <f>IF('Additional Documents'!B59 = "", "", IF('Additional Documents-WUO_ERR'!A59 = "", "Validated", HYPERLINK("#" &amp; ADDRESS(59, 'Additional Documents-WUO_TRK'!A59),_xlfn.TEXTAFTER('Additional Documents-WUO_ERR'!A59, ":"))))</f>
        <v>0</v>
      </c>
    </row>
    <row r="60" spans="1:1">
      <c r="A60" s="39">
        <f>IF('Additional Documents'!B60 = "", "", IF('Additional Documents-WUO_ERR'!A60 = "", "Validated", HYPERLINK("#" &amp; ADDRESS(60, 'Additional Documents-WUO_TRK'!A60),_xlfn.TEXTAFTER('Additional Documents-WUO_ERR'!A60, ":"))))</f>
        <v>0</v>
      </c>
    </row>
    <row r="61" spans="1:1">
      <c r="A61" s="39">
        <f>IF('Additional Documents'!B61 = "", "", IF('Additional Documents-WUO_ERR'!A61 = "", "Validated", HYPERLINK("#" &amp; ADDRESS(61, 'Additional Documents-WUO_TRK'!A61),_xlfn.TEXTAFTER('Additional Documents-WUO_ERR'!A61, ":"))))</f>
        <v>0</v>
      </c>
    </row>
    <row r="62" spans="1:1">
      <c r="A62" s="39">
        <f>IF('Additional Documents'!B62 = "", "", IF('Additional Documents-WUO_ERR'!A62 = "", "Validated", HYPERLINK("#" &amp; ADDRESS(62, 'Additional Documents-WUO_TRK'!A62),_xlfn.TEXTAFTER('Additional Documents-WUO_ERR'!A62, ":"))))</f>
        <v>0</v>
      </c>
    </row>
    <row r="63" spans="1:1">
      <c r="A63" s="39">
        <f>IF('Additional Documents'!B63 = "", "", IF('Additional Documents-WUO_ERR'!A63 = "", "Validated", HYPERLINK("#" &amp; ADDRESS(63, 'Additional Documents-WUO_TRK'!A63),_xlfn.TEXTAFTER('Additional Documents-WUO_ERR'!A63, ":"))))</f>
        <v>0</v>
      </c>
    </row>
    <row r="64" spans="1:1">
      <c r="A64" s="39">
        <f>IF('Additional Documents'!B64 = "", "", IF('Additional Documents-WUO_ERR'!A64 = "", "Validated", HYPERLINK("#" &amp; ADDRESS(64, 'Additional Documents-WUO_TRK'!A64),_xlfn.TEXTAFTER('Additional Documents-WUO_ERR'!A64, ":"))))</f>
        <v>0</v>
      </c>
    </row>
    <row r="65" spans="1:1">
      <c r="A65" s="39">
        <f>IF('Additional Documents'!B65 = "", "", IF('Additional Documents-WUO_ERR'!A65 = "", "Validated", HYPERLINK("#" &amp; ADDRESS(65, 'Additional Documents-WUO_TRK'!A65),_xlfn.TEXTAFTER('Additional Documents-WUO_ERR'!A65, ":"))))</f>
        <v>0</v>
      </c>
    </row>
    <row r="66" spans="1:1">
      <c r="A66" s="39">
        <f>IF('Additional Documents'!B66 = "", "", IF('Additional Documents-WUO_ERR'!A66 = "", "Validated", HYPERLINK("#" &amp; ADDRESS(66, 'Additional Documents-WUO_TRK'!A66),_xlfn.TEXTAFTER('Additional Documents-WUO_ERR'!A66, ":"))))</f>
        <v>0</v>
      </c>
    </row>
    <row r="67" spans="1:1">
      <c r="A67" s="39">
        <f>IF('Additional Documents'!B67 = "", "", IF('Additional Documents-WUO_ERR'!A67 = "", "Validated", HYPERLINK("#" &amp; ADDRESS(67, 'Additional Documents-WUO_TRK'!A67),_xlfn.TEXTAFTER('Additional Documents-WUO_ERR'!A67, ":"))))</f>
        <v>0</v>
      </c>
    </row>
    <row r="68" spans="1:1">
      <c r="A68" s="39">
        <f>IF('Additional Documents'!B68 = "", "", IF('Additional Documents-WUO_ERR'!A68 = "", "Validated", HYPERLINK("#" &amp; ADDRESS(68, 'Additional Documents-WUO_TRK'!A68),_xlfn.TEXTAFTER('Additional Documents-WUO_ERR'!A68, ":"))))</f>
        <v>0</v>
      </c>
    </row>
    <row r="69" spans="1:1">
      <c r="A69" s="39">
        <f>IF('Additional Documents'!B69 = "", "", IF('Additional Documents-WUO_ERR'!A69 = "", "Validated", HYPERLINK("#" &amp; ADDRESS(69, 'Additional Documents-WUO_TRK'!A69),_xlfn.TEXTAFTER('Additional Documents-WUO_ERR'!A69, ":"))))</f>
        <v>0</v>
      </c>
    </row>
    <row r="70" spans="1:1">
      <c r="A70" s="39">
        <f>IF('Additional Documents'!B70 = "", "", IF('Additional Documents-WUO_ERR'!A70 = "", "Validated", HYPERLINK("#" &amp; ADDRESS(70, 'Additional Documents-WUO_TRK'!A70),_xlfn.TEXTAFTER('Additional Documents-WUO_ERR'!A70, ":"))))</f>
        <v>0</v>
      </c>
    </row>
    <row r="71" spans="1:1">
      <c r="A71" s="39">
        <f>IF('Additional Documents'!B71 = "", "", IF('Additional Documents-WUO_ERR'!A71 = "", "Validated", HYPERLINK("#" &amp; ADDRESS(71, 'Additional Documents-WUO_TRK'!A71),_xlfn.TEXTAFTER('Additional Documents-WUO_ERR'!A71, ":"))))</f>
        <v>0</v>
      </c>
    </row>
    <row r="72" spans="1:1">
      <c r="A72" s="39">
        <f>IF('Additional Documents'!B72 = "", "", IF('Additional Documents-WUO_ERR'!A72 = "", "Validated", HYPERLINK("#" &amp; ADDRESS(72, 'Additional Documents-WUO_TRK'!A72),_xlfn.TEXTAFTER('Additional Documents-WUO_ERR'!A72, ":"))))</f>
        <v>0</v>
      </c>
    </row>
    <row r="73" spans="1:1">
      <c r="A73" s="39">
        <f>IF('Additional Documents'!B73 = "", "", IF('Additional Documents-WUO_ERR'!A73 = "", "Validated", HYPERLINK("#" &amp; ADDRESS(73, 'Additional Documents-WUO_TRK'!A73),_xlfn.TEXTAFTER('Additional Documents-WUO_ERR'!A73, ":"))))</f>
        <v>0</v>
      </c>
    </row>
    <row r="74" spans="1:1">
      <c r="A74" s="39">
        <f>IF('Additional Documents'!B74 = "", "", IF('Additional Documents-WUO_ERR'!A74 = "", "Validated", HYPERLINK("#" &amp; ADDRESS(74, 'Additional Documents-WUO_TRK'!A74),_xlfn.TEXTAFTER('Additional Documents-WUO_ERR'!A74, ":"))))</f>
        <v>0</v>
      </c>
    </row>
    <row r="75" spans="1:1">
      <c r="A75" s="39">
        <f>IF('Additional Documents'!B75 = "", "", IF('Additional Documents-WUO_ERR'!A75 = "", "Validated", HYPERLINK("#" &amp; ADDRESS(75, 'Additional Documents-WUO_TRK'!A75),_xlfn.TEXTAFTER('Additional Documents-WUO_ERR'!A75, ":"))))</f>
        <v>0</v>
      </c>
    </row>
    <row r="76" spans="1:1">
      <c r="A76" s="39">
        <f>IF('Additional Documents'!B76 = "", "", IF('Additional Documents-WUO_ERR'!A76 = "", "Validated", HYPERLINK("#" &amp; ADDRESS(76, 'Additional Documents-WUO_TRK'!A76),_xlfn.TEXTAFTER('Additional Documents-WUO_ERR'!A76, ":"))))</f>
        <v>0</v>
      </c>
    </row>
    <row r="77" spans="1:1">
      <c r="A77" s="39">
        <f>IF('Additional Documents'!B77 = "", "", IF('Additional Documents-WUO_ERR'!A77 = "", "Validated", HYPERLINK("#" &amp; ADDRESS(77, 'Additional Documents-WUO_TRK'!A77),_xlfn.TEXTAFTER('Additional Documents-WUO_ERR'!A77, ":"))))</f>
        <v>0</v>
      </c>
    </row>
    <row r="78" spans="1:1">
      <c r="A78" s="39">
        <f>IF('Additional Documents'!B78 = "", "", IF('Additional Documents-WUO_ERR'!A78 = "", "Validated", HYPERLINK("#" &amp; ADDRESS(78, 'Additional Documents-WUO_TRK'!A78),_xlfn.TEXTAFTER('Additional Documents-WUO_ERR'!A78, ":"))))</f>
        <v>0</v>
      </c>
    </row>
    <row r="79" spans="1:1">
      <c r="A79" s="39">
        <f>IF('Additional Documents'!B79 = "", "", IF('Additional Documents-WUO_ERR'!A79 = "", "Validated", HYPERLINK("#" &amp; ADDRESS(79, 'Additional Documents-WUO_TRK'!A79),_xlfn.TEXTAFTER('Additional Documents-WUO_ERR'!A79, ":"))))</f>
        <v>0</v>
      </c>
    </row>
    <row r="80" spans="1:1">
      <c r="A80" s="39">
        <f>IF('Additional Documents'!B80 = "", "", IF('Additional Documents-WUO_ERR'!A80 = "", "Validated", HYPERLINK("#" &amp; ADDRESS(80, 'Additional Documents-WUO_TRK'!A80),_xlfn.TEXTAFTER('Additional Documents-WUO_ERR'!A80, ":"))))</f>
        <v>0</v>
      </c>
    </row>
    <row r="81" spans="1:1">
      <c r="A81" s="39">
        <f>IF('Additional Documents'!B81 = "", "", IF('Additional Documents-WUO_ERR'!A81 = "", "Validated", HYPERLINK("#" &amp; ADDRESS(81, 'Additional Documents-WUO_TRK'!A81),_xlfn.TEXTAFTER('Additional Documents-WUO_ERR'!A81, ":"))))</f>
        <v>0</v>
      </c>
    </row>
    <row r="82" spans="1:1">
      <c r="A82" s="39">
        <f>IF('Additional Documents'!B82 = "", "", IF('Additional Documents-WUO_ERR'!A82 = "", "Validated", HYPERLINK("#" &amp; ADDRESS(82, 'Additional Documents-WUO_TRK'!A82),_xlfn.TEXTAFTER('Additional Documents-WUO_ERR'!A82, ":"))))</f>
        <v>0</v>
      </c>
    </row>
    <row r="83" spans="1:1">
      <c r="A83" s="39">
        <f>IF('Additional Documents'!B83 = "", "", IF('Additional Documents-WUO_ERR'!A83 = "", "Validated", HYPERLINK("#" &amp; ADDRESS(83, 'Additional Documents-WUO_TRK'!A83),_xlfn.TEXTAFTER('Additional Documents-WUO_ERR'!A83, ":"))))</f>
        <v>0</v>
      </c>
    </row>
    <row r="84" spans="1:1">
      <c r="A84" s="39">
        <f>IF('Additional Documents'!B84 = "", "", IF('Additional Documents-WUO_ERR'!A84 = "", "Validated", HYPERLINK("#" &amp; ADDRESS(84, 'Additional Documents-WUO_TRK'!A84),_xlfn.TEXTAFTER('Additional Documents-WUO_ERR'!A84, ":"))))</f>
        <v>0</v>
      </c>
    </row>
    <row r="85" spans="1:1">
      <c r="A85" s="39">
        <f>IF('Additional Documents'!B85 = "", "", IF('Additional Documents-WUO_ERR'!A85 = "", "Validated", HYPERLINK("#" &amp; ADDRESS(85, 'Additional Documents-WUO_TRK'!A85),_xlfn.TEXTAFTER('Additional Documents-WUO_ERR'!A85, ":"))))</f>
        <v>0</v>
      </c>
    </row>
    <row r="86" spans="1:1">
      <c r="A86" s="39">
        <f>IF('Additional Documents'!B86 = "", "", IF('Additional Documents-WUO_ERR'!A86 = "", "Validated", HYPERLINK("#" &amp; ADDRESS(86, 'Additional Documents-WUO_TRK'!A86),_xlfn.TEXTAFTER('Additional Documents-WUO_ERR'!A86, ":"))))</f>
        <v>0</v>
      </c>
    </row>
    <row r="87" spans="1:1">
      <c r="A87" s="39">
        <f>IF('Additional Documents'!B87 = "", "", IF('Additional Documents-WUO_ERR'!A87 = "", "Validated", HYPERLINK("#" &amp; ADDRESS(87, 'Additional Documents-WUO_TRK'!A87),_xlfn.TEXTAFTER('Additional Documents-WUO_ERR'!A87, ":"))))</f>
        <v>0</v>
      </c>
    </row>
    <row r="88" spans="1:1">
      <c r="A88" s="39">
        <f>IF('Additional Documents'!B88 = "", "", IF('Additional Documents-WUO_ERR'!A88 = "", "Validated", HYPERLINK("#" &amp; ADDRESS(88, 'Additional Documents-WUO_TRK'!A88),_xlfn.TEXTAFTER('Additional Documents-WUO_ERR'!A88, ":"))))</f>
        <v>0</v>
      </c>
    </row>
    <row r="89" spans="1:1">
      <c r="A89" s="39">
        <f>IF('Additional Documents'!B89 = "", "", IF('Additional Documents-WUO_ERR'!A89 = "", "Validated", HYPERLINK("#" &amp; ADDRESS(89, 'Additional Documents-WUO_TRK'!A89),_xlfn.TEXTAFTER('Additional Documents-WUO_ERR'!A89, ":"))))</f>
        <v>0</v>
      </c>
    </row>
    <row r="90" spans="1:1">
      <c r="A90" s="39">
        <f>IF('Additional Documents'!B90 = "", "", IF('Additional Documents-WUO_ERR'!A90 = "", "Validated", HYPERLINK("#" &amp; ADDRESS(90, 'Additional Documents-WUO_TRK'!A90),_xlfn.TEXTAFTER('Additional Documents-WUO_ERR'!A90, ":"))))</f>
        <v>0</v>
      </c>
    </row>
    <row r="91" spans="1:1">
      <c r="A91" s="39">
        <f>IF('Additional Documents'!B91 = "", "", IF('Additional Documents-WUO_ERR'!A91 = "", "Validated", HYPERLINK("#" &amp; ADDRESS(91, 'Additional Documents-WUO_TRK'!A91),_xlfn.TEXTAFTER('Additional Documents-WUO_ERR'!A91, ":"))))</f>
        <v>0</v>
      </c>
    </row>
    <row r="92" spans="1:1">
      <c r="A92" s="39">
        <f>IF('Additional Documents'!B92 = "", "", IF('Additional Documents-WUO_ERR'!A92 = "", "Validated", HYPERLINK("#" &amp; ADDRESS(92, 'Additional Documents-WUO_TRK'!A92),_xlfn.TEXTAFTER('Additional Documents-WUO_ERR'!A92, ":"))))</f>
        <v>0</v>
      </c>
    </row>
    <row r="93" spans="1:1">
      <c r="A93" s="39">
        <f>IF('Additional Documents'!B93 = "", "", IF('Additional Documents-WUO_ERR'!A93 = "", "Validated", HYPERLINK("#" &amp; ADDRESS(93, 'Additional Documents-WUO_TRK'!A93),_xlfn.TEXTAFTER('Additional Documents-WUO_ERR'!A93, ":"))))</f>
        <v>0</v>
      </c>
    </row>
    <row r="94" spans="1:1">
      <c r="A94" s="39">
        <f>IF('Additional Documents'!B94 = "", "", IF('Additional Documents-WUO_ERR'!A94 = "", "Validated", HYPERLINK("#" &amp; ADDRESS(94, 'Additional Documents-WUO_TRK'!A94),_xlfn.TEXTAFTER('Additional Documents-WUO_ERR'!A94, ":"))))</f>
        <v>0</v>
      </c>
    </row>
    <row r="95" spans="1:1">
      <c r="A95" s="39">
        <f>IF('Additional Documents'!B95 = "", "", IF('Additional Documents-WUO_ERR'!A95 = "", "Validated", HYPERLINK("#" &amp; ADDRESS(95, 'Additional Documents-WUO_TRK'!A95),_xlfn.TEXTAFTER('Additional Documents-WUO_ERR'!A95, ":"))))</f>
        <v>0</v>
      </c>
    </row>
    <row r="96" spans="1:1">
      <c r="A96" s="39">
        <f>IF('Additional Documents'!B96 = "", "", IF('Additional Documents-WUO_ERR'!A96 = "", "Validated", HYPERLINK("#" &amp; ADDRESS(96, 'Additional Documents-WUO_TRK'!A96),_xlfn.TEXTAFTER('Additional Documents-WUO_ERR'!A96, ":"))))</f>
        <v>0</v>
      </c>
    </row>
    <row r="97" spans="1:1">
      <c r="A97" s="39">
        <f>IF('Additional Documents'!B97 = "", "", IF('Additional Documents-WUO_ERR'!A97 = "", "Validated", HYPERLINK("#" &amp; ADDRESS(97, 'Additional Documents-WUO_TRK'!A97),_xlfn.TEXTAFTER('Additional Documents-WUO_ERR'!A97, ":"))))</f>
        <v>0</v>
      </c>
    </row>
    <row r="98" spans="1:1">
      <c r="A98" s="39">
        <f>IF('Additional Documents'!B98 = "", "", IF('Additional Documents-WUO_ERR'!A98 = "", "Validated", HYPERLINK("#" &amp; ADDRESS(98, 'Additional Documents-WUO_TRK'!A98),_xlfn.TEXTAFTER('Additional Documents-WUO_ERR'!A98, ":"))))</f>
        <v>0</v>
      </c>
    </row>
    <row r="99" spans="1:1">
      <c r="A99" s="39">
        <f>IF('Additional Documents'!B99 = "", "", IF('Additional Documents-WUO_ERR'!A99 = "", "Validated", HYPERLINK("#" &amp; ADDRESS(99, 'Additional Documents-WUO_TRK'!A99),_xlfn.TEXTAFTER('Additional Documents-WUO_ERR'!A99, ":"))))</f>
        <v>0</v>
      </c>
    </row>
    <row r="100" spans="1:1">
      <c r="A100" s="39">
        <f>IF('Additional Documents'!B100 = "", "", IF('Additional Documents-WUO_ERR'!A100 = "", "Validated", HYPERLINK("#" &amp; ADDRESS(100, 'Additional Documents-WUO_TRK'!A100),_xlfn.TEXTAFTER('Additional Documents-WUO_ERR'!A100, ":"))))</f>
        <v>0</v>
      </c>
    </row>
    <row r="101" spans="1:1">
      <c r="A101" s="39">
        <f>IF('Additional Documents'!B101 = "", "", IF('Additional Documents-WUO_ERR'!A101 = "", "Validated", HYPERLINK("#" &amp; ADDRESS(101, 'Additional Documents-WUO_TRK'!A101),_xlfn.TEXTAFTER('Additional Documents-WUO_ERR'!A101, ":"))))</f>
        <v>0</v>
      </c>
    </row>
    <row r="102" spans="1:1">
      <c r="A102" s="39">
        <f>IF('Additional Documents'!B102 = "", "", IF('Additional Documents-WUO_ERR'!A102 = "", "Validated", HYPERLINK("#" &amp; ADDRESS(102, 'Additional Documents-WUO_TRK'!A102),_xlfn.TEXTAFTER('Additional Documents-WUO_ERR'!A102, ":"))))</f>
        <v>0</v>
      </c>
    </row>
    <row r="103" spans="1:1">
      <c r="A103" s="39">
        <f>IF('Additional Documents'!B103 = "", "", IF('Additional Documents-WUO_ERR'!A103 = "", "Validated", HYPERLINK("#" &amp; ADDRESS(103, 'Additional Documents-WUO_TRK'!A103),_xlfn.TEXTAFTER('Additional Documents-WUO_ERR'!A103, ":"))))</f>
        <v>0</v>
      </c>
    </row>
    <row r="104" spans="1:1">
      <c r="A104" s="39">
        <f>IF('Additional Documents'!B104 = "", "", IF('Additional Documents-WUO_ERR'!A104 = "", "Validated", HYPERLINK("#" &amp; ADDRESS(104, 'Additional Documents-WUO_TRK'!A104),_xlfn.TEXTAFTER('Additional Documents-WUO_ERR'!A104, ":"))))</f>
        <v>0</v>
      </c>
    </row>
    <row r="105" spans="1:1">
      <c r="A105" s="39">
        <f>IF('Additional Documents'!B105 = "", "", IF('Additional Documents-WUO_ERR'!A105 = "", "Validated", HYPERLINK("#" &amp; ADDRESS(105, 'Additional Documents-WUO_TRK'!A105),_xlfn.TEXTAFTER('Additional Documents-WUO_ERR'!A105, ":"))))</f>
        <v>0</v>
      </c>
    </row>
    <row r="106" spans="1:1">
      <c r="A106" s="39">
        <f>IF('Additional Documents'!B106 = "", "", IF('Additional Documents-WUO_ERR'!A106 = "", "Validated", HYPERLINK("#" &amp; ADDRESS(106, 'Additional Documents-WUO_TRK'!A106),_xlfn.TEXTAFTER('Additional Documents-WUO_ERR'!A106, ":"))))</f>
        <v>0</v>
      </c>
    </row>
    <row r="107" spans="1:1">
      <c r="A107" s="39">
        <f>IF('Additional Documents'!B107 = "", "", IF('Additional Documents-WUO_ERR'!A107 = "", "Validated", HYPERLINK("#" &amp; ADDRESS(107, 'Additional Documents-WUO_TRK'!A107),_xlfn.TEXTAFTER('Additional Documents-WUO_ERR'!A107, ":"))))</f>
        <v>0</v>
      </c>
    </row>
    <row r="108" spans="1:1">
      <c r="A108" s="39">
        <f>IF('Additional Documents'!B108 = "", "", IF('Additional Documents-WUO_ERR'!A108 = "", "Validated", HYPERLINK("#" &amp; ADDRESS(108, 'Additional Documents-WUO_TRK'!A108),_xlfn.TEXTAFTER('Additional Documents-WUO_ERR'!A108, ":"))))</f>
        <v>0</v>
      </c>
    </row>
    <row r="109" spans="1:1">
      <c r="A109" s="39">
        <f>IF('Additional Documents'!B109 = "", "", IF('Additional Documents-WUO_ERR'!A109 = "", "Validated", HYPERLINK("#" &amp; ADDRESS(109, 'Additional Documents-WUO_TRK'!A109),_xlfn.TEXTAFTER('Additional Documents-WUO_ERR'!A109, ":"))))</f>
        <v>0</v>
      </c>
    </row>
    <row r="110" spans="1:1">
      <c r="A110" s="39">
        <f>IF('Additional Documents'!B110 = "", "", IF('Additional Documents-WUO_ERR'!A110 = "", "Validated", HYPERLINK("#" &amp; ADDRESS(110, 'Additional Documents-WUO_TRK'!A110),_xlfn.TEXTAFTER('Additional Documents-WUO_ERR'!A110, ":"))))</f>
        <v>0</v>
      </c>
    </row>
    <row r="111" spans="1:1">
      <c r="A111" s="39">
        <f>IF('Additional Documents'!B111 = "", "", IF('Additional Documents-WUO_ERR'!A111 = "", "Validated", HYPERLINK("#" &amp; ADDRESS(111, 'Additional Documents-WUO_TRK'!A111),_xlfn.TEXTAFTER('Additional Documents-WUO_ERR'!A111, ":"))))</f>
        <v>0</v>
      </c>
    </row>
    <row r="112" spans="1:1">
      <c r="A112" s="39">
        <f>IF('Additional Documents'!B112 = "", "", IF('Additional Documents-WUO_ERR'!A112 = "", "Validated", HYPERLINK("#" &amp; ADDRESS(112, 'Additional Documents-WUO_TRK'!A112),_xlfn.TEXTAFTER('Additional Documents-WUO_ERR'!A112, ":"))))</f>
        <v>0</v>
      </c>
    </row>
    <row r="113" spans="1:1">
      <c r="A113" s="39">
        <f>IF('Additional Documents'!B113 = "", "", IF('Additional Documents-WUO_ERR'!A113 = "", "Validated", HYPERLINK("#" &amp; ADDRESS(113, 'Additional Documents-WUO_TRK'!A113),_xlfn.TEXTAFTER('Additional Documents-WUO_ERR'!A113, ":"))))</f>
        <v>0</v>
      </c>
    </row>
    <row r="114" spans="1:1">
      <c r="A114" s="39">
        <f>IF('Additional Documents'!B114 = "", "", IF('Additional Documents-WUO_ERR'!A114 = "", "Validated", HYPERLINK("#" &amp; ADDRESS(114, 'Additional Documents-WUO_TRK'!A114),_xlfn.TEXTAFTER('Additional Documents-WUO_ERR'!A114, ":"))))</f>
        <v>0</v>
      </c>
    </row>
    <row r="115" spans="1:1">
      <c r="A115" s="39">
        <f>IF('Additional Documents'!B115 = "", "", IF('Additional Documents-WUO_ERR'!A115 = "", "Validated", HYPERLINK("#" &amp; ADDRESS(115, 'Additional Documents-WUO_TRK'!A115),_xlfn.TEXTAFTER('Additional Documents-WUO_ERR'!A115, ":"))))</f>
        <v>0</v>
      </c>
    </row>
    <row r="116" spans="1:1">
      <c r="A116" s="39">
        <f>IF('Additional Documents'!B116 = "", "", IF('Additional Documents-WUO_ERR'!A116 = "", "Validated", HYPERLINK("#" &amp; ADDRESS(116, 'Additional Documents-WUO_TRK'!A116),_xlfn.TEXTAFTER('Additional Documents-WUO_ERR'!A116, ":"))))</f>
        <v>0</v>
      </c>
    </row>
    <row r="117" spans="1:1">
      <c r="A117" s="39">
        <f>IF('Additional Documents'!B117 = "", "", IF('Additional Documents-WUO_ERR'!A117 = "", "Validated", HYPERLINK("#" &amp; ADDRESS(117, 'Additional Documents-WUO_TRK'!A117),_xlfn.TEXTAFTER('Additional Documents-WUO_ERR'!A117, ":"))))</f>
        <v>0</v>
      </c>
    </row>
    <row r="118" spans="1:1">
      <c r="A118" s="39">
        <f>IF('Additional Documents'!B118 = "", "", IF('Additional Documents-WUO_ERR'!A118 = "", "Validated", HYPERLINK("#" &amp; ADDRESS(118, 'Additional Documents-WUO_TRK'!A118),_xlfn.TEXTAFTER('Additional Documents-WUO_ERR'!A118, ":"))))</f>
        <v>0</v>
      </c>
    </row>
    <row r="119" spans="1:1">
      <c r="A119" s="39">
        <f>IF('Additional Documents'!B119 = "", "", IF('Additional Documents-WUO_ERR'!A119 = "", "Validated", HYPERLINK("#" &amp; ADDRESS(119, 'Additional Documents-WUO_TRK'!A119),_xlfn.TEXTAFTER('Additional Documents-WUO_ERR'!A119, ":"))))</f>
        <v>0</v>
      </c>
    </row>
    <row r="120" spans="1:1">
      <c r="A120" s="39">
        <f>IF('Additional Documents'!B120 = "", "", IF('Additional Documents-WUO_ERR'!A120 = "", "Validated", HYPERLINK("#" &amp; ADDRESS(120, 'Additional Documents-WUO_TRK'!A120),_xlfn.TEXTAFTER('Additional Documents-WUO_ERR'!A120, ":"))))</f>
        <v>0</v>
      </c>
    </row>
    <row r="121" spans="1:1">
      <c r="A121" s="39">
        <f>IF('Additional Documents'!B121 = "", "", IF('Additional Documents-WUO_ERR'!A121 = "", "Validated", HYPERLINK("#" &amp; ADDRESS(121, 'Additional Documents-WUO_TRK'!A121),_xlfn.TEXTAFTER('Additional Documents-WUO_ERR'!A121, ":"))))</f>
        <v>0</v>
      </c>
    </row>
    <row r="122" spans="1:1">
      <c r="A122" s="39">
        <f>IF('Additional Documents'!B122 = "", "", IF('Additional Documents-WUO_ERR'!A122 = "", "Validated", HYPERLINK("#" &amp; ADDRESS(122, 'Additional Documents-WUO_TRK'!A122),_xlfn.TEXTAFTER('Additional Documents-WUO_ERR'!A122, ":"))))</f>
        <v>0</v>
      </c>
    </row>
    <row r="123" spans="1:1">
      <c r="A123" s="39">
        <f>IF('Additional Documents'!B123 = "", "", IF('Additional Documents-WUO_ERR'!A123 = "", "Validated", HYPERLINK("#" &amp; ADDRESS(123, 'Additional Documents-WUO_TRK'!A123),_xlfn.TEXTAFTER('Additional Documents-WUO_ERR'!A123, ":"))))</f>
        <v>0</v>
      </c>
    </row>
    <row r="124" spans="1:1">
      <c r="A124" s="39">
        <f>IF('Additional Documents'!B124 = "", "", IF('Additional Documents-WUO_ERR'!A124 = "", "Validated", HYPERLINK("#" &amp; ADDRESS(124, 'Additional Documents-WUO_TRK'!A124),_xlfn.TEXTAFTER('Additional Documents-WUO_ERR'!A124, ":"))))</f>
        <v>0</v>
      </c>
    </row>
    <row r="125" spans="1:1">
      <c r="A125" s="39">
        <f>IF('Additional Documents'!B125 = "", "", IF('Additional Documents-WUO_ERR'!A125 = "", "Validated", HYPERLINK("#" &amp; ADDRESS(125, 'Additional Documents-WUO_TRK'!A125),_xlfn.TEXTAFTER('Additional Documents-WUO_ERR'!A125, ":"))))</f>
        <v>0</v>
      </c>
    </row>
    <row r="126" spans="1:1">
      <c r="A126" s="39">
        <f>IF('Additional Documents'!B126 = "", "", IF('Additional Documents-WUO_ERR'!A126 = "", "Validated", HYPERLINK("#" &amp; ADDRESS(126, 'Additional Documents-WUO_TRK'!A126),_xlfn.TEXTAFTER('Additional Documents-WUO_ERR'!A126, ":"))))</f>
        <v>0</v>
      </c>
    </row>
    <row r="127" spans="1:1">
      <c r="A127" s="39">
        <f>IF('Additional Documents'!B127 = "", "", IF('Additional Documents-WUO_ERR'!A127 = "", "Validated", HYPERLINK("#" &amp; ADDRESS(127, 'Additional Documents-WUO_TRK'!A127),_xlfn.TEXTAFTER('Additional Documents-WUO_ERR'!A127, ":"))))</f>
        <v>0</v>
      </c>
    </row>
    <row r="128" spans="1:1">
      <c r="A128" s="39">
        <f>IF('Additional Documents'!B128 = "", "", IF('Additional Documents-WUO_ERR'!A128 = "", "Validated", HYPERLINK("#" &amp; ADDRESS(128, 'Additional Documents-WUO_TRK'!A128),_xlfn.TEXTAFTER('Additional Documents-WUO_ERR'!A128, ":"))))</f>
        <v>0</v>
      </c>
    </row>
    <row r="129" spans="1:1">
      <c r="A129" s="39">
        <f>IF('Additional Documents'!B129 = "", "", IF('Additional Documents-WUO_ERR'!A129 = "", "Validated", HYPERLINK("#" &amp; ADDRESS(129, 'Additional Documents-WUO_TRK'!A129),_xlfn.TEXTAFTER('Additional Documents-WUO_ERR'!A129, ":"))))</f>
        <v>0</v>
      </c>
    </row>
    <row r="130" spans="1:1">
      <c r="A130" s="39">
        <f>IF('Additional Documents'!B130 = "", "", IF('Additional Documents-WUO_ERR'!A130 = "", "Validated", HYPERLINK("#" &amp; ADDRESS(130, 'Additional Documents-WUO_TRK'!A130),_xlfn.TEXTAFTER('Additional Documents-WUO_ERR'!A130, ":"))))</f>
        <v>0</v>
      </c>
    </row>
    <row r="131" spans="1:1">
      <c r="A131" s="39">
        <f>IF('Additional Documents'!B131 = "", "", IF('Additional Documents-WUO_ERR'!A131 = "", "Validated", HYPERLINK("#" &amp; ADDRESS(131, 'Additional Documents-WUO_TRK'!A131),_xlfn.TEXTAFTER('Additional Documents-WUO_ERR'!A131, ":"))))</f>
        <v>0</v>
      </c>
    </row>
    <row r="132" spans="1:1">
      <c r="A132" s="39">
        <f>IF('Additional Documents'!B132 = "", "", IF('Additional Documents-WUO_ERR'!A132 = "", "Validated", HYPERLINK("#" &amp; ADDRESS(132, 'Additional Documents-WUO_TRK'!A132),_xlfn.TEXTAFTER('Additional Documents-WUO_ERR'!A132, ":"))))</f>
        <v>0</v>
      </c>
    </row>
    <row r="133" spans="1:1">
      <c r="A133" s="39">
        <f>IF('Additional Documents'!B133 = "", "", IF('Additional Documents-WUO_ERR'!A133 = "", "Validated", HYPERLINK("#" &amp; ADDRESS(133, 'Additional Documents-WUO_TRK'!A133),_xlfn.TEXTAFTER('Additional Documents-WUO_ERR'!A133, ":"))))</f>
        <v>0</v>
      </c>
    </row>
    <row r="134" spans="1:1">
      <c r="A134" s="39">
        <f>IF('Additional Documents'!B134 = "", "", IF('Additional Documents-WUO_ERR'!A134 = "", "Validated", HYPERLINK("#" &amp; ADDRESS(134, 'Additional Documents-WUO_TRK'!A134),_xlfn.TEXTAFTER('Additional Documents-WUO_ERR'!A134, ":"))))</f>
        <v>0</v>
      </c>
    </row>
    <row r="135" spans="1:1">
      <c r="A135" s="39">
        <f>IF('Additional Documents'!B135 = "", "", IF('Additional Documents-WUO_ERR'!A135 = "", "Validated", HYPERLINK("#" &amp; ADDRESS(135, 'Additional Documents-WUO_TRK'!A135),_xlfn.TEXTAFTER('Additional Documents-WUO_ERR'!A135, ":"))))</f>
        <v>0</v>
      </c>
    </row>
    <row r="136" spans="1:1">
      <c r="A136" s="39">
        <f>IF('Additional Documents'!B136 = "", "", IF('Additional Documents-WUO_ERR'!A136 = "", "Validated", HYPERLINK("#" &amp; ADDRESS(136, 'Additional Documents-WUO_TRK'!A136),_xlfn.TEXTAFTER('Additional Documents-WUO_ERR'!A136, ":"))))</f>
        <v>0</v>
      </c>
    </row>
    <row r="137" spans="1:1">
      <c r="A137" s="39">
        <f>IF('Additional Documents'!B137 = "", "", IF('Additional Documents-WUO_ERR'!A137 = "", "Validated", HYPERLINK("#" &amp; ADDRESS(137, 'Additional Documents-WUO_TRK'!A137),_xlfn.TEXTAFTER('Additional Documents-WUO_ERR'!A137, ":"))))</f>
        <v>0</v>
      </c>
    </row>
    <row r="138" spans="1:1">
      <c r="A138" s="39">
        <f>IF('Additional Documents'!B138 = "", "", IF('Additional Documents-WUO_ERR'!A138 = "", "Validated", HYPERLINK("#" &amp; ADDRESS(138, 'Additional Documents-WUO_TRK'!A138),_xlfn.TEXTAFTER('Additional Documents-WUO_ERR'!A138, ":"))))</f>
        <v>0</v>
      </c>
    </row>
    <row r="139" spans="1:1">
      <c r="A139" s="39">
        <f>IF('Additional Documents'!B139 = "", "", IF('Additional Documents-WUO_ERR'!A139 = "", "Validated", HYPERLINK("#" &amp; ADDRESS(139, 'Additional Documents-WUO_TRK'!A139),_xlfn.TEXTAFTER('Additional Documents-WUO_ERR'!A139, ":"))))</f>
        <v>0</v>
      </c>
    </row>
    <row r="140" spans="1:1">
      <c r="A140" s="39">
        <f>IF('Additional Documents'!B140 = "", "", IF('Additional Documents-WUO_ERR'!A140 = "", "Validated", HYPERLINK("#" &amp; ADDRESS(140, 'Additional Documents-WUO_TRK'!A140),_xlfn.TEXTAFTER('Additional Documents-WUO_ERR'!A140, ":"))))</f>
        <v>0</v>
      </c>
    </row>
    <row r="141" spans="1:1">
      <c r="A141" s="39">
        <f>IF('Additional Documents'!B141 = "", "", IF('Additional Documents-WUO_ERR'!A141 = "", "Validated", HYPERLINK("#" &amp; ADDRESS(141, 'Additional Documents-WUO_TRK'!A141),_xlfn.TEXTAFTER('Additional Documents-WUO_ERR'!A141, ":"))))</f>
        <v>0</v>
      </c>
    </row>
    <row r="142" spans="1:1">
      <c r="A142" s="39">
        <f>IF('Additional Documents'!B142 = "", "", IF('Additional Documents-WUO_ERR'!A142 = "", "Validated", HYPERLINK("#" &amp; ADDRESS(142, 'Additional Documents-WUO_TRK'!A142),_xlfn.TEXTAFTER('Additional Documents-WUO_ERR'!A142, ":"))))</f>
        <v>0</v>
      </c>
    </row>
    <row r="143" spans="1:1">
      <c r="A143" s="39">
        <f>IF('Additional Documents'!B143 = "", "", IF('Additional Documents-WUO_ERR'!A143 = "", "Validated", HYPERLINK("#" &amp; ADDRESS(143, 'Additional Documents-WUO_TRK'!A143),_xlfn.TEXTAFTER('Additional Documents-WUO_ERR'!A143, ":"))))</f>
        <v>0</v>
      </c>
    </row>
    <row r="144" spans="1:1">
      <c r="A144" s="39">
        <f>IF('Additional Documents'!B144 = "", "", IF('Additional Documents-WUO_ERR'!A144 = "", "Validated", HYPERLINK("#" &amp; ADDRESS(144, 'Additional Documents-WUO_TRK'!A144),_xlfn.TEXTAFTER('Additional Documents-WUO_ERR'!A144, ":"))))</f>
        <v>0</v>
      </c>
    </row>
    <row r="145" spans="1:1">
      <c r="A145" s="39">
        <f>IF('Additional Documents'!B145 = "", "", IF('Additional Documents-WUO_ERR'!A145 = "", "Validated", HYPERLINK("#" &amp; ADDRESS(145, 'Additional Documents-WUO_TRK'!A145),_xlfn.TEXTAFTER('Additional Documents-WUO_ERR'!A145, ":"))))</f>
        <v>0</v>
      </c>
    </row>
    <row r="146" spans="1:1">
      <c r="A146" s="39">
        <f>IF('Additional Documents'!B146 = "", "", IF('Additional Documents-WUO_ERR'!A146 = "", "Validated", HYPERLINK("#" &amp; ADDRESS(146, 'Additional Documents-WUO_TRK'!A146),_xlfn.TEXTAFTER('Additional Documents-WUO_ERR'!A146, ":"))))</f>
        <v>0</v>
      </c>
    </row>
    <row r="147" spans="1:1">
      <c r="A147" s="39">
        <f>IF('Additional Documents'!B147 = "", "", IF('Additional Documents-WUO_ERR'!A147 = "", "Validated", HYPERLINK("#" &amp; ADDRESS(147, 'Additional Documents-WUO_TRK'!A147),_xlfn.TEXTAFTER('Additional Documents-WUO_ERR'!A147, ":"))))</f>
        <v>0</v>
      </c>
    </row>
    <row r="148" spans="1:1">
      <c r="A148" s="39">
        <f>IF('Additional Documents'!B148 = "", "", IF('Additional Documents-WUO_ERR'!A148 = "", "Validated", HYPERLINK("#" &amp; ADDRESS(148, 'Additional Documents-WUO_TRK'!A148),_xlfn.TEXTAFTER('Additional Documents-WUO_ERR'!A148, ":"))))</f>
        <v>0</v>
      </c>
    </row>
    <row r="149" spans="1:1">
      <c r="A149" s="39">
        <f>IF('Additional Documents'!B149 = "", "", IF('Additional Documents-WUO_ERR'!A149 = "", "Validated", HYPERLINK("#" &amp; ADDRESS(149, 'Additional Documents-WUO_TRK'!A149),_xlfn.TEXTAFTER('Additional Documents-WUO_ERR'!A149, ":"))))</f>
        <v>0</v>
      </c>
    </row>
    <row r="150" spans="1:1">
      <c r="A150" s="39">
        <f>IF('Additional Documents'!B150 = "", "", IF('Additional Documents-WUO_ERR'!A150 = "", "Validated", HYPERLINK("#" &amp; ADDRESS(150, 'Additional Documents-WUO_TRK'!A150),_xlfn.TEXTAFTER('Additional Documents-WUO_ERR'!A150, ":"))))</f>
        <v>0</v>
      </c>
    </row>
    <row r="151" spans="1:1">
      <c r="A151" s="39">
        <f>IF('Additional Documents'!B151 = "", "", IF('Additional Documents-WUO_ERR'!A151 = "", "Validated", HYPERLINK("#" &amp; ADDRESS(151, 'Additional Documents-WUO_TRK'!A151),_xlfn.TEXTAFTER('Additional Documents-WUO_ERR'!A151, ":"))))</f>
        <v>0</v>
      </c>
    </row>
    <row r="152" spans="1:1">
      <c r="A152" s="39">
        <f>IF('Additional Documents'!B152 = "", "", IF('Additional Documents-WUO_ERR'!A152 = "", "Validated", HYPERLINK("#" &amp; ADDRESS(152, 'Additional Documents-WUO_TRK'!A152),_xlfn.TEXTAFTER('Additional Documents-WUO_ERR'!A152, ":"))))</f>
        <v>0</v>
      </c>
    </row>
    <row r="153" spans="1:1">
      <c r="A153" s="39">
        <f>IF('Additional Documents'!B153 = "", "", IF('Additional Documents-WUO_ERR'!A153 = "", "Validated", HYPERLINK("#" &amp; ADDRESS(153, 'Additional Documents-WUO_TRK'!A153),_xlfn.TEXTAFTER('Additional Documents-WUO_ERR'!A153, ":"))))</f>
        <v>0</v>
      </c>
    </row>
    <row r="154" spans="1:1">
      <c r="A154" s="39">
        <f>IF('Additional Documents'!B154 = "", "", IF('Additional Documents-WUO_ERR'!A154 = "", "Validated", HYPERLINK("#" &amp; ADDRESS(154, 'Additional Documents-WUO_TRK'!A154),_xlfn.TEXTAFTER('Additional Documents-WUO_ERR'!A154, ":"))))</f>
        <v>0</v>
      </c>
    </row>
    <row r="155" spans="1:1">
      <c r="A155" s="39">
        <f>IF('Additional Documents'!B155 = "", "", IF('Additional Documents-WUO_ERR'!A155 = "", "Validated", HYPERLINK("#" &amp; ADDRESS(155, 'Additional Documents-WUO_TRK'!A155),_xlfn.TEXTAFTER('Additional Documents-WUO_ERR'!A155, ":"))))</f>
        <v>0</v>
      </c>
    </row>
    <row r="156" spans="1:1">
      <c r="A156" s="39">
        <f>IF('Additional Documents'!B156 = "", "", IF('Additional Documents-WUO_ERR'!A156 = "", "Validated", HYPERLINK("#" &amp; ADDRESS(156, 'Additional Documents-WUO_TRK'!A156),_xlfn.TEXTAFTER('Additional Documents-WUO_ERR'!A156, ":"))))</f>
        <v>0</v>
      </c>
    </row>
    <row r="157" spans="1:1">
      <c r="A157" s="39">
        <f>IF('Additional Documents'!B157 = "", "", IF('Additional Documents-WUO_ERR'!A157 = "", "Validated", HYPERLINK("#" &amp; ADDRESS(157, 'Additional Documents-WUO_TRK'!A157),_xlfn.TEXTAFTER('Additional Documents-WUO_ERR'!A157, ":"))))</f>
        <v>0</v>
      </c>
    </row>
    <row r="158" spans="1:1">
      <c r="A158" s="39">
        <f>IF('Additional Documents'!B158 = "", "", IF('Additional Documents-WUO_ERR'!A158 = "", "Validated", HYPERLINK("#" &amp; ADDRESS(158, 'Additional Documents-WUO_TRK'!A158),_xlfn.TEXTAFTER('Additional Documents-WUO_ERR'!A158, ":"))))</f>
        <v>0</v>
      </c>
    </row>
    <row r="159" spans="1:1">
      <c r="A159" s="39">
        <f>IF('Additional Documents'!B159 = "", "", IF('Additional Documents-WUO_ERR'!A159 = "", "Validated", HYPERLINK("#" &amp; ADDRESS(159, 'Additional Documents-WUO_TRK'!A159),_xlfn.TEXTAFTER('Additional Documents-WUO_ERR'!A159, ":"))))</f>
        <v>0</v>
      </c>
    </row>
    <row r="160" spans="1:1">
      <c r="A160" s="39">
        <f>IF('Additional Documents'!B160 = "", "", IF('Additional Documents-WUO_ERR'!A160 = "", "Validated", HYPERLINK("#" &amp; ADDRESS(160, 'Additional Documents-WUO_TRK'!A160),_xlfn.TEXTAFTER('Additional Documents-WUO_ERR'!A160, ":"))))</f>
        <v>0</v>
      </c>
    </row>
    <row r="161" spans="1:1">
      <c r="A161" s="39">
        <f>IF('Additional Documents'!B161 = "", "", IF('Additional Documents-WUO_ERR'!A161 = "", "Validated", HYPERLINK("#" &amp; ADDRESS(161, 'Additional Documents-WUO_TRK'!A161),_xlfn.TEXTAFTER('Additional Documents-WUO_ERR'!A161, ":"))))</f>
        <v>0</v>
      </c>
    </row>
    <row r="162" spans="1:1">
      <c r="A162" s="39">
        <f>IF('Additional Documents'!B162 = "", "", IF('Additional Documents-WUO_ERR'!A162 = "", "Validated", HYPERLINK("#" &amp; ADDRESS(162, 'Additional Documents-WUO_TRK'!A162),_xlfn.TEXTAFTER('Additional Documents-WUO_ERR'!A162, ":"))))</f>
        <v>0</v>
      </c>
    </row>
    <row r="163" spans="1:1">
      <c r="A163" s="39">
        <f>IF('Additional Documents'!B163 = "", "", IF('Additional Documents-WUO_ERR'!A163 = "", "Validated", HYPERLINK("#" &amp; ADDRESS(163, 'Additional Documents-WUO_TRK'!A163),_xlfn.TEXTAFTER('Additional Documents-WUO_ERR'!A163, ":"))))</f>
        <v>0</v>
      </c>
    </row>
    <row r="164" spans="1:1">
      <c r="A164" s="39">
        <f>IF('Additional Documents'!B164 = "", "", IF('Additional Documents-WUO_ERR'!A164 = "", "Validated", HYPERLINK("#" &amp; ADDRESS(164, 'Additional Documents-WUO_TRK'!A164),_xlfn.TEXTAFTER('Additional Documents-WUO_ERR'!A164, ":"))))</f>
        <v>0</v>
      </c>
    </row>
    <row r="165" spans="1:1">
      <c r="A165" s="39">
        <f>IF('Additional Documents'!B165 = "", "", IF('Additional Documents-WUO_ERR'!A165 = "", "Validated", HYPERLINK("#" &amp; ADDRESS(165, 'Additional Documents-WUO_TRK'!A165),_xlfn.TEXTAFTER('Additional Documents-WUO_ERR'!A165, ":"))))</f>
        <v>0</v>
      </c>
    </row>
    <row r="166" spans="1:1">
      <c r="A166" s="39">
        <f>IF('Additional Documents'!B166 = "", "", IF('Additional Documents-WUO_ERR'!A166 = "", "Validated", HYPERLINK("#" &amp; ADDRESS(166, 'Additional Documents-WUO_TRK'!A166),_xlfn.TEXTAFTER('Additional Documents-WUO_ERR'!A166, ":"))))</f>
        <v>0</v>
      </c>
    </row>
    <row r="167" spans="1:1">
      <c r="A167" s="39">
        <f>IF('Additional Documents'!B167 = "", "", IF('Additional Documents-WUO_ERR'!A167 = "", "Validated", HYPERLINK("#" &amp; ADDRESS(167, 'Additional Documents-WUO_TRK'!A167),_xlfn.TEXTAFTER('Additional Documents-WUO_ERR'!A167, ":"))))</f>
        <v>0</v>
      </c>
    </row>
    <row r="168" spans="1:1">
      <c r="A168" s="39">
        <f>IF('Additional Documents'!B168 = "", "", IF('Additional Documents-WUO_ERR'!A168 = "", "Validated", HYPERLINK("#" &amp; ADDRESS(168, 'Additional Documents-WUO_TRK'!A168),_xlfn.TEXTAFTER('Additional Documents-WUO_ERR'!A168, ":"))))</f>
        <v>0</v>
      </c>
    </row>
    <row r="169" spans="1:1">
      <c r="A169" s="39">
        <f>IF('Additional Documents'!B169 = "", "", IF('Additional Documents-WUO_ERR'!A169 = "", "Validated", HYPERLINK("#" &amp; ADDRESS(169, 'Additional Documents-WUO_TRK'!A169),_xlfn.TEXTAFTER('Additional Documents-WUO_ERR'!A169, ":"))))</f>
        <v>0</v>
      </c>
    </row>
    <row r="170" spans="1:1">
      <c r="A170" s="39">
        <f>IF('Additional Documents'!B170 = "", "", IF('Additional Documents-WUO_ERR'!A170 = "", "Validated", HYPERLINK("#" &amp; ADDRESS(170, 'Additional Documents-WUO_TRK'!A170),_xlfn.TEXTAFTER('Additional Documents-WUO_ERR'!A170, ":"))))</f>
        <v>0</v>
      </c>
    </row>
    <row r="171" spans="1:1">
      <c r="A171" s="39">
        <f>IF('Additional Documents'!B171 = "", "", IF('Additional Documents-WUO_ERR'!A171 = "", "Validated", HYPERLINK("#" &amp; ADDRESS(171, 'Additional Documents-WUO_TRK'!A171),_xlfn.TEXTAFTER('Additional Documents-WUO_ERR'!A171, ":"))))</f>
        <v>0</v>
      </c>
    </row>
    <row r="172" spans="1:1">
      <c r="A172" s="39">
        <f>IF('Additional Documents'!B172 = "", "", IF('Additional Documents-WUO_ERR'!A172 = "", "Validated", HYPERLINK("#" &amp; ADDRESS(172, 'Additional Documents-WUO_TRK'!A172),_xlfn.TEXTAFTER('Additional Documents-WUO_ERR'!A172, ":"))))</f>
        <v>0</v>
      </c>
    </row>
    <row r="173" spans="1:1">
      <c r="A173" s="39">
        <f>IF('Additional Documents'!B173 = "", "", IF('Additional Documents-WUO_ERR'!A173 = "", "Validated", HYPERLINK("#" &amp; ADDRESS(173, 'Additional Documents-WUO_TRK'!A173),_xlfn.TEXTAFTER('Additional Documents-WUO_ERR'!A173, ":"))))</f>
        <v>0</v>
      </c>
    </row>
    <row r="174" spans="1:1">
      <c r="A174" s="39">
        <f>IF('Additional Documents'!B174 = "", "", IF('Additional Documents-WUO_ERR'!A174 = "", "Validated", HYPERLINK("#" &amp; ADDRESS(174, 'Additional Documents-WUO_TRK'!A174),_xlfn.TEXTAFTER('Additional Documents-WUO_ERR'!A174, ":"))))</f>
        <v>0</v>
      </c>
    </row>
    <row r="175" spans="1:1">
      <c r="A175" s="39">
        <f>IF('Additional Documents'!B175 = "", "", IF('Additional Documents-WUO_ERR'!A175 = "", "Validated", HYPERLINK("#" &amp; ADDRESS(175, 'Additional Documents-WUO_TRK'!A175),_xlfn.TEXTAFTER('Additional Documents-WUO_ERR'!A175, ":"))))</f>
        <v>0</v>
      </c>
    </row>
    <row r="176" spans="1:1">
      <c r="A176" s="39">
        <f>IF('Additional Documents'!B176 = "", "", IF('Additional Documents-WUO_ERR'!A176 = "", "Validated", HYPERLINK("#" &amp; ADDRESS(176, 'Additional Documents-WUO_TRK'!A176),_xlfn.TEXTAFTER('Additional Documents-WUO_ERR'!A176, ":"))))</f>
        <v>0</v>
      </c>
    </row>
    <row r="177" spans="1:1">
      <c r="A177" s="39">
        <f>IF('Additional Documents'!B177 = "", "", IF('Additional Documents-WUO_ERR'!A177 = "", "Validated", HYPERLINK("#" &amp; ADDRESS(177, 'Additional Documents-WUO_TRK'!A177),_xlfn.TEXTAFTER('Additional Documents-WUO_ERR'!A177, ":"))))</f>
        <v>0</v>
      </c>
    </row>
    <row r="178" spans="1:1">
      <c r="A178" s="39">
        <f>IF('Additional Documents'!B178 = "", "", IF('Additional Documents-WUO_ERR'!A178 = "", "Validated", HYPERLINK("#" &amp; ADDRESS(178, 'Additional Documents-WUO_TRK'!A178),_xlfn.TEXTAFTER('Additional Documents-WUO_ERR'!A178, ":"))))</f>
        <v>0</v>
      </c>
    </row>
    <row r="179" spans="1:1">
      <c r="A179" s="39">
        <f>IF('Additional Documents'!B179 = "", "", IF('Additional Documents-WUO_ERR'!A179 = "", "Validated", HYPERLINK("#" &amp; ADDRESS(179, 'Additional Documents-WUO_TRK'!A179),_xlfn.TEXTAFTER('Additional Documents-WUO_ERR'!A179, ":"))))</f>
        <v>0</v>
      </c>
    </row>
    <row r="180" spans="1:1">
      <c r="A180" s="39">
        <f>IF('Additional Documents'!B180 = "", "", IF('Additional Documents-WUO_ERR'!A180 = "", "Validated", HYPERLINK("#" &amp; ADDRESS(180, 'Additional Documents-WUO_TRK'!A180),_xlfn.TEXTAFTER('Additional Documents-WUO_ERR'!A180, ":"))))</f>
        <v>0</v>
      </c>
    </row>
    <row r="181" spans="1:1">
      <c r="A181" s="39">
        <f>IF('Additional Documents'!B181 = "", "", IF('Additional Documents-WUO_ERR'!A181 = "", "Validated", HYPERLINK("#" &amp; ADDRESS(181, 'Additional Documents-WUO_TRK'!A181),_xlfn.TEXTAFTER('Additional Documents-WUO_ERR'!A181, ":"))))</f>
        <v>0</v>
      </c>
    </row>
    <row r="182" spans="1:1">
      <c r="A182" s="39">
        <f>IF('Additional Documents'!B182 = "", "", IF('Additional Documents-WUO_ERR'!A182 = "", "Validated", HYPERLINK("#" &amp; ADDRESS(182, 'Additional Documents-WUO_TRK'!A182),_xlfn.TEXTAFTER('Additional Documents-WUO_ERR'!A182, ":"))))</f>
        <v>0</v>
      </c>
    </row>
    <row r="183" spans="1:1">
      <c r="A183" s="39">
        <f>IF('Additional Documents'!B183 = "", "", IF('Additional Documents-WUO_ERR'!A183 = "", "Validated", HYPERLINK("#" &amp; ADDRESS(183, 'Additional Documents-WUO_TRK'!A183),_xlfn.TEXTAFTER('Additional Documents-WUO_ERR'!A183, ":"))))</f>
        <v>0</v>
      </c>
    </row>
    <row r="184" spans="1:1">
      <c r="A184" s="39">
        <f>IF('Additional Documents'!B184 = "", "", IF('Additional Documents-WUO_ERR'!A184 = "", "Validated", HYPERLINK("#" &amp; ADDRESS(184, 'Additional Documents-WUO_TRK'!A184),_xlfn.TEXTAFTER('Additional Documents-WUO_ERR'!A184, ":"))))</f>
        <v>0</v>
      </c>
    </row>
    <row r="185" spans="1:1">
      <c r="A185" s="39">
        <f>IF('Additional Documents'!B185 = "", "", IF('Additional Documents-WUO_ERR'!A185 = "", "Validated", HYPERLINK("#" &amp; ADDRESS(185, 'Additional Documents-WUO_TRK'!A185),_xlfn.TEXTAFTER('Additional Documents-WUO_ERR'!A185, ":"))))</f>
        <v>0</v>
      </c>
    </row>
    <row r="186" spans="1:1">
      <c r="A186" s="39">
        <f>IF('Additional Documents'!B186 = "", "", IF('Additional Documents-WUO_ERR'!A186 = "", "Validated", HYPERLINK("#" &amp; ADDRESS(186, 'Additional Documents-WUO_TRK'!A186),_xlfn.TEXTAFTER('Additional Documents-WUO_ERR'!A186, ":"))))</f>
        <v>0</v>
      </c>
    </row>
    <row r="187" spans="1:1">
      <c r="A187" s="39">
        <f>IF('Additional Documents'!B187 = "", "", IF('Additional Documents-WUO_ERR'!A187 = "", "Validated", HYPERLINK("#" &amp; ADDRESS(187, 'Additional Documents-WUO_TRK'!A187),_xlfn.TEXTAFTER('Additional Documents-WUO_ERR'!A187, ":"))))</f>
        <v>0</v>
      </c>
    </row>
    <row r="188" spans="1:1">
      <c r="A188" s="39">
        <f>IF('Additional Documents'!B188 = "", "", IF('Additional Documents-WUO_ERR'!A188 = "", "Validated", HYPERLINK("#" &amp; ADDRESS(188, 'Additional Documents-WUO_TRK'!A188),_xlfn.TEXTAFTER('Additional Documents-WUO_ERR'!A188, ":"))))</f>
        <v>0</v>
      </c>
    </row>
    <row r="189" spans="1:1">
      <c r="A189" s="39">
        <f>IF('Additional Documents'!B189 = "", "", IF('Additional Documents-WUO_ERR'!A189 = "", "Validated", HYPERLINK("#" &amp; ADDRESS(189, 'Additional Documents-WUO_TRK'!A189),_xlfn.TEXTAFTER('Additional Documents-WUO_ERR'!A189, ":"))))</f>
        <v>0</v>
      </c>
    </row>
    <row r="190" spans="1:1">
      <c r="A190" s="39">
        <f>IF('Additional Documents'!B190 = "", "", IF('Additional Documents-WUO_ERR'!A190 = "", "Validated", HYPERLINK("#" &amp; ADDRESS(190, 'Additional Documents-WUO_TRK'!A190),_xlfn.TEXTAFTER('Additional Documents-WUO_ERR'!A190, ":"))))</f>
        <v>0</v>
      </c>
    </row>
    <row r="191" spans="1:1">
      <c r="A191" s="39">
        <f>IF('Additional Documents'!B191 = "", "", IF('Additional Documents-WUO_ERR'!A191 = "", "Validated", HYPERLINK("#" &amp; ADDRESS(191, 'Additional Documents-WUO_TRK'!A191),_xlfn.TEXTAFTER('Additional Documents-WUO_ERR'!A191, ":"))))</f>
        <v>0</v>
      </c>
    </row>
    <row r="192" spans="1:1">
      <c r="A192" s="39">
        <f>IF('Additional Documents'!B192 = "", "", IF('Additional Documents-WUO_ERR'!A192 = "", "Validated", HYPERLINK("#" &amp; ADDRESS(192, 'Additional Documents-WUO_TRK'!A192),_xlfn.TEXTAFTER('Additional Documents-WUO_ERR'!A192, ":"))))</f>
        <v>0</v>
      </c>
    </row>
    <row r="193" spans="1:1">
      <c r="A193" s="39">
        <f>IF('Additional Documents'!B193 = "", "", IF('Additional Documents-WUO_ERR'!A193 = "", "Validated", HYPERLINK("#" &amp; ADDRESS(193, 'Additional Documents-WUO_TRK'!A193),_xlfn.TEXTAFTER('Additional Documents-WUO_ERR'!A193, ":"))))</f>
        <v>0</v>
      </c>
    </row>
    <row r="194" spans="1:1">
      <c r="A194" s="39">
        <f>IF('Additional Documents'!B194 = "", "", IF('Additional Documents-WUO_ERR'!A194 = "", "Validated", HYPERLINK("#" &amp; ADDRESS(194, 'Additional Documents-WUO_TRK'!A194),_xlfn.TEXTAFTER('Additional Documents-WUO_ERR'!A194, ":"))))</f>
        <v>0</v>
      </c>
    </row>
    <row r="195" spans="1:1">
      <c r="A195" s="39">
        <f>IF('Additional Documents'!B195 = "", "", IF('Additional Documents-WUO_ERR'!A195 = "", "Validated", HYPERLINK("#" &amp; ADDRESS(195, 'Additional Documents-WUO_TRK'!A195),_xlfn.TEXTAFTER('Additional Documents-WUO_ERR'!A195, ":"))))</f>
        <v>0</v>
      </c>
    </row>
    <row r="196" spans="1:1">
      <c r="A196" s="39">
        <f>IF('Additional Documents'!B196 = "", "", IF('Additional Documents-WUO_ERR'!A196 = "", "Validated", HYPERLINK("#" &amp; ADDRESS(196, 'Additional Documents-WUO_TRK'!A196),_xlfn.TEXTAFTER('Additional Documents-WUO_ERR'!A196, ":"))))</f>
        <v>0</v>
      </c>
    </row>
    <row r="197" spans="1:1">
      <c r="A197" s="39">
        <f>IF('Additional Documents'!B197 = "", "", IF('Additional Documents-WUO_ERR'!A197 = "", "Validated", HYPERLINK("#" &amp; ADDRESS(197, 'Additional Documents-WUO_TRK'!A197),_xlfn.TEXTAFTER('Additional Documents-WUO_ERR'!A197, ":"))))</f>
        <v>0</v>
      </c>
    </row>
    <row r="198" spans="1:1">
      <c r="A198" s="39">
        <f>IF('Additional Documents'!B198 = "", "", IF('Additional Documents-WUO_ERR'!A198 = "", "Validated", HYPERLINK("#" &amp; ADDRESS(198, 'Additional Documents-WUO_TRK'!A198),_xlfn.TEXTAFTER('Additional Documents-WUO_ERR'!A198, ":"))))</f>
        <v>0</v>
      </c>
    </row>
    <row r="199" spans="1:1">
      <c r="A199" s="39">
        <f>IF('Additional Documents'!B199 = "", "", IF('Additional Documents-WUO_ERR'!A199 = "", "Validated", HYPERLINK("#" &amp; ADDRESS(199, 'Additional Documents-WUO_TRK'!A199),_xlfn.TEXTAFTER('Additional Documents-WUO_ERR'!A199, ":"))))</f>
        <v>0</v>
      </c>
    </row>
    <row r="200" spans="1:1">
      <c r="A200" s="39">
        <f>IF('Additional Documents'!B200 = "", "", IF('Additional Documents-WUO_ERR'!A200 = "", "Validated", HYPERLINK("#" &amp; ADDRESS(200, 'Additional Documents-WUO_TRK'!A200),_xlfn.TEXTAFTER('Additional Documents-WUO_ERR'!A200, ":"))))</f>
        <v>0</v>
      </c>
    </row>
    <row r="201" spans="1:1">
      <c r="A201" s="39">
        <f>IF('Additional Documents'!B201 = "", "", IF('Additional Documents-WUO_ERR'!A201 = "", "Validated", HYPERLINK("#" &amp; ADDRESS(201, 'Additional Documents-WUO_TRK'!A201),_xlfn.TEXTAFTER('Additional Documents-WUO_ERR'!A201, ":"))))</f>
        <v>0</v>
      </c>
    </row>
    <row r="202" spans="1:1">
      <c r="A202" s="39">
        <f>IF('Additional Documents'!B202 = "", "", IF('Additional Documents-WUO_ERR'!A202 = "", "Validated", HYPERLINK("#" &amp; ADDRESS(202, 'Additional Documents-WUO_TRK'!A202),_xlfn.TEXTAFTER('Additional Documents-WUO_ERR'!A202, ":"))))</f>
        <v>0</v>
      </c>
    </row>
    <row r="203" spans="1:1">
      <c r="A203" s="39">
        <f>IF('Additional Documents'!B203 = "", "", IF('Additional Documents-WUO_ERR'!A203 = "", "Validated", HYPERLINK("#" &amp; ADDRESS(203, 'Additional Documents-WUO_TRK'!A203),_xlfn.TEXTAFTER('Additional Documents-WUO_ERR'!A203, ":"))))</f>
        <v>0</v>
      </c>
    </row>
    <row r="204" spans="1:1">
      <c r="A204" s="39">
        <f>IF('Additional Documents'!B204 = "", "", IF('Additional Documents-WUO_ERR'!A204 = "", "Validated", HYPERLINK("#" &amp; ADDRESS(204, 'Additional Documents-WUO_TRK'!A204),_xlfn.TEXTAFTER('Additional Documents-WUO_ERR'!A204, ":"))))</f>
        <v>0</v>
      </c>
    </row>
    <row r="205" spans="1:1">
      <c r="A205" s="39">
        <f>IF('Additional Documents'!B205 = "", "", IF('Additional Documents-WUO_ERR'!A205 = "", "Validated", HYPERLINK("#" &amp; ADDRESS(205, 'Additional Documents-WUO_TRK'!A205),_xlfn.TEXTAFTER('Additional Documents-WUO_ERR'!A205, ":"))))</f>
        <v>0</v>
      </c>
    </row>
    <row r="206" spans="1:1">
      <c r="A206" s="39">
        <f>IF('Additional Documents'!B206 = "", "", IF('Additional Documents-WUO_ERR'!A206 = "", "Validated", HYPERLINK("#" &amp; ADDRESS(206, 'Additional Documents-WUO_TRK'!A206),_xlfn.TEXTAFTER('Additional Documents-WUO_ERR'!A206, ":"))))</f>
        <v>0</v>
      </c>
    </row>
    <row r="207" spans="1:1">
      <c r="A207" s="39">
        <f>IF('Additional Documents'!B207 = "", "", IF('Additional Documents-WUO_ERR'!A207 = "", "Validated", HYPERLINK("#" &amp; ADDRESS(207, 'Additional Documents-WUO_TRK'!A207),_xlfn.TEXTAFTER('Additional Documents-WUO_ERR'!A207, ":"))))</f>
        <v>0</v>
      </c>
    </row>
    <row r="208" spans="1:1">
      <c r="A208" s="39">
        <f>IF('Additional Documents'!B208 = "", "", IF('Additional Documents-WUO_ERR'!A208 = "", "Validated", HYPERLINK("#" &amp; ADDRESS(208, 'Additional Documents-WUO_TRK'!A208),_xlfn.TEXTAFTER('Additional Documents-WUO_ERR'!A208, ":"))))</f>
        <v>0</v>
      </c>
    </row>
    <row r="209" spans="1:1">
      <c r="A209" s="39">
        <f>IF('Additional Documents'!B209 = "", "", IF('Additional Documents-WUO_ERR'!A209 = "", "Validated", HYPERLINK("#" &amp; ADDRESS(209, 'Additional Documents-WUO_TRK'!A209),_xlfn.TEXTAFTER('Additional Documents-WUO_ERR'!A209, ":"))))</f>
        <v>0</v>
      </c>
    </row>
    <row r="210" spans="1:1">
      <c r="A210" s="39">
        <f>IF('Additional Documents'!B210 = "", "", IF('Additional Documents-WUO_ERR'!A210 = "", "Validated", HYPERLINK("#" &amp; ADDRESS(210, 'Additional Documents-WUO_TRK'!A210),_xlfn.TEXTAFTER('Additional Documents-WUO_ERR'!A210, ":"))))</f>
        <v>0</v>
      </c>
    </row>
    <row r="211" spans="1:1">
      <c r="A211" s="39">
        <f>IF('Additional Documents'!B211 = "", "", IF('Additional Documents-WUO_ERR'!A211 = "", "Validated", HYPERLINK("#" &amp; ADDRESS(211, 'Additional Documents-WUO_TRK'!A211),_xlfn.TEXTAFTER('Additional Documents-WUO_ERR'!A211, ":"))))</f>
        <v>0</v>
      </c>
    </row>
    <row r="212" spans="1:1">
      <c r="A212" s="39">
        <f>IF('Additional Documents'!B212 = "", "", IF('Additional Documents-WUO_ERR'!A212 = "", "Validated", HYPERLINK("#" &amp; ADDRESS(212, 'Additional Documents-WUO_TRK'!A212),_xlfn.TEXTAFTER('Additional Documents-WUO_ERR'!A212, ":"))))</f>
        <v>0</v>
      </c>
    </row>
    <row r="213" spans="1:1">
      <c r="A213" s="39">
        <f>IF('Additional Documents'!B213 = "", "", IF('Additional Documents-WUO_ERR'!A213 = "", "Validated", HYPERLINK("#" &amp; ADDRESS(213, 'Additional Documents-WUO_TRK'!A213),_xlfn.TEXTAFTER('Additional Documents-WUO_ERR'!A213, ":"))))</f>
        <v>0</v>
      </c>
    </row>
    <row r="214" spans="1:1">
      <c r="A214" s="39">
        <f>IF('Additional Documents'!B214 = "", "", IF('Additional Documents-WUO_ERR'!A214 = "", "Validated", HYPERLINK("#" &amp; ADDRESS(214, 'Additional Documents-WUO_TRK'!A214),_xlfn.TEXTAFTER('Additional Documents-WUO_ERR'!A214, ":"))))</f>
        <v>0</v>
      </c>
    </row>
    <row r="215" spans="1:1">
      <c r="A215" s="39">
        <f>IF('Additional Documents'!B215 = "", "", IF('Additional Documents-WUO_ERR'!A215 = "", "Validated", HYPERLINK("#" &amp; ADDRESS(215, 'Additional Documents-WUO_TRK'!A215),_xlfn.TEXTAFTER('Additional Documents-WUO_ERR'!A215, ":"))))</f>
        <v>0</v>
      </c>
    </row>
    <row r="216" spans="1:1">
      <c r="A216" s="39">
        <f>IF('Additional Documents'!B216 = "", "", IF('Additional Documents-WUO_ERR'!A216 = "", "Validated", HYPERLINK("#" &amp; ADDRESS(216, 'Additional Documents-WUO_TRK'!A216),_xlfn.TEXTAFTER('Additional Documents-WUO_ERR'!A216, ":"))))</f>
        <v>0</v>
      </c>
    </row>
    <row r="217" spans="1:1">
      <c r="A217" s="39">
        <f>IF('Additional Documents'!B217 = "", "", IF('Additional Documents-WUO_ERR'!A217 = "", "Validated", HYPERLINK("#" &amp; ADDRESS(217, 'Additional Documents-WUO_TRK'!A217),_xlfn.TEXTAFTER('Additional Documents-WUO_ERR'!A217, ":"))))</f>
        <v>0</v>
      </c>
    </row>
    <row r="218" spans="1:1">
      <c r="A218" s="39">
        <f>IF('Additional Documents'!B218 = "", "", IF('Additional Documents-WUO_ERR'!A218 = "", "Validated", HYPERLINK("#" &amp; ADDRESS(218, 'Additional Documents-WUO_TRK'!A218),_xlfn.TEXTAFTER('Additional Documents-WUO_ERR'!A218, ":"))))</f>
        <v>0</v>
      </c>
    </row>
    <row r="219" spans="1:1">
      <c r="A219" s="39">
        <f>IF('Additional Documents'!B219 = "", "", IF('Additional Documents-WUO_ERR'!A219 = "", "Validated", HYPERLINK("#" &amp; ADDRESS(219, 'Additional Documents-WUO_TRK'!A219),_xlfn.TEXTAFTER('Additional Documents-WUO_ERR'!A219, ":"))))</f>
        <v>0</v>
      </c>
    </row>
    <row r="220" spans="1:1">
      <c r="A220" s="39">
        <f>IF('Additional Documents'!B220 = "", "", IF('Additional Documents-WUO_ERR'!A220 = "", "Validated", HYPERLINK("#" &amp; ADDRESS(220, 'Additional Documents-WUO_TRK'!A220),_xlfn.TEXTAFTER('Additional Documents-WUO_ERR'!A220, ":"))))</f>
        <v>0</v>
      </c>
    </row>
    <row r="221" spans="1:1">
      <c r="A221" s="39">
        <f>IF('Additional Documents'!B221 = "", "", IF('Additional Documents-WUO_ERR'!A221 = "", "Validated", HYPERLINK("#" &amp; ADDRESS(221, 'Additional Documents-WUO_TRK'!A221),_xlfn.TEXTAFTER('Additional Documents-WUO_ERR'!A221, ":"))))</f>
        <v>0</v>
      </c>
    </row>
    <row r="222" spans="1:1">
      <c r="A222" s="39">
        <f>IF('Additional Documents'!B222 = "", "", IF('Additional Documents-WUO_ERR'!A222 = "", "Validated", HYPERLINK("#" &amp; ADDRESS(222, 'Additional Documents-WUO_TRK'!A222),_xlfn.TEXTAFTER('Additional Documents-WUO_ERR'!A222, ":"))))</f>
        <v>0</v>
      </c>
    </row>
    <row r="223" spans="1:1">
      <c r="A223" s="39">
        <f>IF('Additional Documents'!B223 = "", "", IF('Additional Documents-WUO_ERR'!A223 = "", "Validated", HYPERLINK("#" &amp; ADDRESS(223, 'Additional Documents-WUO_TRK'!A223),_xlfn.TEXTAFTER('Additional Documents-WUO_ERR'!A223, ":"))))</f>
        <v>0</v>
      </c>
    </row>
    <row r="224" spans="1:1">
      <c r="A224" s="39">
        <f>IF('Additional Documents'!B224 = "", "", IF('Additional Documents-WUO_ERR'!A224 = "", "Validated", HYPERLINK("#" &amp; ADDRESS(224, 'Additional Documents-WUO_TRK'!A224),_xlfn.TEXTAFTER('Additional Documents-WUO_ERR'!A224, ":"))))</f>
        <v>0</v>
      </c>
    </row>
    <row r="225" spans="1:1">
      <c r="A225" s="39">
        <f>IF('Additional Documents'!B225 = "", "", IF('Additional Documents-WUO_ERR'!A225 = "", "Validated", HYPERLINK("#" &amp; ADDRESS(225, 'Additional Documents-WUO_TRK'!A225),_xlfn.TEXTAFTER('Additional Documents-WUO_ERR'!A225, ":"))))</f>
        <v>0</v>
      </c>
    </row>
    <row r="226" spans="1:1">
      <c r="A226" s="39">
        <f>IF('Additional Documents'!B226 = "", "", IF('Additional Documents-WUO_ERR'!A226 = "", "Validated", HYPERLINK("#" &amp; ADDRESS(226, 'Additional Documents-WUO_TRK'!A226),_xlfn.TEXTAFTER('Additional Documents-WUO_ERR'!A226, ":"))))</f>
        <v>0</v>
      </c>
    </row>
    <row r="227" spans="1:1">
      <c r="A227" s="39">
        <f>IF('Additional Documents'!B227 = "", "", IF('Additional Documents-WUO_ERR'!A227 = "", "Validated", HYPERLINK("#" &amp; ADDRESS(227, 'Additional Documents-WUO_TRK'!A227),_xlfn.TEXTAFTER('Additional Documents-WUO_ERR'!A227, ":"))))</f>
        <v>0</v>
      </c>
    </row>
    <row r="228" spans="1:1">
      <c r="A228" s="39">
        <f>IF('Additional Documents'!B228 = "", "", IF('Additional Documents-WUO_ERR'!A228 = "", "Validated", HYPERLINK("#" &amp; ADDRESS(228, 'Additional Documents-WUO_TRK'!A228),_xlfn.TEXTAFTER('Additional Documents-WUO_ERR'!A228, ":"))))</f>
        <v>0</v>
      </c>
    </row>
    <row r="229" spans="1:1">
      <c r="A229" s="39">
        <f>IF('Additional Documents'!B229 = "", "", IF('Additional Documents-WUO_ERR'!A229 = "", "Validated", HYPERLINK("#" &amp; ADDRESS(229, 'Additional Documents-WUO_TRK'!A229),_xlfn.TEXTAFTER('Additional Documents-WUO_ERR'!A229, ":"))))</f>
        <v>0</v>
      </c>
    </row>
    <row r="230" spans="1:1">
      <c r="A230" s="39">
        <f>IF('Additional Documents'!B230 = "", "", IF('Additional Documents-WUO_ERR'!A230 = "", "Validated", HYPERLINK("#" &amp; ADDRESS(230, 'Additional Documents-WUO_TRK'!A230),_xlfn.TEXTAFTER('Additional Documents-WUO_ERR'!A230, ":"))))</f>
        <v>0</v>
      </c>
    </row>
    <row r="231" spans="1:1">
      <c r="A231" s="39">
        <f>IF('Additional Documents'!B231 = "", "", IF('Additional Documents-WUO_ERR'!A231 = "", "Validated", HYPERLINK("#" &amp; ADDRESS(231, 'Additional Documents-WUO_TRK'!A231),_xlfn.TEXTAFTER('Additional Documents-WUO_ERR'!A231, ":"))))</f>
        <v>0</v>
      </c>
    </row>
    <row r="232" spans="1:1">
      <c r="A232" s="39">
        <f>IF('Additional Documents'!B232 = "", "", IF('Additional Documents-WUO_ERR'!A232 = "", "Validated", HYPERLINK("#" &amp; ADDRESS(232, 'Additional Documents-WUO_TRK'!A232),_xlfn.TEXTAFTER('Additional Documents-WUO_ERR'!A232, ":"))))</f>
        <v>0</v>
      </c>
    </row>
    <row r="233" spans="1:1">
      <c r="A233" s="39">
        <f>IF('Additional Documents'!B233 = "", "", IF('Additional Documents-WUO_ERR'!A233 = "", "Validated", HYPERLINK("#" &amp; ADDRESS(233, 'Additional Documents-WUO_TRK'!A233),_xlfn.TEXTAFTER('Additional Documents-WUO_ERR'!A233, ":"))))</f>
        <v>0</v>
      </c>
    </row>
    <row r="234" spans="1:1">
      <c r="A234" s="39">
        <f>IF('Additional Documents'!B234 = "", "", IF('Additional Documents-WUO_ERR'!A234 = "", "Validated", HYPERLINK("#" &amp; ADDRESS(234, 'Additional Documents-WUO_TRK'!A234),_xlfn.TEXTAFTER('Additional Documents-WUO_ERR'!A234, ":"))))</f>
        <v>0</v>
      </c>
    </row>
    <row r="235" spans="1:1">
      <c r="A235" s="39">
        <f>IF('Additional Documents'!B235 = "", "", IF('Additional Documents-WUO_ERR'!A235 = "", "Validated", HYPERLINK("#" &amp; ADDRESS(235, 'Additional Documents-WUO_TRK'!A235),_xlfn.TEXTAFTER('Additional Documents-WUO_ERR'!A235, ":"))))</f>
        <v>0</v>
      </c>
    </row>
    <row r="236" spans="1:1">
      <c r="A236" s="39">
        <f>IF('Additional Documents'!B236 = "", "", IF('Additional Documents-WUO_ERR'!A236 = "", "Validated", HYPERLINK("#" &amp; ADDRESS(236, 'Additional Documents-WUO_TRK'!A236),_xlfn.TEXTAFTER('Additional Documents-WUO_ERR'!A236, ":"))))</f>
        <v>0</v>
      </c>
    </row>
    <row r="237" spans="1:1">
      <c r="A237" s="39">
        <f>IF('Additional Documents'!B237 = "", "", IF('Additional Documents-WUO_ERR'!A237 = "", "Validated", HYPERLINK("#" &amp; ADDRESS(237, 'Additional Documents-WUO_TRK'!A237),_xlfn.TEXTAFTER('Additional Documents-WUO_ERR'!A237, ":"))))</f>
        <v>0</v>
      </c>
    </row>
    <row r="238" spans="1:1">
      <c r="A238" s="39">
        <f>IF('Additional Documents'!B238 = "", "", IF('Additional Documents-WUO_ERR'!A238 = "", "Validated", HYPERLINK("#" &amp; ADDRESS(238, 'Additional Documents-WUO_TRK'!A238),_xlfn.TEXTAFTER('Additional Documents-WUO_ERR'!A238, ":"))))</f>
        <v>0</v>
      </c>
    </row>
    <row r="239" spans="1:1">
      <c r="A239" s="39">
        <f>IF('Additional Documents'!B239 = "", "", IF('Additional Documents-WUO_ERR'!A239 = "", "Validated", HYPERLINK("#" &amp; ADDRESS(239, 'Additional Documents-WUO_TRK'!A239),_xlfn.TEXTAFTER('Additional Documents-WUO_ERR'!A239, ":"))))</f>
        <v>0</v>
      </c>
    </row>
    <row r="240" spans="1:1">
      <c r="A240" s="39">
        <f>IF('Additional Documents'!B240 = "", "", IF('Additional Documents-WUO_ERR'!A240 = "", "Validated", HYPERLINK("#" &amp; ADDRESS(240, 'Additional Documents-WUO_TRK'!A240),_xlfn.TEXTAFTER('Additional Documents-WUO_ERR'!A240, ":"))))</f>
        <v>0</v>
      </c>
    </row>
    <row r="241" spans="1:1">
      <c r="A241" s="39">
        <f>IF('Additional Documents'!B241 = "", "", IF('Additional Documents-WUO_ERR'!A241 = "", "Validated", HYPERLINK("#" &amp; ADDRESS(241, 'Additional Documents-WUO_TRK'!A241),_xlfn.TEXTAFTER('Additional Documents-WUO_ERR'!A241, ":"))))</f>
        <v>0</v>
      </c>
    </row>
    <row r="242" spans="1:1">
      <c r="A242" s="39">
        <f>IF('Additional Documents'!B242 = "", "", IF('Additional Documents-WUO_ERR'!A242 = "", "Validated", HYPERLINK("#" &amp; ADDRESS(242, 'Additional Documents-WUO_TRK'!A242),_xlfn.TEXTAFTER('Additional Documents-WUO_ERR'!A242, ":"))))</f>
        <v>0</v>
      </c>
    </row>
    <row r="243" spans="1:1">
      <c r="A243" s="39">
        <f>IF('Additional Documents'!B243 = "", "", IF('Additional Documents-WUO_ERR'!A243 = "", "Validated", HYPERLINK("#" &amp; ADDRESS(243, 'Additional Documents-WUO_TRK'!A243),_xlfn.TEXTAFTER('Additional Documents-WUO_ERR'!A243, ":"))))</f>
        <v>0</v>
      </c>
    </row>
    <row r="244" spans="1:1">
      <c r="A244" s="39">
        <f>IF('Additional Documents'!B244 = "", "", IF('Additional Documents-WUO_ERR'!A244 = "", "Validated", HYPERLINK("#" &amp; ADDRESS(244, 'Additional Documents-WUO_TRK'!A244),_xlfn.TEXTAFTER('Additional Documents-WUO_ERR'!A244, ":"))))</f>
        <v>0</v>
      </c>
    </row>
    <row r="245" spans="1:1">
      <c r="A245" s="39">
        <f>IF('Additional Documents'!B245 = "", "", IF('Additional Documents-WUO_ERR'!A245 = "", "Validated", HYPERLINK("#" &amp; ADDRESS(245, 'Additional Documents-WUO_TRK'!A245),_xlfn.TEXTAFTER('Additional Documents-WUO_ERR'!A245, ":"))))</f>
        <v>0</v>
      </c>
    </row>
    <row r="246" spans="1:1">
      <c r="A246" s="39">
        <f>IF('Additional Documents'!B246 = "", "", IF('Additional Documents-WUO_ERR'!A246 = "", "Validated", HYPERLINK("#" &amp; ADDRESS(246, 'Additional Documents-WUO_TRK'!A246),_xlfn.TEXTAFTER('Additional Documents-WUO_ERR'!A246, ":"))))</f>
        <v>0</v>
      </c>
    </row>
    <row r="247" spans="1:1">
      <c r="A247" s="39">
        <f>IF('Additional Documents'!B247 = "", "", IF('Additional Documents-WUO_ERR'!A247 = "", "Validated", HYPERLINK("#" &amp; ADDRESS(247, 'Additional Documents-WUO_TRK'!A247),_xlfn.TEXTAFTER('Additional Documents-WUO_ERR'!A247, ":"))))</f>
        <v>0</v>
      </c>
    </row>
    <row r="248" spans="1:1">
      <c r="A248" s="39">
        <f>IF('Additional Documents'!B248 = "", "", IF('Additional Documents-WUO_ERR'!A248 = "", "Validated", HYPERLINK("#" &amp; ADDRESS(248, 'Additional Documents-WUO_TRK'!A248),_xlfn.TEXTAFTER('Additional Documents-WUO_ERR'!A248, ":"))))</f>
        <v>0</v>
      </c>
    </row>
    <row r="249" spans="1:1">
      <c r="A249" s="39">
        <f>IF('Additional Documents'!B249 = "", "", IF('Additional Documents-WUO_ERR'!A249 = "", "Validated", HYPERLINK("#" &amp; ADDRESS(249, 'Additional Documents-WUO_TRK'!A249),_xlfn.TEXTAFTER('Additional Documents-WUO_ERR'!A249, ":"))))</f>
        <v>0</v>
      </c>
    </row>
    <row r="250" spans="1:1">
      <c r="A250" s="39">
        <f>IF('Additional Documents'!B250 = "", "", IF('Additional Documents-WUO_ERR'!A250 = "", "Validated", HYPERLINK("#" &amp; ADDRESS(250, 'Additional Documents-WUO_TRK'!A250),_xlfn.TEXTAFTER('Additional Documents-WUO_ERR'!A250, ":"))))</f>
        <v>0</v>
      </c>
    </row>
    <row r="251" spans="1:1">
      <c r="A251" s="39">
        <f>IF('Additional Documents'!B251 = "", "", IF('Additional Documents-WUO_ERR'!A251 = "", "Validated", HYPERLINK("#" &amp; ADDRESS(251, 'Additional Documents-WUO_TRK'!A251),_xlfn.TEXTAFTER('Additional Documents-WUO_ERR'!A251, ":"))))</f>
        <v>0</v>
      </c>
    </row>
    <row r="252" spans="1:1">
      <c r="A252" s="39">
        <f>IF('Additional Documents'!B252 = "", "", IF('Additional Documents-WUO_ERR'!A252 = "", "Validated", HYPERLINK("#" &amp; ADDRESS(252, 'Additional Documents-WUO_TRK'!A252),_xlfn.TEXTAFTER('Additional Documents-WUO_ERR'!A252, ":"))))</f>
        <v>0</v>
      </c>
    </row>
    <row r="253" spans="1:1">
      <c r="A253" s="39">
        <f>IF('Additional Documents'!B253 = "", "", IF('Additional Documents-WUO_ERR'!A253 = "", "Validated", HYPERLINK("#" &amp; ADDRESS(253, 'Additional Documents-WUO_TRK'!A253),_xlfn.TEXTAFTER('Additional Documents-WUO_ERR'!A253, ":"))))</f>
        <v>0</v>
      </c>
    </row>
    <row r="254" spans="1:1">
      <c r="A254" s="39">
        <f>IF('Additional Documents'!B254 = "", "", IF('Additional Documents-WUO_ERR'!A254 = "", "Validated", HYPERLINK("#" &amp; ADDRESS(254, 'Additional Documents-WUO_TRK'!A254),_xlfn.TEXTAFTER('Additional Documents-WUO_ERR'!A254, ":"))))</f>
        <v>0</v>
      </c>
    </row>
    <row r="255" spans="1:1">
      <c r="A255" s="39">
        <f>IF('Additional Documents'!B255 = "", "", IF('Additional Documents-WUO_ERR'!A255 = "", "Validated", HYPERLINK("#" &amp; ADDRESS(255, 'Additional Documents-WUO_TRK'!A255),_xlfn.TEXTAFTER('Additional Documents-WUO_ERR'!A255, ":"))))</f>
        <v>0</v>
      </c>
    </row>
    <row r="256" spans="1:1">
      <c r="A256" s="39">
        <f>IF('Additional Documents'!B256 = "", "", IF('Additional Documents-WUO_ERR'!A256 = "", "Validated", HYPERLINK("#" &amp; ADDRESS(256, 'Additional Documents-WUO_TRK'!A256),_xlfn.TEXTAFTER('Additional Documents-WUO_ERR'!A256, ":"))))</f>
        <v>0</v>
      </c>
    </row>
    <row r="257" spans="1:1">
      <c r="A257" s="39">
        <f>IF('Additional Documents'!B257 = "", "", IF('Additional Documents-WUO_ERR'!A257 = "", "Validated", HYPERLINK("#" &amp; ADDRESS(257, 'Additional Documents-WUO_TRK'!A257),_xlfn.TEXTAFTER('Additional Documents-WUO_ERR'!A257, ":"))))</f>
        <v>0</v>
      </c>
    </row>
    <row r="258" spans="1:1">
      <c r="A258" s="39">
        <f>IF('Additional Documents'!B258 = "", "", IF('Additional Documents-WUO_ERR'!A258 = "", "Validated", HYPERLINK("#" &amp; ADDRESS(258, 'Additional Documents-WUO_TRK'!A258),_xlfn.TEXTAFTER('Additional Documents-WUO_ERR'!A258, ":"))))</f>
        <v>0</v>
      </c>
    </row>
    <row r="259" spans="1:1">
      <c r="A259" s="39">
        <f>IF('Additional Documents'!B259 = "", "", IF('Additional Documents-WUO_ERR'!A259 = "", "Validated", HYPERLINK("#" &amp; ADDRESS(259, 'Additional Documents-WUO_TRK'!A259),_xlfn.TEXTAFTER('Additional Documents-WUO_ERR'!A259, ":"))))</f>
        <v>0</v>
      </c>
    </row>
    <row r="260" spans="1:1">
      <c r="A260" s="39">
        <f>IF('Additional Documents'!B260 = "", "", IF('Additional Documents-WUO_ERR'!A260 = "", "Validated", HYPERLINK("#" &amp; ADDRESS(260, 'Additional Documents-WUO_TRK'!A260),_xlfn.TEXTAFTER('Additional Documents-WUO_ERR'!A260, ":"))))</f>
        <v>0</v>
      </c>
    </row>
    <row r="261" spans="1:1">
      <c r="A261" s="39">
        <f>IF('Additional Documents'!B261 = "", "", IF('Additional Documents-WUO_ERR'!A261 = "", "Validated", HYPERLINK("#" &amp; ADDRESS(261, 'Additional Documents-WUO_TRK'!A261),_xlfn.TEXTAFTER('Additional Documents-WUO_ERR'!A261, ":"))))</f>
        <v>0</v>
      </c>
    </row>
    <row r="262" spans="1:1">
      <c r="A262" s="39">
        <f>IF('Additional Documents'!B262 = "", "", IF('Additional Documents-WUO_ERR'!A262 = "", "Validated", HYPERLINK("#" &amp; ADDRESS(262, 'Additional Documents-WUO_TRK'!A262),_xlfn.TEXTAFTER('Additional Documents-WUO_ERR'!A262, ":"))))</f>
        <v>0</v>
      </c>
    </row>
    <row r="263" spans="1:1">
      <c r="A263" s="39">
        <f>IF('Additional Documents'!B263 = "", "", IF('Additional Documents-WUO_ERR'!A263 = "", "Validated", HYPERLINK("#" &amp; ADDRESS(263, 'Additional Documents-WUO_TRK'!A263),_xlfn.TEXTAFTER('Additional Documents-WUO_ERR'!A263, ":"))))</f>
        <v>0</v>
      </c>
    </row>
    <row r="264" spans="1:1">
      <c r="A264" s="39">
        <f>IF('Additional Documents'!B264 = "", "", IF('Additional Documents-WUO_ERR'!A264 = "", "Validated", HYPERLINK("#" &amp; ADDRESS(264, 'Additional Documents-WUO_TRK'!A264),_xlfn.TEXTAFTER('Additional Documents-WUO_ERR'!A264, ":"))))</f>
        <v>0</v>
      </c>
    </row>
    <row r="265" spans="1:1">
      <c r="A265" s="39">
        <f>IF('Additional Documents'!B265 = "", "", IF('Additional Documents-WUO_ERR'!A265 = "", "Validated", HYPERLINK("#" &amp; ADDRESS(265, 'Additional Documents-WUO_TRK'!A265),_xlfn.TEXTAFTER('Additional Documents-WUO_ERR'!A265, ":"))))</f>
        <v>0</v>
      </c>
    </row>
    <row r="266" spans="1:1">
      <c r="A266" s="39">
        <f>IF('Additional Documents'!B266 = "", "", IF('Additional Documents-WUO_ERR'!A266 = "", "Validated", HYPERLINK("#" &amp; ADDRESS(266, 'Additional Documents-WUO_TRK'!A266),_xlfn.TEXTAFTER('Additional Documents-WUO_ERR'!A266, ":"))))</f>
        <v>0</v>
      </c>
    </row>
    <row r="267" spans="1:1">
      <c r="A267" s="39">
        <f>IF('Additional Documents'!B267 = "", "", IF('Additional Documents-WUO_ERR'!A267 = "", "Validated", HYPERLINK("#" &amp; ADDRESS(267, 'Additional Documents-WUO_TRK'!A267),_xlfn.TEXTAFTER('Additional Documents-WUO_ERR'!A267, ":"))))</f>
        <v>0</v>
      </c>
    </row>
    <row r="268" spans="1:1">
      <c r="A268" s="39">
        <f>IF('Additional Documents'!B268 = "", "", IF('Additional Documents-WUO_ERR'!A268 = "", "Validated", HYPERLINK("#" &amp; ADDRESS(268, 'Additional Documents-WUO_TRK'!A268),_xlfn.TEXTAFTER('Additional Documents-WUO_ERR'!A268, ":"))))</f>
        <v>0</v>
      </c>
    </row>
    <row r="269" spans="1:1">
      <c r="A269" s="39">
        <f>IF('Additional Documents'!B269 = "", "", IF('Additional Documents-WUO_ERR'!A269 = "", "Validated", HYPERLINK("#" &amp; ADDRESS(269, 'Additional Documents-WUO_TRK'!A269),_xlfn.TEXTAFTER('Additional Documents-WUO_ERR'!A269, ":"))))</f>
        <v>0</v>
      </c>
    </row>
    <row r="270" spans="1:1">
      <c r="A270" s="39">
        <f>IF('Additional Documents'!B270 = "", "", IF('Additional Documents-WUO_ERR'!A270 = "", "Validated", HYPERLINK("#" &amp; ADDRESS(270, 'Additional Documents-WUO_TRK'!A270),_xlfn.TEXTAFTER('Additional Documents-WUO_ERR'!A270, ":"))))</f>
        <v>0</v>
      </c>
    </row>
    <row r="271" spans="1:1">
      <c r="A271" s="39">
        <f>IF('Additional Documents'!B271 = "", "", IF('Additional Documents-WUO_ERR'!A271 = "", "Validated", HYPERLINK("#" &amp; ADDRESS(271, 'Additional Documents-WUO_TRK'!A271),_xlfn.TEXTAFTER('Additional Documents-WUO_ERR'!A271, ":"))))</f>
        <v>0</v>
      </c>
    </row>
    <row r="272" spans="1:1">
      <c r="A272" s="39">
        <f>IF('Additional Documents'!B272 = "", "", IF('Additional Documents-WUO_ERR'!A272 = "", "Validated", HYPERLINK("#" &amp; ADDRESS(272, 'Additional Documents-WUO_TRK'!A272),_xlfn.TEXTAFTER('Additional Documents-WUO_ERR'!A272, ":"))))</f>
        <v>0</v>
      </c>
    </row>
    <row r="273" spans="1:1">
      <c r="A273" s="39">
        <f>IF('Additional Documents'!B273 = "", "", IF('Additional Documents-WUO_ERR'!A273 = "", "Validated", HYPERLINK("#" &amp; ADDRESS(273, 'Additional Documents-WUO_TRK'!A273),_xlfn.TEXTAFTER('Additional Documents-WUO_ERR'!A273, ":"))))</f>
        <v>0</v>
      </c>
    </row>
    <row r="274" spans="1:1">
      <c r="A274" s="39">
        <f>IF('Additional Documents'!B274 = "", "", IF('Additional Documents-WUO_ERR'!A274 = "", "Validated", HYPERLINK("#" &amp; ADDRESS(274, 'Additional Documents-WUO_TRK'!A274),_xlfn.TEXTAFTER('Additional Documents-WUO_ERR'!A274, ":"))))</f>
        <v>0</v>
      </c>
    </row>
    <row r="275" spans="1:1">
      <c r="A275" s="39">
        <f>IF('Additional Documents'!B275 = "", "", IF('Additional Documents-WUO_ERR'!A275 = "", "Validated", HYPERLINK("#" &amp; ADDRESS(275, 'Additional Documents-WUO_TRK'!A275),_xlfn.TEXTAFTER('Additional Documents-WUO_ERR'!A275, ":"))))</f>
        <v>0</v>
      </c>
    </row>
    <row r="276" spans="1:1">
      <c r="A276" s="39">
        <f>IF('Additional Documents'!B276 = "", "", IF('Additional Documents-WUO_ERR'!A276 = "", "Validated", HYPERLINK("#" &amp; ADDRESS(276, 'Additional Documents-WUO_TRK'!A276),_xlfn.TEXTAFTER('Additional Documents-WUO_ERR'!A276, ":"))))</f>
        <v>0</v>
      </c>
    </row>
    <row r="277" spans="1:1">
      <c r="A277" s="39">
        <f>IF('Additional Documents'!B277 = "", "", IF('Additional Documents-WUO_ERR'!A277 = "", "Validated", HYPERLINK("#" &amp; ADDRESS(277, 'Additional Documents-WUO_TRK'!A277),_xlfn.TEXTAFTER('Additional Documents-WUO_ERR'!A277, ":"))))</f>
        <v>0</v>
      </c>
    </row>
    <row r="278" spans="1:1">
      <c r="A278" s="39">
        <f>IF('Additional Documents'!B278 = "", "", IF('Additional Documents-WUO_ERR'!A278 = "", "Validated", HYPERLINK("#" &amp; ADDRESS(278, 'Additional Documents-WUO_TRK'!A278),_xlfn.TEXTAFTER('Additional Documents-WUO_ERR'!A278, ":"))))</f>
        <v>0</v>
      </c>
    </row>
    <row r="279" spans="1:1">
      <c r="A279" s="39">
        <f>IF('Additional Documents'!B279 = "", "", IF('Additional Documents-WUO_ERR'!A279 = "", "Validated", HYPERLINK("#" &amp; ADDRESS(279, 'Additional Documents-WUO_TRK'!A279),_xlfn.TEXTAFTER('Additional Documents-WUO_ERR'!A279, ":"))))</f>
        <v>0</v>
      </c>
    </row>
    <row r="280" spans="1:1">
      <c r="A280" s="39">
        <f>IF('Additional Documents'!B280 = "", "", IF('Additional Documents-WUO_ERR'!A280 = "", "Validated", HYPERLINK("#" &amp; ADDRESS(280, 'Additional Documents-WUO_TRK'!A280),_xlfn.TEXTAFTER('Additional Documents-WUO_ERR'!A280, ":"))))</f>
        <v>0</v>
      </c>
    </row>
    <row r="281" spans="1:1">
      <c r="A281" s="39">
        <f>IF('Additional Documents'!B281 = "", "", IF('Additional Documents-WUO_ERR'!A281 = "", "Validated", HYPERLINK("#" &amp; ADDRESS(281, 'Additional Documents-WUO_TRK'!A281),_xlfn.TEXTAFTER('Additional Documents-WUO_ERR'!A281, ":"))))</f>
        <v>0</v>
      </c>
    </row>
    <row r="282" spans="1:1">
      <c r="A282" s="39">
        <f>IF('Additional Documents'!B282 = "", "", IF('Additional Documents-WUO_ERR'!A282 = "", "Validated", HYPERLINK("#" &amp; ADDRESS(282, 'Additional Documents-WUO_TRK'!A282),_xlfn.TEXTAFTER('Additional Documents-WUO_ERR'!A282, ":"))))</f>
        <v>0</v>
      </c>
    </row>
    <row r="283" spans="1:1">
      <c r="A283" s="39">
        <f>IF('Additional Documents'!B283 = "", "", IF('Additional Documents-WUO_ERR'!A283 = "", "Validated", HYPERLINK("#" &amp; ADDRESS(283, 'Additional Documents-WUO_TRK'!A283),_xlfn.TEXTAFTER('Additional Documents-WUO_ERR'!A283, ":"))))</f>
        <v>0</v>
      </c>
    </row>
    <row r="284" spans="1:1">
      <c r="A284" s="39">
        <f>IF('Additional Documents'!B284 = "", "", IF('Additional Documents-WUO_ERR'!A284 = "", "Validated", HYPERLINK("#" &amp; ADDRESS(284, 'Additional Documents-WUO_TRK'!A284),_xlfn.TEXTAFTER('Additional Documents-WUO_ERR'!A284, ":"))))</f>
        <v>0</v>
      </c>
    </row>
    <row r="285" spans="1:1">
      <c r="A285" s="39">
        <f>IF('Additional Documents'!B285 = "", "", IF('Additional Documents-WUO_ERR'!A285 = "", "Validated", HYPERLINK("#" &amp; ADDRESS(285, 'Additional Documents-WUO_TRK'!A285),_xlfn.TEXTAFTER('Additional Documents-WUO_ERR'!A285, ":"))))</f>
        <v>0</v>
      </c>
    </row>
    <row r="286" spans="1:1">
      <c r="A286" s="39">
        <f>IF('Additional Documents'!B286 = "", "", IF('Additional Documents-WUO_ERR'!A286 = "", "Validated", HYPERLINK("#" &amp; ADDRESS(286, 'Additional Documents-WUO_TRK'!A286),_xlfn.TEXTAFTER('Additional Documents-WUO_ERR'!A286, ":"))))</f>
        <v>0</v>
      </c>
    </row>
    <row r="287" spans="1:1">
      <c r="A287" s="39">
        <f>IF('Additional Documents'!B287 = "", "", IF('Additional Documents-WUO_ERR'!A287 = "", "Validated", HYPERLINK("#" &amp; ADDRESS(287, 'Additional Documents-WUO_TRK'!A287),_xlfn.TEXTAFTER('Additional Documents-WUO_ERR'!A287, ":"))))</f>
        <v>0</v>
      </c>
    </row>
    <row r="288" spans="1:1">
      <c r="A288" s="39">
        <f>IF('Additional Documents'!B288 = "", "", IF('Additional Documents-WUO_ERR'!A288 = "", "Validated", HYPERLINK("#" &amp; ADDRESS(288, 'Additional Documents-WUO_TRK'!A288),_xlfn.TEXTAFTER('Additional Documents-WUO_ERR'!A288, ":"))))</f>
        <v>0</v>
      </c>
    </row>
    <row r="289" spans="1:1">
      <c r="A289" s="39">
        <f>IF('Additional Documents'!B289 = "", "", IF('Additional Documents-WUO_ERR'!A289 = "", "Validated", HYPERLINK("#" &amp; ADDRESS(289, 'Additional Documents-WUO_TRK'!A289),_xlfn.TEXTAFTER('Additional Documents-WUO_ERR'!A289, ":"))))</f>
        <v>0</v>
      </c>
    </row>
    <row r="290" spans="1:1">
      <c r="A290" s="39">
        <f>IF('Additional Documents'!B290 = "", "", IF('Additional Documents-WUO_ERR'!A290 = "", "Validated", HYPERLINK("#" &amp; ADDRESS(290, 'Additional Documents-WUO_TRK'!A290),_xlfn.TEXTAFTER('Additional Documents-WUO_ERR'!A290, ":"))))</f>
        <v>0</v>
      </c>
    </row>
    <row r="291" spans="1:1">
      <c r="A291" s="39">
        <f>IF('Additional Documents'!B291 = "", "", IF('Additional Documents-WUO_ERR'!A291 = "", "Validated", HYPERLINK("#" &amp; ADDRESS(291, 'Additional Documents-WUO_TRK'!A291),_xlfn.TEXTAFTER('Additional Documents-WUO_ERR'!A291, ":"))))</f>
        <v>0</v>
      </c>
    </row>
    <row r="292" spans="1:1">
      <c r="A292" s="39">
        <f>IF('Additional Documents'!B292 = "", "", IF('Additional Documents-WUO_ERR'!A292 = "", "Validated", HYPERLINK("#" &amp; ADDRESS(292, 'Additional Documents-WUO_TRK'!A292),_xlfn.TEXTAFTER('Additional Documents-WUO_ERR'!A292, ":"))))</f>
        <v>0</v>
      </c>
    </row>
    <row r="293" spans="1:1">
      <c r="A293" s="39">
        <f>IF('Additional Documents'!B293 = "", "", IF('Additional Documents-WUO_ERR'!A293 = "", "Validated", HYPERLINK("#" &amp; ADDRESS(293, 'Additional Documents-WUO_TRK'!A293),_xlfn.TEXTAFTER('Additional Documents-WUO_ERR'!A293, ":"))))</f>
        <v>0</v>
      </c>
    </row>
    <row r="294" spans="1:1">
      <c r="A294" s="39">
        <f>IF('Additional Documents'!B294 = "", "", IF('Additional Documents-WUO_ERR'!A294 = "", "Validated", HYPERLINK("#" &amp; ADDRESS(294, 'Additional Documents-WUO_TRK'!A294),_xlfn.TEXTAFTER('Additional Documents-WUO_ERR'!A294, ":"))))</f>
        <v>0</v>
      </c>
    </row>
    <row r="295" spans="1:1">
      <c r="A295" s="39">
        <f>IF('Additional Documents'!B295 = "", "", IF('Additional Documents-WUO_ERR'!A295 = "", "Validated", HYPERLINK("#" &amp; ADDRESS(295, 'Additional Documents-WUO_TRK'!A295),_xlfn.TEXTAFTER('Additional Documents-WUO_ERR'!A295, ":"))))</f>
        <v>0</v>
      </c>
    </row>
    <row r="296" spans="1:1">
      <c r="A296" s="39">
        <f>IF('Additional Documents'!B296 = "", "", IF('Additional Documents-WUO_ERR'!A296 = "", "Validated", HYPERLINK("#" &amp; ADDRESS(296, 'Additional Documents-WUO_TRK'!A296),_xlfn.TEXTAFTER('Additional Documents-WUO_ERR'!A296, ":"))))</f>
        <v>0</v>
      </c>
    </row>
    <row r="297" spans="1:1">
      <c r="A297" s="39">
        <f>IF('Additional Documents'!B297 = "", "", IF('Additional Documents-WUO_ERR'!A297 = "", "Validated", HYPERLINK("#" &amp; ADDRESS(297, 'Additional Documents-WUO_TRK'!A297),_xlfn.TEXTAFTER('Additional Documents-WUO_ERR'!A297, ":"))))</f>
        <v>0</v>
      </c>
    </row>
    <row r="298" spans="1:1">
      <c r="A298" s="39">
        <f>IF('Additional Documents'!B298 = "", "", IF('Additional Documents-WUO_ERR'!A298 = "", "Validated", HYPERLINK("#" &amp; ADDRESS(298, 'Additional Documents-WUO_TRK'!A298),_xlfn.TEXTAFTER('Additional Documents-WUO_ERR'!A298, ":"))))</f>
        <v>0</v>
      </c>
    </row>
    <row r="299" spans="1:1">
      <c r="A299" s="39">
        <f>IF('Additional Documents'!B299 = "", "", IF('Additional Documents-WUO_ERR'!A299 = "", "Validated", HYPERLINK("#" &amp; ADDRESS(299, 'Additional Documents-WUO_TRK'!A299),_xlfn.TEXTAFTER('Additional Documents-WUO_ERR'!A299, ":"))))</f>
        <v>0</v>
      </c>
    </row>
    <row r="300" spans="1:1">
      <c r="A300" s="39">
        <f>IF('Additional Documents'!B300 = "", "", IF('Additional Documents-WUO_ERR'!A300 = "", "Validated", HYPERLINK("#" &amp; ADDRESS(300, 'Additional Documents-WUO_TRK'!A300),_xlfn.TEXTAFTER('Additional Documents-WUO_ERR'!A300, ":"))))</f>
        <v>0</v>
      </c>
    </row>
    <row r="301" spans="1:1">
      <c r="A301" s="39">
        <f>IF('Additional Documents'!B301 = "", "", IF('Additional Documents-WUO_ERR'!A301 = "", "Validated", HYPERLINK("#" &amp; ADDRESS(301, 'Additional Documents-WUO_TRK'!A301),_xlfn.TEXTAFTER('Additional Documents-WUO_ERR'!A301, ":"))))</f>
        <v>0</v>
      </c>
    </row>
    <row r="302" spans="1:1">
      <c r="A302" s="39">
        <f>IF('Additional Documents'!B302 = "", "", IF('Additional Documents-WUO_ERR'!A302 = "", "Validated", HYPERLINK("#" &amp; ADDRESS(302, 'Additional Documents-WUO_TRK'!A302),_xlfn.TEXTAFTER('Additional Documents-WUO_ERR'!A302, ":"))))</f>
        <v>0</v>
      </c>
    </row>
    <row r="303" spans="1:1">
      <c r="A303" s="39">
        <f>IF('Additional Documents'!B303 = "", "", IF('Additional Documents-WUO_ERR'!A303 = "", "Validated", HYPERLINK("#" &amp; ADDRESS(303, 'Additional Documents-WUO_TRK'!A303),_xlfn.TEXTAFTER('Additional Documents-WUO_ERR'!A303, ":"))))</f>
        <v>0</v>
      </c>
    </row>
    <row r="304" spans="1:1">
      <c r="A304" s="39">
        <f>IF('Additional Documents'!B304 = "", "", IF('Additional Documents-WUO_ERR'!A304 = "", "Validated", HYPERLINK("#" &amp; ADDRESS(304, 'Additional Documents-WUO_TRK'!A304),_xlfn.TEXTAFTER('Additional Documents-WUO_ERR'!A304, ":"))))</f>
        <v>0</v>
      </c>
    </row>
    <row r="305" spans="1:1">
      <c r="A305" s="39">
        <f>IF('Additional Documents'!B305 = "", "", IF('Additional Documents-WUO_ERR'!A305 = "", "Validated", HYPERLINK("#" &amp; ADDRESS(305, 'Additional Documents-WUO_TRK'!A305),_xlfn.TEXTAFTER('Additional Documents-WUO_ERR'!A305, ":"))))</f>
        <v>0</v>
      </c>
    </row>
    <row r="306" spans="1:1">
      <c r="A306" s="39">
        <f>IF('Additional Documents'!B306 = "", "", IF('Additional Documents-WUO_ERR'!A306 = "", "Validated", HYPERLINK("#" &amp; ADDRESS(306, 'Additional Documents-WUO_TRK'!A306),_xlfn.TEXTAFTER('Additional Documents-WUO_ERR'!A306, ":"))))</f>
        <v>0</v>
      </c>
    </row>
    <row r="307" spans="1:1">
      <c r="A307" s="39">
        <f>IF('Additional Documents'!B307 = "", "", IF('Additional Documents-WUO_ERR'!A307 = "", "Validated", HYPERLINK("#" &amp; ADDRESS(307, 'Additional Documents-WUO_TRK'!A307),_xlfn.TEXTAFTER('Additional Documents-WUO_ERR'!A307, ":"))))</f>
        <v>0</v>
      </c>
    </row>
    <row r="308" spans="1:1">
      <c r="A308" s="39">
        <f>IF('Additional Documents'!B308 = "", "", IF('Additional Documents-WUO_ERR'!A308 = "", "Validated", HYPERLINK("#" &amp; ADDRESS(308, 'Additional Documents-WUO_TRK'!A308),_xlfn.TEXTAFTER('Additional Documents-WUO_ERR'!A308, ":"))))</f>
        <v>0</v>
      </c>
    </row>
    <row r="309" spans="1:1">
      <c r="A309" s="39">
        <f>IF('Additional Documents'!B309 = "", "", IF('Additional Documents-WUO_ERR'!A309 = "", "Validated", HYPERLINK("#" &amp; ADDRESS(309, 'Additional Documents-WUO_TRK'!A309),_xlfn.TEXTAFTER('Additional Documents-WUO_ERR'!A309, ":"))))</f>
        <v>0</v>
      </c>
    </row>
    <row r="310" spans="1:1">
      <c r="A310" s="39">
        <f>IF('Additional Documents'!B310 = "", "", IF('Additional Documents-WUO_ERR'!A310 = "", "Validated", HYPERLINK("#" &amp; ADDRESS(310, 'Additional Documents-WUO_TRK'!A310),_xlfn.TEXTAFTER('Additional Documents-WUO_ERR'!A310, ":"))))</f>
        <v>0</v>
      </c>
    </row>
    <row r="311" spans="1:1">
      <c r="A311" s="39">
        <f>IF('Additional Documents'!B311 = "", "", IF('Additional Documents-WUO_ERR'!A311 = "", "Validated", HYPERLINK("#" &amp; ADDRESS(311, 'Additional Documents-WUO_TRK'!A311),_xlfn.TEXTAFTER('Additional Documents-WUO_ERR'!A311, ":"))))</f>
        <v>0</v>
      </c>
    </row>
    <row r="312" spans="1:1">
      <c r="A312" s="39">
        <f>IF('Additional Documents'!B312 = "", "", IF('Additional Documents-WUO_ERR'!A312 = "", "Validated", HYPERLINK("#" &amp; ADDRESS(312, 'Additional Documents-WUO_TRK'!A312),_xlfn.TEXTAFTER('Additional Documents-WUO_ERR'!A312, ":"))))</f>
        <v>0</v>
      </c>
    </row>
    <row r="313" spans="1:1">
      <c r="A313" s="39">
        <f>IF('Additional Documents'!B313 = "", "", IF('Additional Documents-WUO_ERR'!A313 = "", "Validated", HYPERLINK("#" &amp; ADDRESS(313, 'Additional Documents-WUO_TRK'!A313),_xlfn.TEXTAFTER('Additional Documents-WUO_ERR'!A313, ":"))))</f>
        <v>0</v>
      </c>
    </row>
    <row r="314" spans="1:1">
      <c r="A314" s="39">
        <f>IF('Additional Documents'!B314 = "", "", IF('Additional Documents-WUO_ERR'!A314 = "", "Validated", HYPERLINK("#" &amp; ADDRESS(314, 'Additional Documents-WUO_TRK'!A314),_xlfn.TEXTAFTER('Additional Documents-WUO_ERR'!A314, ":"))))</f>
        <v>0</v>
      </c>
    </row>
    <row r="315" spans="1:1">
      <c r="A315" s="39">
        <f>IF('Additional Documents'!B315 = "", "", IF('Additional Documents-WUO_ERR'!A315 = "", "Validated", HYPERLINK("#" &amp; ADDRESS(315, 'Additional Documents-WUO_TRK'!A315),_xlfn.TEXTAFTER('Additional Documents-WUO_ERR'!A315, ":"))))</f>
        <v>0</v>
      </c>
    </row>
    <row r="316" spans="1:1">
      <c r="A316" s="39">
        <f>IF('Additional Documents'!B316 = "", "", IF('Additional Documents-WUO_ERR'!A316 = "", "Validated", HYPERLINK("#" &amp; ADDRESS(316, 'Additional Documents-WUO_TRK'!A316),_xlfn.TEXTAFTER('Additional Documents-WUO_ERR'!A316, ":"))))</f>
        <v>0</v>
      </c>
    </row>
    <row r="317" spans="1:1">
      <c r="A317" s="39">
        <f>IF('Additional Documents'!B317 = "", "", IF('Additional Documents-WUO_ERR'!A317 = "", "Validated", HYPERLINK("#" &amp; ADDRESS(317, 'Additional Documents-WUO_TRK'!A317),_xlfn.TEXTAFTER('Additional Documents-WUO_ERR'!A317, ":"))))</f>
        <v>0</v>
      </c>
    </row>
    <row r="318" spans="1:1">
      <c r="A318" s="39">
        <f>IF('Additional Documents'!B318 = "", "", IF('Additional Documents-WUO_ERR'!A318 = "", "Validated", HYPERLINK("#" &amp; ADDRESS(318, 'Additional Documents-WUO_TRK'!A318),_xlfn.TEXTAFTER('Additional Documents-WUO_ERR'!A318, ":"))))</f>
        <v>0</v>
      </c>
    </row>
    <row r="319" spans="1:1">
      <c r="A319" s="39">
        <f>IF('Additional Documents'!B319 = "", "", IF('Additional Documents-WUO_ERR'!A319 = "", "Validated", HYPERLINK("#" &amp; ADDRESS(319, 'Additional Documents-WUO_TRK'!A319),_xlfn.TEXTAFTER('Additional Documents-WUO_ERR'!A319, ":"))))</f>
        <v>0</v>
      </c>
    </row>
    <row r="320" spans="1:1">
      <c r="A320" s="39">
        <f>IF('Additional Documents'!B320 = "", "", IF('Additional Documents-WUO_ERR'!A320 = "", "Validated", HYPERLINK("#" &amp; ADDRESS(320, 'Additional Documents-WUO_TRK'!A320),_xlfn.TEXTAFTER('Additional Documents-WUO_ERR'!A320, ":"))))</f>
        <v>0</v>
      </c>
    </row>
    <row r="321" spans="1:1">
      <c r="A321" s="39">
        <f>IF('Additional Documents'!B321 = "", "", IF('Additional Documents-WUO_ERR'!A321 = "", "Validated", HYPERLINK("#" &amp; ADDRESS(321, 'Additional Documents-WUO_TRK'!A321),_xlfn.TEXTAFTER('Additional Documents-WUO_ERR'!A321, ":"))))</f>
        <v>0</v>
      </c>
    </row>
    <row r="322" spans="1:1">
      <c r="A322" s="39">
        <f>IF('Additional Documents'!B322 = "", "", IF('Additional Documents-WUO_ERR'!A322 = "", "Validated", HYPERLINK("#" &amp; ADDRESS(322, 'Additional Documents-WUO_TRK'!A322),_xlfn.TEXTAFTER('Additional Documents-WUO_ERR'!A322, ":"))))</f>
        <v>0</v>
      </c>
    </row>
    <row r="323" spans="1:1">
      <c r="A323" s="39">
        <f>IF('Additional Documents'!B323 = "", "", IF('Additional Documents-WUO_ERR'!A323 = "", "Validated", HYPERLINK("#" &amp; ADDRESS(323, 'Additional Documents-WUO_TRK'!A323),_xlfn.TEXTAFTER('Additional Documents-WUO_ERR'!A323, ":"))))</f>
        <v>0</v>
      </c>
    </row>
    <row r="324" spans="1:1">
      <c r="A324" s="39">
        <f>IF('Additional Documents'!B324 = "", "", IF('Additional Documents-WUO_ERR'!A324 = "", "Validated", HYPERLINK("#" &amp; ADDRESS(324, 'Additional Documents-WUO_TRK'!A324),_xlfn.TEXTAFTER('Additional Documents-WUO_ERR'!A324, ":"))))</f>
        <v>0</v>
      </c>
    </row>
    <row r="325" spans="1:1">
      <c r="A325" s="39">
        <f>IF('Additional Documents'!B325 = "", "", IF('Additional Documents-WUO_ERR'!A325 = "", "Validated", HYPERLINK("#" &amp; ADDRESS(325, 'Additional Documents-WUO_TRK'!A325),_xlfn.TEXTAFTER('Additional Documents-WUO_ERR'!A325, ":"))))</f>
        <v>0</v>
      </c>
    </row>
    <row r="326" spans="1:1">
      <c r="A326" s="39">
        <f>IF('Additional Documents'!B326 = "", "", IF('Additional Documents-WUO_ERR'!A326 = "", "Validated", HYPERLINK("#" &amp; ADDRESS(326, 'Additional Documents-WUO_TRK'!A326),_xlfn.TEXTAFTER('Additional Documents-WUO_ERR'!A326, ":"))))</f>
        <v>0</v>
      </c>
    </row>
    <row r="327" spans="1:1">
      <c r="A327" s="39">
        <f>IF('Additional Documents'!B327 = "", "", IF('Additional Documents-WUO_ERR'!A327 = "", "Validated", HYPERLINK("#" &amp; ADDRESS(327, 'Additional Documents-WUO_TRK'!A327),_xlfn.TEXTAFTER('Additional Documents-WUO_ERR'!A327, ":"))))</f>
        <v>0</v>
      </c>
    </row>
    <row r="328" spans="1:1">
      <c r="A328" s="39">
        <f>IF('Additional Documents'!B328 = "", "", IF('Additional Documents-WUO_ERR'!A328 = "", "Validated", HYPERLINK("#" &amp; ADDRESS(328, 'Additional Documents-WUO_TRK'!A328),_xlfn.TEXTAFTER('Additional Documents-WUO_ERR'!A328, ":"))))</f>
        <v>0</v>
      </c>
    </row>
    <row r="329" spans="1:1">
      <c r="A329" s="39">
        <f>IF('Additional Documents'!B329 = "", "", IF('Additional Documents-WUO_ERR'!A329 = "", "Validated", HYPERLINK("#" &amp; ADDRESS(329, 'Additional Documents-WUO_TRK'!A329),_xlfn.TEXTAFTER('Additional Documents-WUO_ERR'!A329, ":"))))</f>
        <v>0</v>
      </c>
    </row>
    <row r="330" spans="1:1">
      <c r="A330" s="39">
        <f>IF('Additional Documents'!B330 = "", "", IF('Additional Documents-WUO_ERR'!A330 = "", "Validated", HYPERLINK("#" &amp; ADDRESS(330, 'Additional Documents-WUO_TRK'!A330),_xlfn.TEXTAFTER('Additional Documents-WUO_ERR'!A330, ":"))))</f>
        <v>0</v>
      </c>
    </row>
    <row r="331" spans="1:1">
      <c r="A331" s="39">
        <f>IF('Additional Documents'!B331 = "", "", IF('Additional Documents-WUO_ERR'!A331 = "", "Validated", HYPERLINK("#" &amp; ADDRESS(331, 'Additional Documents-WUO_TRK'!A331),_xlfn.TEXTAFTER('Additional Documents-WUO_ERR'!A331, ":"))))</f>
        <v>0</v>
      </c>
    </row>
    <row r="332" spans="1:1">
      <c r="A332" s="39">
        <f>IF('Additional Documents'!B332 = "", "", IF('Additional Documents-WUO_ERR'!A332 = "", "Validated", HYPERLINK("#" &amp; ADDRESS(332, 'Additional Documents-WUO_TRK'!A332),_xlfn.TEXTAFTER('Additional Documents-WUO_ERR'!A332, ":"))))</f>
        <v>0</v>
      </c>
    </row>
    <row r="333" spans="1:1">
      <c r="A333" s="39">
        <f>IF('Additional Documents'!B333 = "", "", IF('Additional Documents-WUO_ERR'!A333 = "", "Validated", HYPERLINK("#" &amp; ADDRESS(333, 'Additional Documents-WUO_TRK'!A333),_xlfn.TEXTAFTER('Additional Documents-WUO_ERR'!A333, ":"))))</f>
        <v>0</v>
      </c>
    </row>
    <row r="334" spans="1:1">
      <c r="A334" s="39">
        <f>IF('Additional Documents'!B334 = "", "", IF('Additional Documents-WUO_ERR'!A334 = "", "Validated", HYPERLINK("#" &amp; ADDRESS(334, 'Additional Documents-WUO_TRK'!A334),_xlfn.TEXTAFTER('Additional Documents-WUO_ERR'!A334, ":"))))</f>
        <v>0</v>
      </c>
    </row>
    <row r="335" spans="1:1">
      <c r="A335" s="39">
        <f>IF('Additional Documents'!B335 = "", "", IF('Additional Documents-WUO_ERR'!A335 = "", "Validated", HYPERLINK("#" &amp; ADDRESS(335, 'Additional Documents-WUO_TRK'!A335),_xlfn.TEXTAFTER('Additional Documents-WUO_ERR'!A335, ":"))))</f>
        <v>0</v>
      </c>
    </row>
    <row r="336" spans="1:1">
      <c r="A336" s="39">
        <f>IF('Additional Documents'!B336 = "", "", IF('Additional Documents-WUO_ERR'!A336 = "", "Validated", HYPERLINK("#" &amp; ADDRESS(336, 'Additional Documents-WUO_TRK'!A336),_xlfn.TEXTAFTER('Additional Documents-WUO_ERR'!A336, ":"))))</f>
        <v>0</v>
      </c>
    </row>
    <row r="337" spans="1:1">
      <c r="A337" s="39">
        <f>IF('Additional Documents'!B337 = "", "", IF('Additional Documents-WUO_ERR'!A337 = "", "Validated", HYPERLINK("#" &amp; ADDRESS(337, 'Additional Documents-WUO_TRK'!A337),_xlfn.TEXTAFTER('Additional Documents-WUO_ERR'!A337, ":"))))</f>
        <v>0</v>
      </c>
    </row>
    <row r="338" spans="1:1">
      <c r="A338" s="39">
        <f>IF('Additional Documents'!B338 = "", "", IF('Additional Documents-WUO_ERR'!A338 = "", "Validated", HYPERLINK("#" &amp; ADDRESS(338, 'Additional Documents-WUO_TRK'!A338),_xlfn.TEXTAFTER('Additional Documents-WUO_ERR'!A338, ":"))))</f>
        <v>0</v>
      </c>
    </row>
    <row r="339" spans="1:1">
      <c r="A339" s="39">
        <f>IF('Additional Documents'!B339 = "", "", IF('Additional Documents-WUO_ERR'!A339 = "", "Validated", HYPERLINK("#" &amp; ADDRESS(339, 'Additional Documents-WUO_TRK'!A339),_xlfn.TEXTAFTER('Additional Documents-WUO_ERR'!A339, ":"))))</f>
        <v>0</v>
      </c>
    </row>
    <row r="340" spans="1:1">
      <c r="A340" s="39">
        <f>IF('Additional Documents'!B340 = "", "", IF('Additional Documents-WUO_ERR'!A340 = "", "Validated", HYPERLINK("#" &amp; ADDRESS(340, 'Additional Documents-WUO_TRK'!A340),_xlfn.TEXTAFTER('Additional Documents-WUO_ERR'!A340, ":"))))</f>
        <v>0</v>
      </c>
    </row>
    <row r="341" spans="1:1">
      <c r="A341" s="39">
        <f>IF('Additional Documents'!B341 = "", "", IF('Additional Documents-WUO_ERR'!A341 = "", "Validated", HYPERLINK("#" &amp; ADDRESS(341, 'Additional Documents-WUO_TRK'!A341),_xlfn.TEXTAFTER('Additional Documents-WUO_ERR'!A341, ":"))))</f>
        <v>0</v>
      </c>
    </row>
    <row r="342" spans="1:1">
      <c r="A342" s="39">
        <f>IF('Additional Documents'!B342 = "", "", IF('Additional Documents-WUO_ERR'!A342 = "", "Validated", HYPERLINK("#" &amp; ADDRESS(342, 'Additional Documents-WUO_TRK'!A342),_xlfn.TEXTAFTER('Additional Documents-WUO_ERR'!A342, ":"))))</f>
        <v>0</v>
      </c>
    </row>
    <row r="343" spans="1:1">
      <c r="A343" s="39">
        <f>IF('Additional Documents'!B343 = "", "", IF('Additional Documents-WUO_ERR'!A343 = "", "Validated", HYPERLINK("#" &amp; ADDRESS(343, 'Additional Documents-WUO_TRK'!A343),_xlfn.TEXTAFTER('Additional Documents-WUO_ERR'!A343, ":"))))</f>
        <v>0</v>
      </c>
    </row>
    <row r="344" spans="1:1">
      <c r="A344" s="39">
        <f>IF('Additional Documents'!B344 = "", "", IF('Additional Documents-WUO_ERR'!A344 = "", "Validated", HYPERLINK("#" &amp; ADDRESS(344, 'Additional Documents-WUO_TRK'!A344),_xlfn.TEXTAFTER('Additional Documents-WUO_ERR'!A344, ":"))))</f>
        <v>0</v>
      </c>
    </row>
    <row r="345" spans="1:1">
      <c r="A345" s="39">
        <f>IF('Additional Documents'!B345 = "", "", IF('Additional Documents-WUO_ERR'!A345 = "", "Validated", HYPERLINK("#" &amp; ADDRESS(345, 'Additional Documents-WUO_TRK'!A345),_xlfn.TEXTAFTER('Additional Documents-WUO_ERR'!A345, ":"))))</f>
        <v>0</v>
      </c>
    </row>
    <row r="346" spans="1:1">
      <c r="A346" s="39">
        <f>IF('Additional Documents'!B346 = "", "", IF('Additional Documents-WUO_ERR'!A346 = "", "Validated", HYPERLINK("#" &amp; ADDRESS(346, 'Additional Documents-WUO_TRK'!A346),_xlfn.TEXTAFTER('Additional Documents-WUO_ERR'!A346, ":"))))</f>
        <v>0</v>
      </c>
    </row>
    <row r="347" spans="1:1">
      <c r="A347" s="39">
        <f>IF('Additional Documents'!B347 = "", "", IF('Additional Documents-WUO_ERR'!A347 = "", "Validated", HYPERLINK("#" &amp; ADDRESS(347, 'Additional Documents-WUO_TRK'!A347),_xlfn.TEXTAFTER('Additional Documents-WUO_ERR'!A347, ":"))))</f>
        <v>0</v>
      </c>
    </row>
    <row r="348" spans="1:1">
      <c r="A348" s="39">
        <f>IF('Additional Documents'!B348 = "", "", IF('Additional Documents-WUO_ERR'!A348 = "", "Validated", HYPERLINK("#" &amp; ADDRESS(348, 'Additional Documents-WUO_TRK'!A348),_xlfn.TEXTAFTER('Additional Documents-WUO_ERR'!A348, ":"))))</f>
        <v>0</v>
      </c>
    </row>
    <row r="349" spans="1:1">
      <c r="A349" s="39">
        <f>IF('Additional Documents'!B349 = "", "", IF('Additional Documents-WUO_ERR'!A349 = "", "Validated", HYPERLINK("#" &amp; ADDRESS(349, 'Additional Documents-WUO_TRK'!A349),_xlfn.TEXTAFTER('Additional Documents-WUO_ERR'!A349, ":"))))</f>
        <v>0</v>
      </c>
    </row>
    <row r="350" spans="1:1">
      <c r="A350" s="39">
        <f>IF('Additional Documents'!B350 = "", "", IF('Additional Documents-WUO_ERR'!A350 = "", "Validated", HYPERLINK("#" &amp; ADDRESS(350, 'Additional Documents-WUO_TRK'!A350),_xlfn.TEXTAFTER('Additional Documents-WUO_ERR'!A350, ":"))))</f>
        <v>0</v>
      </c>
    </row>
    <row r="351" spans="1:1">
      <c r="A351" s="39">
        <f>IF('Additional Documents'!B351 = "", "", IF('Additional Documents-WUO_ERR'!A351 = "", "Validated", HYPERLINK("#" &amp; ADDRESS(351, 'Additional Documents-WUO_TRK'!A351),_xlfn.TEXTAFTER('Additional Documents-WUO_ERR'!A351, ":"))))</f>
        <v>0</v>
      </c>
    </row>
    <row r="352" spans="1:1">
      <c r="A352" s="39">
        <f>IF('Additional Documents'!B352 = "", "", IF('Additional Documents-WUO_ERR'!A352 = "", "Validated", HYPERLINK("#" &amp; ADDRESS(352, 'Additional Documents-WUO_TRK'!A352),_xlfn.TEXTAFTER('Additional Documents-WUO_ERR'!A352, ":"))))</f>
        <v>0</v>
      </c>
    </row>
    <row r="353" spans="1:1">
      <c r="A353" s="39">
        <f>IF('Additional Documents'!B353 = "", "", IF('Additional Documents-WUO_ERR'!A353 = "", "Validated", HYPERLINK("#" &amp; ADDRESS(353, 'Additional Documents-WUO_TRK'!A353),_xlfn.TEXTAFTER('Additional Documents-WUO_ERR'!A353, ":"))))</f>
        <v>0</v>
      </c>
    </row>
    <row r="354" spans="1:1">
      <c r="A354" s="39">
        <f>IF('Additional Documents'!B354 = "", "", IF('Additional Documents-WUO_ERR'!A354 = "", "Validated", HYPERLINK("#" &amp; ADDRESS(354, 'Additional Documents-WUO_TRK'!A354),_xlfn.TEXTAFTER('Additional Documents-WUO_ERR'!A354, ":"))))</f>
        <v>0</v>
      </c>
    </row>
    <row r="355" spans="1:1">
      <c r="A355" s="39">
        <f>IF('Additional Documents'!B355 = "", "", IF('Additional Documents-WUO_ERR'!A355 = "", "Validated", HYPERLINK("#" &amp; ADDRESS(355, 'Additional Documents-WUO_TRK'!A355),_xlfn.TEXTAFTER('Additional Documents-WUO_ERR'!A355, ":"))))</f>
        <v>0</v>
      </c>
    </row>
    <row r="356" spans="1:1">
      <c r="A356" s="39">
        <f>IF('Additional Documents'!B356 = "", "", IF('Additional Documents-WUO_ERR'!A356 = "", "Validated", HYPERLINK("#" &amp; ADDRESS(356, 'Additional Documents-WUO_TRK'!A356),_xlfn.TEXTAFTER('Additional Documents-WUO_ERR'!A356, ":"))))</f>
        <v>0</v>
      </c>
    </row>
    <row r="357" spans="1:1">
      <c r="A357" s="39">
        <f>IF('Additional Documents'!B357 = "", "", IF('Additional Documents-WUO_ERR'!A357 = "", "Validated", HYPERLINK("#" &amp; ADDRESS(357, 'Additional Documents-WUO_TRK'!A357),_xlfn.TEXTAFTER('Additional Documents-WUO_ERR'!A357, ":"))))</f>
        <v>0</v>
      </c>
    </row>
    <row r="358" spans="1:1">
      <c r="A358" s="39">
        <f>IF('Additional Documents'!B358 = "", "", IF('Additional Documents-WUO_ERR'!A358 = "", "Validated", HYPERLINK("#" &amp; ADDRESS(358, 'Additional Documents-WUO_TRK'!A358),_xlfn.TEXTAFTER('Additional Documents-WUO_ERR'!A358, ":"))))</f>
        <v>0</v>
      </c>
    </row>
    <row r="359" spans="1:1">
      <c r="A359" s="39">
        <f>IF('Additional Documents'!B359 = "", "", IF('Additional Documents-WUO_ERR'!A359 = "", "Validated", HYPERLINK("#" &amp; ADDRESS(359, 'Additional Documents-WUO_TRK'!A359),_xlfn.TEXTAFTER('Additional Documents-WUO_ERR'!A359, ":"))))</f>
        <v>0</v>
      </c>
    </row>
    <row r="360" spans="1:1">
      <c r="A360" s="39">
        <f>IF('Additional Documents'!B360 = "", "", IF('Additional Documents-WUO_ERR'!A360 = "", "Validated", HYPERLINK("#" &amp; ADDRESS(360, 'Additional Documents-WUO_TRK'!A360),_xlfn.TEXTAFTER('Additional Documents-WUO_ERR'!A360, ":"))))</f>
        <v>0</v>
      </c>
    </row>
    <row r="361" spans="1:1">
      <c r="A361" s="39">
        <f>IF('Additional Documents'!B361 = "", "", IF('Additional Documents-WUO_ERR'!A361 = "", "Validated", HYPERLINK("#" &amp; ADDRESS(361, 'Additional Documents-WUO_TRK'!A361),_xlfn.TEXTAFTER('Additional Documents-WUO_ERR'!A361, ":"))))</f>
        <v>0</v>
      </c>
    </row>
    <row r="362" spans="1:1">
      <c r="A362" s="39">
        <f>IF('Additional Documents'!B362 = "", "", IF('Additional Documents-WUO_ERR'!A362 = "", "Validated", HYPERLINK("#" &amp; ADDRESS(362, 'Additional Documents-WUO_TRK'!A362),_xlfn.TEXTAFTER('Additional Documents-WUO_ERR'!A362, ":"))))</f>
        <v>0</v>
      </c>
    </row>
    <row r="363" spans="1:1">
      <c r="A363" s="39">
        <f>IF('Additional Documents'!B363 = "", "", IF('Additional Documents-WUO_ERR'!A363 = "", "Validated", HYPERLINK("#" &amp; ADDRESS(363, 'Additional Documents-WUO_TRK'!A363),_xlfn.TEXTAFTER('Additional Documents-WUO_ERR'!A363, ":"))))</f>
        <v>0</v>
      </c>
    </row>
    <row r="364" spans="1:1">
      <c r="A364" s="39">
        <f>IF('Additional Documents'!B364 = "", "", IF('Additional Documents-WUO_ERR'!A364 = "", "Validated", HYPERLINK("#" &amp; ADDRESS(364, 'Additional Documents-WUO_TRK'!A364),_xlfn.TEXTAFTER('Additional Documents-WUO_ERR'!A364, ":"))))</f>
        <v>0</v>
      </c>
    </row>
    <row r="365" spans="1:1">
      <c r="A365" s="39">
        <f>IF('Additional Documents'!B365 = "", "", IF('Additional Documents-WUO_ERR'!A365 = "", "Validated", HYPERLINK("#" &amp; ADDRESS(365, 'Additional Documents-WUO_TRK'!A365),_xlfn.TEXTAFTER('Additional Documents-WUO_ERR'!A365, ":"))))</f>
        <v>0</v>
      </c>
    </row>
    <row r="366" spans="1:1">
      <c r="A366" s="39">
        <f>IF('Additional Documents'!B366 = "", "", IF('Additional Documents-WUO_ERR'!A366 = "", "Validated", HYPERLINK("#" &amp; ADDRESS(366, 'Additional Documents-WUO_TRK'!A366),_xlfn.TEXTAFTER('Additional Documents-WUO_ERR'!A366, ":"))))</f>
        <v>0</v>
      </c>
    </row>
    <row r="367" spans="1:1">
      <c r="A367" s="39">
        <f>IF('Additional Documents'!B367 = "", "", IF('Additional Documents-WUO_ERR'!A367 = "", "Validated", HYPERLINK("#" &amp; ADDRESS(367, 'Additional Documents-WUO_TRK'!A367),_xlfn.TEXTAFTER('Additional Documents-WUO_ERR'!A367, ":"))))</f>
        <v>0</v>
      </c>
    </row>
    <row r="368" spans="1:1">
      <c r="A368" s="39">
        <f>IF('Additional Documents'!B368 = "", "", IF('Additional Documents-WUO_ERR'!A368 = "", "Validated", HYPERLINK("#" &amp; ADDRESS(368, 'Additional Documents-WUO_TRK'!A368),_xlfn.TEXTAFTER('Additional Documents-WUO_ERR'!A368, ":"))))</f>
        <v>0</v>
      </c>
    </row>
    <row r="369" spans="1:1">
      <c r="A369" s="39">
        <f>IF('Additional Documents'!B369 = "", "", IF('Additional Documents-WUO_ERR'!A369 = "", "Validated", HYPERLINK("#" &amp; ADDRESS(369, 'Additional Documents-WUO_TRK'!A369),_xlfn.TEXTAFTER('Additional Documents-WUO_ERR'!A369, ":"))))</f>
        <v>0</v>
      </c>
    </row>
    <row r="370" spans="1:1">
      <c r="A370" s="39">
        <f>IF('Additional Documents'!B370 = "", "", IF('Additional Documents-WUO_ERR'!A370 = "", "Validated", HYPERLINK("#" &amp; ADDRESS(370, 'Additional Documents-WUO_TRK'!A370),_xlfn.TEXTAFTER('Additional Documents-WUO_ERR'!A370, ":"))))</f>
        <v>0</v>
      </c>
    </row>
    <row r="371" spans="1:1">
      <c r="A371" s="39">
        <f>IF('Additional Documents'!B371 = "", "", IF('Additional Documents-WUO_ERR'!A371 = "", "Validated", HYPERLINK("#" &amp; ADDRESS(371, 'Additional Documents-WUO_TRK'!A371),_xlfn.TEXTAFTER('Additional Documents-WUO_ERR'!A371, ":"))))</f>
        <v>0</v>
      </c>
    </row>
    <row r="372" spans="1:1">
      <c r="A372" s="39">
        <f>IF('Additional Documents'!B372 = "", "", IF('Additional Documents-WUO_ERR'!A372 = "", "Validated", HYPERLINK("#" &amp; ADDRESS(372, 'Additional Documents-WUO_TRK'!A372),_xlfn.TEXTAFTER('Additional Documents-WUO_ERR'!A372, ":"))))</f>
        <v>0</v>
      </c>
    </row>
    <row r="373" spans="1:1">
      <c r="A373" s="39">
        <f>IF('Additional Documents'!B373 = "", "", IF('Additional Documents-WUO_ERR'!A373 = "", "Validated", HYPERLINK("#" &amp; ADDRESS(373, 'Additional Documents-WUO_TRK'!A373),_xlfn.TEXTAFTER('Additional Documents-WUO_ERR'!A373, ":"))))</f>
        <v>0</v>
      </c>
    </row>
    <row r="374" spans="1:1">
      <c r="A374" s="39">
        <f>IF('Additional Documents'!B374 = "", "", IF('Additional Documents-WUO_ERR'!A374 = "", "Validated", HYPERLINK("#" &amp; ADDRESS(374, 'Additional Documents-WUO_TRK'!A374),_xlfn.TEXTAFTER('Additional Documents-WUO_ERR'!A374, ":"))))</f>
        <v>0</v>
      </c>
    </row>
    <row r="375" spans="1:1">
      <c r="A375" s="39">
        <f>IF('Additional Documents'!B375 = "", "", IF('Additional Documents-WUO_ERR'!A375 = "", "Validated", HYPERLINK("#" &amp; ADDRESS(375, 'Additional Documents-WUO_TRK'!A375),_xlfn.TEXTAFTER('Additional Documents-WUO_ERR'!A375, ":"))))</f>
        <v>0</v>
      </c>
    </row>
    <row r="376" spans="1:1">
      <c r="A376" s="39">
        <f>IF('Additional Documents'!B376 = "", "", IF('Additional Documents-WUO_ERR'!A376 = "", "Validated", HYPERLINK("#" &amp; ADDRESS(376, 'Additional Documents-WUO_TRK'!A376),_xlfn.TEXTAFTER('Additional Documents-WUO_ERR'!A376, ":"))))</f>
        <v>0</v>
      </c>
    </row>
    <row r="377" spans="1:1">
      <c r="A377" s="39">
        <f>IF('Additional Documents'!B377 = "", "", IF('Additional Documents-WUO_ERR'!A377 = "", "Validated", HYPERLINK("#" &amp; ADDRESS(377, 'Additional Documents-WUO_TRK'!A377),_xlfn.TEXTAFTER('Additional Documents-WUO_ERR'!A377, ":"))))</f>
        <v>0</v>
      </c>
    </row>
    <row r="378" spans="1:1">
      <c r="A378" s="39">
        <f>IF('Additional Documents'!B378 = "", "", IF('Additional Documents-WUO_ERR'!A378 = "", "Validated", HYPERLINK("#" &amp; ADDRESS(378, 'Additional Documents-WUO_TRK'!A378),_xlfn.TEXTAFTER('Additional Documents-WUO_ERR'!A378, ":"))))</f>
        <v>0</v>
      </c>
    </row>
    <row r="379" spans="1:1">
      <c r="A379" s="39">
        <f>IF('Additional Documents'!B379 = "", "", IF('Additional Documents-WUO_ERR'!A379 = "", "Validated", HYPERLINK("#" &amp; ADDRESS(379, 'Additional Documents-WUO_TRK'!A379),_xlfn.TEXTAFTER('Additional Documents-WUO_ERR'!A379, ":"))))</f>
        <v>0</v>
      </c>
    </row>
    <row r="380" spans="1:1">
      <c r="A380" s="39">
        <f>IF('Additional Documents'!B380 = "", "", IF('Additional Documents-WUO_ERR'!A380 = "", "Validated", HYPERLINK("#" &amp; ADDRESS(380, 'Additional Documents-WUO_TRK'!A380),_xlfn.TEXTAFTER('Additional Documents-WUO_ERR'!A380, ":"))))</f>
        <v>0</v>
      </c>
    </row>
    <row r="381" spans="1:1">
      <c r="A381" s="39">
        <f>IF('Additional Documents'!B381 = "", "", IF('Additional Documents-WUO_ERR'!A381 = "", "Validated", HYPERLINK("#" &amp; ADDRESS(381, 'Additional Documents-WUO_TRK'!A381),_xlfn.TEXTAFTER('Additional Documents-WUO_ERR'!A381, ":"))))</f>
        <v>0</v>
      </c>
    </row>
    <row r="382" spans="1:1">
      <c r="A382" s="39">
        <f>IF('Additional Documents'!B382 = "", "", IF('Additional Documents-WUO_ERR'!A382 = "", "Validated", HYPERLINK("#" &amp; ADDRESS(382, 'Additional Documents-WUO_TRK'!A382),_xlfn.TEXTAFTER('Additional Documents-WUO_ERR'!A382, ":"))))</f>
        <v>0</v>
      </c>
    </row>
    <row r="383" spans="1:1">
      <c r="A383" s="39">
        <f>IF('Additional Documents'!B383 = "", "", IF('Additional Documents-WUO_ERR'!A383 = "", "Validated", HYPERLINK("#" &amp; ADDRESS(383, 'Additional Documents-WUO_TRK'!A383),_xlfn.TEXTAFTER('Additional Documents-WUO_ERR'!A383, ":"))))</f>
        <v>0</v>
      </c>
    </row>
    <row r="384" spans="1:1">
      <c r="A384" s="39">
        <f>IF('Additional Documents'!B384 = "", "", IF('Additional Documents-WUO_ERR'!A384 = "", "Validated", HYPERLINK("#" &amp; ADDRESS(384, 'Additional Documents-WUO_TRK'!A384),_xlfn.TEXTAFTER('Additional Documents-WUO_ERR'!A384, ":"))))</f>
        <v>0</v>
      </c>
    </row>
    <row r="385" spans="1:1">
      <c r="A385" s="39">
        <f>IF('Additional Documents'!B385 = "", "", IF('Additional Documents-WUO_ERR'!A385 = "", "Validated", HYPERLINK("#" &amp; ADDRESS(385, 'Additional Documents-WUO_TRK'!A385),_xlfn.TEXTAFTER('Additional Documents-WUO_ERR'!A385, ":"))))</f>
        <v>0</v>
      </c>
    </row>
    <row r="386" spans="1:1">
      <c r="A386" s="39">
        <f>IF('Additional Documents'!B386 = "", "", IF('Additional Documents-WUO_ERR'!A386 = "", "Validated", HYPERLINK("#" &amp; ADDRESS(386, 'Additional Documents-WUO_TRK'!A386),_xlfn.TEXTAFTER('Additional Documents-WUO_ERR'!A386, ":"))))</f>
        <v>0</v>
      </c>
    </row>
    <row r="387" spans="1:1">
      <c r="A387" s="39">
        <f>IF('Additional Documents'!B387 = "", "", IF('Additional Documents-WUO_ERR'!A387 = "", "Validated", HYPERLINK("#" &amp; ADDRESS(387, 'Additional Documents-WUO_TRK'!A387),_xlfn.TEXTAFTER('Additional Documents-WUO_ERR'!A387, ":"))))</f>
        <v>0</v>
      </c>
    </row>
    <row r="388" spans="1:1">
      <c r="A388" s="39">
        <f>IF('Additional Documents'!B388 = "", "", IF('Additional Documents-WUO_ERR'!A388 = "", "Validated", HYPERLINK("#" &amp; ADDRESS(388, 'Additional Documents-WUO_TRK'!A388),_xlfn.TEXTAFTER('Additional Documents-WUO_ERR'!A388, ":"))))</f>
        <v>0</v>
      </c>
    </row>
    <row r="389" spans="1:1">
      <c r="A389" s="39">
        <f>IF('Additional Documents'!B389 = "", "", IF('Additional Documents-WUO_ERR'!A389 = "", "Validated", HYPERLINK("#" &amp; ADDRESS(389, 'Additional Documents-WUO_TRK'!A389),_xlfn.TEXTAFTER('Additional Documents-WUO_ERR'!A389, ":"))))</f>
        <v>0</v>
      </c>
    </row>
    <row r="390" spans="1:1">
      <c r="A390" s="39">
        <f>IF('Additional Documents'!B390 = "", "", IF('Additional Documents-WUO_ERR'!A390 = "", "Validated", HYPERLINK("#" &amp; ADDRESS(390, 'Additional Documents-WUO_TRK'!A390),_xlfn.TEXTAFTER('Additional Documents-WUO_ERR'!A390, ":"))))</f>
        <v>0</v>
      </c>
    </row>
    <row r="391" spans="1:1">
      <c r="A391" s="39">
        <f>IF('Additional Documents'!B391 = "", "", IF('Additional Documents-WUO_ERR'!A391 = "", "Validated", HYPERLINK("#" &amp; ADDRESS(391, 'Additional Documents-WUO_TRK'!A391),_xlfn.TEXTAFTER('Additional Documents-WUO_ERR'!A391, ":"))))</f>
        <v>0</v>
      </c>
    </row>
    <row r="392" spans="1:1">
      <c r="A392" s="39">
        <f>IF('Additional Documents'!B392 = "", "", IF('Additional Documents-WUO_ERR'!A392 = "", "Validated", HYPERLINK("#" &amp; ADDRESS(392, 'Additional Documents-WUO_TRK'!A392),_xlfn.TEXTAFTER('Additional Documents-WUO_ERR'!A392, ":"))))</f>
        <v>0</v>
      </c>
    </row>
    <row r="393" spans="1:1">
      <c r="A393" s="39">
        <f>IF('Additional Documents'!B393 = "", "", IF('Additional Documents-WUO_ERR'!A393 = "", "Validated", HYPERLINK("#" &amp; ADDRESS(393, 'Additional Documents-WUO_TRK'!A393),_xlfn.TEXTAFTER('Additional Documents-WUO_ERR'!A393, ":"))))</f>
        <v>0</v>
      </c>
    </row>
    <row r="394" spans="1:1">
      <c r="A394" s="39">
        <f>IF('Additional Documents'!B394 = "", "", IF('Additional Documents-WUO_ERR'!A394 = "", "Validated", HYPERLINK("#" &amp; ADDRESS(394, 'Additional Documents-WUO_TRK'!A394),_xlfn.TEXTAFTER('Additional Documents-WUO_ERR'!A394, ":"))))</f>
        <v>0</v>
      </c>
    </row>
    <row r="395" spans="1:1">
      <c r="A395" s="39">
        <f>IF('Additional Documents'!B395 = "", "", IF('Additional Documents-WUO_ERR'!A395 = "", "Validated", HYPERLINK("#" &amp; ADDRESS(395, 'Additional Documents-WUO_TRK'!A395),_xlfn.TEXTAFTER('Additional Documents-WUO_ERR'!A395, ":"))))</f>
        <v>0</v>
      </c>
    </row>
    <row r="396" spans="1:1">
      <c r="A396" s="39">
        <f>IF('Additional Documents'!B396 = "", "", IF('Additional Documents-WUO_ERR'!A396 = "", "Validated", HYPERLINK("#" &amp; ADDRESS(396, 'Additional Documents-WUO_TRK'!A396),_xlfn.TEXTAFTER('Additional Documents-WUO_ERR'!A396, ":"))))</f>
        <v>0</v>
      </c>
    </row>
    <row r="397" spans="1:1">
      <c r="A397" s="39">
        <f>IF('Additional Documents'!B397 = "", "", IF('Additional Documents-WUO_ERR'!A397 = "", "Validated", HYPERLINK("#" &amp; ADDRESS(397, 'Additional Documents-WUO_TRK'!A397),_xlfn.TEXTAFTER('Additional Documents-WUO_ERR'!A397, ":"))))</f>
        <v>0</v>
      </c>
    </row>
    <row r="398" spans="1:1">
      <c r="A398" s="39">
        <f>IF('Additional Documents'!B398 = "", "", IF('Additional Documents-WUO_ERR'!A398 = "", "Validated", HYPERLINK("#" &amp; ADDRESS(398, 'Additional Documents-WUO_TRK'!A398),_xlfn.TEXTAFTER('Additional Documents-WUO_ERR'!A398, ":"))))</f>
        <v>0</v>
      </c>
    </row>
    <row r="399" spans="1:1">
      <c r="A399" s="39">
        <f>IF('Additional Documents'!B399 = "", "", IF('Additional Documents-WUO_ERR'!A399 = "", "Validated", HYPERLINK("#" &amp; ADDRESS(399, 'Additional Documents-WUO_TRK'!A399),_xlfn.TEXTAFTER('Additional Documents-WUO_ERR'!A399, ":"))))</f>
        <v>0</v>
      </c>
    </row>
    <row r="400" spans="1:1">
      <c r="A400" s="39">
        <f>IF('Additional Documents'!B400 = "", "", IF('Additional Documents-WUO_ERR'!A400 = "", "Validated", HYPERLINK("#" &amp; ADDRESS(400, 'Additional Documents-WUO_TRK'!A400),_xlfn.TEXTAFTER('Additional Documents-WUO_ERR'!A400, ":"))))</f>
        <v>0</v>
      </c>
    </row>
    <row r="401" spans="1:1">
      <c r="A401" s="39">
        <f>IF('Additional Documents'!B401 = "", "", IF('Additional Documents-WUO_ERR'!A401 = "", "Validated", HYPERLINK("#" &amp; ADDRESS(401, 'Additional Documents-WUO_TRK'!A401),_xlfn.TEXTAFTER('Additional Documents-WUO_ERR'!A401, ":"))))</f>
        <v>0</v>
      </c>
    </row>
    <row r="402" spans="1:1">
      <c r="A402" s="39">
        <f>IF('Additional Documents'!B402 = "", "", IF('Additional Documents-WUO_ERR'!A402 = "", "Validated", HYPERLINK("#" &amp; ADDRESS(402, 'Additional Documents-WUO_TRK'!A402),_xlfn.TEXTAFTER('Additional Documents-WUO_ERR'!A402, ":"))))</f>
        <v>0</v>
      </c>
    </row>
    <row r="403" spans="1:1">
      <c r="A403" s="39">
        <f>IF('Additional Documents'!B403 = "", "", IF('Additional Documents-WUO_ERR'!A403 = "", "Validated", HYPERLINK("#" &amp; ADDRESS(403, 'Additional Documents-WUO_TRK'!A403),_xlfn.TEXTAFTER('Additional Documents-WUO_ERR'!A403, ":"))))</f>
        <v>0</v>
      </c>
    </row>
    <row r="404" spans="1:1">
      <c r="A404" s="39">
        <f>IF('Additional Documents'!B404 = "", "", IF('Additional Documents-WUO_ERR'!A404 = "", "Validated", HYPERLINK("#" &amp; ADDRESS(404, 'Additional Documents-WUO_TRK'!A404),_xlfn.TEXTAFTER('Additional Documents-WUO_ERR'!A404, ":"))))</f>
        <v>0</v>
      </c>
    </row>
    <row r="405" spans="1:1">
      <c r="A405" s="39">
        <f>IF('Additional Documents'!B405 = "", "", IF('Additional Documents-WUO_ERR'!A405 = "", "Validated", HYPERLINK("#" &amp; ADDRESS(405, 'Additional Documents-WUO_TRK'!A405),_xlfn.TEXTAFTER('Additional Documents-WUO_ERR'!A405, ":"))))</f>
        <v>0</v>
      </c>
    </row>
    <row r="406" spans="1:1">
      <c r="A406" s="39">
        <f>IF('Additional Documents'!B406 = "", "", IF('Additional Documents-WUO_ERR'!A406 = "", "Validated", HYPERLINK("#" &amp; ADDRESS(406, 'Additional Documents-WUO_TRK'!A406),_xlfn.TEXTAFTER('Additional Documents-WUO_ERR'!A406, ":"))))</f>
        <v>0</v>
      </c>
    </row>
    <row r="407" spans="1:1">
      <c r="A407" s="39">
        <f>IF('Additional Documents'!B407 = "", "", IF('Additional Documents-WUO_ERR'!A407 = "", "Validated", HYPERLINK("#" &amp; ADDRESS(407, 'Additional Documents-WUO_TRK'!A407),_xlfn.TEXTAFTER('Additional Documents-WUO_ERR'!A407, ":"))))</f>
        <v>0</v>
      </c>
    </row>
    <row r="408" spans="1:1">
      <c r="A408" s="39">
        <f>IF('Additional Documents'!B408 = "", "", IF('Additional Documents-WUO_ERR'!A408 = "", "Validated", HYPERLINK("#" &amp; ADDRESS(408, 'Additional Documents-WUO_TRK'!A408),_xlfn.TEXTAFTER('Additional Documents-WUO_ERR'!A408, ":"))))</f>
        <v>0</v>
      </c>
    </row>
    <row r="409" spans="1:1">
      <c r="A409" s="39">
        <f>IF('Additional Documents'!B409 = "", "", IF('Additional Documents-WUO_ERR'!A409 = "", "Validated", HYPERLINK("#" &amp; ADDRESS(409, 'Additional Documents-WUO_TRK'!A409),_xlfn.TEXTAFTER('Additional Documents-WUO_ERR'!A409, ":"))))</f>
        <v>0</v>
      </c>
    </row>
    <row r="410" spans="1:1">
      <c r="A410" s="39">
        <f>IF('Additional Documents'!B410 = "", "", IF('Additional Documents-WUO_ERR'!A410 = "", "Validated", HYPERLINK("#" &amp; ADDRESS(410, 'Additional Documents-WUO_TRK'!A410),_xlfn.TEXTAFTER('Additional Documents-WUO_ERR'!A410, ":"))))</f>
        <v>0</v>
      </c>
    </row>
    <row r="411" spans="1:1">
      <c r="A411" s="39">
        <f>IF('Additional Documents'!B411 = "", "", IF('Additional Documents-WUO_ERR'!A411 = "", "Validated", HYPERLINK("#" &amp; ADDRESS(411, 'Additional Documents-WUO_TRK'!A411),_xlfn.TEXTAFTER('Additional Documents-WUO_ERR'!A411, ":"))))</f>
        <v>0</v>
      </c>
    </row>
    <row r="412" spans="1:1">
      <c r="A412" s="39">
        <f>IF('Additional Documents'!B412 = "", "", IF('Additional Documents-WUO_ERR'!A412 = "", "Validated", HYPERLINK("#" &amp; ADDRESS(412, 'Additional Documents-WUO_TRK'!A412),_xlfn.TEXTAFTER('Additional Documents-WUO_ERR'!A412, ":"))))</f>
        <v>0</v>
      </c>
    </row>
    <row r="413" spans="1:1">
      <c r="A413" s="39">
        <f>IF('Additional Documents'!B413 = "", "", IF('Additional Documents-WUO_ERR'!A413 = "", "Validated", HYPERLINK("#" &amp; ADDRESS(413, 'Additional Documents-WUO_TRK'!A413),_xlfn.TEXTAFTER('Additional Documents-WUO_ERR'!A413, ":"))))</f>
        <v>0</v>
      </c>
    </row>
    <row r="414" spans="1:1">
      <c r="A414" s="39">
        <f>IF('Additional Documents'!B414 = "", "", IF('Additional Documents-WUO_ERR'!A414 = "", "Validated", HYPERLINK("#" &amp; ADDRESS(414, 'Additional Documents-WUO_TRK'!A414),_xlfn.TEXTAFTER('Additional Documents-WUO_ERR'!A414, ":"))))</f>
        <v>0</v>
      </c>
    </row>
    <row r="415" spans="1:1">
      <c r="A415" s="39">
        <f>IF('Additional Documents'!B415 = "", "", IF('Additional Documents-WUO_ERR'!A415 = "", "Validated", HYPERLINK("#" &amp; ADDRESS(415, 'Additional Documents-WUO_TRK'!A415),_xlfn.TEXTAFTER('Additional Documents-WUO_ERR'!A415, ":"))))</f>
        <v>0</v>
      </c>
    </row>
    <row r="416" spans="1:1">
      <c r="A416" s="39">
        <f>IF('Additional Documents'!B416 = "", "", IF('Additional Documents-WUO_ERR'!A416 = "", "Validated", HYPERLINK("#" &amp; ADDRESS(416, 'Additional Documents-WUO_TRK'!A416),_xlfn.TEXTAFTER('Additional Documents-WUO_ERR'!A416, ":"))))</f>
        <v>0</v>
      </c>
    </row>
    <row r="417" spans="1:1">
      <c r="A417" s="39">
        <f>IF('Additional Documents'!B417 = "", "", IF('Additional Documents-WUO_ERR'!A417 = "", "Validated", HYPERLINK("#" &amp; ADDRESS(417, 'Additional Documents-WUO_TRK'!A417),_xlfn.TEXTAFTER('Additional Documents-WUO_ERR'!A417, ":"))))</f>
        <v>0</v>
      </c>
    </row>
    <row r="418" spans="1:1">
      <c r="A418" s="39">
        <f>IF('Additional Documents'!B418 = "", "", IF('Additional Documents-WUO_ERR'!A418 = "", "Validated", HYPERLINK("#" &amp; ADDRESS(418, 'Additional Documents-WUO_TRK'!A418),_xlfn.TEXTAFTER('Additional Documents-WUO_ERR'!A418, ":"))))</f>
        <v>0</v>
      </c>
    </row>
    <row r="419" spans="1:1">
      <c r="A419" s="39">
        <f>IF('Additional Documents'!B419 = "", "", IF('Additional Documents-WUO_ERR'!A419 = "", "Validated", HYPERLINK("#" &amp; ADDRESS(419, 'Additional Documents-WUO_TRK'!A419),_xlfn.TEXTAFTER('Additional Documents-WUO_ERR'!A419, ":"))))</f>
        <v>0</v>
      </c>
    </row>
    <row r="420" spans="1:1">
      <c r="A420" s="39">
        <f>IF('Additional Documents'!B420 = "", "", IF('Additional Documents-WUO_ERR'!A420 = "", "Validated", HYPERLINK("#" &amp; ADDRESS(420, 'Additional Documents-WUO_TRK'!A420),_xlfn.TEXTAFTER('Additional Documents-WUO_ERR'!A420, ":"))))</f>
        <v>0</v>
      </c>
    </row>
    <row r="421" spans="1:1">
      <c r="A421" s="39">
        <f>IF('Additional Documents'!B421 = "", "", IF('Additional Documents-WUO_ERR'!A421 = "", "Validated", HYPERLINK("#" &amp; ADDRESS(421, 'Additional Documents-WUO_TRK'!A421),_xlfn.TEXTAFTER('Additional Documents-WUO_ERR'!A421, ":"))))</f>
        <v>0</v>
      </c>
    </row>
    <row r="422" spans="1:1">
      <c r="A422" s="39">
        <f>IF('Additional Documents'!B422 = "", "", IF('Additional Documents-WUO_ERR'!A422 = "", "Validated", HYPERLINK("#" &amp; ADDRESS(422, 'Additional Documents-WUO_TRK'!A422),_xlfn.TEXTAFTER('Additional Documents-WUO_ERR'!A422, ":"))))</f>
        <v>0</v>
      </c>
    </row>
    <row r="423" spans="1:1">
      <c r="A423" s="39">
        <f>IF('Additional Documents'!B423 = "", "", IF('Additional Documents-WUO_ERR'!A423 = "", "Validated", HYPERLINK("#" &amp; ADDRESS(423, 'Additional Documents-WUO_TRK'!A423),_xlfn.TEXTAFTER('Additional Documents-WUO_ERR'!A423, ":"))))</f>
        <v>0</v>
      </c>
    </row>
    <row r="424" spans="1:1">
      <c r="A424" s="39">
        <f>IF('Additional Documents'!B424 = "", "", IF('Additional Documents-WUO_ERR'!A424 = "", "Validated", HYPERLINK("#" &amp; ADDRESS(424, 'Additional Documents-WUO_TRK'!A424),_xlfn.TEXTAFTER('Additional Documents-WUO_ERR'!A424, ":"))))</f>
        <v>0</v>
      </c>
    </row>
    <row r="425" spans="1:1">
      <c r="A425" s="39">
        <f>IF('Additional Documents'!B425 = "", "", IF('Additional Documents-WUO_ERR'!A425 = "", "Validated", HYPERLINK("#" &amp; ADDRESS(425, 'Additional Documents-WUO_TRK'!A425),_xlfn.TEXTAFTER('Additional Documents-WUO_ERR'!A425, ":"))))</f>
        <v>0</v>
      </c>
    </row>
    <row r="426" spans="1:1">
      <c r="A426" s="39">
        <f>IF('Additional Documents'!B426 = "", "", IF('Additional Documents-WUO_ERR'!A426 = "", "Validated", HYPERLINK("#" &amp; ADDRESS(426, 'Additional Documents-WUO_TRK'!A426),_xlfn.TEXTAFTER('Additional Documents-WUO_ERR'!A426, ":"))))</f>
        <v>0</v>
      </c>
    </row>
    <row r="427" spans="1:1">
      <c r="A427" s="39">
        <f>IF('Additional Documents'!B427 = "", "", IF('Additional Documents-WUO_ERR'!A427 = "", "Validated", HYPERLINK("#" &amp; ADDRESS(427, 'Additional Documents-WUO_TRK'!A427),_xlfn.TEXTAFTER('Additional Documents-WUO_ERR'!A427, ":"))))</f>
        <v>0</v>
      </c>
    </row>
    <row r="428" spans="1:1">
      <c r="A428" s="39">
        <f>IF('Additional Documents'!B428 = "", "", IF('Additional Documents-WUO_ERR'!A428 = "", "Validated", HYPERLINK("#" &amp; ADDRESS(428, 'Additional Documents-WUO_TRK'!A428),_xlfn.TEXTAFTER('Additional Documents-WUO_ERR'!A428, ":"))))</f>
        <v>0</v>
      </c>
    </row>
    <row r="429" spans="1:1">
      <c r="A429" s="39">
        <f>IF('Additional Documents'!B429 = "", "", IF('Additional Documents-WUO_ERR'!A429 = "", "Validated", HYPERLINK("#" &amp; ADDRESS(429, 'Additional Documents-WUO_TRK'!A429),_xlfn.TEXTAFTER('Additional Documents-WUO_ERR'!A429, ":"))))</f>
        <v>0</v>
      </c>
    </row>
    <row r="430" spans="1:1">
      <c r="A430" s="39">
        <f>IF('Additional Documents'!B430 = "", "", IF('Additional Documents-WUO_ERR'!A430 = "", "Validated", HYPERLINK("#" &amp; ADDRESS(430, 'Additional Documents-WUO_TRK'!A430),_xlfn.TEXTAFTER('Additional Documents-WUO_ERR'!A430, ":"))))</f>
        <v>0</v>
      </c>
    </row>
    <row r="431" spans="1:1">
      <c r="A431" s="39">
        <f>IF('Additional Documents'!B431 = "", "", IF('Additional Documents-WUO_ERR'!A431 = "", "Validated", HYPERLINK("#" &amp; ADDRESS(431, 'Additional Documents-WUO_TRK'!A431),_xlfn.TEXTAFTER('Additional Documents-WUO_ERR'!A431, ":"))))</f>
        <v>0</v>
      </c>
    </row>
    <row r="432" spans="1:1">
      <c r="A432" s="39">
        <f>IF('Additional Documents'!B432 = "", "", IF('Additional Documents-WUO_ERR'!A432 = "", "Validated", HYPERLINK("#" &amp; ADDRESS(432, 'Additional Documents-WUO_TRK'!A432),_xlfn.TEXTAFTER('Additional Documents-WUO_ERR'!A432, ":"))))</f>
        <v>0</v>
      </c>
    </row>
    <row r="433" spans="1:1">
      <c r="A433" s="39">
        <f>IF('Additional Documents'!B433 = "", "", IF('Additional Documents-WUO_ERR'!A433 = "", "Validated", HYPERLINK("#" &amp; ADDRESS(433, 'Additional Documents-WUO_TRK'!A433),_xlfn.TEXTAFTER('Additional Documents-WUO_ERR'!A433, ":"))))</f>
        <v>0</v>
      </c>
    </row>
    <row r="434" spans="1:1">
      <c r="A434" s="39">
        <f>IF('Additional Documents'!B434 = "", "", IF('Additional Documents-WUO_ERR'!A434 = "", "Validated", HYPERLINK("#" &amp; ADDRESS(434, 'Additional Documents-WUO_TRK'!A434),_xlfn.TEXTAFTER('Additional Documents-WUO_ERR'!A434, ":"))))</f>
        <v>0</v>
      </c>
    </row>
    <row r="435" spans="1:1">
      <c r="A435" s="39">
        <f>IF('Additional Documents'!B435 = "", "", IF('Additional Documents-WUO_ERR'!A435 = "", "Validated", HYPERLINK("#" &amp; ADDRESS(435, 'Additional Documents-WUO_TRK'!A435),_xlfn.TEXTAFTER('Additional Documents-WUO_ERR'!A435, ":"))))</f>
        <v>0</v>
      </c>
    </row>
    <row r="436" spans="1:1">
      <c r="A436" s="39">
        <f>IF('Additional Documents'!B436 = "", "", IF('Additional Documents-WUO_ERR'!A436 = "", "Validated", HYPERLINK("#" &amp; ADDRESS(436, 'Additional Documents-WUO_TRK'!A436),_xlfn.TEXTAFTER('Additional Documents-WUO_ERR'!A436, ":"))))</f>
        <v>0</v>
      </c>
    </row>
    <row r="437" spans="1:1">
      <c r="A437" s="39">
        <f>IF('Additional Documents'!B437 = "", "", IF('Additional Documents-WUO_ERR'!A437 = "", "Validated", HYPERLINK("#" &amp; ADDRESS(437, 'Additional Documents-WUO_TRK'!A437),_xlfn.TEXTAFTER('Additional Documents-WUO_ERR'!A437, ":"))))</f>
        <v>0</v>
      </c>
    </row>
    <row r="438" spans="1:1">
      <c r="A438" s="39">
        <f>IF('Additional Documents'!B438 = "", "", IF('Additional Documents-WUO_ERR'!A438 = "", "Validated", HYPERLINK("#" &amp; ADDRESS(438, 'Additional Documents-WUO_TRK'!A438),_xlfn.TEXTAFTER('Additional Documents-WUO_ERR'!A438, ":"))))</f>
        <v>0</v>
      </c>
    </row>
    <row r="439" spans="1:1">
      <c r="A439" s="39">
        <f>IF('Additional Documents'!B439 = "", "", IF('Additional Documents-WUO_ERR'!A439 = "", "Validated", HYPERLINK("#" &amp; ADDRESS(439, 'Additional Documents-WUO_TRK'!A439),_xlfn.TEXTAFTER('Additional Documents-WUO_ERR'!A439, ":"))))</f>
        <v>0</v>
      </c>
    </row>
    <row r="440" spans="1:1">
      <c r="A440" s="39">
        <f>IF('Additional Documents'!B440 = "", "", IF('Additional Documents-WUO_ERR'!A440 = "", "Validated", HYPERLINK("#" &amp; ADDRESS(440, 'Additional Documents-WUO_TRK'!A440),_xlfn.TEXTAFTER('Additional Documents-WUO_ERR'!A440, ":"))))</f>
        <v>0</v>
      </c>
    </row>
    <row r="441" spans="1:1">
      <c r="A441" s="39">
        <f>IF('Additional Documents'!B441 = "", "", IF('Additional Documents-WUO_ERR'!A441 = "", "Validated", HYPERLINK("#" &amp; ADDRESS(441, 'Additional Documents-WUO_TRK'!A441),_xlfn.TEXTAFTER('Additional Documents-WUO_ERR'!A441, ":"))))</f>
        <v>0</v>
      </c>
    </row>
    <row r="442" spans="1:1">
      <c r="A442" s="39">
        <f>IF('Additional Documents'!B442 = "", "", IF('Additional Documents-WUO_ERR'!A442 = "", "Validated", HYPERLINK("#" &amp; ADDRESS(442, 'Additional Documents-WUO_TRK'!A442),_xlfn.TEXTAFTER('Additional Documents-WUO_ERR'!A442, ":"))))</f>
        <v>0</v>
      </c>
    </row>
    <row r="443" spans="1:1">
      <c r="A443" s="39">
        <f>IF('Additional Documents'!B443 = "", "", IF('Additional Documents-WUO_ERR'!A443 = "", "Validated", HYPERLINK("#" &amp; ADDRESS(443, 'Additional Documents-WUO_TRK'!A443),_xlfn.TEXTAFTER('Additional Documents-WUO_ERR'!A443, ":"))))</f>
        <v>0</v>
      </c>
    </row>
    <row r="444" spans="1:1">
      <c r="A444" s="39">
        <f>IF('Additional Documents'!B444 = "", "", IF('Additional Documents-WUO_ERR'!A444 = "", "Validated", HYPERLINK("#" &amp; ADDRESS(444, 'Additional Documents-WUO_TRK'!A444),_xlfn.TEXTAFTER('Additional Documents-WUO_ERR'!A444, ":"))))</f>
        <v>0</v>
      </c>
    </row>
    <row r="445" spans="1:1">
      <c r="A445" s="39">
        <f>IF('Additional Documents'!B445 = "", "", IF('Additional Documents-WUO_ERR'!A445 = "", "Validated", HYPERLINK("#" &amp; ADDRESS(445, 'Additional Documents-WUO_TRK'!A445),_xlfn.TEXTAFTER('Additional Documents-WUO_ERR'!A445, ":"))))</f>
        <v>0</v>
      </c>
    </row>
    <row r="446" spans="1:1">
      <c r="A446" s="39">
        <f>IF('Additional Documents'!B446 = "", "", IF('Additional Documents-WUO_ERR'!A446 = "", "Validated", HYPERLINK("#" &amp; ADDRESS(446, 'Additional Documents-WUO_TRK'!A446),_xlfn.TEXTAFTER('Additional Documents-WUO_ERR'!A446, ":"))))</f>
        <v>0</v>
      </c>
    </row>
    <row r="447" spans="1:1">
      <c r="A447" s="39">
        <f>IF('Additional Documents'!B447 = "", "", IF('Additional Documents-WUO_ERR'!A447 = "", "Validated", HYPERLINK("#" &amp; ADDRESS(447, 'Additional Documents-WUO_TRK'!A447),_xlfn.TEXTAFTER('Additional Documents-WUO_ERR'!A447, ":"))))</f>
        <v>0</v>
      </c>
    </row>
    <row r="448" spans="1:1">
      <c r="A448" s="39">
        <f>IF('Additional Documents'!B448 = "", "", IF('Additional Documents-WUO_ERR'!A448 = "", "Validated", HYPERLINK("#" &amp; ADDRESS(448, 'Additional Documents-WUO_TRK'!A448),_xlfn.TEXTAFTER('Additional Documents-WUO_ERR'!A448, ":"))))</f>
        <v>0</v>
      </c>
    </row>
    <row r="449" spans="1:1">
      <c r="A449" s="39">
        <f>IF('Additional Documents'!B449 = "", "", IF('Additional Documents-WUO_ERR'!A449 = "", "Validated", HYPERLINK("#" &amp; ADDRESS(449, 'Additional Documents-WUO_TRK'!A449),_xlfn.TEXTAFTER('Additional Documents-WUO_ERR'!A449, ":"))))</f>
        <v>0</v>
      </c>
    </row>
    <row r="450" spans="1:1">
      <c r="A450" s="39">
        <f>IF('Additional Documents'!B450 = "", "", IF('Additional Documents-WUO_ERR'!A450 = "", "Validated", HYPERLINK("#" &amp; ADDRESS(450, 'Additional Documents-WUO_TRK'!A450),_xlfn.TEXTAFTER('Additional Documents-WUO_ERR'!A450, ":"))))</f>
        <v>0</v>
      </c>
    </row>
    <row r="451" spans="1:1">
      <c r="A451" s="39">
        <f>IF('Additional Documents'!B451 = "", "", IF('Additional Documents-WUO_ERR'!A451 = "", "Validated", HYPERLINK("#" &amp; ADDRESS(451, 'Additional Documents-WUO_TRK'!A451),_xlfn.TEXTAFTER('Additional Documents-WUO_ERR'!A451, ":"))))</f>
        <v>0</v>
      </c>
    </row>
    <row r="452" spans="1:1">
      <c r="A452" s="39">
        <f>IF('Additional Documents'!B452 = "", "", IF('Additional Documents-WUO_ERR'!A452 = "", "Validated", HYPERLINK("#" &amp; ADDRESS(452, 'Additional Documents-WUO_TRK'!A452),_xlfn.TEXTAFTER('Additional Documents-WUO_ERR'!A452, ":"))))</f>
        <v>0</v>
      </c>
    </row>
    <row r="453" spans="1:1">
      <c r="A453" s="39">
        <f>IF('Additional Documents'!B453 = "", "", IF('Additional Documents-WUO_ERR'!A453 = "", "Validated", HYPERLINK("#" &amp; ADDRESS(453, 'Additional Documents-WUO_TRK'!A453),_xlfn.TEXTAFTER('Additional Documents-WUO_ERR'!A453, ":"))))</f>
        <v>0</v>
      </c>
    </row>
    <row r="454" spans="1:1">
      <c r="A454" s="39">
        <f>IF('Additional Documents'!B454 = "", "", IF('Additional Documents-WUO_ERR'!A454 = "", "Validated", HYPERLINK("#" &amp; ADDRESS(454, 'Additional Documents-WUO_TRK'!A454),_xlfn.TEXTAFTER('Additional Documents-WUO_ERR'!A454, ":"))))</f>
        <v>0</v>
      </c>
    </row>
    <row r="455" spans="1:1">
      <c r="A455" s="39">
        <f>IF('Additional Documents'!B455 = "", "", IF('Additional Documents-WUO_ERR'!A455 = "", "Validated", HYPERLINK("#" &amp; ADDRESS(455, 'Additional Documents-WUO_TRK'!A455),_xlfn.TEXTAFTER('Additional Documents-WUO_ERR'!A455, ":"))))</f>
        <v>0</v>
      </c>
    </row>
    <row r="456" spans="1:1">
      <c r="A456" s="39">
        <f>IF('Additional Documents'!B456 = "", "", IF('Additional Documents-WUO_ERR'!A456 = "", "Validated", HYPERLINK("#" &amp; ADDRESS(456, 'Additional Documents-WUO_TRK'!A456),_xlfn.TEXTAFTER('Additional Documents-WUO_ERR'!A456, ":"))))</f>
        <v>0</v>
      </c>
    </row>
    <row r="457" spans="1:1">
      <c r="A457" s="39">
        <f>IF('Additional Documents'!B457 = "", "", IF('Additional Documents-WUO_ERR'!A457 = "", "Validated", HYPERLINK("#" &amp; ADDRESS(457, 'Additional Documents-WUO_TRK'!A457),_xlfn.TEXTAFTER('Additional Documents-WUO_ERR'!A457, ":"))))</f>
        <v>0</v>
      </c>
    </row>
    <row r="458" spans="1:1">
      <c r="A458" s="39">
        <f>IF('Additional Documents'!B458 = "", "", IF('Additional Documents-WUO_ERR'!A458 = "", "Validated", HYPERLINK("#" &amp; ADDRESS(458, 'Additional Documents-WUO_TRK'!A458),_xlfn.TEXTAFTER('Additional Documents-WUO_ERR'!A458, ":"))))</f>
        <v>0</v>
      </c>
    </row>
    <row r="459" spans="1:1">
      <c r="A459" s="39">
        <f>IF('Additional Documents'!B459 = "", "", IF('Additional Documents-WUO_ERR'!A459 = "", "Validated", HYPERLINK("#" &amp; ADDRESS(459, 'Additional Documents-WUO_TRK'!A459),_xlfn.TEXTAFTER('Additional Documents-WUO_ERR'!A459, ":"))))</f>
        <v>0</v>
      </c>
    </row>
    <row r="460" spans="1:1">
      <c r="A460" s="39">
        <f>IF('Additional Documents'!B460 = "", "", IF('Additional Documents-WUO_ERR'!A460 = "", "Validated", HYPERLINK("#" &amp; ADDRESS(460, 'Additional Documents-WUO_TRK'!A460),_xlfn.TEXTAFTER('Additional Documents-WUO_ERR'!A460, ":"))))</f>
        <v>0</v>
      </c>
    </row>
    <row r="461" spans="1:1">
      <c r="A461" s="39">
        <f>IF('Additional Documents'!B461 = "", "", IF('Additional Documents-WUO_ERR'!A461 = "", "Validated", HYPERLINK("#" &amp; ADDRESS(461, 'Additional Documents-WUO_TRK'!A461),_xlfn.TEXTAFTER('Additional Documents-WUO_ERR'!A461, ":"))))</f>
        <v>0</v>
      </c>
    </row>
    <row r="462" spans="1:1">
      <c r="A462" s="39">
        <f>IF('Additional Documents'!B462 = "", "", IF('Additional Documents-WUO_ERR'!A462 = "", "Validated", HYPERLINK("#" &amp; ADDRESS(462, 'Additional Documents-WUO_TRK'!A462),_xlfn.TEXTAFTER('Additional Documents-WUO_ERR'!A462, ":"))))</f>
        <v>0</v>
      </c>
    </row>
    <row r="463" spans="1:1">
      <c r="A463" s="39">
        <f>IF('Additional Documents'!B463 = "", "", IF('Additional Documents-WUO_ERR'!A463 = "", "Validated", HYPERLINK("#" &amp; ADDRESS(463, 'Additional Documents-WUO_TRK'!A463),_xlfn.TEXTAFTER('Additional Documents-WUO_ERR'!A463, ":"))))</f>
        <v>0</v>
      </c>
    </row>
    <row r="464" spans="1:1">
      <c r="A464" s="39">
        <f>IF('Additional Documents'!B464 = "", "", IF('Additional Documents-WUO_ERR'!A464 = "", "Validated", HYPERLINK("#" &amp; ADDRESS(464, 'Additional Documents-WUO_TRK'!A464),_xlfn.TEXTAFTER('Additional Documents-WUO_ERR'!A464, ":"))))</f>
        <v>0</v>
      </c>
    </row>
    <row r="465" spans="1:1">
      <c r="A465" s="39">
        <f>IF('Additional Documents'!B465 = "", "", IF('Additional Documents-WUO_ERR'!A465 = "", "Validated", HYPERLINK("#" &amp; ADDRESS(465, 'Additional Documents-WUO_TRK'!A465),_xlfn.TEXTAFTER('Additional Documents-WUO_ERR'!A465, ":"))))</f>
        <v>0</v>
      </c>
    </row>
    <row r="466" spans="1:1">
      <c r="A466" s="39">
        <f>IF('Additional Documents'!B466 = "", "", IF('Additional Documents-WUO_ERR'!A466 = "", "Validated", HYPERLINK("#" &amp; ADDRESS(466, 'Additional Documents-WUO_TRK'!A466),_xlfn.TEXTAFTER('Additional Documents-WUO_ERR'!A466, ":"))))</f>
        <v>0</v>
      </c>
    </row>
    <row r="467" spans="1:1">
      <c r="A467" s="39">
        <f>IF('Additional Documents'!B467 = "", "", IF('Additional Documents-WUO_ERR'!A467 = "", "Validated", HYPERLINK("#" &amp; ADDRESS(467, 'Additional Documents-WUO_TRK'!A467),_xlfn.TEXTAFTER('Additional Documents-WUO_ERR'!A467, ":"))))</f>
        <v>0</v>
      </c>
    </row>
    <row r="468" spans="1:1">
      <c r="A468" s="39">
        <f>IF('Additional Documents'!B468 = "", "", IF('Additional Documents-WUO_ERR'!A468 = "", "Validated", HYPERLINK("#" &amp; ADDRESS(468, 'Additional Documents-WUO_TRK'!A468),_xlfn.TEXTAFTER('Additional Documents-WUO_ERR'!A468, ":"))))</f>
        <v>0</v>
      </c>
    </row>
    <row r="469" spans="1:1">
      <c r="A469" s="39">
        <f>IF('Additional Documents'!B469 = "", "", IF('Additional Documents-WUO_ERR'!A469 = "", "Validated", HYPERLINK("#" &amp; ADDRESS(469, 'Additional Documents-WUO_TRK'!A469),_xlfn.TEXTAFTER('Additional Documents-WUO_ERR'!A469, ":"))))</f>
        <v>0</v>
      </c>
    </row>
    <row r="470" spans="1:1">
      <c r="A470" s="39">
        <f>IF('Additional Documents'!B470 = "", "", IF('Additional Documents-WUO_ERR'!A470 = "", "Validated", HYPERLINK("#" &amp; ADDRESS(470, 'Additional Documents-WUO_TRK'!A470),_xlfn.TEXTAFTER('Additional Documents-WUO_ERR'!A470, ":"))))</f>
        <v>0</v>
      </c>
    </row>
    <row r="471" spans="1:1">
      <c r="A471" s="39">
        <f>IF('Additional Documents'!B471 = "", "", IF('Additional Documents-WUO_ERR'!A471 = "", "Validated", HYPERLINK("#" &amp; ADDRESS(471, 'Additional Documents-WUO_TRK'!A471),_xlfn.TEXTAFTER('Additional Documents-WUO_ERR'!A471, ":"))))</f>
        <v>0</v>
      </c>
    </row>
    <row r="472" spans="1:1">
      <c r="A472" s="39">
        <f>IF('Additional Documents'!B472 = "", "", IF('Additional Documents-WUO_ERR'!A472 = "", "Validated", HYPERLINK("#" &amp; ADDRESS(472, 'Additional Documents-WUO_TRK'!A472),_xlfn.TEXTAFTER('Additional Documents-WUO_ERR'!A472, ":"))))</f>
        <v>0</v>
      </c>
    </row>
    <row r="473" spans="1:1">
      <c r="A473" s="39">
        <f>IF('Additional Documents'!B473 = "", "", IF('Additional Documents-WUO_ERR'!A473 = "", "Validated", HYPERLINK("#" &amp; ADDRESS(473, 'Additional Documents-WUO_TRK'!A473),_xlfn.TEXTAFTER('Additional Documents-WUO_ERR'!A473, ":"))))</f>
        <v>0</v>
      </c>
    </row>
    <row r="474" spans="1:1">
      <c r="A474" s="39">
        <f>IF('Additional Documents'!B474 = "", "", IF('Additional Documents-WUO_ERR'!A474 = "", "Validated", HYPERLINK("#" &amp; ADDRESS(474, 'Additional Documents-WUO_TRK'!A474),_xlfn.TEXTAFTER('Additional Documents-WUO_ERR'!A474, ":"))))</f>
        <v>0</v>
      </c>
    </row>
    <row r="475" spans="1:1">
      <c r="A475" s="39">
        <f>IF('Additional Documents'!B475 = "", "", IF('Additional Documents-WUO_ERR'!A475 = "", "Validated", HYPERLINK("#" &amp; ADDRESS(475, 'Additional Documents-WUO_TRK'!A475),_xlfn.TEXTAFTER('Additional Documents-WUO_ERR'!A475, ":"))))</f>
        <v>0</v>
      </c>
    </row>
    <row r="476" spans="1:1">
      <c r="A476" s="39">
        <f>IF('Additional Documents'!B476 = "", "", IF('Additional Documents-WUO_ERR'!A476 = "", "Validated", HYPERLINK("#" &amp; ADDRESS(476, 'Additional Documents-WUO_TRK'!A476),_xlfn.TEXTAFTER('Additional Documents-WUO_ERR'!A476, ":"))))</f>
        <v>0</v>
      </c>
    </row>
    <row r="477" spans="1:1">
      <c r="A477" s="39">
        <f>IF('Additional Documents'!B477 = "", "", IF('Additional Documents-WUO_ERR'!A477 = "", "Validated", HYPERLINK("#" &amp; ADDRESS(477, 'Additional Documents-WUO_TRK'!A477),_xlfn.TEXTAFTER('Additional Documents-WUO_ERR'!A477, ":"))))</f>
        <v>0</v>
      </c>
    </row>
    <row r="478" spans="1:1">
      <c r="A478" s="39">
        <f>IF('Additional Documents'!B478 = "", "", IF('Additional Documents-WUO_ERR'!A478 = "", "Validated", HYPERLINK("#" &amp; ADDRESS(478, 'Additional Documents-WUO_TRK'!A478),_xlfn.TEXTAFTER('Additional Documents-WUO_ERR'!A478, ":"))))</f>
        <v>0</v>
      </c>
    </row>
    <row r="479" spans="1:1">
      <c r="A479" s="39">
        <f>IF('Additional Documents'!B479 = "", "", IF('Additional Documents-WUO_ERR'!A479 = "", "Validated", HYPERLINK("#" &amp; ADDRESS(479, 'Additional Documents-WUO_TRK'!A479),_xlfn.TEXTAFTER('Additional Documents-WUO_ERR'!A479, ":"))))</f>
        <v>0</v>
      </c>
    </row>
    <row r="480" spans="1:1">
      <c r="A480" s="39">
        <f>IF('Additional Documents'!B480 = "", "", IF('Additional Documents-WUO_ERR'!A480 = "", "Validated", HYPERLINK("#" &amp; ADDRESS(480, 'Additional Documents-WUO_TRK'!A480),_xlfn.TEXTAFTER('Additional Documents-WUO_ERR'!A480, ":"))))</f>
        <v>0</v>
      </c>
    </row>
    <row r="481" spans="1:1">
      <c r="A481" s="39">
        <f>IF('Additional Documents'!B481 = "", "", IF('Additional Documents-WUO_ERR'!A481 = "", "Validated", HYPERLINK("#" &amp; ADDRESS(481, 'Additional Documents-WUO_TRK'!A481),_xlfn.TEXTAFTER('Additional Documents-WUO_ERR'!A481, ":"))))</f>
        <v>0</v>
      </c>
    </row>
    <row r="482" spans="1:1">
      <c r="A482" s="39">
        <f>IF('Additional Documents'!B482 = "", "", IF('Additional Documents-WUO_ERR'!A482 = "", "Validated", HYPERLINK("#" &amp; ADDRESS(482, 'Additional Documents-WUO_TRK'!A482),_xlfn.TEXTAFTER('Additional Documents-WUO_ERR'!A482, ":"))))</f>
        <v>0</v>
      </c>
    </row>
    <row r="483" spans="1:1">
      <c r="A483" s="39">
        <f>IF('Additional Documents'!B483 = "", "", IF('Additional Documents-WUO_ERR'!A483 = "", "Validated", HYPERLINK("#" &amp; ADDRESS(483, 'Additional Documents-WUO_TRK'!A483),_xlfn.TEXTAFTER('Additional Documents-WUO_ERR'!A483, ":"))))</f>
        <v>0</v>
      </c>
    </row>
    <row r="484" spans="1:1">
      <c r="A484" s="39">
        <f>IF('Additional Documents'!B484 = "", "", IF('Additional Documents-WUO_ERR'!A484 = "", "Validated", HYPERLINK("#" &amp; ADDRESS(484, 'Additional Documents-WUO_TRK'!A484),_xlfn.TEXTAFTER('Additional Documents-WUO_ERR'!A484, ":"))))</f>
        <v>0</v>
      </c>
    </row>
    <row r="485" spans="1:1">
      <c r="A485" s="39">
        <f>IF('Additional Documents'!B485 = "", "", IF('Additional Documents-WUO_ERR'!A485 = "", "Validated", HYPERLINK("#" &amp; ADDRESS(485, 'Additional Documents-WUO_TRK'!A485),_xlfn.TEXTAFTER('Additional Documents-WUO_ERR'!A485, ":"))))</f>
        <v>0</v>
      </c>
    </row>
    <row r="486" spans="1:1">
      <c r="A486" s="39">
        <f>IF('Additional Documents'!B486 = "", "", IF('Additional Documents-WUO_ERR'!A486 = "", "Validated", HYPERLINK("#" &amp; ADDRESS(486, 'Additional Documents-WUO_TRK'!A486),_xlfn.TEXTAFTER('Additional Documents-WUO_ERR'!A486, ":"))))</f>
        <v>0</v>
      </c>
    </row>
    <row r="487" spans="1:1">
      <c r="A487" s="39">
        <f>IF('Additional Documents'!B487 = "", "", IF('Additional Documents-WUO_ERR'!A487 = "", "Validated", HYPERLINK("#" &amp; ADDRESS(487, 'Additional Documents-WUO_TRK'!A487),_xlfn.TEXTAFTER('Additional Documents-WUO_ERR'!A487, ":"))))</f>
        <v>0</v>
      </c>
    </row>
    <row r="488" spans="1:1">
      <c r="A488" s="39">
        <f>IF('Additional Documents'!B488 = "", "", IF('Additional Documents-WUO_ERR'!A488 = "", "Validated", HYPERLINK("#" &amp; ADDRESS(488, 'Additional Documents-WUO_TRK'!A488),_xlfn.TEXTAFTER('Additional Documents-WUO_ERR'!A488, ":"))))</f>
        <v>0</v>
      </c>
    </row>
    <row r="489" spans="1:1">
      <c r="A489" s="39">
        <f>IF('Additional Documents'!B489 = "", "", IF('Additional Documents-WUO_ERR'!A489 = "", "Validated", HYPERLINK("#" &amp; ADDRESS(489, 'Additional Documents-WUO_TRK'!A489),_xlfn.TEXTAFTER('Additional Documents-WUO_ERR'!A489, ":"))))</f>
        <v>0</v>
      </c>
    </row>
    <row r="490" spans="1:1">
      <c r="A490" s="39">
        <f>IF('Additional Documents'!B490 = "", "", IF('Additional Documents-WUO_ERR'!A490 = "", "Validated", HYPERLINK("#" &amp; ADDRESS(490, 'Additional Documents-WUO_TRK'!A490),_xlfn.TEXTAFTER('Additional Documents-WUO_ERR'!A490, ":"))))</f>
        <v>0</v>
      </c>
    </row>
    <row r="491" spans="1:1">
      <c r="A491" s="39">
        <f>IF('Additional Documents'!B491 = "", "", IF('Additional Documents-WUO_ERR'!A491 = "", "Validated", HYPERLINK("#" &amp; ADDRESS(491, 'Additional Documents-WUO_TRK'!A491),_xlfn.TEXTAFTER('Additional Documents-WUO_ERR'!A491, ":"))))</f>
        <v>0</v>
      </c>
    </row>
    <row r="492" spans="1:1">
      <c r="A492" s="39">
        <f>IF('Additional Documents'!B492 = "", "", IF('Additional Documents-WUO_ERR'!A492 = "", "Validated", HYPERLINK("#" &amp; ADDRESS(492, 'Additional Documents-WUO_TRK'!A492),_xlfn.TEXTAFTER('Additional Documents-WUO_ERR'!A492, ":"))))</f>
        <v>0</v>
      </c>
    </row>
    <row r="493" spans="1:1">
      <c r="A493" s="39">
        <f>IF('Additional Documents'!B493 = "", "", IF('Additional Documents-WUO_ERR'!A493 = "", "Validated", HYPERLINK("#" &amp; ADDRESS(493, 'Additional Documents-WUO_TRK'!A493),_xlfn.TEXTAFTER('Additional Documents-WUO_ERR'!A493, ":"))))</f>
        <v>0</v>
      </c>
    </row>
    <row r="494" spans="1:1">
      <c r="A494" s="39">
        <f>IF('Additional Documents'!B494 = "", "", IF('Additional Documents-WUO_ERR'!A494 = "", "Validated", HYPERLINK("#" &amp; ADDRESS(494, 'Additional Documents-WUO_TRK'!A494),_xlfn.TEXTAFTER('Additional Documents-WUO_ERR'!A494, ":"))))</f>
        <v>0</v>
      </c>
    </row>
    <row r="495" spans="1:1">
      <c r="A495" s="39">
        <f>IF('Additional Documents'!B495 = "", "", IF('Additional Documents-WUO_ERR'!A495 = "", "Validated", HYPERLINK("#" &amp; ADDRESS(495, 'Additional Documents-WUO_TRK'!A495),_xlfn.TEXTAFTER('Additional Documents-WUO_ERR'!A495, ":"))))</f>
        <v>0</v>
      </c>
    </row>
    <row r="496" spans="1:1">
      <c r="A496" s="39">
        <f>IF('Additional Documents'!B496 = "", "", IF('Additional Documents-WUO_ERR'!A496 = "", "Validated", HYPERLINK("#" &amp; ADDRESS(496, 'Additional Documents-WUO_TRK'!A496),_xlfn.TEXTAFTER('Additional Documents-WUO_ERR'!A496, ":"))))</f>
        <v>0</v>
      </c>
    </row>
    <row r="497" spans="1:1">
      <c r="A497" s="39">
        <f>IF('Additional Documents'!B497 = "", "", IF('Additional Documents-WUO_ERR'!A497 = "", "Validated", HYPERLINK("#" &amp; ADDRESS(497, 'Additional Documents-WUO_TRK'!A497),_xlfn.TEXTAFTER('Additional Documents-WUO_ERR'!A497, ":"))))</f>
        <v>0</v>
      </c>
    </row>
    <row r="498" spans="1:1">
      <c r="A498" s="39">
        <f>IF('Additional Documents'!B498 = "", "", IF('Additional Documents-WUO_ERR'!A498 = "", "Validated", HYPERLINK("#" &amp; ADDRESS(498, 'Additional Documents-WUO_TRK'!A498),_xlfn.TEXTAFTER('Additional Documents-WUO_ERR'!A498, ":"))))</f>
        <v>0</v>
      </c>
    </row>
    <row r="499" spans="1:1">
      <c r="A499" s="39">
        <f>IF('Additional Documents'!B499 = "", "", IF('Additional Documents-WUO_ERR'!A499 = "", "Validated", HYPERLINK("#" &amp; ADDRESS(499, 'Additional Documents-WUO_TRK'!A499),_xlfn.TEXTAFTER('Additional Documents-WUO_ERR'!A499, ":"))))</f>
        <v>0</v>
      </c>
    </row>
    <row r="500" spans="1:1">
      <c r="A500" s="39">
        <f>IF('Additional Documents'!B500 = "", "", IF('Additional Documents-WUO_ERR'!A500 = "", "Validated", HYPERLINK("#" &amp; ADDRESS(500, 'Additional Documents-WUO_TRK'!A500),_xlfn.TEXTAFTER('Additional Documents-WUO_ERR'!A500, ":"))))</f>
        <v>0</v>
      </c>
    </row>
    <row r="501" spans="1:1">
      <c r="A501" s="39">
        <f>IF('Additional Documents'!B501 = "", "", IF('Additional Documents-WUO_ERR'!A501 = "", "Validated", HYPERLINK("#" &amp; ADDRESS(501, 'Additional Documents-WUO_TRK'!A501),_xlfn.TEXTAFTER('Additional Documents-WUO_ERR'!A501, ":"))))</f>
        <v>0</v>
      </c>
    </row>
    <row r="502" spans="1:1">
      <c r="A502" s="39">
        <f>IF('Additional Documents'!B502 = "", "", IF('Additional Documents-WUO_ERR'!A502 = "", "Validated", HYPERLINK("#" &amp; ADDRESS(502, 'Additional Documents-WUO_TRK'!A502),_xlfn.TEXTAFTER('Additional Documents-WUO_ERR'!A502, ":"))))</f>
        <v>0</v>
      </c>
    </row>
    <row r="503" spans="1:1">
      <c r="A503" s="39">
        <f>IF('Additional Documents'!B503 = "", "", IF('Additional Documents-WUO_ERR'!A503 = "", "Validated", HYPERLINK("#" &amp; ADDRESS(503, 'Additional Documents-WUO_TRK'!A503),_xlfn.TEXTAFTER('Additional Documents-WUO_ERR'!A503, ":"))))</f>
        <v>0</v>
      </c>
    </row>
    <row r="504" spans="1:1">
      <c r="A504" s="39">
        <f>IF('Additional Documents'!B504 = "", "", IF('Additional Documents-WUO_ERR'!A504 = "", "Validated", HYPERLINK("#" &amp; ADDRESS(504, 'Additional Documents-WUO_TRK'!A504),_xlfn.TEXTAFTER('Additional Documents-WUO_ERR'!A504, ":"))))</f>
        <v>0</v>
      </c>
    </row>
    <row r="505" spans="1:1">
      <c r="A505" s="39">
        <f>IF('Additional Documents'!B505 = "", "", IF('Additional Documents-WUO_ERR'!A505 = "", "Validated", HYPERLINK("#" &amp; ADDRESS(505, 'Additional Documents-WUO_TRK'!A505),_xlfn.TEXTAFTER('Additional Documents-WUO_ERR'!A505, ":"))))</f>
        <v>0</v>
      </c>
    </row>
    <row r="506" spans="1:1">
      <c r="A506" s="39">
        <f>IF('Additional Documents'!B506 = "", "", IF('Additional Documents-WUO_ERR'!A506 = "", "Validated", HYPERLINK("#" &amp; ADDRESS(506, 'Additional Documents-WUO_TRK'!A506),_xlfn.TEXTAFTER('Additional Documents-WUO_ERR'!A506, ":"))))</f>
        <v>0</v>
      </c>
    </row>
    <row r="507" spans="1:1">
      <c r="A507" s="39">
        <f>IF('Additional Documents'!B507 = "", "", IF('Additional Documents-WUO_ERR'!A507 = "", "Validated", HYPERLINK("#" &amp; ADDRESS(507, 'Additional Documents-WUO_TRK'!A507),_xlfn.TEXTAFTER('Additional Documents-WUO_ERR'!A507, ":"))))</f>
        <v>0</v>
      </c>
    </row>
  </sheetData>
  <sheetProtection password="9EF4" sheet="1" objects="1" scenarios="1" formatColumns="0" formatRows="0"/>
  <protectedRanges>
    <protectedRange sqref="B7:G10000" name="Range1"/>
  </protectedRanges>
  <mergeCells count="1">
    <mergeCell ref="C2:F2"/>
  </mergeCells>
  <conditionalFormatting sqref="A7:A507">
    <cfRule type="expression" dxfId="4" priority="5">
      <formula>A7="Validated"</formula>
    </cfRule>
    <cfRule type="expression" dxfId="5" priority="6">
      <formula>OR(COUNTIF('Additional Documents-WUO_TRK'!B7:G7,"Error"),COUNTIF('Additional Documents-WUO_TRK'!B7:G7,"Required"))</formula>
    </cfRule>
    <cfRule type="expression" dxfId="6" priority="7">
      <formula>COUNTIF('Additional Documents-WUO_TRK'!B7:G7,"Warning")</formula>
    </cfRule>
  </conditionalFormatting>
  <conditionalFormatting sqref="B7:G507">
    <cfRule type="expression" dxfId="0" priority="1">
      <formula>'Additional Documents-WUO_TRK'!B7="Error"</formula>
    </cfRule>
    <cfRule type="expression" dxfId="1" priority="2">
      <formula>'Additional Documents-WUO_TRK'!B7="Required"</formula>
    </cfRule>
    <cfRule type="expression" dxfId="2" priority="3">
      <formula>'Additional Documents-WUO_TRK'!B7="Warning"</formula>
    </cfRule>
    <cfRule type="expression" dxfId="3" priority="4">
      <formula>'Additional Documents-WUO_TRK'!B7="Disabled"</formula>
    </cfRule>
  </conditionalFormatting>
  <dataValidations count="2">
    <dataValidation type="textLength" operator="lessThanOrEqual" errorStyle="warning" showInputMessage="1" showErrorMessage="1" errorTitle="Invalid Text" error="The value provided is not a valid Text." promptTitle="Document File Name or URL" prompt="Please enter Text" sqref="C7:C2500">
      <formula1>32767</formula1>
    </dataValidation>
    <dataValidation type="list" allowBlank="1" showInputMessage="1" showErrorMessage="1" errorTitle="Invalid Document Region" error="The value provided is not a valid Document Region." promptTitle="Document Region" prompt="Please select a valid Document Region" sqref="F7:F2500">
      <formula1>'WAYFAIR_USE_ONLY'!$N$7:$N11</formula1>
    </dataValidation>
  </dataValidations>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2220</v>
      </c>
      <c r="C1" s="22" t="s">
        <v>2342</v>
      </c>
      <c r="D1" s="22" t="s">
        <v>2345</v>
      </c>
      <c r="E1" s="22" t="s">
        <v>2349</v>
      </c>
      <c r="F1" s="22" t="s">
        <v>2353</v>
      </c>
    </row>
    <row r="3" spans="1:6">
      <c r="B3" s="32" t="s">
        <v>58</v>
      </c>
      <c r="C3" s="32" t="s">
        <v>64</v>
      </c>
      <c r="D3" s="32" t="s">
        <v>64</v>
      </c>
      <c r="E3" s="32" t="s">
        <v>64</v>
      </c>
      <c r="F3" s="32" t="s">
        <v>64</v>
      </c>
    </row>
    <row r="4" spans="1:6" ht="50" customHeight="1">
      <c r="B4" s="19" t="s">
        <v>2221</v>
      </c>
      <c r="C4" s="19" t="s">
        <v>2561</v>
      </c>
      <c r="D4" s="19" t="s">
        <v>2562</v>
      </c>
      <c r="E4" s="19" t="s">
        <v>2563</v>
      </c>
      <c r="F4" s="19" t="s">
        <v>2564</v>
      </c>
    </row>
    <row r="5" spans="1:6" ht="50" customHeight="1">
      <c r="B5" s="35" t="s">
        <v>2222</v>
      </c>
      <c r="C5" s="35" t="s">
        <v>2344</v>
      </c>
      <c r="D5" s="35" t="s">
        <v>2347</v>
      </c>
      <c r="E5" s="35" t="s">
        <v>2351</v>
      </c>
      <c r="F5" s="35" t="s">
        <v>2355</v>
      </c>
    </row>
    <row r="6" spans="1:6" ht="50" customHeight="1">
      <c r="B6" s="35" t="s">
        <v>67</v>
      </c>
      <c r="C6" s="35" t="s">
        <v>67</v>
      </c>
      <c r="D6" s="36" t="s">
        <v>2348</v>
      </c>
      <c r="E6" s="36" t="s">
        <v>3114</v>
      </c>
      <c r="F6" s="36" t="s">
        <v>2231</v>
      </c>
    </row>
    <row r="7" spans="1:6">
      <c r="A7" cm="1">
        <f t="array" ref="A7">_xlfn.BYROW(B7:G507,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Documents'!B7:B507, 'Additional Documents'!B7:B507,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Documents'!B7:B507, 'Additional Documents'!C7:C507, 'Additional Documents'!D7:D507, 'Additional Documents'!E7:E507, 'Additional Documents'!F7:F507, _xlfn.LAMBDA(_xlpm.part, _xlpm.val, _xlpm.dep1, _xlpm.dep2, _xlpm.dep3, IF(_xlpm.part = "", "", IF(AND(_xlpm.val = "", C$3="Required"), "3:Document File Name or URL - Value is required", ""))))</f>
        <v>0</v>
      </c>
      <c r="D7" s="22" cm="1">
        <f t="array" ref="D7">_xlfn.MAP('Additional Documents'!B7:B507, 'Additional Documents'!D7:D507, _xlfn.LAMBDA(_xlpm.part, _xlpm.val, IF(_xlpm.part = "", "", _xlfn.LET(_xlpm.check1, IF(NOT(ISBLANK(_xlpm.val)),_xlfn.LET(_xlpm.items, _xlfn.TEXTSPLIT(_xlpm.val, ";"),_xlpm.trimmed, _xlfn.MAP(_xlpm.items, _xlfn.LAMBDA(_xlpm.x, TRIM(_xlpm.x))),_xlpm.invalid, _xlfn._xlws.FILTER(_xlpm.trimmed, ISNA(MATCH(_xlpm.trimmed, allowedmedia__documentType, 0)), ""),IF(AND(_xlpm.invalid&lt;&gt;"", COUNTA(_xlpm.invalid)&gt;0),"1:Please select valid values from the provided list. Answers are case-sensitive and must be separated by a semicolon.","")), ""), IF(LEN(_xlpm.check1) &gt; 0, _xlpm.check1, IF(AND(_xlpm.val = "", D$3="Required"), "3:Document Type - Value is required", ""))))))</f>
        <v>0</v>
      </c>
      <c r="E7" s="22" cm="1">
        <f t="array" ref="E7">_xlfn.MAP('Additional Documents'!B7:B507, 'Additional Documents'!E7:E507, _xlfn.LAMBDA(_xlpm.part, _xlpm.val, IF(_xlpm.part = "", "", _xlfn.LET(_xlpm.check1, IF(NOT(ISBLANK(_xlpm.val)),_xlfn.LET(_xlpm.items, _xlfn.TEXTSPLIT(_xlpm.val, ";"),_xlpm.trimmed, _xlfn.MAP(_xlpm.items, _xlfn.LAMBDA(_xlpm.x, TRIM(_xlpm.x))),_xlpm.invalid, _xlfn._xlws.FILTER(_xlpm.trimmed, ISNA(MATCH(_xlpm.trimmed, allowedmedia__legalDocumentType, 0)), ""),IF(AND(_xlpm.invalid&lt;&gt;"", COUNTA(_xlpm.invalid)&gt;0),"1:Please select valid values from the provided list. Answers are case-sensitive and must be separated by a semicolon.","")), ""), IF(LEN(_xlpm.check1) &gt; 0, _xlpm.check1, IF(AND(_xlpm.val = "", E$3="Required"), "3:Legal Document Type - Value is required", ""))))))</f>
        <v>0</v>
      </c>
      <c r="F7" s="22" cm="1">
        <f t="array" ref="F7">_xlfn.MAP('Additional Documents'!B7:B507, 'Additional Documents'!F7:F507, _xlfn.LAMBDA(_xlpm.part, _xlpm.val, IF(_xlpm.part = "", "", IF(AND(_xlpm.val = "", F$3="Required"), "3:Document Region - Value is required", ""))))</f>
        <v>0</v>
      </c>
    </row>
  </sheetData>
  <sheetProtection password="C125"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F7"/>
  <sheetViews>
    <sheetView workbookViewId="0"/>
  </sheetViews>
  <sheetFormatPr defaultRowHeight="15"/>
  <cols>
    <col min="2" max="2" width="25.7109375" style="22" customWidth="1"/>
    <col min="3" max="3" width="30.7109375" style="22" customWidth="1"/>
    <col min="4" max="4" width="18.7109375" style="22" customWidth="1"/>
    <col min="5" max="5" width="24.7109375" style="22" customWidth="1"/>
    <col min="6" max="6" width="20.7109375" style="22" customWidth="1"/>
  </cols>
  <sheetData>
    <row r="1" spans="1:6" hidden="1">
      <c r="B1" s="22" t="s">
        <v>2220</v>
      </c>
      <c r="C1" s="22" t="s">
        <v>2342</v>
      </c>
      <c r="D1" s="22" t="s">
        <v>2345</v>
      </c>
      <c r="E1" s="22" t="s">
        <v>2349</v>
      </c>
      <c r="F1" s="22" t="s">
        <v>2353</v>
      </c>
    </row>
    <row r="3" spans="1:6">
      <c r="B3" s="32" t="s">
        <v>58</v>
      </c>
      <c r="C3" s="32" t="s">
        <v>64</v>
      </c>
      <c r="D3" s="32" t="s">
        <v>64</v>
      </c>
      <c r="E3" s="32" t="s">
        <v>64</v>
      </c>
      <c r="F3" s="32" t="s">
        <v>64</v>
      </c>
    </row>
    <row r="4" spans="1:6" ht="50" customHeight="1">
      <c r="B4" s="19" t="s">
        <v>2221</v>
      </c>
      <c r="C4" s="19" t="s">
        <v>2561</v>
      </c>
      <c r="D4" s="19" t="s">
        <v>2562</v>
      </c>
      <c r="E4" s="19" t="s">
        <v>2563</v>
      </c>
      <c r="F4" s="19" t="s">
        <v>2564</v>
      </c>
    </row>
    <row r="5" spans="1:6" ht="50" customHeight="1">
      <c r="B5" s="35" t="s">
        <v>2222</v>
      </c>
      <c r="C5" s="35" t="s">
        <v>2344</v>
      </c>
      <c r="D5" s="35" t="s">
        <v>2347</v>
      </c>
      <c r="E5" s="35" t="s">
        <v>2351</v>
      </c>
      <c r="F5" s="35" t="s">
        <v>2355</v>
      </c>
    </row>
    <row r="6" spans="1:6" ht="50" customHeight="1">
      <c r="B6" s="35" t="s">
        <v>67</v>
      </c>
      <c r="C6" s="35" t="s">
        <v>67</v>
      </c>
      <c r="D6" s="36" t="s">
        <v>2348</v>
      </c>
      <c r="E6" s="36" t="s">
        <v>3114</v>
      </c>
      <c r="F6" s="36" t="s">
        <v>2231</v>
      </c>
    </row>
    <row r="7" spans="1:6">
      <c r="A7" cm="1">
        <f t="array" ref="A7">_xlfn.BYROW(B7:G507, _xlfn.LAMBDA(_xlpm.r, _xlfn.LET(_xlpm.high_priority_idx, IFERROR(MATCH(TRUE, (_xlpm.r = "Error") + (_xlpm.r = "Required") &gt; 0, 0), 0), IF(_xlpm.high_priority_idx &gt; 0, _xlpm.high_priority_idx + 1, IFERROR(MATCH(1, (_xlpm.r = "Warning") * 1, 0) + 1, "")))))</f>
        <v>0</v>
      </c>
      <c r="B7" s="22" cm="1">
        <f t="array" ref="B7">_xlfn.MAP('Additional Documents'!B7:B507, 'Additional Documents'!B7:B507, 'Additional Documents-WUO_ERR'!B7:B507, _xlfn.LAMBDA(_xlpm.part, _xlpm.val, _xlpm.error, IF(_xlpm.part = "", "", IF(LEN(_xlpm.error), _xlfn.SWITCH(IFERROR(_xlfn.TEXTBEFORE(_xlpm.error,":"), ""), "1", "Error", "2", "Disabled", "3", "Required", "4", "Warning", "Valid"), "Valid"))))</f>
        <v>0</v>
      </c>
      <c r="C7" s="22" cm="1">
        <f t="array" ref="C7">_xlfn.MAP('Additional Documents'!B7:B507, 'Additional Documents'!C7:C507, 'Additional Documents-WUO_ERR'!C7:C507, _xlfn.LAMBDA(_xlpm.part, _xlpm.val, _xlpm.error, IF(_xlpm.part = "", "", IF(LEN(_xlpm.error), _xlfn.SWITCH(IFERROR(_xlfn.TEXTBEFORE(_xlpm.error,":"), ""), "1", "Error", "2", "Disabled", "3", "Required", "4", "Warning", "Valid"), "Valid"))))</f>
        <v>0</v>
      </c>
      <c r="D7" s="22" cm="1">
        <f t="array" ref="D7">_xlfn.MAP('Additional Documents'!B7:B507, 'Additional Documents'!D7:D507, 'Additional Documents-WUO_ERR'!D7:D507, _xlfn.LAMBDA(_xlpm.part, _xlpm.val, _xlpm.error, IF(_xlpm.part = "", "", IF(LEN(_xlpm.error), _xlfn.SWITCH(IFERROR(_xlfn.TEXTBEFORE(_xlpm.error,":"), ""), "1", "Error", "2", "Disabled", "3", "Required", "4", "Warning", "Valid"), "Valid"))))</f>
        <v>0</v>
      </c>
      <c r="E7" s="22" cm="1">
        <f t="array" ref="E7">_xlfn.MAP('Additional Documents'!B7:B507, 'Additional Documents'!E7:E507, 'Additional Documents-WUO_ERR'!E7:E507, _xlfn.LAMBDA(_xlpm.part, _xlpm.val, _xlpm.error, IF(_xlpm.part = "", "", IF(LEN(_xlpm.error), _xlfn.SWITCH(IFERROR(_xlfn.TEXTBEFORE(_xlpm.error,":"), ""), "1", "Error", "2", "Disabled", "3", "Required", "4", "Warning", "Valid"), "Valid"))))</f>
        <v>0</v>
      </c>
      <c r="F7" s="22" cm="1">
        <f t="array" ref="F7">_xlfn.MAP('Additional Documents'!B7:B507, 'Additional Documents'!F7:F507, 'Additional Documents-WUO_ERR'!F7:F507, _xlfn.LAMBDA(_xlpm.part, _xlpm.val, _xlpm.error, IF(_xlpm.part = "", "", IF(LEN(_xlpm.error), _xlfn.SWITCH(IFERROR(_xlfn.TEXTBEFORE(_xlpm.error,":"), ""), "1", "Error", "2", "Disabled", "3", "Required", "4", "Warning", "Valid"), "Valid"))))</f>
        <v>0</v>
      </c>
    </row>
  </sheetData>
  <sheetProtection password="E922" sheet="1" objects="1" scenarios="1"/>
  <hyperlinks>
    <hyperlink ref="D6" location="'Valid Values'!I1" display="Please choose one or more from the following, using a semicolon (;) to separate each value: Specifications; Installation &amp; Assembly; Owner Manual; Delivery Information; Warranty Information; Certifications; Disclaimers; Buying Guides; Promotions; Dimensions; Marketing Materials; Energy Guide; Other; Product Information Sheet; Digital Law Label"/>
    <hyperlink ref="E6" location="'Valid Values'!J1" display="Please choose one or more from the following, using a semicolon (;) to separate each value: AAFA Certified; AATCC 116 Grade; AATCC 16.1-2014 Grade; AATCC 16.3-2014 Grade; AATCC 8 Grade; AC Rated; ACT Flammability Guidelines Compliant; AHAM CADR Dust rating; AHAM CADR Pollen rating; AHAM CADR Smoke rating; AHMA Certified; AHMA Compliant; AHRI Certified; ANSI A117.1 Compliant; ANSI A137.1 Compliant; ANSI IT9.2 Compliant; ANSI Z1.5A/CGA 9.1M Certified; ANSI Z124.1.2 Compliant; ANSI Z124.3 Compliant; ANSI Z124.6-97 Compliant; ANSI Z21.11.2-2016 - Gas-Fired Unvented Room Heaters and Gas-Fired Unvented Decorative Room Heaters; ANSI Z21.50-2016/CSA 2.22-2016 - Standard for Vented Decorative Gas Appliances; ANSI Z21.60-2017/CSA 2.26-2017- Standard for Decorative Gas Appliances; ANSI Z21.84-2017 - Standard for Manually Lighted/ Natural Gas/ Decorative Gas Appliances; ANSI Z21.88-2017/CSA 2.33-2017- Standard for Vented Gas Fireplace Heaters; ANSI Z358 Compliant; ANSI/BHMA A156 Certified; ANSI/BIFMA M7.1 Standard Test Method for Determining VOC Emissions; ANSI/BIFMA X5.1 Office Seating; ANSI/BIFMA X5.11 Large Occupant Office Seating; ANSI/BIFMA X5.3 Vertical Files; ANSI/BIFMA X5.4 Lounge &amp; Public Seating; ANSI/BIFMA X5.5 Desk Products; ANSI/BIFMA X5.6 Panel Systems; ANSI/BIFMA X5.9 Storage; ANSI/BIFMA X6.1 Educational Seating; ANSI/BIFMA X7.1 Standard for Formaldehyde &amp; TVOC Emissions; ANSI/ESD S20.20 Certified; ANSI/NISO Z39.48 Compliant; ANSI/SOHO S6.5 Small Office/Home Office; APMA Certified; ASHRAE 62.2 Standard Compliant; ASME A112.18.1 Compliant; ASME A112.18.2 Compliant; ASME A112.19.1 Compliant; ASME A112.19.2 Compliant; ASME A112.19.3 Compliant; ASP:02:01 Certification; ASSE 1001 Certified; ASSE 1006 Certified; ASSE 1016 Certified; ASTM 1821-19; ASTM E1590-07 Compliant; ASTM F1004-19 Certified; ASTM F1148-17 Compliant; ASTM F1148-18 Compliant; ASTM F1148-18 Certified; ASTM F1169 - 13 Compliant; ASTM F1487-17 Compliant; ASTM F1821 - 16 Compliant; ASTM F1912-17 Compliant; ASTM F1917 - 12 Compliant; ASTM F2057 - 14; ASTM F2057 - 17; ASTM F2057 - 19"/>
    <hyperlink ref="F6" location="'Valid Values'!K1" display="Select"/>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Z507"/>
  <sheetViews>
    <sheetView workbookViewId="0"/>
  </sheetViews>
  <sheetFormatPr defaultRowHeight="15"/>
  <cols>
    <col min="1" max="1" width="35.7109375" customWidth="1"/>
    <col min="2" max="2" width="25.7109375" style="22" customWidth="1"/>
    <col min="3" max="4" width="13.7109375" style="22" customWidth="1"/>
    <col min="26" max="26" width="0" hidden="1" customWidth="1"/>
  </cols>
  <sheetData>
    <row r="1" spans="1:26" hidden="1">
      <c r="B1" s="22" t="s">
        <v>2220</v>
      </c>
      <c r="C1" s="22" t="s">
        <v>2477</v>
      </c>
      <c r="D1" s="22" t="s">
        <v>2480</v>
      </c>
    </row>
    <row r="2" spans="1:26">
      <c r="B2" s="23" t="s">
        <v>2484</v>
      </c>
      <c r="C2" s="31" t="s">
        <v>2492</v>
      </c>
    </row>
    <row r="3" spans="1:26">
      <c r="B3" s="32" t="s">
        <v>58</v>
      </c>
      <c r="C3" s="32" t="s">
        <v>64</v>
      </c>
      <c r="D3" s="32" t="s">
        <v>64</v>
      </c>
    </row>
    <row r="4" spans="1:26" ht="50" customHeight="1">
      <c r="A4" s="19" t="s">
        <v>2217</v>
      </c>
      <c r="B4" s="19" t="s">
        <v>2221</v>
      </c>
      <c r="C4" s="19" t="s">
        <v>2565</v>
      </c>
      <c r="D4" s="19" t="s">
        <v>2566</v>
      </c>
    </row>
    <row r="5" spans="1:26" ht="50" customHeight="1">
      <c r="A5" s="35" t="s">
        <v>2218</v>
      </c>
      <c r="B5" s="35" t="s">
        <v>2222</v>
      </c>
      <c r="C5" s="35" t="s">
        <v>2479</v>
      </c>
      <c r="D5" s="35" t="s">
        <v>2482</v>
      </c>
    </row>
    <row r="6" spans="1:26" ht="50" customHeight="1">
      <c r="A6" s="35" t="s">
        <v>2219</v>
      </c>
      <c r="B6" s="35" t="s">
        <v>67</v>
      </c>
      <c r="C6" s="36" t="s">
        <v>2231</v>
      </c>
      <c r="D6" s="36" t="s">
        <v>2483</v>
      </c>
    </row>
    <row r="7" spans="1:26">
      <c r="A7" s="39">
        <f>IF('Additional Chemicals'!B7 = "", "", IF('Additional Chemicals-WUO_ERR'!A7 = "", "Validated", HYPERLINK("#" &amp; ADDRESS(7, 'Additional Chemicals-WUO_TRK'!A7),_xlfn.TEXTAFTER('Additional Chemicals-WUO_ERR'!A7, ":"))))</f>
        <v>0</v>
      </c>
      <c r="Z7" cm="1">
        <f t="array" ref="Z7">IF(B7:B507="", "", IFERROR(_xlfn.XLOOKUP(B7:B507, _xlfn.VSTACK('6161 - Wallpaper'!B7:B507, '3757 - Wall Stickers'!B7:B507), _xlfn.VSTACK('6161 - Wallpaper'!G7:G507, '3757 - Wall Stickers'!G7:G507)), ""))</f>
        <v>0</v>
      </c>
    </row>
    <row r="8" spans="1:26">
      <c r="A8" s="39">
        <f>IF('Additional Chemicals'!B8 = "", "", IF('Additional Chemicals-WUO_ERR'!A8 = "", "Validated", HYPERLINK("#" &amp; ADDRESS(8, 'Additional Chemicals-WUO_TRK'!A8),_xlfn.TEXTAFTER('Additional Chemicals-WUO_ERR'!A8, ":"))))</f>
        <v>0</v>
      </c>
    </row>
    <row r="9" spans="1:26">
      <c r="A9" s="39">
        <f>IF('Additional Chemicals'!B9 = "", "", IF('Additional Chemicals-WUO_ERR'!A9 = "", "Validated", HYPERLINK("#" &amp; ADDRESS(9, 'Additional Chemicals-WUO_TRK'!A9),_xlfn.TEXTAFTER('Additional Chemicals-WUO_ERR'!A9, ":"))))</f>
        <v>0</v>
      </c>
    </row>
    <row r="10" spans="1:26">
      <c r="A10" s="39">
        <f>IF('Additional Chemicals'!B10 = "", "", IF('Additional Chemicals-WUO_ERR'!A10 = "", "Validated", HYPERLINK("#" &amp; ADDRESS(10, 'Additional Chemicals-WUO_TRK'!A10),_xlfn.TEXTAFTER('Additional Chemicals-WUO_ERR'!A10, ":"))))</f>
        <v>0</v>
      </c>
    </row>
    <row r="11" spans="1:26">
      <c r="A11" s="39">
        <f>IF('Additional Chemicals'!B11 = "", "", IF('Additional Chemicals-WUO_ERR'!A11 = "", "Validated", HYPERLINK("#" &amp; ADDRESS(11, 'Additional Chemicals-WUO_TRK'!A11),_xlfn.TEXTAFTER('Additional Chemicals-WUO_ERR'!A11, ":"))))</f>
        <v>0</v>
      </c>
    </row>
    <row r="12" spans="1:26">
      <c r="A12" s="39">
        <f>IF('Additional Chemicals'!B12 = "", "", IF('Additional Chemicals-WUO_ERR'!A12 = "", "Validated", HYPERLINK("#" &amp; ADDRESS(12, 'Additional Chemicals-WUO_TRK'!A12),_xlfn.TEXTAFTER('Additional Chemicals-WUO_ERR'!A12, ":"))))</f>
        <v>0</v>
      </c>
    </row>
    <row r="13" spans="1:26">
      <c r="A13" s="39">
        <f>IF('Additional Chemicals'!B13 = "", "", IF('Additional Chemicals-WUO_ERR'!A13 = "", "Validated", HYPERLINK("#" &amp; ADDRESS(13, 'Additional Chemicals-WUO_TRK'!A13),_xlfn.TEXTAFTER('Additional Chemicals-WUO_ERR'!A13, ":"))))</f>
        <v>0</v>
      </c>
    </row>
    <row r="14" spans="1:26">
      <c r="A14" s="39">
        <f>IF('Additional Chemicals'!B14 = "", "", IF('Additional Chemicals-WUO_ERR'!A14 = "", "Validated", HYPERLINK("#" &amp; ADDRESS(14, 'Additional Chemicals-WUO_TRK'!A14),_xlfn.TEXTAFTER('Additional Chemicals-WUO_ERR'!A14, ":"))))</f>
        <v>0</v>
      </c>
    </row>
    <row r="15" spans="1:26">
      <c r="A15" s="39">
        <f>IF('Additional Chemicals'!B15 = "", "", IF('Additional Chemicals-WUO_ERR'!A15 = "", "Validated", HYPERLINK("#" &amp; ADDRESS(15, 'Additional Chemicals-WUO_TRK'!A15),_xlfn.TEXTAFTER('Additional Chemicals-WUO_ERR'!A15, ":"))))</f>
        <v>0</v>
      </c>
    </row>
    <row r="16" spans="1:26">
      <c r="A16" s="39">
        <f>IF('Additional Chemicals'!B16 = "", "", IF('Additional Chemicals-WUO_ERR'!A16 = "", "Validated", HYPERLINK("#" &amp; ADDRESS(16, 'Additional Chemicals-WUO_TRK'!A16),_xlfn.TEXTAFTER('Additional Chemicals-WUO_ERR'!A16, ":"))))</f>
        <v>0</v>
      </c>
    </row>
    <row r="17" spans="1:1">
      <c r="A17" s="39">
        <f>IF('Additional Chemicals'!B17 = "", "", IF('Additional Chemicals-WUO_ERR'!A17 = "", "Validated", HYPERLINK("#" &amp; ADDRESS(17, 'Additional Chemicals-WUO_TRK'!A17),_xlfn.TEXTAFTER('Additional Chemicals-WUO_ERR'!A17, ":"))))</f>
        <v>0</v>
      </c>
    </row>
    <row r="18" spans="1:1">
      <c r="A18" s="39">
        <f>IF('Additional Chemicals'!B18 = "", "", IF('Additional Chemicals-WUO_ERR'!A18 = "", "Validated", HYPERLINK("#" &amp; ADDRESS(18, 'Additional Chemicals-WUO_TRK'!A18),_xlfn.TEXTAFTER('Additional Chemicals-WUO_ERR'!A18, ":"))))</f>
        <v>0</v>
      </c>
    </row>
    <row r="19" spans="1:1">
      <c r="A19" s="39">
        <f>IF('Additional Chemicals'!B19 = "", "", IF('Additional Chemicals-WUO_ERR'!A19 = "", "Validated", HYPERLINK("#" &amp; ADDRESS(19, 'Additional Chemicals-WUO_TRK'!A19),_xlfn.TEXTAFTER('Additional Chemicals-WUO_ERR'!A19, ":"))))</f>
        <v>0</v>
      </c>
    </row>
    <row r="20" spans="1:1">
      <c r="A20" s="39">
        <f>IF('Additional Chemicals'!B20 = "", "", IF('Additional Chemicals-WUO_ERR'!A20 = "", "Validated", HYPERLINK("#" &amp; ADDRESS(20, 'Additional Chemicals-WUO_TRK'!A20),_xlfn.TEXTAFTER('Additional Chemicals-WUO_ERR'!A20, ":"))))</f>
        <v>0</v>
      </c>
    </row>
    <row r="21" spans="1:1">
      <c r="A21" s="39">
        <f>IF('Additional Chemicals'!B21 = "", "", IF('Additional Chemicals-WUO_ERR'!A21 = "", "Validated", HYPERLINK("#" &amp; ADDRESS(21, 'Additional Chemicals-WUO_TRK'!A21),_xlfn.TEXTAFTER('Additional Chemicals-WUO_ERR'!A21, ":"))))</f>
        <v>0</v>
      </c>
    </row>
    <row r="22" spans="1:1">
      <c r="A22" s="39">
        <f>IF('Additional Chemicals'!B22 = "", "", IF('Additional Chemicals-WUO_ERR'!A22 = "", "Validated", HYPERLINK("#" &amp; ADDRESS(22, 'Additional Chemicals-WUO_TRK'!A22),_xlfn.TEXTAFTER('Additional Chemicals-WUO_ERR'!A22, ":"))))</f>
        <v>0</v>
      </c>
    </row>
    <row r="23" spans="1:1">
      <c r="A23" s="39">
        <f>IF('Additional Chemicals'!B23 = "", "", IF('Additional Chemicals-WUO_ERR'!A23 = "", "Validated", HYPERLINK("#" &amp; ADDRESS(23, 'Additional Chemicals-WUO_TRK'!A23),_xlfn.TEXTAFTER('Additional Chemicals-WUO_ERR'!A23, ":"))))</f>
        <v>0</v>
      </c>
    </row>
    <row r="24" spans="1:1">
      <c r="A24" s="39">
        <f>IF('Additional Chemicals'!B24 = "", "", IF('Additional Chemicals-WUO_ERR'!A24 = "", "Validated", HYPERLINK("#" &amp; ADDRESS(24, 'Additional Chemicals-WUO_TRK'!A24),_xlfn.TEXTAFTER('Additional Chemicals-WUO_ERR'!A24, ":"))))</f>
        <v>0</v>
      </c>
    </row>
    <row r="25" spans="1:1">
      <c r="A25" s="39">
        <f>IF('Additional Chemicals'!B25 = "", "", IF('Additional Chemicals-WUO_ERR'!A25 = "", "Validated", HYPERLINK("#" &amp; ADDRESS(25, 'Additional Chemicals-WUO_TRK'!A25),_xlfn.TEXTAFTER('Additional Chemicals-WUO_ERR'!A25, ":"))))</f>
        <v>0</v>
      </c>
    </row>
    <row r="26" spans="1:1">
      <c r="A26" s="39">
        <f>IF('Additional Chemicals'!B26 = "", "", IF('Additional Chemicals-WUO_ERR'!A26 = "", "Validated", HYPERLINK("#" &amp; ADDRESS(26, 'Additional Chemicals-WUO_TRK'!A26),_xlfn.TEXTAFTER('Additional Chemicals-WUO_ERR'!A26, ":"))))</f>
        <v>0</v>
      </c>
    </row>
    <row r="27" spans="1:1">
      <c r="A27" s="39">
        <f>IF('Additional Chemicals'!B27 = "", "", IF('Additional Chemicals-WUO_ERR'!A27 = "", "Validated", HYPERLINK("#" &amp; ADDRESS(27, 'Additional Chemicals-WUO_TRK'!A27),_xlfn.TEXTAFTER('Additional Chemicals-WUO_ERR'!A27, ":"))))</f>
        <v>0</v>
      </c>
    </row>
    <row r="28" spans="1:1">
      <c r="A28" s="39">
        <f>IF('Additional Chemicals'!B28 = "", "", IF('Additional Chemicals-WUO_ERR'!A28 = "", "Validated", HYPERLINK("#" &amp; ADDRESS(28, 'Additional Chemicals-WUO_TRK'!A28),_xlfn.TEXTAFTER('Additional Chemicals-WUO_ERR'!A28, ":"))))</f>
        <v>0</v>
      </c>
    </row>
    <row r="29" spans="1:1">
      <c r="A29" s="39">
        <f>IF('Additional Chemicals'!B29 = "", "", IF('Additional Chemicals-WUO_ERR'!A29 = "", "Validated", HYPERLINK("#" &amp; ADDRESS(29, 'Additional Chemicals-WUO_TRK'!A29),_xlfn.TEXTAFTER('Additional Chemicals-WUO_ERR'!A29, ":"))))</f>
        <v>0</v>
      </c>
    </row>
    <row r="30" spans="1:1">
      <c r="A30" s="39">
        <f>IF('Additional Chemicals'!B30 = "", "", IF('Additional Chemicals-WUO_ERR'!A30 = "", "Validated", HYPERLINK("#" &amp; ADDRESS(30, 'Additional Chemicals-WUO_TRK'!A30),_xlfn.TEXTAFTER('Additional Chemicals-WUO_ERR'!A30, ":"))))</f>
        <v>0</v>
      </c>
    </row>
    <row r="31" spans="1:1">
      <c r="A31" s="39">
        <f>IF('Additional Chemicals'!B31 = "", "", IF('Additional Chemicals-WUO_ERR'!A31 = "", "Validated", HYPERLINK("#" &amp; ADDRESS(31, 'Additional Chemicals-WUO_TRK'!A31),_xlfn.TEXTAFTER('Additional Chemicals-WUO_ERR'!A31, ":"))))</f>
        <v>0</v>
      </c>
    </row>
    <row r="32" spans="1:1">
      <c r="A32" s="39">
        <f>IF('Additional Chemicals'!B32 = "", "", IF('Additional Chemicals-WUO_ERR'!A32 = "", "Validated", HYPERLINK("#" &amp; ADDRESS(32, 'Additional Chemicals-WUO_TRK'!A32),_xlfn.TEXTAFTER('Additional Chemicals-WUO_ERR'!A32, ":"))))</f>
        <v>0</v>
      </c>
    </row>
    <row r="33" spans="1:1">
      <c r="A33" s="39">
        <f>IF('Additional Chemicals'!B33 = "", "", IF('Additional Chemicals-WUO_ERR'!A33 = "", "Validated", HYPERLINK("#" &amp; ADDRESS(33, 'Additional Chemicals-WUO_TRK'!A33),_xlfn.TEXTAFTER('Additional Chemicals-WUO_ERR'!A33, ":"))))</f>
        <v>0</v>
      </c>
    </row>
    <row r="34" spans="1:1">
      <c r="A34" s="39">
        <f>IF('Additional Chemicals'!B34 = "", "", IF('Additional Chemicals-WUO_ERR'!A34 = "", "Validated", HYPERLINK("#" &amp; ADDRESS(34, 'Additional Chemicals-WUO_TRK'!A34),_xlfn.TEXTAFTER('Additional Chemicals-WUO_ERR'!A34, ":"))))</f>
        <v>0</v>
      </c>
    </row>
    <row r="35" spans="1:1">
      <c r="A35" s="39">
        <f>IF('Additional Chemicals'!B35 = "", "", IF('Additional Chemicals-WUO_ERR'!A35 = "", "Validated", HYPERLINK("#" &amp; ADDRESS(35, 'Additional Chemicals-WUO_TRK'!A35),_xlfn.TEXTAFTER('Additional Chemicals-WUO_ERR'!A35, ":"))))</f>
        <v>0</v>
      </c>
    </row>
    <row r="36" spans="1:1">
      <c r="A36" s="39">
        <f>IF('Additional Chemicals'!B36 = "", "", IF('Additional Chemicals-WUO_ERR'!A36 = "", "Validated", HYPERLINK("#" &amp; ADDRESS(36, 'Additional Chemicals-WUO_TRK'!A36),_xlfn.TEXTAFTER('Additional Chemicals-WUO_ERR'!A36, ":"))))</f>
        <v>0</v>
      </c>
    </row>
    <row r="37" spans="1:1">
      <c r="A37" s="39">
        <f>IF('Additional Chemicals'!B37 = "", "", IF('Additional Chemicals-WUO_ERR'!A37 = "", "Validated", HYPERLINK("#" &amp; ADDRESS(37, 'Additional Chemicals-WUO_TRK'!A37),_xlfn.TEXTAFTER('Additional Chemicals-WUO_ERR'!A37, ":"))))</f>
        <v>0</v>
      </c>
    </row>
    <row r="38" spans="1:1">
      <c r="A38" s="39">
        <f>IF('Additional Chemicals'!B38 = "", "", IF('Additional Chemicals-WUO_ERR'!A38 = "", "Validated", HYPERLINK("#" &amp; ADDRESS(38, 'Additional Chemicals-WUO_TRK'!A38),_xlfn.TEXTAFTER('Additional Chemicals-WUO_ERR'!A38, ":"))))</f>
        <v>0</v>
      </c>
    </row>
    <row r="39" spans="1:1">
      <c r="A39" s="39">
        <f>IF('Additional Chemicals'!B39 = "", "", IF('Additional Chemicals-WUO_ERR'!A39 = "", "Validated", HYPERLINK("#" &amp; ADDRESS(39, 'Additional Chemicals-WUO_TRK'!A39),_xlfn.TEXTAFTER('Additional Chemicals-WUO_ERR'!A39, ":"))))</f>
        <v>0</v>
      </c>
    </row>
    <row r="40" spans="1:1">
      <c r="A40" s="39">
        <f>IF('Additional Chemicals'!B40 = "", "", IF('Additional Chemicals-WUO_ERR'!A40 = "", "Validated", HYPERLINK("#" &amp; ADDRESS(40, 'Additional Chemicals-WUO_TRK'!A40),_xlfn.TEXTAFTER('Additional Chemicals-WUO_ERR'!A40, ":"))))</f>
        <v>0</v>
      </c>
    </row>
    <row r="41" spans="1:1">
      <c r="A41" s="39">
        <f>IF('Additional Chemicals'!B41 = "", "", IF('Additional Chemicals-WUO_ERR'!A41 = "", "Validated", HYPERLINK("#" &amp; ADDRESS(41, 'Additional Chemicals-WUO_TRK'!A41),_xlfn.TEXTAFTER('Additional Chemicals-WUO_ERR'!A41, ":"))))</f>
        <v>0</v>
      </c>
    </row>
    <row r="42" spans="1:1">
      <c r="A42" s="39">
        <f>IF('Additional Chemicals'!B42 = "", "", IF('Additional Chemicals-WUO_ERR'!A42 = "", "Validated", HYPERLINK("#" &amp; ADDRESS(42, 'Additional Chemicals-WUO_TRK'!A42),_xlfn.TEXTAFTER('Additional Chemicals-WUO_ERR'!A42, ":"))))</f>
        <v>0</v>
      </c>
    </row>
    <row r="43" spans="1:1">
      <c r="A43" s="39">
        <f>IF('Additional Chemicals'!B43 = "", "", IF('Additional Chemicals-WUO_ERR'!A43 = "", "Validated", HYPERLINK("#" &amp; ADDRESS(43, 'Additional Chemicals-WUO_TRK'!A43),_xlfn.TEXTAFTER('Additional Chemicals-WUO_ERR'!A43, ":"))))</f>
        <v>0</v>
      </c>
    </row>
    <row r="44" spans="1:1">
      <c r="A44" s="39">
        <f>IF('Additional Chemicals'!B44 = "", "", IF('Additional Chemicals-WUO_ERR'!A44 = "", "Validated", HYPERLINK("#" &amp; ADDRESS(44, 'Additional Chemicals-WUO_TRK'!A44),_xlfn.TEXTAFTER('Additional Chemicals-WUO_ERR'!A44, ":"))))</f>
        <v>0</v>
      </c>
    </row>
    <row r="45" spans="1:1">
      <c r="A45" s="39">
        <f>IF('Additional Chemicals'!B45 = "", "", IF('Additional Chemicals-WUO_ERR'!A45 = "", "Validated", HYPERLINK("#" &amp; ADDRESS(45, 'Additional Chemicals-WUO_TRK'!A45),_xlfn.TEXTAFTER('Additional Chemicals-WUO_ERR'!A45, ":"))))</f>
        <v>0</v>
      </c>
    </row>
    <row r="46" spans="1:1">
      <c r="A46" s="39">
        <f>IF('Additional Chemicals'!B46 = "", "", IF('Additional Chemicals-WUO_ERR'!A46 = "", "Validated", HYPERLINK("#" &amp; ADDRESS(46, 'Additional Chemicals-WUO_TRK'!A46),_xlfn.TEXTAFTER('Additional Chemicals-WUO_ERR'!A46, ":"))))</f>
        <v>0</v>
      </c>
    </row>
    <row r="47" spans="1:1">
      <c r="A47" s="39">
        <f>IF('Additional Chemicals'!B47 = "", "", IF('Additional Chemicals-WUO_ERR'!A47 = "", "Validated", HYPERLINK("#" &amp; ADDRESS(47, 'Additional Chemicals-WUO_TRK'!A47),_xlfn.TEXTAFTER('Additional Chemicals-WUO_ERR'!A47, ":"))))</f>
        <v>0</v>
      </c>
    </row>
    <row r="48" spans="1:1">
      <c r="A48" s="39">
        <f>IF('Additional Chemicals'!B48 = "", "", IF('Additional Chemicals-WUO_ERR'!A48 = "", "Validated", HYPERLINK("#" &amp; ADDRESS(48, 'Additional Chemicals-WUO_TRK'!A48),_xlfn.TEXTAFTER('Additional Chemicals-WUO_ERR'!A48, ":"))))</f>
        <v>0</v>
      </c>
    </row>
    <row r="49" spans="1:1">
      <c r="A49" s="39">
        <f>IF('Additional Chemicals'!B49 = "", "", IF('Additional Chemicals-WUO_ERR'!A49 = "", "Validated", HYPERLINK("#" &amp; ADDRESS(49, 'Additional Chemicals-WUO_TRK'!A49),_xlfn.TEXTAFTER('Additional Chemicals-WUO_ERR'!A49, ":"))))</f>
        <v>0</v>
      </c>
    </row>
    <row r="50" spans="1:1">
      <c r="A50" s="39">
        <f>IF('Additional Chemicals'!B50 = "", "", IF('Additional Chemicals-WUO_ERR'!A50 = "", "Validated", HYPERLINK("#" &amp; ADDRESS(50, 'Additional Chemicals-WUO_TRK'!A50),_xlfn.TEXTAFTER('Additional Chemicals-WUO_ERR'!A50, ":"))))</f>
        <v>0</v>
      </c>
    </row>
    <row r="51" spans="1:1">
      <c r="A51" s="39">
        <f>IF('Additional Chemicals'!B51 = "", "", IF('Additional Chemicals-WUO_ERR'!A51 = "", "Validated", HYPERLINK("#" &amp; ADDRESS(51, 'Additional Chemicals-WUO_TRK'!A51),_xlfn.TEXTAFTER('Additional Chemicals-WUO_ERR'!A51, ":"))))</f>
        <v>0</v>
      </c>
    </row>
    <row r="52" spans="1:1">
      <c r="A52" s="39">
        <f>IF('Additional Chemicals'!B52 = "", "", IF('Additional Chemicals-WUO_ERR'!A52 = "", "Validated", HYPERLINK("#" &amp; ADDRESS(52, 'Additional Chemicals-WUO_TRK'!A52),_xlfn.TEXTAFTER('Additional Chemicals-WUO_ERR'!A52, ":"))))</f>
        <v>0</v>
      </c>
    </row>
    <row r="53" spans="1:1">
      <c r="A53" s="39">
        <f>IF('Additional Chemicals'!B53 = "", "", IF('Additional Chemicals-WUO_ERR'!A53 = "", "Validated", HYPERLINK("#" &amp; ADDRESS(53, 'Additional Chemicals-WUO_TRK'!A53),_xlfn.TEXTAFTER('Additional Chemicals-WUO_ERR'!A53, ":"))))</f>
        <v>0</v>
      </c>
    </row>
    <row r="54" spans="1:1">
      <c r="A54" s="39">
        <f>IF('Additional Chemicals'!B54 = "", "", IF('Additional Chemicals-WUO_ERR'!A54 = "", "Validated", HYPERLINK("#" &amp; ADDRESS(54, 'Additional Chemicals-WUO_TRK'!A54),_xlfn.TEXTAFTER('Additional Chemicals-WUO_ERR'!A54, ":"))))</f>
        <v>0</v>
      </c>
    </row>
    <row r="55" spans="1:1">
      <c r="A55" s="39">
        <f>IF('Additional Chemicals'!B55 = "", "", IF('Additional Chemicals-WUO_ERR'!A55 = "", "Validated", HYPERLINK("#" &amp; ADDRESS(55, 'Additional Chemicals-WUO_TRK'!A55),_xlfn.TEXTAFTER('Additional Chemicals-WUO_ERR'!A55, ":"))))</f>
        <v>0</v>
      </c>
    </row>
    <row r="56" spans="1:1">
      <c r="A56" s="39">
        <f>IF('Additional Chemicals'!B56 = "", "", IF('Additional Chemicals-WUO_ERR'!A56 = "", "Validated", HYPERLINK("#" &amp; ADDRESS(56, 'Additional Chemicals-WUO_TRK'!A56),_xlfn.TEXTAFTER('Additional Chemicals-WUO_ERR'!A56, ":"))))</f>
        <v>0</v>
      </c>
    </row>
    <row r="57" spans="1:1">
      <c r="A57" s="39">
        <f>IF('Additional Chemicals'!B57 = "", "", IF('Additional Chemicals-WUO_ERR'!A57 = "", "Validated", HYPERLINK("#" &amp; ADDRESS(57, 'Additional Chemicals-WUO_TRK'!A57),_xlfn.TEXTAFTER('Additional Chemicals-WUO_ERR'!A57, ":"))))</f>
        <v>0</v>
      </c>
    </row>
    <row r="58" spans="1:1">
      <c r="A58" s="39">
        <f>IF('Additional Chemicals'!B58 = "", "", IF('Additional Chemicals-WUO_ERR'!A58 = "", "Validated", HYPERLINK("#" &amp; ADDRESS(58, 'Additional Chemicals-WUO_TRK'!A58),_xlfn.TEXTAFTER('Additional Chemicals-WUO_ERR'!A58, ":"))))</f>
        <v>0</v>
      </c>
    </row>
    <row r="59" spans="1:1">
      <c r="A59" s="39">
        <f>IF('Additional Chemicals'!B59 = "", "", IF('Additional Chemicals-WUO_ERR'!A59 = "", "Validated", HYPERLINK("#" &amp; ADDRESS(59, 'Additional Chemicals-WUO_TRK'!A59),_xlfn.TEXTAFTER('Additional Chemicals-WUO_ERR'!A59, ":"))))</f>
        <v>0</v>
      </c>
    </row>
    <row r="60" spans="1:1">
      <c r="A60" s="39">
        <f>IF('Additional Chemicals'!B60 = "", "", IF('Additional Chemicals-WUO_ERR'!A60 = "", "Validated", HYPERLINK("#" &amp; ADDRESS(60, 'Additional Chemicals-WUO_TRK'!A60),_xlfn.TEXTAFTER('Additional Chemicals-WUO_ERR'!A60, ":"))))</f>
        <v>0</v>
      </c>
    </row>
    <row r="61" spans="1:1">
      <c r="A61" s="39">
        <f>IF('Additional Chemicals'!B61 = "", "", IF('Additional Chemicals-WUO_ERR'!A61 = "", "Validated", HYPERLINK("#" &amp; ADDRESS(61, 'Additional Chemicals-WUO_TRK'!A61),_xlfn.TEXTAFTER('Additional Chemicals-WUO_ERR'!A61, ":"))))</f>
        <v>0</v>
      </c>
    </row>
    <row r="62" spans="1:1">
      <c r="A62" s="39">
        <f>IF('Additional Chemicals'!B62 = "", "", IF('Additional Chemicals-WUO_ERR'!A62 = "", "Validated", HYPERLINK("#" &amp; ADDRESS(62, 'Additional Chemicals-WUO_TRK'!A62),_xlfn.TEXTAFTER('Additional Chemicals-WUO_ERR'!A62, ":"))))</f>
        <v>0</v>
      </c>
    </row>
    <row r="63" spans="1:1">
      <c r="A63" s="39">
        <f>IF('Additional Chemicals'!B63 = "", "", IF('Additional Chemicals-WUO_ERR'!A63 = "", "Validated", HYPERLINK("#" &amp; ADDRESS(63, 'Additional Chemicals-WUO_TRK'!A63),_xlfn.TEXTAFTER('Additional Chemicals-WUO_ERR'!A63, ":"))))</f>
        <v>0</v>
      </c>
    </row>
    <row r="64" spans="1:1">
      <c r="A64" s="39">
        <f>IF('Additional Chemicals'!B64 = "", "", IF('Additional Chemicals-WUO_ERR'!A64 = "", "Validated", HYPERLINK("#" &amp; ADDRESS(64, 'Additional Chemicals-WUO_TRK'!A64),_xlfn.TEXTAFTER('Additional Chemicals-WUO_ERR'!A64, ":"))))</f>
        <v>0</v>
      </c>
    </row>
    <row r="65" spans="1:1">
      <c r="A65" s="39">
        <f>IF('Additional Chemicals'!B65 = "", "", IF('Additional Chemicals-WUO_ERR'!A65 = "", "Validated", HYPERLINK("#" &amp; ADDRESS(65, 'Additional Chemicals-WUO_TRK'!A65),_xlfn.TEXTAFTER('Additional Chemicals-WUO_ERR'!A65, ":"))))</f>
        <v>0</v>
      </c>
    </row>
    <row r="66" spans="1:1">
      <c r="A66" s="39">
        <f>IF('Additional Chemicals'!B66 = "", "", IF('Additional Chemicals-WUO_ERR'!A66 = "", "Validated", HYPERLINK("#" &amp; ADDRESS(66, 'Additional Chemicals-WUO_TRK'!A66),_xlfn.TEXTAFTER('Additional Chemicals-WUO_ERR'!A66, ":"))))</f>
        <v>0</v>
      </c>
    </row>
    <row r="67" spans="1:1">
      <c r="A67" s="39">
        <f>IF('Additional Chemicals'!B67 = "", "", IF('Additional Chemicals-WUO_ERR'!A67 = "", "Validated", HYPERLINK("#" &amp; ADDRESS(67, 'Additional Chemicals-WUO_TRK'!A67),_xlfn.TEXTAFTER('Additional Chemicals-WUO_ERR'!A67, ":"))))</f>
        <v>0</v>
      </c>
    </row>
    <row r="68" spans="1:1">
      <c r="A68" s="39">
        <f>IF('Additional Chemicals'!B68 = "", "", IF('Additional Chemicals-WUO_ERR'!A68 = "", "Validated", HYPERLINK("#" &amp; ADDRESS(68, 'Additional Chemicals-WUO_TRK'!A68),_xlfn.TEXTAFTER('Additional Chemicals-WUO_ERR'!A68, ":"))))</f>
        <v>0</v>
      </c>
    </row>
    <row r="69" spans="1:1">
      <c r="A69" s="39">
        <f>IF('Additional Chemicals'!B69 = "", "", IF('Additional Chemicals-WUO_ERR'!A69 = "", "Validated", HYPERLINK("#" &amp; ADDRESS(69, 'Additional Chemicals-WUO_TRK'!A69),_xlfn.TEXTAFTER('Additional Chemicals-WUO_ERR'!A69, ":"))))</f>
        <v>0</v>
      </c>
    </row>
    <row r="70" spans="1:1">
      <c r="A70" s="39">
        <f>IF('Additional Chemicals'!B70 = "", "", IF('Additional Chemicals-WUO_ERR'!A70 = "", "Validated", HYPERLINK("#" &amp; ADDRESS(70, 'Additional Chemicals-WUO_TRK'!A70),_xlfn.TEXTAFTER('Additional Chemicals-WUO_ERR'!A70, ":"))))</f>
        <v>0</v>
      </c>
    </row>
    <row r="71" spans="1:1">
      <c r="A71" s="39">
        <f>IF('Additional Chemicals'!B71 = "", "", IF('Additional Chemicals-WUO_ERR'!A71 = "", "Validated", HYPERLINK("#" &amp; ADDRESS(71, 'Additional Chemicals-WUO_TRK'!A71),_xlfn.TEXTAFTER('Additional Chemicals-WUO_ERR'!A71, ":"))))</f>
        <v>0</v>
      </c>
    </row>
    <row r="72" spans="1:1">
      <c r="A72" s="39">
        <f>IF('Additional Chemicals'!B72 = "", "", IF('Additional Chemicals-WUO_ERR'!A72 = "", "Validated", HYPERLINK("#" &amp; ADDRESS(72, 'Additional Chemicals-WUO_TRK'!A72),_xlfn.TEXTAFTER('Additional Chemicals-WUO_ERR'!A72, ":"))))</f>
        <v>0</v>
      </c>
    </row>
    <row r="73" spans="1:1">
      <c r="A73" s="39">
        <f>IF('Additional Chemicals'!B73 = "", "", IF('Additional Chemicals-WUO_ERR'!A73 = "", "Validated", HYPERLINK("#" &amp; ADDRESS(73, 'Additional Chemicals-WUO_TRK'!A73),_xlfn.TEXTAFTER('Additional Chemicals-WUO_ERR'!A73, ":"))))</f>
        <v>0</v>
      </c>
    </row>
    <row r="74" spans="1:1">
      <c r="A74" s="39">
        <f>IF('Additional Chemicals'!B74 = "", "", IF('Additional Chemicals-WUO_ERR'!A74 = "", "Validated", HYPERLINK("#" &amp; ADDRESS(74, 'Additional Chemicals-WUO_TRK'!A74),_xlfn.TEXTAFTER('Additional Chemicals-WUO_ERR'!A74, ":"))))</f>
        <v>0</v>
      </c>
    </row>
    <row r="75" spans="1:1">
      <c r="A75" s="39">
        <f>IF('Additional Chemicals'!B75 = "", "", IF('Additional Chemicals-WUO_ERR'!A75 = "", "Validated", HYPERLINK("#" &amp; ADDRESS(75, 'Additional Chemicals-WUO_TRK'!A75),_xlfn.TEXTAFTER('Additional Chemicals-WUO_ERR'!A75, ":"))))</f>
        <v>0</v>
      </c>
    </row>
    <row r="76" spans="1:1">
      <c r="A76" s="39">
        <f>IF('Additional Chemicals'!B76 = "", "", IF('Additional Chemicals-WUO_ERR'!A76 = "", "Validated", HYPERLINK("#" &amp; ADDRESS(76, 'Additional Chemicals-WUO_TRK'!A76),_xlfn.TEXTAFTER('Additional Chemicals-WUO_ERR'!A76, ":"))))</f>
        <v>0</v>
      </c>
    </row>
    <row r="77" spans="1:1">
      <c r="A77" s="39">
        <f>IF('Additional Chemicals'!B77 = "", "", IF('Additional Chemicals-WUO_ERR'!A77 = "", "Validated", HYPERLINK("#" &amp; ADDRESS(77, 'Additional Chemicals-WUO_TRK'!A77),_xlfn.TEXTAFTER('Additional Chemicals-WUO_ERR'!A77, ":"))))</f>
        <v>0</v>
      </c>
    </row>
    <row r="78" spans="1:1">
      <c r="A78" s="39">
        <f>IF('Additional Chemicals'!B78 = "", "", IF('Additional Chemicals-WUO_ERR'!A78 = "", "Validated", HYPERLINK("#" &amp; ADDRESS(78, 'Additional Chemicals-WUO_TRK'!A78),_xlfn.TEXTAFTER('Additional Chemicals-WUO_ERR'!A78, ":"))))</f>
        <v>0</v>
      </c>
    </row>
    <row r="79" spans="1:1">
      <c r="A79" s="39">
        <f>IF('Additional Chemicals'!B79 = "", "", IF('Additional Chemicals-WUO_ERR'!A79 = "", "Validated", HYPERLINK("#" &amp; ADDRESS(79, 'Additional Chemicals-WUO_TRK'!A79),_xlfn.TEXTAFTER('Additional Chemicals-WUO_ERR'!A79, ":"))))</f>
        <v>0</v>
      </c>
    </row>
    <row r="80" spans="1:1">
      <c r="A80" s="39">
        <f>IF('Additional Chemicals'!B80 = "", "", IF('Additional Chemicals-WUO_ERR'!A80 = "", "Validated", HYPERLINK("#" &amp; ADDRESS(80, 'Additional Chemicals-WUO_TRK'!A80),_xlfn.TEXTAFTER('Additional Chemicals-WUO_ERR'!A80, ":"))))</f>
        <v>0</v>
      </c>
    </row>
    <row r="81" spans="1:1">
      <c r="A81" s="39">
        <f>IF('Additional Chemicals'!B81 = "", "", IF('Additional Chemicals-WUO_ERR'!A81 = "", "Validated", HYPERLINK("#" &amp; ADDRESS(81, 'Additional Chemicals-WUO_TRK'!A81),_xlfn.TEXTAFTER('Additional Chemicals-WUO_ERR'!A81, ":"))))</f>
        <v>0</v>
      </c>
    </row>
    <row r="82" spans="1:1">
      <c r="A82" s="39">
        <f>IF('Additional Chemicals'!B82 = "", "", IF('Additional Chemicals-WUO_ERR'!A82 = "", "Validated", HYPERLINK("#" &amp; ADDRESS(82, 'Additional Chemicals-WUO_TRK'!A82),_xlfn.TEXTAFTER('Additional Chemicals-WUO_ERR'!A82, ":"))))</f>
        <v>0</v>
      </c>
    </row>
    <row r="83" spans="1:1">
      <c r="A83" s="39">
        <f>IF('Additional Chemicals'!B83 = "", "", IF('Additional Chemicals-WUO_ERR'!A83 = "", "Validated", HYPERLINK("#" &amp; ADDRESS(83, 'Additional Chemicals-WUO_TRK'!A83),_xlfn.TEXTAFTER('Additional Chemicals-WUO_ERR'!A83, ":"))))</f>
        <v>0</v>
      </c>
    </row>
    <row r="84" spans="1:1">
      <c r="A84" s="39">
        <f>IF('Additional Chemicals'!B84 = "", "", IF('Additional Chemicals-WUO_ERR'!A84 = "", "Validated", HYPERLINK("#" &amp; ADDRESS(84, 'Additional Chemicals-WUO_TRK'!A84),_xlfn.TEXTAFTER('Additional Chemicals-WUO_ERR'!A84, ":"))))</f>
        <v>0</v>
      </c>
    </row>
    <row r="85" spans="1:1">
      <c r="A85" s="39">
        <f>IF('Additional Chemicals'!B85 = "", "", IF('Additional Chemicals-WUO_ERR'!A85 = "", "Validated", HYPERLINK("#" &amp; ADDRESS(85, 'Additional Chemicals-WUO_TRK'!A85),_xlfn.TEXTAFTER('Additional Chemicals-WUO_ERR'!A85, ":"))))</f>
        <v>0</v>
      </c>
    </row>
    <row r="86" spans="1:1">
      <c r="A86" s="39">
        <f>IF('Additional Chemicals'!B86 = "", "", IF('Additional Chemicals-WUO_ERR'!A86 = "", "Validated", HYPERLINK("#" &amp; ADDRESS(86, 'Additional Chemicals-WUO_TRK'!A86),_xlfn.TEXTAFTER('Additional Chemicals-WUO_ERR'!A86, ":"))))</f>
        <v>0</v>
      </c>
    </row>
    <row r="87" spans="1:1">
      <c r="A87" s="39">
        <f>IF('Additional Chemicals'!B87 = "", "", IF('Additional Chemicals-WUO_ERR'!A87 = "", "Validated", HYPERLINK("#" &amp; ADDRESS(87, 'Additional Chemicals-WUO_TRK'!A87),_xlfn.TEXTAFTER('Additional Chemicals-WUO_ERR'!A87, ":"))))</f>
        <v>0</v>
      </c>
    </row>
    <row r="88" spans="1:1">
      <c r="A88" s="39">
        <f>IF('Additional Chemicals'!B88 = "", "", IF('Additional Chemicals-WUO_ERR'!A88 = "", "Validated", HYPERLINK("#" &amp; ADDRESS(88, 'Additional Chemicals-WUO_TRK'!A88),_xlfn.TEXTAFTER('Additional Chemicals-WUO_ERR'!A88, ":"))))</f>
        <v>0</v>
      </c>
    </row>
    <row r="89" spans="1:1">
      <c r="A89" s="39">
        <f>IF('Additional Chemicals'!B89 = "", "", IF('Additional Chemicals-WUO_ERR'!A89 = "", "Validated", HYPERLINK("#" &amp; ADDRESS(89, 'Additional Chemicals-WUO_TRK'!A89),_xlfn.TEXTAFTER('Additional Chemicals-WUO_ERR'!A89, ":"))))</f>
        <v>0</v>
      </c>
    </row>
    <row r="90" spans="1:1">
      <c r="A90" s="39">
        <f>IF('Additional Chemicals'!B90 = "", "", IF('Additional Chemicals-WUO_ERR'!A90 = "", "Validated", HYPERLINK("#" &amp; ADDRESS(90, 'Additional Chemicals-WUO_TRK'!A90),_xlfn.TEXTAFTER('Additional Chemicals-WUO_ERR'!A90, ":"))))</f>
        <v>0</v>
      </c>
    </row>
    <row r="91" spans="1:1">
      <c r="A91" s="39">
        <f>IF('Additional Chemicals'!B91 = "", "", IF('Additional Chemicals-WUO_ERR'!A91 = "", "Validated", HYPERLINK("#" &amp; ADDRESS(91, 'Additional Chemicals-WUO_TRK'!A91),_xlfn.TEXTAFTER('Additional Chemicals-WUO_ERR'!A91, ":"))))</f>
        <v>0</v>
      </c>
    </row>
    <row r="92" spans="1:1">
      <c r="A92" s="39">
        <f>IF('Additional Chemicals'!B92 = "", "", IF('Additional Chemicals-WUO_ERR'!A92 = "", "Validated", HYPERLINK("#" &amp; ADDRESS(92, 'Additional Chemicals-WUO_TRK'!A92),_xlfn.TEXTAFTER('Additional Chemicals-WUO_ERR'!A92, ":"))))</f>
        <v>0</v>
      </c>
    </row>
    <row r="93" spans="1:1">
      <c r="A93" s="39">
        <f>IF('Additional Chemicals'!B93 = "", "", IF('Additional Chemicals-WUO_ERR'!A93 = "", "Validated", HYPERLINK("#" &amp; ADDRESS(93, 'Additional Chemicals-WUO_TRK'!A93),_xlfn.TEXTAFTER('Additional Chemicals-WUO_ERR'!A93, ":"))))</f>
        <v>0</v>
      </c>
    </row>
    <row r="94" spans="1:1">
      <c r="A94" s="39">
        <f>IF('Additional Chemicals'!B94 = "", "", IF('Additional Chemicals-WUO_ERR'!A94 = "", "Validated", HYPERLINK("#" &amp; ADDRESS(94, 'Additional Chemicals-WUO_TRK'!A94),_xlfn.TEXTAFTER('Additional Chemicals-WUO_ERR'!A94, ":"))))</f>
        <v>0</v>
      </c>
    </row>
    <row r="95" spans="1:1">
      <c r="A95" s="39">
        <f>IF('Additional Chemicals'!B95 = "", "", IF('Additional Chemicals-WUO_ERR'!A95 = "", "Validated", HYPERLINK("#" &amp; ADDRESS(95, 'Additional Chemicals-WUO_TRK'!A95),_xlfn.TEXTAFTER('Additional Chemicals-WUO_ERR'!A95, ":"))))</f>
        <v>0</v>
      </c>
    </row>
    <row r="96" spans="1:1">
      <c r="A96" s="39">
        <f>IF('Additional Chemicals'!B96 = "", "", IF('Additional Chemicals-WUO_ERR'!A96 = "", "Validated", HYPERLINK("#" &amp; ADDRESS(96, 'Additional Chemicals-WUO_TRK'!A96),_xlfn.TEXTAFTER('Additional Chemicals-WUO_ERR'!A96, ":"))))</f>
        <v>0</v>
      </c>
    </row>
    <row r="97" spans="1:1">
      <c r="A97" s="39">
        <f>IF('Additional Chemicals'!B97 = "", "", IF('Additional Chemicals-WUO_ERR'!A97 = "", "Validated", HYPERLINK("#" &amp; ADDRESS(97, 'Additional Chemicals-WUO_TRK'!A97),_xlfn.TEXTAFTER('Additional Chemicals-WUO_ERR'!A97, ":"))))</f>
        <v>0</v>
      </c>
    </row>
    <row r="98" spans="1:1">
      <c r="A98" s="39">
        <f>IF('Additional Chemicals'!B98 = "", "", IF('Additional Chemicals-WUO_ERR'!A98 = "", "Validated", HYPERLINK("#" &amp; ADDRESS(98, 'Additional Chemicals-WUO_TRK'!A98),_xlfn.TEXTAFTER('Additional Chemicals-WUO_ERR'!A98, ":"))))</f>
        <v>0</v>
      </c>
    </row>
    <row r="99" spans="1:1">
      <c r="A99" s="39">
        <f>IF('Additional Chemicals'!B99 = "", "", IF('Additional Chemicals-WUO_ERR'!A99 = "", "Validated", HYPERLINK("#" &amp; ADDRESS(99, 'Additional Chemicals-WUO_TRK'!A99),_xlfn.TEXTAFTER('Additional Chemicals-WUO_ERR'!A99, ":"))))</f>
        <v>0</v>
      </c>
    </row>
    <row r="100" spans="1:1">
      <c r="A100" s="39">
        <f>IF('Additional Chemicals'!B100 = "", "", IF('Additional Chemicals-WUO_ERR'!A100 = "", "Validated", HYPERLINK("#" &amp; ADDRESS(100, 'Additional Chemicals-WUO_TRK'!A100),_xlfn.TEXTAFTER('Additional Chemicals-WUO_ERR'!A100, ":"))))</f>
        <v>0</v>
      </c>
    </row>
    <row r="101" spans="1:1">
      <c r="A101" s="39">
        <f>IF('Additional Chemicals'!B101 = "", "", IF('Additional Chemicals-WUO_ERR'!A101 = "", "Validated", HYPERLINK("#" &amp; ADDRESS(101, 'Additional Chemicals-WUO_TRK'!A101),_xlfn.TEXTAFTER('Additional Chemicals-WUO_ERR'!A101, ":"))))</f>
        <v>0</v>
      </c>
    </row>
    <row r="102" spans="1:1">
      <c r="A102" s="39">
        <f>IF('Additional Chemicals'!B102 = "", "", IF('Additional Chemicals-WUO_ERR'!A102 = "", "Validated", HYPERLINK("#" &amp; ADDRESS(102, 'Additional Chemicals-WUO_TRK'!A102),_xlfn.TEXTAFTER('Additional Chemicals-WUO_ERR'!A102, ":"))))</f>
        <v>0</v>
      </c>
    </row>
    <row r="103" spans="1:1">
      <c r="A103" s="39">
        <f>IF('Additional Chemicals'!B103 = "", "", IF('Additional Chemicals-WUO_ERR'!A103 = "", "Validated", HYPERLINK("#" &amp; ADDRESS(103, 'Additional Chemicals-WUO_TRK'!A103),_xlfn.TEXTAFTER('Additional Chemicals-WUO_ERR'!A103, ":"))))</f>
        <v>0</v>
      </c>
    </row>
    <row r="104" spans="1:1">
      <c r="A104" s="39">
        <f>IF('Additional Chemicals'!B104 = "", "", IF('Additional Chemicals-WUO_ERR'!A104 = "", "Validated", HYPERLINK("#" &amp; ADDRESS(104, 'Additional Chemicals-WUO_TRK'!A104),_xlfn.TEXTAFTER('Additional Chemicals-WUO_ERR'!A104, ":"))))</f>
        <v>0</v>
      </c>
    </row>
    <row r="105" spans="1:1">
      <c r="A105" s="39">
        <f>IF('Additional Chemicals'!B105 = "", "", IF('Additional Chemicals-WUO_ERR'!A105 = "", "Validated", HYPERLINK("#" &amp; ADDRESS(105, 'Additional Chemicals-WUO_TRK'!A105),_xlfn.TEXTAFTER('Additional Chemicals-WUO_ERR'!A105, ":"))))</f>
        <v>0</v>
      </c>
    </row>
    <row r="106" spans="1:1">
      <c r="A106" s="39">
        <f>IF('Additional Chemicals'!B106 = "", "", IF('Additional Chemicals-WUO_ERR'!A106 = "", "Validated", HYPERLINK("#" &amp; ADDRESS(106, 'Additional Chemicals-WUO_TRK'!A106),_xlfn.TEXTAFTER('Additional Chemicals-WUO_ERR'!A106, ":"))))</f>
        <v>0</v>
      </c>
    </row>
    <row r="107" spans="1:1">
      <c r="A107" s="39">
        <f>IF('Additional Chemicals'!B107 = "", "", IF('Additional Chemicals-WUO_ERR'!A107 = "", "Validated", HYPERLINK("#" &amp; ADDRESS(107, 'Additional Chemicals-WUO_TRK'!A107),_xlfn.TEXTAFTER('Additional Chemicals-WUO_ERR'!A107, ":"))))</f>
        <v>0</v>
      </c>
    </row>
    <row r="108" spans="1:1">
      <c r="A108" s="39">
        <f>IF('Additional Chemicals'!B108 = "", "", IF('Additional Chemicals-WUO_ERR'!A108 = "", "Validated", HYPERLINK("#" &amp; ADDRESS(108, 'Additional Chemicals-WUO_TRK'!A108),_xlfn.TEXTAFTER('Additional Chemicals-WUO_ERR'!A108, ":"))))</f>
        <v>0</v>
      </c>
    </row>
    <row r="109" spans="1:1">
      <c r="A109" s="39">
        <f>IF('Additional Chemicals'!B109 = "", "", IF('Additional Chemicals-WUO_ERR'!A109 = "", "Validated", HYPERLINK("#" &amp; ADDRESS(109, 'Additional Chemicals-WUO_TRK'!A109),_xlfn.TEXTAFTER('Additional Chemicals-WUO_ERR'!A109, ":"))))</f>
        <v>0</v>
      </c>
    </row>
    <row r="110" spans="1:1">
      <c r="A110" s="39">
        <f>IF('Additional Chemicals'!B110 = "", "", IF('Additional Chemicals-WUO_ERR'!A110 = "", "Validated", HYPERLINK("#" &amp; ADDRESS(110, 'Additional Chemicals-WUO_TRK'!A110),_xlfn.TEXTAFTER('Additional Chemicals-WUO_ERR'!A110, ":"))))</f>
        <v>0</v>
      </c>
    </row>
    <row r="111" spans="1:1">
      <c r="A111" s="39">
        <f>IF('Additional Chemicals'!B111 = "", "", IF('Additional Chemicals-WUO_ERR'!A111 = "", "Validated", HYPERLINK("#" &amp; ADDRESS(111, 'Additional Chemicals-WUO_TRK'!A111),_xlfn.TEXTAFTER('Additional Chemicals-WUO_ERR'!A111, ":"))))</f>
        <v>0</v>
      </c>
    </row>
    <row r="112" spans="1:1">
      <c r="A112" s="39">
        <f>IF('Additional Chemicals'!B112 = "", "", IF('Additional Chemicals-WUO_ERR'!A112 = "", "Validated", HYPERLINK("#" &amp; ADDRESS(112, 'Additional Chemicals-WUO_TRK'!A112),_xlfn.TEXTAFTER('Additional Chemicals-WUO_ERR'!A112, ":"))))</f>
        <v>0</v>
      </c>
    </row>
    <row r="113" spans="1:1">
      <c r="A113" s="39">
        <f>IF('Additional Chemicals'!B113 = "", "", IF('Additional Chemicals-WUO_ERR'!A113 = "", "Validated", HYPERLINK("#" &amp; ADDRESS(113, 'Additional Chemicals-WUO_TRK'!A113),_xlfn.TEXTAFTER('Additional Chemicals-WUO_ERR'!A113, ":"))))</f>
        <v>0</v>
      </c>
    </row>
    <row r="114" spans="1:1">
      <c r="A114" s="39">
        <f>IF('Additional Chemicals'!B114 = "", "", IF('Additional Chemicals-WUO_ERR'!A114 = "", "Validated", HYPERLINK("#" &amp; ADDRESS(114, 'Additional Chemicals-WUO_TRK'!A114),_xlfn.TEXTAFTER('Additional Chemicals-WUO_ERR'!A114, ":"))))</f>
        <v>0</v>
      </c>
    </row>
    <row r="115" spans="1:1">
      <c r="A115" s="39">
        <f>IF('Additional Chemicals'!B115 = "", "", IF('Additional Chemicals-WUO_ERR'!A115 = "", "Validated", HYPERLINK("#" &amp; ADDRESS(115, 'Additional Chemicals-WUO_TRK'!A115),_xlfn.TEXTAFTER('Additional Chemicals-WUO_ERR'!A115, ":"))))</f>
        <v>0</v>
      </c>
    </row>
    <row r="116" spans="1:1">
      <c r="A116" s="39">
        <f>IF('Additional Chemicals'!B116 = "", "", IF('Additional Chemicals-WUO_ERR'!A116 = "", "Validated", HYPERLINK("#" &amp; ADDRESS(116, 'Additional Chemicals-WUO_TRK'!A116),_xlfn.TEXTAFTER('Additional Chemicals-WUO_ERR'!A116, ":"))))</f>
        <v>0</v>
      </c>
    </row>
    <row r="117" spans="1:1">
      <c r="A117" s="39">
        <f>IF('Additional Chemicals'!B117 = "", "", IF('Additional Chemicals-WUO_ERR'!A117 = "", "Validated", HYPERLINK("#" &amp; ADDRESS(117, 'Additional Chemicals-WUO_TRK'!A117),_xlfn.TEXTAFTER('Additional Chemicals-WUO_ERR'!A117, ":"))))</f>
        <v>0</v>
      </c>
    </row>
    <row r="118" spans="1:1">
      <c r="A118" s="39">
        <f>IF('Additional Chemicals'!B118 = "", "", IF('Additional Chemicals-WUO_ERR'!A118 = "", "Validated", HYPERLINK("#" &amp; ADDRESS(118, 'Additional Chemicals-WUO_TRK'!A118),_xlfn.TEXTAFTER('Additional Chemicals-WUO_ERR'!A118, ":"))))</f>
        <v>0</v>
      </c>
    </row>
    <row r="119" spans="1:1">
      <c r="A119" s="39">
        <f>IF('Additional Chemicals'!B119 = "", "", IF('Additional Chemicals-WUO_ERR'!A119 = "", "Validated", HYPERLINK("#" &amp; ADDRESS(119, 'Additional Chemicals-WUO_TRK'!A119),_xlfn.TEXTAFTER('Additional Chemicals-WUO_ERR'!A119, ":"))))</f>
        <v>0</v>
      </c>
    </row>
    <row r="120" spans="1:1">
      <c r="A120" s="39">
        <f>IF('Additional Chemicals'!B120 = "", "", IF('Additional Chemicals-WUO_ERR'!A120 = "", "Validated", HYPERLINK("#" &amp; ADDRESS(120, 'Additional Chemicals-WUO_TRK'!A120),_xlfn.TEXTAFTER('Additional Chemicals-WUO_ERR'!A120, ":"))))</f>
        <v>0</v>
      </c>
    </row>
    <row r="121" spans="1:1">
      <c r="A121" s="39">
        <f>IF('Additional Chemicals'!B121 = "", "", IF('Additional Chemicals-WUO_ERR'!A121 = "", "Validated", HYPERLINK("#" &amp; ADDRESS(121, 'Additional Chemicals-WUO_TRK'!A121),_xlfn.TEXTAFTER('Additional Chemicals-WUO_ERR'!A121, ":"))))</f>
        <v>0</v>
      </c>
    </row>
    <row r="122" spans="1:1">
      <c r="A122" s="39">
        <f>IF('Additional Chemicals'!B122 = "", "", IF('Additional Chemicals-WUO_ERR'!A122 = "", "Validated", HYPERLINK("#" &amp; ADDRESS(122, 'Additional Chemicals-WUO_TRK'!A122),_xlfn.TEXTAFTER('Additional Chemicals-WUO_ERR'!A122, ":"))))</f>
        <v>0</v>
      </c>
    </row>
    <row r="123" spans="1:1">
      <c r="A123" s="39">
        <f>IF('Additional Chemicals'!B123 = "", "", IF('Additional Chemicals-WUO_ERR'!A123 = "", "Validated", HYPERLINK("#" &amp; ADDRESS(123, 'Additional Chemicals-WUO_TRK'!A123),_xlfn.TEXTAFTER('Additional Chemicals-WUO_ERR'!A123, ":"))))</f>
        <v>0</v>
      </c>
    </row>
    <row r="124" spans="1:1">
      <c r="A124" s="39">
        <f>IF('Additional Chemicals'!B124 = "", "", IF('Additional Chemicals-WUO_ERR'!A124 = "", "Validated", HYPERLINK("#" &amp; ADDRESS(124, 'Additional Chemicals-WUO_TRK'!A124),_xlfn.TEXTAFTER('Additional Chemicals-WUO_ERR'!A124, ":"))))</f>
        <v>0</v>
      </c>
    </row>
    <row r="125" spans="1:1">
      <c r="A125" s="39">
        <f>IF('Additional Chemicals'!B125 = "", "", IF('Additional Chemicals-WUO_ERR'!A125 = "", "Validated", HYPERLINK("#" &amp; ADDRESS(125, 'Additional Chemicals-WUO_TRK'!A125),_xlfn.TEXTAFTER('Additional Chemicals-WUO_ERR'!A125, ":"))))</f>
        <v>0</v>
      </c>
    </row>
    <row r="126" spans="1:1">
      <c r="A126" s="39">
        <f>IF('Additional Chemicals'!B126 = "", "", IF('Additional Chemicals-WUO_ERR'!A126 = "", "Validated", HYPERLINK("#" &amp; ADDRESS(126, 'Additional Chemicals-WUO_TRK'!A126),_xlfn.TEXTAFTER('Additional Chemicals-WUO_ERR'!A126, ":"))))</f>
        <v>0</v>
      </c>
    </row>
    <row r="127" spans="1:1">
      <c r="A127" s="39">
        <f>IF('Additional Chemicals'!B127 = "", "", IF('Additional Chemicals-WUO_ERR'!A127 = "", "Validated", HYPERLINK("#" &amp; ADDRESS(127, 'Additional Chemicals-WUO_TRK'!A127),_xlfn.TEXTAFTER('Additional Chemicals-WUO_ERR'!A127, ":"))))</f>
        <v>0</v>
      </c>
    </row>
    <row r="128" spans="1:1">
      <c r="A128" s="39">
        <f>IF('Additional Chemicals'!B128 = "", "", IF('Additional Chemicals-WUO_ERR'!A128 = "", "Validated", HYPERLINK("#" &amp; ADDRESS(128, 'Additional Chemicals-WUO_TRK'!A128),_xlfn.TEXTAFTER('Additional Chemicals-WUO_ERR'!A128, ":"))))</f>
        <v>0</v>
      </c>
    </row>
    <row r="129" spans="1:1">
      <c r="A129" s="39">
        <f>IF('Additional Chemicals'!B129 = "", "", IF('Additional Chemicals-WUO_ERR'!A129 = "", "Validated", HYPERLINK("#" &amp; ADDRESS(129, 'Additional Chemicals-WUO_TRK'!A129),_xlfn.TEXTAFTER('Additional Chemicals-WUO_ERR'!A129, ":"))))</f>
        <v>0</v>
      </c>
    </row>
    <row r="130" spans="1:1">
      <c r="A130" s="39">
        <f>IF('Additional Chemicals'!B130 = "", "", IF('Additional Chemicals-WUO_ERR'!A130 = "", "Validated", HYPERLINK("#" &amp; ADDRESS(130, 'Additional Chemicals-WUO_TRK'!A130),_xlfn.TEXTAFTER('Additional Chemicals-WUO_ERR'!A130, ":"))))</f>
        <v>0</v>
      </c>
    </row>
    <row r="131" spans="1:1">
      <c r="A131" s="39">
        <f>IF('Additional Chemicals'!B131 = "", "", IF('Additional Chemicals-WUO_ERR'!A131 = "", "Validated", HYPERLINK("#" &amp; ADDRESS(131, 'Additional Chemicals-WUO_TRK'!A131),_xlfn.TEXTAFTER('Additional Chemicals-WUO_ERR'!A131, ":"))))</f>
        <v>0</v>
      </c>
    </row>
    <row r="132" spans="1:1">
      <c r="A132" s="39">
        <f>IF('Additional Chemicals'!B132 = "", "", IF('Additional Chemicals-WUO_ERR'!A132 = "", "Validated", HYPERLINK("#" &amp; ADDRESS(132, 'Additional Chemicals-WUO_TRK'!A132),_xlfn.TEXTAFTER('Additional Chemicals-WUO_ERR'!A132, ":"))))</f>
        <v>0</v>
      </c>
    </row>
    <row r="133" spans="1:1">
      <c r="A133" s="39">
        <f>IF('Additional Chemicals'!B133 = "", "", IF('Additional Chemicals-WUO_ERR'!A133 = "", "Validated", HYPERLINK("#" &amp; ADDRESS(133, 'Additional Chemicals-WUO_TRK'!A133),_xlfn.TEXTAFTER('Additional Chemicals-WUO_ERR'!A133, ":"))))</f>
        <v>0</v>
      </c>
    </row>
    <row r="134" spans="1:1">
      <c r="A134" s="39">
        <f>IF('Additional Chemicals'!B134 = "", "", IF('Additional Chemicals-WUO_ERR'!A134 = "", "Validated", HYPERLINK("#" &amp; ADDRESS(134, 'Additional Chemicals-WUO_TRK'!A134),_xlfn.TEXTAFTER('Additional Chemicals-WUO_ERR'!A134, ":"))))</f>
        <v>0</v>
      </c>
    </row>
    <row r="135" spans="1:1">
      <c r="A135" s="39">
        <f>IF('Additional Chemicals'!B135 = "", "", IF('Additional Chemicals-WUO_ERR'!A135 = "", "Validated", HYPERLINK("#" &amp; ADDRESS(135, 'Additional Chemicals-WUO_TRK'!A135),_xlfn.TEXTAFTER('Additional Chemicals-WUO_ERR'!A135, ":"))))</f>
        <v>0</v>
      </c>
    </row>
    <row r="136" spans="1:1">
      <c r="A136" s="39">
        <f>IF('Additional Chemicals'!B136 = "", "", IF('Additional Chemicals-WUO_ERR'!A136 = "", "Validated", HYPERLINK("#" &amp; ADDRESS(136, 'Additional Chemicals-WUO_TRK'!A136),_xlfn.TEXTAFTER('Additional Chemicals-WUO_ERR'!A136, ":"))))</f>
        <v>0</v>
      </c>
    </row>
    <row r="137" spans="1:1">
      <c r="A137" s="39">
        <f>IF('Additional Chemicals'!B137 = "", "", IF('Additional Chemicals-WUO_ERR'!A137 = "", "Validated", HYPERLINK("#" &amp; ADDRESS(137, 'Additional Chemicals-WUO_TRK'!A137),_xlfn.TEXTAFTER('Additional Chemicals-WUO_ERR'!A137, ":"))))</f>
        <v>0</v>
      </c>
    </row>
    <row r="138" spans="1:1">
      <c r="A138" s="39">
        <f>IF('Additional Chemicals'!B138 = "", "", IF('Additional Chemicals-WUO_ERR'!A138 = "", "Validated", HYPERLINK("#" &amp; ADDRESS(138, 'Additional Chemicals-WUO_TRK'!A138),_xlfn.TEXTAFTER('Additional Chemicals-WUO_ERR'!A138, ":"))))</f>
        <v>0</v>
      </c>
    </row>
    <row r="139" spans="1:1">
      <c r="A139" s="39">
        <f>IF('Additional Chemicals'!B139 = "", "", IF('Additional Chemicals-WUO_ERR'!A139 = "", "Validated", HYPERLINK("#" &amp; ADDRESS(139, 'Additional Chemicals-WUO_TRK'!A139),_xlfn.TEXTAFTER('Additional Chemicals-WUO_ERR'!A139, ":"))))</f>
        <v>0</v>
      </c>
    </row>
    <row r="140" spans="1:1">
      <c r="A140" s="39">
        <f>IF('Additional Chemicals'!B140 = "", "", IF('Additional Chemicals-WUO_ERR'!A140 = "", "Validated", HYPERLINK("#" &amp; ADDRESS(140, 'Additional Chemicals-WUO_TRK'!A140),_xlfn.TEXTAFTER('Additional Chemicals-WUO_ERR'!A140, ":"))))</f>
        <v>0</v>
      </c>
    </row>
    <row r="141" spans="1:1">
      <c r="A141" s="39">
        <f>IF('Additional Chemicals'!B141 = "", "", IF('Additional Chemicals-WUO_ERR'!A141 = "", "Validated", HYPERLINK("#" &amp; ADDRESS(141, 'Additional Chemicals-WUO_TRK'!A141),_xlfn.TEXTAFTER('Additional Chemicals-WUO_ERR'!A141, ":"))))</f>
        <v>0</v>
      </c>
    </row>
    <row r="142" spans="1:1">
      <c r="A142" s="39">
        <f>IF('Additional Chemicals'!B142 = "", "", IF('Additional Chemicals-WUO_ERR'!A142 = "", "Validated", HYPERLINK("#" &amp; ADDRESS(142, 'Additional Chemicals-WUO_TRK'!A142),_xlfn.TEXTAFTER('Additional Chemicals-WUO_ERR'!A142, ":"))))</f>
        <v>0</v>
      </c>
    </row>
    <row r="143" spans="1:1">
      <c r="A143" s="39">
        <f>IF('Additional Chemicals'!B143 = "", "", IF('Additional Chemicals-WUO_ERR'!A143 = "", "Validated", HYPERLINK("#" &amp; ADDRESS(143, 'Additional Chemicals-WUO_TRK'!A143),_xlfn.TEXTAFTER('Additional Chemicals-WUO_ERR'!A143, ":"))))</f>
        <v>0</v>
      </c>
    </row>
    <row r="144" spans="1:1">
      <c r="A144" s="39">
        <f>IF('Additional Chemicals'!B144 = "", "", IF('Additional Chemicals-WUO_ERR'!A144 = "", "Validated", HYPERLINK("#" &amp; ADDRESS(144, 'Additional Chemicals-WUO_TRK'!A144),_xlfn.TEXTAFTER('Additional Chemicals-WUO_ERR'!A144, ":"))))</f>
        <v>0</v>
      </c>
    </row>
    <row r="145" spans="1:1">
      <c r="A145" s="39">
        <f>IF('Additional Chemicals'!B145 = "", "", IF('Additional Chemicals-WUO_ERR'!A145 = "", "Validated", HYPERLINK("#" &amp; ADDRESS(145, 'Additional Chemicals-WUO_TRK'!A145),_xlfn.TEXTAFTER('Additional Chemicals-WUO_ERR'!A145, ":"))))</f>
        <v>0</v>
      </c>
    </row>
    <row r="146" spans="1:1">
      <c r="A146" s="39">
        <f>IF('Additional Chemicals'!B146 = "", "", IF('Additional Chemicals-WUO_ERR'!A146 = "", "Validated", HYPERLINK("#" &amp; ADDRESS(146, 'Additional Chemicals-WUO_TRK'!A146),_xlfn.TEXTAFTER('Additional Chemicals-WUO_ERR'!A146, ":"))))</f>
        <v>0</v>
      </c>
    </row>
    <row r="147" spans="1:1">
      <c r="A147" s="39">
        <f>IF('Additional Chemicals'!B147 = "", "", IF('Additional Chemicals-WUO_ERR'!A147 = "", "Validated", HYPERLINK("#" &amp; ADDRESS(147, 'Additional Chemicals-WUO_TRK'!A147),_xlfn.TEXTAFTER('Additional Chemicals-WUO_ERR'!A147, ":"))))</f>
        <v>0</v>
      </c>
    </row>
    <row r="148" spans="1:1">
      <c r="A148" s="39">
        <f>IF('Additional Chemicals'!B148 = "", "", IF('Additional Chemicals-WUO_ERR'!A148 = "", "Validated", HYPERLINK("#" &amp; ADDRESS(148, 'Additional Chemicals-WUO_TRK'!A148),_xlfn.TEXTAFTER('Additional Chemicals-WUO_ERR'!A148, ":"))))</f>
        <v>0</v>
      </c>
    </row>
    <row r="149" spans="1:1">
      <c r="A149" s="39">
        <f>IF('Additional Chemicals'!B149 = "", "", IF('Additional Chemicals-WUO_ERR'!A149 = "", "Validated", HYPERLINK("#" &amp; ADDRESS(149, 'Additional Chemicals-WUO_TRK'!A149),_xlfn.TEXTAFTER('Additional Chemicals-WUO_ERR'!A149, ":"))))</f>
        <v>0</v>
      </c>
    </row>
    <row r="150" spans="1:1">
      <c r="A150" s="39">
        <f>IF('Additional Chemicals'!B150 = "", "", IF('Additional Chemicals-WUO_ERR'!A150 = "", "Validated", HYPERLINK("#" &amp; ADDRESS(150, 'Additional Chemicals-WUO_TRK'!A150),_xlfn.TEXTAFTER('Additional Chemicals-WUO_ERR'!A150, ":"))))</f>
        <v>0</v>
      </c>
    </row>
    <row r="151" spans="1:1">
      <c r="A151" s="39">
        <f>IF('Additional Chemicals'!B151 = "", "", IF('Additional Chemicals-WUO_ERR'!A151 = "", "Validated", HYPERLINK("#" &amp; ADDRESS(151, 'Additional Chemicals-WUO_TRK'!A151),_xlfn.TEXTAFTER('Additional Chemicals-WUO_ERR'!A151, ":"))))</f>
        <v>0</v>
      </c>
    </row>
    <row r="152" spans="1:1">
      <c r="A152" s="39">
        <f>IF('Additional Chemicals'!B152 = "", "", IF('Additional Chemicals-WUO_ERR'!A152 = "", "Validated", HYPERLINK("#" &amp; ADDRESS(152, 'Additional Chemicals-WUO_TRK'!A152),_xlfn.TEXTAFTER('Additional Chemicals-WUO_ERR'!A152, ":"))))</f>
        <v>0</v>
      </c>
    </row>
    <row r="153" spans="1:1">
      <c r="A153" s="39">
        <f>IF('Additional Chemicals'!B153 = "", "", IF('Additional Chemicals-WUO_ERR'!A153 = "", "Validated", HYPERLINK("#" &amp; ADDRESS(153, 'Additional Chemicals-WUO_TRK'!A153),_xlfn.TEXTAFTER('Additional Chemicals-WUO_ERR'!A153, ":"))))</f>
        <v>0</v>
      </c>
    </row>
    <row r="154" spans="1:1">
      <c r="A154" s="39">
        <f>IF('Additional Chemicals'!B154 = "", "", IF('Additional Chemicals-WUO_ERR'!A154 = "", "Validated", HYPERLINK("#" &amp; ADDRESS(154, 'Additional Chemicals-WUO_TRK'!A154),_xlfn.TEXTAFTER('Additional Chemicals-WUO_ERR'!A154, ":"))))</f>
        <v>0</v>
      </c>
    </row>
    <row r="155" spans="1:1">
      <c r="A155" s="39">
        <f>IF('Additional Chemicals'!B155 = "", "", IF('Additional Chemicals-WUO_ERR'!A155 = "", "Validated", HYPERLINK("#" &amp; ADDRESS(155, 'Additional Chemicals-WUO_TRK'!A155),_xlfn.TEXTAFTER('Additional Chemicals-WUO_ERR'!A155, ":"))))</f>
        <v>0</v>
      </c>
    </row>
    <row r="156" spans="1:1">
      <c r="A156" s="39">
        <f>IF('Additional Chemicals'!B156 = "", "", IF('Additional Chemicals-WUO_ERR'!A156 = "", "Validated", HYPERLINK("#" &amp; ADDRESS(156, 'Additional Chemicals-WUO_TRK'!A156),_xlfn.TEXTAFTER('Additional Chemicals-WUO_ERR'!A156, ":"))))</f>
        <v>0</v>
      </c>
    </row>
    <row r="157" spans="1:1">
      <c r="A157" s="39">
        <f>IF('Additional Chemicals'!B157 = "", "", IF('Additional Chemicals-WUO_ERR'!A157 = "", "Validated", HYPERLINK("#" &amp; ADDRESS(157, 'Additional Chemicals-WUO_TRK'!A157),_xlfn.TEXTAFTER('Additional Chemicals-WUO_ERR'!A157, ":"))))</f>
        <v>0</v>
      </c>
    </row>
    <row r="158" spans="1:1">
      <c r="A158" s="39">
        <f>IF('Additional Chemicals'!B158 = "", "", IF('Additional Chemicals-WUO_ERR'!A158 = "", "Validated", HYPERLINK("#" &amp; ADDRESS(158, 'Additional Chemicals-WUO_TRK'!A158),_xlfn.TEXTAFTER('Additional Chemicals-WUO_ERR'!A158, ":"))))</f>
        <v>0</v>
      </c>
    </row>
    <row r="159" spans="1:1">
      <c r="A159" s="39">
        <f>IF('Additional Chemicals'!B159 = "", "", IF('Additional Chemicals-WUO_ERR'!A159 = "", "Validated", HYPERLINK("#" &amp; ADDRESS(159, 'Additional Chemicals-WUO_TRK'!A159),_xlfn.TEXTAFTER('Additional Chemicals-WUO_ERR'!A159, ":"))))</f>
        <v>0</v>
      </c>
    </row>
    <row r="160" spans="1:1">
      <c r="A160" s="39">
        <f>IF('Additional Chemicals'!B160 = "", "", IF('Additional Chemicals-WUO_ERR'!A160 = "", "Validated", HYPERLINK("#" &amp; ADDRESS(160, 'Additional Chemicals-WUO_TRK'!A160),_xlfn.TEXTAFTER('Additional Chemicals-WUO_ERR'!A160, ":"))))</f>
        <v>0</v>
      </c>
    </row>
    <row r="161" spans="1:1">
      <c r="A161" s="39">
        <f>IF('Additional Chemicals'!B161 = "", "", IF('Additional Chemicals-WUO_ERR'!A161 = "", "Validated", HYPERLINK("#" &amp; ADDRESS(161, 'Additional Chemicals-WUO_TRK'!A161),_xlfn.TEXTAFTER('Additional Chemicals-WUO_ERR'!A161, ":"))))</f>
        <v>0</v>
      </c>
    </row>
    <row r="162" spans="1:1">
      <c r="A162" s="39">
        <f>IF('Additional Chemicals'!B162 = "", "", IF('Additional Chemicals-WUO_ERR'!A162 = "", "Validated", HYPERLINK("#" &amp; ADDRESS(162, 'Additional Chemicals-WUO_TRK'!A162),_xlfn.TEXTAFTER('Additional Chemicals-WUO_ERR'!A162, ":"))))</f>
        <v>0</v>
      </c>
    </row>
    <row r="163" spans="1:1">
      <c r="A163" s="39">
        <f>IF('Additional Chemicals'!B163 = "", "", IF('Additional Chemicals-WUO_ERR'!A163 = "", "Validated", HYPERLINK("#" &amp; ADDRESS(163, 'Additional Chemicals-WUO_TRK'!A163),_xlfn.TEXTAFTER('Additional Chemicals-WUO_ERR'!A163, ":"))))</f>
        <v>0</v>
      </c>
    </row>
    <row r="164" spans="1:1">
      <c r="A164" s="39">
        <f>IF('Additional Chemicals'!B164 = "", "", IF('Additional Chemicals-WUO_ERR'!A164 = "", "Validated", HYPERLINK("#" &amp; ADDRESS(164, 'Additional Chemicals-WUO_TRK'!A164),_xlfn.TEXTAFTER('Additional Chemicals-WUO_ERR'!A164, ":"))))</f>
        <v>0</v>
      </c>
    </row>
    <row r="165" spans="1:1">
      <c r="A165" s="39">
        <f>IF('Additional Chemicals'!B165 = "", "", IF('Additional Chemicals-WUO_ERR'!A165 = "", "Validated", HYPERLINK("#" &amp; ADDRESS(165, 'Additional Chemicals-WUO_TRK'!A165),_xlfn.TEXTAFTER('Additional Chemicals-WUO_ERR'!A165, ":"))))</f>
        <v>0</v>
      </c>
    </row>
    <row r="166" spans="1:1">
      <c r="A166" s="39">
        <f>IF('Additional Chemicals'!B166 = "", "", IF('Additional Chemicals-WUO_ERR'!A166 = "", "Validated", HYPERLINK("#" &amp; ADDRESS(166, 'Additional Chemicals-WUO_TRK'!A166),_xlfn.TEXTAFTER('Additional Chemicals-WUO_ERR'!A166, ":"))))</f>
        <v>0</v>
      </c>
    </row>
    <row r="167" spans="1:1">
      <c r="A167" s="39">
        <f>IF('Additional Chemicals'!B167 = "", "", IF('Additional Chemicals-WUO_ERR'!A167 = "", "Validated", HYPERLINK("#" &amp; ADDRESS(167, 'Additional Chemicals-WUO_TRK'!A167),_xlfn.TEXTAFTER('Additional Chemicals-WUO_ERR'!A167, ":"))))</f>
        <v>0</v>
      </c>
    </row>
    <row r="168" spans="1:1">
      <c r="A168" s="39">
        <f>IF('Additional Chemicals'!B168 = "", "", IF('Additional Chemicals-WUO_ERR'!A168 = "", "Validated", HYPERLINK("#" &amp; ADDRESS(168, 'Additional Chemicals-WUO_TRK'!A168),_xlfn.TEXTAFTER('Additional Chemicals-WUO_ERR'!A168, ":"))))</f>
        <v>0</v>
      </c>
    </row>
    <row r="169" spans="1:1">
      <c r="A169" s="39">
        <f>IF('Additional Chemicals'!B169 = "", "", IF('Additional Chemicals-WUO_ERR'!A169 = "", "Validated", HYPERLINK("#" &amp; ADDRESS(169, 'Additional Chemicals-WUO_TRK'!A169),_xlfn.TEXTAFTER('Additional Chemicals-WUO_ERR'!A169, ":"))))</f>
        <v>0</v>
      </c>
    </row>
    <row r="170" spans="1:1">
      <c r="A170" s="39">
        <f>IF('Additional Chemicals'!B170 = "", "", IF('Additional Chemicals-WUO_ERR'!A170 = "", "Validated", HYPERLINK("#" &amp; ADDRESS(170, 'Additional Chemicals-WUO_TRK'!A170),_xlfn.TEXTAFTER('Additional Chemicals-WUO_ERR'!A170, ":"))))</f>
        <v>0</v>
      </c>
    </row>
    <row r="171" spans="1:1">
      <c r="A171" s="39">
        <f>IF('Additional Chemicals'!B171 = "", "", IF('Additional Chemicals-WUO_ERR'!A171 = "", "Validated", HYPERLINK("#" &amp; ADDRESS(171, 'Additional Chemicals-WUO_TRK'!A171),_xlfn.TEXTAFTER('Additional Chemicals-WUO_ERR'!A171, ":"))))</f>
        <v>0</v>
      </c>
    </row>
    <row r="172" spans="1:1">
      <c r="A172" s="39">
        <f>IF('Additional Chemicals'!B172 = "", "", IF('Additional Chemicals-WUO_ERR'!A172 = "", "Validated", HYPERLINK("#" &amp; ADDRESS(172, 'Additional Chemicals-WUO_TRK'!A172),_xlfn.TEXTAFTER('Additional Chemicals-WUO_ERR'!A172, ":"))))</f>
        <v>0</v>
      </c>
    </row>
    <row r="173" spans="1:1">
      <c r="A173" s="39">
        <f>IF('Additional Chemicals'!B173 = "", "", IF('Additional Chemicals-WUO_ERR'!A173 = "", "Validated", HYPERLINK("#" &amp; ADDRESS(173, 'Additional Chemicals-WUO_TRK'!A173),_xlfn.TEXTAFTER('Additional Chemicals-WUO_ERR'!A173, ":"))))</f>
        <v>0</v>
      </c>
    </row>
    <row r="174" spans="1:1">
      <c r="A174" s="39">
        <f>IF('Additional Chemicals'!B174 = "", "", IF('Additional Chemicals-WUO_ERR'!A174 = "", "Validated", HYPERLINK("#" &amp; ADDRESS(174, 'Additional Chemicals-WUO_TRK'!A174),_xlfn.TEXTAFTER('Additional Chemicals-WUO_ERR'!A174, ":"))))</f>
        <v>0</v>
      </c>
    </row>
    <row r="175" spans="1:1">
      <c r="A175" s="39">
        <f>IF('Additional Chemicals'!B175 = "", "", IF('Additional Chemicals-WUO_ERR'!A175 = "", "Validated", HYPERLINK("#" &amp; ADDRESS(175, 'Additional Chemicals-WUO_TRK'!A175),_xlfn.TEXTAFTER('Additional Chemicals-WUO_ERR'!A175, ":"))))</f>
        <v>0</v>
      </c>
    </row>
    <row r="176" spans="1:1">
      <c r="A176" s="39">
        <f>IF('Additional Chemicals'!B176 = "", "", IF('Additional Chemicals-WUO_ERR'!A176 = "", "Validated", HYPERLINK("#" &amp; ADDRESS(176, 'Additional Chemicals-WUO_TRK'!A176),_xlfn.TEXTAFTER('Additional Chemicals-WUO_ERR'!A176, ":"))))</f>
        <v>0</v>
      </c>
    </row>
    <row r="177" spans="1:1">
      <c r="A177" s="39">
        <f>IF('Additional Chemicals'!B177 = "", "", IF('Additional Chemicals-WUO_ERR'!A177 = "", "Validated", HYPERLINK("#" &amp; ADDRESS(177, 'Additional Chemicals-WUO_TRK'!A177),_xlfn.TEXTAFTER('Additional Chemicals-WUO_ERR'!A177, ":"))))</f>
        <v>0</v>
      </c>
    </row>
    <row r="178" spans="1:1">
      <c r="A178" s="39">
        <f>IF('Additional Chemicals'!B178 = "", "", IF('Additional Chemicals-WUO_ERR'!A178 = "", "Validated", HYPERLINK("#" &amp; ADDRESS(178, 'Additional Chemicals-WUO_TRK'!A178),_xlfn.TEXTAFTER('Additional Chemicals-WUO_ERR'!A178, ":"))))</f>
        <v>0</v>
      </c>
    </row>
    <row r="179" spans="1:1">
      <c r="A179" s="39">
        <f>IF('Additional Chemicals'!B179 = "", "", IF('Additional Chemicals-WUO_ERR'!A179 = "", "Validated", HYPERLINK("#" &amp; ADDRESS(179, 'Additional Chemicals-WUO_TRK'!A179),_xlfn.TEXTAFTER('Additional Chemicals-WUO_ERR'!A179, ":"))))</f>
        <v>0</v>
      </c>
    </row>
    <row r="180" spans="1:1">
      <c r="A180" s="39">
        <f>IF('Additional Chemicals'!B180 = "", "", IF('Additional Chemicals-WUO_ERR'!A180 = "", "Validated", HYPERLINK("#" &amp; ADDRESS(180, 'Additional Chemicals-WUO_TRK'!A180),_xlfn.TEXTAFTER('Additional Chemicals-WUO_ERR'!A180, ":"))))</f>
        <v>0</v>
      </c>
    </row>
    <row r="181" spans="1:1">
      <c r="A181" s="39">
        <f>IF('Additional Chemicals'!B181 = "", "", IF('Additional Chemicals-WUO_ERR'!A181 = "", "Validated", HYPERLINK("#" &amp; ADDRESS(181, 'Additional Chemicals-WUO_TRK'!A181),_xlfn.TEXTAFTER('Additional Chemicals-WUO_ERR'!A181, ":"))))</f>
        <v>0</v>
      </c>
    </row>
    <row r="182" spans="1:1">
      <c r="A182" s="39">
        <f>IF('Additional Chemicals'!B182 = "", "", IF('Additional Chemicals-WUO_ERR'!A182 = "", "Validated", HYPERLINK("#" &amp; ADDRESS(182, 'Additional Chemicals-WUO_TRK'!A182),_xlfn.TEXTAFTER('Additional Chemicals-WUO_ERR'!A182, ":"))))</f>
        <v>0</v>
      </c>
    </row>
    <row r="183" spans="1:1">
      <c r="A183" s="39">
        <f>IF('Additional Chemicals'!B183 = "", "", IF('Additional Chemicals-WUO_ERR'!A183 = "", "Validated", HYPERLINK("#" &amp; ADDRESS(183, 'Additional Chemicals-WUO_TRK'!A183),_xlfn.TEXTAFTER('Additional Chemicals-WUO_ERR'!A183, ":"))))</f>
        <v>0</v>
      </c>
    </row>
    <row r="184" spans="1:1">
      <c r="A184" s="39">
        <f>IF('Additional Chemicals'!B184 = "", "", IF('Additional Chemicals-WUO_ERR'!A184 = "", "Validated", HYPERLINK("#" &amp; ADDRESS(184, 'Additional Chemicals-WUO_TRK'!A184),_xlfn.TEXTAFTER('Additional Chemicals-WUO_ERR'!A184, ":"))))</f>
        <v>0</v>
      </c>
    </row>
    <row r="185" spans="1:1">
      <c r="A185" s="39">
        <f>IF('Additional Chemicals'!B185 = "", "", IF('Additional Chemicals-WUO_ERR'!A185 = "", "Validated", HYPERLINK("#" &amp; ADDRESS(185, 'Additional Chemicals-WUO_TRK'!A185),_xlfn.TEXTAFTER('Additional Chemicals-WUO_ERR'!A185, ":"))))</f>
        <v>0</v>
      </c>
    </row>
    <row r="186" spans="1:1">
      <c r="A186" s="39">
        <f>IF('Additional Chemicals'!B186 = "", "", IF('Additional Chemicals-WUO_ERR'!A186 = "", "Validated", HYPERLINK("#" &amp; ADDRESS(186, 'Additional Chemicals-WUO_TRK'!A186),_xlfn.TEXTAFTER('Additional Chemicals-WUO_ERR'!A186, ":"))))</f>
        <v>0</v>
      </c>
    </row>
    <row r="187" spans="1:1">
      <c r="A187" s="39">
        <f>IF('Additional Chemicals'!B187 = "", "", IF('Additional Chemicals-WUO_ERR'!A187 = "", "Validated", HYPERLINK("#" &amp; ADDRESS(187, 'Additional Chemicals-WUO_TRK'!A187),_xlfn.TEXTAFTER('Additional Chemicals-WUO_ERR'!A187, ":"))))</f>
        <v>0</v>
      </c>
    </row>
    <row r="188" spans="1:1">
      <c r="A188" s="39">
        <f>IF('Additional Chemicals'!B188 = "", "", IF('Additional Chemicals-WUO_ERR'!A188 = "", "Validated", HYPERLINK("#" &amp; ADDRESS(188, 'Additional Chemicals-WUO_TRK'!A188),_xlfn.TEXTAFTER('Additional Chemicals-WUO_ERR'!A188, ":"))))</f>
        <v>0</v>
      </c>
    </row>
    <row r="189" spans="1:1">
      <c r="A189" s="39">
        <f>IF('Additional Chemicals'!B189 = "", "", IF('Additional Chemicals-WUO_ERR'!A189 = "", "Validated", HYPERLINK("#" &amp; ADDRESS(189, 'Additional Chemicals-WUO_TRK'!A189),_xlfn.TEXTAFTER('Additional Chemicals-WUO_ERR'!A189, ":"))))</f>
        <v>0</v>
      </c>
    </row>
    <row r="190" spans="1:1">
      <c r="A190" s="39">
        <f>IF('Additional Chemicals'!B190 = "", "", IF('Additional Chemicals-WUO_ERR'!A190 = "", "Validated", HYPERLINK("#" &amp; ADDRESS(190, 'Additional Chemicals-WUO_TRK'!A190),_xlfn.TEXTAFTER('Additional Chemicals-WUO_ERR'!A190, ":"))))</f>
        <v>0</v>
      </c>
    </row>
    <row r="191" spans="1:1">
      <c r="A191" s="39">
        <f>IF('Additional Chemicals'!B191 = "", "", IF('Additional Chemicals-WUO_ERR'!A191 = "", "Validated", HYPERLINK("#" &amp; ADDRESS(191, 'Additional Chemicals-WUO_TRK'!A191),_xlfn.TEXTAFTER('Additional Chemicals-WUO_ERR'!A191, ":"))))</f>
        <v>0</v>
      </c>
    </row>
    <row r="192" spans="1:1">
      <c r="A192" s="39">
        <f>IF('Additional Chemicals'!B192 = "", "", IF('Additional Chemicals-WUO_ERR'!A192 = "", "Validated", HYPERLINK("#" &amp; ADDRESS(192, 'Additional Chemicals-WUO_TRK'!A192),_xlfn.TEXTAFTER('Additional Chemicals-WUO_ERR'!A192, ":"))))</f>
        <v>0</v>
      </c>
    </row>
    <row r="193" spans="1:1">
      <c r="A193" s="39">
        <f>IF('Additional Chemicals'!B193 = "", "", IF('Additional Chemicals-WUO_ERR'!A193 = "", "Validated", HYPERLINK("#" &amp; ADDRESS(193, 'Additional Chemicals-WUO_TRK'!A193),_xlfn.TEXTAFTER('Additional Chemicals-WUO_ERR'!A193, ":"))))</f>
        <v>0</v>
      </c>
    </row>
    <row r="194" spans="1:1">
      <c r="A194" s="39">
        <f>IF('Additional Chemicals'!B194 = "", "", IF('Additional Chemicals-WUO_ERR'!A194 = "", "Validated", HYPERLINK("#" &amp; ADDRESS(194, 'Additional Chemicals-WUO_TRK'!A194),_xlfn.TEXTAFTER('Additional Chemicals-WUO_ERR'!A194, ":"))))</f>
        <v>0</v>
      </c>
    </row>
    <row r="195" spans="1:1">
      <c r="A195" s="39">
        <f>IF('Additional Chemicals'!B195 = "", "", IF('Additional Chemicals-WUO_ERR'!A195 = "", "Validated", HYPERLINK("#" &amp; ADDRESS(195, 'Additional Chemicals-WUO_TRK'!A195),_xlfn.TEXTAFTER('Additional Chemicals-WUO_ERR'!A195, ":"))))</f>
        <v>0</v>
      </c>
    </row>
    <row r="196" spans="1:1">
      <c r="A196" s="39">
        <f>IF('Additional Chemicals'!B196 = "", "", IF('Additional Chemicals-WUO_ERR'!A196 = "", "Validated", HYPERLINK("#" &amp; ADDRESS(196, 'Additional Chemicals-WUO_TRK'!A196),_xlfn.TEXTAFTER('Additional Chemicals-WUO_ERR'!A196, ":"))))</f>
        <v>0</v>
      </c>
    </row>
    <row r="197" spans="1:1">
      <c r="A197" s="39">
        <f>IF('Additional Chemicals'!B197 = "", "", IF('Additional Chemicals-WUO_ERR'!A197 = "", "Validated", HYPERLINK("#" &amp; ADDRESS(197, 'Additional Chemicals-WUO_TRK'!A197),_xlfn.TEXTAFTER('Additional Chemicals-WUO_ERR'!A197, ":"))))</f>
        <v>0</v>
      </c>
    </row>
    <row r="198" spans="1:1">
      <c r="A198" s="39">
        <f>IF('Additional Chemicals'!B198 = "", "", IF('Additional Chemicals-WUO_ERR'!A198 = "", "Validated", HYPERLINK("#" &amp; ADDRESS(198, 'Additional Chemicals-WUO_TRK'!A198),_xlfn.TEXTAFTER('Additional Chemicals-WUO_ERR'!A198, ":"))))</f>
        <v>0</v>
      </c>
    </row>
    <row r="199" spans="1:1">
      <c r="A199" s="39">
        <f>IF('Additional Chemicals'!B199 = "", "", IF('Additional Chemicals-WUO_ERR'!A199 = "", "Validated", HYPERLINK("#" &amp; ADDRESS(199, 'Additional Chemicals-WUO_TRK'!A199),_xlfn.TEXTAFTER('Additional Chemicals-WUO_ERR'!A199, ":"))))</f>
        <v>0</v>
      </c>
    </row>
    <row r="200" spans="1:1">
      <c r="A200" s="39">
        <f>IF('Additional Chemicals'!B200 = "", "", IF('Additional Chemicals-WUO_ERR'!A200 = "", "Validated", HYPERLINK("#" &amp; ADDRESS(200, 'Additional Chemicals-WUO_TRK'!A200),_xlfn.TEXTAFTER('Additional Chemicals-WUO_ERR'!A200, ":"))))</f>
        <v>0</v>
      </c>
    </row>
    <row r="201" spans="1:1">
      <c r="A201" s="39">
        <f>IF('Additional Chemicals'!B201 = "", "", IF('Additional Chemicals-WUO_ERR'!A201 = "", "Validated", HYPERLINK("#" &amp; ADDRESS(201, 'Additional Chemicals-WUO_TRK'!A201),_xlfn.TEXTAFTER('Additional Chemicals-WUO_ERR'!A201, ":"))))</f>
        <v>0</v>
      </c>
    </row>
    <row r="202" spans="1:1">
      <c r="A202" s="39">
        <f>IF('Additional Chemicals'!B202 = "", "", IF('Additional Chemicals-WUO_ERR'!A202 = "", "Validated", HYPERLINK("#" &amp; ADDRESS(202, 'Additional Chemicals-WUO_TRK'!A202),_xlfn.TEXTAFTER('Additional Chemicals-WUO_ERR'!A202, ":"))))</f>
        <v>0</v>
      </c>
    </row>
    <row r="203" spans="1:1">
      <c r="A203" s="39">
        <f>IF('Additional Chemicals'!B203 = "", "", IF('Additional Chemicals-WUO_ERR'!A203 = "", "Validated", HYPERLINK("#" &amp; ADDRESS(203, 'Additional Chemicals-WUO_TRK'!A203),_xlfn.TEXTAFTER('Additional Chemicals-WUO_ERR'!A203, ":"))))</f>
        <v>0</v>
      </c>
    </row>
    <row r="204" spans="1:1">
      <c r="A204" s="39">
        <f>IF('Additional Chemicals'!B204 = "", "", IF('Additional Chemicals-WUO_ERR'!A204 = "", "Validated", HYPERLINK("#" &amp; ADDRESS(204, 'Additional Chemicals-WUO_TRK'!A204),_xlfn.TEXTAFTER('Additional Chemicals-WUO_ERR'!A204, ":"))))</f>
        <v>0</v>
      </c>
    </row>
    <row r="205" spans="1:1">
      <c r="A205" s="39">
        <f>IF('Additional Chemicals'!B205 = "", "", IF('Additional Chemicals-WUO_ERR'!A205 = "", "Validated", HYPERLINK("#" &amp; ADDRESS(205, 'Additional Chemicals-WUO_TRK'!A205),_xlfn.TEXTAFTER('Additional Chemicals-WUO_ERR'!A205, ":"))))</f>
        <v>0</v>
      </c>
    </row>
    <row r="206" spans="1:1">
      <c r="A206" s="39">
        <f>IF('Additional Chemicals'!B206 = "", "", IF('Additional Chemicals-WUO_ERR'!A206 = "", "Validated", HYPERLINK("#" &amp; ADDRESS(206, 'Additional Chemicals-WUO_TRK'!A206),_xlfn.TEXTAFTER('Additional Chemicals-WUO_ERR'!A206, ":"))))</f>
        <v>0</v>
      </c>
    </row>
    <row r="207" spans="1:1">
      <c r="A207" s="39">
        <f>IF('Additional Chemicals'!B207 = "", "", IF('Additional Chemicals-WUO_ERR'!A207 = "", "Validated", HYPERLINK("#" &amp; ADDRESS(207, 'Additional Chemicals-WUO_TRK'!A207),_xlfn.TEXTAFTER('Additional Chemicals-WUO_ERR'!A207, ":"))))</f>
        <v>0</v>
      </c>
    </row>
    <row r="208" spans="1:1">
      <c r="A208" s="39">
        <f>IF('Additional Chemicals'!B208 = "", "", IF('Additional Chemicals-WUO_ERR'!A208 = "", "Validated", HYPERLINK("#" &amp; ADDRESS(208, 'Additional Chemicals-WUO_TRK'!A208),_xlfn.TEXTAFTER('Additional Chemicals-WUO_ERR'!A208, ":"))))</f>
        <v>0</v>
      </c>
    </row>
    <row r="209" spans="1:1">
      <c r="A209" s="39">
        <f>IF('Additional Chemicals'!B209 = "", "", IF('Additional Chemicals-WUO_ERR'!A209 = "", "Validated", HYPERLINK("#" &amp; ADDRESS(209, 'Additional Chemicals-WUO_TRK'!A209),_xlfn.TEXTAFTER('Additional Chemicals-WUO_ERR'!A209, ":"))))</f>
        <v>0</v>
      </c>
    </row>
    <row r="210" spans="1:1">
      <c r="A210" s="39">
        <f>IF('Additional Chemicals'!B210 = "", "", IF('Additional Chemicals-WUO_ERR'!A210 = "", "Validated", HYPERLINK("#" &amp; ADDRESS(210, 'Additional Chemicals-WUO_TRK'!A210),_xlfn.TEXTAFTER('Additional Chemicals-WUO_ERR'!A210, ":"))))</f>
        <v>0</v>
      </c>
    </row>
    <row r="211" spans="1:1">
      <c r="A211" s="39">
        <f>IF('Additional Chemicals'!B211 = "", "", IF('Additional Chemicals-WUO_ERR'!A211 = "", "Validated", HYPERLINK("#" &amp; ADDRESS(211, 'Additional Chemicals-WUO_TRK'!A211),_xlfn.TEXTAFTER('Additional Chemicals-WUO_ERR'!A211, ":"))))</f>
        <v>0</v>
      </c>
    </row>
    <row r="212" spans="1:1">
      <c r="A212" s="39">
        <f>IF('Additional Chemicals'!B212 = "", "", IF('Additional Chemicals-WUO_ERR'!A212 = "", "Validated", HYPERLINK("#" &amp; ADDRESS(212, 'Additional Chemicals-WUO_TRK'!A212),_xlfn.TEXTAFTER('Additional Chemicals-WUO_ERR'!A212, ":"))))</f>
        <v>0</v>
      </c>
    </row>
    <row r="213" spans="1:1">
      <c r="A213" s="39">
        <f>IF('Additional Chemicals'!B213 = "", "", IF('Additional Chemicals-WUO_ERR'!A213 = "", "Validated", HYPERLINK("#" &amp; ADDRESS(213, 'Additional Chemicals-WUO_TRK'!A213),_xlfn.TEXTAFTER('Additional Chemicals-WUO_ERR'!A213, ":"))))</f>
        <v>0</v>
      </c>
    </row>
    <row r="214" spans="1:1">
      <c r="A214" s="39">
        <f>IF('Additional Chemicals'!B214 = "", "", IF('Additional Chemicals-WUO_ERR'!A214 = "", "Validated", HYPERLINK("#" &amp; ADDRESS(214, 'Additional Chemicals-WUO_TRK'!A214),_xlfn.TEXTAFTER('Additional Chemicals-WUO_ERR'!A214, ":"))))</f>
        <v>0</v>
      </c>
    </row>
    <row r="215" spans="1:1">
      <c r="A215" s="39">
        <f>IF('Additional Chemicals'!B215 = "", "", IF('Additional Chemicals-WUO_ERR'!A215 = "", "Validated", HYPERLINK("#" &amp; ADDRESS(215, 'Additional Chemicals-WUO_TRK'!A215),_xlfn.TEXTAFTER('Additional Chemicals-WUO_ERR'!A215, ":"))))</f>
        <v>0</v>
      </c>
    </row>
    <row r="216" spans="1:1">
      <c r="A216" s="39">
        <f>IF('Additional Chemicals'!B216 = "", "", IF('Additional Chemicals-WUO_ERR'!A216 = "", "Validated", HYPERLINK("#" &amp; ADDRESS(216, 'Additional Chemicals-WUO_TRK'!A216),_xlfn.TEXTAFTER('Additional Chemicals-WUO_ERR'!A216, ":"))))</f>
        <v>0</v>
      </c>
    </row>
    <row r="217" spans="1:1">
      <c r="A217" s="39">
        <f>IF('Additional Chemicals'!B217 = "", "", IF('Additional Chemicals-WUO_ERR'!A217 = "", "Validated", HYPERLINK("#" &amp; ADDRESS(217, 'Additional Chemicals-WUO_TRK'!A217),_xlfn.TEXTAFTER('Additional Chemicals-WUO_ERR'!A217, ":"))))</f>
        <v>0</v>
      </c>
    </row>
    <row r="218" spans="1:1">
      <c r="A218" s="39">
        <f>IF('Additional Chemicals'!B218 = "", "", IF('Additional Chemicals-WUO_ERR'!A218 = "", "Validated", HYPERLINK("#" &amp; ADDRESS(218, 'Additional Chemicals-WUO_TRK'!A218),_xlfn.TEXTAFTER('Additional Chemicals-WUO_ERR'!A218, ":"))))</f>
        <v>0</v>
      </c>
    </row>
    <row r="219" spans="1:1">
      <c r="A219" s="39">
        <f>IF('Additional Chemicals'!B219 = "", "", IF('Additional Chemicals-WUO_ERR'!A219 = "", "Validated", HYPERLINK("#" &amp; ADDRESS(219, 'Additional Chemicals-WUO_TRK'!A219),_xlfn.TEXTAFTER('Additional Chemicals-WUO_ERR'!A219, ":"))))</f>
        <v>0</v>
      </c>
    </row>
    <row r="220" spans="1:1">
      <c r="A220" s="39">
        <f>IF('Additional Chemicals'!B220 = "", "", IF('Additional Chemicals-WUO_ERR'!A220 = "", "Validated", HYPERLINK("#" &amp; ADDRESS(220, 'Additional Chemicals-WUO_TRK'!A220),_xlfn.TEXTAFTER('Additional Chemicals-WUO_ERR'!A220, ":"))))</f>
        <v>0</v>
      </c>
    </row>
    <row r="221" spans="1:1">
      <c r="A221" s="39">
        <f>IF('Additional Chemicals'!B221 = "", "", IF('Additional Chemicals-WUO_ERR'!A221 = "", "Validated", HYPERLINK("#" &amp; ADDRESS(221, 'Additional Chemicals-WUO_TRK'!A221),_xlfn.TEXTAFTER('Additional Chemicals-WUO_ERR'!A221, ":"))))</f>
        <v>0</v>
      </c>
    </row>
    <row r="222" spans="1:1">
      <c r="A222" s="39">
        <f>IF('Additional Chemicals'!B222 = "", "", IF('Additional Chemicals-WUO_ERR'!A222 = "", "Validated", HYPERLINK("#" &amp; ADDRESS(222, 'Additional Chemicals-WUO_TRK'!A222),_xlfn.TEXTAFTER('Additional Chemicals-WUO_ERR'!A222, ":"))))</f>
        <v>0</v>
      </c>
    </row>
    <row r="223" spans="1:1">
      <c r="A223" s="39">
        <f>IF('Additional Chemicals'!B223 = "", "", IF('Additional Chemicals-WUO_ERR'!A223 = "", "Validated", HYPERLINK("#" &amp; ADDRESS(223, 'Additional Chemicals-WUO_TRK'!A223),_xlfn.TEXTAFTER('Additional Chemicals-WUO_ERR'!A223, ":"))))</f>
        <v>0</v>
      </c>
    </row>
    <row r="224" spans="1:1">
      <c r="A224" s="39">
        <f>IF('Additional Chemicals'!B224 = "", "", IF('Additional Chemicals-WUO_ERR'!A224 = "", "Validated", HYPERLINK("#" &amp; ADDRESS(224, 'Additional Chemicals-WUO_TRK'!A224),_xlfn.TEXTAFTER('Additional Chemicals-WUO_ERR'!A224, ":"))))</f>
        <v>0</v>
      </c>
    </row>
    <row r="225" spans="1:1">
      <c r="A225" s="39">
        <f>IF('Additional Chemicals'!B225 = "", "", IF('Additional Chemicals-WUO_ERR'!A225 = "", "Validated", HYPERLINK("#" &amp; ADDRESS(225, 'Additional Chemicals-WUO_TRK'!A225),_xlfn.TEXTAFTER('Additional Chemicals-WUO_ERR'!A225, ":"))))</f>
        <v>0</v>
      </c>
    </row>
    <row r="226" spans="1:1">
      <c r="A226" s="39">
        <f>IF('Additional Chemicals'!B226 = "", "", IF('Additional Chemicals-WUO_ERR'!A226 = "", "Validated", HYPERLINK("#" &amp; ADDRESS(226, 'Additional Chemicals-WUO_TRK'!A226),_xlfn.TEXTAFTER('Additional Chemicals-WUO_ERR'!A226, ":"))))</f>
        <v>0</v>
      </c>
    </row>
    <row r="227" spans="1:1">
      <c r="A227" s="39">
        <f>IF('Additional Chemicals'!B227 = "", "", IF('Additional Chemicals-WUO_ERR'!A227 = "", "Validated", HYPERLINK("#" &amp; ADDRESS(227, 'Additional Chemicals-WUO_TRK'!A227),_xlfn.TEXTAFTER('Additional Chemicals-WUO_ERR'!A227, ":"))))</f>
        <v>0</v>
      </c>
    </row>
    <row r="228" spans="1:1">
      <c r="A228" s="39">
        <f>IF('Additional Chemicals'!B228 = "", "", IF('Additional Chemicals-WUO_ERR'!A228 = "", "Validated", HYPERLINK("#" &amp; ADDRESS(228, 'Additional Chemicals-WUO_TRK'!A228),_xlfn.TEXTAFTER('Additional Chemicals-WUO_ERR'!A228, ":"))))</f>
        <v>0</v>
      </c>
    </row>
    <row r="229" spans="1:1">
      <c r="A229" s="39">
        <f>IF('Additional Chemicals'!B229 = "", "", IF('Additional Chemicals-WUO_ERR'!A229 = "", "Validated", HYPERLINK("#" &amp; ADDRESS(229, 'Additional Chemicals-WUO_TRK'!A229),_xlfn.TEXTAFTER('Additional Chemicals-WUO_ERR'!A229, ":"))))</f>
        <v>0</v>
      </c>
    </row>
    <row r="230" spans="1:1">
      <c r="A230" s="39">
        <f>IF('Additional Chemicals'!B230 = "", "", IF('Additional Chemicals-WUO_ERR'!A230 = "", "Validated", HYPERLINK("#" &amp; ADDRESS(230, 'Additional Chemicals-WUO_TRK'!A230),_xlfn.TEXTAFTER('Additional Chemicals-WUO_ERR'!A230, ":"))))</f>
        <v>0</v>
      </c>
    </row>
    <row r="231" spans="1:1">
      <c r="A231" s="39">
        <f>IF('Additional Chemicals'!B231 = "", "", IF('Additional Chemicals-WUO_ERR'!A231 = "", "Validated", HYPERLINK("#" &amp; ADDRESS(231, 'Additional Chemicals-WUO_TRK'!A231),_xlfn.TEXTAFTER('Additional Chemicals-WUO_ERR'!A231, ":"))))</f>
        <v>0</v>
      </c>
    </row>
    <row r="232" spans="1:1">
      <c r="A232" s="39">
        <f>IF('Additional Chemicals'!B232 = "", "", IF('Additional Chemicals-WUO_ERR'!A232 = "", "Validated", HYPERLINK("#" &amp; ADDRESS(232, 'Additional Chemicals-WUO_TRK'!A232),_xlfn.TEXTAFTER('Additional Chemicals-WUO_ERR'!A232, ":"))))</f>
        <v>0</v>
      </c>
    </row>
    <row r="233" spans="1:1">
      <c r="A233" s="39">
        <f>IF('Additional Chemicals'!B233 = "", "", IF('Additional Chemicals-WUO_ERR'!A233 = "", "Validated", HYPERLINK("#" &amp; ADDRESS(233, 'Additional Chemicals-WUO_TRK'!A233),_xlfn.TEXTAFTER('Additional Chemicals-WUO_ERR'!A233, ":"))))</f>
        <v>0</v>
      </c>
    </row>
    <row r="234" spans="1:1">
      <c r="A234" s="39">
        <f>IF('Additional Chemicals'!B234 = "", "", IF('Additional Chemicals-WUO_ERR'!A234 = "", "Validated", HYPERLINK("#" &amp; ADDRESS(234, 'Additional Chemicals-WUO_TRK'!A234),_xlfn.TEXTAFTER('Additional Chemicals-WUO_ERR'!A234, ":"))))</f>
        <v>0</v>
      </c>
    </row>
    <row r="235" spans="1:1">
      <c r="A235" s="39">
        <f>IF('Additional Chemicals'!B235 = "", "", IF('Additional Chemicals-WUO_ERR'!A235 = "", "Validated", HYPERLINK("#" &amp; ADDRESS(235, 'Additional Chemicals-WUO_TRK'!A235),_xlfn.TEXTAFTER('Additional Chemicals-WUO_ERR'!A235, ":"))))</f>
        <v>0</v>
      </c>
    </row>
    <row r="236" spans="1:1">
      <c r="A236" s="39">
        <f>IF('Additional Chemicals'!B236 = "", "", IF('Additional Chemicals-WUO_ERR'!A236 = "", "Validated", HYPERLINK("#" &amp; ADDRESS(236, 'Additional Chemicals-WUO_TRK'!A236),_xlfn.TEXTAFTER('Additional Chemicals-WUO_ERR'!A236, ":"))))</f>
        <v>0</v>
      </c>
    </row>
    <row r="237" spans="1:1">
      <c r="A237" s="39">
        <f>IF('Additional Chemicals'!B237 = "", "", IF('Additional Chemicals-WUO_ERR'!A237 = "", "Validated", HYPERLINK("#" &amp; ADDRESS(237, 'Additional Chemicals-WUO_TRK'!A237),_xlfn.TEXTAFTER('Additional Chemicals-WUO_ERR'!A237, ":"))))</f>
        <v>0</v>
      </c>
    </row>
    <row r="238" spans="1:1">
      <c r="A238" s="39">
        <f>IF('Additional Chemicals'!B238 = "", "", IF('Additional Chemicals-WUO_ERR'!A238 = "", "Validated", HYPERLINK("#" &amp; ADDRESS(238, 'Additional Chemicals-WUO_TRK'!A238),_xlfn.TEXTAFTER('Additional Chemicals-WUO_ERR'!A238, ":"))))</f>
        <v>0</v>
      </c>
    </row>
    <row r="239" spans="1:1">
      <c r="A239" s="39">
        <f>IF('Additional Chemicals'!B239 = "", "", IF('Additional Chemicals-WUO_ERR'!A239 = "", "Validated", HYPERLINK("#" &amp; ADDRESS(239, 'Additional Chemicals-WUO_TRK'!A239),_xlfn.TEXTAFTER('Additional Chemicals-WUO_ERR'!A239, ":"))))</f>
        <v>0</v>
      </c>
    </row>
    <row r="240" spans="1:1">
      <c r="A240" s="39">
        <f>IF('Additional Chemicals'!B240 = "", "", IF('Additional Chemicals-WUO_ERR'!A240 = "", "Validated", HYPERLINK("#" &amp; ADDRESS(240, 'Additional Chemicals-WUO_TRK'!A240),_xlfn.TEXTAFTER('Additional Chemicals-WUO_ERR'!A240, ":"))))</f>
        <v>0</v>
      </c>
    </row>
    <row r="241" spans="1:1">
      <c r="A241" s="39">
        <f>IF('Additional Chemicals'!B241 = "", "", IF('Additional Chemicals-WUO_ERR'!A241 = "", "Validated", HYPERLINK("#" &amp; ADDRESS(241, 'Additional Chemicals-WUO_TRK'!A241),_xlfn.TEXTAFTER('Additional Chemicals-WUO_ERR'!A241, ":"))))</f>
        <v>0</v>
      </c>
    </row>
    <row r="242" spans="1:1">
      <c r="A242" s="39">
        <f>IF('Additional Chemicals'!B242 = "", "", IF('Additional Chemicals-WUO_ERR'!A242 = "", "Validated", HYPERLINK("#" &amp; ADDRESS(242, 'Additional Chemicals-WUO_TRK'!A242),_xlfn.TEXTAFTER('Additional Chemicals-WUO_ERR'!A242, ":"))))</f>
        <v>0</v>
      </c>
    </row>
    <row r="243" spans="1:1">
      <c r="A243" s="39">
        <f>IF('Additional Chemicals'!B243 = "", "", IF('Additional Chemicals-WUO_ERR'!A243 = "", "Validated", HYPERLINK("#" &amp; ADDRESS(243, 'Additional Chemicals-WUO_TRK'!A243),_xlfn.TEXTAFTER('Additional Chemicals-WUO_ERR'!A243, ":"))))</f>
        <v>0</v>
      </c>
    </row>
    <row r="244" spans="1:1">
      <c r="A244" s="39">
        <f>IF('Additional Chemicals'!B244 = "", "", IF('Additional Chemicals-WUO_ERR'!A244 = "", "Validated", HYPERLINK("#" &amp; ADDRESS(244, 'Additional Chemicals-WUO_TRK'!A244),_xlfn.TEXTAFTER('Additional Chemicals-WUO_ERR'!A244, ":"))))</f>
        <v>0</v>
      </c>
    </row>
    <row r="245" spans="1:1">
      <c r="A245" s="39">
        <f>IF('Additional Chemicals'!B245 = "", "", IF('Additional Chemicals-WUO_ERR'!A245 = "", "Validated", HYPERLINK("#" &amp; ADDRESS(245, 'Additional Chemicals-WUO_TRK'!A245),_xlfn.TEXTAFTER('Additional Chemicals-WUO_ERR'!A245, ":"))))</f>
        <v>0</v>
      </c>
    </row>
    <row r="246" spans="1:1">
      <c r="A246" s="39">
        <f>IF('Additional Chemicals'!B246 = "", "", IF('Additional Chemicals-WUO_ERR'!A246 = "", "Validated", HYPERLINK("#" &amp; ADDRESS(246, 'Additional Chemicals-WUO_TRK'!A246),_xlfn.TEXTAFTER('Additional Chemicals-WUO_ERR'!A246, ":"))))</f>
        <v>0</v>
      </c>
    </row>
    <row r="247" spans="1:1">
      <c r="A247" s="39">
        <f>IF('Additional Chemicals'!B247 = "", "", IF('Additional Chemicals-WUO_ERR'!A247 = "", "Validated", HYPERLINK("#" &amp; ADDRESS(247, 'Additional Chemicals-WUO_TRK'!A247),_xlfn.TEXTAFTER('Additional Chemicals-WUO_ERR'!A247, ":"))))</f>
        <v>0</v>
      </c>
    </row>
    <row r="248" spans="1:1">
      <c r="A248" s="39">
        <f>IF('Additional Chemicals'!B248 = "", "", IF('Additional Chemicals-WUO_ERR'!A248 = "", "Validated", HYPERLINK("#" &amp; ADDRESS(248, 'Additional Chemicals-WUO_TRK'!A248),_xlfn.TEXTAFTER('Additional Chemicals-WUO_ERR'!A248, ":"))))</f>
        <v>0</v>
      </c>
    </row>
    <row r="249" spans="1:1">
      <c r="A249" s="39">
        <f>IF('Additional Chemicals'!B249 = "", "", IF('Additional Chemicals-WUO_ERR'!A249 = "", "Validated", HYPERLINK("#" &amp; ADDRESS(249, 'Additional Chemicals-WUO_TRK'!A249),_xlfn.TEXTAFTER('Additional Chemicals-WUO_ERR'!A249, ":"))))</f>
        <v>0</v>
      </c>
    </row>
    <row r="250" spans="1:1">
      <c r="A250" s="39">
        <f>IF('Additional Chemicals'!B250 = "", "", IF('Additional Chemicals-WUO_ERR'!A250 = "", "Validated", HYPERLINK("#" &amp; ADDRESS(250, 'Additional Chemicals-WUO_TRK'!A250),_xlfn.TEXTAFTER('Additional Chemicals-WUO_ERR'!A250, ":"))))</f>
        <v>0</v>
      </c>
    </row>
    <row r="251" spans="1:1">
      <c r="A251" s="39">
        <f>IF('Additional Chemicals'!B251 = "", "", IF('Additional Chemicals-WUO_ERR'!A251 = "", "Validated", HYPERLINK("#" &amp; ADDRESS(251, 'Additional Chemicals-WUO_TRK'!A251),_xlfn.TEXTAFTER('Additional Chemicals-WUO_ERR'!A251, ":"))))</f>
        <v>0</v>
      </c>
    </row>
    <row r="252" spans="1:1">
      <c r="A252" s="39">
        <f>IF('Additional Chemicals'!B252 = "", "", IF('Additional Chemicals-WUO_ERR'!A252 = "", "Validated", HYPERLINK("#" &amp; ADDRESS(252, 'Additional Chemicals-WUO_TRK'!A252),_xlfn.TEXTAFTER('Additional Chemicals-WUO_ERR'!A252, ":"))))</f>
        <v>0</v>
      </c>
    </row>
    <row r="253" spans="1:1">
      <c r="A253" s="39">
        <f>IF('Additional Chemicals'!B253 = "", "", IF('Additional Chemicals-WUO_ERR'!A253 = "", "Validated", HYPERLINK("#" &amp; ADDRESS(253, 'Additional Chemicals-WUO_TRK'!A253),_xlfn.TEXTAFTER('Additional Chemicals-WUO_ERR'!A253, ":"))))</f>
        <v>0</v>
      </c>
    </row>
    <row r="254" spans="1:1">
      <c r="A254" s="39">
        <f>IF('Additional Chemicals'!B254 = "", "", IF('Additional Chemicals-WUO_ERR'!A254 = "", "Validated", HYPERLINK("#" &amp; ADDRESS(254, 'Additional Chemicals-WUO_TRK'!A254),_xlfn.TEXTAFTER('Additional Chemicals-WUO_ERR'!A254, ":"))))</f>
        <v>0</v>
      </c>
    </row>
    <row r="255" spans="1:1">
      <c r="A255" s="39">
        <f>IF('Additional Chemicals'!B255 = "", "", IF('Additional Chemicals-WUO_ERR'!A255 = "", "Validated", HYPERLINK("#" &amp; ADDRESS(255, 'Additional Chemicals-WUO_TRK'!A255),_xlfn.TEXTAFTER('Additional Chemicals-WUO_ERR'!A255, ":"))))</f>
        <v>0</v>
      </c>
    </row>
    <row r="256" spans="1:1">
      <c r="A256" s="39">
        <f>IF('Additional Chemicals'!B256 = "", "", IF('Additional Chemicals-WUO_ERR'!A256 = "", "Validated", HYPERLINK("#" &amp; ADDRESS(256, 'Additional Chemicals-WUO_TRK'!A256),_xlfn.TEXTAFTER('Additional Chemicals-WUO_ERR'!A256, ":"))))</f>
        <v>0</v>
      </c>
    </row>
    <row r="257" spans="1:1">
      <c r="A257" s="39">
        <f>IF('Additional Chemicals'!B257 = "", "", IF('Additional Chemicals-WUO_ERR'!A257 = "", "Validated", HYPERLINK("#" &amp; ADDRESS(257, 'Additional Chemicals-WUO_TRK'!A257),_xlfn.TEXTAFTER('Additional Chemicals-WUO_ERR'!A257, ":"))))</f>
        <v>0</v>
      </c>
    </row>
    <row r="258" spans="1:1">
      <c r="A258" s="39">
        <f>IF('Additional Chemicals'!B258 = "", "", IF('Additional Chemicals-WUO_ERR'!A258 = "", "Validated", HYPERLINK("#" &amp; ADDRESS(258, 'Additional Chemicals-WUO_TRK'!A258),_xlfn.TEXTAFTER('Additional Chemicals-WUO_ERR'!A258, ":"))))</f>
        <v>0</v>
      </c>
    </row>
    <row r="259" spans="1:1">
      <c r="A259" s="39">
        <f>IF('Additional Chemicals'!B259 = "", "", IF('Additional Chemicals-WUO_ERR'!A259 = "", "Validated", HYPERLINK("#" &amp; ADDRESS(259, 'Additional Chemicals-WUO_TRK'!A259),_xlfn.TEXTAFTER('Additional Chemicals-WUO_ERR'!A259, ":"))))</f>
        <v>0</v>
      </c>
    </row>
    <row r="260" spans="1:1">
      <c r="A260" s="39">
        <f>IF('Additional Chemicals'!B260 = "", "", IF('Additional Chemicals-WUO_ERR'!A260 = "", "Validated", HYPERLINK("#" &amp; ADDRESS(260, 'Additional Chemicals-WUO_TRK'!A260),_xlfn.TEXTAFTER('Additional Chemicals-WUO_ERR'!A260, ":"))))</f>
        <v>0</v>
      </c>
    </row>
    <row r="261" spans="1:1">
      <c r="A261" s="39">
        <f>IF('Additional Chemicals'!B261 = "", "", IF('Additional Chemicals-WUO_ERR'!A261 = "", "Validated", HYPERLINK("#" &amp; ADDRESS(261, 'Additional Chemicals-WUO_TRK'!A261),_xlfn.TEXTAFTER('Additional Chemicals-WUO_ERR'!A261, ":"))))</f>
        <v>0</v>
      </c>
    </row>
    <row r="262" spans="1:1">
      <c r="A262" s="39">
        <f>IF('Additional Chemicals'!B262 = "", "", IF('Additional Chemicals-WUO_ERR'!A262 = "", "Validated", HYPERLINK("#" &amp; ADDRESS(262, 'Additional Chemicals-WUO_TRK'!A262),_xlfn.TEXTAFTER('Additional Chemicals-WUO_ERR'!A262, ":"))))</f>
        <v>0</v>
      </c>
    </row>
    <row r="263" spans="1:1">
      <c r="A263" s="39">
        <f>IF('Additional Chemicals'!B263 = "", "", IF('Additional Chemicals-WUO_ERR'!A263 = "", "Validated", HYPERLINK("#" &amp; ADDRESS(263, 'Additional Chemicals-WUO_TRK'!A263),_xlfn.TEXTAFTER('Additional Chemicals-WUO_ERR'!A263, ":"))))</f>
        <v>0</v>
      </c>
    </row>
    <row r="264" spans="1:1">
      <c r="A264" s="39">
        <f>IF('Additional Chemicals'!B264 = "", "", IF('Additional Chemicals-WUO_ERR'!A264 = "", "Validated", HYPERLINK("#" &amp; ADDRESS(264, 'Additional Chemicals-WUO_TRK'!A264),_xlfn.TEXTAFTER('Additional Chemicals-WUO_ERR'!A264, ":"))))</f>
        <v>0</v>
      </c>
    </row>
    <row r="265" spans="1:1">
      <c r="A265" s="39">
        <f>IF('Additional Chemicals'!B265 = "", "", IF('Additional Chemicals-WUO_ERR'!A265 = "", "Validated", HYPERLINK("#" &amp; ADDRESS(265, 'Additional Chemicals-WUO_TRK'!A265),_xlfn.TEXTAFTER('Additional Chemicals-WUO_ERR'!A265, ":"))))</f>
        <v>0</v>
      </c>
    </row>
    <row r="266" spans="1:1">
      <c r="A266" s="39">
        <f>IF('Additional Chemicals'!B266 = "", "", IF('Additional Chemicals-WUO_ERR'!A266 = "", "Validated", HYPERLINK("#" &amp; ADDRESS(266, 'Additional Chemicals-WUO_TRK'!A266),_xlfn.TEXTAFTER('Additional Chemicals-WUO_ERR'!A266, ":"))))</f>
        <v>0</v>
      </c>
    </row>
    <row r="267" spans="1:1">
      <c r="A267" s="39">
        <f>IF('Additional Chemicals'!B267 = "", "", IF('Additional Chemicals-WUO_ERR'!A267 = "", "Validated", HYPERLINK("#" &amp; ADDRESS(267, 'Additional Chemicals-WUO_TRK'!A267),_xlfn.TEXTAFTER('Additional Chemicals-WUO_ERR'!A267, ":"))))</f>
        <v>0</v>
      </c>
    </row>
    <row r="268" spans="1:1">
      <c r="A268" s="39">
        <f>IF('Additional Chemicals'!B268 = "", "", IF('Additional Chemicals-WUO_ERR'!A268 = "", "Validated", HYPERLINK("#" &amp; ADDRESS(268, 'Additional Chemicals-WUO_TRK'!A268),_xlfn.TEXTAFTER('Additional Chemicals-WUO_ERR'!A268, ":"))))</f>
        <v>0</v>
      </c>
    </row>
    <row r="269" spans="1:1">
      <c r="A269" s="39">
        <f>IF('Additional Chemicals'!B269 = "", "", IF('Additional Chemicals-WUO_ERR'!A269 = "", "Validated", HYPERLINK("#" &amp; ADDRESS(269, 'Additional Chemicals-WUO_TRK'!A269),_xlfn.TEXTAFTER('Additional Chemicals-WUO_ERR'!A269, ":"))))</f>
        <v>0</v>
      </c>
    </row>
    <row r="270" spans="1:1">
      <c r="A270" s="39">
        <f>IF('Additional Chemicals'!B270 = "", "", IF('Additional Chemicals-WUO_ERR'!A270 = "", "Validated", HYPERLINK("#" &amp; ADDRESS(270, 'Additional Chemicals-WUO_TRK'!A270),_xlfn.TEXTAFTER('Additional Chemicals-WUO_ERR'!A270, ":"))))</f>
        <v>0</v>
      </c>
    </row>
    <row r="271" spans="1:1">
      <c r="A271" s="39">
        <f>IF('Additional Chemicals'!B271 = "", "", IF('Additional Chemicals-WUO_ERR'!A271 = "", "Validated", HYPERLINK("#" &amp; ADDRESS(271, 'Additional Chemicals-WUO_TRK'!A271),_xlfn.TEXTAFTER('Additional Chemicals-WUO_ERR'!A271, ":"))))</f>
        <v>0</v>
      </c>
    </row>
    <row r="272" spans="1:1">
      <c r="A272" s="39">
        <f>IF('Additional Chemicals'!B272 = "", "", IF('Additional Chemicals-WUO_ERR'!A272 = "", "Validated", HYPERLINK("#" &amp; ADDRESS(272, 'Additional Chemicals-WUO_TRK'!A272),_xlfn.TEXTAFTER('Additional Chemicals-WUO_ERR'!A272, ":"))))</f>
        <v>0</v>
      </c>
    </row>
    <row r="273" spans="1:1">
      <c r="A273" s="39">
        <f>IF('Additional Chemicals'!B273 = "", "", IF('Additional Chemicals-WUO_ERR'!A273 = "", "Validated", HYPERLINK("#" &amp; ADDRESS(273, 'Additional Chemicals-WUO_TRK'!A273),_xlfn.TEXTAFTER('Additional Chemicals-WUO_ERR'!A273, ":"))))</f>
        <v>0</v>
      </c>
    </row>
    <row r="274" spans="1:1">
      <c r="A274" s="39">
        <f>IF('Additional Chemicals'!B274 = "", "", IF('Additional Chemicals-WUO_ERR'!A274 = "", "Validated", HYPERLINK("#" &amp; ADDRESS(274, 'Additional Chemicals-WUO_TRK'!A274),_xlfn.TEXTAFTER('Additional Chemicals-WUO_ERR'!A274, ":"))))</f>
        <v>0</v>
      </c>
    </row>
    <row r="275" spans="1:1">
      <c r="A275" s="39">
        <f>IF('Additional Chemicals'!B275 = "", "", IF('Additional Chemicals-WUO_ERR'!A275 = "", "Validated", HYPERLINK("#" &amp; ADDRESS(275, 'Additional Chemicals-WUO_TRK'!A275),_xlfn.TEXTAFTER('Additional Chemicals-WUO_ERR'!A275, ":"))))</f>
        <v>0</v>
      </c>
    </row>
    <row r="276" spans="1:1">
      <c r="A276" s="39">
        <f>IF('Additional Chemicals'!B276 = "", "", IF('Additional Chemicals-WUO_ERR'!A276 = "", "Validated", HYPERLINK("#" &amp; ADDRESS(276, 'Additional Chemicals-WUO_TRK'!A276),_xlfn.TEXTAFTER('Additional Chemicals-WUO_ERR'!A276, ":"))))</f>
        <v>0</v>
      </c>
    </row>
    <row r="277" spans="1:1">
      <c r="A277" s="39">
        <f>IF('Additional Chemicals'!B277 = "", "", IF('Additional Chemicals-WUO_ERR'!A277 = "", "Validated", HYPERLINK("#" &amp; ADDRESS(277, 'Additional Chemicals-WUO_TRK'!A277),_xlfn.TEXTAFTER('Additional Chemicals-WUO_ERR'!A277, ":"))))</f>
        <v>0</v>
      </c>
    </row>
    <row r="278" spans="1:1">
      <c r="A278" s="39">
        <f>IF('Additional Chemicals'!B278 = "", "", IF('Additional Chemicals-WUO_ERR'!A278 = "", "Validated", HYPERLINK("#" &amp; ADDRESS(278, 'Additional Chemicals-WUO_TRK'!A278),_xlfn.TEXTAFTER('Additional Chemicals-WUO_ERR'!A278, ":"))))</f>
        <v>0</v>
      </c>
    </row>
    <row r="279" spans="1:1">
      <c r="A279" s="39">
        <f>IF('Additional Chemicals'!B279 = "", "", IF('Additional Chemicals-WUO_ERR'!A279 = "", "Validated", HYPERLINK("#" &amp; ADDRESS(279, 'Additional Chemicals-WUO_TRK'!A279),_xlfn.TEXTAFTER('Additional Chemicals-WUO_ERR'!A279, ":"))))</f>
        <v>0</v>
      </c>
    </row>
    <row r="280" spans="1:1">
      <c r="A280" s="39">
        <f>IF('Additional Chemicals'!B280 = "", "", IF('Additional Chemicals-WUO_ERR'!A280 = "", "Validated", HYPERLINK("#" &amp; ADDRESS(280, 'Additional Chemicals-WUO_TRK'!A280),_xlfn.TEXTAFTER('Additional Chemicals-WUO_ERR'!A280, ":"))))</f>
        <v>0</v>
      </c>
    </row>
    <row r="281" spans="1:1">
      <c r="A281" s="39">
        <f>IF('Additional Chemicals'!B281 = "", "", IF('Additional Chemicals-WUO_ERR'!A281 = "", "Validated", HYPERLINK("#" &amp; ADDRESS(281, 'Additional Chemicals-WUO_TRK'!A281),_xlfn.TEXTAFTER('Additional Chemicals-WUO_ERR'!A281, ":"))))</f>
        <v>0</v>
      </c>
    </row>
    <row r="282" spans="1:1">
      <c r="A282" s="39">
        <f>IF('Additional Chemicals'!B282 = "", "", IF('Additional Chemicals-WUO_ERR'!A282 = "", "Validated", HYPERLINK("#" &amp; ADDRESS(282, 'Additional Chemicals-WUO_TRK'!A282),_xlfn.TEXTAFTER('Additional Chemicals-WUO_ERR'!A282, ":"))))</f>
        <v>0</v>
      </c>
    </row>
    <row r="283" spans="1:1">
      <c r="A283" s="39">
        <f>IF('Additional Chemicals'!B283 = "", "", IF('Additional Chemicals-WUO_ERR'!A283 = "", "Validated", HYPERLINK("#" &amp; ADDRESS(283, 'Additional Chemicals-WUO_TRK'!A283),_xlfn.TEXTAFTER('Additional Chemicals-WUO_ERR'!A283, ":"))))</f>
        <v>0</v>
      </c>
    </row>
    <row r="284" spans="1:1">
      <c r="A284" s="39">
        <f>IF('Additional Chemicals'!B284 = "", "", IF('Additional Chemicals-WUO_ERR'!A284 = "", "Validated", HYPERLINK("#" &amp; ADDRESS(284, 'Additional Chemicals-WUO_TRK'!A284),_xlfn.TEXTAFTER('Additional Chemicals-WUO_ERR'!A284, ":"))))</f>
        <v>0</v>
      </c>
    </row>
    <row r="285" spans="1:1">
      <c r="A285" s="39">
        <f>IF('Additional Chemicals'!B285 = "", "", IF('Additional Chemicals-WUO_ERR'!A285 = "", "Validated", HYPERLINK("#" &amp; ADDRESS(285, 'Additional Chemicals-WUO_TRK'!A285),_xlfn.TEXTAFTER('Additional Chemicals-WUO_ERR'!A285, ":"))))</f>
        <v>0</v>
      </c>
    </row>
    <row r="286" spans="1:1">
      <c r="A286" s="39">
        <f>IF('Additional Chemicals'!B286 = "", "", IF('Additional Chemicals-WUO_ERR'!A286 = "", "Validated", HYPERLINK("#" &amp; ADDRESS(286, 'Additional Chemicals-WUO_TRK'!A286),_xlfn.TEXTAFTER('Additional Chemicals-WUO_ERR'!A286, ":"))))</f>
        <v>0</v>
      </c>
    </row>
    <row r="287" spans="1:1">
      <c r="A287" s="39">
        <f>IF('Additional Chemicals'!B287 = "", "", IF('Additional Chemicals-WUO_ERR'!A287 = "", "Validated", HYPERLINK("#" &amp; ADDRESS(287, 'Additional Chemicals-WUO_TRK'!A287),_xlfn.TEXTAFTER('Additional Chemicals-WUO_ERR'!A287, ":"))))</f>
        <v>0</v>
      </c>
    </row>
    <row r="288" spans="1:1">
      <c r="A288" s="39">
        <f>IF('Additional Chemicals'!B288 = "", "", IF('Additional Chemicals-WUO_ERR'!A288 = "", "Validated", HYPERLINK("#" &amp; ADDRESS(288, 'Additional Chemicals-WUO_TRK'!A288),_xlfn.TEXTAFTER('Additional Chemicals-WUO_ERR'!A288, ":"))))</f>
        <v>0</v>
      </c>
    </row>
    <row r="289" spans="1:1">
      <c r="A289" s="39">
        <f>IF('Additional Chemicals'!B289 = "", "", IF('Additional Chemicals-WUO_ERR'!A289 = "", "Validated", HYPERLINK("#" &amp; ADDRESS(289, 'Additional Chemicals-WUO_TRK'!A289),_xlfn.TEXTAFTER('Additional Chemicals-WUO_ERR'!A289, ":"))))</f>
        <v>0</v>
      </c>
    </row>
    <row r="290" spans="1:1">
      <c r="A290" s="39">
        <f>IF('Additional Chemicals'!B290 = "", "", IF('Additional Chemicals-WUO_ERR'!A290 = "", "Validated", HYPERLINK("#" &amp; ADDRESS(290, 'Additional Chemicals-WUO_TRK'!A290),_xlfn.TEXTAFTER('Additional Chemicals-WUO_ERR'!A290, ":"))))</f>
        <v>0</v>
      </c>
    </row>
    <row r="291" spans="1:1">
      <c r="A291" s="39">
        <f>IF('Additional Chemicals'!B291 = "", "", IF('Additional Chemicals-WUO_ERR'!A291 = "", "Validated", HYPERLINK("#" &amp; ADDRESS(291, 'Additional Chemicals-WUO_TRK'!A291),_xlfn.TEXTAFTER('Additional Chemicals-WUO_ERR'!A291, ":"))))</f>
        <v>0</v>
      </c>
    </row>
    <row r="292" spans="1:1">
      <c r="A292" s="39">
        <f>IF('Additional Chemicals'!B292 = "", "", IF('Additional Chemicals-WUO_ERR'!A292 = "", "Validated", HYPERLINK("#" &amp; ADDRESS(292, 'Additional Chemicals-WUO_TRK'!A292),_xlfn.TEXTAFTER('Additional Chemicals-WUO_ERR'!A292, ":"))))</f>
        <v>0</v>
      </c>
    </row>
    <row r="293" spans="1:1">
      <c r="A293" s="39">
        <f>IF('Additional Chemicals'!B293 = "", "", IF('Additional Chemicals-WUO_ERR'!A293 = "", "Validated", HYPERLINK("#" &amp; ADDRESS(293, 'Additional Chemicals-WUO_TRK'!A293),_xlfn.TEXTAFTER('Additional Chemicals-WUO_ERR'!A293, ":"))))</f>
        <v>0</v>
      </c>
    </row>
    <row r="294" spans="1:1">
      <c r="A294" s="39">
        <f>IF('Additional Chemicals'!B294 = "", "", IF('Additional Chemicals-WUO_ERR'!A294 = "", "Validated", HYPERLINK("#" &amp; ADDRESS(294, 'Additional Chemicals-WUO_TRK'!A294),_xlfn.TEXTAFTER('Additional Chemicals-WUO_ERR'!A294, ":"))))</f>
        <v>0</v>
      </c>
    </row>
    <row r="295" spans="1:1">
      <c r="A295" s="39">
        <f>IF('Additional Chemicals'!B295 = "", "", IF('Additional Chemicals-WUO_ERR'!A295 = "", "Validated", HYPERLINK("#" &amp; ADDRESS(295, 'Additional Chemicals-WUO_TRK'!A295),_xlfn.TEXTAFTER('Additional Chemicals-WUO_ERR'!A295, ":"))))</f>
        <v>0</v>
      </c>
    </row>
    <row r="296" spans="1:1">
      <c r="A296" s="39">
        <f>IF('Additional Chemicals'!B296 = "", "", IF('Additional Chemicals-WUO_ERR'!A296 = "", "Validated", HYPERLINK("#" &amp; ADDRESS(296, 'Additional Chemicals-WUO_TRK'!A296),_xlfn.TEXTAFTER('Additional Chemicals-WUO_ERR'!A296, ":"))))</f>
        <v>0</v>
      </c>
    </row>
    <row r="297" spans="1:1">
      <c r="A297" s="39">
        <f>IF('Additional Chemicals'!B297 = "", "", IF('Additional Chemicals-WUO_ERR'!A297 = "", "Validated", HYPERLINK("#" &amp; ADDRESS(297, 'Additional Chemicals-WUO_TRK'!A297),_xlfn.TEXTAFTER('Additional Chemicals-WUO_ERR'!A297, ":"))))</f>
        <v>0</v>
      </c>
    </row>
    <row r="298" spans="1:1">
      <c r="A298" s="39">
        <f>IF('Additional Chemicals'!B298 = "", "", IF('Additional Chemicals-WUO_ERR'!A298 = "", "Validated", HYPERLINK("#" &amp; ADDRESS(298, 'Additional Chemicals-WUO_TRK'!A298),_xlfn.TEXTAFTER('Additional Chemicals-WUO_ERR'!A298, ":"))))</f>
        <v>0</v>
      </c>
    </row>
    <row r="299" spans="1:1">
      <c r="A299" s="39">
        <f>IF('Additional Chemicals'!B299 = "", "", IF('Additional Chemicals-WUO_ERR'!A299 = "", "Validated", HYPERLINK("#" &amp; ADDRESS(299, 'Additional Chemicals-WUO_TRK'!A299),_xlfn.TEXTAFTER('Additional Chemicals-WUO_ERR'!A299, ":"))))</f>
        <v>0</v>
      </c>
    </row>
    <row r="300" spans="1:1">
      <c r="A300" s="39">
        <f>IF('Additional Chemicals'!B300 = "", "", IF('Additional Chemicals-WUO_ERR'!A300 = "", "Validated", HYPERLINK("#" &amp; ADDRESS(300, 'Additional Chemicals-WUO_TRK'!A300),_xlfn.TEXTAFTER('Additional Chemicals-WUO_ERR'!A300, ":"))))</f>
        <v>0</v>
      </c>
    </row>
    <row r="301" spans="1:1">
      <c r="A301" s="39">
        <f>IF('Additional Chemicals'!B301 = "", "", IF('Additional Chemicals-WUO_ERR'!A301 = "", "Validated", HYPERLINK("#" &amp; ADDRESS(301, 'Additional Chemicals-WUO_TRK'!A301),_xlfn.TEXTAFTER('Additional Chemicals-WUO_ERR'!A301, ":"))))</f>
        <v>0</v>
      </c>
    </row>
    <row r="302" spans="1:1">
      <c r="A302" s="39">
        <f>IF('Additional Chemicals'!B302 = "", "", IF('Additional Chemicals-WUO_ERR'!A302 = "", "Validated", HYPERLINK("#" &amp; ADDRESS(302, 'Additional Chemicals-WUO_TRK'!A302),_xlfn.TEXTAFTER('Additional Chemicals-WUO_ERR'!A302, ":"))))</f>
        <v>0</v>
      </c>
    </row>
    <row r="303" spans="1:1">
      <c r="A303" s="39">
        <f>IF('Additional Chemicals'!B303 = "", "", IF('Additional Chemicals-WUO_ERR'!A303 = "", "Validated", HYPERLINK("#" &amp; ADDRESS(303, 'Additional Chemicals-WUO_TRK'!A303),_xlfn.TEXTAFTER('Additional Chemicals-WUO_ERR'!A303, ":"))))</f>
        <v>0</v>
      </c>
    </row>
    <row r="304" spans="1:1">
      <c r="A304" s="39">
        <f>IF('Additional Chemicals'!B304 = "", "", IF('Additional Chemicals-WUO_ERR'!A304 = "", "Validated", HYPERLINK("#" &amp; ADDRESS(304, 'Additional Chemicals-WUO_TRK'!A304),_xlfn.TEXTAFTER('Additional Chemicals-WUO_ERR'!A304, ":"))))</f>
        <v>0</v>
      </c>
    </row>
    <row r="305" spans="1:1">
      <c r="A305" s="39">
        <f>IF('Additional Chemicals'!B305 = "", "", IF('Additional Chemicals-WUO_ERR'!A305 = "", "Validated", HYPERLINK("#" &amp; ADDRESS(305, 'Additional Chemicals-WUO_TRK'!A305),_xlfn.TEXTAFTER('Additional Chemicals-WUO_ERR'!A305, ":"))))</f>
        <v>0</v>
      </c>
    </row>
    <row r="306" spans="1:1">
      <c r="A306" s="39">
        <f>IF('Additional Chemicals'!B306 = "", "", IF('Additional Chemicals-WUO_ERR'!A306 = "", "Validated", HYPERLINK("#" &amp; ADDRESS(306, 'Additional Chemicals-WUO_TRK'!A306),_xlfn.TEXTAFTER('Additional Chemicals-WUO_ERR'!A306, ":"))))</f>
        <v>0</v>
      </c>
    </row>
    <row r="307" spans="1:1">
      <c r="A307" s="39">
        <f>IF('Additional Chemicals'!B307 = "", "", IF('Additional Chemicals-WUO_ERR'!A307 = "", "Validated", HYPERLINK("#" &amp; ADDRESS(307, 'Additional Chemicals-WUO_TRK'!A307),_xlfn.TEXTAFTER('Additional Chemicals-WUO_ERR'!A307, ":"))))</f>
        <v>0</v>
      </c>
    </row>
    <row r="308" spans="1:1">
      <c r="A308" s="39">
        <f>IF('Additional Chemicals'!B308 = "", "", IF('Additional Chemicals-WUO_ERR'!A308 = "", "Validated", HYPERLINK("#" &amp; ADDRESS(308, 'Additional Chemicals-WUO_TRK'!A308),_xlfn.TEXTAFTER('Additional Chemicals-WUO_ERR'!A308, ":"))))</f>
        <v>0</v>
      </c>
    </row>
    <row r="309" spans="1:1">
      <c r="A309" s="39">
        <f>IF('Additional Chemicals'!B309 = "", "", IF('Additional Chemicals-WUO_ERR'!A309 = "", "Validated", HYPERLINK("#" &amp; ADDRESS(309, 'Additional Chemicals-WUO_TRK'!A309),_xlfn.TEXTAFTER('Additional Chemicals-WUO_ERR'!A309, ":"))))</f>
        <v>0</v>
      </c>
    </row>
    <row r="310" spans="1:1">
      <c r="A310" s="39">
        <f>IF('Additional Chemicals'!B310 = "", "", IF('Additional Chemicals-WUO_ERR'!A310 = "", "Validated", HYPERLINK("#" &amp; ADDRESS(310, 'Additional Chemicals-WUO_TRK'!A310),_xlfn.TEXTAFTER('Additional Chemicals-WUO_ERR'!A310, ":"))))</f>
        <v>0</v>
      </c>
    </row>
    <row r="311" spans="1:1">
      <c r="A311" s="39">
        <f>IF('Additional Chemicals'!B311 = "", "", IF('Additional Chemicals-WUO_ERR'!A311 = "", "Validated", HYPERLINK("#" &amp; ADDRESS(311, 'Additional Chemicals-WUO_TRK'!A311),_xlfn.TEXTAFTER('Additional Chemicals-WUO_ERR'!A311, ":"))))</f>
        <v>0</v>
      </c>
    </row>
    <row r="312" spans="1:1">
      <c r="A312" s="39">
        <f>IF('Additional Chemicals'!B312 = "", "", IF('Additional Chemicals-WUO_ERR'!A312 = "", "Validated", HYPERLINK("#" &amp; ADDRESS(312, 'Additional Chemicals-WUO_TRK'!A312),_xlfn.TEXTAFTER('Additional Chemicals-WUO_ERR'!A312, ":"))))</f>
        <v>0</v>
      </c>
    </row>
    <row r="313" spans="1:1">
      <c r="A313" s="39">
        <f>IF('Additional Chemicals'!B313 = "", "", IF('Additional Chemicals-WUO_ERR'!A313 = "", "Validated", HYPERLINK("#" &amp; ADDRESS(313, 'Additional Chemicals-WUO_TRK'!A313),_xlfn.TEXTAFTER('Additional Chemicals-WUO_ERR'!A313, ":"))))</f>
        <v>0</v>
      </c>
    </row>
    <row r="314" spans="1:1">
      <c r="A314" s="39">
        <f>IF('Additional Chemicals'!B314 = "", "", IF('Additional Chemicals-WUO_ERR'!A314 = "", "Validated", HYPERLINK("#" &amp; ADDRESS(314, 'Additional Chemicals-WUO_TRK'!A314),_xlfn.TEXTAFTER('Additional Chemicals-WUO_ERR'!A314, ":"))))</f>
        <v>0</v>
      </c>
    </row>
    <row r="315" spans="1:1">
      <c r="A315" s="39">
        <f>IF('Additional Chemicals'!B315 = "", "", IF('Additional Chemicals-WUO_ERR'!A315 = "", "Validated", HYPERLINK("#" &amp; ADDRESS(315, 'Additional Chemicals-WUO_TRK'!A315),_xlfn.TEXTAFTER('Additional Chemicals-WUO_ERR'!A315, ":"))))</f>
        <v>0</v>
      </c>
    </row>
    <row r="316" spans="1:1">
      <c r="A316" s="39">
        <f>IF('Additional Chemicals'!B316 = "", "", IF('Additional Chemicals-WUO_ERR'!A316 = "", "Validated", HYPERLINK("#" &amp; ADDRESS(316, 'Additional Chemicals-WUO_TRK'!A316),_xlfn.TEXTAFTER('Additional Chemicals-WUO_ERR'!A316, ":"))))</f>
        <v>0</v>
      </c>
    </row>
    <row r="317" spans="1:1">
      <c r="A317" s="39">
        <f>IF('Additional Chemicals'!B317 = "", "", IF('Additional Chemicals-WUO_ERR'!A317 = "", "Validated", HYPERLINK("#" &amp; ADDRESS(317, 'Additional Chemicals-WUO_TRK'!A317),_xlfn.TEXTAFTER('Additional Chemicals-WUO_ERR'!A317, ":"))))</f>
        <v>0</v>
      </c>
    </row>
    <row r="318" spans="1:1">
      <c r="A318" s="39">
        <f>IF('Additional Chemicals'!B318 = "", "", IF('Additional Chemicals-WUO_ERR'!A318 = "", "Validated", HYPERLINK("#" &amp; ADDRESS(318, 'Additional Chemicals-WUO_TRK'!A318),_xlfn.TEXTAFTER('Additional Chemicals-WUO_ERR'!A318, ":"))))</f>
        <v>0</v>
      </c>
    </row>
    <row r="319" spans="1:1">
      <c r="A319" s="39">
        <f>IF('Additional Chemicals'!B319 = "", "", IF('Additional Chemicals-WUO_ERR'!A319 = "", "Validated", HYPERLINK("#" &amp; ADDRESS(319, 'Additional Chemicals-WUO_TRK'!A319),_xlfn.TEXTAFTER('Additional Chemicals-WUO_ERR'!A319, ":"))))</f>
        <v>0</v>
      </c>
    </row>
    <row r="320" spans="1:1">
      <c r="A320" s="39">
        <f>IF('Additional Chemicals'!B320 = "", "", IF('Additional Chemicals-WUO_ERR'!A320 = "", "Validated", HYPERLINK("#" &amp; ADDRESS(320, 'Additional Chemicals-WUO_TRK'!A320),_xlfn.TEXTAFTER('Additional Chemicals-WUO_ERR'!A320, ":"))))</f>
        <v>0</v>
      </c>
    </row>
    <row r="321" spans="1:1">
      <c r="A321" s="39">
        <f>IF('Additional Chemicals'!B321 = "", "", IF('Additional Chemicals-WUO_ERR'!A321 = "", "Validated", HYPERLINK("#" &amp; ADDRESS(321, 'Additional Chemicals-WUO_TRK'!A321),_xlfn.TEXTAFTER('Additional Chemicals-WUO_ERR'!A321, ":"))))</f>
        <v>0</v>
      </c>
    </row>
    <row r="322" spans="1:1">
      <c r="A322" s="39">
        <f>IF('Additional Chemicals'!B322 = "", "", IF('Additional Chemicals-WUO_ERR'!A322 = "", "Validated", HYPERLINK("#" &amp; ADDRESS(322, 'Additional Chemicals-WUO_TRK'!A322),_xlfn.TEXTAFTER('Additional Chemicals-WUO_ERR'!A322, ":"))))</f>
        <v>0</v>
      </c>
    </row>
    <row r="323" spans="1:1">
      <c r="A323" s="39">
        <f>IF('Additional Chemicals'!B323 = "", "", IF('Additional Chemicals-WUO_ERR'!A323 = "", "Validated", HYPERLINK("#" &amp; ADDRESS(323, 'Additional Chemicals-WUO_TRK'!A323),_xlfn.TEXTAFTER('Additional Chemicals-WUO_ERR'!A323, ":"))))</f>
        <v>0</v>
      </c>
    </row>
    <row r="324" spans="1:1">
      <c r="A324" s="39">
        <f>IF('Additional Chemicals'!B324 = "", "", IF('Additional Chemicals-WUO_ERR'!A324 = "", "Validated", HYPERLINK("#" &amp; ADDRESS(324, 'Additional Chemicals-WUO_TRK'!A324),_xlfn.TEXTAFTER('Additional Chemicals-WUO_ERR'!A324, ":"))))</f>
        <v>0</v>
      </c>
    </row>
    <row r="325" spans="1:1">
      <c r="A325" s="39">
        <f>IF('Additional Chemicals'!B325 = "", "", IF('Additional Chemicals-WUO_ERR'!A325 = "", "Validated", HYPERLINK("#" &amp; ADDRESS(325, 'Additional Chemicals-WUO_TRK'!A325),_xlfn.TEXTAFTER('Additional Chemicals-WUO_ERR'!A325, ":"))))</f>
        <v>0</v>
      </c>
    </row>
    <row r="326" spans="1:1">
      <c r="A326" s="39">
        <f>IF('Additional Chemicals'!B326 = "", "", IF('Additional Chemicals-WUO_ERR'!A326 = "", "Validated", HYPERLINK("#" &amp; ADDRESS(326, 'Additional Chemicals-WUO_TRK'!A326),_xlfn.TEXTAFTER('Additional Chemicals-WUO_ERR'!A326, ":"))))</f>
        <v>0</v>
      </c>
    </row>
    <row r="327" spans="1:1">
      <c r="A327" s="39">
        <f>IF('Additional Chemicals'!B327 = "", "", IF('Additional Chemicals-WUO_ERR'!A327 = "", "Validated", HYPERLINK("#" &amp; ADDRESS(327, 'Additional Chemicals-WUO_TRK'!A327),_xlfn.TEXTAFTER('Additional Chemicals-WUO_ERR'!A327, ":"))))</f>
        <v>0</v>
      </c>
    </row>
    <row r="328" spans="1:1">
      <c r="A328" s="39">
        <f>IF('Additional Chemicals'!B328 = "", "", IF('Additional Chemicals-WUO_ERR'!A328 = "", "Validated", HYPERLINK("#" &amp; ADDRESS(328, 'Additional Chemicals-WUO_TRK'!A328),_xlfn.TEXTAFTER('Additional Chemicals-WUO_ERR'!A328, ":"))))</f>
        <v>0</v>
      </c>
    </row>
    <row r="329" spans="1:1">
      <c r="A329" s="39">
        <f>IF('Additional Chemicals'!B329 = "", "", IF('Additional Chemicals-WUO_ERR'!A329 = "", "Validated", HYPERLINK("#" &amp; ADDRESS(329, 'Additional Chemicals-WUO_TRK'!A329),_xlfn.TEXTAFTER('Additional Chemicals-WUO_ERR'!A329, ":"))))</f>
        <v>0</v>
      </c>
    </row>
    <row r="330" spans="1:1">
      <c r="A330" s="39">
        <f>IF('Additional Chemicals'!B330 = "", "", IF('Additional Chemicals-WUO_ERR'!A330 = "", "Validated", HYPERLINK("#" &amp; ADDRESS(330, 'Additional Chemicals-WUO_TRK'!A330),_xlfn.TEXTAFTER('Additional Chemicals-WUO_ERR'!A330, ":"))))</f>
        <v>0</v>
      </c>
    </row>
    <row r="331" spans="1:1">
      <c r="A331" s="39">
        <f>IF('Additional Chemicals'!B331 = "", "", IF('Additional Chemicals-WUO_ERR'!A331 = "", "Validated", HYPERLINK("#" &amp; ADDRESS(331, 'Additional Chemicals-WUO_TRK'!A331),_xlfn.TEXTAFTER('Additional Chemicals-WUO_ERR'!A331, ":"))))</f>
        <v>0</v>
      </c>
    </row>
    <row r="332" spans="1:1">
      <c r="A332" s="39">
        <f>IF('Additional Chemicals'!B332 = "", "", IF('Additional Chemicals-WUO_ERR'!A332 = "", "Validated", HYPERLINK("#" &amp; ADDRESS(332, 'Additional Chemicals-WUO_TRK'!A332),_xlfn.TEXTAFTER('Additional Chemicals-WUO_ERR'!A332, ":"))))</f>
        <v>0</v>
      </c>
    </row>
    <row r="333" spans="1:1">
      <c r="A333" s="39">
        <f>IF('Additional Chemicals'!B333 = "", "", IF('Additional Chemicals-WUO_ERR'!A333 = "", "Validated", HYPERLINK("#" &amp; ADDRESS(333, 'Additional Chemicals-WUO_TRK'!A333),_xlfn.TEXTAFTER('Additional Chemicals-WUO_ERR'!A333, ":"))))</f>
        <v>0</v>
      </c>
    </row>
    <row r="334" spans="1:1">
      <c r="A334" s="39">
        <f>IF('Additional Chemicals'!B334 = "", "", IF('Additional Chemicals-WUO_ERR'!A334 = "", "Validated", HYPERLINK("#" &amp; ADDRESS(334, 'Additional Chemicals-WUO_TRK'!A334),_xlfn.TEXTAFTER('Additional Chemicals-WUO_ERR'!A334, ":"))))</f>
        <v>0</v>
      </c>
    </row>
    <row r="335" spans="1:1">
      <c r="A335" s="39">
        <f>IF('Additional Chemicals'!B335 = "", "", IF('Additional Chemicals-WUO_ERR'!A335 = "", "Validated", HYPERLINK("#" &amp; ADDRESS(335, 'Additional Chemicals-WUO_TRK'!A335),_xlfn.TEXTAFTER('Additional Chemicals-WUO_ERR'!A335, ":"))))</f>
        <v>0</v>
      </c>
    </row>
    <row r="336" spans="1:1">
      <c r="A336" s="39">
        <f>IF('Additional Chemicals'!B336 = "", "", IF('Additional Chemicals-WUO_ERR'!A336 = "", "Validated", HYPERLINK("#" &amp; ADDRESS(336, 'Additional Chemicals-WUO_TRK'!A336),_xlfn.TEXTAFTER('Additional Chemicals-WUO_ERR'!A336, ":"))))</f>
        <v>0</v>
      </c>
    </row>
    <row r="337" spans="1:1">
      <c r="A337" s="39">
        <f>IF('Additional Chemicals'!B337 = "", "", IF('Additional Chemicals-WUO_ERR'!A337 = "", "Validated", HYPERLINK("#" &amp; ADDRESS(337, 'Additional Chemicals-WUO_TRK'!A337),_xlfn.TEXTAFTER('Additional Chemicals-WUO_ERR'!A337, ":"))))</f>
        <v>0</v>
      </c>
    </row>
    <row r="338" spans="1:1">
      <c r="A338" s="39">
        <f>IF('Additional Chemicals'!B338 = "", "", IF('Additional Chemicals-WUO_ERR'!A338 = "", "Validated", HYPERLINK("#" &amp; ADDRESS(338, 'Additional Chemicals-WUO_TRK'!A338),_xlfn.TEXTAFTER('Additional Chemicals-WUO_ERR'!A338, ":"))))</f>
        <v>0</v>
      </c>
    </row>
    <row r="339" spans="1:1">
      <c r="A339" s="39">
        <f>IF('Additional Chemicals'!B339 = "", "", IF('Additional Chemicals-WUO_ERR'!A339 = "", "Validated", HYPERLINK("#" &amp; ADDRESS(339, 'Additional Chemicals-WUO_TRK'!A339),_xlfn.TEXTAFTER('Additional Chemicals-WUO_ERR'!A339, ":"))))</f>
        <v>0</v>
      </c>
    </row>
    <row r="340" spans="1:1">
      <c r="A340" s="39">
        <f>IF('Additional Chemicals'!B340 = "", "", IF('Additional Chemicals-WUO_ERR'!A340 = "", "Validated", HYPERLINK("#" &amp; ADDRESS(340, 'Additional Chemicals-WUO_TRK'!A340),_xlfn.TEXTAFTER('Additional Chemicals-WUO_ERR'!A340, ":"))))</f>
        <v>0</v>
      </c>
    </row>
    <row r="341" spans="1:1">
      <c r="A341" s="39">
        <f>IF('Additional Chemicals'!B341 = "", "", IF('Additional Chemicals-WUO_ERR'!A341 = "", "Validated", HYPERLINK("#" &amp; ADDRESS(341, 'Additional Chemicals-WUO_TRK'!A341),_xlfn.TEXTAFTER('Additional Chemicals-WUO_ERR'!A341, ":"))))</f>
        <v>0</v>
      </c>
    </row>
    <row r="342" spans="1:1">
      <c r="A342" s="39">
        <f>IF('Additional Chemicals'!B342 = "", "", IF('Additional Chemicals-WUO_ERR'!A342 = "", "Validated", HYPERLINK("#" &amp; ADDRESS(342, 'Additional Chemicals-WUO_TRK'!A342),_xlfn.TEXTAFTER('Additional Chemicals-WUO_ERR'!A342, ":"))))</f>
        <v>0</v>
      </c>
    </row>
    <row r="343" spans="1:1">
      <c r="A343" s="39">
        <f>IF('Additional Chemicals'!B343 = "", "", IF('Additional Chemicals-WUO_ERR'!A343 = "", "Validated", HYPERLINK("#" &amp; ADDRESS(343, 'Additional Chemicals-WUO_TRK'!A343),_xlfn.TEXTAFTER('Additional Chemicals-WUO_ERR'!A343, ":"))))</f>
        <v>0</v>
      </c>
    </row>
    <row r="344" spans="1:1">
      <c r="A344" s="39">
        <f>IF('Additional Chemicals'!B344 = "", "", IF('Additional Chemicals-WUO_ERR'!A344 = "", "Validated", HYPERLINK("#" &amp; ADDRESS(344, 'Additional Chemicals-WUO_TRK'!A344),_xlfn.TEXTAFTER('Additional Chemicals-WUO_ERR'!A344, ":"))))</f>
        <v>0</v>
      </c>
    </row>
    <row r="345" spans="1:1">
      <c r="A345" s="39">
        <f>IF('Additional Chemicals'!B345 = "", "", IF('Additional Chemicals-WUO_ERR'!A345 = "", "Validated", HYPERLINK("#" &amp; ADDRESS(345, 'Additional Chemicals-WUO_TRK'!A345),_xlfn.TEXTAFTER('Additional Chemicals-WUO_ERR'!A345, ":"))))</f>
        <v>0</v>
      </c>
    </row>
    <row r="346" spans="1:1">
      <c r="A346" s="39">
        <f>IF('Additional Chemicals'!B346 = "", "", IF('Additional Chemicals-WUO_ERR'!A346 = "", "Validated", HYPERLINK("#" &amp; ADDRESS(346, 'Additional Chemicals-WUO_TRK'!A346),_xlfn.TEXTAFTER('Additional Chemicals-WUO_ERR'!A346, ":"))))</f>
        <v>0</v>
      </c>
    </row>
    <row r="347" spans="1:1">
      <c r="A347" s="39">
        <f>IF('Additional Chemicals'!B347 = "", "", IF('Additional Chemicals-WUO_ERR'!A347 = "", "Validated", HYPERLINK("#" &amp; ADDRESS(347, 'Additional Chemicals-WUO_TRK'!A347),_xlfn.TEXTAFTER('Additional Chemicals-WUO_ERR'!A347, ":"))))</f>
        <v>0</v>
      </c>
    </row>
    <row r="348" spans="1:1">
      <c r="A348" s="39">
        <f>IF('Additional Chemicals'!B348 = "", "", IF('Additional Chemicals-WUO_ERR'!A348 = "", "Validated", HYPERLINK("#" &amp; ADDRESS(348, 'Additional Chemicals-WUO_TRK'!A348),_xlfn.TEXTAFTER('Additional Chemicals-WUO_ERR'!A348, ":"))))</f>
        <v>0</v>
      </c>
    </row>
    <row r="349" spans="1:1">
      <c r="A349" s="39">
        <f>IF('Additional Chemicals'!B349 = "", "", IF('Additional Chemicals-WUO_ERR'!A349 = "", "Validated", HYPERLINK("#" &amp; ADDRESS(349, 'Additional Chemicals-WUO_TRK'!A349),_xlfn.TEXTAFTER('Additional Chemicals-WUO_ERR'!A349, ":"))))</f>
        <v>0</v>
      </c>
    </row>
    <row r="350" spans="1:1">
      <c r="A350" s="39">
        <f>IF('Additional Chemicals'!B350 = "", "", IF('Additional Chemicals-WUO_ERR'!A350 = "", "Validated", HYPERLINK("#" &amp; ADDRESS(350, 'Additional Chemicals-WUO_TRK'!A350),_xlfn.TEXTAFTER('Additional Chemicals-WUO_ERR'!A350, ":"))))</f>
        <v>0</v>
      </c>
    </row>
    <row r="351" spans="1:1">
      <c r="A351" s="39">
        <f>IF('Additional Chemicals'!B351 = "", "", IF('Additional Chemicals-WUO_ERR'!A351 = "", "Validated", HYPERLINK("#" &amp; ADDRESS(351, 'Additional Chemicals-WUO_TRK'!A351),_xlfn.TEXTAFTER('Additional Chemicals-WUO_ERR'!A351, ":"))))</f>
        <v>0</v>
      </c>
    </row>
    <row r="352" spans="1:1">
      <c r="A352" s="39">
        <f>IF('Additional Chemicals'!B352 = "", "", IF('Additional Chemicals-WUO_ERR'!A352 = "", "Validated", HYPERLINK("#" &amp; ADDRESS(352, 'Additional Chemicals-WUO_TRK'!A352),_xlfn.TEXTAFTER('Additional Chemicals-WUO_ERR'!A352, ":"))))</f>
        <v>0</v>
      </c>
    </row>
    <row r="353" spans="1:1">
      <c r="A353" s="39">
        <f>IF('Additional Chemicals'!B353 = "", "", IF('Additional Chemicals-WUO_ERR'!A353 = "", "Validated", HYPERLINK("#" &amp; ADDRESS(353, 'Additional Chemicals-WUO_TRK'!A353),_xlfn.TEXTAFTER('Additional Chemicals-WUO_ERR'!A353, ":"))))</f>
        <v>0</v>
      </c>
    </row>
    <row r="354" spans="1:1">
      <c r="A354" s="39">
        <f>IF('Additional Chemicals'!B354 = "", "", IF('Additional Chemicals-WUO_ERR'!A354 = "", "Validated", HYPERLINK("#" &amp; ADDRESS(354, 'Additional Chemicals-WUO_TRK'!A354),_xlfn.TEXTAFTER('Additional Chemicals-WUO_ERR'!A354, ":"))))</f>
        <v>0</v>
      </c>
    </row>
    <row r="355" spans="1:1">
      <c r="A355" s="39">
        <f>IF('Additional Chemicals'!B355 = "", "", IF('Additional Chemicals-WUO_ERR'!A355 = "", "Validated", HYPERLINK("#" &amp; ADDRESS(355, 'Additional Chemicals-WUO_TRK'!A355),_xlfn.TEXTAFTER('Additional Chemicals-WUO_ERR'!A355, ":"))))</f>
        <v>0</v>
      </c>
    </row>
    <row r="356" spans="1:1">
      <c r="A356" s="39">
        <f>IF('Additional Chemicals'!B356 = "", "", IF('Additional Chemicals-WUO_ERR'!A356 = "", "Validated", HYPERLINK("#" &amp; ADDRESS(356, 'Additional Chemicals-WUO_TRK'!A356),_xlfn.TEXTAFTER('Additional Chemicals-WUO_ERR'!A356, ":"))))</f>
        <v>0</v>
      </c>
    </row>
    <row r="357" spans="1:1">
      <c r="A357" s="39">
        <f>IF('Additional Chemicals'!B357 = "", "", IF('Additional Chemicals-WUO_ERR'!A357 = "", "Validated", HYPERLINK("#" &amp; ADDRESS(357, 'Additional Chemicals-WUO_TRK'!A357),_xlfn.TEXTAFTER('Additional Chemicals-WUO_ERR'!A357, ":"))))</f>
        <v>0</v>
      </c>
    </row>
    <row r="358" spans="1:1">
      <c r="A358" s="39">
        <f>IF('Additional Chemicals'!B358 = "", "", IF('Additional Chemicals-WUO_ERR'!A358 = "", "Validated", HYPERLINK("#" &amp; ADDRESS(358, 'Additional Chemicals-WUO_TRK'!A358),_xlfn.TEXTAFTER('Additional Chemicals-WUO_ERR'!A358, ":"))))</f>
        <v>0</v>
      </c>
    </row>
    <row r="359" spans="1:1">
      <c r="A359" s="39">
        <f>IF('Additional Chemicals'!B359 = "", "", IF('Additional Chemicals-WUO_ERR'!A359 = "", "Validated", HYPERLINK("#" &amp; ADDRESS(359, 'Additional Chemicals-WUO_TRK'!A359),_xlfn.TEXTAFTER('Additional Chemicals-WUO_ERR'!A359, ":"))))</f>
        <v>0</v>
      </c>
    </row>
    <row r="360" spans="1:1">
      <c r="A360" s="39">
        <f>IF('Additional Chemicals'!B360 = "", "", IF('Additional Chemicals-WUO_ERR'!A360 = "", "Validated", HYPERLINK("#" &amp; ADDRESS(360, 'Additional Chemicals-WUO_TRK'!A360),_xlfn.TEXTAFTER('Additional Chemicals-WUO_ERR'!A360, ":"))))</f>
        <v>0</v>
      </c>
    </row>
    <row r="361" spans="1:1">
      <c r="A361" s="39">
        <f>IF('Additional Chemicals'!B361 = "", "", IF('Additional Chemicals-WUO_ERR'!A361 = "", "Validated", HYPERLINK("#" &amp; ADDRESS(361, 'Additional Chemicals-WUO_TRK'!A361),_xlfn.TEXTAFTER('Additional Chemicals-WUO_ERR'!A361, ":"))))</f>
        <v>0</v>
      </c>
    </row>
    <row r="362" spans="1:1">
      <c r="A362" s="39">
        <f>IF('Additional Chemicals'!B362 = "", "", IF('Additional Chemicals-WUO_ERR'!A362 = "", "Validated", HYPERLINK("#" &amp; ADDRESS(362, 'Additional Chemicals-WUO_TRK'!A362),_xlfn.TEXTAFTER('Additional Chemicals-WUO_ERR'!A362, ":"))))</f>
        <v>0</v>
      </c>
    </row>
    <row r="363" spans="1:1">
      <c r="A363" s="39">
        <f>IF('Additional Chemicals'!B363 = "", "", IF('Additional Chemicals-WUO_ERR'!A363 = "", "Validated", HYPERLINK("#" &amp; ADDRESS(363, 'Additional Chemicals-WUO_TRK'!A363),_xlfn.TEXTAFTER('Additional Chemicals-WUO_ERR'!A363, ":"))))</f>
        <v>0</v>
      </c>
    </row>
    <row r="364" spans="1:1">
      <c r="A364" s="39">
        <f>IF('Additional Chemicals'!B364 = "", "", IF('Additional Chemicals-WUO_ERR'!A364 = "", "Validated", HYPERLINK("#" &amp; ADDRESS(364, 'Additional Chemicals-WUO_TRK'!A364),_xlfn.TEXTAFTER('Additional Chemicals-WUO_ERR'!A364, ":"))))</f>
        <v>0</v>
      </c>
    </row>
    <row r="365" spans="1:1">
      <c r="A365" s="39">
        <f>IF('Additional Chemicals'!B365 = "", "", IF('Additional Chemicals-WUO_ERR'!A365 = "", "Validated", HYPERLINK("#" &amp; ADDRESS(365, 'Additional Chemicals-WUO_TRK'!A365),_xlfn.TEXTAFTER('Additional Chemicals-WUO_ERR'!A365, ":"))))</f>
        <v>0</v>
      </c>
    </row>
    <row r="366" spans="1:1">
      <c r="A366" s="39">
        <f>IF('Additional Chemicals'!B366 = "", "", IF('Additional Chemicals-WUO_ERR'!A366 = "", "Validated", HYPERLINK("#" &amp; ADDRESS(366, 'Additional Chemicals-WUO_TRK'!A366),_xlfn.TEXTAFTER('Additional Chemicals-WUO_ERR'!A366, ":"))))</f>
        <v>0</v>
      </c>
    </row>
    <row r="367" spans="1:1">
      <c r="A367" s="39">
        <f>IF('Additional Chemicals'!B367 = "", "", IF('Additional Chemicals-WUO_ERR'!A367 = "", "Validated", HYPERLINK("#" &amp; ADDRESS(367, 'Additional Chemicals-WUO_TRK'!A367),_xlfn.TEXTAFTER('Additional Chemicals-WUO_ERR'!A367, ":"))))</f>
        <v>0</v>
      </c>
    </row>
    <row r="368" spans="1:1">
      <c r="A368" s="39">
        <f>IF('Additional Chemicals'!B368 = "", "", IF('Additional Chemicals-WUO_ERR'!A368 = "", "Validated", HYPERLINK("#" &amp; ADDRESS(368, 'Additional Chemicals-WUO_TRK'!A368),_xlfn.TEXTAFTER('Additional Chemicals-WUO_ERR'!A368, ":"))))</f>
        <v>0</v>
      </c>
    </row>
    <row r="369" spans="1:1">
      <c r="A369" s="39">
        <f>IF('Additional Chemicals'!B369 = "", "", IF('Additional Chemicals-WUO_ERR'!A369 = "", "Validated", HYPERLINK("#" &amp; ADDRESS(369, 'Additional Chemicals-WUO_TRK'!A369),_xlfn.TEXTAFTER('Additional Chemicals-WUO_ERR'!A369, ":"))))</f>
        <v>0</v>
      </c>
    </row>
    <row r="370" spans="1:1">
      <c r="A370" s="39">
        <f>IF('Additional Chemicals'!B370 = "", "", IF('Additional Chemicals-WUO_ERR'!A370 = "", "Validated", HYPERLINK("#" &amp; ADDRESS(370, 'Additional Chemicals-WUO_TRK'!A370),_xlfn.TEXTAFTER('Additional Chemicals-WUO_ERR'!A370, ":"))))</f>
        <v>0</v>
      </c>
    </row>
    <row r="371" spans="1:1">
      <c r="A371" s="39">
        <f>IF('Additional Chemicals'!B371 = "", "", IF('Additional Chemicals-WUO_ERR'!A371 = "", "Validated", HYPERLINK("#" &amp; ADDRESS(371, 'Additional Chemicals-WUO_TRK'!A371),_xlfn.TEXTAFTER('Additional Chemicals-WUO_ERR'!A371, ":"))))</f>
        <v>0</v>
      </c>
    </row>
    <row r="372" spans="1:1">
      <c r="A372" s="39">
        <f>IF('Additional Chemicals'!B372 = "", "", IF('Additional Chemicals-WUO_ERR'!A372 = "", "Validated", HYPERLINK("#" &amp; ADDRESS(372, 'Additional Chemicals-WUO_TRK'!A372),_xlfn.TEXTAFTER('Additional Chemicals-WUO_ERR'!A372, ":"))))</f>
        <v>0</v>
      </c>
    </row>
    <row r="373" spans="1:1">
      <c r="A373" s="39">
        <f>IF('Additional Chemicals'!B373 = "", "", IF('Additional Chemicals-WUO_ERR'!A373 = "", "Validated", HYPERLINK("#" &amp; ADDRESS(373, 'Additional Chemicals-WUO_TRK'!A373),_xlfn.TEXTAFTER('Additional Chemicals-WUO_ERR'!A373, ":"))))</f>
        <v>0</v>
      </c>
    </row>
    <row r="374" spans="1:1">
      <c r="A374" s="39">
        <f>IF('Additional Chemicals'!B374 = "", "", IF('Additional Chemicals-WUO_ERR'!A374 = "", "Validated", HYPERLINK("#" &amp; ADDRESS(374, 'Additional Chemicals-WUO_TRK'!A374),_xlfn.TEXTAFTER('Additional Chemicals-WUO_ERR'!A374, ":"))))</f>
        <v>0</v>
      </c>
    </row>
    <row r="375" spans="1:1">
      <c r="A375" s="39">
        <f>IF('Additional Chemicals'!B375 = "", "", IF('Additional Chemicals-WUO_ERR'!A375 = "", "Validated", HYPERLINK("#" &amp; ADDRESS(375, 'Additional Chemicals-WUO_TRK'!A375),_xlfn.TEXTAFTER('Additional Chemicals-WUO_ERR'!A375, ":"))))</f>
        <v>0</v>
      </c>
    </row>
    <row r="376" spans="1:1">
      <c r="A376" s="39">
        <f>IF('Additional Chemicals'!B376 = "", "", IF('Additional Chemicals-WUO_ERR'!A376 = "", "Validated", HYPERLINK("#" &amp; ADDRESS(376, 'Additional Chemicals-WUO_TRK'!A376),_xlfn.TEXTAFTER('Additional Chemicals-WUO_ERR'!A376, ":"))))</f>
        <v>0</v>
      </c>
    </row>
    <row r="377" spans="1:1">
      <c r="A377" s="39">
        <f>IF('Additional Chemicals'!B377 = "", "", IF('Additional Chemicals-WUO_ERR'!A377 = "", "Validated", HYPERLINK("#" &amp; ADDRESS(377, 'Additional Chemicals-WUO_TRK'!A377),_xlfn.TEXTAFTER('Additional Chemicals-WUO_ERR'!A377, ":"))))</f>
        <v>0</v>
      </c>
    </row>
    <row r="378" spans="1:1">
      <c r="A378" s="39">
        <f>IF('Additional Chemicals'!B378 = "", "", IF('Additional Chemicals-WUO_ERR'!A378 = "", "Validated", HYPERLINK("#" &amp; ADDRESS(378, 'Additional Chemicals-WUO_TRK'!A378),_xlfn.TEXTAFTER('Additional Chemicals-WUO_ERR'!A378, ":"))))</f>
        <v>0</v>
      </c>
    </row>
    <row r="379" spans="1:1">
      <c r="A379" s="39">
        <f>IF('Additional Chemicals'!B379 = "", "", IF('Additional Chemicals-WUO_ERR'!A379 = "", "Validated", HYPERLINK("#" &amp; ADDRESS(379, 'Additional Chemicals-WUO_TRK'!A379),_xlfn.TEXTAFTER('Additional Chemicals-WUO_ERR'!A379, ":"))))</f>
        <v>0</v>
      </c>
    </row>
    <row r="380" spans="1:1">
      <c r="A380" s="39">
        <f>IF('Additional Chemicals'!B380 = "", "", IF('Additional Chemicals-WUO_ERR'!A380 = "", "Validated", HYPERLINK("#" &amp; ADDRESS(380, 'Additional Chemicals-WUO_TRK'!A380),_xlfn.TEXTAFTER('Additional Chemicals-WUO_ERR'!A380, ":"))))</f>
        <v>0</v>
      </c>
    </row>
    <row r="381" spans="1:1">
      <c r="A381" s="39">
        <f>IF('Additional Chemicals'!B381 = "", "", IF('Additional Chemicals-WUO_ERR'!A381 = "", "Validated", HYPERLINK("#" &amp; ADDRESS(381, 'Additional Chemicals-WUO_TRK'!A381),_xlfn.TEXTAFTER('Additional Chemicals-WUO_ERR'!A381, ":"))))</f>
        <v>0</v>
      </c>
    </row>
    <row r="382" spans="1:1">
      <c r="A382" s="39">
        <f>IF('Additional Chemicals'!B382 = "", "", IF('Additional Chemicals-WUO_ERR'!A382 = "", "Validated", HYPERLINK("#" &amp; ADDRESS(382, 'Additional Chemicals-WUO_TRK'!A382),_xlfn.TEXTAFTER('Additional Chemicals-WUO_ERR'!A382, ":"))))</f>
        <v>0</v>
      </c>
    </row>
    <row r="383" spans="1:1">
      <c r="A383" s="39">
        <f>IF('Additional Chemicals'!B383 = "", "", IF('Additional Chemicals-WUO_ERR'!A383 = "", "Validated", HYPERLINK("#" &amp; ADDRESS(383, 'Additional Chemicals-WUO_TRK'!A383),_xlfn.TEXTAFTER('Additional Chemicals-WUO_ERR'!A383, ":"))))</f>
        <v>0</v>
      </c>
    </row>
    <row r="384" spans="1:1">
      <c r="A384" s="39">
        <f>IF('Additional Chemicals'!B384 = "", "", IF('Additional Chemicals-WUO_ERR'!A384 = "", "Validated", HYPERLINK("#" &amp; ADDRESS(384, 'Additional Chemicals-WUO_TRK'!A384),_xlfn.TEXTAFTER('Additional Chemicals-WUO_ERR'!A384, ":"))))</f>
        <v>0</v>
      </c>
    </row>
    <row r="385" spans="1:1">
      <c r="A385" s="39">
        <f>IF('Additional Chemicals'!B385 = "", "", IF('Additional Chemicals-WUO_ERR'!A385 = "", "Validated", HYPERLINK("#" &amp; ADDRESS(385, 'Additional Chemicals-WUO_TRK'!A385),_xlfn.TEXTAFTER('Additional Chemicals-WUO_ERR'!A385, ":"))))</f>
        <v>0</v>
      </c>
    </row>
    <row r="386" spans="1:1">
      <c r="A386" s="39">
        <f>IF('Additional Chemicals'!B386 = "", "", IF('Additional Chemicals-WUO_ERR'!A386 = "", "Validated", HYPERLINK("#" &amp; ADDRESS(386, 'Additional Chemicals-WUO_TRK'!A386),_xlfn.TEXTAFTER('Additional Chemicals-WUO_ERR'!A386, ":"))))</f>
        <v>0</v>
      </c>
    </row>
    <row r="387" spans="1:1">
      <c r="A387" s="39">
        <f>IF('Additional Chemicals'!B387 = "", "", IF('Additional Chemicals-WUO_ERR'!A387 = "", "Validated", HYPERLINK("#" &amp; ADDRESS(387, 'Additional Chemicals-WUO_TRK'!A387),_xlfn.TEXTAFTER('Additional Chemicals-WUO_ERR'!A387, ":"))))</f>
        <v>0</v>
      </c>
    </row>
    <row r="388" spans="1:1">
      <c r="A388" s="39">
        <f>IF('Additional Chemicals'!B388 = "", "", IF('Additional Chemicals-WUO_ERR'!A388 = "", "Validated", HYPERLINK("#" &amp; ADDRESS(388, 'Additional Chemicals-WUO_TRK'!A388),_xlfn.TEXTAFTER('Additional Chemicals-WUO_ERR'!A388, ":"))))</f>
        <v>0</v>
      </c>
    </row>
    <row r="389" spans="1:1">
      <c r="A389" s="39">
        <f>IF('Additional Chemicals'!B389 = "", "", IF('Additional Chemicals-WUO_ERR'!A389 = "", "Validated", HYPERLINK("#" &amp; ADDRESS(389, 'Additional Chemicals-WUO_TRK'!A389),_xlfn.TEXTAFTER('Additional Chemicals-WUO_ERR'!A389, ":"))))</f>
        <v>0</v>
      </c>
    </row>
    <row r="390" spans="1:1">
      <c r="A390" s="39">
        <f>IF('Additional Chemicals'!B390 = "", "", IF('Additional Chemicals-WUO_ERR'!A390 = "", "Validated", HYPERLINK("#" &amp; ADDRESS(390, 'Additional Chemicals-WUO_TRK'!A390),_xlfn.TEXTAFTER('Additional Chemicals-WUO_ERR'!A390, ":"))))</f>
        <v>0</v>
      </c>
    </row>
    <row r="391" spans="1:1">
      <c r="A391" s="39">
        <f>IF('Additional Chemicals'!B391 = "", "", IF('Additional Chemicals-WUO_ERR'!A391 = "", "Validated", HYPERLINK("#" &amp; ADDRESS(391, 'Additional Chemicals-WUO_TRK'!A391),_xlfn.TEXTAFTER('Additional Chemicals-WUO_ERR'!A391, ":"))))</f>
        <v>0</v>
      </c>
    </row>
    <row r="392" spans="1:1">
      <c r="A392" s="39">
        <f>IF('Additional Chemicals'!B392 = "", "", IF('Additional Chemicals-WUO_ERR'!A392 = "", "Validated", HYPERLINK("#" &amp; ADDRESS(392, 'Additional Chemicals-WUO_TRK'!A392),_xlfn.TEXTAFTER('Additional Chemicals-WUO_ERR'!A392, ":"))))</f>
        <v>0</v>
      </c>
    </row>
    <row r="393" spans="1:1">
      <c r="A393" s="39">
        <f>IF('Additional Chemicals'!B393 = "", "", IF('Additional Chemicals-WUO_ERR'!A393 = "", "Validated", HYPERLINK("#" &amp; ADDRESS(393, 'Additional Chemicals-WUO_TRK'!A393),_xlfn.TEXTAFTER('Additional Chemicals-WUO_ERR'!A393, ":"))))</f>
        <v>0</v>
      </c>
    </row>
    <row r="394" spans="1:1">
      <c r="A394" s="39">
        <f>IF('Additional Chemicals'!B394 = "", "", IF('Additional Chemicals-WUO_ERR'!A394 = "", "Validated", HYPERLINK("#" &amp; ADDRESS(394, 'Additional Chemicals-WUO_TRK'!A394),_xlfn.TEXTAFTER('Additional Chemicals-WUO_ERR'!A394, ":"))))</f>
        <v>0</v>
      </c>
    </row>
    <row r="395" spans="1:1">
      <c r="A395" s="39">
        <f>IF('Additional Chemicals'!B395 = "", "", IF('Additional Chemicals-WUO_ERR'!A395 = "", "Validated", HYPERLINK("#" &amp; ADDRESS(395, 'Additional Chemicals-WUO_TRK'!A395),_xlfn.TEXTAFTER('Additional Chemicals-WUO_ERR'!A395, ":"))))</f>
        <v>0</v>
      </c>
    </row>
    <row r="396" spans="1:1">
      <c r="A396" s="39">
        <f>IF('Additional Chemicals'!B396 = "", "", IF('Additional Chemicals-WUO_ERR'!A396 = "", "Validated", HYPERLINK("#" &amp; ADDRESS(396, 'Additional Chemicals-WUO_TRK'!A396),_xlfn.TEXTAFTER('Additional Chemicals-WUO_ERR'!A396, ":"))))</f>
        <v>0</v>
      </c>
    </row>
    <row r="397" spans="1:1">
      <c r="A397" s="39">
        <f>IF('Additional Chemicals'!B397 = "", "", IF('Additional Chemicals-WUO_ERR'!A397 = "", "Validated", HYPERLINK("#" &amp; ADDRESS(397, 'Additional Chemicals-WUO_TRK'!A397),_xlfn.TEXTAFTER('Additional Chemicals-WUO_ERR'!A397, ":"))))</f>
        <v>0</v>
      </c>
    </row>
    <row r="398" spans="1:1">
      <c r="A398" s="39">
        <f>IF('Additional Chemicals'!B398 = "", "", IF('Additional Chemicals-WUO_ERR'!A398 = "", "Validated", HYPERLINK("#" &amp; ADDRESS(398, 'Additional Chemicals-WUO_TRK'!A398),_xlfn.TEXTAFTER('Additional Chemicals-WUO_ERR'!A398, ":"))))</f>
        <v>0</v>
      </c>
    </row>
    <row r="399" spans="1:1">
      <c r="A399" s="39">
        <f>IF('Additional Chemicals'!B399 = "", "", IF('Additional Chemicals-WUO_ERR'!A399 = "", "Validated", HYPERLINK("#" &amp; ADDRESS(399, 'Additional Chemicals-WUO_TRK'!A399),_xlfn.TEXTAFTER('Additional Chemicals-WUO_ERR'!A399, ":"))))</f>
        <v>0</v>
      </c>
    </row>
    <row r="400" spans="1:1">
      <c r="A400" s="39">
        <f>IF('Additional Chemicals'!B400 = "", "", IF('Additional Chemicals-WUO_ERR'!A400 = "", "Validated", HYPERLINK("#" &amp; ADDRESS(400, 'Additional Chemicals-WUO_TRK'!A400),_xlfn.TEXTAFTER('Additional Chemicals-WUO_ERR'!A400, ":"))))</f>
        <v>0</v>
      </c>
    </row>
    <row r="401" spans="1:1">
      <c r="A401" s="39">
        <f>IF('Additional Chemicals'!B401 = "", "", IF('Additional Chemicals-WUO_ERR'!A401 = "", "Validated", HYPERLINK("#" &amp; ADDRESS(401, 'Additional Chemicals-WUO_TRK'!A401),_xlfn.TEXTAFTER('Additional Chemicals-WUO_ERR'!A401, ":"))))</f>
        <v>0</v>
      </c>
    </row>
    <row r="402" spans="1:1">
      <c r="A402" s="39">
        <f>IF('Additional Chemicals'!B402 = "", "", IF('Additional Chemicals-WUO_ERR'!A402 = "", "Validated", HYPERLINK("#" &amp; ADDRESS(402, 'Additional Chemicals-WUO_TRK'!A402),_xlfn.TEXTAFTER('Additional Chemicals-WUO_ERR'!A402, ":"))))</f>
        <v>0</v>
      </c>
    </row>
    <row r="403" spans="1:1">
      <c r="A403" s="39">
        <f>IF('Additional Chemicals'!B403 = "", "", IF('Additional Chemicals-WUO_ERR'!A403 = "", "Validated", HYPERLINK("#" &amp; ADDRESS(403, 'Additional Chemicals-WUO_TRK'!A403),_xlfn.TEXTAFTER('Additional Chemicals-WUO_ERR'!A403, ":"))))</f>
        <v>0</v>
      </c>
    </row>
    <row r="404" spans="1:1">
      <c r="A404" s="39">
        <f>IF('Additional Chemicals'!B404 = "", "", IF('Additional Chemicals-WUO_ERR'!A404 = "", "Validated", HYPERLINK("#" &amp; ADDRESS(404, 'Additional Chemicals-WUO_TRK'!A404),_xlfn.TEXTAFTER('Additional Chemicals-WUO_ERR'!A404, ":"))))</f>
        <v>0</v>
      </c>
    </row>
    <row r="405" spans="1:1">
      <c r="A405" s="39">
        <f>IF('Additional Chemicals'!B405 = "", "", IF('Additional Chemicals-WUO_ERR'!A405 = "", "Validated", HYPERLINK("#" &amp; ADDRESS(405, 'Additional Chemicals-WUO_TRK'!A405),_xlfn.TEXTAFTER('Additional Chemicals-WUO_ERR'!A405, ":"))))</f>
        <v>0</v>
      </c>
    </row>
    <row r="406" spans="1:1">
      <c r="A406" s="39">
        <f>IF('Additional Chemicals'!B406 = "", "", IF('Additional Chemicals-WUO_ERR'!A406 = "", "Validated", HYPERLINK("#" &amp; ADDRESS(406, 'Additional Chemicals-WUO_TRK'!A406),_xlfn.TEXTAFTER('Additional Chemicals-WUO_ERR'!A406, ":"))))</f>
        <v>0</v>
      </c>
    </row>
    <row r="407" spans="1:1">
      <c r="A407" s="39">
        <f>IF('Additional Chemicals'!B407 = "", "", IF('Additional Chemicals-WUO_ERR'!A407 = "", "Validated", HYPERLINK("#" &amp; ADDRESS(407, 'Additional Chemicals-WUO_TRK'!A407),_xlfn.TEXTAFTER('Additional Chemicals-WUO_ERR'!A407, ":"))))</f>
        <v>0</v>
      </c>
    </row>
    <row r="408" spans="1:1">
      <c r="A408" s="39">
        <f>IF('Additional Chemicals'!B408 = "", "", IF('Additional Chemicals-WUO_ERR'!A408 = "", "Validated", HYPERLINK("#" &amp; ADDRESS(408, 'Additional Chemicals-WUO_TRK'!A408),_xlfn.TEXTAFTER('Additional Chemicals-WUO_ERR'!A408, ":"))))</f>
        <v>0</v>
      </c>
    </row>
    <row r="409" spans="1:1">
      <c r="A409" s="39">
        <f>IF('Additional Chemicals'!B409 = "", "", IF('Additional Chemicals-WUO_ERR'!A409 = "", "Validated", HYPERLINK("#" &amp; ADDRESS(409, 'Additional Chemicals-WUO_TRK'!A409),_xlfn.TEXTAFTER('Additional Chemicals-WUO_ERR'!A409, ":"))))</f>
        <v>0</v>
      </c>
    </row>
    <row r="410" spans="1:1">
      <c r="A410" s="39">
        <f>IF('Additional Chemicals'!B410 = "", "", IF('Additional Chemicals-WUO_ERR'!A410 = "", "Validated", HYPERLINK("#" &amp; ADDRESS(410, 'Additional Chemicals-WUO_TRK'!A410),_xlfn.TEXTAFTER('Additional Chemicals-WUO_ERR'!A410, ":"))))</f>
        <v>0</v>
      </c>
    </row>
    <row r="411" spans="1:1">
      <c r="A411" s="39">
        <f>IF('Additional Chemicals'!B411 = "", "", IF('Additional Chemicals-WUO_ERR'!A411 = "", "Validated", HYPERLINK("#" &amp; ADDRESS(411, 'Additional Chemicals-WUO_TRK'!A411),_xlfn.TEXTAFTER('Additional Chemicals-WUO_ERR'!A411, ":"))))</f>
        <v>0</v>
      </c>
    </row>
    <row r="412" spans="1:1">
      <c r="A412" s="39">
        <f>IF('Additional Chemicals'!B412 = "", "", IF('Additional Chemicals-WUO_ERR'!A412 = "", "Validated", HYPERLINK("#" &amp; ADDRESS(412, 'Additional Chemicals-WUO_TRK'!A412),_xlfn.TEXTAFTER('Additional Chemicals-WUO_ERR'!A412, ":"))))</f>
        <v>0</v>
      </c>
    </row>
    <row r="413" spans="1:1">
      <c r="A413" s="39">
        <f>IF('Additional Chemicals'!B413 = "", "", IF('Additional Chemicals-WUO_ERR'!A413 = "", "Validated", HYPERLINK("#" &amp; ADDRESS(413, 'Additional Chemicals-WUO_TRK'!A413),_xlfn.TEXTAFTER('Additional Chemicals-WUO_ERR'!A413, ":"))))</f>
        <v>0</v>
      </c>
    </row>
    <row r="414" spans="1:1">
      <c r="A414" s="39">
        <f>IF('Additional Chemicals'!B414 = "", "", IF('Additional Chemicals-WUO_ERR'!A414 = "", "Validated", HYPERLINK("#" &amp; ADDRESS(414, 'Additional Chemicals-WUO_TRK'!A414),_xlfn.TEXTAFTER('Additional Chemicals-WUO_ERR'!A414, ":"))))</f>
        <v>0</v>
      </c>
    </row>
    <row r="415" spans="1:1">
      <c r="A415" s="39">
        <f>IF('Additional Chemicals'!B415 = "", "", IF('Additional Chemicals-WUO_ERR'!A415 = "", "Validated", HYPERLINK("#" &amp; ADDRESS(415, 'Additional Chemicals-WUO_TRK'!A415),_xlfn.TEXTAFTER('Additional Chemicals-WUO_ERR'!A415, ":"))))</f>
        <v>0</v>
      </c>
    </row>
    <row r="416" spans="1:1">
      <c r="A416" s="39">
        <f>IF('Additional Chemicals'!B416 = "", "", IF('Additional Chemicals-WUO_ERR'!A416 = "", "Validated", HYPERLINK("#" &amp; ADDRESS(416, 'Additional Chemicals-WUO_TRK'!A416),_xlfn.TEXTAFTER('Additional Chemicals-WUO_ERR'!A416, ":"))))</f>
        <v>0</v>
      </c>
    </row>
    <row r="417" spans="1:1">
      <c r="A417" s="39">
        <f>IF('Additional Chemicals'!B417 = "", "", IF('Additional Chemicals-WUO_ERR'!A417 = "", "Validated", HYPERLINK("#" &amp; ADDRESS(417, 'Additional Chemicals-WUO_TRK'!A417),_xlfn.TEXTAFTER('Additional Chemicals-WUO_ERR'!A417, ":"))))</f>
        <v>0</v>
      </c>
    </row>
    <row r="418" spans="1:1">
      <c r="A418" s="39">
        <f>IF('Additional Chemicals'!B418 = "", "", IF('Additional Chemicals-WUO_ERR'!A418 = "", "Validated", HYPERLINK("#" &amp; ADDRESS(418, 'Additional Chemicals-WUO_TRK'!A418),_xlfn.TEXTAFTER('Additional Chemicals-WUO_ERR'!A418, ":"))))</f>
        <v>0</v>
      </c>
    </row>
    <row r="419" spans="1:1">
      <c r="A419" s="39">
        <f>IF('Additional Chemicals'!B419 = "", "", IF('Additional Chemicals-WUO_ERR'!A419 = "", "Validated", HYPERLINK("#" &amp; ADDRESS(419, 'Additional Chemicals-WUO_TRK'!A419),_xlfn.TEXTAFTER('Additional Chemicals-WUO_ERR'!A419, ":"))))</f>
        <v>0</v>
      </c>
    </row>
    <row r="420" spans="1:1">
      <c r="A420" s="39">
        <f>IF('Additional Chemicals'!B420 = "", "", IF('Additional Chemicals-WUO_ERR'!A420 = "", "Validated", HYPERLINK("#" &amp; ADDRESS(420, 'Additional Chemicals-WUO_TRK'!A420),_xlfn.TEXTAFTER('Additional Chemicals-WUO_ERR'!A420, ":"))))</f>
        <v>0</v>
      </c>
    </row>
    <row r="421" spans="1:1">
      <c r="A421" s="39">
        <f>IF('Additional Chemicals'!B421 = "", "", IF('Additional Chemicals-WUO_ERR'!A421 = "", "Validated", HYPERLINK("#" &amp; ADDRESS(421, 'Additional Chemicals-WUO_TRK'!A421),_xlfn.TEXTAFTER('Additional Chemicals-WUO_ERR'!A421, ":"))))</f>
        <v>0</v>
      </c>
    </row>
    <row r="422" spans="1:1">
      <c r="A422" s="39">
        <f>IF('Additional Chemicals'!B422 = "", "", IF('Additional Chemicals-WUO_ERR'!A422 = "", "Validated", HYPERLINK("#" &amp; ADDRESS(422, 'Additional Chemicals-WUO_TRK'!A422),_xlfn.TEXTAFTER('Additional Chemicals-WUO_ERR'!A422, ":"))))</f>
        <v>0</v>
      </c>
    </row>
    <row r="423" spans="1:1">
      <c r="A423" s="39">
        <f>IF('Additional Chemicals'!B423 = "", "", IF('Additional Chemicals-WUO_ERR'!A423 = "", "Validated", HYPERLINK("#" &amp; ADDRESS(423, 'Additional Chemicals-WUO_TRK'!A423),_xlfn.TEXTAFTER('Additional Chemicals-WUO_ERR'!A423, ":"))))</f>
        <v>0</v>
      </c>
    </row>
    <row r="424" spans="1:1">
      <c r="A424" s="39">
        <f>IF('Additional Chemicals'!B424 = "", "", IF('Additional Chemicals-WUO_ERR'!A424 = "", "Validated", HYPERLINK("#" &amp; ADDRESS(424, 'Additional Chemicals-WUO_TRK'!A424),_xlfn.TEXTAFTER('Additional Chemicals-WUO_ERR'!A424, ":"))))</f>
        <v>0</v>
      </c>
    </row>
    <row r="425" spans="1:1">
      <c r="A425" s="39">
        <f>IF('Additional Chemicals'!B425 = "", "", IF('Additional Chemicals-WUO_ERR'!A425 = "", "Validated", HYPERLINK("#" &amp; ADDRESS(425, 'Additional Chemicals-WUO_TRK'!A425),_xlfn.TEXTAFTER('Additional Chemicals-WUO_ERR'!A425, ":"))))</f>
        <v>0</v>
      </c>
    </row>
    <row r="426" spans="1:1">
      <c r="A426" s="39">
        <f>IF('Additional Chemicals'!B426 = "", "", IF('Additional Chemicals-WUO_ERR'!A426 = "", "Validated", HYPERLINK("#" &amp; ADDRESS(426, 'Additional Chemicals-WUO_TRK'!A426),_xlfn.TEXTAFTER('Additional Chemicals-WUO_ERR'!A426, ":"))))</f>
        <v>0</v>
      </c>
    </row>
    <row r="427" spans="1:1">
      <c r="A427" s="39">
        <f>IF('Additional Chemicals'!B427 = "", "", IF('Additional Chemicals-WUO_ERR'!A427 = "", "Validated", HYPERLINK("#" &amp; ADDRESS(427, 'Additional Chemicals-WUO_TRK'!A427),_xlfn.TEXTAFTER('Additional Chemicals-WUO_ERR'!A427, ":"))))</f>
        <v>0</v>
      </c>
    </row>
    <row r="428" spans="1:1">
      <c r="A428" s="39">
        <f>IF('Additional Chemicals'!B428 = "", "", IF('Additional Chemicals-WUO_ERR'!A428 = "", "Validated", HYPERLINK("#" &amp; ADDRESS(428, 'Additional Chemicals-WUO_TRK'!A428),_xlfn.TEXTAFTER('Additional Chemicals-WUO_ERR'!A428, ":"))))</f>
        <v>0</v>
      </c>
    </row>
    <row r="429" spans="1:1">
      <c r="A429" s="39">
        <f>IF('Additional Chemicals'!B429 = "", "", IF('Additional Chemicals-WUO_ERR'!A429 = "", "Validated", HYPERLINK("#" &amp; ADDRESS(429, 'Additional Chemicals-WUO_TRK'!A429),_xlfn.TEXTAFTER('Additional Chemicals-WUO_ERR'!A429, ":"))))</f>
        <v>0</v>
      </c>
    </row>
    <row r="430" spans="1:1">
      <c r="A430" s="39">
        <f>IF('Additional Chemicals'!B430 = "", "", IF('Additional Chemicals-WUO_ERR'!A430 = "", "Validated", HYPERLINK("#" &amp; ADDRESS(430, 'Additional Chemicals-WUO_TRK'!A430),_xlfn.TEXTAFTER('Additional Chemicals-WUO_ERR'!A430, ":"))))</f>
        <v>0</v>
      </c>
    </row>
    <row r="431" spans="1:1">
      <c r="A431" s="39">
        <f>IF('Additional Chemicals'!B431 = "", "", IF('Additional Chemicals-WUO_ERR'!A431 = "", "Validated", HYPERLINK("#" &amp; ADDRESS(431, 'Additional Chemicals-WUO_TRK'!A431),_xlfn.TEXTAFTER('Additional Chemicals-WUO_ERR'!A431, ":"))))</f>
        <v>0</v>
      </c>
    </row>
    <row r="432" spans="1:1">
      <c r="A432" s="39">
        <f>IF('Additional Chemicals'!B432 = "", "", IF('Additional Chemicals-WUO_ERR'!A432 = "", "Validated", HYPERLINK("#" &amp; ADDRESS(432, 'Additional Chemicals-WUO_TRK'!A432),_xlfn.TEXTAFTER('Additional Chemicals-WUO_ERR'!A432, ":"))))</f>
        <v>0</v>
      </c>
    </row>
    <row r="433" spans="1:1">
      <c r="A433" s="39">
        <f>IF('Additional Chemicals'!B433 = "", "", IF('Additional Chemicals-WUO_ERR'!A433 = "", "Validated", HYPERLINK("#" &amp; ADDRESS(433, 'Additional Chemicals-WUO_TRK'!A433),_xlfn.TEXTAFTER('Additional Chemicals-WUO_ERR'!A433, ":"))))</f>
        <v>0</v>
      </c>
    </row>
    <row r="434" spans="1:1">
      <c r="A434" s="39">
        <f>IF('Additional Chemicals'!B434 = "", "", IF('Additional Chemicals-WUO_ERR'!A434 = "", "Validated", HYPERLINK("#" &amp; ADDRESS(434, 'Additional Chemicals-WUO_TRK'!A434),_xlfn.TEXTAFTER('Additional Chemicals-WUO_ERR'!A434, ":"))))</f>
        <v>0</v>
      </c>
    </row>
    <row r="435" spans="1:1">
      <c r="A435" s="39">
        <f>IF('Additional Chemicals'!B435 = "", "", IF('Additional Chemicals-WUO_ERR'!A435 = "", "Validated", HYPERLINK("#" &amp; ADDRESS(435, 'Additional Chemicals-WUO_TRK'!A435),_xlfn.TEXTAFTER('Additional Chemicals-WUO_ERR'!A435, ":"))))</f>
        <v>0</v>
      </c>
    </row>
    <row r="436" spans="1:1">
      <c r="A436" s="39">
        <f>IF('Additional Chemicals'!B436 = "", "", IF('Additional Chemicals-WUO_ERR'!A436 = "", "Validated", HYPERLINK("#" &amp; ADDRESS(436, 'Additional Chemicals-WUO_TRK'!A436),_xlfn.TEXTAFTER('Additional Chemicals-WUO_ERR'!A436, ":"))))</f>
        <v>0</v>
      </c>
    </row>
    <row r="437" spans="1:1">
      <c r="A437" s="39">
        <f>IF('Additional Chemicals'!B437 = "", "", IF('Additional Chemicals-WUO_ERR'!A437 = "", "Validated", HYPERLINK("#" &amp; ADDRESS(437, 'Additional Chemicals-WUO_TRK'!A437),_xlfn.TEXTAFTER('Additional Chemicals-WUO_ERR'!A437, ":"))))</f>
        <v>0</v>
      </c>
    </row>
    <row r="438" spans="1:1">
      <c r="A438" s="39">
        <f>IF('Additional Chemicals'!B438 = "", "", IF('Additional Chemicals-WUO_ERR'!A438 = "", "Validated", HYPERLINK("#" &amp; ADDRESS(438, 'Additional Chemicals-WUO_TRK'!A438),_xlfn.TEXTAFTER('Additional Chemicals-WUO_ERR'!A438, ":"))))</f>
        <v>0</v>
      </c>
    </row>
    <row r="439" spans="1:1">
      <c r="A439" s="39">
        <f>IF('Additional Chemicals'!B439 = "", "", IF('Additional Chemicals-WUO_ERR'!A439 = "", "Validated", HYPERLINK("#" &amp; ADDRESS(439, 'Additional Chemicals-WUO_TRK'!A439),_xlfn.TEXTAFTER('Additional Chemicals-WUO_ERR'!A439, ":"))))</f>
        <v>0</v>
      </c>
    </row>
    <row r="440" spans="1:1">
      <c r="A440" s="39">
        <f>IF('Additional Chemicals'!B440 = "", "", IF('Additional Chemicals-WUO_ERR'!A440 = "", "Validated", HYPERLINK("#" &amp; ADDRESS(440, 'Additional Chemicals-WUO_TRK'!A440),_xlfn.TEXTAFTER('Additional Chemicals-WUO_ERR'!A440, ":"))))</f>
        <v>0</v>
      </c>
    </row>
    <row r="441" spans="1:1">
      <c r="A441" s="39">
        <f>IF('Additional Chemicals'!B441 = "", "", IF('Additional Chemicals-WUO_ERR'!A441 = "", "Validated", HYPERLINK("#" &amp; ADDRESS(441, 'Additional Chemicals-WUO_TRK'!A441),_xlfn.TEXTAFTER('Additional Chemicals-WUO_ERR'!A441, ":"))))</f>
        <v>0</v>
      </c>
    </row>
    <row r="442" spans="1:1">
      <c r="A442" s="39">
        <f>IF('Additional Chemicals'!B442 = "", "", IF('Additional Chemicals-WUO_ERR'!A442 = "", "Validated", HYPERLINK("#" &amp; ADDRESS(442, 'Additional Chemicals-WUO_TRK'!A442),_xlfn.TEXTAFTER('Additional Chemicals-WUO_ERR'!A442, ":"))))</f>
        <v>0</v>
      </c>
    </row>
    <row r="443" spans="1:1">
      <c r="A443" s="39">
        <f>IF('Additional Chemicals'!B443 = "", "", IF('Additional Chemicals-WUO_ERR'!A443 = "", "Validated", HYPERLINK("#" &amp; ADDRESS(443, 'Additional Chemicals-WUO_TRK'!A443),_xlfn.TEXTAFTER('Additional Chemicals-WUO_ERR'!A443, ":"))))</f>
        <v>0</v>
      </c>
    </row>
    <row r="444" spans="1:1">
      <c r="A444" s="39">
        <f>IF('Additional Chemicals'!B444 = "", "", IF('Additional Chemicals-WUO_ERR'!A444 = "", "Validated", HYPERLINK("#" &amp; ADDRESS(444, 'Additional Chemicals-WUO_TRK'!A444),_xlfn.TEXTAFTER('Additional Chemicals-WUO_ERR'!A444, ":"))))</f>
        <v>0</v>
      </c>
    </row>
    <row r="445" spans="1:1">
      <c r="A445" s="39">
        <f>IF('Additional Chemicals'!B445 = "", "", IF('Additional Chemicals-WUO_ERR'!A445 = "", "Validated", HYPERLINK("#" &amp; ADDRESS(445, 'Additional Chemicals-WUO_TRK'!A445),_xlfn.TEXTAFTER('Additional Chemicals-WUO_ERR'!A445, ":"))))</f>
        <v>0</v>
      </c>
    </row>
    <row r="446" spans="1:1">
      <c r="A446" s="39">
        <f>IF('Additional Chemicals'!B446 = "", "", IF('Additional Chemicals-WUO_ERR'!A446 = "", "Validated", HYPERLINK("#" &amp; ADDRESS(446, 'Additional Chemicals-WUO_TRK'!A446),_xlfn.TEXTAFTER('Additional Chemicals-WUO_ERR'!A446, ":"))))</f>
        <v>0</v>
      </c>
    </row>
    <row r="447" spans="1:1">
      <c r="A447" s="39">
        <f>IF('Additional Chemicals'!B447 = "", "", IF('Additional Chemicals-WUO_ERR'!A447 = "", "Validated", HYPERLINK("#" &amp; ADDRESS(447, 'Additional Chemicals-WUO_TRK'!A447),_xlfn.TEXTAFTER('Additional Chemicals-WUO_ERR'!A447, ":"))))</f>
        <v>0</v>
      </c>
    </row>
    <row r="448" spans="1:1">
      <c r="A448" s="39">
        <f>IF('Additional Chemicals'!B448 = "", "", IF('Additional Chemicals-WUO_ERR'!A448 = "", "Validated", HYPERLINK("#" &amp; ADDRESS(448, 'Additional Chemicals-WUO_TRK'!A448),_xlfn.TEXTAFTER('Additional Chemicals-WUO_ERR'!A448, ":"))))</f>
        <v>0</v>
      </c>
    </row>
    <row r="449" spans="1:1">
      <c r="A449" s="39">
        <f>IF('Additional Chemicals'!B449 = "", "", IF('Additional Chemicals-WUO_ERR'!A449 = "", "Validated", HYPERLINK("#" &amp; ADDRESS(449, 'Additional Chemicals-WUO_TRK'!A449),_xlfn.TEXTAFTER('Additional Chemicals-WUO_ERR'!A449, ":"))))</f>
        <v>0</v>
      </c>
    </row>
    <row r="450" spans="1:1">
      <c r="A450" s="39">
        <f>IF('Additional Chemicals'!B450 = "", "", IF('Additional Chemicals-WUO_ERR'!A450 = "", "Validated", HYPERLINK("#" &amp; ADDRESS(450, 'Additional Chemicals-WUO_TRK'!A450),_xlfn.TEXTAFTER('Additional Chemicals-WUO_ERR'!A450, ":"))))</f>
        <v>0</v>
      </c>
    </row>
    <row r="451" spans="1:1">
      <c r="A451" s="39">
        <f>IF('Additional Chemicals'!B451 = "", "", IF('Additional Chemicals-WUO_ERR'!A451 = "", "Validated", HYPERLINK("#" &amp; ADDRESS(451, 'Additional Chemicals-WUO_TRK'!A451),_xlfn.TEXTAFTER('Additional Chemicals-WUO_ERR'!A451, ":"))))</f>
        <v>0</v>
      </c>
    </row>
    <row r="452" spans="1:1">
      <c r="A452" s="39">
        <f>IF('Additional Chemicals'!B452 = "", "", IF('Additional Chemicals-WUO_ERR'!A452 = "", "Validated", HYPERLINK("#" &amp; ADDRESS(452, 'Additional Chemicals-WUO_TRK'!A452),_xlfn.TEXTAFTER('Additional Chemicals-WUO_ERR'!A452, ":"))))</f>
        <v>0</v>
      </c>
    </row>
    <row r="453" spans="1:1">
      <c r="A453" s="39">
        <f>IF('Additional Chemicals'!B453 = "", "", IF('Additional Chemicals-WUO_ERR'!A453 = "", "Validated", HYPERLINK("#" &amp; ADDRESS(453, 'Additional Chemicals-WUO_TRK'!A453),_xlfn.TEXTAFTER('Additional Chemicals-WUO_ERR'!A453, ":"))))</f>
        <v>0</v>
      </c>
    </row>
    <row r="454" spans="1:1">
      <c r="A454" s="39">
        <f>IF('Additional Chemicals'!B454 = "", "", IF('Additional Chemicals-WUO_ERR'!A454 = "", "Validated", HYPERLINK("#" &amp; ADDRESS(454, 'Additional Chemicals-WUO_TRK'!A454),_xlfn.TEXTAFTER('Additional Chemicals-WUO_ERR'!A454, ":"))))</f>
        <v>0</v>
      </c>
    </row>
    <row r="455" spans="1:1">
      <c r="A455" s="39">
        <f>IF('Additional Chemicals'!B455 = "", "", IF('Additional Chemicals-WUO_ERR'!A455 = "", "Validated", HYPERLINK("#" &amp; ADDRESS(455, 'Additional Chemicals-WUO_TRK'!A455),_xlfn.TEXTAFTER('Additional Chemicals-WUO_ERR'!A455, ":"))))</f>
        <v>0</v>
      </c>
    </row>
    <row r="456" spans="1:1">
      <c r="A456" s="39">
        <f>IF('Additional Chemicals'!B456 = "", "", IF('Additional Chemicals-WUO_ERR'!A456 = "", "Validated", HYPERLINK("#" &amp; ADDRESS(456, 'Additional Chemicals-WUO_TRK'!A456),_xlfn.TEXTAFTER('Additional Chemicals-WUO_ERR'!A456, ":"))))</f>
        <v>0</v>
      </c>
    </row>
    <row r="457" spans="1:1">
      <c r="A457" s="39">
        <f>IF('Additional Chemicals'!B457 = "", "", IF('Additional Chemicals-WUO_ERR'!A457 = "", "Validated", HYPERLINK("#" &amp; ADDRESS(457, 'Additional Chemicals-WUO_TRK'!A457),_xlfn.TEXTAFTER('Additional Chemicals-WUO_ERR'!A457, ":"))))</f>
        <v>0</v>
      </c>
    </row>
    <row r="458" spans="1:1">
      <c r="A458" s="39">
        <f>IF('Additional Chemicals'!B458 = "", "", IF('Additional Chemicals-WUO_ERR'!A458 = "", "Validated", HYPERLINK("#" &amp; ADDRESS(458, 'Additional Chemicals-WUO_TRK'!A458),_xlfn.TEXTAFTER('Additional Chemicals-WUO_ERR'!A458, ":"))))</f>
        <v>0</v>
      </c>
    </row>
    <row r="459" spans="1:1">
      <c r="A459" s="39">
        <f>IF('Additional Chemicals'!B459 = "", "", IF('Additional Chemicals-WUO_ERR'!A459 = "", "Validated", HYPERLINK("#" &amp; ADDRESS(459, 'Additional Chemicals-WUO_TRK'!A459),_xlfn.TEXTAFTER('Additional Chemicals-WUO_ERR'!A459, ":"))))</f>
        <v>0</v>
      </c>
    </row>
    <row r="460" spans="1:1">
      <c r="A460" s="39">
        <f>IF('Additional Chemicals'!B460 = "", "", IF('Additional Chemicals-WUO_ERR'!A460 = "", "Validated", HYPERLINK("#" &amp; ADDRESS(460, 'Additional Chemicals-WUO_TRK'!A460),_xlfn.TEXTAFTER('Additional Chemicals-WUO_ERR'!A460, ":"))))</f>
        <v>0</v>
      </c>
    </row>
    <row r="461" spans="1:1">
      <c r="A461" s="39">
        <f>IF('Additional Chemicals'!B461 = "", "", IF('Additional Chemicals-WUO_ERR'!A461 = "", "Validated", HYPERLINK("#" &amp; ADDRESS(461, 'Additional Chemicals-WUO_TRK'!A461),_xlfn.TEXTAFTER('Additional Chemicals-WUO_ERR'!A461, ":"))))</f>
        <v>0</v>
      </c>
    </row>
    <row r="462" spans="1:1">
      <c r="A462" s="39">
        <f>IF('Additional Chemicals'!B462 = "", "", IF('Additional Chemicals-WUO_ERR'!A462 = "", "Validated", HYPERLINK("#" &amp; ADDRESS(462, 'Additional Chemicals-WUO_TRK'!A462),_xlfn.TEXTAFTER('Additional Chemicals-WUO_ERR'!A462, ":"))))</f>
        <v>0</v>
      </c>
    </row>
    <row r="463" spans="1:1">
      <c r="A463" s="39">
        <f>IF('Additional Chemicals'!B463 = "", "", IF('Additional Chemicals-WUO_ERR'!A463 = "", "Validated", HYPERLINK("#" &amp; ADDRESS(463, 'Additional Chemicals-WUO_TRK'!A463),_xlfn.TEXTAFTER('Additional Chemicals-WUO_ERR'!A463, ":"))))</f>
        <v>0</v>
      </c>
    </row>
    <row r="464" spans="1:1">
      <c r="A464" s="39">
        <f>IF('Additional Chemicals'!B464 = "", "", IF('Additional Chemicals-WUO_ERR'!A464 = "", "Validated", HYPERLINK("#" &amp; ADDRESS(464, 'Additional Chemicals-WUO_TRK'!A464),_xlfn.TEXTAFTER('Additional Chemicals-WUO_ERR'!A464, ":"))))</f>
        <v>0</v>
      </c>
    </row>
    <row r="465" spans="1:1">
      <c r="A465" s="39">
        <f>IF('Additional Chemicals'!B465 = "", "", IF('Additional Chemicals-WUO_ERR'!A465 = "", "Validated", HYPERLINK("#" &amp; ADDRESS(465, 'Additional Chemicals-WUO_TRK'!A465),_xlfn.TEXTAFTER('Additional Chemicals-WUO_ERR'!A465, ":"))))</f>
        <v>0</v>
      </c>
    </row>
    <row r="466" spans="1:1">
      <c r="A466" s="39">
        <f>IF('Additional Chemicals'!B466 = "", "", IF('Additional Chemicals-WUO_ERR'!A466 = "", "Validated", HYPERLINK("#" &amp; ADDRESS(466, 'Additional Chemicals-WUO_TRK'!A466),_xlfn.TEXTAFTER('Additional Chemicals-WUO_ERR'!A466, ":"))))</f>
        <v>0</v>
      </c>
    </row>
    <row r="467" spans="1:1">
      <c r="A467" s="39">
        <f>IF('Additional Chemicals'!B467 = "", "", IF('Additional Chemicals-WUO_ERR'!A467 = "", "Validated", HYPERLINK("#" &amp; ADDRESS(467, 'Additional Chemicals-WUO_TRK'!A467),_xlfn.TEXTAFTER('Additional Chemicals-WUO_ERR'!A467, ":"))))</f>
        <v>0</v>
      </c>
    </row>
    <row r="468" spans="1:1">
      <c r="A468" s="39">
        <f>IF('Additional Chemicals'!B468 = "", "", IF('Additional Chemicals-WUO_ERR'!A468 = "", "Validated", HYPERLINK("#" &amp; ADDRESS(468, 'Additional Chemicals-WUO_TRK'!A468),_xlfn.TEXTAFTER('Additional Chemicals-WUO_ERR'!A468, ":"))))</f>
        <v>0</v>
      </c>
    </row>
    <row r="469" spans="1:1">
      <c r="A469" s="39">
        <f>IF('Additional Chemicals'!B469 = "", "", IF('Additional Chemicals-WUO_ERR'!A469 = "", "Validated", HYPERLINK("#" &amp; ADDRESS(469, 'Additional Chemicals-WUO_TRK'!A469),_xlfn.TEXTAFTER('Additional Chemicals-WUO_ERR'!A469, ":"))))</f>
        <v>0</v>
      </c>
    </row>
    <row r="470" spans="1:1">
      <c r="A470" s="39">
        <f>IF('Additional Chemicals'!B470 = "", "", IF('Additional Chemicals-WUO_ERR'!A470 = "", "Validated", HYPERLINK("#" &amp; ADDRESS(470, 'Additional Chemicals-WUO_TRK'!A470),_xlfn.TEXTAFTER('Additional Chemicals-WUO_ERR'!A470, ":"))))</f>
        <v>0</v>
      </c>
    </row>
    <row r="471" spans="1:1">
      <c r="A471" s="39">
        <f>IF('Additional Chemicals'!B471 = "", "", IF('Additional Chemicals-WUO_ERR'!A471 = "", "Validated", HYPERLINK("#" &amp; ADDRESS(471, 'Additional Chemicals-WUO_TRK'!A471),_xlfn.TEXTAFTER('Additional Chemicals-WUO_ERR'!A471, ":"))))</f>
        <v>0</v>
      </c>
    </row>
    <row r="472" spans="1:1">
      <c r="A472" s="39">
        <f>IF('Additional Chemicals'!B472 = "", "", IF('Additional Chemicals-WUO_ERR'!A472 = "", "Validated", HYPERLINK("#" &amp; ADDRESS(472, 'Additional Chemicals-WUO_TRK'!A472),_xlfn.TEXTAFTER('Additional Chemicals-WUO_ERR'!A472, ":"))))</f>
        <v>0</v>
      </c>
    </row>
    <row r="473" spans="1:1">
      <c r="A473" s="39">
        <f>IF('Additional Chemicals'!B473 = "", "", IF('Additional Chemicals-WUO_ERR'!A473 = "", "Validated", HYPERLINK("#" &amp; ADDRESS(473, 'Additional Chemicals-WUO_TRK'!A473),_xlfn.TEXTAFTER('Additional Chemicals-WUO_ERR'!A473, ":"))))</f>
        <v>0</v>
      </c>
    </row>
    <row r="474" spans="1:1">
      <c r="A474" s="39">
        <f>IF('Additional Chemicals'!B474 = "", "", IF('Additional Chemicals-WUO_ERR'!A474 = "", "Validated", HYPERLINK("#" &amp; ADDRESS(474, 'Additional Chemicals-WUO_TRK'!A474),_xlfn.TEXTAFTER('Additional Chemicals-WUO_ERR'!A474, ":"))))</f>
        <v>0</v>
      </c>
    </row>
    <row r="475" spans="1:1">
      <c r="A475" s="39">
        <f>IF('Additional Chemicals'!B475 = "", "", IF('Additional Chemicals-WUO_ERR'!A475 = "", "Validated", HYPERLINK("#" &amp; ADDRESS(475, 'Additional Chemicals-WUO_TRK'!A475),_xlfn.TEXTAFTER('Additional Chemicals-WUO_ERR'!A475, ":"))))</f>
        <v>0</v>
      </c>
    </row>
    <row r="476" spans="1:1">
      <c r="A476" s="39">
        <f>IF('Additional Chemicals'!B476 = "", "", IF('Additional Chemicals-WUO_ERR'!A476 = "", "Validated", HYPERLINK("#" &amp; ADDRESS(476, 'Additional Chemicals-WUO_TRK'!A476),_xlfn.TEXTAFTER('Additional Chemicals-WUO_ERR'!A476, ":"))))</f>
        <v>0</v>
      </c>
    </row>
    <row r="477" spans="1:1">
      <c r="A477" s="39">
        <f>IF('Additional Chemicals'!B477 = "", "", IF('Additional Chemicals-WUO_ERR'!A477 = "", "Validated", HYPERLINK("#" &amp; ADDRESS(477, 'Additional Chemicals-WUO_TRK'!A477),_xlfn.TEXTAFTER('Additional Chemicals-WUO_ERR'!A477, ":"))))</f>
        <v>0</v>
      </c>
    </row>
    <row r="478" spans="1:1">
      <c r="A478" s="39">
        <f>IF('Additional Chemicals'!B478 = "", "", IF('Additional Chemicals-WUO_ERR'!A478 = "", "Validated", HYPERLINK("#" &amp; ADDRESS(478, 'Additional Chemicals-WUO_TRK'!A478),_xlfn.TEXTAFTER('Additional Chemicals-WUO_ERR'!A478, ":"))))</f>
        <v>0</v>
      </c>
    </row>
    <row r="479" spans="1:1">
      <c r="A479" s="39">
        <f>IF('Additional Chemicals'!B479 = "", "", IF('Additional Chemicals-WUO_ERR'!A479 = "", "Validated", HYPERLINK("#" &amp; ADDRESS(479, 'Additional Chemicals-WUO_TRK'!A479),_xlfn.TEXTAFTER('Additional Chemicals-WUO_ERR'!A479, ":"))))</f>
        <v>0</v>
      </c>
    </row>
    <row r="480" spans="1:1">
      <c r="A480" s="39">
        <f>IF('Additional Chemicals'!B480 = "", "", IF('Additional Chemicals-WUO_ERR'!A480 = "", "Validated", HYPERLINK("#" &amp; ADDRESS(480, 'Additional Chemicals-WUO_TRK'!A480),_xlfn.TEXTAFTER('Additional Chemicals-WUO_ERR'!A480, ":"))))</f>
        <v>0</v>
      </c>
    </row>
    <row r="481" spans="1:1">
      <c r="A481" s="39">
        <f>IF('Additional Chemicals'!B481 = "", "", IF('Additional Chemicals-WUO_ERR'!A481 = "", "Validated", HYPERLINK("#" &amp; ADDRESS(481, 'Additional Chemicals-WUO_TRK'!A481),_xlfn.TEXTAFTER('Additional Chemicals-WUO_ERR'!A481, ":"))))</f>
        <v>0</v>
      </c>
    </row>
    <row r="482" spans="1:1">
      <c r="A482" s="39">
        <f>IF('Additional Chemicals'!B482 = "", "", IF('Additional Chemicals-WUO_ERR'!A482 = "", "Validated", HYPERLINK("#" &amp; ADDRESS(482, 'Additional Chemicals-WUO_TRK'!A482),_xlfn.TEXTAFTER('Additional Chemicals-WUO_ERR'!A482, ":"))))</f>
        <v>0</v>
      </c>
    </row>
    <row r="483" spans="1:1">
      <c r="A483" s="39">
        <f>IF('Additional Chemicals'!B483 = "", "", IF('Additional Chemicals-WUO_ERR'!A483 = "", "Validated", HYPERLINK("#" &amp; ADDRESS(483, 'Additional Chemicals-WUO_TRK'!A483),_xlfn.TEXTAFTER('Additional Chemicals-WUO_ERR'!A483, ":"))))</f>
        <v>0</v>
      </c>
    </row>
    <row r="484" spans="1:1">
      <c r="A484" s="39">
        <f>IF('Additional Chemicals'!B484 = "", "", IF('Additional Chemicals-WUO_ERR'!A484 = "", "Validated", HYPERLINK("#" &amp; ADDRESS(484, 'Additional Chemicals-WUO_TRK'!A484),_xlfn.TEXTAFTER('Additional Chemicals-WUO_ERR'!A484, ":"))))</f>
        <v>0</v>
      </c>
    </row>
    <row r="485" spans="1:1">
      <c r="A485" s="39">
        <f>IF('Additional Chemicals'!B485 = "", "", IF('Additional Chemicals-WUO_ERR'!A485 = "", "Validated", HYPERLINK("#" &amp; ADDRESS(485, 'Additional Chemicals-WUO_TRK'!A485),_xlfn.TEXTAFTER('Additional Chemicals-WUO_ERR'!A485, ":"))))</f>
        <v>0</v>
      </c>
    </row>
    <row r="486" spans="1:1">
      <c r="A486" s="39">
        <f>IF('Additional Chemicals'!B486 = "", "", IF('Additional Chemicals-WUO_ERR'!A486 = "", "Validated", HYPERLINK("#" &amp; ADDRESS(486, 'Additional Chemicals-WUO_TRK'!A486),_xlfn.TEXTAFTER('Additional Chemicals-WUO_ERR'!A486, ":"))))</f>
        <v>0</v>
      </c>
    </row>
    <row r="487" spans="1:1">
      <c r="A487" s="39">
        <f>IF('Additional Chemicals'!B487 = "", "", IF('Additional Chemicals-WUO_ERR'!A487 = "", "Validated", HYPERLINK("#" &amp; ADDRESS(487, 'Additional Chemicals-WUO_TRK'!A487),_xlfn.TEXTAFTER('Additional Chemicals-WUO_ERR'!A487, ":"))))</f>
        <v>0</v>
      </c>
    </row>
    <row r="488" spans="1:1">
      <c r="A488" s="39">
        <f>IF('Additional Chemicals'!B488 = "", "", IF('Additional Chemicals-WUO_ERR'!A488 = "", "Validated", HYPERLINK("#" &amp; ADDRESS(488, 'Additional Chemicals-WUO_TRK'!A488),_xlfn.TEXTAFTER('Additional Chemicals-WUO_ERR'!A488, ":"))))</f>
        <v>0</v>
      </c>
    </row>
    <row r="489" spans="1:1">
      <c r="A489" s="39">
        <f>IF('Additional Chemicals'!B489 = "", "", IF('Additional Chemicals-WUO_ERR'!A489 = "", "Validated", HYPERLINK("#" &amp; ADDRESS(489, 'Additional Chemicals-WUO_TRK'!A489),_xlfn.TEXTAFTER('Additional Chemicals-WUO_ERR'!A489, ":"))))</f>
        <v>0</v>
      </c>
    </row>
    <row r="490" spans="1:1">
      <c r="A490" s="39">
        <f>IF('Additional Chemicals'!B490 = "", "", IF('Additional Chemicals-WUO_ERR'!A490 = "", "Validated", HYPERLINK("#" &amp; ADDRESS(490, 'Additional Chemicals-WUO_TRK'!A490),_xlfn.TEXTAFTER('Additional Chemicals-WUO_ERR'!A490, ":"))))</f>
        <v>0</v>
      </c>
    </row>
    <row r="491" spans="1:1">
      <c r="A491" s="39">
        <f>IF('Additional Chemicals'!B491 = "", "", IF('Additional Chemicals-WUO_ERR'!A491 = "", "Validated", HYPERLINK("#" &amp; ADDRESS(491, 'Additional Chemicals-WUO_TRK'!A491),_xlfn.TEXTAFTER('Additional Chemicals-WUO_ERR'!A491, ":"))))</f>
        <v>0</v>
      </c>
    </row>
    <row r="492" spans="1:1">
      <c r="A492" s="39">
        <f>IF('Additional Chemicals'!B492 = "", "", IF('Additional Chemicals-WUO_ERR'!A492 = "", "Validated", HYPERLINK("#" &amp; ADDRESS(492, 'Additional Chemicals-WUO_TRK'!A492),_xlfn.TEXTAFTER('Additional Chemicals-WUO_ERR'!A492, ":"))))</f>
        <v>0</v>
      </c>
    </row>
    <row r="493" spans="1:1">
      <c r="A493" s="39">
        <f>IF('Additional Chemicals'!B493 = "", "", IF('Additional Chemicals-WUO_ERR'!A493 = "", "Validated", HYPERLINK("#" &amp; ADDRESS(493, 'Additional Chemicals-WUO_TRK'!A493),_xlfn.TEXTAFTER('Additional Chemicals-WUO_ERR'!A493, ":"))))</f>
        <v>0</v>
      </c>
    </row>
    <row r="494" spans="1:1">
      <c r="A494" s="39">
        <f>IF('Additional Chemicals'!B494 = "", "", IF('Additional Chemicals-WUO_ERR'!A494 = "", "Validated", HYPERLINK("#" &amp; ADDRESS(494, 'Additional Chemicals-WUO_TRK'!A494),_xlfn.TEXTAFTER('Additional Chemicals-WUO_ERR'!A494, ":"))))</f>
        <v>0</v>
      </c>
    </row>
    <row r="495" spans="1:1">
      <c r="A495" s="39">
        <f>IF('Additional Chemicals'!B495 = "", "", IF('Additional Chemicals-WUO_ERR'!A495 = "", "Validated", HYPERLINK("#" &amp; ADDRESS(495, 'Additional Chemicals-WUO_TRK'!A495),_xlfn.TEXTAFTER('Additional Chemicals-WUO_ERR'!A495, ":"))))</f>
        <v>0</v>
      </c>
    </row>
    <row r="496" spans="1:1">
      <c r="A496" s="39">
        <f>IF('Additional Chemicals'!B496 = "", "", IF('Additional Chemicals-WUO_ERR'!A496 = "", "Validated", HYPERLINK("#" &amp; ADDRESS(496, 'Additional Chemicals-WUO_TRK'!A496),_xlfn.TEXTAFTER('Additional Chemicals-WUO_ERR'!A496, ":"))))</f>
        <v>0</v>
      </c>
    </row>
    <row r="497" spans="1:1">
      <c r="A497" s="39">
        <f>IF('Additional Chemicals'!B497 = "", "", IF('Additional Chemicals-WUO_ERR'!A497 = "", "Validated", HYPERLINK("#" &amp; ADDRESS(497, 'Additional Chemicals-WUO_TRK'!A497),_xlfn.TEXTAFTER('Additional Chemicals-WUO_ERR'!A497, ":"))))</f>
        <v>0</v>
      </c>
    </row>
    <row r="498" spans="1:1">
      <c r="A498" s="39">
        <f>IF('Additional Chemicals'!B498 = "", "", IF('Additional Chemicals-WUO_ERR'!A498 = "", "Validated", HYPERLINK("#" &amp; ADDRESS(498, 'Additional Chemicals-WUO_TRK'!A498),_xlfn.TEXTAFTER('Additional Chemicals-WUO_ERR'!A498, ":"))))</f>
        <v>0</v>
      </c>
    </row>
    <row r="499" spans="1:1">
      <c r="A499" s="39">
        <f>IF('Additional Chemicals'!B499 = "", "", IF('Additional Chemicals-WUO_ERR'!A499 = "", "Validated", HYPERLINK("#" &amp; ADDRESS(499, 'Additional Chemicals-WUO_TRK'!A499),_xlfn.TEXTAFTER('Additional Chemicals-WUO_ERR'!A499, ":"))))</f>
        <v>0</v>
      </c>
    </row>
    <row r="500" spans="1:1">
      <c r="A500" s="39">
        <f>IF('Additional Chemicals'!B500 = "", "", IF('Additional Chemicals-WUO_ERR'!A500 = "", "Validated", HYPERLINK("#" &amp; ADDRESS(500, 'Additional Chemicals-WUO_TRK'!A500),_xlfn.TEXTAFTER('Additional Chemicals-WUO_ERR'!A500, ":"))))</f>
        <v>0</v>
      </c>
    </row>
    <row r="501" spans="1:1">
      <c r="A501" s="39">
        <f>IF('Additional Chemicals'!B501 = "", "", IF('Additional Chemicals-WUO_ERR'!A501 = "", "Validated", HYPERLINK("#" &amp; ADDRESS(501, 'Additional Chemicals-WUO_TRK'!A501),_xlfn.TEXTAFTER('Additional Chemicals-WUO_ERR'!A501, ":"))))</f>
        <v>0</v>
      </c>
    </row>
    <row r="502" spans="1:1">
      <c r="A502" s="39">
        <f>IF('Additional Chemicals'!B502 = "", "", IF('Additional Chemicals-WUO_ERR'!A502 = "", "Validated", HYPERLINK("#" &amp; ADDRESS(502, 'Additional Chemicals-WUO_TRK'!A502),_xlfn.TEXTAFTER('Additional Chemicals-WUO_ERR'!A502, ":"))))</f>
        <v>0</v>
      </c>
    </row>
    <row r="503" spans="1:1">
      <c r="A503" s="39">
        <f>IF('Additional Chemicals'!B503 = "", "", IF('Additional Chemicals-WUO_ERR'!A503 = "", "Validated", HYPERLINK("#" &amp; ADDRESS(503, 'Additional Chemicals-WUO_TRK'!A503),_xlfn.TEXTAFTER('Additional Chemicals-WUO_ERR'!A503, ":"))))</f>
        <v>0</v>
      </c>
    </row>
    <row r="504" spans="1:1">
      <c r="A504" s="39">
        <f>IF('Additional Chemicals'!B504 = "", "", IF('Additional Chemicals-WUO_ERR'!A504 = "", "Validated", HYPERLINK("#" &amp; ADDRESS(504, 'Additional Chemicals-WUO_TRK'!A504),_xlfn.TEXTAFTER('Additional Chemicals-WUO_ERR'!A504, ":"))))</f>
        <v>0</v>
      </c>
    </row>
    <row r="505" spans="1:1">
      <c r="A505" s="39">
        <f>IF('Additional Chemicals'!B505 = "", "", IF('Additional Chemicals-WUO_ERR'!A505 = "", "Validated", HYPERLINK("#" &amp; ADDRESS(505, 'Additional Chemicals-WUO_TRK'!A505),_xlfn.TEXTAFTER('Additional Chemicals-WUO_ERR'!A505, ":"))))</f>
        <v>0</v>
      </c>
    </row>
    <row r="506" spans="1:1">
      <c r="A506" s="39">
        <f>IF('Additional Chemicals'!B506 = "", "", IF('Additional Chemicals-WUO_ERR'!A506 = "", "Validated", HYPERLINK("#" &amp; ADDRESS(506, 'Additional Chemicals-WUO_TRK'!A506),_xlfn.TEXTAFTER('Additional Chemicals-WUO_ERR'!A506, ":"))))</f>
        <v>0</v>
      </c>
    </row>
    <row r="507" spans="1:1">
      <c r="A507" s="39">
        <f>IF('Additional Chemicals'!B507 = "", "", IF('Additional Chemicals-WUO_ERR'!A507 = "", "Validated", HYPERLINK("#" &amp; ADDRESS(507, 'Additional Chemicals-WUO_TRK'!A507),_xlfn.TEXTAFTER('Additional Chemicals-WUO_ERR'!A507, ":"))))</f>
        <v>0</v>
      </c>
    </row>
  </sheetData>
  <sheetProtection password="8F06" sheet="1" objects="1" scenarios="1" formatColumns="0" formatRows="0"/>
  <protectedRanges>
    <protectedRange sqref="B7:E10000" name="Range1"/>
  </protectedRanges>
  <mergeCells count="1">
    <mergeCell ref="C2:D2"/>
  </mergeCells>
  <conditionalFormatting sqref="A7:A507">
    <cfRule type="expression" dxfId="4" priority="5">
      <formula>A7="Validated"</formula>
    </cfRule>
    <cfRule type="expression" dxfId="5" priority="6">
      <formula>OR(COUNTIF('Additional Chemicals-WUO_TRK'!B7:E7,"Error"),COUNTIF('Additional Chemicals-WUO_TRK'!B7:E7,"Required"))</formula>
    </cfRule>
    <cfRule type="expression" dxfId="6" priority="7">
      <formula>COUNTIF('Additional Chemicals-WUO_TRK'!B7:E7,"Warning")</formula>
    </cfRule>
  </conditionalFormatting>
  <conditionalFormatting sqref="B7:E507">
    <cfRule type="expression" dxfId="0" priority="1">
      <formula>'Additional Chemicals-WUO_TRK'!B7="Error"</formula>
    </cfRule>
    <cfRule type="expression" dxfId="1" priority="2">
      <formula>'Additional Chemicals-WUO_TRK'!B7="Required"</formula>
    </cfRule>
    <cfRule type="expression" dxfId="2" priority="3">
      <formula>'Additional Chemicals-WUO_TRK'!B7="Warning"</formula>
    </cfRule>
    <cfRule type="expression" dxfId="3" priority="4">
      <formula>'Additional Chemicals-WUO_TRK'!B7="Disabled"</formula>
    </cfRule>
  </conditionalFormatting>
  <dataValidations count="1">
    <dataValidation type="list" allowBlank="1" showInputMessage="1" showErrorMessage="1" errorTitle="Invalid Chemical" error="The value provided is not a valid Chemical." promptTitle="Chemical" prompt="Please select a valid Chemical" sqref="C7:C2500">
      <formula1>'WAYFAIR_USE_ONLY'!$P$7:$P908</formula1>
    </dataValidation>
  </dataValidations>
  <hyperlinks>
    <hyperlink ref="C6" location="'Valid Values'!BA1" display="Select"/>
    <hyperlink ref="D6" location="'Valid Values'!BB1" display="Please choose one or more from the following, using a semicolon (;) to separate each value: Cancer; Developmental"/>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2220</v>
      </c>
      <c r="C1" s="22" t="s">
        <v>2477</v>
      </c>
      <c r="D1" s="22" t="s">
        <v>2480</v>
      </c>
    </row>
    <row r="3" spans="1:4">
      <c r="B3" s="32" t="s">
        <v>58</v>
      </c>
      <c r="C3" s="32" t="s">
        <v>64</v>
      </c>
      <c r="D3" s="32" t="s">
        <v>64</v>
      </c>
    </row>
    <row r="4" spans="1:4" ht="50" customHeight="1">
      <c r="B4" s="19" t="s">
        <v>2221</v>
      </c>
      <c r="C4" s="19" t="s">
        <v>2565</v>
      </c>
      <c r="D4" s="19" t="s">
        <v>2566</v>
      </c>
    </row>
    <row r="5" spans="1:4" ht="50" customHeight="1">
      <c r="B5" s="35" t="s">
        <v>2222</v>
      </c>
      <c r="C5" s="35" t="s">
        <v>2479</v>
      </c>
      <c r="D5" s="35" t="s">
        <v>2482</v>
      </c>
    </row>
    <row r="6" spans="1:4" ht="50" customHeight="1">
      <c r="B6" s="35" t="s">
        <v>67</v>
      </c>
      <c r="C6" s="36" t="s">
        <v>2231</v>
      </c>
      <c r="D6" s="36" t="s">
        <v>2483</v>
      </c>
    </row>
    <row r="7" spans="1:4">
      <c r="A7" cm="1">
        <f t="array" ref="A7">_xlfn.BYROW(B7:E507, _xlfn.LAMBDA(_xlpm.r, _xlfn.LET(_xlpm.high_priority, IFERROR(INDEX(_xlpm.r, MATCH(TRUE, (_xlpm.r &lt;&gt; "") * ((LEFT(_xlpm.r, 2) = "1:") + (LEFT(_xlpm.r, 2) = "3:")) &gt; 0, 0)), ""), IF(_xlpm.high_priority &lt;&gt; "", _xlpm.high_priority, IFERROR(INDEX(_xlpm.r, MATCH(TRUE, (_xlpm.r &lt;&gt; "") * (LEFT(_xlpm.r, 2) = "4:") &gt; 0, 0)), "")))))</f>
        <v>0</v>
      </c>
      <c r="B7" s="22" cm="1">
        <f t="array" ref="B7">_xlfn.MAP('Additional Chemicals'!B7:B507, 'Additional Chemicals'!B7:B507, _xlfn.LAMBDA(_xlpm.part, _xlpm.val, IF(_xlpm.part = "", "", _xlfn.LET(_xlpm.check1, IF(OR(ISNUMBER(SEARCH({","}, _xlpm.val))), "1:Please enter a single value with no commas for the Supplier Part Number column", ""), IF(LEN(_xlpm.check1) &gt; 0, _xlpm.check1, _xlfn.LET(_xlpm.check2, IF(OR(ISNUMBER(SEARCH({"&lt;","&gt;","^","Ø","•","‣","⁃","⁌","™","∙","⌀","◦"}, _xlpm.val))), "1:Supplier Part Number cannot contain special characters ([™Ø⌀•‣◦⁃⁌⁍∙&lt;&gt;])", ""), IF(LEN(_xlpm.check2) &gt; 0, _xlpm.check2, IF(AND(_xlpm.val = "", B$3="Required"), "3:Supplier Part Number - Value is required", ""))))))))</f>
        <v>0</v>
      </c>
      <c r="C7" s="22" cm="1">
        <f t="array" ref="C7">_xlfn.MAP('Additional Chemicals'!B7:B507, 'Additional Chemicals'!C7:C507, 'Additional Chemicals'!D7:D507, _xlfn.LAMBDA(_xlpm.part, _xlpm.val, _xlpm.dep1, IF(_xlpm.part = "", "", _xlfn.LET(_xlpm.check1, IF(AND(_xlpm.val = "", C$3="Required"), "3:Chemical - Value is required", ""), IF(LEN(_xlpm.check1) &gt; 0, _xlpm.check1, IF(_xlpm.dep1 &lt;&gt; "", IF(_xlpm.val = "", "3:Please provide a chemical", ""), ""))))))</f>
        <v>0</v>
      </c>
      <c r="D7" s="22" cm="1">
        <f t="array" ref="D7">_xlfn.MAP('Additional Chemicals'!B7:B507, 'Additional Chemicals'!D7:D507, 'Additional Chemicals'!C7:C507, _xlfn.LAMBDA(_xlpm.part, _xlpm.val, _xlpm.dep1, IF(_xlpm.part = "", "", _xlfn.LET(_xlpm.check1, IF(NOT(ISBLANK(_xlpm.val)),_xlfn.LET(_xlpm.items, _xlfn.TEXTSPLIT(_xlpm.val, ";"),_xlpm.trimmed, _xlfn.MAP(_xlpm.items, _xlfn.LAMBDA(_xlpm.x, TRIM(_xlpm.x))),_xlpm.invalid, _xlfn._xlws.FILTER(_xlpm.trimmed, ISNA(MATCH(_xlpm.trimmed, allowedpropSixtyFive__toxicity, 0)), ""),IF(AND(_xlpm.invalid&lt;&gt;"", COUNTA(_xlpm.invalid)&gt;0),"1:Please select valid values from the provided list. Answers are case-sensitive and must be separated by a semicolon.","")), ""), IF(LEN(_xlpm.check1) &gt; 0, _xlpm.check1, _xlfn.LET(_xlpm.check2, IF(AND(_xlpm.val = "", D$3="Required"), "3:Toxicity - Value is required", ""), IF(LEN(_xlpm.check2) &gt; 0, _xlpm.check2, IF(_xlpm.dep1 &lt;&gt; "", IF(_xlpm.val = "", "3:Please select a toxicity from the provided dropdown", ""), ""))))))))</f>
        <v>0</v>
      </c>
    </row>
  </sheetData>
  <sheetProtection password="D0D7" sheet="1" objects="1" scenarios="1"/>
  <hyperlinks>
    <hyperlink ref="C6" location="'Valid Values'!BA1" display="Select"/>
    <hyperlink ref="D6" location="'Valid Values'!BB1" display="Please choose one or more from the following, using a semicolon (;) to separate each value: Cancer; Developmental"/>
  </hyperlinks>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D7"/>
  <sheetViews>
    <sheetView workbookViewId="0"/>
  </sheetViews>
  <sheetFormatPr defaultRowHeight="15"/>
  <cols>
    <col min="2" max="2" width="25.7109375" style="22" customWidth="1"/>
    <col min="3" max="4" width="13.7109375" style="22" customWidth="1"/>
  </cols>
  <sheetData>
    <row r="1" spans="1:4" hidden="1">
      <c r="B1" s="22" t="s">
        <v>2220</v>
      </c>
      <c r="C1" s="22" t="s">
        <v>2477</v>
      </c>
      <c r="D1" s="22" t="s">
        <v>2480</v>
      </c>
    </row>
    <row r="3" spans="1:4">
      <c r="B3" s="32" t="s">
        <v>58</v>
      </c>
      <c r="C3" s="32" t="s">
        <v>64</v>
      </c>
      <c r="D3" s="32" t="s">
        <v>64</v>
      </c>
    </row>
    <row r="4" spans="1:4" ht="50" customHeight="1">
      <c r="B4" s="19" t="s">
        <v>2221</v>
      </c>
      <c r="C4" s="19" t="s">
        <v>2565</v>
      </c>
      <c r="D4" s="19" t="s">
        <v>2566</v>
      </c>
    </row>
    <row r="5" spans="1:4" ht="50" customHeight="1">
      <c r="B5" s="35" t="s">
        <v>2222</v>
      </c>
      <c r="C5" s="35" t="s">
        <v>2479</v>
      </c>
      <c r="D5" s="35" t="s">
        <v>2482</v>
      </c>
    </row>
    <row r="6" spans="1:4" ht="50" customHeight="1">
      <c r="B6" s="35" t="s">
        <v>67</v>
      </c>
      <c r="C6" s="36" t="s">
        <v>2231</v>
      </c>
      <c r="D6" s="36" t="s">
        <v>2483</v>
      </c>
    </row>
    <row r="7" spans="1:4">
      <c r="A7" cm="1">
        <f t="array" ref="A7">_xlfn.BYROW(B7:E507, _xlfn.LAMBDA(_xlpm.r, _xlfn.LET(_xlpm.high_priority_idx, IFERROR(MATCH(TRUE, (_xlpm.r = "Error") + (_xlpm.r = "Required") &gt; 0, 0), 0), IF(_xlpm.high_priority_idx &gt; 0, _xlpm.high_priority_idx + 1, IFERROR(MATCH(1, (_xlpm.r = "Warning") * 1, 0) + 1, "")))))</f>
        <v>0</v>
      </c>
      <c r="B7" s="22" cm="1">
        <f t="array" ref="B7">_xlfn.MAP('Additional Chemicals'!B7:B507, 'Additional Chemicals'!B7:B507, 'Additional Chemicals-WUO_ERR'!B7:B507, _xlfn.LAMBDA(_xlpm.part, _xlpm.val, _xlpm.error, IF(_xlpm.part = "", "", IF(LEN(_xlpm.error), _xlfn.SWITCH(IFERROR(_xlfn.TEXTBEFORE(_xlpm.error,":"), ""), "1", "Error", "2", "Disabled", "3", "Required", "4", "Warning", "Valid"), "Valid"))))</f>
        <v>0</v>
      </c>
      <c r="C7" s="22" cm="1">
        <f t="array" ref="C7">_xlfn.MAP('Additional Chemicals'!B7:B507, 'Additional Chemicals'!C7:C507, 'Additional Chemicals-WUO_ERR'!C7:C507, _xlfn.LAMBDA(_xlpm.part, _xlpm.val, _xlpm.error, IF(_xlpm.part = "", "", IF(LEN(_xlpm.error), _xlfn.SWITCH(IFERROR(_xlfn.TEXTBEFORE(_xlpm.error,":"), ""), "1", "Error", "2", "Disabled", "3", "Required", "4", "Warning", "Valid"), "Valid"))))</f>
        <v>0</v>
      </c>
      <c r="D7" s="22" cm="1">
        <f t="array" ref="D7">_xlfn.MAP('Additional Chemicals'!B7:B507, 'Additional Chemicals'!D7:D507, 'Additional Chemicals-WUO_ERR'!D7:D507, _xlfn.LAMBDA(_xlpm.part, _xlpm.val, _xlpm.error, IF(_xlpm.part = "", "", IF(LEN(_xlpm.error), _xlfn.SWITCH(IFERROR(_xlfn.TEXTBEFORE(_xlpm.error,":"), ""), "1", "Error", "2", "Disabled", "3", "Required", "4", "Warning", "Valid"), "Valid"))))</f>
        <v>0</v>
      </c>
    </row>
  </sheetData>
  <sheetProtection password="F8D0" sheet="1" objects="1" scenarios="1"/>
  <hyperlinks>
    <hyperlink ref="C6" location="'Valid Values'!BA1" display="Select"/>
    <hyperlink ref="D6" location="'Valid Values'!BB1" display="Please choose one or more from the following, using a semicolon (;) to separate each value: Cancer; Developmental"/>
  </hyperlinks>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CP902"/>
  <sheetViews>
    <sheetView workbookViewId="0"/>
  </sheetViews>
  <sheetFormatPr defaultRowHeight="15"/>
  <cols>
    <col min="1" max="1" width="10.7109375" customWidth="1"/>
    <col min="2" max="2" width="17.7109375" customWidth="1"/>
    <col min="3" max="4" width="52.7109375" customWidth="1"/>
    <col min="5" max="5" width="14.7109375" customWidth="1"/>
    <col min="6" max="6" width="18.7109375" customWidth="1"/>
    <col min="7" max="7" width="14.7109375" customWidth="1"/>
    <col min="8" max="8" width="26.7109375" customWidth="1"/>
    <col min="9" max="9" width="18.7109375" customWidth="1"/>
    <col min="10" max="10" width="24.7109375" customWidth="1"/>
    <col min="11" max="11" width="20.7109375" customWidth="1"/>
    <col min="12" max="12" width="17.7109375" customWidth="1"/>
    <col min="13" max="13" width="29.7109375" customWidth="1"/>
    <col min="14" max="14" width="12.7109375" customWidth="1"/>
    <col min="15" max="15" width="24.7109375" customWidth="1"/>
    <col min="16" max="16" width="22.7109375" customWidth="1"/>
    <col min="17" max="17" width="34.7109375" customWidth="1"/>
    <col min="18" max="18" width="21.7109375" customWidth="1"/>
    <col min="19" max="19" width="33.7109375" customWidth="1"/>
    <col min="20" max="20" width="15.7109375" customWidth="1"/>
    <col min="21" max="21" width="27.7109375" customWidth="1"/>
    <col min="22" max="22" width="17.7109375" customWidth="1"/>
    <col min="23" max="23" width="29.7109375" customWidth="1"/>
    <col min="24" max="24" width="22.7109375" customWidth="1"/>
    <col min="25" max="25" width="34.7109375" customWidth="1"/>
    <col min="26" max="26" width="43.7109375" customWidth="1"/>
    <col min="27" max="27" width="55.7109375" customWidth="1"/>
    <col min="28" max="28" width="39.7109375" customWidth="1"/>
    <col min="29" max="29" width="51.7109375" customWidth="1"/>
    <col min="30" max="30" width="15.7109375" customWidth="1"/>
    <col min="31" max="31" width="27.7109375" customWidth="1"/>
    <col min="32" max="32" width="13.7109375" customWidth="1"/>
    <col min="33" max="33" width="25.7109375" customWidth="1"/>
    <col min="34" max="34" width="17.7109375" customWidth="1"/>
    <col min="35" max="35" width="29.7109375" customWidth="1"/>
    <col min="36" max="36" width="10.7109375" customWidth="1"/>
    <col min="37" max="37" width="22.7109375" customWidth="1"/>
    <col min="38" max="38" width="21.7109375" customWidth="1"/>
    <col min="39" max="39" width="29.7109375" customWidth="1"/>
    <col min="40" max="40" width="21.7109375" customWidth="1"/>
    <col min="41" max="41" width="33.7109375" customWidth="1"/>
    <col min="42" max="42" width="13.7109375" customWidth="1"/>
    <col min="43" max="43" width="25.7109375" customWidth="1"/>
    <col min="44" max="44" width="14.7109375" customWidth="1"/>
    <col min="45" max="45" width="26.7109375" customWidth="1"/>
    <col min="46" max="46" width="11.7109375" customWidth="1"/>
    <col min="47" max="47" width="23.7109375" customWidth="1"/>
    <col min="48" max="48" width="31.7109375" customWidth="1"/>
    <col min="49" max="49" width="43.7109375" customWidth="1"/>
    <col min="50" max="50" width="108.7109375" customWidth="1"/>
    <col min="51" max="51" width="64.7109375" customWidth="1"/>
    <col min="52" max="52" width="76.7109375" customWidth="1"/>
    <col min="53" max="54" width="13.7109375" customWidth="1"/>
    <col min="55" max="55" width="17.7109375" customWidth="1"/>
    <col min="56" max="56" width="29.7109375" customWidth="1"/>
    <col min="57" max="57" width="12.7109375" customWidth="1"/>
    <col min="58" max="58" width="24.7109375" customWidth="1"/>
    <col min="59" max="59" width="17.7109375" customWidth="1"/>
    <col min="60" max="60" width="29.7109375" customWidth="1"/>
    <col min="61" max="61" width="13.7109375" customWidth="1"/>
    <col min="62" max="62" width="25.7109375" customWidth="1"/>
    <col min="63" max="63" width="24.7109375" customWidth="1"/>
    <col min="64" max="64" width="36.7109375" customWidth="1"/>
    <col min="65" max="65" width="13.7109375" customWidth="1"/>
    <col min="66" max="66" width="25.7109375" customWidth="1"/>
    <col min="67" max="67" width="22.7109375" customWidth="1"/>
    <col min="68" max="68" width="34.7109375" customWidth="1"/>
    <col min="69" max="69" width="23.7109375" customWidth="1"/>
    <col min="70" max="70" width="35.7109375" customWidth="1"/>
    <col min="71" max="71" width="43.7109375" customWidth="1"/>
    <col min="72" max="72" width="55.7109375" customWidth="1"/>
    <col min="73" max="73" width="30.7109375" customWidth="1"/>
    <col min="74" max="74" width="42.7109375" customWidth="1"/>
    <col min="75" max="75" width="15.7109375" customWidth="1"/>
    <col min="76" max="77" width="27.7109375" customWidth="1"/>
    <col min="78" max="78" width="39.7109375" customWidth="1"/>
    <col min="79" max="79" width="10.7109375" customWidth="1"/>
    <col min="80" max="80" width="22.7109375" customWidth="1"/>
    <col min="81" max="81" width="20.7109375" customWidth="1"/>
    <col min="82" max="82" width="32.7109375" customWidth="1"/>
    <col min="83" max="83" width="29.7109375" customWidth="1"/>
    <col min="84" max="84" width="21.7109375" customWidth="1"/>
    <col min="85" max="85" width="33.7109375" customWidth="1"/>
    <col min="86" max="86" width="14.7109375" customWidth="1"/>
    <col min="87" max="87" width="26.7109375" customWidth="1"/>
    <col min="88" max="88" width="31.7109375" customWidth="1"/>
    <col min="89" max="89" width="43.7109375" customWidth="1"/>
    <col min="90" max="90" width="108.7109375" customWidth="1"/>
    <col min="91" max="91" width="64.7109375" customWidth="1"/>
    <col min="92" max="92" width="76.7109375" customWidth="1"/>
    <col min="93" max="93" width="19.7109375" customWidth="1"/>
    <col min="94" max="94" width="31.7109375" customWidth="1"/>
  </cols>
  <sheetData>
    <row r="1" spans="1:94" ht="50" customHeight="1">
      <c r="A1" s="40" t="s">
        <v>2229</v>
      </c>
      <c r="B1" s="40" t="s">
        <v>2248</v>
      </c>
      <c r="C1" s="40" t="s">
        <v>2567</v>
      </c>
      <c r="D1" s="40" t="s">
        <v>2568</v>
      </c>
      <c r="E1" s="40" t="s">
        <v>2300</v>
      </c>
      <c r="F1" s="40" t="s">
        <v>2303</v>
      </c>
      <c r="G1" s="40" t="s">
        <v>2306</v>
      </c>
      <c r="H1" s="40" t="s">
        <v>2309</v>
      </c>
      <c r="I1" s="40" t="s">
        <v>2562</v>
      </c>
      <c r="J1" s="40" t="s">
        <v>2563</v>
      </c>
      <c r="K1" s="40" t="s">
        <v>2564</v>
      </c>
      <c r="L1" s="40" t="s">
        <v>2365</v>
      </c>
      <c r="M1" s="41" t="s">
        <v>3115</v>
      </c>
      <c r="N1" s="40" t="s">
        <v>2368</v>
      </c>
      <c r="O1" s="41" t="s">
        <v>3162</v>
      </c>
      <c r="P1" s="40" t="s">
        <v>2372</v>
      </c>
      <c r="Q1" s="41" t="s">
        <v>3201</v>
      </c>
      <c r="R1" s="40" t="s">
        <v>2375</v>
      </c>
      <c r="S1" s="41" t="s">
        <v>3206</v>
      </c>
      <c r="T1" s="40" t="s">
        <v>2378</v>
      </c>
      <c r="U1" s="41" t="s">
        <v>3213</v>
      </c>
      <c r="V1" s="40" t="s">
        <v>2382</v>
      </c>
      <c r="W1" s="41" t="s">
        <v>3220</v>
      </c>
      <c r="X1" s="40" t="s">
        <v>2386</v>
      </c>
      <c r="Y1" s="41" t="s">
        <v>3224</v>
      </c>
      <c r="Z1" s="40" t="s">
        <v>2389</v>
      </c>
      <c r="AA1" s="41" t="s">
        <v>3476</v>
      </c>
      <c r="AB1" s="40" t="s">
        <v>2393</v>
      </c>
      <c r="AC1" s="41" t="s">
        <v>3483</v>
      </c>
      <c r="AD1" s="40" t="s">
        <v>2400</v>
      </c>
      <c r="AE1" s="41" t="s">
        <v>3497</v>
      </c>
      <c r="AF1" s="40" t="s">
        <v>2404</v>
      </c>
      <c r="AG1" s="41" t="s">
        <v>3819</v>
      </c>
      <c r="AH1" s="40" t="s">
        <v>2408</v>
      </c>
      <c r="AI1" s="41" t="s">
        <v>4163</v>
      </c>
      <c r="AJ1" s="40" t="s">
        <v>2160</v>
      </c>
      <c r="AK1" s="41" t="s">
        <v>4213</v>
      </c>
      <c r="AL1" s="40" t="s">
        <v>2418</v>
      </c>
      <c r="AM1" s="40" t="s">
        <v>2422</v>
      </c>
      <c r="AN1" s="40" t="s">
        <v>2429</v>
      </c>
      <c r="AO1" s="41" t="s">
        <v>4976</v>
      </c>
      <c r="AP1" s="40" t="s">
        <v>2433</v>
      </c>
      <c r="AQ1" s="41" t="s">
        <v>4997</v>
      </c>
      <c r="AR1" s="40" t="s">
        <v>2437</v>
      </c>
      <c r="AS1" s="41" t="s">
        <v>5030</v>
      </c>
      <c r="AT1" s="40" t="s">
        <v>2441</v>
      </c>
      <c r="AU1" s="41" t="s">
        <v>5054</v>
      </c>
      <c r="AV1" s="40" t="s">
        <v>2460</v>
      </c>
      <c r="AW1" s="41" t="s">
        <v>5066</v>
      </c>
      <c r="AX1" s="40" t="s">
        <v>2463</v>
      </c>
      <c r="AY1" s="40" t="s">
        <v>2466</v>
      </c>
      <c r="AZ1" s="41" t="s">
        <v>5091</v>
      </c>
      <c r="BA1" s="40" t="s">
        <v>2565</v>
      </c>
      <c r="BB1" s="40" t="s">
        <v>2566</v>
      </c>
      <c r="BC1" s="40" t="s">
        <v>2365</v>
      </c>
      <c r="BD1" s="41" t="s">
        <v>3115</v>
      </c>
      <c r="BE1" s="40" t="s">
        <v>2495</v>
      </c>
      <c r="BF1" s="41" t="s">
        <v>5139</v>
      </c>
      <c r="BG1" s="40" t="s">
        <v>2499</v>
      </c>
      <c r="BH1" s="41" t="s">
        <v>5171</v>
      </c>
      <c r="BI1" s="40" t="s">
        <v>2433</v>
      </c>
      <c r="BJ1" s="41" t="s">
        <v>4997</v>
      </c>
      <c r="BK1" s="40" t="s">
        <v>2504</v>
      </c>
      <c r="BL1" s="41" t="s">
        <v>5612</v>
      </c>
      <c r="BM1" s="40" t="s">
        <v>2511</v>
      </c>
      <c r="BN1" s="41" t="s">
        <v>5665</v>
      </c>
      <c r="BO1" s="40" t="s">
        <v>2386</v>
      </c>
      <c r="BP1" s="41" t="s">
        <v>3224</v>
      </c>
      <c r="BQ1" s="40" t="s">
        <v>2516</v>
      </c>
      <c r="BR1" s="41" t="s">
        <v>5693</v>
      </c>
      <c r="BS1" s="40" t="s">
        <v>2389</v>
      </c>
      <c r="BT1" s="41" t="s">
        <v>3476</v>
      </c>
      <c r="BU1" s="40" t="s">
        <v>2521</v>
      </c>
      <c r="BV1" s="41" t="s">
        <v>5720</v>
      </c>
      <c r="BW1" s="40" t="s">
        <v>2400</v>
      </c>
      <c r="BX1" s="41" t="s">
        <v>3497</v>
      </c>
      <c r="BY1" s="40" t="s">
        <v>2526</v>
      </c>
      <c r="BZ1" s="41" t="s">
        <v>5772</v>
      </c>
      <c r="CA1" s="40" t="s">
        <v>2160</v>
      </c>
      <c r="CB1" s="41" t="s">
        <v>4213</v>
      </c>
      <c r="CC1" s="40" t="s">
        <v>2535</v>
      </c>
      <c r="CD1" s="41" t="s">
        <v>5798</v>
      </c>
      <c r="CE1" s="40" t="s">
        <v>2422</v>
      </c>
      <c r="CF1" s="40" t="s">
        <v>2429</v>
      </c>
      <c r="CG1" s="41" t="s">
        <v>4976</v>
      </c>
      <c r="CH1" s="40" t="s">
        <v>2437</v>
      </c>
      <c r="CI1" s="41" t="s">
        <v>5030</v>
      </c>
      <c r="CJ1" s="40" t="s">
        <v>2460</v>
      </c>
      <c r="CK1" s="41" t="s">
        <v>5066</v>
      </c>
      <c r="CL1" s="40" t="s">
        <v>2463</v>
      </c>
      <c r="CM1" s="40" t="s">
        <v>2466</v>
      </c>
      <c r="CN1" s="41" t="s">
        <v>5091</v>
      </c>
      <c r="CO1" s="40" t="s">
        <v>2552</v>
      </c>
      <c r="CP1" s="41" t="s">
        <v>5812</v>
      </c>
    </row>
    <row r="2" spans="1:94">
      <c r="A2" t="s">
        <v>1214</v>
      </c>
      <c r="B2" t="s">
        <v>2157</v>
      </c>
      <c r="C2" t="s">
        <v>2160</v>
      </c>
      <c r="D2" t="s">
        <v>2160</v>
      </c>
      <c r="E2" t="s">
        <v>2120</v>
      </c>
      <c r="F2" t="s">
        <v>2122</v>
      </c>
      <c r="G2" t="s">
        <v>2140</v>
      </c>
      <c r="H2" t="s">
        <v>2140</v>
      </c>
      <c r="I2" t="s">
        <v>2569</v>
      </c>
      <c r="J2" t="s">
        <v>2584</v>
      </c>
      <c r="K2" t="s">
        <v>1215</v>
      </c>
      <c r="L2" t="s">
        <v>924</v>
      </c>
      <c r="M2" s="42" t="s">
        <v>3116</v>
      </c>
      <c r="N2" t="s">
        <v>3124</v>
      </c>
      <c r="O2" s="42" t="s">
        <v>3163</v>
      </c>
      <c r="P2" t="s">
        <v>932</v>
      </c>
      <c r="Q2" s="42" t="s">
        <v>3202</v>
      </c>
      <c r="R2" t="s">
        <v>938</v>
      </c>
      <c r="S2" s="42" t="s">
        <v>3207</v>
      </c>
      <c r="T2" t="s">
        <v>3210</v>
      </c>
      <c r="U2" s="42" t="s">
        <v>3214</v>
      </c>
      <c r="V2" t="s">
        <v>3217</v>
      </c>
      <c r="W2" s="42" t="s">
        <v>3221</v>
      </c>
      <c r="X2" t="s">
        <v>941</v>
      </c>
      <c r="Y2" s="42" t="s">
        <v>3225</v>
      </c>
      <c r="Z2" t="s">
        <v>3472</v>
      </c>
      <c r="AA2" s="42" t="s">
        <v>3477</v>
      </c>
      <c r="AB2" t="s">
        <v>3481</v>
      </c>
      <c r="AC2" s="42" t="s">
        <v>3484</v>
      </c>
      <c r="AD2" t="s">
        <v>3486</v>
      </c>
      <c r="AE2" s="42" t="s">
        <v>3498</v>
      </c>
      <c r="AF2" t="s">
        <v>3509</v>
      </c>
      <c r="AG2" s="42" t="s">
        <v>3820</v>
      </c>
      <c r="AH2" t="s">
        <v>4129</v>
      </c>
      <c r="AI2" s="42" t="s">
        <v>4164</v>
      </c>
      <c r="AJ2" t="s">
        <v>4198</v>
      </c>
      <c r="AK2" s="42" t="s">
        <v>4214</v>
      </c>
      <c r="AL2" t="s">
        <v>4234</v>
      </c>
      <c r="AM2" t="s">
        <v>4796</v>
      </c>
      <c r="AN2" t="s">
        <v>4972</v>
      </c>
      <c r="AO2" s="42" t="s">
        <v>4977</v>
      </c>
      <c r="AP2" t="s">
        <v>4980</v>
      </c>
      <c r="AQ2" s="42" t="s">
        <v>4998</v>
      </c>
      <c r="AR2" t="s">
        <v>5016</v>
      </c>
      <c r="AS2" s="42" t="s">
        <v>5031</v>
      </c>
      <c r="AT2" t="s">
        <v>2176</v>
      </c>
      <c r="AU2" s="42" t="s">
        <v>5055</v>
      </c>
      <c r="AV2" t="s">
        <v>1190</v>
      </c>
      <c r="AW2" s="42" t="s">
        <v>5067</v>
      </c>
      <c r="AX2" t="s">
        <v>1189</v>
      </c>
      <c r="AY2" t="s">
        <v>1188</v>
      </c>
      <c r="AZ2" s="42" t="s">
        <v>5092</v>
      </c>
      <c r="BA2" t="s">
        <v>1219</v>
      </c>
      <c r="BB2" t="s">
        <v>5094</v>
      </c>
      <c r="BC2" t="s">
        <v>2163</v>
      </c>
      <c r="BD2" s="42" t="s">
        <v>5096</v>
      </c>
      <c r="BE2" t="s">
        <v>5109</v>
      </c>
      <c r="BF2" s="42" t="s">
        <v>5140</v>
      </c>
      <c r="BG2" t="s">
        <v>2176</v>
      </c>
      <c r="BH2" s="42" t="s">
        <v>5172</v>
      </c>
      <c r="BI2" t="s">
        <v>540</v>
      </c>
      <c r="BJ2" s="42" t="s">
        <v>5000</v>
      </c>
      <c r="BK2" t="s">
        <v>5593</v>
      </c>
      <c r="BL2" s="42" t="s">
        <v>5613</v>
      </c>
      <c r="BM2" t="s">
        <v>5638</v>
      </c>
      <c r="BN2" s="42" t="s">
        <v>5666</v>
      </c>
      <c r="BO2" t="s">
        <v>941</v>
      </c>
      <c r="BP2" s="42" t="s">
        <v>3225</v>
      </c>
      <c r="BQ2" t="s">
        <v>2185</v>
      </c>
      <c r="BR2" s="42" t="s">
        <v>5694</v>
      </c>
      <c r="BS2" t="s">
        <v>3472</v>
      </c>
      <c r="BT2" s="42" t="s">
        <v>3477</v>
      </c>
      <c r="BU2" t="s">
        <v>2210</v>
      </c>
      <c r="BV2" s="42" t="s">
        <v>5721</v>
      </c>
      <c r="BW2" t="s">
        <v>3486</v>
      </c>
      <c r="BX2" s="42" t="s">
        <v>3498</v>
      </c>
      <c r="BY2" t="s">
        <v>5748</v>
      </c>
      <c r="BZ2" s="42" t="s">
        <v>5773</v>
      </c>
      <c r="CA2" t="s">
        <v>50</v>
      </c>
      <c r="CB2" s="42" t="s">
        <v>4233</v>
      </c>
      <c r="CC2" t="s">
        <v>5796</v>
      </c>
      <c r="CD2" s="42" t="s">
        <v>5799</v>
      </c>
      <c r="CE2" t="s">
        <v>4796</v>
      </c>
      <c r="CF2" t="s">
        <v>4972</v>
      </c>
      <c r="CG2" s="42" t="s">
        <v>4977</v>
      </c>
      <c r="CH2" t="s">
        <v>5016</v>
      </c>
      <c r="CI2" s="42" t="s">
        <v>5031</v>
      </c>
      <c r="CJ2" t="s">
        <v>1190</v>
      </c>
      <c r="CK2" s="42" t="s">
        <v>5067</v>
      </c>
      <c r="CL2" t="s">
        <v>1189</v>
      </c>
      <c r="CM2" t="s">
        <v>1188</v>
      </c>
      <c r="CN2" s="42" t="s">
        <v>5092</v>
      </c>
      <c r="CO2" t="s">
        <v>2215</v>
      </c>
      <c r="CP2" s="42" t="s">
        <v>5813</v>
      </c>
    </row>
    <row r="3" spans="1:94">
      <c r="B3" t="s">
        <v>2158</v>
      </c>
      <c r="C3" t="s">
        <v>2161</v>
      </c>
      <c r="D3" t="s">
        <v>2161</v>
      </c>
      <c r="E3" t="s">
        <v>2121</v>
      </c>
      <c r="F3" t="s">
        <v>2123</v>
      </c>
      <c r="G3" t="s">
        <v>2141</v>
      </c>
      <c r="H3" t="s">
        <v>2141</v>
      </c>
      <c r="I3" t="s">
        <v>2570</v>
      </c>
      <c r="J3" t="s">
        <v>2585</v>
      </c>
      <c r="K3" t="s">
        <v>1216</v>
      </c>
      <c r="L3" t="s">
        <v>925</v>
      </c>
      <c r="M3" s="42" t="s">
        <v>3117</v>
      </c>
      <c r="N3" t="s">
        <v>3125</v>
      </c>
      <c r="O3" s="42" t="s">
        <v>3164</v>
      </c>
      <c r="P3" t="s">
        <v>933</v>
      </c>
      <c r="Q3" s="42" t="s">
        <v>3203</v>
      </c>
      <c r="R3" t="s">
        <v>939</v>
      </c>
      <c r="S3" s="42" t="s">
        <v>3208</v>
      </c>
      <c r="T3" t="s">
        <v>3211</v>
      </c>
      <c r="U3" s="42" t="s">
        <v>3215</v>
      </c>
      <c r="V3" t="s">
        <v>3218</v>
      </c>
      <c r="W3" s="42" t="s">
        <v>3222</v>
      </c>
      <c r="X3" t="s">
        <v>942</v>
      </c>
      <c r="Y3" s="42" t="s">
        <v>3226</v>
      </c>
      <c r="Z3" t="s">
        <v>3473</v>
      </c>
      <c r="AA3" s="42" t="s">
        <v>3478</v>
      </c>
      <c r="AB3" t="s">
        <v>3482</v>
      </c>
      <c r="AC3" s="42" t="s">
        <v>3485</v>
      </c>
      <c r="AD3" t="s">
        <v>3487</v>
      </c>
      <c r="AE3" s="42" t="s">
        <v>3499</v>
      </c>
      <c r="AF3" t="s">
        <v>3510</v>
      </c>
      <c r="AG3" s="42" t="s">
        <v>3821</v>
      </c>
      <c r="AH3" t="s">
        <v>4130</v>
      </c>
      <c r="AI3" s="42" t="s">
        <v>4165</v>
      </c>
      <c r="AJ3" t="s">
        <v>4199</v>
      </c>
      <c r="AK3" s="42" t="s">
        <v>4215</v>
      </c>
      <c r="AL3" t="s">
        <v>4235</v>
      </c>
      <c r="AM3" t="s">
        <v>4797</v>
      </c>
      <c r="AN3" t="s">
        <v>4973</v>
      </c>
      <c r="AO3" s="42" t="s">
        <v>4978</v>
      </c>
      <c r="AP3" t="s">
        <v>4981</v>
      </c>
      <c r="AQ3" s="42" t="s">
        <v>4999</v>
      </c>
      <c r="AR3" t="s">
        <v>5017</v>
      </c>
      <c r="AS3" s="42" t="s">
        <v>5032</v>
      </c>
      <c r="AT3" t="s">
        <v>5045</v>
      </c>
      <c r="AU3" s="42" t="s">
        <v>5056</v>
      </c>
      <c r="AV3" t="s">
        <v>1191</v>
      </c>
      <c r="AW3" s="42" t="s">
        <v>5068</v>
      </c>
      <c r="AX3" t="s">
        <v>1188</v>
      </c>
      <c r="AY3" t="s">
        <v>1189</v>
      </c>
      <c r="AZ3" s="42" t="s">
        <v>5093</v>
      </c>
      <c r="BA3" t="s">
        <v>1220</v>
      </c>
      <c r="BB3" t="s">
        <v>5095</v>
      </c>
      <c r="BC3" t="s">
        <v>2164</v>
      </c>
      <c r="BD3" s="42" t="s">
        <v>5097</v>
      </c>
      <c r="BE3" t="s">
        <v>5110</v>
      </c>
      <c r="BF3" s="42" t="s">
        <v>5141</v>
      </c>
      <c r="BG3" t="s">
        <v>2177</v>
      </c>
      <c r="BH3" s="42" t="s">
        <v>5173</v>
      </c>
      <c r="BI3" t="s">
        <v>4987</v>
      </c>
      <c r="BJ3" s="42" t="s">
        <v>5006</v>
      </c>
      <c r="BK3" t="s">
        <v>5594</v>
      </c>
      <c r="BL3" s="42" t="s">
        <v>5614</v>
      </c>
      <c r="BM3" t="s">
        <v>5639</v>
      </c>
      <c r="BN3" s="42" t="s">
        <v>5667</v>
      </c>
      <c r="BO3" t="s">
        <v>942</v>
      </c>
      <c r="BP3" s="42" t="s">
        <v>3226</v>
      </c>
      <c r="BQ3" t="s">
        <v>2186</v>
      </c>
      <c r="BR3" s="42" t="s">
        <v>5695</v>
      </c>
      <c r="BS3" t="s">
        <v>3473</v>
      </c>
      <c r="BT3" s="42" t="s">
        <v>3478</v>
      </c>
      <c r="BU3" t="s">
        <v>2211</v>
      </c>
      <c r="BV3" s="42" t="s">
        <v>5722</v>
      </c>
      <c r="BW3" t="s">
        <v>3487</v>
      </c>
      <c r="BX3" s="42" t="s">
        <v>3499</v>
      </c>
      <c r="BY3" t="s">
        <v>5749</v>
      </c>
      <c r="BZ3" s="42" t="s">
        <v>5774</v>
      </c>
      <c r="CA3" t="s">
        <v>4198</v>
      </c>
      <c r="CB3" s="42" t="s">
        <v>4214</v>
      </c>
      <c r="CC3" t="s">
        <v>5797</v>
      </c>
      <c r="CD3" s="42" t="s">
        <v>5800</v>
      </c>
      <c r="CE3" t="s">
        <v>4797</v>
      </c>
      <c r="CF3" t="s">
        <v>4973</v>
      </c>
      <c r="CG3" s="42" t="s">
        <v>4978</v>
      </c>
      <c r="CH3" t="s">
        <v>5017</v>
      </c>
      <c r="CI3" s="42" t="s">
        <v>5032</v>
      </c>
      <c r="CJ3" t="s">
        <v>1191</v>
      </c>
      <c r="CK3" s="42" t="s">
        <v>5068</v>
      </c>
      <c r="CL3" t="s">
        <v>1188</v>
      </c>
      <c r="CM3" t="s">
        <v>1189</v>
      </c>
      <c r="CN3" s="42" t="s">
        <v>5093</v>
      </c>
      <c r="CO3" t="s">
        <v>2216</v>
      </c>
      <c r="CP3" s="42" t="s">
        <v>5814</v>
      </c>
    </row>
    <row r="4" spans="1:94">
      <c r="B4" t="s">
        <v>2159</v>
      </c>
      <c r="D4" t="s">
        <v>2162</v>
      </c>
      <c r="F4" t="s">
        <v>2124</v>
      </c>
      <c r="G4" t="s">
        <v>2142</v>
      </c>
      <c r="H4" t="s">
        <v>2142</v>
      </c>
      <c r="I4" t="s">
        <v>2571</v>
      </c>
      <c r="J4" t="s">
        <v>2586</v>
      </c>
      <c r="K4" t="s">
        <v>1217</v>
      </c>
      <c r="L4" t="s">
        <v>926</v>
      </c>
      <c r="M4" s="42" t="s">
        <v>3118</v>
      </c>
      <c r="N4" t="s">
        <v>3126</v>
      </c>
      <c r="O4" s="42" t="s">
        <v>3165</v>
      </c>
      <c r="P4" t="s">
        <v>934</v>
      </c>
      <c r="Q4" s="42" t="s">
        <v>3204</v>
      </c>
      <c r="R4" t="s">
        <v>940</v>
      </c>
      <c r="S4" s="42" t="s">
        <v>3209</v>
      </c>
      <c r="T4" t="s">
        <v>3212</v>
      </c>
      <c r="U4" s="42" t="s">
        <v>3216</v>
      </c>
      <c r="V4" t="s">
        <v>3219</v>
      </c>
      <c r="W4" s="42" t="s">
        <v>3223</v>
      </c>
      <c r="X4" t="s">
        <v>943</v>
      </c>
      <c r="Y4" s="42" t="s">
        <v>3227</v>
      </c>
      <c r="Z4" t="s">
        <v>3474</v>
      </c>
      <c r="AA4" s="42" t="s">
        <v>3479</v>
      </c>
      <c r="AD4" t="s">
        <v>3488</v>
      </c>
      <c r="AE4" s="42" t="s">
        <v>3500</v>
      </c>
      <c r="AF4" t="s">
        <v>3511</v>
      </c>
      <c r="AG4" s="42" t="s">
        <v>3822</v>
      </c>
      <c r="AH4" t="s">
        <v>4131</v>
      </c>
      <c r="AI4" s="42" t="s">
        <v>4166</v>
      </c>
      <c r="AJ4" t="s">
        <v>4200</v>
      </c>
      <c r="AK4" s="42" t="s">
        <v>4216</v>
      </c>
      <c r="AL4" t="s">
        <v>4236</v>
      </c>
      <c r="AM4" t="s">
        <v>4798</v>
      </c>
      <c r="AN4" t="s">
        <v>4974</v>
      </c>
      <c r="AO4" s="42" t="s">
        <v>4979</v>
      </c>
      <c r="AP4" t="s">
        <v>540</v>
      </c>
      <c r="AQ4" s="42" t="s">
        <v>5000</v>
      </c>
      <c r="AR4" t="s">
        <v>5018</v>
      </c>
      <c r="AS4" s="42" t="s">
        <v>5033</v>
      </c>
      <c r="AT4" t="s">
        <v>5046</v>
      </c>
      <c r="AU4" s="42" t="s">
        <v>5057</v>
      </c>
      <c r="AV4" t="s">
        <v>1192</v>
      </c>
      <c r="AW4" s="42" t="s">
        <v>5069</v>
      </c>
      <c r="BA4" t="s">
        <v>1221</v>
      </c>
      <c r="BC4" t="s">
        <v>2165</v>
      </c>
      <c r="BD4" s="42" t="s">
        <v>5098</v>
      </c>
      <c r="BE4" t="s">
        <v>5111</v>
      </c>
      <c r="BF4" s="42" t="s">
        <v>5142</v>
      </c>
      <c r="BG4" t="s">
        <v>2178</v>
      </c>
      <c r="BH4" s="42" t="s">
        <v>5174</v>
      </c>
      <c r="BI4" t="s">
        <v>5181</v>
      </c>
      <c r="BJ4" s="42" t="s">
        <v>5385</v>
      </c>
      <c r="BK4" t="s">
        <v>5595</v>
      </c>
      <c r="BL4" s="42" t="s">
        <v>5615</v>
      </c>
      <c r="BM4" t="s">
        <v>5640</v>
      </c>
      <c r="BN4" s="42" t="s">
        <v>5668</v>
      </c>
      <c r="BO4" t="s">
        <v>943</v>
      </c>
      <c r="BP4" s="42" t="s">
        <v>3227</v>
      </c>
      <c r="BQ4" t="s">
        <v>523</v>
      </c>
      <c r="BR4" s="42" t="s">
        <v>5696</v>
      </c>
      <c r="BS4" t="s">
        <v>3474</v>
      </c>
      <c r="BT4" s="42" t="s">
        <v>3479</v>
      </c>
      <c r="BU4" t="s">
        <v>2212</v>
      </c>
      <c r="BV4" s="42" t="s">
        <v>5723</v>
      </c>
      <c r="BW4" t="s">
        <v>3488</v>
      </c>
      <c r="BX4" s="42" t="s">
        <v>3500</v>
      </c>
      <c r="BY4" t="s">
        <v>5750</v>
      </c>
      <c r="BZ4" s="42" t="s">
        <v>5775</v>
      </c>
      <c r="CA4" t="s">
        <v>4199</v>
      </c>
      <c r="CB4" s="42" t="s">
        <v>4215</v>
      </c>
      <c r="CC4" t="s">
        <v>936</v>
      </c>
      <c r="CD4" s="42"/>
      <c r="CE4" t="s">
        <v>4798</v>
      </c>
      <c r="CF4" t="s">
        <v>5801</v>
      </c>
      <c r="CG4" s="42" t="s">
        <v>5806</v>
      </c>
      <c r="CH4" t="s">
        <v>5018</v>
      </c>
      <c r="CI4" s="42" t="s">
        <v>5033</v>
      </c>
      <c r="CJ4" t="s">
        <v>1192</v>
      </c>
      <c r="CK4" s="42" t="s">
        <v>5069</v>
      </c>
      <c r="CO4" t="s">
        <v>937</v>
      </c>
      <c r="CP4" s="42"/>
    </row>
    <row r="5" spans="1:94">
      <c r="F5" t="s">
        <v>2125</v>
      </c>
      <c r="G5" t="s">
        <v>2143</v>
      </c>
      <c r="H5" t="s">
        <v>2143</v>
      </c>
      <c r="I5" t="s">
        <v>2572</v>
      </c>
      <c r="J5" t="s">
        <v>2587</v>
      </c>
      <c r="K5" t="s">
        <v>1218</v>
      </c>
      <c r="L5" t="s">
        <v>927</v>
      </c>
      <c r="M5" s="42" t="s">
        <v>3119</v>
      </c>
      <c r="N5" t="s">
        <v>3127</v>
      </c>
      <c r="O5" s="42" t="s">
        <v>3166</v>
      </c>
      <c r="P5" t="s">
        <v>935</v>
      </c>
      <c r="Q5" s="42" t="s">
        <v>3205</v>
      </c>
      <c r="R5" t="s">
        <v>936</v>
      </c>
      <c r="S5" s="42"/>
      <c r="T5" t="s">
        <v>936</v>
      </c>
      <c r="U5" s="42"/>
      <c r="V5" t="s">
        <v>936</v>
      </c>
      <c r="W5" s="42"/>
      <c r="X5" t="s">
        <v>944</v>
      </c>
      <c r="Y5" s="42" t="s">
        <v>3228</v>
      </c>
      <c r="Z5" t="s">
        <v>3475</v>
      </c>
      <c r="AA5" s="42" t="s">
        <v>3480</v>
      </c>
      <c r="AD5" t="s">
        <v>3489</v>
      </c>
      <c r="AE5" s="42" t="s">
        <v>3501</v>
      </c>
      <c r="AF5" t="s">
        <v>3512</v>
      </c>
      <c r="AG5" s="42" t="s">
        <v>3823</v>
      </c>
      <c r="AH5" t="s">
        <v>4132</v>
      </c>
      <c r="AI5" s="42" t="s">
        <v>4167</v>
      </c>
      <c r="AJ5" t="s">
        <v>4201</v>
      </c>
      <c r="AK5" s="42" t="s">
        <v>4217</v>
      </c>
      <c r="AL5" t="s">
        <v>4237</v>
      </c>
      <c r="AM5" t="s">
        <v>4799</v>
      </c>
      <c r="AN5" t="s">
        <v>4975</v>
      </c>
      <c r="AO5" s="42"/>
      <c r="AP5" t="s">
        <v>4982</v>
      </c>
      <c r="AQ5" s="42" t="s">
        <v>5001</v>
      </c>
      <c r="AR5" t="s">
        <v>5019</v>
      </c>
      <c r="AS5" s="42" t="s">
        <v>5034</v>
      </c>
      <c r="AT5" t="s">
        <v>5047</v>
      </c>
      <c r="AU5" s="42" t="s">
        <v>5058</v>
      </c>
      <c r="AV5" t="s">
        <v>1193</v>
      </c>
      <c r="AW5" s="42" t="s">
        <v>5070</v>
      </c>
      <c r="BA5" t="s">
        <v>1222</v>
      </c>
      <c r="BC5" t="s">
        <v>2166</v>
      </c>
      <c r="BD5" s="42" t="s">
        <v>5099</v>
      </c>
      <c r="BE5" t="s">
        <v>5112</v>
      </c>
      <c r="BF5" s="42" t="s">
        <v>5143</v>
      </c>
      <c r="BG5" t="s">
        <v>2179</v>
      </c>
      <c r="BH5" s="42" t="s">
        <v>5175</v>
      </c>
      <c r="BI5" t="s">
        <v>4982</v>
      </c>
      <c r="BJ5" s="42" t="s">
        <v>5001</v>
      </c>
      <c r="BK5" t="s">
        <v>5596</v>
      </c>
      <c r="BL5" s="42" t="s">
        <v>5616</v>
      </c>
      <c r="BM5" t="s">
        <v>5641</v>
      </c>
      <c r="BN5" s="42" t="s">
        <v>5669</v>
      </c>
      <c r="BO5" t="s">
        <v>944</v>
      </c>
      <c r="BP5" s="42" t="s">
        <v>3228</v>
      </c>
      <c r="BQ5" t="s">
        <v>2187</v>
      </c>
      <c r="BR5" s="42" t="s">
        <v>5697</v>
      </c>
      <c r="BS5" t="s">
        <v>3475</v>
      </c>
      <c r="BT5" s="42" t="s">
        <v>3480</v>
      </c>
      <c r="BU5" t="s">
        <v>2213</v>
      </c>
      <c r="BV5" s="42" t="s">
        <v>5724</v>
      </c>
      <c r="BW5" t="s">
        <v>3490</v>
      </c>
      <c r="BX5" s="42" t="s">
        <v>3502</v>
      </c>
      <c r="BY5" t="s">
        <v>5751</v>
      </c>
      <c r="BZ5" s="42" t="s">
        <v>5776</v>
      </c>
      <c r="CA5" t="s">
        <v>4200</v>
      </c>
      <c r="CB5" s="42" t="s">
        <v>4216</v>
      </c>
      <c r="CC5" t="s">
        <v>937</v>
      </c>
      <c r="CD5" s="42"/>
      <c r="CE5" t="s">
        <v>4799</v>
      </c>
      <c r="CF5" t="s">
        <v>5761</v>
      </c>
      <c r="CG5" s="42" t="s">
        <v>5807</v>
      </c>
      <c r="CH5" t="s">
        <v>5019</v>
      </c>
      <c r="CI5" s="42" t="s">
        <v>5034</v>
      </c>
      <c r="CJ5" t="s">
        <v>1193</v>
      </c>
      <c r="CK5" s="42" t="s">
        <v>5070</v>
      </c>
    </row>
    <row r="6" spans="1:94">
      <c r="F6" t="s">
        <v>2126</v>
      </c>
      <c r="G6" t="s">
        <v>2144</v>
      </c>
      <c r="H6" t="s">
        <v>2144</v>
      </c>
      <c r="I6" t="s">
        <v>2573</v>
      </c>
      <c r="J6" t="s">
        <v>2588</v>
      </c>
      <c r="L6" t="s">
        <v>928</v>
      </c>
      <c r="M6" s="42" t="s">
        <v>3120</v>
      </c>
      <c r="N6" t="s">
        <v>3128</v>
      </c>
      <c r="O6" s="42" t="s">
        <v>3167</v>
      </c>
      <c r="P6" t="s">
        <v>936</v>
      </c>
      <c r="Q6" s="42"/>
      <c r="R6" t="s">
        <v>937</v>
      </c>
      <c r="S6" s="42"/>
      <c r="T6" t="s">
        <v>937</v>
      </c>
      <c r="U6" s="42"/>
      <c r="V6" t="s">
        <v>937</v>
      </c>
      <c r="W6" s="42"/>
      <c r="X6" t="s">
        <v>945</v>
      </c>
      <c r="Y6" s="42" t="s">
        <v>3229</v>
      </c>
      <c r="Z6" t="s">
        <v>937</v>
      </c>
      <c r="AA6" s="42"/>
      <c r="AD6" t="s">
        <v>3490</v>
      </c>
      <c r="AE6" s="42" t="s">
        <v>3502</v>
      </c>
      <c r="AF6" t="s">
        <v>3513</v>
      </c>
      <c r="AG6" s="42" t="s">
        <v>3824</v>
      </c>
      <c r="AH6" t="s">
        <v>4133</v>
      </c>
      <c r="AI6" s="42" t="s">
        <v>4168</v>
      </c>
      <c r="AJ6" t="s">
        <v>46</v>
      </c>
      <c r="AK6" s="42" t="s">
        <v>4218</v>
      </c>
      <c r="AL6" t="s">
        <v>4238</v>
      </c>
      <c r="AM6" t="s">
        <v>4800</v>
      </c>
      <c r="AP6" t="s">
        <v>4983</v>
      </c>
      <c r="AQ6" s="42" t="s">
        <v>5002</v>
      </c>
      <c r="AR6" t="s">
        <v>5020</v>
      </c>
      <c r="AS6" s="42" t="s">
        <v>5035</v>
      </c>
      <c r="AT6" t="s">
        <v>5048</v>
      </c>
      <c r="AU6" s="42" t="s">
        <v>5059</v>
      </c>
      <c r="AV6" t="s">
        <v>1194</v>
      </c>
      <c r="AW6" s="42" t="s">
        <v>5071</v>
      </c>
      <c r="BA6" t="s">
        <v>1223</v>
      </c>
      <c r="BC6" t="s">
        <v>2167</v>
      </c>
      <c r="BD6" s="42" t="s">
        <v>5100</v>
      </c>
      <c r="BE6" t="s">
        <v>5113</v>
      </c>
      <c r="BF6" s="42" t="s">
        <v>5144</v>
      </c>
      <c r="BG6" t="s">
        <v>2180</v>
      </c>
      <c r="BH6" s="42" t="s">
        <v>5176</v>
      </c>
      <c r="BI6" t="s">
        <v>4983</v>
      </c>
      <c r="BJ6" s="42" t="s">
        <v>5002</v>
      </c>
      <c r="BK6" t="s">
        <v>5597</v>
      </c>
      <c r="BL6" s="42" t="s">
        <v>5617</v>
      </c>
      <c r="BM6" t="s">
        <v>5642</v>
      </c>
      <c r="BN6" s="42" t="s">
        <v>5670</v>
      </c>
      <c r="BO6" t="s">
        <v>945</v>
      </c>
      <c r="BP6" s="42" t="s">
        <v>3229</v>
      </c>
      <c r="BQ6" t="s">
        <v>2188</v>
      </c>
      <c r="BR6" s="42" t="s">
        <v>5698</v>
      </c>
      <c r="BS6" t="s">
        <v>937</v>
      </c>
      <c r="BT6" s="42"/>
      <c r="BU6" t="s">
        <v>2214</v>
      </c>
      <c r="BV6" s="42" t="s">
        <v>5725</v>
      </c>
      <c r="BW6" t="s">
        <v>3491</v>
      </c>
      <c r="BX6" s="42" t="s">
        <v>3503</v>
      </c>
      <c r="BY6" t="s">
        <v>5752</v>
      </c>
      <c r="BZ6" s="42" t="s">
        <v>5777</v>
      </c>
      <c r="CA6" t="s">
        <v>4201</v>
      </c>
      <c r="CB6" s="42" t="s">
        <v>4217</v>
      </c>
      <c r="CE6" t="s">
        <v>4800</v>
      </c>
      <c r="CF6" t="s">
        <v>5802</v>
      </c>
      <c r="CG6" s="42" t="s">
        <v>5808</v>
      </c>
      <c r="CH6" t="s">
        <v>5020</v>
      </c>
      <c r="CI6" s="42" t="s">
        <v>5035</v>
      </c>
      <c r="CJ6" t="s">
        <v>1194</v>
      </c>
      <c r="CK6" s="42" t="s">
        <v>5071</v>
      </c>
    </row>
    <row r="7" spans="1:94">
      <c r="F7" t="s">
        <v>2127</v>
      </c>
      <c r="G7" t="s">
        <v>2145</v>
      </c>
      <c r="H7" t="s">
        <v>2145</v>
      </c>
      <c r="I7" t="s">
        <v>2574</v>
      </c>
      <c r="J7" t="s">
        <v>2589</v>
      </c>
      <c r="L7" t="s">
        <v>929</v>
      </c>
      <c r="M7" s="42" t="s">
        <v>3121</v>
      </c>
      <c r="N7" t="s">
        <v>3129</v>
      </c>
      <c r="O7" s="42" t="s">
        <v>3168</v>
      </c>
      <c r="P7" t="s">
        <v>937</v>
      </c>
      <c r="Q7" s="42"/>
      <c r="X7" t="s">
        <v>946</v>
      </c>
      <c r="Y7" s="42" t="s">
        <v>3230</v>
      </c>
      <c r="AD7" t="s">
        <v>3491</v>
      </c>
      <c r="AE7" s="42" t="s">
        <v>3503</v>
      </c>
      <c r="AF7" t="s">
        <v>3514</v>
      </c>
      <c r="AG7" s="42" t="s">
        <v>3825</v>
      </c>
      <c r="AH7" t="s">
        <v>4134</v>
      </c>
      <c r="AI7" s="42" t="s">
        <v>4169</v>
      </c>
      <c r="AJ7" t="s">
        <v>48</v>
      </c>
      <c r="AK7" s="42" t="s">
        <v>4219</v>
      </c>
      <c r="AL7" t="s">
        <v>4239</v>
      </c>
      <c r="AM7" t="s">
        <v>4801</v>
      </c>
      <c r="AP7" t="s">
        <v>4984</v>
      </c>
      <c r="AQ7" s="42" t="s">
        <v>5003</v>
      </c>
      <c r="AR7" t="s">
        <v>5021</v>
      </c>
      <c r="AS7" s="42" t="s">
        <v>5036</v>
      </c>
      <c r="AT7" t="s">
        <v>5049</v>
      </c>
      <c r="AU7" s="42" t="s">
        <v>5060</v>
      </c>
      <c r="AV7" t="s">
        <v>1195</v>
      </c>
      <c r="AW7" s="42" t="s">
        <v>5072</v>
      </c>
      <c r="BA7" t="s">
        <v>1224</v>
      </c>
      <c r="BC7" t="s">
        <v>2168</v>
      </c>
      <c r="BD7" s="42" t="s">
        <v>5101</v>
      </c>
      <c r="BE7" t="s">
        <v>5114</v>
      </c>
      <c r="BF7" s="42" t="s">
        <v>5145</v>
      </c>
      <c r="BG7" t="s">
        <v>2181</v>
      </c>
      <c r="BH7" s="42" t="s">
        <v>5177</v>
      </c>
      <c r="BI7" t="s">
        <v>4984</v>
      </c>
      <c r="BJ7" s="42" t="s">
        <v>5003</v>
      </c>
      <c r="BK7" t="s">
        <v>4986</v>
      </c>
      <c r="BL7" s="42" t="s">
        <v>5618</v>
      </c>
      <c r="BM7" t="s">
        <v>5643</v>
      </c>
      <c r="BN7" s="42" t="s">
        <v>5671</v>
      </c>
      <c r="BO7" t="s">
        <v>946</v>
      </c>
      <c r="BP7" s="42" t="s">
        <v>3230</v>
      </c>
      <c r="BQ7" t="s">
        <v>2189</v>
      </c>
      <c r="BR7" s="42" t="s">
        <v>5699</v>
      </c>
      <c r="BU7" t="s">
        <v>936</v>
      </c>
      <c r="BV7" s="42"/>
      <c r="BW7" t="s">
        <v>3492</v>
      </c>
      <c r="BX7" s="42" t="s">
        <v>3504</v>
      </c>
      <c r="BY7" t="s">
        <v>5753</v>
      </c>
      <c r="BZ7" s="42" t="s">
        <v>5778</v>
      </c>
      <c r="CA7" t="s">
        <v>46</v>
      </c>
      <c r="CB7" s="42" t="s">
        <v>4218</v>
      </c>
      <c r="CE7" t="s">
        <v>4801</v>
      </c>
      <c r="CF7" t="s">
        <v>5803</v>
      </c>
      <c r="CG7" s="42" t="s">
        <v>5809</v>
      </c>
      <c r="CH7" t="s">
        <v>5021</v>
      </c>
      <c r="CI7" s="42" t="s">
        <v>5036</v>
      </c>
      <c r="CJ7" t="s">
        <v>1195</v>
      </c>
      <c r="CK7" s="42" t="s">
        <v>5072</v>
      </c>
    </row>
    <row r="8" spans="1:94">
      <c r="F8" t="s">
        <v>2128</v>
      </c>
      <c r="G8" t="s">
        <v>2146</v>
      </c>
      <c r="I8" t="s">
        <v>2575</v>
      </c>
      <c r="J8" t="s">
        <v>2590</v>
      </c>
      <c r="L8" t="s">
        <v>930</v>
      </c>
      <c r="M8" s="42" t="s">
        <v>3122</v>
      </c>
      <c r="N8" t="s">
        <v>3130</v>
      </c>
      <c r="O8" s="42" t="s">
        <v>3169</v>
      </c>
      <c r="X8" t="s">
        <v>947</v>
      </c>
      <c r="Y8" s="42" t="s">
        <v>3231</v>
      </c>
      <c r="AD8" t="s">
        <v>3492</v>
      </c>
      <c r="AE8" s="42" t="s">
        <v>3504</v>
      </c>
      <c r="AF8" t="s">
        <v>3515</v>
      </c>
      <c r="AG8" s="42" t="s">
        <v>3826</v>
      </c>
      <c r="AH8" t="s">
        <v>4135</v>
      </c>
      <c r="AI8" s="42" t="s">
        <v>4170</v>
      </c>
      <c r="AJ8" t="s">
        <v>4202</v>
      </c>
      <c r="AK8" s="42" t="s">
        <v>4220</v>
      </c>
      <c r="AL8" t="s">
        <v>4240</v>
      </c>
      <c r="AM8" t="s">
        <v>4802</v>
      </c>
      <c r="AP8" t="s">
        <v>4985</v>
      </c>
      <c r="AQ8" s="42" t="s">
        <v>5004</v>
      </c>
      <c r="AR8" t="s">
        <v>5022</v>
      </c>
      <c r="AS8" s="42" t="s">
        <v>5037</v>
      </c>
      <c r="AT8" t="s">
        <v>5050</v>
      </c>
      <c r="AU8" s="42" t="s">
        <v>5061</v>
      </c>
      <c r="AV8" t="s">
        <v>1196</v>
      </c>
      <c r="AW8" s="42" t="s">
        <v>5073</v>
      </c>
      <c r="BA8" t="s">
        <v>1225</v>
      </c>
      <c r="BC8" t="s">
        <v>2169</v>
      </c>
      <c r="BD8" s="42" t="s">
        <v>5102</v>
      </c>
      <c r="BE8" t="s">
        <v>5115</v>
      </c>
      <c r="BF8" s="42" t="s">
        <v>5146</v>
      </c>
      <c r="BG8" t="s">
        <v>2182</v>
      </c>
      <c r="BH8" s="42" t="s">
        <v>5178</v>
      </c>
      <c r="BI8" t="s">
        <v>5182</v>
      </c>
      <c r="BJ8" s="42" t="s">
        <v>5386</v>
      </c>
      <c r="BK8" t="s">
        <v>5598</v>
      </c>
      <c r="BL8" s="42" t="s">
        <v>5619</v>
      </c>
      <c r="BM8" t="s">
        <v>5644</v>
      </c>
      <c r="BN8" s="42" t="s">
        <v>5672</v>
      </c>
      <c r="BO8" t="s">
        <v>947</v>
      </c>
      <c r="BP8" s="42" t="s">
        <v>3231</v>
      </c>
      <c r="BQ8" t="s">
        <v>2190</v>
      </c>
      <c r="BR8" s="42" t="s">
        <v>5700</v>
      </c>
      <c r="BU8" t="s">
        <v>937</v>
      </c>
      <c r="BV8" s="42"/>
      <c r="BW8" t="s">
        <v>5726</v>
      </c>
      <c r="BX8" s="42" t="s">
        <v>5737</v>
      </c>
      <c r="BY8" t="s">
        <v>5754</v>
      </c>
      <c r="BZ8" s="42" t="s">
        <v>5779</v>
      </c>
      <c r="CA8" t="s">
        <v>48</v>
      </c>
      <c r="CB8" s="42" t="s">
        <v>4219</v>
      </c>
      <c r="CE8" t="s">
        <v>4802</v>
      </c>
      <c r="CF8" t="s">
        <v>5804</v>
      </c>
      <c r="CG8" s="42" t="s">
        <v>5810</v>
      </c>
      <c r="CH8" t="s">
        <v>5022</v>
      </c>
      <c r="CI8" s="42" t="s">
        <v>5037</v>
      </c>
      <c r="CJ8" t="s">
        <v>1196</v>
      </c>
      <c r="CK8" s="42" t="s">
        <v>5073</v>
      </c>
    </row>
    <row r="9" spans="1:94">
      <c r="F9" t="s">
        <v>2129</v>
      </c>
      <c r="G9" t="s">
        <v>2147</v>
      </c>
      <c r="I9" t="s">
        <v>2576</v>
      </c>
      <c r="J9" t="s">
        <v>2591</v>
      </c>
      <c r="L9" t="s">
        <v>931</v>
      </c>
      <c r="M9" s="42" t="s">
        <v>3123</v>
      </c>
      <c r="N9" t="s">
        <v>3131</v>
      </c>
      <c r="O9" s="42" t="s">
        <v>3170</v>
      </c>
      <c r="X9" t="s">
        <v>948</v>
      </c>
      <c r="Y9" s="42" t="s">
        <v>3232</v>
      </c>
      <c r="AD9" t="s">
        <v>3493</v>
      </c>
      <c r="AE9" s="42" t="s">
        <v>3505</v>
      </c>
      <c r="AF9" t="s">
        <v>3516</v>
      </c>
      <c r="AG9" s="42" t="s">
        <v>3827</v>
      </c>
      <c r="AH9" t="s">
        <v>4136</v>
      </c>
      <c r="AI9" s="42" t="s">
        <v>4171</v>
      </c>
      <c r="AJ9" t="s">
        <v>52</v>
      </c>
      <c r="AK9" s="42" t="s">
        <v>4221</v>
      </c>
      <c r="AL9" t="s">
        <v>4241</v>
      </c>
      <c r="AM9" t="s">
        <v>4803</v>
      </c>
      <c r="AP9" t="s">
        <v>4986</v>
      </c>
      <c r="AQ9" s="42" t="s">
        <v>5005</v>
      </c>
      <c r="AR9" t="s">
        <v>5023</v>
      </c>
      <c r="AS9" s="42" t="s">
        <v>5038</v>
      </c>
      <c r="AT9" t="s">
        <v>2178</v>
      </c>
      <c r="AU9" s="42" t="s">
        <v>5062</v>
      </c>
      <c r="AV9" t="s">
        <v>1197</v>
      </c>
      <c r="AW9" s="42" t="s">
        <v>5074</v>
      </c>
      <c r="BA9" t="s">
        <v>1226</v>
      </c>
      <c r="BC9" t="s">
        <v>2170</v>
      </c>
      <c r="BD9" s="42" t="s">
        <v>5103</v>
      </c>
      <c r="BE9" t="s">
        <v>5116</v>
      </c>
      <c r="BF9" s="42" t="s">
        <v>5147</v>
      </c>
      <c r="BG9" t="s">
        <v>2183</v>
      </c>
      <c r="BH9" s="42" t="s">
        <v>5179</v>
      </c>
      <c r="BI9" t="s">
        <v>5183</v>
      </c>
      <c r="BJ9" s="42" t="s">
        <v>5387</v>
      </c>
      <c r="BK9" t="s">
        <v>5186</v>
      </c>
      <c r="BL9" s="42" t="s">
        <v>5620</v>
      </c>
      <c r="BM9" t="s">
        <v>5645</v>
      </c>
      <c r="BN9" s="42" t="s">
        <v>5673</v>
      </c>
      <c r="BO9" t="s">
        <v>948</v>
      </c>
      <c r="BP9" s="42" t="s">
        <v>3232</v>
      </c>
      <c r="BQ9" t="s">
        <v>2191</v>
      </c>
      <c r="BR9" s="42" t="s">
        <v>5701</v>
      </c>
      <c r="BW9" t="s">
        <v>5727</v>
      </c>
      <c r="BX9" s="42" t="s">
        <v>5738</v>
      </c>
      <c r="BY9" t="s">
        <v>5755</v>
      </c>
      <c r="BZ9" s="42" t="s">
        <v>5780</v>
      </c>
      <c r="CA9" t="s">
        <v>4202</v>
      </c>
      <c r="CB9" s="42" t="s">
        <v>4220</v>
      </c>
      <c r="CE9" t="s">
        <v>4803</v>
      </c>
      <c r="CF9" t="s">
        <v>5805</v>
      </c>
      <c r="CG9" s="42" t="s">
        <v>5811</v>
      </c>
      <c r="CH9" t="s">
        <v>5023</v>
      </c>
      <c r="CI9" s="42" t="s">
        <v>5038</v>
      </c>
      <c r="CJ9" t="s">
        <v>1197</v>
      </c>
      <c r="CK9" s="42" t="s">
        <v>5074</v>
      </c>
    </row>
    <row r="10" spans="1:94">
      <c r="F10" t="s">
        <v>2130</v>
      </c>
      <c r="G10" t="s">
        <v>2148</v>
      </c>
      <c r="I10" t="s">
        <v>2577</v>
      </c>
      <c r="J10" t="s">
        <v>2592</v>
      </c>
      <c r="N10" t="s">
        <v>3132</v>
      </c>
      <c r="O10" s="42" t="s">
        <v>3171</v>
      </c>
      <c r="X10" t="s">
        <v>949</v>
      </c>
      <c r="Y10" s="42" t="s">
        <v>3233</v>
      </c>
      <c r="AD10" t="s">
        <v>3494</v>
      </c>
      <c r="AE10" s="42" t="s">
        <v>3506</v>
      </c>
      <c r="AF10" t="s">
        <v>3517</v>
      </c>
      <c r="AG10" s="42" t="s">
        <v>3828</v>
      </c>
      <c r="AH10" t="s">
        <v>4137</v>
      </c>
      <c r="AI10" s="42" t="s">
        <v>4172</v>
      </c>
      <c r="AJ10" t="s">
        <v>4203</v>
      </c>
      <c r="AK10" s="42" t="s">
        <v>4222</v>
      </c>
      <c r="AL10" t="s">
        <v>4242</v>
      </c>
      <c r="AM10" t="s">
        <v>4804</v>
      </c>
      <c r="AP10" t="s">
        <v>4987</v>
      </c>
      <c r="AQ10" s="42" t="s">
        <v>5006</v>
      </c>
      <c r="AR10" t="s">
        <v>5024</v>
      </c>
      <c r="AS10" s="42" t="s">
        <v>5039</v>
      </c>
      <c r="AT10" t="s">
        <v>5051</v>
      </c>
      <c r="AU10" s="42" t="s">
        <v>5063</v>
      </c>
      <c r="AV10" t="s">
        <v>1198</v>
      </c>
      <c r="AW10" s="42" t="s">
        <v>5075</v>
      </c>
      <c r="BA10" t="s">
        <v>1227</v>
      </c>
      <c r="BC10" t="s">
        <v>2171</v>
      </c>
      <c r="BD10" s="42" t="s">
        <v>5104</v>
      </c>
      <c r="BE10" t="s">
        <v>5117</v>
      </c>
      <c r="BF10" s="42" t="s">
        <v>5148</v>
      </c>
      <c r="BG10" t="s">
        <v>2184</v>
      </c>
      <c r="BH10" s="42" t="s">
        <v>5180</v>
      </c>
      <c r="BI10" t="s">
        <v>5184</v>
      </c>
      <c r="BJ10" s="42" t="s">
        <v>5388</v>
      </c>
      <c r="BK10" t="s">
        <v>5599</v>
      </c>
      <c r="BL10" s="42" t="s">
        <v>5621</v>
      </c>
      <c r="BM10" t="s">
        <v>5646</v>
      </c>
      <c r="BN10" s="42" t="s">
        <v>5674</v>
      </c>
      <c r="BO10" t="s">
        <v>949</v>
      </c>
      <c r="BP10" s="42" t="s">
        <v>3233</v>
      </c>
      <c r="BQ10" t="s">
        <v>2192</v>
      </c>
      <c r="BR10" s="42" t="s">
        <v>5702</v>
      </c>
      <c r="BW10" t="s">
        <v>5728</v>
      </c>
      <c r="BX10" s="42" t="s">
        <v>5739</v>
      </c>
      <c r="BY10" t="s">
        <v>5756</v>
      </c>
      <c r="BZ10" s="42" t="s">
        <v>5781</v>
      </c>
      <c r="CA10" t="s">
        <v>52</v>
      </c>
      <c r="CB10" s="42" t="s">
        <v>4221</v>
      </c>
      <c r="CE10" t="s">
        <v>4804</v>
      </c>
      <c r="CF10" t="s">
        <v>4975</v>
      </c>
      <c r="CG10" s="42"/>
      <c r="CH10" t="s">
        <v>5024</v>
      </c>
      <c r="CI10" s="42" t="s">
        <v>5039</v>
      </c>
      <c r="CJ10" t="s">
        <v>1198</v>
      </c>
      <c r="CK10" s="42" t="s">
        <v>5075</v>
      </c>
    </row>
    <row r="11" spans="1:94">
      <c r="F11" t="s">
        <v>2131</v>
      </c>
      <c r="G11" t="s">
        <v>2149</v>
      </c>
      <c r="I11" t="s">
        <v>2578</v>
      </c>
      <c r="J11" t="s">
        <v>2593</v>
      </c>
      <c r="N11" t="s">
        <v>3133</v>
      </c>
      <c r="O11" s="42" t="s">
        <v>3172</v>
      </c>
      <c r="X11" t="s">
        <v>950</v>
      </c>
      <c r="Y11" s="42" t="s">
        <v>3234</v>
      </c>
      <c r="AD11" t="s">
        <v>3495</v>
      </c>
      <c r="AE11" s="42" t="s">
        <v>3507</v>
      </c>
      <c r="AF11" t="s">
        <v>3518</v>
      </c>
      <c r="AG11" s="42" t="s">
        <v>3829</v>
      </c>
      <c r="AH11" t="s">
        <v>4138</v>
      </c>
      <c r="AI11" s="42" t="s">
        <v>4173</v>
      </c>
      <c r="AJ11" t="s">
        <v>4204</v>
      </c>
      <c r="AK11" s="42" t="s">
        <v>4223</v>
      </c>
      <c r="AL11" t="s">
        <v>4243</v>
      </c>
      <c r="AM11" t="s">
        <v>4805</v>
      </c>
      <c r="AP11" t="s">
        <v>4988</v>
      </c>
      <c r="AQ11" s="42" t="s">
        <v>5007</v>
      </c>
      <c r="AR11" t="s">
        <v>5025</v>
      </c>
      <c r="AS11" s="42" t="s">
        <v>5040</v>
      </c>
      <c r="AT11" t="s">
        <v>5052</v>
      </c>
      <c r="AU11" s="42" t="s">
        <v>5064</v>
      </c>
      <c r="AV11" t="s">
        <v>1199</v>
      </c>
      <c r="AW11" s="42" t="s">
        <v>5076</v>
      </c>
      <c r="BA11" t="s">
        <v>1228</v>
      </c>
      <c r="BC11" t="s">
        <v>2172</v>
      </c>
      <c r="BD11" s="42" t="s">
        <v>5105</v>
      </c>
      <c r="BE11" t="s">
        <v>5118</v>
      </c>
      <c r="BF11" s="42" t="s">
        <v>5149</v>
      </c>
      <c r="BG11" t="s">
        <v>936</v>
      </c>
      <c r="BH11" s="42"/>
      <c r="BI11" t="s">
        <v>5185</v>
      </c>
      <c r="BJ11" s="42" t="s">
        <v>5389</v>
      </c>
      <c r="BK11" t="s">
        <v>5600</v>
      </c>
      <c r="BL11" s="42" t="s">
        <v>5622</v>
      </c>
      <c r="BM11" t="s">
        <v>5647</v>
      </c>
      <c r="BN11" s="42" t="s">
        <v>5675</v>
      </c>
      <c r="BO11" t="s">
        <v>950</v>
      </c>
      <c r="BP11" s="42" t="s">
        <v>3234</v>
      </c>
      <c r="BQ11" t="s">
        <v>2193</v>
      </c>
      <c r="BR11" s="42" t="s">
        <v>5703</v>
      </c>
      <c r="BW11" t="s">
        <v>5729</v>
      </c>
      <c r="BX11" s="42" t="s">
        <v>5740</v>
      </c>
      <c r="BY11" t="s">
        <v>5757</v>
      </c>
      <c r="BZ11" s="42" t="s">
        <v>5782</v>
      </c>
      <c r="CA11" t="s">
        <v>4203</v>
      </c>
      <c r="CB11" s="42" t="s">
        <v>4222</v>
      </c>
      <c r="CE11" t="s">
        <v>4805</v>
      </c>
      <c r="CH11" t="s">
        <v>5025</v>
      </c>
      <c r="CI11" s="42" t="s">
        <v>5040</v>
      </c>
      <c r="CJ11" t="s">
        <v>1199</v>
      </c>
      <c r="CK11" s="42" t="s">
        <v>5076</v>
      </c>
    </row>
    <row r="12" spans="1:94">
      <c r="F12" t="s">
        <v>2132</v>
      </c>
      <c r="G12" t="s">
        <v>2150</v>
      </c>
      <c r="I12" t="s">
        <v>2579</v>
      </c>
      <c r="J12" t="s">
        <v>2594</v>
      </c>
      <c r="N12" t="s">
        <v>3134</v>
      </c>
      <c r="O12" s="42" t="s">
        <v>3173</v>
      </c>
      <c r="X12" t="s">
        <v>951</v>
      </c>
      <c r="Y12" s="42" t="s">
        <v>3235</v>
      </c>
      <c r="AD12" t="s">
        <v>3496</v>
      </c>
      <c r="AE12" s="42" t="s">
        <v>3508</v>
      </c>
      <c r="AF12" t="s">
        <v>3519</v>
      </c>
      <c r="AG12" s="42" t="s">
        <v>3830</v>
      </c>
      <c r="AH12" t="s">
        <v>4139</v>
      </c>
      <c r="AI12" s="42" t="s">
        <v>4174</v>
      </c>
      <c r="AJ12" t="s">
        <v>4205</v>
      </c>
      <c r="AK12" s="42" t="s">
        <v>4224</v>
      </c>
      <c r="AL12" t="s">
        <v>4244</v>
      </c>
      <c r="AM12" t="s">
        <v>4806</v>
      </c>
      <c r="AP12" t="s">
        <v>4989</v>
      </c>
      <c r="AQ12" s="42" t="s">
        <v>5008</v>
      </c>
      <c r="AR12" t="s">
        <v>5026</v>
      </c>
      <c r="AS12" s="42" t="s">
        <v>5041</v>
      </c>
      <c r="AT12" t="s">
        <v>5053</v>
      </c>
      <c r="AU12" s="42" t="s">
        <v>5065</v>
      </c>
      <c r="AV12" t="s">
        <v>1200</v>
      </c>
      <c r="AW12" s="42" t="s">
        <v>5077</v>
      </c>
      <c r="BA12" t="s">
        <v>1229</v>
      </c>
      <c r="BC12" t="s">
        <v>2173</v>
      </c>
      <c r="BD12" s="42" t="s">
        <v>5106</v>
      </c>
      <c r="BE12" t="s">
        <v>3124</v>
      </c>
      <c r="BF12" s="42" t="s">
        <v>5150</v>
      </c>
      <c r="BI12" t="s">
        <v>5186</v>
      </c>
      <c r="BJ12" s="42" t="s">
        <v>5390</v>
      </c>
      <c r="BK12" t="s">
        <v>5601</v>
      </c>
      <c r="BL12" s="42" t="s">
        <v>5623</v>
      </c>
      <c r="BM12" t="s">
        <v>5648</v>
      </c>
      <c r="BN12" s="42" t="s">
        <v>5676</v>
      </c>
      <c r="BO12" t="s">
        <v>951</v>
      </c>
      <c r="BP12" s="42" t="s">
        <v>3235</v>
      </c>
      <c r="BQ12" t="s">
        <v>2194</v>
      </c>
      <c r="BR12" s="42" t="s">
        <v>5704</v>
      </c>
      <c r="BW12" t="s">
        <v>5730</v>
      </c>
      <c r="BX12" s="42" t="s">
        <v>5741</v>
      </c>
      <c r="BY12" t="s">
        <v>5758</v>
      </c>
      <c r="BZ12" s="42" t="s">
        <v>5783</v>
      </c>
      <c r="CA12" t="s">
        <v>4204</v>
      </c>
      <c r="CB12" s="42" t="s">
        <v>4223</v>
      </c>
      <c r="CE12" t="s">
        <v>4806</v>
      </c>
      <c r="CH12" t="s">
        <v>5026</v>
      </c>
      <c r="CI12" s="42" t="s">
        <v>5041</v>
      </c>
      <c r="CJ12" t="s">
        <v>1200</v>
      </c>
      <c r="CK12" s="42" t="s">
        <v>5077</v>
      </c>
    </row>
    <row r="13" spans="1:94">
      <c r="F13" t="s">
        <v>2133</v>
      </c>
      <c r="G13" t="s">
        <v>2151</v>
      </c>
      <c r="I13" t="s">
        <v>2580</v>
      </c>
      <c r="J13" t="s">
        <v>2595</v>
      </c>
      <c r="N13" t="s">
        <v>3135</v>
      </c>
      <c r="O13" s="42" t="s">
        <v>3174</v>
      </c>
      <c r="X13" t="s">
        <v>952</v>
      </c>
      <c r="Y13" s="42" t="s">
        <v>3236</v>
      </c>
      <c r="AF13" t="s">
        <v>3520</v>
      </c>
      <c r="AG13" s="42" t="s">
        <v>3831</v>
      </c>
      <c r="AH13" t="s">
        <v>4140</v>
      </c>
      <c r="AI13" s="42" t="s">
        <v>4175</v>
      </c>
      <c r="AJ13" t="s">
        <v>4206</v>
      </c>
      <c r="AK13" s="42" t="s">
        <v>4225</v>
      </c>
      <c r="AL13" t="s">
        <v>4245</v>
      </c>
      <c r="AM13" t="s">
        <v>4807</v>
      </c>
      <c r="AP13" t="s">
        <v>4990</v>
      </c>
      <c r="AQ13" s="42" t="s">
        <v>5009</v>
      </c>
      <c r="AR13" t="s">
        <v>5027</v>
      </c>
      <c r="AS13" s="42" t="s">
        <v>5042</v>
      </c>
      <c r="AT13" t="s">
        <v>937</v>
      </c>
      <c r="AU13" s="42"/>
      <c r="AV13" t="s">
        <v>1201</v>
      </c>
      <c r="AW13" s="42" t="s">
        <v>5078</v>
      </c>
      <c r="BA13" t="s">
        <v>1230</v>
      </c>
      <c r="BC13" t="s">
        <v>2174</v>
      </c>
      <c r="BD13" s="42" t="s">
        <v>5107</v>
      </c>
      <c r="BE13" t="s">
        <v>5119</v>
      </c>
      <c r="BF13" s="42" t="s">
        <v>5151</v>
      </c>
      <c r="BI13" t="s">
        <v>5187</v>
      </c>
      <c r="BJ13" s="42" t="s">
        <v>5391</v>
      </c>
      <c r="BK13" t="s">
        <v>5382</v>
      </c>
      <c r="BL13" s="42" t="s">
        <v>5624</v>
      </c>
      <c r="BM13" t="s">
        <v>5649</v>
      </c>
      <c r="BN13" s="42" t="s">
        <v>5677</v>
      </c>
      <c r="BO13" t="s">
        <v>952</v>
      </c>
      <c r="BP13" s="42" t="s">
        <v>3236</v>
      </c>
      <c r="BQ13" t="s">
        <v>2195</v>
      </c>
      <c r="BR13" s="42" t="s">
        <v>5705</v>
      </c>
      <c r="BW13" t="s">
        <v>5731</v>
      </c>
      <c r="BX13" s="42" t="s">
        <v>5742</v>
      </c>
      <c r="BY13" t="s">
        <v>5759</v>
      </c>
      <c r="BZ13" s="42" t="s">
        <v>5784</v>
      </c>
      <c r="CA13" t="s">
        <v>4205</v>
      </c>
      <c r="CB13" s="42" t="s">
        <v>4224</v>
      </c>
      <c r="CE13" t="s">
        <v>4807</v>
      </c>
      <c r="CH13" t="s">
        <v>5027</v>
      </c>
      <c r="CI13" s="42" t="s">
        <v>5042</v>
      </c>
      <c r="CJ13" t="s">
        <v>1201</v>
      </c>
      <c r="CK13" s="42" t="s">
        <v>5078</v>
      </c>
    </row>
    <row r="14" spans="1:94">
      <c r="F14" t="s">
        <v>2134</v>
      </c>
      <c r="G14" t="s">
        <v>2152</v>
      </c>
      <c r="I14" t="s">
        <v>2581</v>
      </c>
      <c r="J14" t="s">
        <v>2596</v>
      </c>
      <c r="N14" t="s">
        <v>3136</v>
      </c>
      <c r="O14" s="42" t="s">
        <v>3175</v>
      </c>
      <c r="X14" t="s">
        <v>953</v>
      </c>
      <c r="Y14" s="42" t="s">
        <v>3237</v>
      </c>
      <c r="AF14" t="s">
        <v>3521</v>
      </c>
      <c r="AG14" s="42" t="s">
        <v>3832</v>
      </c>
      <c r="AH14" t="s">
        <v>4141</v>
      </c>
      <c r="AI14" s="42" t="s">
        <v>4176</v>
      </c>
      <c r="AJ14" t="s">
        <v>4207</v>
      </c>
      <c r="AK14" s="42" t="s">
        <v>4226</v>
      </c>
      <c r="AL14" t="s">
        <v>4246</v>
      </c>
      <c r="AM14" t="s">
        <v>4808</v>
      </c>
      <c r="AP14" t="s">
        <v>4991</v>
      </c>
      <c r="AQ14" s="42" t="s">
        <v>5010</v>
      </c>
      <c r="AR14" t="s">
        <v>5028</v>
      </c>
      <c r="AS14" s="42" t="s">
        <v>5043</v>
      </c>
      <c r="AV14" t="s">
        <v>1202</v>
      </c>
      <c r="AW14" s="42" t="s">
        <v>5079</v>
      </c>
      <c r="BA14" t="s">
        <v>1231</v>
      </c>
      <c r="BC14" t="s">
        <v>2175</v>
      </c>
      <c r="BD14" s="42" t="s">
        <v>5108</v>
      </c>
      <c r="BE14" t="s">
        <v>5120</v>
      </c>
      <c r="BF14" s="42" t="s">
        <v>5152</v>
      </c>
      <c r="BI14" t="s">
        <v>5188</v>
      </c>
      <c r="BJ14" s="42" t="s">
        <v>5392</v>
      </c>
      <c r="BK14" t="s">
        <v>630</v>
      </c>
      <c r="BL14" s="42" t="s">
        <v>5625</v>
      </c>
      <c r="BM14" t="s">
        <v>5650</v>
      </c>
      <c r="BN14" s="42" t="s">
        <v>5678</v>
      </c>
      <c r="BO14" t="s">
        <v>953</v>
      </c>
      <c r="BP14" s="42" t="s">
        <v>3237</v>
      </c>
      <c r="BQ14" t="s">
        <v>2196</v>
      </c>
      <c r="BR14" s="42" t="s">
        <v>5706</v>
      </c>
      <c r="BW14" t="s">
        <v>5732</v>
      </c>
      <c r="BX14" s="42" t="s">
        <v>5743</v>
      </c>
      <c r="BY14" t="s">
        <v>5760</v>
      </c>
      <c r="BZ14" s="42" t="s">
        <v>5785</v>
      </c>
      <c r="CA14" t="s">
        <v>4206</v>
      </c>
      <c r="CB14" s="42" t="s">
        <v>4225</v>
      </c>
      <c r="CE14" t="s">
        <v>4808</v>
      </c>
      <c r="CH14" t="s">
        <v>5028</v>
      </c>
      <c r="CI14" s="42" t="s">
        <v>5043</v>
      </c>
      <c r="CJ14" t="s">
        <v>1202</v>
      </c>
      <c r="CK14" s="42" t="s">
        <v>5079</v>
      </c>
    </row>
    <row r="15" spans="1:94">
      <c r="F15" t="s">
        <v>2135</v>
      </c>
      <c r="G15" t="s">
        <v>2153</v>
      </c>
      <c r="I15" t="s">
        <v>2582</v>
      </c>
      <c r="J15" t="s">
        <v>2597</v>
      </c>
      <c r="N15" t="s">
        <v>3137</v>
      </c>
      <c r="O15" s="42" t="s">
        <v>3176</v>
      </c>
      <c r="X15" t="s">
        <v>954</v>
      </c>
      <c r="Y15" s="42" t="s">
        <v>3238</v>
      </c>
      <c r="AF15" t="s">
        <v>3522</v>
      </c>
      <c r="AG15" s="42" t="s">
        <v>3833</v>
      </c>
      <c r="AH15" t="s">
        <v>4142</v>
      </c>
      <c r="AI15" s="42" t="s">
        <v>4177</v>
      </c>
      <c r="AJ15" t="s">
        <v>3155</v>
      </c>
      <c r="AK15" s="42" t="s">
        <v>4227</v>
      </c>
      <c r="AL15" t="s">
        <v>4247</v>
      </c>
      <c r="AM15" t="s">
        <v>4809</v>
      </c>
      <c r="AP15" t="s">
        <v>4992</v>
      </c>
      <c r="AQ15" s="42" t="s">
        <v>5011</v>
      </c>
      <c r="AR15" t="s">
        <v>5029</v>
      </c>
      <c r="AS15" s="42" t="s">
        <v>5044</v>
      </c>
      <c r="AV15" t="s">
        <v>1203</v>
      </c>
      <c r="AW15" s="42" t="s">
        <v>5080</v>
      </c>
      <c r="BA15" t="s">
        <v>1232</v>
      </c>
      <c r="BE15" t="s">
        <v>5121</v>
      </c>
      <c r="BF15" s="42" t="s">
        <v>5153</v>
      </c>
      <c r="BI15" t="s">
        <v>5189</v>
      </c>
      <c r="BJ15" s="42" t="s">
        <v>5393</v>
      </c>
      <c r="BK15" t="s">
        <v>5602</v>
      </c>
      <c r="BL15" s="42" t="s">
        <v>5626</v>
      </c>
      <c r="BM15" t="s">
        <v>5651</v>
      </c>
      <c r="BN15" s="42" t="s">
        <v>5679</v>
      </c>
      <c r="BO15" t="s">
        <v>954</v>
      </c>
      <c r="BP15" s="42" t="s">
        <v>3238</v>
      </c>
      <c r="BQ15" t="s">
        <v>2197</v>
      </c>
      <c r="BR15" s="42" t="s">
        <v>5707</v>
      </c>
      <c r="BW15" t="s">
        <v>5733</v>
      </c>
      <c r="BX15" s="42" t="s">
        <v>5744</v>
      </c>
      <c r="BY15" t="s">
        <v>5761</v>
      </c>
      <c r="BZ15" s="42" t="s">
        <v>5786</v>
      </c>
      <c r="CA15" t="s">
        <v>4207</v>
      </c>
      <c r="CB15" s="42" t="s">
        <v>4226</v>
      </c>
      <c r="CE15" t="s">
        <v>4809</v>
      </c>
      <c r="CH15" t="s">
        <v>5029</v>
      </c>
      <c r="CI15" s="42" t="s">
        <v>5044</v>
      </c>
      <c r="CJ15" t="s">
        <v>1203</v>
      </c>
      <c r="CK15" s="42" t="s">
        <v>5080</v>
      </c>
    </row>
    <row r="16" spans="1:94">
      <c r="F16" t="s">
        <v>2136</v>
      </c>
      <c r="G16" t="s">
        <v>2154</v>
      </c>
      <c r="I16" t="s">
        <v>2583</v>
      </c>
      <c r="J16" t="s">
        <v>2598</v>
      </c>
      <c r="N16" t="s">
        <v>3138</v>
      </c>
      <c r="O16" s="42" t="s">
        <v>3177</v>
      </c>
      <c r="X16" t="s">
        <v>955</v>
      </c>
      <c r="Y16" s="42" t="s">
        <v>3239</v>
      </c>
      <c r="AF16" t="s">
        <v>3523</v>
      </c>
      <c r="AG16" s="42" t="s">
        <v>3834</v>
      </c>
      <c r="AH16" t="s">
        <v>4143</v>
      </c>
      <c r="AI16" s="42" t="s">
        <v>4178</v>
      </c>
      <c r="AJ16" t="s">
        <v>4208</v>
      </c>
      <c r="AK16" s="42" t="s">
        <v>4228</v>
      </c>
      <c r="AL16" t="s">
        <v>4248</v>
      </c>
      <c r="AM16" t="s">
        <v>4810</v>
      </c>
      <c r="AP16" t="s">
        <v>4993</v>
      </c>
      <c r="AQ16" s="42" t="s">
        <v>5012</v>
      </c>
      <c r="AV16" t="s">
        <v>1204</v>
      </c>
      <c r="AW16" s="42" t="s">
        <v>5081</v>
      </c>
      <c r="BA16" t="s">
        <v>1233</v>
      </c>
      <c r="BE16" t="s">
        <v>5122</v>
      </c>
      <c r="BF16" s="42" t="s">
        <v>5154</v>
      </c>
      <c r="BI16" t="s">
        <v>5190</v>
      </c>
      <c r="BJ16" s="42" t="s">
        <v>5394</v>
      </c>
      <c r="BK16" t="s">
        <v>5603</v>
      </c>
      <c r="BL16" s="42" t="s">
        <v>5627</v>
      </c>
      <c r="BM16" t="s">
        <v>5652</v>
      </c>
      <c r="BN16" s="42" t="s">
        <v>5680</v>
      </c>
      <c r="BO16" t="s">
        <v>955</v>
      </c>
      <c r="BP16" s="42" t="s">
        <v>3239</v>
      </c>
      <c r="BQ16" t="s">
        <v>2198</v>
      </c>
      <c r="BR16" s="42" t="s">
        <v>5708</v>
      </c>
      <c r="BW16" t="s">
        <v>5734</v>
      </c>
      <c r="BX16" s="42" t="s">
        <v>5745</v>
      </c>
      <c r="BY16" t="s">
        <v>5762</v>
      </c>
      <c r="BZ16" s="42" t="s">
        <v>5787</v>
      </c>
      <c r="CA16" t="s">
        <v>3155</v>
      </c>
      <c r="CB16" s="42" t="s">
        <v>4227</v>
      </c>
      <c r="CE16" t="s">
        <v>4810</v>
      </c>
      <c r="CJ16" t="s">
        <v>1204</v>
      </c>
      <c r="CK16" s="42" t="s">
        <v>5081</v>
      </c>
    </row>
    <row r="17" spans="6:89">
      <c r="F17" t="s">
        <v>2137</v>
      </c>
      <c r="G17" t="s">
        <v>2155</v>
      </c>
      <c r="J17" t="s">
        <v>2599</v>
      </c>
      <c r="N17" t="s">
        <v>3139</v>
      </c>
      <c r="O17" s="42" t="s">
        <v>3178</v>
      </c>
      <c r="X17" t="s">
        <v>956</v>
      </c>
      <c r="Y17" s="42" t="s">
        <v>3240</v>
      </c>
      <c r="AF17" t="s">
        <v>3524</v>
      </c>
      <c r="AG17" s="42" t="s">
        <v>3835</v>
      </c>
      <c r="AH17" t="s">
        <v>4144</v>
      </c>
      <c r="AI17" s="42" t="s">
        <v>4179</v>
      </c>
      <c r="AJ17" t="s">
        <v>4209</v>
      </c>
      <c r="AK17" s="42" t="s">
        <v>4229</v>
      </c>
      <c r="AL17" t="s">
        <v>4249</v>
      </c>
      <c r="AM17" t="s">
        <v>4811</v>
      </c>
      <c r="AP17" t="s">
        <v>4994</v>
      </c>
      <c r="AQ17" s="42" t="s">
        <v>5013</v>
      </c>
      <c r="AV17" t="s">
        <v>1205</v>
      </c>
      <c r="AW17" s="42" t="s">
        <v>5082</v>
      </c>
      <c r="BA17" t="s">
        <v>1234</v>
      </c>
      <c r="BE17" t="s">
        <v>5123</v>
      </c>
      <c r="BF17" s="42" t="s">
        <v>5155</v>
      </c>
      <c r="BI17" t="s">
        <v>5191</v>
      </c>
      <c r="BJ17" s="42" t="s">
        <v>5395</v>
      </c>
      <c r="BK17" t="s">
        <v>5604</v>
      </c>
      <c r="BL17" s="42" t="s">
        <v>5628</v>
      </c>
      <c r="BM17" t="s">
        <v>5653</v>
      </c>
      <c r="BN17" s="42" t="s">
        <v>5681</v>
      </c>
      <c r="BO17" t="s">
        <v>956</v>
      </c>
      <c r="BP17" s="42" t="s">
        <v>3240</v>
      </c>
      <c r="BQ17" t="s">
        <v>2199</v>
      </c>
      <c r="BR17" s="42" t="s">
        <v>5709</v>
      </c>
      <c r="BW17" t="s">
        <v>5735</v>
      </c>
      <c r="BX17" s="42" t="s">
        <v>5746</v>
      </c>
      <c r="BY17" t="s">
        <v>5763</v>
      </c>
      <c r="BZ17" s="42" t="s">
        <v>5788</v>
      </c>
      <c r="CA17" t="s">
        <v>4208</v>
      </c>
      <c r="CB17" s="42" t="s">
        <v>4228</v>
      </c>
      <c r="CE17" t="s">
        <v>4811</v>
      </c>
      <c r="CJ17" t="s">
        <v>1205</v>
      </c>
      <c r="CK17" s="42" t="s">
        <v>5082</v>
      </c>
    </row>
    <row r="18" spans="6:89">
      <c r="F18" t="s">
        <v>2138</v>
      </c>
      <c r="G18" t="s">
        <v>2156</v>
      </c>
      <c r="J18" t="s">
        <v>2600</v>
      </c>
      <c r="N18" t="s">
        <v>3140</v>
      </c>
      <c r="O18" s="42" t="s">
        <v>3179</v>
      </c>
      <c r="X18" t="s">
        <v>957</v>
      </c>
      <c r="Y18" s="42" t="s">
        <v>3241</v>
      </c>
      <c r="AF18" t="s">
        <v>3525</v>
      </c>
      <c r="AG18" s="42" t="s">
        <v>3836</v>
      </c>
      <c r="AH18" t="s">
        <v>4145</v>
      </c>
      <c r="AI18" s="42" t="s">
        <v>4180</v>
      </c>
      <c r="AJ18" t="s">
        <v>4210</v>
      </c>
      <c r="AK18" s="42" t="s">
        <v>4230</v>
      </c>
      <c r="AL18" t="s">
        <v>4250</v>
      </c>
      <c r="AM18" t="s">
        <v>4812</v>
      </c>
      <c r="AP18" t="s">
        <v>4995</v>
      </c>
      <c r="AQ18" s="42" t="s">
        <v>5014</v>
      </c>
      <c r="AV18" t="s">
        <v>1206</v>
      </c>
      <c r="AW18" s="42" t="s">
        <v>5083</v>
      </c>
      <c r="BA18" t="s">
        <v>1235</v>
      </c>
      <c r="BE18" t="s">
        <v>5124</v>
      </c>
      <c r="BF18" s="42" t="s">
        <v>5156</v>
      </c>
      <c r="BI18" t="s">
        <v>4980</v>
      </c>
      <c r="BJ18" s="42" t="s">
        <v>4998</v>
      </c>
      <c r="BK18" t="s">
        <v>5605</v>
      </c>
      <c r="BL18" s="42" t="s">
        <v>5629</v>
      </c>
      <c r="BM18" t="s">
        <v>5654</v>
      </c>
      <c r="BN18" s="42" t="s">
        <v>5682</v>
      </c>
      <c r="BO18" t="s">
        <v>957</v>
      </c>
      <c r="BP18" s="42" t="s">
        <v>3241</v>
      </c>
      <c r="BQ18" t="s">
        <v>2200</v>
      </c>
      <c r="BR18" s="42" t="s">
        <v>5710</v>
      </c>
      <c r="BW18" t="s">
        <v>5736</v>
      </c>
      <c r="BX18" s="42" t="s">
        <v>5747</v>
      </c>
      <c r="BY18" t="s">
        <v>5764</v>
      </c>
      <c r="BZ18" s="42" t="s">
        <v>5789</v>
      </c>
      <c r="CA18" t="s">
        <v>4209</v>
      </c>
      <c r="CB18" s="42" t="s">
        <v>4229</v>
      </c>
      <c r="CE18" t="s">
        <v>4812</v>
      </c>
      <c r="CJ18" t="s">
        <v>1206</v>
      </c>
      <c r="CK18" s="42" t="s">
        <v>5083</v>
      </c>
    </row>
    <row r="19" spans="6:89">
      <c r="F19" t="s">
        <v>2139</v>
      </c>
      <c r="J19" t="s">
        <v>2601</v>
      </c>
      <c r="N19" t="s">
        <v>3141</v>
      </c>
      <c r="O19" s="42" t="s">
        <v>3180</v>
      </c>
      <c r="X19" t="s">
        <v>958</v>
      </c>
      <c r="Y19" s="42" t="s">
        <v>3242</v>
      </c>
      <c r="AF19" t="s">
        <v>3526</v>
      </c>
      <c r="AG19" s="42" t="s">
        <v>3837</v>
      </c>
      <c r="AH19" t="s">
        <v>4146</v>
      </c>
      <c r="AI19" s="42" t="s">
        <v>4181</v>
      </c>
      <c r="AJ19" t="s">
        <v>4211</v>
      </c>
      <c r="AK19" s="42" t="s">
        <v>4231</v>
      </c>
      <c r="AL19" t="s">
        <v>4251</v>
      </c>
      <c r="AM19" t="s">
        <v>4813</v>
      </c>
      <c r="AP19" t="s">
        <v>4996</v>
      </c>
      <c r="AQ19" s="42" t="s">
        <v>5015</v>
      </c>
      <c r="AV19" t="s">
        <v>1207</v>
      </c>
      <c r="AW19" s="42" t="s">
        <v>5084</v>
      </c>
      <c r="BA19" t="s">
        <v>1236</v>
      </c>
      <c r="BE19" t="s">
        <v>5125</v>
      </c>
      <c r="BF19" s="42" t="s">
        <v>5157</v>
      </c>
      <c r="BI19" t="s">
        <v>5192</v>
      </c>
      <c r="BJ19" s="42" t="s">
        <v>5396</v>
      </c>
      <c r="BK19" t="s">
        <v>5275</v>
      </c>
      <c r="BL19" s="42" t="s">
        <v>5630</v>
      </c>
      <c r="BM19" t="s">
        <v>5655</v>
      </c>
      <c r="BN19" s="42" t="s">
        <v>5683</v>
      </c>
      <c r="BO19" t="s">
        <v>958</v>
      </c>
      <c r="BP19" s="42" t="s">
        <v>3242</v>
      </c>
      <c r="BQ19" t="s">
        <v>2201</v>
      </c>
      <c r="BR19" s="42" t="s">
        <v>5711</v>
      </c>
      <c r="BW19" t="s">
        <v>3495</v>
      </c>
      <c r="BX19" s="42" t="s">
        <v>3507</v>
      </c>
      <c r="BY19" t="s">
        <v>5765</v>
      </c>
      <c r="BZ19" s="42" t="s">
        <v>5790</v>
      </c>
      <c r="CA19" t="s">
        <v>4210</v>
      </c>
      <c r="CB19" s="42" t="s">
        <v>4230</v>
      </c>
      <c r="CE19" t="s">
        <v>4813</v>
      </c>
      <c r="CJ19" t="s">
        <v>1207</v>
      </c>
      <c r="CK19" s="42" t="s">
        <v>5084</v>
      </c>
    </row>
    <row r="20" spans="6:89">
      <c r="J20" t="s">
        <v>2602</v>
      </c>
      <c r="N20" t="s">
        <v>3142</v>
      </c>
      <c r="O20" s="42" t="s">
        <v>3181</v>
      </c>
      <c r="X20" t="s">
        <v>959</v>
      </c>
      <c r="Y20" s="42" t="s">
        <v>3243</v>
      </c>
      <c r="AF20" t="s">
        <v>3527</v>
      </c>
      <c r="AG20" s="42" t="s">
        <v>3838</v>
      </c>
      <c r="AH20" t="s">
        <v>4147</v>
      </c>
      <c r="AI20" s="42" t="s">
        <v>4182</v>
      </c>
      <c r="AJ20" t="s">
        <v>4212</v>
      </c>
      <c r="AK20" s="42" t="s">
        <v>4232</v>
      </c>
      <c r="AL20" t="s">
        <v>4252</v>
      </c>
      <c r="AM20" t="s">
        <v>4814</v>
      </c>
      <c r="AV20" t="s">
        <v>1208</v>
      </c>
      <c r="AW20" s="42" t="s">
        <v>5085</v>
      </c>
      <c r="BA20" t="s">
        <v>1237</v>
      </c>
      <c r="BE20" t="s">
        <v>5126</v>
      </c>
      <c r="BF20" s="42" t="s">
        <v>5158</v>
      </c>
      <c r="BI20" t="s">
        <v>5193</v>
      </c>
      <c r="BJ20" s="42" t="s">
        <v>5397</v>
      </c>
      <c r="BK20" t="s">
        <v>5606</v>
      </c>
      <c r="BL20" s="42" t="s">
        <v>5631</v>
      </c>
      <c r="BM20" t="s">
        <v>5656</v>
      </c>
      <c r="BN20" s="42" t="s">
        <v>5684</v>
      </c>
      <c r="BO20" t="s">
        <v>959</v>
      </c>
      <c r="BP20" s="42" t="s">
        <v>3243</v>
      </c>
      <c r="BQ20" t="s">
        <v>2202</v>
      </c>
      <c r="BR20" s="42" t="s">
        <v>5712</v>
      </c>
      <c r="BW20" t="s">
        <v>3496</v>
      </c>
      <c r="BX20" s="42" t="s">
        <v>3508</v>
      </c>
      <c r="BY20" t="s">
        <v>5766</v>
      </c>
      <c r="BZ20" s="42" t="s">
        <v>5791</v>
      </c>
      <c r="CA20" t="s">
        <v>4211</v>
      </c>
      <c r="CB20" s="42" t="s">
        <v>4231</v>
      </c>
      <c r="CE20" t="s">
        <v>4814</v>
      </c>
      <c r="CJ20" t="s">
        <v>1208</v>
      </c>
      <c r="CK20" s="42" t="s">
        <v>5085</v>
      </c>
    </row>
    <row r="21" spans="6:89">
      <c r="J21" t="s">
        <v>2603</v>
      </c>
      <c r="N21" t="s">
        <v>3143</v>
      </c>
      <c r="O21" s="42" t="s">
        <v>3182</v>
      </c>
      <c r="X21" t="s">
        <v>960</v>
      </c>
      <c r="Y21" s="42" t="s">
        <v>3244</v>
      </c>
      <c r="AF21" t="s">
        <v>3528</v>
      </c>
      <c r="AG21" s="42" t="s">
        <v>3839</v>
      </c>
      <c r="AH21" t="s">
        <v>4148</v>
      </c>
      <c r="AI21" s="42" t="s">
        <v>4183</v>
      </c>
      <c r="AJ21" t="s">
        <v>50</v>
      </c>
      <c r="AK21" s="42" t="s">
        <v>4233</v>
      </c>
      <c r="AL21" t="s">
        <v>4253</v>
      </c>
      <c r="AM21" t="s">
        <v>4815</v>
      </c>
      <c r="AV21" t="s">
        <v>1209</v>
      </c>
      <c r="AW21" s="42" t="s">
        <v>5086</v>
      </c>
      <c r="BA21" t="s">
        <v>1238</v>
      </c>
      <c r="BE21" t="s">
        <v>5127</v>
      </c>
      <c r="BF21" s="42" t="s">
        <v>5159</v>
      </c>
      <c r="BI21" t="s">
        <v>5194</v>
      </c>
      <c r="BJ21" s="42" t="s">
        <v>5398</v>
      </c>
      <c r="BK21" t="s">
        <v>5607</v>
      </c>
      <c r="BL21" s="42" t="s">
        <v>5632</v>
      </c>
      <c r="BM21" t="s">
        <v>5657</v>
      </c>
      <c r="BN21" s="42" t="s">
        <v>5685</v>
      </c>
      <c r="BO21" t="s">
        <v>960</v>
      </c>
      <c r="BP21" s="42" t="s">
        <v>3244</v>
      </c>
      <c r="BQ21" t="s">
        <v>2203</v>
      </c>
      <c r="BR21" s="42" t="s">
        <v>5713</v>
      </c>
      <c r="BY21" t="s">
        <v>5767</v>
      </c>
      <c r="BZ21" s="42" t="s">
        <v>5792</v>
      </c>
      <c r="CA21" t="s">
        <v>4212</v>
      </c>
      <c r="CB21" s="42" t="s">
        <v>4232</v>
      </c>
      <c r="CE21" t="s">
        <v>4815</v>
      </c>
      <c r="CJ21" t="s">
        <v>1209</v>
      </c>
      <c r="CK21" s="42" t="s">
        <v>5086</v>
      </c>
    </row>
    <row r="22" spans="6:89">
      <c r="J22" t="s">
        <v>2604</v>
      </c>
      <c r="N22" t="s">
        <v>3144</v>
      </c>
      <c r="O22" s="42" t="s">
        <v>3183</v>
      </c>
      <c r="X22" t="s">
        <v>961</v>
      </c>
      <c r="Y22" s="42" t="s">
        <v>3245</v>
      </c>
      <c r="AF22" t="s">
        <v>3529</v>
      </c>
      <c r="AG22" s="42" t="s">
        <v>3840</v>
      </c>
      <c r="AH22" t="s">
        <v>4149</v>
      </c>
      <c r="AI22" s="42" t="s">
        <v>4184</v>
      </c>
      <c r="AL22" t="s">
        <v>4254</v>
      </c>
      <c r="AM22" t="s">
        <v>4816</v>
      </c>
      <c r="AV22" t="s">
        <v>1210</v>
      </c>
      <c r="AW22" s="42" t="s">
        <v>5087</v>
      </c>
      <c r="BA22" t="s">
        <v>1239</v>
      </c>
      <c r="BE22" t="s">
        <v>5128</v>
      </c>
      <c r="BF22" s="42" t="s">
        <v>5160</v>
      </c>
      <c r="BI22" t="s">
        <v>5195</v>
      </c>
      <c r="BJ22" s="42" t="s">
        <v>5399</v>
      </c>
      <c r="BK22" t="s">
        <v>5608</v>
      </c>
      <c r="BL22" s="42" t="s">
        <v>5633</v>
      </c>
      <c r="BM22" t="s">
        <v>5658</v>
      </c>
      <c r="BN22" s="42" t="s">
        <v>5686</v>
      </c>
      <c r="BO22" t="s">
        <v>961</v>
      </c>
      <c r="BP22" s="42" t="s">
        <v>3245</v>
      </c>
      <c r="BQ22" t="s">
        <v>2204</v>
      </c>
      <c r="BR22" s="42" t="s">
        <v>5714</v>
      </c>
      <c r="BY22" t="s">
        <v>5768</v>
      </c>
      <c r="BZ22" s="42" t="s">
        <v>5793</v>
      </c>
      <c r="CE22" t="s">
        <v>4816</v>
      </c>
      <c r="CJ22" t="s">
        <v>1210</v>
      </c>
      <c r="CK22" s="42" t="s">
        <v>5087</v>
      </c>
    </row>
    <row r="23" spans="6:89">
      <c r="J23" t="s">
        <v>2605</v>
      </c>
      <c r="N23" t="s">
        <v>3145</v>
      </c>
      <c r="O23" s="42" t="s">
        <v>3184</v>
      </c>
      <c r="X23" t="s">
        <v>962</v>
      </c>
      <c r="Y23" s="42" t="s">
        <v>3246</v>
      </c>
      <c r="AF23" t="s">
        <v>3530</v>
      </c>
      <c r="AG23" s="42" t="s">
        <v>3841</v>
      </c>
      <c r="AH23" t="s">
        <v>4150</v>
      </c>
      <c r="AI23" s="42" t="s">
        <v>4185</v>
      </c>
      <c r="AL23" t="s">
        <v>4255</v>
      </c>
      <c r="AM23" t="s">
        <v>4817</v>
      </c>
      <c r="AV23" t="s">
        <v>1211</v>
      </c>
      <c r="AW23" s="42" t="s">
        <v>5088</v>
      </c>
      <c r="BA23" t="s">
        <v>1240</v>
      </c>
      <c r="BE23" t="s">
        <v>5129</v>
      </c>
      <c r="BF23" s="42" t="s">
        <v>5161</v>
      </c>
      <c r="BI23" t="s">
        <v>5196</v>
      </c>
      <c r="BJ23" s="42" t="s">
        <v>5400</v>
      </c>
      <c r="BK23" t="s">
        <v>5609</v>
      </c>
      <c r="BL23" s="42" t="s">
        <v>5634</v>
      </c>
      <c r="BM23" t="s">
        <v>5659</v>
      </c>
      <c r="BN23" s="42" t="s">
        <v>5687</v>
      </c>
      <c r="BO23" t="s">
        <v>962</v>
      </c>
      <c r="BP23" s="42" t="s">
        <v>3246</v>
      </c>
      <c r="BQ23" t="s">
        <v>2205</v>
      </c>
      <c r="BR23" s="42" t="s">
        <v>5715</v>
      </c>
      <c r="BY23" t="s">
        <v>5769</v>
      </c>
      <c r="BZ23" s="42" t="s">
        <v>5794</v>
      </c>
      <c r="CE23" t="s">
        <v>4817</v>
      </c>
      <c r="CJ23" t="s">
        <v>1211</v>
      </c>
      <c r="CK23" s="42" t="s">
        <v>5088</v>
      </c>
    </row>
    <row r="24" spans="6:89">
      <c r="J24" t="s">
        <v>2606</v>
      </c>
      <c r="N24" t="s">
        <v>3146</v>
      </c>
      <c r="O24" s="42" t="s">
        <v>3185</v>
      </c>
      <c r="X24" t="s">
        <v>963</v>
      </c>
      <c r="Y24" s="42" t="s">
        <v>3247</v>
      </c>
      <c r="AF24" t="s">
        <v>3531</v>
      </c>
      <c r="AG24" s="42" t="s">
        <v>3842</v>
      </c>
      <c r="AH24" t="s">
        <v>4151</v>
      </c>
      <c r="AI24" s="42" t="s">
        <v>4186</v>
      </c>
      <c r="AL24" t="s">
        <v>4256</v>
      </c>
      <c r="AM24" t="s">
        <v>4818</v>
      </c>
      <c r="AV24" t="s">
        <v>1212</v>
      </c>
      <c r="AW24" s="42" t="s">
        <v>5089</v>
      </c>
      <c r="BA24" t="s">
        <v>1241</v>
      </c>
      <c r="BE24" t="s">
        <v>5130</v>
      </c>
      <c r="BF24" s="42" t="s">
        <v>5162</v>
      </c>
      <c r="BI24" t="s">
        <v>5197</v>
      </c>
      <c r="BJ24" s="42" t="s">
        <v>5401</v>
      </c>
      <c r="BK24" t="s">
        <v>5245</v>
      </c>
      <c r="BL24" s="42" t="s">
        <v>5635</v>
      </c>
      <c r="BM24" t="s">
        <v>5660</v>
      </c>
      <c r="BN24" s="42" t="s">
        <v>5688</v>
      </c>
      <c r="BO24" t="s">
        <v>963</v>
      </c>
      <c r="BP24" s="42" t="s">
        <v>3247</v>
      </c>
      <c r="BQ24" t="s">
        <v>2206</v>
      </c>
      <c r="BR24" s="42" t="s">
        <v>5716</v>
      </c>
      <c r="BY24" t="s">
        <v>5770</v>
      </c>
      <c r="BZ24" s="42" t="s">
        <v>5795</v>
      </c>
      <c r="CE24" t="s">
        <v>4818</v>
      </c>
      <c r="CJ24" t="s">
        <v>1212</v>
      </c>
      <c r="CK24" s="42" t="s">
        <v>5089</v>
      </c>
    </row>
    <row r="25" spans="6:89">
      <c r="J25" t="s">
        <v>2607</v>
      </c>
      <c r="N25" t="s">
        <v>3147</v>
      </c>
      <c r="O25" s="42" t="s">
        <v>3186</v>
      </c>
      <c r="X25" t="s">
        <v>964</v>
      </c>
      <c r="Y25" s="42" t="s">
        <v>3248</v>
      </c>
      <c r="AF25" t="s">
        <v>3532</v>
      </c>
      <c r="AG25" s="42" t="s">
        <v>3843</v>
      </c>
      <c r="AH25" t="s">
        <v>4152</v>
      </c>
      <c r="AI25" s="42" t="s">
        <v>4187</v>
      </c>
      <c r="AL25" t="s">
        <v>4257</v>
      </c>
      <c r="AM25" t="s">
        <v>4819</v>
      </c>
      <c r="AV25" t="s">
        <v>1213</v>
      </c>
      <c r="AW25" s="42" t="s">
        <v>5090</v>
      </c>
      <c r="BA25" t="s">
        <v>1242</v>
      </c>
      <c r="BE25" t="s">
        <v>5131</v>
      </c>
      <c r="BF25" s="42" t="s">
        <v>5163</v>
      </c>
      <c r="BI25" t="s">
        <v>1064</v>
      </c>
      <c r="BJ25" s="42" t="s">
        <v>5402</v>
      </c>
      <c r="BK25" t="s">
        <v>5610</v>
      </c>
      <c r="BL25" s="42" t="s">
        <v>5636</v>
      </c>
      <c r="BM25" t="s">
        <v>5661</v>
      </c>
      <c r="BN25" s="42" t="s">
        <v>5689</v>
      </c>
      <c r="BO25" t="s">
        <v>964</v>
      </c>
      <c r="BP25" s="42" t="s">
        <v>3248</v>
      </c>
      <c r="BQ25" t="s">
        <v>2207</v>
      </c>
      <c r="BR25" s="42" t="s">
        <v>5717</v>
      </c>
      <c r="BY25" t="s">
        <v>5771</v>
      </c>
      <c r="BZ25" s="42"/>
      <c r="CE25" t="s">
        <v>4819</v>
      </c>
      <c r="CJ25" t="s">
        <v>1213</v>
      </c>
      <c r="CK25" s="42" t="s">
        <v>5090</v>
      </c>
    </row>
    <row r="26" spans="6:89">
      <c r="J26" t="s">
        <v>2608</v>
      </c>
      <c r="N26" t="s">
        <v>3148</v>
      </c>
      <c r="O26" s="42" t="s">
        <v>3187</v>
      </c>
      <c r="X26" t="s">
        <v>965</v>
      </c>
      <c r="Y26" s="42" t="s">
        <v>3249</v>
      </c>
      <c r="AF26" t="s">
        <v>3533</v>
      </c>
      <c r="AG26" s="42" t="s">
        <v>3844</v>
      </c>
      <c r="AH26" t="s">
        <v>4153</v>
      </c>
      <c r="AI26" s="42" t="s">
        <v>4188</v>
      </c>
      <c r="AL26" t="s">
        <v>4258</v>
      </c>
      <c r="AM26" t="s">
        <v>4820</v>
      </c>
      <c r="AV26" t="s">
        <v>937</v>
      </c>
      <c r="AW26" s="42"/>
      <c r="BA26" t="s">
        <v>1243</v>
      </c>
      <c r="BE26" t="s">
        <v>5132</v>
      </c>
      <c r="BF26" s="42" t="s">
        <v>5164</v>
      </c>
      <c r="BI26" t="s">
        <v>5198</v>
      </c>
      <c r="BJ26" s="42" t="s">
        <v>5403</v>
      </c>
      <c r="BK26" t="s">
        <v>5611</v>
      </c>
      <c r="BL26" s="42" t="s">
        <v>5637</v>
      </c>
      <c r="BM26" t="s">
        <v>5662</v>
      </c>
      <c r="BN26" s="42" t="s">
        <v>5690</v>
      </c>
      <c r="BO26" t="s">
        <v>965</v>
      </c>
      <c r="BP26" s="42" t="s">
        <v>3249</v>
      </c>
      <c r="BQ26" t="s">
        <v>2208</v>
      </c>
      <c r="BR26" s="42" t="s">
        <v>5718</v>
      </c>
      <c r="BY26" t="s">
        <v>936</v>
      </c>
      <c r="BZ26" s="42"/>
      <c r="CE26" t="s">
        <v>4820</v>
      </c>
      <c r="CJ26" t="s">
        <v>937</v>
      </c>
      <c r="CK26" s="42"/>
    </row>
    <row r="27" spans="6:89">
      <c r="J27" t="s">
        <v>2609</v>
      </c>
      <c r="N27" t="s">
        <v>3149</v>
      </c>
      <c r="O27" s="42" t="s">
        <v>3188</v>
      </c>
      <c r="X27" t="s">
        <v>966</v>
      </c>
      <c r="Y27" s="42" t="s">
        <v>3250</v>
      </c>
      <c r="AF27" t="s">
        <v>3534</v>
      </c>
      <c r="AG27" s="42" t="s">
        <v>3845</v>
      </c>
      <c r="AH27" t="s">
        <v>4154</v>
      </c>
      <c r="AI27" s="42" t="s">
        <v>4189</v>
      </c>
      <c r="AL27" t="s">
        <v>4259</v>
      </c>
      <c r="AM27" t="s">
        <v>4821</v>
      </c>
      <c r="BA27" t="s">
        <v>1244</v>
      </c>
      <c r="BE27" t="s">
        <v>5133</v>
      </c>
      <c r="BF27" s="42" t="s">
        <v>5165</v>
      </c>
      <c r="BI27" t="s">
        <v>5199</v>
      </c>
      <c r="BJ27" s="42" t="s">
        <v>5404</v>
      </c>
      <c r="BK27" t="s">
        <v>936</v>
      </c>
      <c r="BL27" s="42"/>
      <c r="BM27" t="s">
        <v>5663</v>
      </c>
      <c r="BN27" s="42" t="s">
        <v>5691</v>
      </c>
      <c r="BO27" t="s">
        <v>966</v>
      </c>
      <c r="BP27" s="42" t="s">
        <v>3250</v>
      </c>
      <c r="BQ27" t="s">
        <v>2209</v>
      </c>
      <c r="BR27" s="42" t="s">
        <v>5719</v>
      </c>
      <c r="BY27" t="s">
        <v>937</v>
      </c>
      <c r="BZ27" s="42"/>
      <c r="CE27" t="s">
        <v>4821</v>
      </c>
    </row>
    <row r="28" spans="6:89">
      <c r="J28" t="s">
        <v>2610</v>
      </c>
      <c r="N28" t="s">
        <v>3150</v>
      </c>
      <c r="O28" s="42" t="s">
        <v>3189</v>
      </c>
      <c r="X28" t="s">
        <v>967</v>
      </c>
      <c r="Y28" s="42" t="s">
        <v>3251</v>
      </c>
      <c r="AF28" t="s">
        <v>3535</v>
      </c>
      <c r="AG28" s="42" t="s">
        <v>3846</v>
      </c>
      <c r="AH28" t="s">
        <v>4155</v>
      </c>
      <c r="AI28" s="42" t="s">
        <v>4190</v>
      </c>
      <c r="AL28" t="s">
        <v>4260</v>
      </c>
      <c r="AM28" t="s">
        <v>4822</v>
      </c>
      <c r="BA28" t="s">
        <v>1245</v>
      </c>
      <c r="BE28" t="s">
        <v>5134</v>
      </c>
      <c r="BF28" s="42" t="s">
        <v>5166</v>
      </c>
      <c r="BI28" t="s">
        <v>5200</v>
      </c>
      <c r="BJ28" s="42" t="s">
        <v>5405</v>
      </c>
      <c r="BM28" t="s">
        <v>5664</v>
      </c>
      <c r="BN28" s="42" t="s">
        <v>5692</v>
      </c>
      <c r="BO28" t="s">
        <v>967</v>
      </c>
      <c r="BP28" s="42" t="s">
        <v>3251</v>
      </c>
      <c r="CE28" t="s">
        <v>4822</v>
      </c>
    </row>
    <row r="29" spans="6:89">
      <c r="J29" t="s">
        <v>2611</v>
      </c>
      <c r="N29" t="s">
        <v>3151</v>
      </c>
      <c r="O29" s="42" t="s">
        <v>3190</v>
      </c>
      <c r="X29" t="s">
        <v>968</v>
      </c>
      <c r="Y29" s="42" t="s">
        <v>3252</v>
      </c>
      <c r="AF29" t="s">
        <v>3536</v>
      </c>
      <c r="AG29" s="42" t="s">
        <v>3847</v>
      </c>
      <c r="AH29" t="s">
        <v>4156</v>
      </c>
      <c r="AI29" s="42" t="s">
        <v>4191</v>
      </c>
      <c r="AL29" t="s">
        <v>4261</v>
      </c>
      <c r="AM29" t="s">
        <v>4823</v>
      </c>
      <c r="BA29" t="s">
        <v>1246</v>
      </c>
      <c r="BE29" t="s">
        <v>5135</v>
      </c>
      <c r="BF29" s="42" t="s">
        <v>5167</v>
      </c>
      <c r="BI29" t="s">
        <v>5201</v>
      </c>
      <c r="BJ29" s="42" t="s">
        <v>5406</v>
      </c>
      <c r="BM29" t="s">
        <v>936</v>
      </c>
      <c r="BN29" s="42"/>
      <c r="BO29" t="s">
        <v>968</v>
      </c>
      <c r="BP29" s="42" t="s">
        <v>3252</v>
      </c>
      <c r="CE29" t="s">
        <v>4823</v>
      </c>
    </row>
    <row r="30" spans="6:89">
      <c r="J30" t="s">
        <v>2612</v>
      </c>
      <c r="N30" t="s">
        <v>3152</v>
      </c>
      <c r="O30" s="42" t="s">
        <v>3191</v>
      </c>
      <c r="X30" t="s">
        <v>969</v>
      </c>
      <c r="Y30" s="42" t="s">
        <v>3253</v>
      </c>
      <c r="AF30" t="s">
        <v>3537</v>
      </c>
      <c r="AG30" s="42" t="s">
        <v>3848</v>
      </c>
      <c r="AH30" t="s">
        <v>4157</v>
      </c>
      <c r="AI30" s="42" t="s">
        <v>4192</v>
      </c>
      <c r="AL30" t="s">
        <v>4262</v>
      </c>
      <c r="AM30" t="s">
        <v>4824</v>
      </c>
      <c r="BA30" t="s">
        <v>1247</v>
      </c>
      <c r="BE30" t="s">
        <v>5136</v>
      </c>
      <c r="BF30" s="42" t="s">
        <v>5168</v>
      </c>
      <c r="BI30" t="s">
        <v>5202</v>
      </c>
      <c r="BJ30" s="42" t="s">
        <v>5407</v>
      </c>
      <c r="BM30" t="s">
        <v>937</v>
      </c>
      <c r="BN30" s="42"/>
      <c r="BO30" t="s">
        <v>969</v>
      </c>
      <c r="BP30" s="42" t="s">
        <v>3253</v>
      </c>
      <c r="CE30" t="s">
        <v>4824</v>
      </c>
    </row>
    <row r="31" spans="6:89">
      <c r="J31" t="s">
        <v>2613</v>
      </c>
      <c r="N31" t="s">
        <v>3153</v>
      </c>
      <c r="O31" s="42" t="s">
        <v>3192</v>
      </c>
      <c r="X31" t="s">
        <v>970</v>
      </c>
      <c r="Y31" s="42" t="s">
        <v>3254</v>
      </c>
      <c r="AF31" t="s">
        <v>3538</v>
      </c>
      <c r="AG31" s="42" t="s">
        <v>3849</v>
      </c>
      <c r="AH31" t="s">
        <v>4158</v>
      </c>
      <c r="AI31" s="42" t="s">
        <v>4193</v>
      </c>
      <c r="AL31" t="s">
        <v>4263</v>
      </c>
      <c r="AM31" t="s">
        <v>4825</v>
      </c>
      <c r="BA31" t="s">
        <v>1248</v>
      </c>
      <c r="BE31" t="s">
        <v>5137</v>
      </c>
      <c r="BF31" s="42" t="s">
        <v>5169</v>
      </c>
      <c r="BI31" t="s">
        <v>5203</v>
      </c>
      <c r="BJ31" s="42" t="s">
        <v>5408</v>
      </c>
      <c r="BO31" t="s">
        <v>970</v>
      </c>
      <c r="BP31" s="42" t="s">
        <v>3254</v>
      </c>
      <c r="CE31" t="s">
        <v>4825</v>
      </c>
    </row>
    <row r="32" spans="6:89">
      <c r="J32" t="s">
        <v>2614</v>
      </c>
      <c r="N32" t="s">
        <v>3154</v>
      </c>
      <c r="O32" s="42" t="s">
        <v>3193</v>
      </c>
      <c r="X32" t="s">
        <v>971</v>
      </c>
      <c r="Y32" s="42" t="s">
        <v>3255</v>
      </c>
      <c r="AF32" t="s">
        <v>3539</v>
      </c>
      <c r="AG32" s="42" t="s">
        <v>3850</v>
      </c>
      <c r="AH32" t="s">
        <v>4159</v>
      </c>
      <c r="AI32" s="42" t="s">
        <v>4194</v>
      </c>
      <c r="AL32" t="s">
        <v>4264</v>
      </c>
      <c r="AM32" t="s">
        <v>4826</v>
      </c>
      <c r="BA32" t="s">
        <v>1249</v>
      </c>
      <c r="BE32" t="s">
        <v>5138</v>
      </c>
      <c r="BF32" s="42" t="s">
        <v>5170</v>
      </c>
      <c r="BI32" t="s">
        <v>5204</v>
      </c>
      <c r="BJ32" s="42" t="s">
        <v>5409</v>
      </c>
      <c r="BO32" t="s">
        <v>971</v>
      </c>
      <c r="BP32" s="42" t="s">
        <v>3255</v>
      </c>
      <c r="CE32" t="s">
        <v>4826</v>
      </c>
    </row>
    <row r="33" spans="10:83">
      <c r="J33" t="s">
        <v>2615</v>
      </c>
      <c r="N33" t="s">
        <v>3155</v>
      </c>
      <c r="O33" s="42" t="s">
        <v>3194</v>
      </c>
      <c r="X33" t="s">
        <v>972</v>
      </c>
      <c r="Y33" s="42" t="s">
        <v>3256</v>
      </c>
      <c r="AF33" t="s">
        <v>3540</v>
      </c>
      <c r="AG33" s="42" t="s">
        <v>3851</v>
      </c>
      <c r="AH33" t="s">
        <v>4160</v>
      </c>
      <c r="AI33" s="42" t="s">
        <v>4195</v>
      </c>
      <c r="AL33" t="s">
        <v>4265</v>
      </c>
      <c r="AM33" t="s">
        <v>4827</v>
      </c>
      <c r="BA33" t="s">
        <v>1250</v>
      </c>
      <c r="BE33" t="s">
        <v>936</v>
      </c>
      <c r="BF33" s="42"/>
      <c r="BI33" t="s">
        <v>5205</v>
      </c>
      <c r="BJ33" s="42" t="s">
        <v>5410</v>
      </c>
      <c r="BO33" t="s">
        <v>972</v>
      </c>
      <c r="BP33" s="42" t="s">
        <v>3256</v>
      </c>
      <c r="CE33" t="s">
        <v>4827</v>
      </c>
    </row>
    <row r="34" spans="10:83">
      <c r="J34" t="s">
        <v>2616</v>
      </c>
      <c r="N34" t="s">
        <v>3156</v>
      </c>
      <c r="O34" s="42" t="s">
        <v>3195</v>
      </c>
      <c r="X34" t="s">
        <v>973</v>
      </c>
      <c r="Y34" s="42" t="s">
        <v>3257</v>
      </c>
      <c r="AF34" t="s">
        <v>3541</v>
      </c>
      <c r="AG34" s="42" t="s">
        <v>3852</v>
      </c>
      <c r="AH34" t="s">
        <v>4161</v>
      </c>
      <c r="AI34" s="42" t="s">
        <v>4196</v>
      </c>
      <c r="AL34" t="s">
        <v>4266</v>
      </c>
      <c r="AM34" t="s">
        <v>4828</v>
      </c>
      <c r="BA34" t="s">
        <v>1251</v>
      </c>
      <c r="BI34" t="s">
        <v>5206</v>
      </c>
      <c r="BJ34" s="42" t="s">
        <v>5411</v>
      </c>
      <c r="BO34" t="s">
        <v>973</v>
      </c>
      <c r="BP34" s="42" t="s">
        <v>3257</v>
      </c>
      <c r="CE34" t="s">
        <v>4828</v>
      </c>
    </row>
    <row r="35" spans="10:83">
      <c r="J35" t="s">
        <v>2617</v>
      </c>
      <c r="N35" t="s">
        <v>3157</v>
      </c>
      <c r="O35" s="42" t="s">
        <v>3196</v>
      </c>
      <c r="X35" t="s">
        <v>974</v>
      </c>
      <c r="Y35" s="42" t="s">
        <v>3258</v>
      </c>
      <c r="AF35" t="s">
        <v>3542</v>
      </c>
      <c r="AG35" s="42" t="s">
        <v>3853</v>
      </c>
      <c r="AH35" t="s">
        <v>4162</v>
      </c>
      <c r="AI35" s="42" t="s">
        <v>4197</v>
      </c>
      <c r="AL35" t="s">
        <v>4267</v>
      </c>
      <c r="AM35" t="s">
        <v>4829</v>
      </c>
      <c r="BA35" t="s">
        <v>1252</v>
      </c>
      <c r="BI35" t="s">
        <v>5207</v>
      </c>
      <c r="BJ35" s="42" t="s">
        <v>5412</v>
      </c>
      <c r="BO35" t="s">
        <v>974</v>
      </c>
      <c r="BP35" s="42" t="s">
        <v>3258</v>
      </c>
      <c r="CE35" t="s">
        <v>4829</v>
      </c>
    </row>
    <row r="36" spans="10:83">
      <c r="J36" t="s">
        <v>2618</v>
      </c>
      <c r="N36" t="s">
        <v>3158</v>
      </c>
      <c r="O36" s="42" t="s">
        <v>3197</v>
      </c>
      <c r="X36" t="s">
        <v>975</v>
      </c>
      <c r="Y36" s="42" t="s">
        <v>3259</v>
      </c>
      <c r="AF36" t="s">
        <v>3543</v>
      </c>
      <c r="AG36" s="42" t="s">
        <v>3854</v>
      </c>
      <c r="AH36" t="s">
        <v>937</v>
      </c>
      <c r="AI36" s="42"/>
      <c r="AL36" t="s">
        <v>4268</v>
      </c>
      <c r="AM36" t="s">
        <v>4830</v>
      </c>
      <c r="BA36" t="s">
        <v>1253</v>
      </c>
      <c r="BI36" t="s">
        <v>5208</v>
      </c>
      <c r="BJ36" s="42" t="s">
        <v>5413</v>
      </c>
      <c r="BO36" t="s">
        <v>975</v>
      </c>
      <c r="BP36" s="42" t="s">
        <v>3259</v>
      </c>
      <c r="CE36" t="s">
        <v>4830</v>
      </c>
    </row>
    <row r="37" spans="10:83">
      <c r="J37" t="s">
        <v>2619</v>
      </c>
      <c r="N37" t="s">
        <v>3159</v>
      </c>
      <c r="O37" s="42" t="s">
        <v>3198</v>
      </c>
      <c r="X37" t="s">
        <v>976</v>
      </c>
      <c r="Y37" s="42" t="s">
        <v>3260</v>
      </c>
      <c r="AF37" t="s">
        <v>3544</v>
      </c>
      <c r="AG37" s="42" t="s">
        <v>3855</v>
      </c>
      <c r="AL37" t="s">
        <v>4269</v>
      </c>
      <c r="AM37" t="s">
        <v>4831</v>
      </c>
      <c r="BA37" t="s">
        <v>1254</v>
      </c>
      <c r="BI37" t="s">
        <v>5209</v>
      </c>
      <c r="BJ37" s="42" t="s">
        <v>5414</v>
      </c>
      <c r="BO37" t="s">
        <v>976</v>
      </c>
      <c r="BP37" s="42" t="s">
        <v>3260</v>
      </c>
      <c r="CE37" t="s">
        <v>4831</v>
      </c>
    </row>
    <row r="38" spans="10:83">
      <c r="J38" t="s">
        <v>2620</v>
      </c>
      <c r="N38" t="s">
        <v>3160</v>
      </c>
      <c r="O38" s="42" t="s">
        <v>3199</v>
      </c>
      <c r="X38" t="s">
        <v>977</v>
      </c>
      <c r="Y38" s="42" t="s">
        <v>3261</v>
      </c>
      <c r="AF38" t="s">
        <v>3545</v>
      </c>
      <c r="AG38" s="42" t="s">
        <v>3856</v>
      </c>
      <c r="AL38" t="s">
        <v>4270</v>
      </c>
      <c r="AM38" t="s">
        <v>4832</v>
      </c>
      <c r="BA38" t="s">
        <v>1255</v>
      </c>
      <c r="BI38" t="s">
        <v>5210</v>
      </c>
      <c r="BJ38" s="42" t="s">
        <v>5415</v>
      </c>
      <c r="BO38" t="s">
        <v>977</v>
      </c>
      <c r="BP38" s="42" t="s">
        <v>3261</v>
      </c>
      <c r="CE38" t="s">
        <v>4832</v>
      </c>
    </row>
    <row r="39" spans="10:83">
      <c r="J39" t="s">
        <v>2621</v>
      </c>
      <c r="N39" t="s">
        <v>3161</v>
      </c>
      <c r="O39" s="42" t="s">
        <v>3200</v>
      </c>
      <c r="X39" t="s">
        <v>978</v>
      </c>
      <c r="Y39" s="42" t="s">
        <v>3262</v>
      </c>
      <c r="AF39" t="s">
        <v>3546</v>
      </c>
      <c r="AG39" s="42" t="s">
        <v>3857</v>
      </c>
      <c r="AL39" t="s">
        <v>4271</v>
      </c>
      <c r="AM39" t="s">
        <v>4833</v>
      </c>
      <c r="BA39" t="s">
        <v>1256</v>
      </c>
      <c r="BI39" t="s">
        <v>5211</v>
      </c>
      <c r="BJ39" s="42" t="s">
        <v>5416</v>
      </c>
      <c r="BO39" t="s">
        <v>978</v>
      </c>
      <c r="BP39" s="42" t="s">
        <v>3262</v>
      </c>
      <c r="CE39" t="s">
        <v>4833</v>
      </c>
    </row>
    <row r="40" spans="10:83">
      <c r="J40" t="s">
        <v>2622</v>
      </c>
      <c r="N40" t="s">
        <v>937</v>
      </c>
      <c r="O40" s="42"/>
      <c r="X40" t="s">
        <v>979</v>
      </c>
      <c r="Y40" s="42" t="s">
        <v>3263</v>
      </c>
      <c r="AF40" t="s">
        <v>3547</v>
      </c>
      <c r="AG40" s="42" t="s">
        <v>3858</v>
      </c>
      <c r="AL40" t="s">
        <v>4272</v>
      </c>
      <c r="AM40" t="s">
        <v>4834</v>
      </c>
      <c r="BA40" t="s">
        <v>1257</v>
      </c>
      <c r="BI40" t="s">
        <v>5212</v>
      </c>
      <c r="BJ40" s="42" t="s">
        <v>5417</v>
      </c>
      <c r="BO40" t="s">
        <v>979</v>
      </c>
      <c r="BP40" s="42" t="s">
        <v>3263</v>
      </c>
      <c r="CE40" t="s">
        <v>4834</v>
      </c>
    </row>
    <row r="41" spans="10:83">
      <c r="J41" t="s">
        <v>2623</v>
      </c>
      <c r="X41" t="s">
        <v>980</v>
      </c>
      <c r="Y41" s="42" t="s">
        <v>3264</v>
      </c>
      <c r="AF41" t="s">
        <v>3548</v>
      </c>
      <c r="AG41" s="42" t="s">
        <v>3859</v>
      </c>
      <c r="AL41" t="s">
        <v>4273</v>
      </c>
      <c r="AM41" t="s">
        <v>4835</v>
      </c>
      <c r="BA41" t="s">
        <v>1258</v>
      </c>
      <c r="BI41" t="s">
        <v>5213</v>
      </c>
      <c r="BJ41" s="42" t="s">
        <v>5418</v>
      </c>
      <c r="BO41" t="s">
        <v>980</v>
      </c>
      <c r="BP41" s="42" t="s">
        <v>3264</v>
      </c>
      <c r="CE41" t="s">
        <v>4835</v>
      </c>
    </row>
    <row r="42" spans="10:83">
      <c r="J42" t="s">
        <v>2624</v>
      </c>
      <c r="X42" t="s">
        <v>981</v>
      </c>
      <c r="Y42" s="42" t="s">
        <v>3265</v>
      </c>
      <c r="AF42" t="s">
        <v>3549</v>
      </c>
      <c r="AG42" s="42" t="s">
        <v>3860</v>
      </c>
      <c r="AL42" t="s">
        <v>4274</v>
      </c>
      <c r="AM42" t="s">
        <v>4836</v>
      </c>
      <c r="BA42" t="s">
        <v>1259</v>
      </c>
      <c r="BI42" t="s">
        <v>5214</v>
      </c>
      <c r="BJ42" s="42" t="s">
        <v>5419</v>
      </c>
      <c r="BO42" t="s">
        <v>981</v>
      </c>
      <c r="BP42" s="42" t="s">
        <v>3265</v>
      </c>
      <c r="CE42" t="s">
        <v>4836</v>
      </c>
    </row>
    <row r="43" spans="10:83">
      <c r="J43" t="s">
        <v>2625</v>
      </c>
      <c r="X43" t="s">
        <v>982</v>
      </c>
      <c r="Y43" s="42" t="s">
        <v>3266</v>
      </c>
      <c r="AF43" t="s">
        <v>3550</v>
      </c>
      <c r="AG43" s="42" t="s">
        <v>3861</v>
      </c>
      <c r="AL43" t="s">
        <v>4275</v>
      </c>
      <c r="AM43" t="s">
        <v>4837</v>
      </c>
      <c r="BA43" t="s">
        <v>1260</v>
      </c>
      <c r="BI43" t="s">
        <v>5215</v>
      </c>
      <c r="BJ43" s="42" t="s">
        <v>5420</v>
      </c>
      <c r="BO43" t="s">
        <v>982</v>
      </c>
      <c r="BP43" s="42" t="s">
        <v>3266</v>
      </c>
      <c r="CE43" t="s">
        <v>4837</v>
      </c>
    </row>
    <row r="44" spans="10:83">
      <c r="J44" t="s">
        <v>2626</v>
      </c>
      <c r="X44" t="s">
        <v>983</v>
      </c>
      <c r="Y44" s="42" t="s">
        <v>3267</v>
      </c>
      <c r="AF44" t="s">
        <v>3551</v>
      </c>
      <c r="AG44" s="42" t="s">
        <v>3862</v>
      </c>
      <c r="AL44" t="s">
        <v>4276</v>
      </c>
      <c r="AM44" t="s">
        <v>4838</v>
      </c>
      <c r="BA44" t="s">
        <v>1261</v>
      </c>
      <c r="BI44" t="s">
        <v>5216</v>
      </c>
      <c r="BJ44" s="42" t="s">
        <v>5421</v>
      </c>
      <c r="BO44" t="s">
        <v>983</v>
      </c>
      <c r="BP44" s="42" t="s">
        <v>3267</v>
      </c>
      <c r="CE44" t="s">
        <v>4838</v>
      </c>
    </row>
    <row r="45" spans="10:83">
      <c r="J45" t="s">
        <v>2627</v>
      </c>
      <c r="X45" t="s">
        <v>984</v>
      </c>
      <c r="Y45" s="42" t="s">
        <v>3268</v>
      </c>
      <c r="AF45" t="s">
        <v>3552</v>
      </c>
      <c r="AG45" s="42" t="s">
        <v>3863</v>
      </c>
      <c r="AL45" t="s">
        <v>4277</v>
      </c>
      <c r="AM45" t="s">
        <v>4839</v>
      </c>
      <c r="BA45" t="s">
        <v>1262</v>
      </c>
      <c r="BI45" t="s">
        <v>5217</v>
      </c>
      <c r="BJ45" s="42" t="s">
        <v>5422</v>
      </c>
      <c r="BO45" t="s">
        <v>984</v>
      </c>
      <c r="BP45" s="42" t="s">
        <v>3268</v>
      </c>
      <c r="CE45" t="s">
        <v>4839</v>
      </c>
    </row>
    <row r="46" spans="10:83">
      <c r="J46" t="s">
        <v>2628</v>
      </c>
      <c r="X46" t="s">
        <v>985</v>
      </c>
      <c r="Y46" s="42" t="s">
        <v>3269</v>
      </c>
      <c r="AF46" t="s">
        <v>3553</v>
      </c>
      <c r="AG46" s="42" t="s">
        <v>3864</v>
      </c>
      <c r="AL46" t="s">
        <v>4278</v>
      </c>
      <c r="AM46" t="s">
        <v>432</v>
      </c>
      <c r="BA46" t="s">
        <v>1263</v>
      </c>
      <c r="BI46" t="s">
        <v>5218</v>
      </c>
      <c r="BJ46" s="42" t="s">
        <v>5423</v>
      </c>
      <c r="BO46" t="s">
        <v>985</v>
      </c>
      <c r="BP46" s="42" t="s">
        <v>3269</v>
      </c>
      <c r="CE46" t="s">
        <v>432</v>
      </c>
    </row>
    <row r="47" spans="10:83">
      <c r="J47" t="s">
        <v>2629</v>
      </c>
      <c r="X47" t="s">
        <v>986</v>
      </c>
      <c r="Y47" s="42" t="s">
        <v>3270</v>
      </c>
      <c r="AF47" t="s">
        <v>3554</v>
      </c>
      <c r="AG47" s="42" t="s">
        <v>3865</v>
      </c>
      <c r="AL47" t="s">
        <v>4279</v>
      </c>
      <c r="AM47" t="s">
        <v>4840</v>
      </c>
      <c r="BA47" t="s">
        <v>1264</v>
      </c>
      <c r="BI47" t="s">
        <v>4981</v>
      </c>
      <c r="BJ47" s="42" t="s">
        <v>4999</v>
      </c>
      <c r="BO47" t="s">
        <v>986</v>
      </c>
      <c r="BP47" s="42" t="s">
        <v>3270</v>
      </c>
      <c r="CE47" t="s">
        <v>4840</v>
      </c>
    </row>
    <row r="48" spans="10:83">
      <c r="J48" t="s">
        <v>2630</v>
      </c>
      <c r="X48" t="s">
        <v>987</v>
      </c>
      <c r="Y48" s="42" t="s">
        <v>3271</v>
      </c>
      <c r="AF48" t="s">
        <v>3555</v>
      </c>
      <c r="AG48" s="42" t="s">
        <v>3866</v>
      </c>
      <c r="AL48" t="s">
        <v>4280</v>
      </c>
      <c r="AM48" t="s">
        <v>4841</v>
      </c>
      <c r="BA48" t="s">
        <v>1265</v>
      </c>
      <c r="BI48" t="s">
        <v>5219</v>
      </c>
      <c r="BJ48" s="42" t="s">
        <v>5424</v>
      </c>
      <c r="BO48" t="s">
        <v>987</v>
      </c>
      <c r="BP48" s="42" t="s">
        <v>3271</v>
      </c>
      <c r="CE48" t="s">
        <v>4841</v>
      </c>
    </row>
    <row r="49" spans="10:83">
      <c r="J49" t="s">
        <v>2631</v>
      </c>
      <c r="X49" t="s">
        <v>988</v>
      </c>
      <c r="Y49" s="42" t="s">
        <v>3272</v>
      </c>
      <c r="AF49" t="s">
        <v>3556</v>
      </c>
      <c r="AG49" s="42" t="s">
        <v>3867</v>
      </c>
      <c r="AL49" t="s">
        <v>4281</v>
      </c>
      <c r="AM49" t="s">
        <v>4842</v>
      </c>
      <c r="BA49" t="s">
        <v>1266</v>
      </c>
      <c r="BI49" t="s">
        <v>5220</v>
      </c>
      <c r="BJ49" s="42" t="s">
        <v>5425</v>
      </c>
      <c r="BO49" t="s">
        <v>988</v>
      </c>
      <c r="BP49" s="42" t="s">
        <v>3272</v>
      </c>
      <c r="CE49" t="s">
        <v>4842</v>
      </c>
    </row>
    <row r="50" spans="10:83">
      <c r="J50" t="s">
        <v>2632</v>
      </c>
      <c r="X50" t="s">
        <v>989</v>
      </c>
      <c r="Y50" s="42" t="s">
        <v>3273</v>
      </c>
      <c r="AF50" t="s">
        <v>3557</v>
      </c>
      <c r="AG50" s="42" t="s">
        <v>3868</v>
      </c>
      <c r="AL50" t="s">
        <v>4282</v>
      </c>
      <c r="AM50" t="s">
        <v>4843</v>
      </c>
      <c r="BA50" t="s">
        <v>1267</v>
      </c>
      <c r="BI50" t="s">
        <v>5221</v>
      </c>
      <c r="BJ50" s="42" t="s">
        <v>5426</v>
      </c>
      <c r="BO50" t="s">
        <v>989</v>
      </c>
      <c r="BP50" s="42" t="s">
        <v>3273</v>
      </c>
      <c r="CE50" t="s">
        <v>4843</v>
      </c>
    </row>
    <row r="51" spans="10:83">
      <c r="J51" t="s">
        <v>2633</v>
      </c>
      <c r="X51" t="s">
        <v>990</v>
      </c>
      <c r="Y51" s="42" t="s">
        <v>3274</v>
      </c>
      <c r="AF51" t="s">
        <v>3558</v>
      </c>
      <c r="AG51" s="42" t="s">
        <v>3869</v>
      </c>
      <c r="AL51" t="s">
        <v>4283</v>
      </c>
      <c r="AM51" t="s">
        <v>4844</v>
      </c>
      <c r="BA51" t="s">
        <v>1268</v>
      </c>
      <c r="BI51" t="s">
        <v>5222</v>
      </c>
      <c r="BJ51" s="42" t="s">
        <v>5427</v>
      </c>
      <c r="BO51" t="s">
        <v>990</v>
      </c>
      <c r="BP51" s="42" t="s">
        <v>3274</v>
      </c>
      <c r="CE51" t="s">
        <v>4844</v>
      </c>
    </row>
    <row r="52" spans="10:83">
      <c r="J52" t="s">
        <v>2634</v>
      </c>
      <c r="X52" t="s">
        <v>991</v>
      </c>
      <c r="Y52" s="42" t="s">
        <v>3275</v>
      </c>
      <c r="AF52" t="s">
        <v>3559</v>
      </c>
      <c r="AG52" s="42" t="s">
        <v>3870</v>
      </c>
      <c r="AL52" t="s">
        <v>4284</v>
      </c>
      <c r="AM52" t="s">
        <v>4845</v>
      </c>
      <c r="BA52" t="s">
        <v>1269</v>
      </c>
      <c r="BI52" t="s">
        <v>5223</v>
      </c>
      <c r="BJ52" s="42" t="s">
        <v>5428</v>
      </c>
      <c r="BO52" t="s">
        <v>991</v>
      </c>
      <c r="BP52" s="42" t="s">
        <v>3275</v>
      </c>
      <c r="CE52" t="s">
        <v>4845</v>
      </c>
    </row>
    <row r="53" spans="10:83">
      <c r="J53" t="s">
        <v>2635</v>
      </c>
      <c r="X53" t="s">
        <v>992</v>
      </c>
      <c r="Y53" s="42" t="s">
        <v>3276</v>
      </c>
      <c r="AF53" t="s">
        <v>3560</v>
      </c>
      <c r="AG53" s="42" t="s">
        <v>3871</v>
      </c>
      <c r="AL53" t="s">
        <v>4285</v>
      </c>
      <c r="AM53" t="s">
        <v>4846</v>
      </c>
      <c r="BA53" t="s">
        <v>1270</v>
      </c>
      <c r="BI53" t="s">
        <v>5224</v>
      </c>
      <c r="BJ53" s="42" t="s">
        <v>5429</v>
      </c>
      <c r="BO53" t="s">
        <v>992</v>
      </c>
      <c r="BP53" s="42" t="s">
        <v>3276</v>
      </c>
      <c r="CE53" t="s">
        <v>4846</v>
      </c>
    </row>
    <row r="54" spans="10:83">
      <c r="J54" t="s">
        <v>2636</v>
      </c>
      <c r="X54" t="s">
        <v>993</v>
      </c>
      <c r="Y54" s="42" t="s">
        <v>3277</v>
      </c>
      <c r="AF54" t="s">
        <v>3561</v>
      </c>
      <c r="AG54" s="42" t="s">
        <v>3872</v>
      </c>
      <c r="AL54" t="s">
        <v>4286</v>
      </c>
      <c r="AM54" t="s">
        <v>4847</v>
      </c>
      <c r="BA54" t="s">
        <v>1271</v>
      </c>
      <c r="BI54" t="s">
        <v>5225</v>
      </c>
      <c r="BJ54" s="42" t="s">
        <v>5430</v>
      </c>
      <c r="BO54" t="s">
        <v>993</v>
      </c>
      <c r="BP54" s="42" t="s">
        <v>3277</v>
      </c>
      <c r="CE54" t="s">
        <v>4847</v>
      </c>
    </row>
    <row r="55" spans="10:83">
      <c r="J55" t="s">
        <v>2637</v>
      </c>
      <c r="X55" t="s">
        <v>994</v>
      </c>
      <c r="Y55" s="42" t="s">
        <v>3278</v>
      </c>
      <c r="AF55" t="s">
        <v>3562</v>
      </c>
      <c r="AG55" s="42" t="s">
        <v>3873</v>
      </c>
      <c r="AL55" t="s">
        <v>4287</v>
      </c>
      <c r="AM55" t="s">
        <v>4848</v>
      </c>
      <c r="BA55" t="s">
        <v>1272</v>
      </c>
      <c r="BI55" t="s">
        <v>5226</v>
      </c>
      <c r="BJ55" s="42" t="s">
        <v>5431</v>
      </c>
      <c r="BO55" t="s">
        <v>994</v>
      </c>
      <c r="BP55" s="42" t="s">
        <v>3278</v>
      </c>
      <c r="CE55" t="s">
        <v>4848</v>
      </c>
    </row>
    <row r="56" spans="10:83">
      <c r="J56" t="s">
        <v>2638</v>
      </c>
      <c r="X56" t="s">
        <v>995</v>
      </c>
      <c r="Y56" s="42" t="s">
        <v>3279</v>
      </c>
      <c r="AF56" t="s">
        <v>3563</v>
      </c>
      <c r="AG56" s="42" t="s">
        <v>3874</v>
      </c>
      <c r="AL56" t="s">
        <v>4288</v>
      </c>
      <c r="AM56" t="s">
        <v>4849</v>
      </c>
      <c r="BA56" t="s">
        <v>1273</v>
      </c>
      <c r="BI56" t="s">
        <v>5227</v>
      </c>
      <c r="BJ56" s="42" t="s">
        <v>5432</v>
      </c>
      <c r="BO56" t="s">
        <v>995</v>
      </c>
      <c r="BP56" s="42" t="s">
        <v>3279</v>
      </c>
      <c r="CE56" t="s">
        <v>4849</v>
      </c>
    </row>
    <row r="57" spans="10:83">
      <c r="J57" t="s">
        <v>2639</v>
      </c>
      <c r="X57" t="s">
        <v>996</v>
      </c>
      <c r="Y57" s="42" t="s">
        <v>3280</v>
      </c>
      <c r="AF57" t="s">
        <v>3564</v>
      </c>
      <c r="AG57" s="42" t="s">
        <v>3875</v>
      </c>
      <c r="AL57" t="s">
        <v>4289</v>
      </c>
      <c r="AM57" t="s">
        <v>4850</v>
      </c>
      <c r="BA57" t="s">
        <v>1274</v>
      </c>
      <c r="BI57" t="s">
        <v>5228</v>
      </c>
      <c r="BJ57" s="42" t="s">
        <v>5433</v>
      </c>
      <c r="BO57" t="s">
        <v>996</v>
      </c>
      <c r="BP57" s="42" t="s">
        <v>3280</v>
      </c>
      <c r="CE57" t="s">
        <v>4850</v>
      </c>
    </row>
    <row r="58" spans="10:83">
      <c r="J58" t="s">
        <v>2640</v>
      </c>
      <c r="X58" t="s">
        <v>997</v>
      </c>
      <c r="Y58" s="42" t="s">
        <v>3281</v>
      </c>
      <c r="AF58" t="s">
        <v>3565</v>
      </c>
      <c r="AG58" s="42" t="s">
        <v>3876</v>
      </c>
      <c r="AL58" t="s">
        <v>4290</v>
      </c>
      <c r="AM58" t="s">
        <v>4851</v>
      </c>
      <c r="BA58" t="s">
        <v>1275</v>
      </c>
      <c r="BI58" t="s">
        <v>5229</v>
      </c>
      <c r="BJ58" s="42" t="s">
        <v>5434</v>
      </c>
      <c r="BO58" t="s">
        <v>997</v>
      </c>
      <c r="BP58" s="42" t="s">
        <v>3281</v>
      </c>
      <c r="CE58" t="s">
        <v>4851</v>
      </c>
    </row>
    <row r="59" spans="10:83">
      <c r="J59" t="s">
        <v>2641</v>
      </c>
      <c r="X59" t="s">
        <v>998</v>
      </c>
      <c r="Y59" s="42" t="s">
        <v>3282</v>
      </c>
      <c r="AF59" t="s">
        <v>3566</v>
      </c>
      <c r="AG59" s="42" t="s">
        <v>3877</v>
      </c>
      <c r="AL59" t="s">
        <v>4291</v>
      </c>
      <c r="AM59" t="s">
        <v>4852</v>
      </c>
      <c r="BA59" t="s">
        <v>1276</v>
      </c>
      <c r="BI59" t="s">
        <v>5230</v>
      </c>
      <c r="BJ59" s="42" t="s">
        <v>5435</v>
      </c>
      <c r="BO59" t="s">
        <v>998</v>
      </c>
      <c r="BP59" s="42" t="s">
        <v>3282</v>
      </c>
      <c r="CE59" t="s">
        <v>4852</v>
      </c>
    </row>
    <row r="60" spans="10:83">
      <c r="J60" t="s">
        <v>2642</v>
      </c>
      <c r="X60" t="s">
        <v>999</v>
      </c>
      <c r="Y60" s="42" t="s">
        <v>3283</v>
      </c>
      <c r="AF60" t="s">
        <v>3567</v>
      </c>
      <c r="AG60" s="42" t="s">
        <v>3878</v>
      </c>
      <c r="AL60" t="s">
        <v>4292</v>
      </c>
      <c r="AM60" t="s">
        <v>4853</v>
      </c>
      <c r="BA60" t="s">
        <v>1277</v>
      </c>
      <c r="BI60" t="s">
        <v>5231</v>
      </c>
      <c r="BJ60" s="42" t="s">
        <v>5436</v>
      </c>
      <c r="BO60" t="s">
        <v>999</v>
      </c>
      <c r="BP60" s="42" t="s">
        <v>3283</v>
      </c>
      <c r="CE60" t="s">
        <v>4853</v>
      </c>
    </row>
    <row r="61" spans="10:83">
      <c r="J61" t="s">
        <v>2643</v>
      </c>
      <c r="X61" t="s">
        <v>1000</v>
      </c>
      <c r="Y61" s="42" t="s">
        <v>3284</v>
      </c>
      <c r="AF61" t="s">
        <v>3568</v>
      </c>
      <c r="AG61" s="42" t="s">
        <v>3879</v>
      </c>
      <c r="AL61" t="s">
        <v>4293</v>
      </c>
      <c r="AM61" t="s">
        <v>4854</v>
      </c>
      <c r="BA61" t="s">
        <v>1278</v>
      </c>
      <c r="BI61" t="s">
        <v>5232</v>
      </c>
      <c r="BJ61" s="42" t="s">
        <v>5437</v>
      </c>
      <c r="BO61" t="s">
        <v>1000</v>
      </c>
      <c r="BP61" s="42" t="s">
        <v>3284</v>
      </c>
      <c r="CE61" t="s">
        <v>4854</v>
      </c>
    </row>
    <row r="62" spans="10:83">
      <c r="J62" t="s">
        <v>2644</v>
      </c>
      <c r="X62" t="s">
        <v>1001</v>
      </c>
      <c r="Y62" s="42" t="s">
        <v>3285</v>
      </c>
      <c r="AF62" t="s">
        <v>3569</v>
      </c>
      <c r="AG62" s="42" t="s">
        <v>3880</v>
      </c>
      <c r="AL62" t="s">
        <v>4294</v>
      </c>
      <c r="AM62" t="s">
        <v>4855</v>
      </c>
      <c r="BA62" t="s">
        <v>1279</v>
      </c>
      <c r="BI62" t="s">
        <v>5233</v>
      </c>
      <c r="BJ62" s="42" t="s">
        <v>5438</v>
      </c>
      <c r="BO62" t="s">
        <v>1001</v>
      </c>
      <c r="BP62" s="42" t="s">
        <v>3285</v>
      </c>
      <c r="CE62" t="s">
        <v>4855</v>
      </c>
    </row>
    <row r="63" spans="10:83">
      <c r="J63" t="s">
        <v>2645</v>
      </c>
      <c r="X63" t="s">
        <v>1002</v>
      </c>
      <c r="Y63" s="42" t="s">
        <v>3286</v>
      </c>
      <c r="AF63" t="s">
        <v>3570</v>
      </c>
      <c r="AG63" s="42" t="s">
        <v>3881</v>
      </c>
      <c r="AL63" t="s">
        <v>4295</v>
      </c>
      <c r="AM63" t="s">
        <v>4856</v>
      </c>
      <c r="BA63" t="s">
        <v>1280</v>
      </c>
      <c r="BI63" t="s">
        <v>5234</v>
      </c>
      <c r="BJ63" s="42" t="s">
        <v>5439</v>
      </c>
      <c r="BO63" t="s">
        <v>1002</v>
      </c>
      <c r="BP63" s="42" t="s">
        <v>3286</v>
      </c>
      <c r="CE63" t="s">
        <v>4856</v>
      </c>
    </row>
    <row r="64" spans="10:83">
      <c r="J64" t="s">
        <v>2646</v>
      </c>
      <c r="X64" t="s">
        <v>1003</v>
      </c>
      <c r="Y64" s="42" t="s">
        <v>3287</v>
      </c>
      <c r="AF64" t="s">
        <v>3571</v>
      </c>
      <c r="AG64" s="42" t="s">
        <v>3882</v>
      </c>
      <c r="AL64" t="s">
        <v>4296</v>
      </c>
      <c r="AM64" t="s">
        <v>4857</v>
      </c>
      <c r="BA64" t="s">
        <v>1281</v>
      </c>
      <c r="BI64" t="s">
        <v>5235</v>
      </c>
      <c r="BJ64" s="42" t="s">
        <v>5440</v>
      </c>
      <c r="BO64" t="s">
        <v>1003</v>
      </c>
      <c r="BP64" s="42" t="s">
        <v>3287</v>
      </c>
      <c r="CE64" t="s">
        <v>4857</v>
      </c>
    </row>
    <row r="65" spans="10:83">
      <c r="J65" t="s">
        <v>2647</v>
      </c>
      <c r="X65" t="s">
        <v>1004</v>
      </c>
      <c r="Y65" s="42" t="s">
        <v>3288</v>
      </c>
      <c r="AF65" t="s">
        <v>3572</v>
      </c>
      <c r="AG65" s="42" t="s">
        <v>3883</v>
      </c>
      <c r="AL65" t="s">
        <v>4297</v>
      </c>
      <c r="AM65" t="s">
        <v>4858</v>
      </c>
      <c r="BA65" t="s">
        <v>1282</v>
      </c>
      <c r="BI65" t="s">
        <v>5236</v>
      </c>
      <c r="BJ65" s="42" t="s">
        <v>5441</v>
      </c>
      <c r="BO65" t="s">
        <v>1004</v>
      </c>
      <c r="BP65" s="42" t="s">
        <v>3288</v>
      </c>
      <c r="CE65" t="s">
        <v>4858</v>
      </c>
    </row>
    <row r="66" spans="10:83">
      <c r="J66" t="s">
        <v>2648</v>
      </c>
      <c r="X66" t="s">
        <v>1005</v>
      </c>
      <c r="Y66" s="42" t="s">
        <v>3289</v>
      </c>
      <c r="AF66" t="s">
        <v>3573</v>
      </c>
      <c r="AG66" s="42" t="s">
        <v>3884</v>
      </c>
      <c r="AL66" t="s">
        <v>4298</v>
      </c>
      <c r="AM66" t="s">
        <v>4859</v>
      </c>
      <c r="BA66" t="s">
        <v>1283</v>
      </c>
      <c r="BI66" t="s">
        <v>5237</v>
      </c>
      <c r="BJ66" s="42" t="s">
        <v>5442</v>
      </c>
      <c r="BO66" t="s">
        <v>1005</v>
      </c>
      <c r="BP66" s="42" t="s">
        <v>3289</v>
      </c>
      <c r="CE66" t="s">
        <v>4859</v>
      </c>
    </row>
    <row r="67" spans="10:83">
      <c r="J67" t="s">
        <v>2649</v>
      </c>
      <c r="X67" t="s">
        <v>1006</v>
      </c>
      <c r="Y67" s="42" t="s">
        <v>3290</v>
      </c>
      <c r="AF67" t="s">
        <v>3574</v>
      </c>
      <c r="AG67" s="42" t="s">
        <v>3885</v>
      </c>
      <c r="AL67" t="s">
        <v>4299</v>
      </c>
      <c r="AM67" t="s">
        <v>4860</v>
      </c>
      <c r="BA67" t="s">
        <v>1284</v>
      </c>
      <c r="BI67" t="s">
        <v>5238</v>
      </c>
      <c r="BJ67" s="42" t="s">
        <v>5443</v>
      </c>
      <c r="BO67" t="s">
        <v>1006</v>
      </c>
      <c r="BP67" s="42" t="s">
        <v>3290</v>
      </c>
      <c r="CE67" t="s">
        <v>4860</v>
      </c>
    </row>
    <row r="68" spans="10:83">
      <c r="J68" t="s">
        <v>2650</v>
      </c>
      <c r="X68" t="s">
        <v>1007</v>
      </c>
      <c r="Y68" s="42" t="s">
        <v>3291</v>
      </c>
      <c r="AF68" t="s">
        <v>3575</v>
      </c>
      <c r="AG68" s="42" t="s">
        <v>3886</v>
      </c>
      <c r="AL68" t="s">
        <v>4300</v>
      </c>
      <c r="AM68" t="s">
        <v>4861</v>
      </c>
      <c r="BA68" t="s">
        <v>1285</v>
      </c>
      <c r="BI68" t="s">
        <v>5239</v>
      </c>
      <c r="BJ68" s="42" t="s">
        <v>5444</v>
      </c>
      <c r="BO68" t="s">
        <v>1007</v>
      </c>
      <c r="BP68" s="42" t="s">
        <v>3291</v>
      </c>
      <c r="CE68" t="s">
        <v>4861</v>
      </c>
    </row>
    <row r="69" spans="10:83">
      <c r="J69" t="s">
        <v>2651</v>
      </c>
      <c r="X69" t="s">
        <v>1008</v>
      </c>
      <c r="Y69" s="42" t="s">
        <v>3292</v>
      </c>
      <c r="AF69" t="s">
        <v>3576</v>
      </c>
      <c r="AG69" s="42" t="s">
        <v>3887</v>
      </c>
      <c r="AL69" t="s">
        <v>4301</v>
      </c>
      <c r="AM69" t="s">
        <v>4862</v>
      </c>
      <c r="BA69" t="s">
        <v>1286</v>
      </c>
      <c r="BI69" t="s">
        <v>5240</v>
      </c>
      <c r="BJ69" s="42" t="s">
        <v>5445</v>
      </c>
      <c r="BO69" t="s">
        <v>1008</v>
      </c>
      <c r="BP69" s="42" t="s">
        <v>3292</v>
      </c>
      <c r="CE69" t="s">
        <v>4862</v>
      </c>
    </row>
    <row r="70" spans="10:83">
      <c r="J70" t="s">
        <v>2652</v>
      </c>
      <c r="X70" t="s">
        <v>1009</v>
      </c>
      <c r="Y70" s="42" t="s">
        <v>3293</v>
      </c>
      <c r="AF70" t="s">
        <v>3577</v>
      </c>
      <c r="AG70" s="42" t="s">
        <v>3888</v>
      </c>
      <c r="AL70" t="s">
        <v>4302</v>
      </c>
      <c r="AM70" t="s">
        <v>4863</v>
      </c>
      <c r="BA70" t="s">
        <v>1287</v>
      </c>
      <c r="BI70" t="s">
        <v>5241</v>
      </c>
      <c r="BJ70" s="42" t="s">
        <v>5446</v>
      </c>
      <c r="BO70" t="s">
        <v>1009</v>
      </c>
      <c r="BP70" s="42" t="s">
        <v>3293</v>
      </c>
      <c r="CE70" t="s">
        <v>4863</v>
      </c>
    </row>
    <row r="71" spans="10:83">
      <c r="J71" t="s">
        <v>2653</v>
      </c>
      <c r="X71" t="s">
        <v>1010</v>
      </c>
      <c r="Y71" s="42" t="s">
        <v>3294</v>
      </c>
      <c r="AF71" t="s">
        <v>3578</v>
      </c>
      <c r="AG71" s="42" t="s">
        <v>3889</v>
      </c>
      <c r="AL71" t="s">
        <v>4303</v>
      </c>
      <c r="AM71" t="s">
        <v>4864</v>
      </c>
      <c r="BA71" t="s">
        <v>1288</v>
      </c>
      <c r="BI71" t="s">
        <v>5242</v>
      </c>
      <c r="BJ71" s="42" t="s">
        <v>5447</v>
      </c>
      <c r="BO71" t="s">
        <v>1010</v>
      </c>
      <c r="BP71" s="42" t="s">
        <v>3294</v>
      </c>
      <c r="CE71" t="s">
        <v>4864</v>
      </c>
    </row>
    <row r="72" spans="10:83">
      <c r="J72" t="s">
        <v>2654</v>
      </c>
      <c r="X72" t="s">
        <v>1011</v>
      </c>
      <c r="Y72" s="42" t="s">
        <v>3295</v>
      </c>
      <c r="AF72" t="s">
        <v>3579</v>
      </c>
      <c r="AG72" s="42" t="s">
        <v>3890</v>
      </c>
      <c r="AL72" t="s">
        <v>4304</v>
      </c>
      <c r="AM72" t="s">
        <v>4865</v>
      </c>
      <c r="BA72" t="s">
        <v>1289</v>
      </c>
      <c r="BI72" t="s">
        <v>5243</v>
      </c>
      <c r="BJ72" s="42" t="s">
        <v>5448</v>
      </c>
      <c r="BO72" t="s">
        <v>1011</v>
      </c>
      <c r="BP72" s="42" t="s">
        <v>3295</v>
      </c>
      <c r="CE72" t="s">
        <v>4865</v>
      </c>
    </row>
    <row r="73" spans="10:83">
      <c r="J73" t="s">
        <v>2655</v>
      </c>
      <c r="X73" t="s">
        <v>1012</v>
      </c>
      <c r="Y73" s="42" t="s">
        <v>3296</v>
      </c>
      <c r="AF73" t="s">
        <v>3580</v>
      </c>
      <c r="AG73" s="42" t="s">
        <v>3891</v>
      </c>
      <c r="AL73" t="s">
        <v>4305</v>
      </c>
      <c r="AM73" t="s">
        <v>4866</v>
      </c>
      <c r="BA73" t="s">
        <v>1290</v>
      </c>
      <c r="BI73" t="s">
        <v>5244</v>
      </c>
      <c r="BJ73" s="42" t="s">
        <v>5449</v>
      </c>
      <c r="BO73" t="s">
        <v>1012</v>
      </c>
      <c r="BP73" s="42" t="s">
        <v>3296</v>
      </c>
      <c r="CE73" t="s">
        <v>4866</v>
      </c>
    </row>
    <row r="74" spans="10:83">
      <c r="J74" t="s">
        <v>2656</v>
      </c>
      <c r="X74" t="s">
        <v>1013</v>
      </c>
      <c r="Y74" s="42" t="s">
        <v>3297</v>
      </c>
      <c r="AF74" t="s">
        <v>3581</v>
      </c>
      <c r="AG74" s="42" t="s">
        <v>3892</v>
      </c>
      <c r="AL74" t="s">
        <v>4306</v>
      </c>
      <c r="AM74" t="s">
        <v>4867</v>
      </c>
      <c r="BA74" t="s">
        <v>1291</v>
      </c>
      <c r="BI74" t="s">
        <v>5245</v>
      </c>
      <c r="BJ74" s="42" t="s">
        <v>5450</v>
      </c>
      <c r="BO74" t="s">
        <v>1013</v>
      </c>
      <c r="BP74" s="42" t="s">
        <v>3297</v>
      </c>
      <c r="CE74" t="s">
        <v>4867</v>
      </c>
    </row>
    <row r="75" spans="10:83">
      <c r="J75" t="s">
        <v>2657</v>
      </c>
      <c r="X75" t="s">
        <v>1014</v>
      </c>
      <c r="Y75" s="42" t="s">
        <v>3298</v>
      </c>
      <c r="AF75" t="s">
        <v>3582</v>
      </c>
      <c r="AG75" s="42" t="s">
        <v>3893</v>
      </c>
      <c r="AL75" t="s">
        <v>4307</v>
      </c>
      <c r="AM75" t="s">
        <v>4868</v>
      </c>
      <c r="BA75" t="s">
        <v>1292</v>
      </c>
      <c r="BI75" t="s">
        <v>5246</v>
      </c>
      <c r="BJ75" s="42" t="s">
        <v>5451</v>
      </c>
      <c r="BO75" t="s">
        <v>1014</v>
      </c>
      <c r="BP75" s="42" t="s">
        <v>3298</v>
      </c>
      <c r="CE75" t="s">
        <v>4868</v>
      </c>
    </row>
    <row r="76" spans="10:83">
      <c r="J76" t="s">
        <v>2658</v>
      </c>
      <c r="X76" t="s">
        <v>1015</v>
      </c>
      <c r="Y76" s="42" t="s">
        <v>3299</v>
      </c>
      <c r="AF76" t="s">
        <v>3583</v>
      </c>
      <c r="AG76" s="42" t="s">
        <v>3894</v>
      </c>
      <c r="AL76" t="s">
        <v>4308</v>
      </c>
      <c r="AM76" t="s">
        <v>4869</v>
      </c>
      <c r="BA76" t="s">
        <v>1293</v>
      </c>
      <c r="BI76" t="s">
        <v>5247</v>
      </c>
      <c r="BJ76" s="42" t="s">
        <v>5452</v>
      </c>
      <c r="BO76" t="s">
        <v>1015</v>
      </c>
      <c r="BP76" s="42" t="s">
        <v>3299</v>
      </c>
      <c r="CE76" t="s">
        <v>4869</v>
      </c>
    </row>
    <row r="77" spans="10:83">
      <c r="J77" t="s">
        <v>2659</v>
      </c>
      <c r="X77" t="s">
        <v>1016</v>
      </c>
      <c r="Y77" s="42" t="s">
        <v>3300</v>
      </c>
      <c r="AF77" t="s">
        <v>3584</v>
      </c>
      <c r="AG77" s="42" t="s">
        <v>3895</v>
      </c>
      <c r="AL77" t="s">
        <v>4309</v>
      </c>
      <c r="AM77" t="s">
        <v>4870</v>
      </c>
      <c r="BA77" t="s">
        <v>1294</v>
      </c>
      <c r="BI77" t="s">
        <v>5248</v>
      </c>
      <c r="BJ77" s="42" t="s">
        <v>5453</v>
      </c>
      <c r="BO77" t="s">
        <v>1016</v>
      </c>
      <c r="BP77" s="42" t="s">
        <v>3300</v>
      </c>
      <c r="CE77" t="s">
        <v>4870</v>
      </c>
    </row>
    <row r="78" spans="10:83">
      <c r="J78" t="s">
        <v>2660</v>
      </c>
      <c r="X78" t="s">
        <v>1017</v>
      </c>
      <c r="Y78" s="42" t="s">
        <v>3301</v>
      </c>
      <c r="AF78" t="s">
        <v>3585</v>
      </c>
      <c r="AG78" s="42" t="s">
        <v>3896</v>
      </c>
      <c r="AL78" t="s">
        <v>4310</v>
      </c>
      <c r="AM78" t="s">
        <v>4871</v>
      </c>
      <c r="BA78" t="s">
        <v>1295</v>
      </c>
      <c r="BI78" t="s">
        <v>5249</v>
      </c>
      <c r="BJ78" s="42" t="s">
        <v>5454</v>
      </c>
      <c r="BO78" t="s">
        <v>1017</v>
      </c>
      <c r="BP78" s="42" t="s">
        <v>3301</v>
      </c>
      <c r="CE78" t="s">
        <v>4871</v>
      </c>
    </row>
    <row r="79" spans="10:83">
      <c r="J79" t="s">
        <v>2661</v>
      </c>
      <c r="X79" t="s">
        <v>1018</v>
      </c>
      <c r="Y79" s="42" t="s">
        <v>3302</v>
      </c>
      <c r="AF79" t="s">
        <v>3586</v>
      </c>
      <c r="AG79" s="42" t="s">
        <v>3897</v>
      </c>
      <c r="AL79" t="s">
        <v>4311</v>
      </c>
      <c r="AM79" t="s">
        <v>4872</v>
      </c>
      <c r="BA79" t="s">
        <v>1296</v>
      </c>
      <c r="BI79" t="s">
        <v>5250</v>
      </c>
      <c r="BJ79" s="42" t="s">
        <v>5455</v>
      </c>
      <c r="BO79" t="s">
        <v>1018</v>
      </c>
      <c r="BP79" s="42" t="s">
        <v>3302</v>
      </c>
      <c r="CE79" t="s">
        <v>4872</v>
      </c>
    </row>
    <row r="80" spans="10:83">
      <c r="J80" t="s">
        <v>2662</v>
      </c>
      <c r="X80" t="s">
        <v>1019</v>
      </c>
      <c r="Y80" s="42" t="s">
        <v>3303</v>
      </c>
      <c r="AF80" t="s">
        <v>3587</v>
      </c>
      <c r="AG80" s="42" t="s">
        <v>3898</v>
      </c>
      <c r="AL80" t="s">
        <v>4312</v>
      </c>
      <c r="AM80" t="s">
        <v>4873</v>
      </c>
      <c r="BA80" t="s">
        <v>1297</v>
      </c>
      <c r="BI80" t="s">
        <v>5251</v>
      </c>
      <c r="BJ80" s="42" t="s">
        <v>5456</v>
      </c>
      <c r="BO80" t="s">
        <v>1019</v>
      </c>
      <c r="BP80" s="42" t="s">
        <v>3303</v>
      </c>
      <c r="CE80" t="s">
        <v>4873</v>
      </c>
    </row>
    <row r="81" spans="10:83">
      <c r="J81" t="s">
        <v>2663</v>
      </c>
      <c r="X81" t="s">
        <v>1020</v>
      </c>
      <c r="Y81" s="42" t="s">
        <v>3304</v>
      </c>
      <c r="AF81" t="s">
        <v>3588</v>
      </c>
      <c r="AG81" s="42" t="s">
        <v>3899</v>
      </c>
      <c r="AL81" t="s">
        <v>4313</v>
      </c>
      <c r="AM81" t="s">
        <v>4874</v>
      </c>
      <c r="BA81" t="s">
        <v>1298</v>
      </c>
      <c r="BI81" t="s">
        <v>5252</v>
      </c>
      <c r="BJ81" s="42" t="s">
        <v>5457</v>
      </c>
      <c r="BO81" t="s">
        <v>1020</v>
      </c>
      <c r="BP81" s="42" t="s">
        <v>3304</v>
      </c>
      <c r="CE81" t="s">
        <v>4874</v>
      </c>
    </row>
    <row r="82" spans="10:83">
      <c r="J82" t="s">
        <v>2664</v>
      </c>
      <c r="X82" t="s">
        <v>1021</v>
      </c>
      <c r="Y82" s="42" t="s">
        <v>3305</v>
      </c>
      <c r="AF82" t="s">
        <v>3589</v>
      </c>
      <c r="AG82" s="42" t="s">
        <v>3900</v>
      </c>
      <c r="AL82" t="s">
        <v>4314</v>
      </c>
      <c r="AM82" t="s">
        <v>4875</v>
      </c>
      <c r="BA82" t="s">
        <v>1299</v>
      </c>
      <c r="BI82" t="s">
        <v>5253</v>
      </c>
      <c r="BJ82" s="42" t="s">
        <v>5458</v>
      </c>
      <c r="BO82" t="s">
        <v>1021</v>
      </c>
      <c r="BP82" s="42" t="s">
        <v>3305</v>
      </c>
      <c r="CE82" t="s">
        <v>4875</v>
      </c>
    </row>
    <row r="83" spans="10:83">
      <c r="J83" t="s">
        <v>2665</v>
      </c>
      <c r="X83" t="s">
        <v>1022</v>
      </c>
      <c r="Y83" s="42" t="s">
        <v>3306</v>
      </c>
      <c r="AF83" t="s">
        <v>3590</v>
      </c>
      <c r="AG83" s="42" t="s">
        <v>3901</v>
      </c>
      <c r="AL83" t="s">
        <v>4315</v>
      </c>
      <c r="AM83" t="s">
        <v>4876</v>
      </c>
      <c r="BA83" t="s">
        <v>1300</v>
      </c>
      <c r="BI83" t="s">
        <v>5254</v>
      </c>
      <c r="BJ83" s="42" t="s">
        <v>5459</v>
      </c>
      <c r="BO83" t="s">
        <v>1022</v>
      </c>
      <c r="BP83" s="42" t="s">
        <v>3306</v>
      </c>
      <c r="CE83" t="s">
        <v>4876</v>
      </c>
    </row>
    <row r="84" spans="10:83">
      <c r="J84" t="s">
        <v>2666</v>
      </c>
      <c r="X84" t="s">
        <v>1023</v>
      </c>
      <c r="Y84" s="42" t="s">
        <v>3307</v>
      </c>
      <c r="AF84" t="s">
        <v>3591</v>
      </c>
      <c r="AG84" s="42" t="s">
        <v>3902</v>
      </c>
      <c r="AL84" t="s">
        <v>4316</v>
      </c>
      <c r="AM84" t="s">
        <v>4877</v>
      </c>
      <c r="BA84" t="s">
        <v>1301</v>
      </c>
      <c r="BI84" t="s">
        <v>5255</v>
      </c>
      <c r="BJ84" s="42" t="s">
        <v>5460</v>
      </c>
      <c r="BO84" t="s">
        <v>1023</v>
      </c>
      <c r="BP84" s="42" t="s">
        <v>3307</v>
      </c>
      <c r="CE84" t="s">
        <v>4877</v>
      </c>
    </row>
    <row r="85" spans="10:83">
      <c r="J85" t="s">
        <v>2667</v>
      </c>
      <c r="X85" t="s">
        <v>1024</v>
      </c>
      <c r="Y85" s="42" t="s">
        <v>3308</v>
      </c>
      <c r="AF85" t="s">
        <v>3592</v>
      </c>
      <c r="AG85" s="42" t="s">
        <v>3903</v>
      </c>
      <c r="AL85" t="s">
        <v>4317</v>
      </c>
      <c r="AM85" t="s">
        <v>4878</v>
      </c>
      <c r="BA85" t="s">
        <v>1302</v>
      </c>
      <c r="BI85" t="s">
        <v>5256</v>
      </c>
      <c r="BJ85" s="42" t="s">
        <v>5461</v>
      </c>
      <c r="BO85" t="s">
        <v>1024</v>
      </c>
      <c r="BP85" s="42" t="s">
        <v>3308</v>
      </c>
      <c r="CE85" t="s">
        <v>4878</v>
      </c>
    </row>
    <row r="86" spans="10:83">
      <c r="J86" t="s">
        <v>2668</v>
      </c>
      <c r="X86" t="s">
        <v>1025</v>
      </c>
      <c r="Y86" s="42" t="s">
        <v>3309</v>
      </c>
      <c r="AF86" t="s">
        <v>3593</v>
      </c>
      <c r="AG86" s="42" t="s">
        <v>3904</v>
      </c>
      <c r="AL86" t="s">
        <v>4318</v>
      </c>
      <c r="AM86" t="s">
        <v>4879</v>
      </c>
      <c r="BA86" t="s">
        <v>1303</v>
      </c>
      <c r="BI86" t="s">
        <v>5257</v>
      </c>
      <c r="BJ86" s="42" t="s">
        <v>5462</v>
      </c>
      <c r="BO86" t="s">
        <v>1025</v>
      </c>
      <c r="BP86" s="42" t="s">
        <v>3309</v>
      </c>
      <c r="CE86" t="s">
        <v>4879</v>
      </c>
    </row>
    <row r="87" spans="10:83">
      <c r="J87" t="s">
        <v>2669</v>
      </c>
      <c r="X87" t="s">
        <v>1026</v>
      </c>
      <c r="Y87" s="42" t="s">
        <v>3310</v>
      </c>
      <c r="AF87" t="s">
        <v>3594</v>
      </c>
      <c r="AG87" s="42" t="s">
        <v>3905</v>
      </c>
      <c r="AL87" t="s">
        <v>4319</v>
      </c>
      <c r="AM87" t="s">
        <v>4880</v>
      </c>
      <c r="BA87" t="s">
        <v>1304</v>
      </c>
      <c r="BI87" t="s">
        <v>5258</v>
      </c>
      <c r="BJ87" s="42" t="s">
        <v>5463</v>
      </c>
      <c r="BO87" t="s">
        <v>1026</v>
      </c>
      <c r="BP87" s="42" t="s">
        <v>3310</v>
      </c>
      <c r="CE87" t="s">
        <v>4880</v>
      </c>
    </row>
    <row r="88" spans="10:83">
      <c r="J88" t="s">
        <v>2670</v>
      </c>
      <c r="X88" t="s">
        <v>1027</v>
      </c>
      <c r="Y88" s="42" t="s">
        <v>3311</v>
      </c>
      <c r="AF88" t="s">
        <v>3595</v>
      </c>
      <c r="AG88" s="42" t="s">
        <v>3906</v>
      </c>
      <c r="AL88" t="s">
        <v>4320</v>
      </c>
      <c r="AM88" t="s">
        <v>4881</v>
      </c>
      <c r="BA88" t="s">
        <v>1305</v>
      </c>
      <c r="BI88" t="s">
        <v>5259</v>
      </c>
      <c r="BJ88" s="42" t="s">
        <v>5464</v>
      </c>
      <c r="BO88" t="s">
        <v>1027</v>
      </c>
      <c r="BP88" s="42" t="s">
        <v>3311</v>
      </c>
      <c r="CE88" t="s">
        <v>4881</v>
      </c>
    </row>
    <row r="89" spans="10:83">
      <c r="J89" t="s">
        <v>2671</v>
      </c>
      <c r="X89" t="s">
        <v>1028</v>
      </c>
      <c r="Y89" s="42" t="s">
        <v>3312</v>
      </c>
      <c r="AF89" t="s">
        <v>3596</v>
      </c>
      <c r="AG89" s="42" t="s">
        <v>3907</v>
      </c>
      <c r="AL89" t="s">
        <v>4321</v>
      </c>
      <c r="AM89" t="s">
        <v>4882</v>
      </c>
      <c r="BA89" t="s">
        <v>1306</v>
      </c>
      <c r="BI89" t="s">
        <v>5260</v>
      </c>
      <c r="BJ89" s="42" t="s">
        <v>5465</v>
      </c>
      <c r="BO89" t="s">
        <v>1028</v>
      </c>
      <c r="BP89" s="42" t="s">
        <v>3312</v>
      </c>
      <c r="CE89" t="s">
        <v>4882</v>
      </c>
    </row>
    <row r="90" spans="10:83">
      <c r="J90" t="s">
        <v>2672</v>
      </c>
      <c r="X90" t="s">
        <v>1029</v>
      </c>
      <c r="Y90" s="42" t="s">
        <v>3313</v>
      </c>
      <c r="AF90" t="s">
        <v>3597</v>
      </c>
      <c r="AG90" s="42" t="s">
        <v>3908</v>
      </c>
      <c r="AL90" t="s">
        <v>4322</v>
      </c>
      <c r="AM90" t="s">
        <v>4883</v>
      </c>
      <c r="BA90" t="s">
        <v>1307</v>
      </c>
      <c r="BI90" t="s">
        <v>5261</v>
      </c>
      <c r="BJ90" s="42" t="s">
        <v>5466</v>
      </c>
      <c r="BO90" t="s">
        <v>1029</v>
      </c>
      <c r="BP90" s="42" t="s">
        <v>3313</v>
      </c>
      <c r="CE90" t="s">
        <v>4883</v>
      </c>
    </row>
    <row r="91" spans="10:83">
      <c r="J91" t="s">
        <v>2673</v>
      </c>
      <c r="X91" t="s">
        <v>1030</v>
      </c>
      <c r="Y91" s="42" t="s">
        <v>3314</v>
      </c>
      <c r="AF91" t="s">
        <v>3598</v>
      </c>
      <c r="AG91" s="42" t="s">
        <v>3909</v>
      </c>
      <c r="AL91" t="s">
        <v>4323</v>
      </c>
      <c r="AM91" t="s">
        <v>4884</v>
      </c>
      <c r="BA91" t="s">
        <v>1308</v>
      </c>
      <c r="BI91" t="s">
        <v>5262</v>
      </c>
      <c r="BJ91" s="42" t="s">
        <v>5467</v>
      </c>
      <c r="BO91" t="s">
        <v>1030</v>
      </c>
      <c r="BP91" s="42" t="s">
        <v>3314</v>
      </c>
      <c r="CE91" t="s">
        <v>4884</v>
      </c>
    </row>
    <row r="92" spans="10:83">
      <c r="J92" t="s">
        <v>2674</v>
      </c>
      <c r="X92" t="s">
        <v>1031</v>
      </c>
      <c r="Y92" s="42" t="s">
        <v>3315</v>
      </c>
      <c r="AF92" t="s">
        <v>3599</v>
      </c>
      <c r="AG92" s="42" t="s">
        <v>3910</v>
      </c>
      <c r="AL92" t="s">
        <v>4324</v>
      </c>
      <c r="AM92" t="s">
        <v>4885</v>
      </c>
      <c r="BA92" t="s">
        <v>1309</v>
      </c>
      <c r="BI92" t="s">
        <v>5263</v>
      </c>
      <c r="BJ92" s="42" t="s">
        <v>5468</v>
      </c>
      <c r="BO92" t="s">
        <v>1031</v>
      </c>
      <c r="BP92" s="42" t="s">
        <v>3315</v>
      </c>
      <c r="CE92" t="s">
        <v>4885</v>
      </c>
    </row>
    <row r="93" spans="10:83">
      <c r="J93" t="s">
        <v>2675</v>
      </c>
      <c r="X93" t="s">
        <v>1032</v>
      </c>
      <c r="Y93" s="42" t="s">
        <v>3316</v>
      </c>
      <c r="AF93" t="s">
        <v>3600</v>
      </c>
      <c r="AG93" s="42" t="s">
        <v>3911</v>
      </c>
      <c r="AL93" t="s">
        <v>4325</v>
      </c>
      <c r="AM93" t="s">
        <v>4886</v>
      </c>
      <c r="BA93" t="s">
        <v>1310</v>
      </c>
      <c r="BI93" t="s">
        <v>5264</v>
      </c>
      <c r="BJ93" s="42" t="s">
        <v>5469</v>
      </c>
      <c r="BO93" t="s">
        <v>1032</v>
      </c>
      <c r="BP93" s="42" t="s">
        <v>3316</v>
      </c>
      <c r="CE93" t="s">
        <v>4886</v>
      </c>
    </row>
    <row r="94" spans="10:83">
      <c r="J94" t="s">
        <v>2676</v>
      </c>
      <c r="X94" t="s">
        <v>1033</v>
      </c>
      <c r="Y94" s="42" t="s">
        <v>3317</v>
      </c>
      <c r="AF94" t="s">
        <v>3601</v>
      </c>
      <c r="AG94" s="42" t="s">
        <v>3912</v>
      </c>
      <c r="AL94" t="s">
        <v>4326</v>
      </c>
      <c r="AM94" t="s">
        <v>4887</v>
      </c>
      <c r="BA94" t="s">
        <v>1311</v>
      </c>
      <c r="BI94" t="s">
        <v>5265</v>
      </c>
      <c r="BJ94" s="42" t="s">
        <v>5470</v>
      </c>
      <c r="BO94" t="s">
        <v>1033</v>
      </c>
      <c r="BP94" s="42" t="s">
        <v>3317</v>
      </c>
      <c r="CE94" t="s">
        <v>4887</v>
      </c>
    </row>
    <row r="95" spans="10:83">
      <c r="J95" t="s">
        <v>2677</v>
      </c>
      <c r="X95" t="s">
        <v>1034</v>
      </c>
      <c r="Y95" s="42" t="s">
        <v>3318</v>
      </c>
      <c r="AF95" t="s">
        <v>3602</v>
      </c>
      <c r="AG95" s="42" t="s">
        <v>3913</v>
      </c>
      <c r="AL95" t="s">
        <v>4327</v>
      </c>
      <c r="AM95" t="s">
        <v>4888</v>
      </c>
      <c r="BA95" t="s">
        <v>1312</v>
      </c>
      <c r="BI95" t="s">
        <v>5266</v>
      </c>
      <c r="BJ95" s="42" t="s">
        <v>5471</v>
      </c>
      <c r="BO95" t="s">
        <v>1034</v>
      </c>
      <c r="BP95" s="42" t="s">
        <v>3318</v>
      </c>
      <c r="CE95" t="s">
        <v>4888</v>
      </c>
    </row>
    <row r="96" spans="10:83">
      <c r="J96" t="s">
        <v>2678</v>
      </c>
      <c r="X96" t="s">
        <v>1035</v>
      </c>
      <c r="Y96" s="42" t="s">
        <v>3319</v>
      </c>
      <c r="AF96" t="s">
        <v>3603</v>
      </c>
      <c r="AG96" s="42" t="s">
        <v>3914</v>
      </c>
      <c r="AL96" t="s">
        <v>4328</v>
      </c>
      <c r="AM96" t="s">
        <v>4889</v>
      </c>
      <c r="BA96" t="s">
        <v>1313</v>
      </c>
      <c r="BI96" t="s">
        <v>3139</v>
      </c>
      <c r="BJ96" s="42" t="s">
        <v>5472</v>
      </c>
      <c r="BO96" t="s">
        <v>1035</v>
      </c>
      <c r="BP96" s="42" t="s">
        <v>3319</v>
      </c>
      <c r="CE96" t="s">
        <v>4889</v>
      </c>
    </row>
    <row r="97" spans="10:83">
      <c r="J97" t="s">
        <v>2679</v>
      </c>
      <c r="X97" t="s">
        <v>1036</v>
      </c>
      <c r="Y97" s="42" t="s">
        <v>3320</v>
      </c>
      <c r="AF97" t="s">
        <v>3604</v>
      </c>
      <c r="AG97" s="42" t="s">
        <v>3915</v>
      </c>
      <c r="AL97" t="s">
        <v>4329</v>
      </c>
      <c r="AM97" t="s">
        <v>4890</v>
      </c>
      <c r="BA97" t="s">
        <v>1314</v>
      </c>
      <c r="BI97" t="s">
        <v>5267</v>
      </c>
      <c r="BJ97" s="42" t="s">
        <v>5473</v>
      </c>
      <c r="BO97" t="s">
        <v>1036</v>
      </c>
      <c r="BP97" s="42" t="s">
        <v>3320</v>
      </c>
      <c r="CE97" t="s">
        <v>4890</v>
      </c>
    </row>
    <row r="98" spans="10:83">
      <c r="J98" t="s">
        <v>2680</v>
      </c>
      <c r="X98" t="s">
        <v>1037</v>
      </c>
      <c r="Y98" s="42" t="s">
        <v>3321</v>
      </c>
      <c r="AF98" t="s">
        <v>3605</v>
      </c>
      <c r="AG98" s="42" t="s">
        <v>3916</v>
      </c>
      <c r="AL98" t="s">
        <v>4330</v>
      </c>
      <c r="AM98" t="s">
        <v>4891</v>
      </c>
      <c r="BA98" t="s">
        <v>1315</v>
      </c>
      <c r="BI98" t="s">
        <v>5268</v>
      </c>
      <c r="BJ98" s="42" t="s">
        <v>5474</v>
      </c>
      <c r="BO98" t="s">
        <v>1037</v>
      </c>
      <c r="BP98" s="42" t="s">
        <v>3321</v>
      </c>
      <c r="CE98" t="s">
        <v>4891</v>
      </c>
    </row>
    <row r="99" spans="10:83">
      <c r="J99" t="s">
        <v>2681</v>
      </c>
      <c r="X99" t="s">
        <v>1038</v>
      </c>
      <c r="Y99" s="42" t="s">
        <v>3322</v>
      </c>
      <c r="AF99" t="s">
        <v>3606</v>
      </c>
      <c r="AG99" s="42" t="s">
        <v>3917</v>
      </c>
      <c r="AL99" t="s">
        <v>4331</v>
      </c>
      <c r="AM99" t="s">
        <v>4892</v>
      </c>
      <c r="BA99" t="s">
        <v>1316</v>
      </c>
      <c r="BI99" t="s">
        <v>5269</v>
      </c>
      <c r="BJ99" s="42" t="s">
        <v>5475</v>
      </c>
      <c r="BO99" t="s">
        <v>1038</v>
      </c>
      <c r="BP99" s="42" t="s">
        <v>3322</v>
      </c>
      <c r="CE99" t="s">
        <v>4892</v>
      </c>
    </row>
    <row r="100" spans="10:83">
      <c r="J100" t="s">
        <v>2682</v>
      </c>
      <c r="X100" t="s">
        <v>1039</v>
      </c>
      <c r="Y100" s="42" t="s">
        <v>3323</v>
      </c>
      <c r="AF100" t="s">
        <v>3607</v>
      </c>
      <c r="AG100" s="42" t="s">
        <v>3918</v>
      </c>
      <c r="AL100" t="s">
        <v>4332</v>
      </c>
      <c r="AM100" t="s">
        <v>4893</v>
      </c>
      <c r="BA100" t="s">
        <v>1317</v>
      </c>
      <c r="BI100" t="s">
        <v>5270</v>
      </c>
      <c r="BJ100" s="42" t="s">
        <v>5476</v>
      </c>
      <c r="BO100" t="s">
        <v>1039</v>
      </c>
      <c r="BP100" s="42" t="s">
        <v>3323</v>
      </c>
      <c r="CE100" t="s">
        <v>4893</v>
      </c>
    </row>
    <row r="101" spans="10:83">
      <c r="J101" t="s">
        <v>2683</v>
      </c>
      <c r="X101" t="s">
        <v>1040</v>
      </c>
      <c r="Y101" s="42" t="s">
        <v>3324</v>
      </c>
      <c r="AF101" t="s">
        <v>3608</v>
      </c>
      <c r="AG101" s="42" t="s">
        <v>3919</v>
      </c>
      <c r="AL101" t="s">
        <v>4333</v>
      </c>
      <c r="AM101" t="s">
        <v>4894</v>
      </c>
      <c r="BA101" t="s">
        <v>1318</v>
      </c>
      <c r="BI101" t="s">
        <v>5271</v>
      </c>
      <c r="BJ101" s="42" t="s">
        <v>5477</v>
      </c>
      <c r="BO101" t="s">
        <v>1040</v>
      </c>
      <c r="BP101" s="42" t="s">
        <v>3324</v>
      </c>
      <c r="CE101" t="s">
        <v>4894</v>
      </c>
    </row>
    <row r="102" spans="10:83">
      <c r="J102" t="s">
        <v>2684</v>
      </c>
      <c r="X102" t="s">
        <v>1041</v>
      </c>
      <c r="Y102" s="42" t="s">
        <v>3325</v>
      </c>
      <c r="AF102" t="s">
        <v>3609</v>
      </c>
      <c r="AG102" s="42" t="s">
        <v>3920</v>
      </c>
      <c r="AL102" t="s">
        <v>4334</v>
      </c>
      <c r="AM102" t="s">
        <v>4895</v>
      </c>
      <c r="BA102" t="s">
        <v>1319</v>
      </c>
      <c r="BI102" t="s">
        <v>5272</v>
      </c>
      <c r="BJ102" s="42" t="s">
        <v>5478</v>
      </c>
      <c r="BO102" t="s">
        <v>1041</v>
      </c>
      <c r="BP102" s="42" t="s">
        <v>3325</v>
      </c>
      <c r="CE102" t="s">
        <v>4895</v>
      </c>
    </row>
    <row r="103" spans="10:83">
      <c r="J103" t="s">
        <v>2685</v>
      </c>
      <c r="X103" t="s">
        <v>1042</v>
      </c>
      <c r="Y103" s="42" t="s">
        <v>3326</v>
      </c>
      <c r="AF103" t="s">
        <v>3610</v>
      </c>
      <c r="AG103" s="42" t="s">
        <v>3921</v>
      </c>
      <c r="AL103" t="s">
        <v>4335</v>
      </c>
      <c r="AM103" t="s">
        <v>4896</v>
      </c>
      <c r="BA103" t="s">
        <v>1320</v>
      </c>
      <c r="BI103" t="s">
        <v>5273</v>
      </c>
      <c r="BJ103" s="42" t="s">
        <v>5479</v>
      </c>
      <c r="BO103" t="s">
        <v>1042</v>
      </c>
      <c r="BP103" s="42" t="s">
        <v>3326</v>
      </c>
      <c r="CE103" t="s">
        <v>4896</v>
      </c>
    </row>
    <row r="104" spans="10:83">
      <c r="J104" t="s">
        <v>2686</v>
      </c>
      <c r="X104" t="s">
        <v>1043</v>
      </c>
      <c r="Y104" s="42" t="s">
        <v>3327</v>
      </c>
      <c r="AF104" t="s">
        <v>3611</v>
      </c>
      <c r="AG104" s="42" t="s">
        <v>3922</v>
      </c>
      <c r="AL104" t="s">
        <v>4336</v>
      </c>
      <c r="AM104" t="s">
        <v>4897</v>
      </c>
      <c r="BA104" t="s">
        <v>1321</v>
      </c>
      <c r="BI104" t="s">
        <v>5274</v>
      </c>
      <c r="BJ104" s="42" t="s">
        <v>5480</v>
      </c>
      <c r="BO104" t="s">
        <v>1043</v>
      </c>
      <c r="BP104" s="42" t="s">
        <v>3327</v>
      </c>
      <c r="CE104" t="s">
        <v>4897</v>
      </c>
    </row>
    <row r="105" spans="10:83">
      <c r="J105" t="s">
        <v>2687</v>
      </c>
      <c r="X105" t="s">
        <v>1044</v>
      </c>
      <c r="Y105" s="42" t="s">
        <v>3328</v>
      </c>
      <c r="AF105" t="s">
        <v>3612</v>
      </c>
      <c r="AG105" s="42" t="s">
        <v>3923</v>
      </c>
      <c r="AL105" t="s">
        <v>4337</v>
      </c>
      <c r="AM105" t="s">
        <v>4898</v>
      </c>
      <c r="BA105" t="s">
        <v>1322</v>
      </c>
      <c r="BI105" t="s">
        <v>5275</v>
      </c>
      <c r="BJ105" s="42" t="s">
        <v>5481</v>
      </c>
      <c r="BO105" t="s">
        <v>1044</v>
      </c>
      <c r="BP105" s="42" t="s">
        <v>3328</v>
      </c>
      <c r="CE105" t="s">
        <v>4898</v>
      </c>
    </row>
    <row r="106" spans="10:83">
      <c r="J106" t="s">
        <v>2688</v>
      </c>
      <c r="X106" t="s">
        <v>1045</v>
      </c>
      <c r="Y106" s="42" t="s">
        <v>3329</v>
      </c>
      <c r="AF106" t="s">
        <v>3613</v>
      </c>
      <c r="AG106" s="42" t="s">
        <v>3924</v>
      </c>
      <c r="AL106" t="s">
        <v>4338</v>
      </c>
      <c r="AM106" t="s">
        <v>4899</v>
      </c>
      <c r="BA106" t="s">
        <v>1323</v>
      </c>
      <c r="BI106" t="s">
        <v>5276</v>
      </c>
      <c r="BJ106" s="42" t="s">
        <v>5482</v>
      </c>
      <c r="BO106" t="s">
        <v>1045</v>
      </c>
      <c r="BP106" s="42" t="s">
        <v>3329</v>
      </c>
      <c r="CE106" t="s">
        <v>4899</v>
      </c>
    </row>
    <row r="107" spans="10:83">
      <c r="J107" t="s">
        <v>2689</v>
      </c>
      <c r="X107" t="s">
        <v>1046</v>
      </c>
      <c r="Y107" s="42" t="s">
        <v>3330</v>
      </c>
      <c r="AF107" t="s">
        <v>3614</v>
      </c>
      <c r="AG107" s="42" t="s">
        <v>3925</v>
      </c>
      <c r="AL107" t="s">
        <v>4339</v>
      </c>
      <c r="AM107" t="s">
        <v>4900</v>
      </c>
      <c r="BA107" t="s">
        <v>1324</v>
      </c>
      <c r="BI107" t="s">
        <v>5277</v>
      </c>
      <c r="BJ107" s="42" t="s">
        <v>5483</v>
      </c>
      <c r="BO107" t="s">
        <v>1046</v>
      </c>
      <c r="BP107" s="42" t="s">
        <v>3330</v>
      </c>
      <c r="CE107" t="s">
        <v>4900</v>
      </c>
    </row>
    <row r="108" spans="10:83">
      <c r="J108" t="s">
        <v>2690</v>
      </c>
      <c r="X108" t="s">
        <v>1047</v>
      </c>
      <c r="Y108" s="42" t="s">
        <v>3331</v>
      </c>
      <c r="AF108" t="s">
        <v>3615</v>
      </c>
      <c r="AG108" s="42" t="s">
        <v>3926</v>
      </c>
      <c r="AL108" t="s">
        <v>4340</v>
      </c>
      <c r="AM108" t="s">
        <v>4901</v>
      </c>
      <c r="BA108" t="s">
        <v>1325</v>
      </c>
      <c r="BI108" t="s">
        <v>5278</v>
      </c>
      <c r="BJ108" s="42" t="s">
        <v>5484</v>
      </c>
      <c r="BO108" t="s">
        <v>1047</v>
      </c>
      <c r="BP108" s="42" t="s">
        <v>3331</v>
      </c>
      <c r="CE108" t="s">
        <v>4901</v>
      </c>
    </row>
    <row r="109" spans="10:83">
      <c r="J109" t="s">
        <v>2691</v>
      </c>
      <c r="X109" t="s">
        <v>1048</v>
      </c>
      <c r="Y109" s="42" t="s">
        <v>3332</v>
      </c>
      <c r="AF109" t="s">
        <v>3616</v>
      </c>
      <c r="AG109" s="42" t="s">
        <v>3927</v>
      </c>
      <c r="AL109" t="s">
        <v>4341</v>
      </c>
      <c r="AM109" t="s">
        <v>4902</v>
      </c>
      <c r="BA109" t="s">
        <v>1326</v>
      </c>
      <c r="BI109" t="s">
        <v>5279</v>
      </c>
      <c r="BJ109" s="42" t="s">
        <v>5485</v>
      </c>
      <c r="BO109" t="s">
        <v>1048</v>
      </c>
      <c r="BP109" s="42" t="s">
        <v>3332</v>
      </c>
      <c r="CE109" t="s">
        <v>4902</v>
      </c>
    </row>
    <row r="110" spans="10:83">
      <c r="J110" t="s">
        <v>2692</v>
      </c>
      <c r="X110" t="s">
        <v>1049</v>
      </c>
      <c r="Y110" s="42" t="s">
        <v>3333</v>
      </c>
      <c r="AF110" t="s">
        <v>3617</v>
      </c>
      <c r="AG110" s="42" t="s">
        <v>3928</v>
      </c>
      <c r="AL110" t="s">
        <v>4342</v>
      </c>
      <c r="AM110" t="s">
        <v>4903</v>
      </c>
      <c r="BA110" t="s">
        <v>1327</v>
      </c>
      <c r="BI110" t="s">
        <v>5280</v>
      </c>
      <c r="BJ110" s="42" t="s">
        <v>5486</v>
      </c>
      <c r="BO110" t="s">
        <v>1049</v>
      </c>
      <c r="BP110" s="42" t="s">
        <v>3333</v>
      </c>
      <c r="CE110" t="s">
        <v>4903</v>
      </c>
    </row>
    <row r="111" spans="10:83">
      <c r="J111" t="s">
        <v>2693</v>
      </c>
      <c r="X111" t="s">
        <v>1050</v>
      </c>
      <c r="Y111" s="42" t="s">
        <v>3334</v>
      </c>
      <c r="AF111" t="s">
        <v>3618</v>
      </c>
      <c r="AG111" s="42" t="s">
        <v>3929</v>
      </c>
      <c r="AL111" t="s">
        <v>4343</v>
      </c>
      <c r="AM111" t="s">
        <v>4904</v>
      </c>
      <c r="BA111" t="s">
        <v>1328</v>
      </c>
      <c r="BI111" t="s">
        <v>5281</v>
      </c>
      <c r="BJ111" s="42" t="s">
        <v>5487</v>
      </c>
      <c r="BO111" t="s">
        <v>1050</v>
      </c>
      <c r="BP111" s="42" t="s">
        <v>3334</v>
      </c>
      <c r="CE111" t="s">
        <v>4904</v>
      </c>
    </row>
    <row r="112" spans="10:83">
      <c r="J112" t="s">
        <v>2694</v>
      </c>
      <c r="X112" t="s">
        <v>1051</v>
      </c>
      <c r="Y112" s="42" t="s">
        <v>3335</v>
      </c>
      <c r="AF112" t="s">
        <v>3619</v>
      </c>
      <c r="AG112" s="42" t="s">
        <v>3930</v>
      </c>
      <c r="AL112" t="s">
        <v>4344</v>
      </c>
      <c r="AM112" t="s">
        <v>4905</v>
      </c>
      <c r="BA112" t="s">
        <v>1329</v>
      </c>
      <c r="BI112" t="s">
        <v>5282</v>
      </c>
      <c r="BJ112" s="42" t="s">
        <v>5488</v>
      </c>
      <c r="BO112" t="s">
        <v>1051</v>
      </c>
      <c r="BP112" s="42" t="s">
        <v>3335</v>
      </c>
      <c r="CE112" t="s">
        <v>4905</v>
      </c>
    </row>
    <row r="113" spans="10:83">
      <c r="J113" t="s">
        <v>2695</v>
      </c>
      <c r="X113" t="s">
        <v>1052</v>
      </c>
      <c r="Y113" s="42" t="s">
        <v>3336</v>
      </c>
      <c r="AF113" t="s">
        <v>3620</v>
      </c>
      <c r="AG113" s="42" t="s">
        <v>3931</v>
      </c>
      <c r="AL113" t="s">
        <v>4345</v>
      </c>
      <c r="AM113" t="s">
        <v>4906</v>
      </c>
      <c r="BA113" t="s">
        <v>1330</v>
      </c>
      <c r="BI113" t="s">
        <v>5283</v>
      </c>
      <c r="BJ113" s="42" t="s">
        <v>5489</v>
      </c>
      <c r="BO113" t="s">
        <v>1052</v>
      </c>
      <c r="BP113" s="42" t="s">
        <v>3336</v>
      </c>
      <c r="CE113" t="s">
        <v>4906</v>
      </c>
    </row>
    <row r="114" spans="10:83">
      <c r="J114" t="s">
        <v>2696</v>
      </c>
      <c r="X114" t="s">
        <v>1053</v>
      </c>
      <c r="Y114" s="42" t="s">
        <v>3337</v>
      </c>
      <c r="AF114" t="s">
        <v>3621</v>
      </c>
      <c r="AG114" s="42" t="s">
        <v>3932</v>
      </c>
      <c r="AL114" t="s">
        <v>4346</v>
      </c>
      <c r="AM114" t="s">
        <v>4907</v>
      </c>
      <c r="BA114" t="s">
        <v>1331</v>
      </c>
      <c r="BI114" t="s">
        <v>5284</v>
      </c>
      <c r="BJ114" s="42" t="s">
        <v>5490</v>
      </c>
      <c r="BO114" t="s">
        <v>1053</v>
      </c>
      <c r="BP114" s="42" t="s">
        <v>3337</v>
      </c>
      <c r="CE114" t="s">
        <v>4907</v>
      </c>
    </row>
    <row r="115" spans="10:83">
      <c r="J115" t="s">
        <v>2697</v>
      </c>
      <c r="X115" t="s">
        <v>1054</v>
      </c>
      <c r="Y115" s="42" t="s">
        <v>3338</v>
      </c>
      <c r="AF115" t="s">
        <v>3622</v>
      </c>
      <c r="AG115" s="42" t="s">
        <v>3933</v>
      </c>
      <c r="AL115" t="s">
        <v>4347</v>
      </c>
      <c r="AM115" t="s">
        <v>4908</v>
      </c>
      <c r="BA115" t="s">
        <v>1332</v>
      </c>
      <c r="BI115" t="s">
        <v>5285</v>
      </c>
      <c r="BJ115" s="42" t="s">
        <v>5491</v>
      </c>
      <c r="BO115" t="s">
        <v>1054</v>
      </c>
      <c r="BP115" s="42" t="s">
        <v>3338</v>
      </c>
      <c r="CE115" t="s">
        <v>4908</v>
      </c>
    </row>
    <row r="116" spans="10:83">
      <c r="J116" t="s">
        <v>2698</v>
      </c>
      <c r="X116" t="s">
        <v>1055</v>
      </c>
      <c r="Y116" s="42" t="s">
        <v>3339</v>
      </c>
      <c r="AF116" t="s">
        <v>3623</v>
      </c>
      <c r="AG116" s="42" t="s">
        <v>3934</v>
      </c>
      <c r="AL116" t="s">
        <v>4348</v>
      </c>
      <c r="AM116" t="s">
        <v>4909</v>
      </c>
      <c r="BA116" t="s">
        <v>1333</v>
      </c>
      <c r="BI116" t="s">
        <v>5286</v>
      </c>
      <c r="BJ116" s="42" t="s">
        <v>5492</v>
      </c>
      <c r="BO116" t="s">
        <v>1055</v>
      </c>
      <c r="BP116" s="42" t="s">
        <v>3339</v>
      </c>
      <c r="CE116" t="s">
        <v>4909</v>
      </c>
    </row>
    <row r="117" spans="10:83">
      <c r="J117" t="s">
        <v>2699</v>
      </c>
      <c r="X117" t="s">
        <v>1056</v>
      </c>
      <c r="Y117" s="42" t="s">
        <v>3340</v>
      </c>
      <c r="AF117" t="s">
        <v>3624</v>
      </c>
      <c r="AG117" s="42" t="s">
        <v>3935</v>
      </c>
      <c r="AL117" t="s">
        <v>4349</v>
      </c>
      <c r="AM117" t="s">
        <v>4910</v>
      </c>
      <c r="BA117" t="s">
        <v>1334</v>
      </c>
      <c r="BI117" t="s">
        <v>5287</v>
      </c>
      <c r="BJ117" s="42" t="s">
        <v>5493</v>
      </c>
      <c r="BO117" t="s">
        <v>1056</v>
      </c>
      <c r="BP117" s="42" t="s">
        <v>3340</v>
      </c>
      <c r="CE117" t="s">
        <v>4910</v>
      </c>
    </row>
    <row r="118" spans="10:83">
      <c r="J118" t="s">
        <v>2700</v>
      </c>
      <c r="X118" t="s">
        <v>1057</v>
      </c>
      <c r="Y118" s="42" t="s">
        <v>3341</v>
      </c>
      <c r="AF118" t="s">
        <v>3625</v>
      </c>
      <c r="AG118" s="42" t="s">
        <v>3936</v>
      </c>
      <c r="AL118" t="s">
        <v>4350</v>
      </c>
      <c r="AM118" t="s">
        <v>4911</v>
      </c>
      <c r="BA118" t="s">
        <v>1335</v>
      </c>
      <c r="BI118" t="s">
        <v>5288</v>
      </c>
      <c r="BJ118" s="42" t="s">
        <v>5494</v>
      </c>
      <c r="BO118" t="s">
        <v>1057</v>
      </c>
      <c r="BP118" s="42" t="s">
        <v>3341</v>
      </c>
      <c r="CE118" t="s">
        <v>4911</v>
      </c>
    </row>
    <row r="119" spans="10:83">
      <c r="J119" t="s">
        <v>2701</v>
      </c>
      <c r="X119" t="s">
        <v>1058</v>
      </c>
      <c r="Y119" s="42" t="s">
        <v>3342</v>
      </c>
      <c r="AF119" t="s">
        <v>3626</v>
      </c>
      <c r="AG119" s="42" t="s">
        <v>3937</v>
      </c>
      <c r="AL119" t="s">
        <v>4351</v>
      </c>
      <c r="AM119" t="s">
        <v>4912</v>
      </c>
      <c r="BA119" t="s">
        <v>1336</v>
      </c>
      <c r="BI119" t="s">
        <v>5289</v>
      </c>
      <c r="BJ119" s="42" t="s">
        <v>5495</v>
      </c>
      <c r="BO119" t="s">
        <v>1058</v>
      </c>
      <c r="BP119" s="42" t="s">
        <v>3342</v>
      </c>
      <c r="CE119" t="s">
        <v>4912</v>
      </c>
    </row>
    <row r="120" spans="10:83">
      <c r="J120" t="s">
        <v>2702</v>
      </c>
      <c r="X120" t="s">
        <v>1059</v>
      </c>
      <c r="Y120" s="42" t="s">
        <v>3343</v>
      </c>
      <c r="AF120" t="s">
        <v>3627</v>
      </c>
      <c r="AG120" s="42" t="s">
        <v>3938</v>
      </c>
      <c r="AL120" t="s">
        <v>4352</v>
      </c>
      <c r="AM120" t="s">
        <v>4913</v>
      </c>
      <c r="BA120" t="s">
        <v>1337</v>
      </c>
      <c r="BI120" t="s">
        <v>5290</v>
      </c>
      <c r="BJ120" s="42" t="s">
        <v>5496</v>
      </c>
      <c r="BO120" t="s">
        <v>1059</v>
      </c>
      <c r="BP120" s="42" t="s">
        <v>3343</v>
      </c>
      <c r="CE120" t="s">
        <v>4913</v>
      </c>
    </row>
    <row r="121" spans="10:83">
      <c r="J121" t="s">
        <v>2703</v>
      </c>
      <c r="X121" t="s">
        <v>1060</v>
      </c>
      <c r="Y121" s="42" t="s">
        <v>3344</v>
      </c>
      <c r="AF121" t="s">
        <v>3628</v>
      </c>
      <c r="AG121" s="42" t="s">
        <v>3939</v>
      </c>
      <c r="AL121" t="s">
        <v>4353</v>
      </c>
      <c r="AM121" t="s">
        <v>4914</v>
      </c>
      <c r="BA121" t="s">
        <v>1338</v>
      </c>
      <c r="BI121" t="s">
        <v>5291</v>
      </c>
      <c r="BJ121" s="42" t="s">
        <v>5497</v>
      </c>
      <c r="BO121" t="s">
        <v>1060</v>
      </c>
      <c r="BP121" s="42" t="s">
        <v>3344</v>
      </c>
      <c r="CE121" t="s">
        <v>4914</v>
      </c>
    </row>
    <row r="122" spans="10:83">
      <c r="J122" t="s">
        <v>2704</v>
      </c>
      <c r="X122" t="s">
        <v>1061</v>
      </c>
      <c r="Y122" s="42" t="s">
        <v>3345</v>
      </c>
      <c r="AF122" t="s">
        <v>3629</v>
      </c>
      <c r="AG122" s="42" t="s">
        <v>3940</v>
      </c>
      <c r="AL122" t="s">
        <v>4354</v>
      </c>
      <c r="AM122" t="s">
        <v>4915</v>
      </c>
      <c r="BA122" t="s">
        <v>1339</v>
      </c>
      <c r="BI122" t="s">
        <v>5292</v>
      </c>
      <c r="BJ122" s="42" t="s">
        <v>5498</v>
      </c>
      <c r="BO122" t="s">
        <v>1061</v>
      </c>
      <c r="BP122" s="42" t="s">
        <v>3345</v>
      </c>
      <c r="CE122" t="s">
        <v>4915</v>
      </c>
    </row>
    <row r="123" spans="10:83">
      <c r="J123" t="s">
        <v>2705</v>
      </c>
      <c r="X123" t="s">
        <v>1062</v>
      </c>
      <c r="Y123" s="42" t="s">
        <v>3346</v>
      </c>
      <c r="AF123" t="s">
        <v>3630</v>
      </c>
      <c r="AG123" s="42" t="s">
        <v>3941</v>
      </c>
      <c r="AL123" t="s">
        <v>4355</v>
      </c>
      <c r="AM123" t="s">
        <v>4916</v>
      </c>
      <c r="BA123" t="s">
        <v>1340</v>
      </c>
      <c r="BI123" t="s">
        <v>5293</v>
      </c>
      <c r="BJ123" s="42" t="s">
        <v>5499</v>
      </c>
      <c r="BO123" t="s">
        <v>1062</v>
      </c>
      <c r="BP123" s="42" t="s">
        <v>3346</v>
      </c>
      <c r="CE123" t="s">
        <v>4916</v>
      </c>
    </row>
    <row r="124" spans="10:83">
      <c r="J124" t="s">
        <v>2706</v>
      </c>
      <c r="X124" t="s">
        <v>1063</v>
      </c>
      <c r="Y124" s="42" t="s">
        <v>3347</v>
      </c>
      <c r="AF124" t="s">
        <v>3631</v>
      </c>
      <c r="AG124" s="42" t="s">
        <v>3942</v>
      </c>
      <c r="AL124" t="s">
        <v>4356</v>
      </c>
      <c r="AM124" t="s">
        <v>4917</v>
      </c>
      <c r="BA124" t="s">
        <v>1341</v>
      </c>
      <c r="BI124" t="s">
        <v>5294</v>
      </c>
      <c r="BJ124" s="42" t="s">
        <v>5500</v>
      </c>
      <c r="BO124" t="s">
        <v>1063</v>
      </c>
      <c r="BP124" s="42" t="s">
        <v>3347</v>
      </c>
      <c r="CE124" t="s">
        <v>4917</v>
      </c>
    </row>
    <row r="125" spans="10:83">
      <c r="J125" t="s">
        <v>2707</v>
      </c>
      <c r="X125" t="s">
        <v>1064</v>
      </c>
      <c r="Y125" s="42" t="s">
        <v>3348</v>
      </c>
      <c r="AF125" t="s">
        <v>3632</v>
      </c>
      <c r="AG125" s="42" t="s">
        <v>3943</v>
      </c>
      <c r="AL125" t="s">
        <v>4357</v>
      </c>
      <c r="AM125" t="s">
        <v>4918</v>
      </c>
      <c r="BA125" t="s">
        <v>1342</v>
      </c>
      <c r="BI125" t="s">
        <v>5295</v>
      </c>
      <c r="BJ125" s="42" t="s">
        <v>5501</v>
      </c>
      <c r="BO125" t="s">
        <v>1064</v>
      </c>
      <c r="BP125" s="42" t="s">
        <v>3348</v>
      </c>
      <c r="CE125" t="s">
        <v>4918</v>
      </c>
    </row>
    <row r="126" spans="10:83">
      <c r="J126" t="s">
        <v>2708</v>
      </c>
      <c r="X126" t="s">
        <v>1065</v>
      </c>
      <c r="Y126" s="42" t="s">
        <v>3349</v>
      </c>
      <c r="AF126" t="s">
        <v>3633</v>
      </c>
      <c r="AG126" s="42" t="s">
        <v>3944</v>
      </c>
      <c r="AL126" t="s">
        <v>4358</v>
      </c>
      <c r="AM126" t="s">
        <v>4919</v>
      </c>
      <c r="BA126" t="s">
        <v>1343</v>
      </c>
      <c r="BI126" t="s">
        <v>5296</v>
      </c>
      <c r="BJ126" s="42" t="s">
        <v>5502</v>
      </c>
      <c r="BO126" t="s">
        <v>1065</v>
      </c>
      <c r="BP126" s="42" t="s">
        <v>3349</v>
      </c>
      <c r="CE126" t="s">
        <v>4919</v>
      </c>
    </row>
    <row r="127" spans="10:83">
      <c r="J127" t="s">
        <v>2709</v>
      </c>
      <c r="X127" t="s">
        <v>1066</v>
      </c>
      <c r="Y127" s="42" t="s">
        <v>3350</v>
      </c>
      <c r="AF127" t="s">
        <v>3634</v>
      </c>
      <c r="AG127" s="42" t="s">
        <v>3945</v>
      </c>
      <c r="AL127" t="s">
        <v>4359</v>
      </c>
      <c r="AM127" t="s">
        <v>4920</v>
      </c>
      <c r="BA127" t="s">
        <v>1344</v>
      </c>
      <c r="BI127" t="s">
        <v>5297</v>
      </c>
      <c r="BJ127" s="42" t="s">
        <v>5503</v>
      </c>
      <c r="BO127" t="s">
        <v>1066</v>
      </c>
      <c r="BP127" s="42" t="s">
        <v>3350</v>
      </c>
      <c r="CE127" t="s">
        <v>4920</v>
      </c>
    </row>
    <row r="128" spans="10:83">
      <c r="J128" t="s">
        <v>2710</v>
      </c>
      <c r="X128" t="s">
        <v>1067</v>
      </c>
      <c r="Y128" s="42" t="s">
        <v>3351</v>
      </c>
      <c r="AF128" t="s">
        <v>3635</v>
      </c>
      <c r="AG128" s="42" t="s">
        <v>3946</v>
      </c>
      <c r="AL128" t="s">
        <v>4360</v>
      </c>
      <c r="AM128" t="s">
        <v>4921</v>
      </c>
      <c r="BA128" t="s">
        <v>1345</v>
      </c>
      <c r="BI128" t="s">
        <v>5298</v>
      </c>
      <c r="BJ128" s="42" t="s">
        <v>5504</v>
      </c>
      <c r="BO128" t="s">
        <v>1067</v>
      </c>
      <c r="BP128" s="42" t="s">
        <v>3351</v>
      </c>
      <c r="CE128" t="s">
        <v>4921</v>
      </c>
    </row>
    <row r="129" spans="10:83">
      <c r="J129" t="s">
        <v>2711</v>
      </c>
      <c r="X129" t="s">
        <v>1068</v>
      </c>
      <c r="Y129" s="42" t="s">
        <v>3352</v>
      </c>
      <c r="AF129" t="s">
        <v>3636</v>
      </c>
      <c r="AG129" s="42" t="s">
        <v>3947</v>
      </c>
      <c r="AL129" t="s">
        <v>4361</v>
      </c>
      <c r="AM129" t="s">
        <v>4922</v>
      </c>
      <c r="BA129" t="s">
        <v>1346</v>
      </c>
      <c r="BI129" t="s">
        <v>5299</v>
      </c>
      <c r="BJ129" s="42" t="s">
        <v>5505</v>
      </c>
      <c r="BO129" t="s">
        <v>1068</v>
      </c>
      <c r="BP129" s="42" t="s">
        <v>3352</v>
      </c>
      <c r="CE129" t="s">
        <v>4922</v>
      </c>
    </row>
    <row r="130" spans="10:83">
      <c r="J130" t="s">
        <v>2712</v>
      </c>
      <c r="X130" t="s">
        <v>1069</v>
      </c>
      <c r="Y130" s="42" t="s">
        <v>3353</v>
      </c>
      <c r="AF130" t="s">
        <v>3637</v>
      </c>
      <c r="AG130" s="42" t="s">
        <v>3948</v>
      </c>
      <c r="AL130" t="s">
        <v>4362</v>
      </c>
      <c r="AM130" t="s">
        <v>4923</v>
      </c>
      <c r="BA130" t="s">
        <v>1347</v>
      </c>
      <c r="BI130" t="s">
        <v>5300</v>
      </c>
      <c r="BJ130" s="42" t="s">
        <v>5506</v>
      </c>
      <c r="BO130" t="s">
        <v>1069</v>
      </c>
      <c r="BP130" s="42" t="s">
        <v>3353</v>
      </c>
      <c r="CE130" t="s">
        <v>4923</v>
      </c>
    </row>
    <row r="131" spans="10:83">
      <c r="J131" t="s">
        <v>2713</v>
      </c>
      <c r="X131" t="s">
        <v>1070</v>
      </c>
      <c r="Y131" s="42" t="s">
        <v>3354</v>
      </c>
      <c r="AF131" t="s">
        <v>3638</v>
      </c>
      <c r="AG131" s="42" t="s">
        <v>3949</v>
      </c>
      <c r="AL131" t="s">
        <v>4363</v>
      </c>
      <c r="AM131" t="s">
        <v>4924</v>
      </c>
      <c r="BA131" t="s">
        <v>1348</v>
      </c>
      <c r="BI131" t="s">
        <v>5301</v>
      </c>
      <c r="BJ131" s="42" t="s">
        <v>5507</v>
      </c>
      <c r="BO131" t="s">
        <v>1070</v>
      </c>
      <c r="BP131" s="42" t="s">
        <v>3354</v>
      </c>
      <c r="CE131" t="s">
        <v>4924</v>
      </c>
    </row>
    <row r="132" spans="10:83">
      <c r="J132" t="s">
        <v>2714</v>
      </c>
      <c r="X132" t="s">
        <v>1071</v>
      </c>
      <c r="Y132" s="42" t="s">
        <v>3355</v>
      </c>
      <c r="AF132" t="s">
        <v>3639</v>
      </c>
      <c r="AG132" s="42" t="s">
        <v>3950</v>
      </c>
      <c r="AL132" t="s">
        <v>4364</v>
      </c>
      <c r="AM132" t="s">
        <v>4925</v>
      </c>
      <c r="BA132" t="s">
        <v>1349</v>
      </c>
      <c r="BI132" t="s">
        <v>5302</v>
      </c>
      <c r="BJ132" s="42" t="s">
        <v>5508</v>
      </c>
      <c r="BO132" t="s">
        <v>1071</v>
      </c>
      <c r="BP132" s="42" t="s">
        <v>3355</v>
      </c>
      <c r="CE132" t="s">
        <v>4925</v>
      </c>
    </row>
    <row r="133" spans="10:83">
      <c r="J133" t="s">
        <v>2715</v>
      </c>
      <c r="X133" t="s">
        <v>1072</v>
      </c>
      <c r="Y133" s="42" t="s">
        <v>3356</v>
      </c>
      <c r="AF133" t="s">
        <v>3640</v>
      </c>
      <c r="AG133" s="42" t="s">
        <v>3951</v>
      </c>
      <c r="AL133" t="s">
        <v>4365</v>
      </c>
      <c r="AM133" t="s">
        <v>4926</v>
      </c>
      <c r="BA133" t="s">
        <v>1350</v>
      </c>
      <c r="BI133" t="s">
        <v>5303</v>
      </c>
      <c r="BJ133" s="42" t="s">
        <v>5509</v>
      </c>
      <c r="BO133" t="s">
        <v>1072</v>
      </c>
      <c r="BP133" s="42" t="s">
        <v>3356</v>
      </c>
      <c r="CE133" t="s">
        <v>4926</v>
      </c>
    </row>
    <row r="134" spans="10:83">
      <c r="J134" t="s">
        <v>2716</v>
      </c>
      <c r="X134" t="s">
        <v>1073</v>
      </c>
      <c r="Y134" s="42" t="s">
        <v>3357</v>
      </c>
      <c r="AF134" t="s">
        <v>3641</v>
      </c>
      <c r="AG134" s="42" t="s">
        <v>3952</v>
      </c>
      <c r="AL134" t="s">
        <v>4366</v>
      </c>
      <c r="AM134" t="s">
        <v>4927</v>
      </c>
      <c r="BA134" t="s">
        <v>1351</v>
      </c>
      <c r="BI134" t="s">
        <v>5304</v>
      </c>
      <c r="BJ134" s="42" t="s">
        <v>5510</v>
      </c>
      <c r="BO134" t="s">
        <v>1073</v>
      </c>
      <c r="BP134" s="42" t="s">
        <v>3357</v>
      </c>
      <c r="CE134" t="s">
        <v>4927</v>
      </c>
    </row>
    <row r="135" spans="10:83">
      <c r="J135" t="s">
        <v>2717</v>
      </c>
      <c r="X135" t="s">
        <v>1074</v>
      </c>
      <c r="Y135" s="42" t="s">
        <v>3358</v>
      </c>
      <c r="AF135" t="s">
        <v>3642</v>
      </c>
      <c r="AG135" s="42" t="s">
        <v>3953</v>
      </c>
      <c r="AL135" t="s">
        <v>4367</v>
      </c>
      <c r="AM135" t="s">
        <v>4928</v>
      </c>
      <c r="BA135" t="s">
        <v>1352</v>
      </c>
      <c r="BI135" t="s">
        <v>5305</v>
      </c>
      <c r="BJ135" s="42" t="s">
        <v>5511</v>
      </c>
      <c r="BO135" t="s">
        <v>1074</v>
      </c>
      <c r="BP135" s="42" t="s">
        <v>3358</v>
      </c>
      <c r="CE135" t="s">
        <v>4928</v>
      </c>
    </row>
    <row r="136" spans="10:83">
      <c r="J136" t="s">
        <v>2718</v>
      </c>
      <c r="X136" t="s">
        <v>1075</v>
      </c>
      <c r="Y136" s="42" t="s">
        <v>3359</v>
      </c>
      <c r="AF136" t="s">
        <v>3643</v>
      </c>
      <c r="AG136" s="42" t="s">
        <v>3954</v>
      </c>
      <c r="AL136" t="s">
        <v>4368</v>
      </c>
      <c r="AM136" t="s">
        <v>4929</v>
      </c>
      <c r="BA136" t="s">
        <v>1353</v>
      </c>
      <c r="BI136" t="s">
        <v>5306</v>
      </c>
      <c r="BJ136" s="42" t="s">
        <v>5512</v>
      </c>
      <c r="BO136" t="s">
        <v>1075</v>
      </c>
      <c r="BP136" s="42" t="s">
        <v>3359</v>
      </c>
      <c r="CE136" t="s">
        <v>4929</v>
      </c>
    </row>
    <row r="137" spans="10:83">
      <c r="J137" t="s">
        <v>2719</v>
      </c>
      <c r="X137" t="s">
        <v>1076</v>
      </c>
      <c r="Y137" s="42" t="s">
        <v>3360</v>
      </c>
      <c r="AF137" t="s">
        <v>3644</v>
      </c>
      <c r="AG137" s="42" t="s">
        <v>3955</v>
      </c>
      <c r="AL137" t="s">
        <v>4369</v>
      </c>
      <c r="AM137" t="s">
        <v>4930</v>
      </c>
      <c r="BA137" t="s">
        <v>1354</v>
      </c>
      <c r="BI137" t="s">
        <v>5307</v>
      </c>
      <c r="BJ137" s="42" t="s">
        <v>5513</v>
      </c>
      <c r="BO137" t="s">
        <v>1076</v>
      </c>
      <c r="BP137" s="42" t="s">
        <v>3360</v>
      </c>
      <c r="CE137" t="s">
        <v>4930</v>
      </c>
    </row>
    <row r="138" spans="10:83">
      <c r="J138" t="s">
        <v>2720</v>
      </c>
      <c r="X138" t="s">
        <v>1077</v>
      </c>
      <c r="Y138" s="42" t="s">
        <v>3361</v>
      </c>
      <c r="AF138" t="s">
        <v>3645</v>
      </c>
      <c r="AG138" s="42" t="s">
        <v>3956</v>
      </c>
      <c r="AL138" t="s">
        <v>4370</v>
      </c>
      <c r="AM138" t="s">
        <v>4931</v>
      </c>
      <c r="BA138" t="s">
        <v>1355</v>
      </c>
      <c r="BI138" t="s">
        <v>5308</v>
      </c>
      <c r="BJ138" s="42" t="s">
        <v>5514</v>
      </c>
      <c r="BO138" t="s">
        <v>1077</v>
      </c>
      <c r="BP138" s="42" t="s">
        <v>3361</v>
      </c>
      <c r="CE138" t="s">
        <v>4931</v>
      </c>
    </row>
    <row r="139" spans="10:83">
      <c r="J139" t="s">
        <v>2721</v>
      </c>
      <c r="X139" t="s">
        <v>1078</v>
      </c>
      <c r="Y139" s="42" t="s">
        <v>3362</v>
      </c>
      <c r="AF139" t="s">
        <v>3646</v>
      </c>
      <c r="AG139" s="42" t="s">
        <v>3957</v>
      </c>
      <c r="AL139" t="s">
        <v>4371</v>
      </c>
      <c r="AM139" t="s">
        <v>4932</v>
      </c>
      <c r="BA139" t="s">
        <v>1356</v>
      </c>
      <c r="BI139" t="s">
        <v>5309</v>
      </c>
      <c r="BJ139" s="42" t="s">
        <v>5515</v>
      </c>
      <c r="BO139" t="s">
        <v>1078</v>
      </c>
      <c r="BP139" s="42" t="s">
        <v>3362</v>
      </c>
      <c r="CE139" t="s">
        <v>4932</v>
      </c>
    </row>
    <row r="140" spans="10:83">
      <c r="J140" t="s">
        <v>2722</v>
      </c>
      <c r="X140" t="s">
        <v>1079</v>
      </c>
      <c r="Y140" s="42" t="s">
        <v>3363</v>
      </c>
      <c r="AF140" t="s">
        <v>3647</v>
      </c>
      <c r="AG140" s="42" t="s">
        <v>3958</v>
      </c>
      <c r="AL140" t="s">
        <v>4372</v>
      </c>
      <c r="AM140" t="s">
        <v>4933</v>
      </c>
      <c r="BA140" t="s">
        <v>1357</v>
      </c>
      <c r="BI140" t="s">
        <v>5310</v>
      </c>
      <c r="BJ140" s="42" t="s">
        <v>5516</v>
      </c>
      <c r="BO140" t="s">
        <v>1079</v>
      </c>
      <c r="BP140" s="42" t="s">
        <v>3363</v>
      </c>
      <c r="CE140" t="s">
        <v>4933</v>
      </c>
    </row>
    <row r="141" spans="10:83">
      <c r="J141" t="s">
        <v>2723</v>
      </c>
      <c r="X141" t="s">
        <v>1080</v>
      </c>
      <c r="Y141" s="42" t="s">
        <v>3364</v>
      </c>
      <c r="AF141" t="s">
        <v>3648</v>
      </c>
      <c r="AG141" s="42" t="s">
        <v>3959</v>
      </c>
      <c r="AL141" t="s">
        <v>4373</v>
      </c>
      <c r="AM141" t="s">
        <v>4934</v>
      </c>
      <c r="BA141" t="s">
        <v>1358</v>
      </c>
      <c r="BI141" t="s">
        <v>5311</v>
      </c>
      <c r="BJ141" s="42" t="s">
        <v>5517</v>
      </c>
      <c r="BO141" t="s">
        <v>1080</v>
      </c>
      <c r="BP141" s="42" t="s">
        <v>3364</v>
      </c>
      <c r="CE141" t="s">
        <v>4934</v>
      </c>
    </row>
    <row r="142" spans="10:83">
      <c r="J142" t="s">
        <v>2724</v>
      </c>
      <c r="X142" t="s">
        <v>1081</v>
      </c>
      <c r="Y142" s="42" t="s">
        <v>3365</v>
      </c>
      <c r="AF142" t="s">
        <v>3649</v>
      </c>
      <c r="AG142" s="42" t="s">
        <v>3960</v>
      </c>
      <c r="AL142" t="s">
        <v>4374</v>
      </c>
      <c r="AM142" t="s">
        <v>4935</v>
      </c>
      <c r="BA142" t="s">
        <v>1359</v>
      </c>
      <c r="BI142" t="s">
        <v>5312</v>
      </c>
      <c r="BJ142" s="42" t="s">
        <v>5518</v>
      </c>
      <c r="BO142" t="s">
        <v>1081</v>
      </c>
      <c r="BP142" s="42" t="s">
        <v>3365</v>
      </c>
      <c r="CE142" t="s">
        <v>4935</v>
      </c>
    </row>
    <row r="143" spans="10:83">
      <c r="J143" t="s">
        <v>2725</v>
      </c>
      <c r="X143" t="s">
        <v>1082</v>
      </c>
      <c r="Y143" s="42" t="s">
        <v>3366</v>
      </c>
      <c r="AF143" t="s">
        <v>3650</v>
      </c>
      <c r="AG143" s="42" t="s">
        <v>3961</v>
      </c>
      <c r="AL143" t="s">
        <v>4375</v>
      </c>
      <c r="AM143" t="s">
        <v>4936</v>
      </c>
      <c r="BA143" t="s">
        <v>1360</v>
      </c>
      <c r="BI143" t="s">
        <v>5313</v>
      </c>
      <c r="BJ143" s="42" t="s">
        <v>5519</v>
      </c>
      <c r="BO143" t="s">
        <v>1082</v>
      </c>
      <c r="BP143" s="42" t="s">
        <v>3366</v>
      </c>
      <c r="CE143" t="s">
        <v>4936</v>
      </c>
    </row>
    <row r="144" spans="10:83">
      <c r="J144" t="s">
        <v>2726</v>
      </c>
      <c r="X144" t="s">
        <v>1083</v>
      </c>
      <c r="Y144" s="42" t="s">
        <v>3367</v>
      </c>
      <c r="AF144" t="s">
        <v>3651</v>
      </c>
      <c r="AG144" s="42" t="s">
        <v>3962</v>
      </c>
      <c r="AL144" t="s">
        <v>4376</v>
      </c>
      <c r="AM144" t="s">
        <v>4937</v>
      </c>
      <c r="BA144" t="s">
        <v>1361</v>
      </c>
      <c r="BI144" t="s">
        <v>5314</v>
      </c>
      <c r="BJ144" s="42" t="s">
        <v>5520</v>
      </c>
      <c r="BO144" t="s">
        <v>1083</v>
      </c>
      <c r="BP144" s="42" t="s">
        <v>3367</v>
      </c>
      <c r="CE144" t="s">
        <v>4937</v>
      </c>
    </row>
    <row r="145" spans="10:83">
      <c r="J145" t="s">
        <v>2727</v>
      </c>
      <c r="X145" t="s">
        <v>1084</v>
      </c>
      <c r="Y145" s="42" t="s">
        <v>3368</v>
      </c>
      <c r="AF145" t="s">
        <v>3652</v>
      </c>
      <c r="AG145" s="42" t="s">
        <v>3963</v>
      </c>
      <c r="AL145" t="s">
        <v>4377</v>
      </c>
      <c r="AM145" t="s">
        <v>4938</v>
      </c>
      <c r="BA145" t="s">
        <v>1362</v>
      </c>
      <c r="BI145" t="s">
        <v>5315</v>
      </c>
      <c r="BJ145" s="42" t="s">
        <v>5521</v>
      </c>
      <c r="BO145" t="s">
        <v>1084</v>
      </c>
      <c r="BP145" s="42" t="s">
        <v>3368</v>
      </c>
      <c r="CE145" t="s">
        <v>4938</v>
      </c>
    </row>
    <row r="146" spans="10:83">
      <c r="J146" t="s">
        <v>2728</v>
      </c>
      <c r="X146" t="s">
        <v>1085</v>
      </c>
      <c r="Y146" s="42" t="s">
        <v>3369</v>
      </c>
      <c r="AF146" t="s">
        <v>3653</v>
      </c>
      <c r="AG146" s="42" t="s">
        <v>3964</v>
      </c>
      <c r="AL146" t="s">
        <v>4378</v>
      </c>
      <c r="AM146" t="s">
        <v>4939</v>
      </c>
      <c r="BA146" t="s">
        <v>1363</v>
      </c>
      <c r="BI146" t="s">
        <v>5316</v>
      </c>
      <c r="BJ146" s="42" t="s">
        <v>5522</v>
      </c>
      <c r="BO146" t="s">
        <v>1085</v>
      </c>
      <c r="BP146" s="42" t="s">
        <v>3369</v>
      </c>
      <c r="CE146" t="s">
        <v>4939</v>
      </c>
    </row>
    <row r="147" spans="10:83">
      <c r="J147" t="s">
        <v>2729</v>
      </c>
      <c r="X147" t="s">
        <v>1086</v>
      </c>
      <c r="Y147" s="42" t="s">
        <v>3370</v>
      </c>
      <c r="AF147" t="s">
        <v>3654</v>
      </c>
      <c r="AG147" s="42" t="s">
        <v>3965</v>
      </c>
      <c r="AL147" t="s">
        <v>4379</v>
      </c>
      <c r="AM147" t="s">
        <v>4940</v>
      </c>
      <c r="BA147" t="s">
        <v>1364</v>
      </c>
      <c r="BI147" t="s">
        <v>5317</v>
      </c>
      <c r="BJ147" s="42" t="s">
        <v>5523</v>
      </c>
      <c r="BO147" t="s">
        <v>1086</v>
      </c>
      <c r="BP147" s="42" t="s">
        <v>3370</v>
      </c>
      <c r="CE147" t="s">
        <v>4940</v>
      </c>
    </row>
    <row r="148" spans="10:83">
      <c r="J148" t="s">
        <v>2730</v>
      </c>
      <c r="X148" t="s">
        <v>1087</v>
      </c>
      <c r="Y148" s="42" t="s">
        <v>3371</v>
      </c>
      <c r="AF148" t="s">
        <v>3655</v>
      </c>
      <c r="AG148" s="42" t="s">
        <v>3966</v>
      </c>
      <c r="AL148" t="s">
        <v>4380</v>
      </c>
      <c r="AM148" t="s">
        <v>4941</v>
      </c>
      <c r="BA148" t="s">
        <v>1365</v>
      </c>
      <c r="BI148" t="s">
        <v>5318</v>
      </c>
      <c r="BJ148" s="42" t="s">
        <v>5524</v>
      </c>
      <c r="BO148" t="s">
        <v>1087</v>
      </c>
      <c r="BP148" s="42" t="s">
        <v>3371</v>
      </c>
      <c r="CE148" t="s">
        <v>4941</v>
      </c>
    </row>
    <row r="149" spans="10:83">
      <c r="J149" t="s">
        <v>2731</v>
      </c>
      <c r="X149" t="s">
        <v>1088</v>
      </c>
      <c r="Y149" s="42" t="s">
        <v>3372</v>
      </c>
      <c r="AF149" t="s">
        <v>3656</v>
      </c>
      <c r="AG149" s="42" t="s">
        <v>3967</v>
      </c>
      <c r="AL149" t="s">
        <v>4381</v>
      </c>
      <c r="AM149" t="s">
        <v>4942</v>
      </c>
      <c r="BA149" t="s">
        <v>1366</v>
      </c>
      <c r="BI149" t="s">
        <v>5319</v>
      </c>
      <c r="BJ149" s="42" t="s">
        <v>5525</v>
      </c>
      <c r="BO149" t="s">
        <v>1088</v>
      </c>
      <c r="BP149" s="42" t="s">
        <v>3372</v>
      </c>
      <c r="CE149" t="s">
        <v>4942</v>
      </c>
    </row>
    <row r="150" spans="10:83">
      <c r="J150" t="s">
        <v>2732</v>
      </c>
      <c r="X150" t="s">
        <v>1089</v>
      </c>
      <c r="Y150" s="42" t="s">
        <v>3373</v>
      </c>
      <c r="AF150" t="s">
        <v>3657</v>
      </c>
      <c r="AG150" s="42" t="s">
        <v>3968</v>
      </c>
      <c r="AL150" t="s">
        <v>4382</v>
      </c>
      <c r="AM150" t="s">
        <v>4943</v>
      </c>
      <c r="BA150" t="s">
        <v>1367</v>
      </c>
      <c r="BI150" t="s">
        <v>5320</v>
      </c>
      <c r="BJ150" s="42" t="s">
        <v>5526</v>
      </c>
      <c r="BO150" t="s">
        <v>1089</v>
      </c>
      <c r="BP150" s="42" t="s">
        <v>3373</v>
      </c>
      <c r="CE150" t="s">
        <v>4943</v>
      </c>
    </row>
    <row r="151" spans="10:83">
      <c r="J151" t="s">
        <v>2733</v>
      </c>
      <c r="X151" t="s">
        <v>1090</v>
      </c>
      <c r="Y151" s="42" t="s">
        <v>3374</v>
      </c>
      <c r="AF151" t="s">
        <v>3658</v>
      </c>
      <c r="AG151" s="42" t="s">
        <v>3969</v>
      </c>
      <c r="AL151" t="s">
        <v>4383</v>
      </c>
      <c r="AM151" t="s">
        <v>4944</v>
      </c>
      <c r="BA151" t="s">
        <v>1368</v>
      </c>
      <c r="BI151" t="s">
        <v>4206</v>
      </c>
      <c r="BJ151" s="42" t="s">
        <v>5527</v>
      </c>
      <c r="BO151" t="s">
        <v>1090</v>
      </c>
      <c r="BP151" s="42" t="s">
        <v>3374</v>
      </c>
      <c r="CE151" t="s">
        <v>4944</v>
      </c>
    </row>
    <row r="152" spans="10:83">
      <c r="J152" t="s">
        <v>2734</v>
      </c>
      <c r="X152" t="s">
        <v>1091</v>
      </c>
      <c r="Y152" s="42" t="s">
        <v>3375</v>
      </c>
      <c r="AF152" t="s">
        <v>3659</v>
      </c>
      <c r="AG152" s="42" t="s">
        <v>3970</v>
      </c>
      <c r="AL152" t="s">
        <v>4384</v>
      </c>
      <c r="AM152" t="s">
        <v>4945</v>
      </c>
      <c r="BA152" t="s">
        <v>1369</v>
      </c>
      <c r="BI152" t="s">
        <v>5321</v>
      </c>
      <c r="BJ152" s="42" t="s">
        <v>5528</v>
      </c>
      <c r="BO152" t="s">
        <v>1091</v>
      </c>
      <c r="BP152" s="42" t="s">
        <v>3375</v>
      </c>
      <c r="CE152" t="s">
        <v>4945</v>
      </c>
    </row>
    <row r="153" spans="10:83">
      <c r="J153" t="s">
        <v>2735</v>
      </c>
      <c r="X153" t="s">
        <v>1092</v>
      </c>
      <c r="Y153" s="42" t="s">
        <v>3376</v>
      </c>
      <c r="AF153" t="s">
        <v>3660</v>
      </c>
      <c r="AG153" s="42" t="s">
        <v>3971</v>
      </c>
      <c r="AL153" t="s">
        <v>4385</v>
      </c>
      <c r="AM153" t="s">
        <v>4946</v>
      </c>
      <c r="BA153" t="s">
        <v>1370</v>
      </c>
      <c r="BI153" t="s">
        <v>5322</v>
      </c>
      <c r="BJ153" s="42" t="s">
        <v>5529</v>
      </c>
      <c r="BO153" t="s">
        <v>1092</v>
      </c>
      <c r="BP153" s="42" t="s">
        <v>3376</v>
      </c>
      <c r="CE153" t="s">
        <v>4946</v>
      </c>
    </row>
    <row r="154" spans="10:83">
      <c r="J154" t="s">
        <v>2736</v>
      </c>
      <c r="X154" t="s">
        <v>1093</v>
      </c>
      <c r="Y154" s="42" t="s">
        <v>3377</v>
      </c>
      <c r="AF154" t="s">
        <v>3661</v>
      </c>
      <c r="AG154" s="42" t="s">
        <v>3972</v>
      </c>
      <c r="AL154" t="s">
        <v>4386</v>
      </c>
      <c r="AM154" t="s">
        <v>4947</v>
      </c>
      <c r="BA154" t="s">
        <v>1371</v>
      </c>
      <c r="BI154" t="s">
        <v>5323</v>
      </c>
      <c r="BJ154" s="42" t="s">
        <v>5530</v>
      </c>
      <c r="BO154" t="s">
        <v>1093</v>
      </c>
      <c r="BP154" s="42" t="s">
        <v>3377</v>
      </c>
      <c r="CE154" t="s">
        <v>4947</v>
      </c>
    </row>
    <row r="155" spans="10:83">
      <c r="J155" t="s">
        <v>2737</v>
      </c>
      <c r="X155" t="s">
        <v>1094</v>
      </c>
      <c r="Y155" s="42" t="s">
        <v>3378</v>
      </c>
      <c r="AF155" t="s">
        <v>3662</v>
      </c>
      <c r="AG155" s="42" t="s">
        <v>3973</v>
      </c>
      <c r="AL155" t="s">
        <v>4387</v>
      </c>
      <c r="AM155" t="s">
        <v>4948</v>
      </c>
      <c r="BA155" t="s">
        <v>1372</v>
      </c>
      <c r="BI155" t="s">
        <v>5324</v>
      </c>
      <c r="BJ155" s="42" t="s">
        <v>5531</v>
      </c>
      <c r="BO155" t="s">
        <v>1094</v>
      </c>
      <c r="BP155" s="42" t="s">
        <v>3378</v>
      </c>
      <c r="CE155" t="s">
        <v>4948</v>
      </c>
    </row>
    <row r="156" spans="10:83">
      <c r="J156" t="s">
        <v>2738</v>
      </c>
      <c r="X156" t="s">
        <v>1095</v>
      </c>
      <c r="Y156" s="42" t="s">
        <v>3379</v>
      </c>
      <c r="AF156" t="s">
        <v>3663</v>
      </c>
      <c r="AG156" s="42" t="s">
        <v>3974</v>
      </c>
      <c r="AL156" t="s">
        <v>4388</v>
      </c>
      <c r="AM156" t="s">
        <v>4949</v>
      </c>
      <c r="BA156" t="s">
        <v>1373</v>
      </c>
      <c r="BI156" t="s">
        <v>5325</v>
      </c>
      <c r="BJ156" s="42" t="s">
        <v>5532</v>
      </c>
      <c r="BO156" t="s">
        <v>1095</v>
      </c>
      <c r="BP156" s="42" t="s">
        <v>3379</v>
      </c>
      <c r="CE156" t="s">
        <v>4949</v>
      </c>
    </row>
    <row r="157" spans="10:83">
      <c r="J157" t="s">
        <v>2739</v>
      </c>
      <c r="X157" t="s">
        <v>1096</v>
      </c>
      <c r="Y157" s="42" t="s">
        <v>3380</v>
      </c>
      <c r="AF157" t="s">
        <v>3664</v>
      </c>
      <c r="AG157" s="42" t="s">
        <v>3975</v>
      </c>
      <c r="AL157" t="s">
        <v>4389</v>
      </c>
      <c r="AM157" t="s">
        <v>4950</v>
      </c>
      <c r="BA157" t="s">
        <v>1374</v>
      </c>
      <c r="BI157" t="s">
        <v>5326</v>
      </c>
      <c r="BJ157" s="42" t="s">
        <v>5533</v>
      </c>
      <c r="BO157" t="s">
        <v>1096</v>
      </c>
      <c r="BP157" s="42" t="s">
        <v>3380</v>
      </c>
      <c r="CE157" t="s">
        <v>4950</v>
      </c>
    </row>
    <row r="158" spans="10:83">
      <c r="J158" t="s">
        <v>2740</v>
      </c>
      <c r="X158" t="s">
        <v>1097</v>
      </c>
      <c r="Y158" s="42" t="s">
        <v>3381</v>
      </c>
      <c r="AF158" t="s">
        <v>3665</v>
      </c>
      <c r="AG158" s="42" t="s">
        <v>3976</v>
      </c>
      <c r="AL158" t="s">
        <v>4390</v>
      </c>
      <c r="AM158" t="s">
        <v>4951</v>
      </c>
      <c r="BA158" t="s">
        <v>1375</v>
      </c>
      <c r="BI158" t="s">
        <v>5327</v>
      </c>
      <c r="BJ158" s="42" t="s">
        <v>5534</v>
      </c>
      <c r="BO158" t="s">
        <v>1097</v>
      </c>
      <c r="BP158" s="42" t="s">
        <v>3381</v>
      </c>
      <c r="CE158" t="s">
        <v>4951</v>
      </c>
    </row>
    <row r="159" spans="10:83">
      <c r="J159" t="s">
        <v>2741</v>
      </c>
      <c r="X159" t="s">
        <v>1098</v>
      </c>
      <c r="Y159" s="42" t="s">
        <v>3382</v>
      </c>
      <c r="AF159" t="s">
        <v>3666</v>
      </c>
      <c r="AG159" s="42" t="s">
        <v>3977</v>
      </c>
      <c r="AL159" t="s">
        <v>4391</v>
      </c>
      <c r="AM159" t="s">
        <v>4952</v>
      </c>
      <c r="BA159" t="s">
        <v>1376</v>
      </c>
      <c r="BI159" t="s">
        <v>2176</v>
      </c>
      <c r="BJ159" s="42" t="s">
        <v>5535</v>
      </c>
      <c r="BO159" t="s">
        <v>1098</v>
      </c>
      <c r="BP159" s="42" t="s">
        <v>3382</v>
      </c>
      <c r="CE159" t="s">
        <v>4952</v>
      </c>
    </row>
    <row r="160" spans="10:83">
      <c r="J160" t="s">
        <v>2742</v>
      </c>
      <c r="X160" t="s">
        <v>1099</v>
      </c>
      <c r="Y160" s="42" t="s">
        <v>3383</v>
      </c>
      <c r="AF160" t="s">
        <v>3667</v>
      </c>
      <c r="AG160" s="42" t="s">
        <v>3978</v>
      </c>
      <c r="AL160" t="s">
        <v>4392</v>
      </c>
      <c r="AM160" t="s">
        <v>4953</v>
      </c>
      <c r="BA160" t="s">
        <v>1377</v>
      </c>
      <c r="BI160" t="s">
        <v>5328</v>
      </c>
      <c r="BJ160" s="42" t="s">
        <v>5536</v>
      </c>
      <c r="BO160" t="s">
        <v>1099</v>
      </c>
      <c r="BP160" s="42" t="s">
        <v>3383</v>
      </c>
      <c r="CE160" t="s">
        <v>4953</v>
      </c>
    </row>
    <row r="161" spans="10:83">
      <c r="J161" t="s">
        <v>2743</v>
      </c>
      <c r="X161" t="s">
        <v>1100</v>
      </c>
      <c r="Y161" s="42" t="s">
        <v>3384</v>
      </c>
      <c r="AF161" t="s">
        <v>3668</v>
      </c>
      <c r="AG161" s="42" t="s">
        <v>3979</v>
      </c>
      <c r="AL161" t="s">
        <v>4393</v>
      </c>
      <c r="AM161" t="s">
        <v>4954</v>
      </c>
      <c r="BA161" t="s">
        <v>1378</v>
      </c>
      <c r="BI161" t="s">
        <v>5329</v>
      </c>
      <c r="BJ161" s="42" t="s">
        <v>5537</v>
      </c>
      <c r="BO161" t="s">
        <v>1100</v>
      </c>
      <c r="BP161" s="42" t="s">
        <v>3384</v>
      </c>
      <c r="CE161" t="s">
        <v>4954</v>
      </c>
    </row>
    <row r="162" spans="10:83">
      <c r="J162" t="s">
        <v>2744</v>
      </c>
      <c r="X162" t="s">
        <v>1101</v>
      </c>
      <c r="Y162" s="42" t="s">
        <v>3385</v>
      </c>
      <c r="AF162" t="s">
        <v>3669</v>
      </c>
      <c r="AG162" s="42" t="s">
        <v>3980</v>
      </c>
      <c r="AL162" t="s">
        <v>4394</v>
      </c>
      <c r="AM162" t="s">
        <v>4955</v>
      </c>
      <c r="BA162" t="s">
        <v>1379</v>
      </c>
      <c r="BI162" t="s">
        <v>5330</v>
      </c>
      <c r="BJ162" s="42" t="s">
        <v>5538</v>
      </c>
      <c r="BO162" t="s">
        <v>1101</v>
      </c>
      <c r="BP162" s="42" t="s">
        <v>3385</v>
      </c>
      <c r="CE162" t="s">
        <v>4955</v>
      </c>
    </row>
    <row r="163" spans="10:83">
      <c r="J163" t="s">
        <v>2745</v>
      </c>
      <c r="X163" t="s">
        <v>1102</v>
      </c>
      <c r="Y163" s="42" t="s">
        <v>3386</v>
      </c>
      <c r="AF163" t="s">
        <v>3670</v>
      </c>
      <c r="AG163" s="42" t="s">
        <v>3981</v>
      </c>
      <c r="AL163" t="s">
        <v>4395</v>
      </c>
      <c r="AM163" t="s">
        <v>4956</v>
      </c>
      <c r="BA163" t="s">
        <v>1380</v>
      </c>
      <c r="BI163" t="s">
        <v>5331</v>
      </c>
      <c r="BJ163" s="42" t="s">
        <v>5539</v>
      </c>
      <c r="BO163" t="s">
        <v>1102</v>
      </c>
      <c r="BP163" s="42" t="s">
        <v>3386</v>
      </c>
      <c r="CE163" t="s">
        <v>4956</v>
      </c>
    </row>
    <row r="164" spans="10:83">
      <c r="J164" t="s">
        <v>2746</v>
      </c>
      <c r="X164" t="s">
        <v>1103</v>
      </c>
      <c r="Y164" s="42" t="s">
        <v>3387</v>
      </c>
      <c r="AF164" t="s">
        <v>3671</v>
      </c>
      <c r="AG164" s="42" t="s">
        <v>3982</v>
      </c>
      <c r="AL164" t="s">
        <v>4396</v>
      </c>
      <c r="AM164" t="s">
        <v>4957</v>
      </c>
      <c r="BA164" t="s">
        <v>1381</v>
      </c>
      <c r="BI164" t="s">
        <v>5332</v>
      </c>
      <c r="BJ164" s="42" t="s">
        <v>5540</v>
      </c>
      <c r="BO164" t="s">
        <v>1103</v>
      </c>
      <c r="BP164" s="42" t="s">
        <v>3387</v>
      </c>
      <c r="CE164" t="s">
        <v>4957</v>
      </c>
    </row>
    <row r="165" spans="10:83">
      <c r="J165" t="s">
        <v>2747</v>
      </c>
      <c r="X165" t="s">
        <v>1104</v>
      </c>
      <c r="Y165" s="42" t="s">
        <v>3388</v>
      </c>
      <c r="AF165" t="s">
        <v>3672</v>
      </c>
      <c r="AG165" s="42" t="s">
        <v>3983</v>
      </c>
      <c r="AL165" t="s">
        <v>4397</v>
      </c>
      <c r="AM165" t="s">
        <v>4958</v>
      </c>
      <c r="BA165" t="s">
        <v>1382</v>
      </c>
      <c r="BI165" t="s">
        <v>5333</v>
      </c>
      <c r="BJ165" s="42" t="s">
        <v>5541</v>
      </c>
      <c r="BO165" t="s">
        <v>1104</v>
      </c>
      <c r="BP165" s="42" t="s">
        <v>3388</v>
      </c>
      <c r="CE165" t="s">
        <v>4958</v>
      </c>
    </row>
    <row r="166" spans="10:83">
      <c r="J166" t="s">
        <v>2748</v>
      </c>
      <c r="X166" t="s">
        <v>1105</v>
      </c>
      <c r="Y166" s="42" t="s">
        <v>3389</v>
      </c>
      <c r="AF166" t="s">
        <v>3673</v>
      </c>
      <c r="AG166" s="42" t="s">
        <v>3984</v>
      </c>
      <c r="AL166" t="s">
        <v>4398</v>
      </c>
      <c r="AM166" t="s">
        <v>4959</v>
      </c>
      <c r="BA166" t="s">
        <v>1383</v>
      </c>
      <c r="BI166" t="s">
        <v>5334</v>
      </c>
      <c r="BJ166" s="42" t="s">
        <v>5542</v>
      </c>
      <c r="BO166" t="s">
        <v>1105</v>
      </c>
      <c r="BP166" s="42" t="s">
        <v>3389</v>
      </c>
      <c r="CE166" t="s">
        <v>4959</v>
      </c>
    </row>
    <row r="167" spans="10:83">
      <c r="J167" t="s">
        <v>2749</v>
      </c>
      <c r="X167" t="s">
        <v>1106</v>
      </c>
      <c r="Y167" s="42" t="s">
        <v>3390</v>
      </c>
      <c r="AF167" t="s">
        <v>3674</v>
      </c>
      <c r="AG167" s="42" t="s">
        <v>3985</v>
      </c>
      <c r="AL167" t="s">
        <v>4399</v>
      </c>
      <c r="AM167" t="s">
        <v>4960</v>
      </c>
      <c r="BA167" t="s">
        <v>1384</v>
      </c>
      <c r="BI167" t="s">
        <v>5335</v>
      </c>
      <c r="BJ167" s="42" t="s">
        <v>5543</v>
      </c>
      <c r="BO167" t="s">
        <v>1106</v>
      </c>
      <c r="BP167" s="42" t="s">
        <v>3390</v>
      </c>
      <c r="CE167" t="s">
        <v>4960</v>
      </c>
    </row>
    <row r="168" spans="10:83">
      <c r="J168" t="s">
        <v>2750</v>
      </c>
      <c r="X168" t="s">
        <v>1107</v>
      </c>
      <c r="Y168" s="42" t="s">
        <v>3391</v>
      </c>
      <c r="AF168" t="s">
        <v>3675</v>
      </c>
      <c r="AG168" s="42" t="s">
        <v>3986</v>
      </c>
      <c r="AL168" t="s">
        <v>4400</v>
      </c>
      <c r="AM168" t="s">
        <v>4961</v>
      </c>
      <c r="BA168" t="s">
        <v>1385</v>
      </c>
      <c r="BI168" t="s">
        <v>5336</v>
      </c>
      <c r="BJ168" s="42" t="s">
        <v>5544</v>
      </c>
      <c r="BO168" t="s">
        <v>1107</v>
      </c>
      <c r="BP168" s="42" t="s">
        <v>3391</v>
      </c>
      <c r="CE168" t="s">
        <v>4961</v>
      </c>
    </row>
    <row r="169" spans="10:83">
      <c r="J169" t="s">
        <v>2751</v>
      </c>
      <c r="X169" t="s">
        <v>1108</v>
      </c>
      <c r="Y169" s="42" t="s">
        <v>3392</v>
      </c>
      <c r="AF169" t="s">
        <v>3676</v>
      </c>
      <c r="AG169" s="42" t="s">
        <v>3987</v>
      </c>
      <c r="AL169" t="s">
        <v>4401</v>
      </c>
      <c r="AM169" t="s">
        <v>4962</v>
      </c>
      <c r="BA169" t="s">
        <v>1386</v>
      </c>
      <c r="BI169" t="s">
        <v>5337</v>
      </c>
      <c r="BJ169" s="42" t="s">
        <v>5545</v>
      </c>
      <c r="BO169" t="s">
        <v>1108</v>
      </c>
      <c r="BP169" s="42" t="s">
        <v>3392</v>
      </c>
      <c r="CE169" t="s">
        <v>4962</v>
      </c>
    </row>
    <row r="170" spans="10:83">
      <c r="J170" t="s">
        <v>2752</v>
      </c>
      <c r="X170" t="s">
        <v>1109</v>
      </c>
      <c r="Y170" s="42" t="s">
        <v>3393</v>
      </c>
      <c r="AF170" t="s">
        <v>3677</v>
      </c>
      <c r="AG170" s="42" t="s">
        <v>3988</v>
      </c>
      <c r="AL170" t="s">
        <v>4402</v>
      </c>
      <c r="AM170" t="s">
        <v>4963</v>
      </c>
      <c r="BA170" t="s">
        <v>1387</v>
      </c>
      <c r="BI170" t="s">
        <v>5338</v>
      </c>
      <c r="BJ170" s="42" t="s">
        <v>5546</v>
      </c>
      <c r="BO170" t="s">
        <v>1109</v>
      </c>
      <c r="BP170" s="42" t="s">
        <v>3393</v>
      </c>
      <c r="CE170" t="s">
        <v>4963</v>
      </c>
    </row>
    <row r="171" spans="10:83">
      <c r="J171" t="s">
        <v>2753</v>
      </c>
      <c r="X171" t="s">
        <v>1110</v>
      </c>
      <c r="Y171" s="42" t="s">
        <v>3394</v>
      </c>
      <c r="AF171" t="s">
        <v>3678</v>
      </c>
      <c r="AG171" s="42" t="s">
        <v>3989</v>
      </c>
      <c r="AL171" t="s">
        <v>4403</v>
      </c>
      <c r="AM171" t="s">
        <v>4964</v>
      </c>
      <c r="BA171" t="s">
        <v>1388</v>
      </c>
      <c r="BI171" t="s">
        <v>5339</v>
      </c>
      <c r="BJ171" s="42" t="s">
        <v>5547</v>
      </c>
      <c r="BO171" t="s">
        <v>1110</v>
      </c>
      <c r="BP171" s="42" t="s">
        <v>3394</v>
      </c>
      <c r="CE171" t="s">
        <v>4964</v>
      </c>
    </row>
    <row r="172" spans="10:83">
      <c r="J172" t="s">
        <v>2754</v>
      </c>
      <c r="X172" t="s">
        <v>1111</v>
      </c>
      <c r="Y172" s="42" t="s">
        <v>3395</v>
      </c>
      <c r="AF172" t="s">
        <v>3679</v>
      </c>
      <c r="AG172" s="42" t="s">
        <v>3990</v>
      </c>
      <c r="AL172" t="s">
        <v>4404</v>
      </c>
      <c r="AM172" t="s">
        <v>4965</v>
      </c>
      <c r="BA172" t="s">
        <v>1389</v>
      </c>
      <c r="BI172" t="s">
        <v>5340</v>
      </c>
      <c r="BJ172" s="42" t="s">
        <v>5548</v>
      </c>
      <c r="BO172" t="s">
        <v>1111</v>
      </c>
      <c r="BP172" s="42" t="s">
        <v>3395</v>
      </c>
      <c r="CE172" t="s">
        <v>4965</v>
      </c>
    </row>
    <row r="173" spans="10:83">
      <c r="J173" t="s">
        <v>2755</v>
      </c>
      <c r="X173" t="s">
        <v>1112</v>
      </c>
      <c r="Y173" s="42" t="s">
        <v>3396</v>
      </c>
      <c r="AF173" t="s">
        <v>3680</v>
      </c>
      <c r="AG173" s="42" t="s">
        <v>3991</v>
      </c>
      <c r="AL173" t="s">
        <v>4405</v>
      </c>
      <c r="AM173" t="s">
        <v>4966</v>
      </c>
      <c r="BA173" t="s">
        <v>1390</v>
      </c>
      <c r="BI173" t="s">
        <v>5341</v>
      </c>
      <c r="BJ173" s="42" t="s">
        <v>5549</v>
      </c>
      <c r="BO173" t="s">
        <v>1112</v>
      </c>
      <c r="BP173" s="42" t="s">
        <v>3396</v>
      </c>
      <c r="CE173" t="s">
        <v>4966</v>
      </c>
    </row>
    <row r="174" spans="10:83">
      <c r="J174" t="s">
        <v>2756</v>
      </c>
      <c r="X174" t="s">
        <v>1113</v>
      </c>
      <c r="Y174" s="42" t="s">
        <v>3397</v>
      </c>
      <c r="AF174" t="s">
        <v>3681</v>
      </c>
      <c r="AG174" s="42" t="s">
        <v>3992</v>
      </c>
      <c r="AL174" t="s">
        <v>4406</v>
      </c>
      <c r="AM174" t="s">
        <v>4967</v>
      </c>
      <c r="BA174" t="s">
        <v>1391</v>
      </c>
      <c r="BI174" t="s">
        <v>5342</v>
      </c>
      <c r="BJ174" s="42" t="s">
        <v>5550</v>
      </c>
      <c r="BO174" t="s">
        <v>1113</v>
      </c>
      <c r="BP174" s="42" t="s">
        <v>3397</v>
      </c>
      <c r="CE174" t="s">
        <v>4967</v>
      </c>
    </row>
    <row r="175" spans="10:83">
      <c r="J175" t="s">
        <v>2757</v>
      </c>
      <c r="X175" t="s">
        <v>1114</v>
      </c>
      <c r="Y175" s="42" t="s">
        <v>3398</v>
      </c>
      <c r="AF175" t="s">
        <v>3682</v>
      </c>
      <c r="AG175" s="42" t="s">
        <v>3993</v>
      </c>
      <c r="AL175" t="s">
        <v>4407</v>
      </c>
      <c r="AM175" t="s">
        <v>4968</v>
      </c>
      <c r="BA175" t="s">
        <v>1392</v>
      </c>
      <c r="BI175" t="s">
        <v>5343</v>
      </c>
      <c r="BJ175" s="42" t="s">
        <v>5551</v>
      </c>
      <c r="BO175" t="s">
        <v>1114</v>
      </c>
      <c r="BP175" s="42" t="s">
        <v>3398</v>
      </c>
      <c r="CE175" t="s">
        <v>4968</v>
      </c>
    </row>
    <row r="176" spans="10:83">
      <c r="J176" t="s">
        <v>2758</v>
      </c>
      <c r="X176" t="s">
        <v>1115</v>
      </c>
      <c r="Y176" s="42" t="s">
        <v>3399</v>
      </c>
      <c r="AF176" t="s">
        <v>3683</v>
      </c>
      <c r="AG176" s="42" t="s">
        <v>3994</v>
      </c>
      <c r="AL176" t="s">
        <v>4408</v>
      </c>
      <c r="AM176" t="s">
        <v>4969</v>
      </c>
      <c r="BA176" t="s">
        <v>1393</v>
      </c>
      <c r="BI176" t="s">
        <v>5344</v>
      </c>
      <c r="BJ176" s="42" t="s">
        <v>5552</v>
      </c>
      <c r="BO176" t="s">
        <v>1115</v>
      </c>
      <c r="BP176" s="42" t="s">
        <v>3399</v>
      </c>
      <c r="CE176" t="s">
        <v>4969</v>
      </c>
    </row>
    <row r="177" spans="10:83">
      <c r="J177" t="s">
        <v>2759</v>
      </c>
      <c r="X177" t="s">
        <v>1116</v>
      </c>
      <c r="Y177" s="42" t="s">
        <v>3400</v>
      </c>
      <c r="AF177" t="s">
        <v>3684</v>
      </c>
      <c r="AG177" s="42" t="s">
        <v>3995</v>
      </c>
      <c r="AL177" t="s">
        <v>4409</v>
      </c>
      <c r="AM177" t="s">
        <v>4970</v>
      </c>
      <c r="BA177" t="s">
        <v>1394</v>
      </c>
      <c r="BI177" t="s">
        <v>5345</v>
      </c>
      <c r="BJ177" s="42" t="s">
        <v>5553</v>
      </c>
      <c r="BO177" t="s">
        <v>1116</v>
      </c>
      <c r="BP177" s="42" t="s">
        <v>3400</v>
      </c>
      <c r="CE177" t="s">
        <v>4970</v>
      </c>
    </row>
    <row r="178" spans="10:83">
      <c r="J178" t="s">
        <v>2760</v>
      </c>
      <c r="X178" t="s">
        <v>1117</v>
      </c>
      <c r="Y178" s="42" t="s">
        <v>3401</v>
      </c>
      <c r="AF178" t="s">
        <v>3685</v>
      </c>
      <c r="AG178" s="42" t="s">
        <v>3996</v>
      </c>
      <c r="AL178" t="s">
        <v>4410</v>
      </c>
      <c r="AM178" t="s">
        <v>936</v>
      </c>
      <c r="BA178" t="s">
        <v>1395</v>
      </c>
      <c r="BI178" t="s">
        <v>5346</v>
      </c>
      <c r="BJ178" s="42" t="s">
        <v>5554</v>
      </c>
      <c r="BO178" t="s">
        <v>1117</v>
      </c>
      <c r="BP178" s="42" t="s">
        <v>3401</v>
      </c>
      <c r="CE178" t="s">
        <v>936</v>
      </c>
    </row>
    <row r="179" spans="10:83">
      <c r="J179" t="s">
        <v>2761</v>
      </c>
      <c r="X179" t="s">
        <v>1118</v>
      </c>
      <c r="Y179" s="42" t="s">
        <v>3402</v>
      </c>
      <c r="AF179" t="s">
        <v>3686</v>
      </c>
      <c r="AG179" s="42" t="s">
        <v>3997</v>
      </c>
      <c r="AL179" t="s">
        <v>4411</v>
      </c>
      <c r="AM179" t="s">
        <v>937</v>
      </c>
      <c r="BA179" t="s">
        <v>1396</v>
      </c>
      <c r="BI179" t="s">
        <v>5347</v>
      </c>
      <c r="BJ179" s="42" t="s">
        <v>5555</v>
      </c>
      <c r="BO179" t="s">
        <v>1118</v>
      </c>
      <c r="BP179" s="42" t="s">
        <v>3402</v>
      </c>
      <c r="CE179" t="s">
        <v>937</v>
      </c>
    </row>
    <row r="180" spans="10:83">
      <c r="J180" t="s">
        <v>2762</v>
      </c>
      <c r="X180" t="s">
        <v>1119</v>
      </c>
      <c r="Y180" s="42" t="s">
        <v>3403</v>
      </c>
      <c r="AF180" t="s">
        <v>3687</v>
      </c>
      <c r="AG180" s="42" t="s">
        <v>3998</v>
      </c>
      <c r="AL180" t="s">
        <v>4412</v>
      </c>
      <c r="BA180" t="s">
        <v>1397</v>
      </c>
      <c r="BI180" t="s">
        <v>5348</v>
      </c>
      <c r="BJ180" s="42" t="s">
        <v>5556</v>
      </c>
      <c r="BO180" t="s">
        <v>1119</v>
      </c>
      <c r="BP180" s="42" t="s">
        <v>3403</v>
      </c>
    </row>
    <row r="181" spans="10:83">
      <c r="J181" t="s">
        <v>2763</v>
      </c>
      <c r="X181" t="s">
        <v>1120</v>
      </c>
      <c r="Y181" s="42" t="s">
        <v>3404</v>
      </c>
      <c r="AF181" t="s">
        <v>3688</v>
      </c>
      <c r="AG181" s="42" t="s">
        <v>3999</v>
      </c>
      <c r="AL181" t="s">
        <v>4413</v>
      </c>
      <c r="BA181" t="s">
        <v>1398</v>
      </c>
      <c r="BI181" t="s">
        <v>5349</v>
      </c>
      <c r="BJ181" s="42" t="s">
        <v>5557</v>
      </c>
      <c r="BO181" t="s">
        <v>1120</v>
      </c>
      <c r="BP181" s="42" t="s">
        <v>3404</v>
      </c>
    </row>
    <row r="182" spans="10:83">
      <c r="J182" t="s">
        <v>2764</v>
      </c>
      <c r="X182" t="s">
        <v>1121</v>
      </c>
      <c r="Y182" s="42" t="s">
        <v>3405</v>
      </c>
      <c r="AF182" t="s">
        <v>3689</v>
      </c>
      <c r="AG182" s="42" t="s">
        <v>4000</v>
      </c>
      <c r="AL182" t="s">
        <v>4414</v>
      </c>
      <c r="BA182" t="s">
        <v>1399</v>
      </c>
      <c r="BI182" t="s">
        <v>5350</v>
      </c>
      <c r="BJ182" s="42" t="s">
        <v>5558</v>
      </c>
      <c r="BO182" t="s">
        <v>1121</v>
      </c>
      <c r="BP182" s="42" t="s">
        <v>3405</v>
      </c>
    </row>
    <row r="183" spans="10:83">
      <c r="J183" t="s">
        <v>2765</v>
      </c>
      <c r="X183" t="s">
        <v>1122</v>
      </c>
      <c r="Y183" s="42" t="s">
        <v>3406</v>
      </c>
      <c r="AF183" t="s">
        <v>3690</v>
      </c>
      <c r="AG183" s="42" t="s">
        <v>4001</v>
      </c>
      <c r="AL183" t="s">
        <v>4415</v>
      </c>
      <c r="BA183" t="s">
        <v>1400</v>
      </c>
      <c r="BI183" t="s">
        <v>5351</v>
      </c>
      <c r="BJ183" s="42" t="s">
        <v>5559</v>
      </c>
      <c r="BO183" t="s">
        <v>1122</v>
      </c>
      <c r="BP183" s="42" t="s">
        <v>3406</v>
      </c>
    </row>
    <row r="184" spans="10:83">
      <c r="J184" t="s">
        <v>2766</v>
      </c>
      <c r="X184" t="s">
        <v>1123</v>
      </c>
      <c r="Y184" s="42" t="s">
        <v>3407</v>
      </c>
      <c r="AF184" t="s">
        <v>3691</v>
      </c>
      <c r="AG184" s="42" t="s">
        <v>4002</v>
      </c>
      <c r="AL184" t="s">
        <v>4416</v>
      </c>
      <c r="BA184" t="s">
        <v>1401</v>
      </c>
      <c r="BI184" t="s">
        <v>3137</v>
      </c>
      <c r="BJ184" s="42" t="s">
        <v>5560</v>
      </c>
      <c r="BO184" t="s">
        <v>1123</v>
      </c>
      <c r="BP184" s="42" t="s">
        <v>3407</v>
      </c>
    </row>
    <row r="185" spans="10:83">
      <c r="J185" t="s">
        <v>2767</v>
      </c>
      <c r="X185" t="s">
        <v>1124</v>
      </c>
      <c r="Y185" s="42" t="s">
        <v>3408</v>
      </c>
      <c r="AF185" t="s">
        <v>3692</v>
      </c>
      <c r="AG185" s="42" t="s">
        <v>4003</v>
      </c>
      <c r="AL185" t="s">
        <v>4417</v>
      </c>
      <c r="BA185" t="s">
        <v>1402</v>
      </c>
      <c r="BI185" t="s">
        <v>5352</v>
      </c>
      <c r="BJ185" s="42" t="s">
        <v>5561</v>
      </c>
      <c r="BO185" t="s">
        <v>1124</v>
      </c>
      <c r="BP185" s="42" t="s">
        <v>3408</v>
      </c>
    </row>
    <row r="186" spans="10:83">
      <c r="J186" t="s">
        <v>2768</v>
      </c>
      <c r="X186" t="s">
        <v>1125</v>
      </c>
      <c r="Y186" s="42" t="s">
        <v>3409</v>
      </c>
      <c r="AF186" t="s">
        <v>3693</v>
      </c>
      <c r="AG186" s="42" t="s">
        <v>4004</v>
      </c>
      <c r="AL186" t="s">
        <v>4418</v>
      </c>
      <c r="BA186" t="s">
        <v>1403</v>
      </c>
      <c r="BI186" t="s">
        <v>5353</v>
      </c>
      <c r="BJ186" s="42" t="s">
        <v>5562</v>
      </c>
      <c r="BO186" t="s">
        <v>1125</v>
      </c>
      <c r="BP186" s="42" t="s">
        <v>3409</v>
      </c>
    </row>
    <row r="187" spans="10:83">
      <c r="J187" t="s">
        <v>2769</v>
      </c>
      <c r="X187" t="s">
        <v>1126</v>
      </c>
      <c r="Y187" s="42" t="s">
        <v>3410</v>
      </c>
      <c r="AF187" t="s">
        <v>3694</v>
      </c>
      <c r="AG187" s="42" t="s">
        <v>4005</v>
      </c>
      <c r="AL187" t="s">
        <v>4419</v>
      </c>
      <c r="BA187" t="s">
        <v>1404</v>
      </c>
      <c r="BI187" t="s">
        <v>5354</v>
      </c>
      <c r="BJ187" s="42" t="s">
        <v>5563</v>
      </c>
      <c r="BO187" t="s">
        <v>1126</v>
      </c>
      <c r="BP187" s="42" t="s">
        <v>3410</v>
      </c>
    </row>
    <row r="188" spans="10:83">
      <c r="J188" t="s">
        <v>2770</v>
      </c>
      <c r="X188" t="s">
        <v>1127</v>
      </c>
      <c r="Y188" s="42" t="s">
        <v>3411</v>
      </c>
      <c r="AF188" t="s">
        <v>3695</v>
      </c>
      <c r="AG188" s="42" t="s">
        <v>4006</v>
      </c>
      <c r="AL188" t="s">
        <v>4420</v>
      </c>
      <c r="BA188" t="s">
        <v>1405</v>
      </c>
      <c r="BI188" t="s">
        <v>5355</v>
      </c>
      <c r="BJ188" s="42" t="s">
        <v>5564</v>
      </c>
      <c r="BO188" t="s">
        <v>1127</v>
      </c>
      <c r="BP188" s="42" t="s">
        <v>3411</v>
      </c>
    </row>
    <row r="189" spans="10:83">
      <c r="J189" t="s">
        <v>2771</v>
      </c>
      <c r="X189" t="s">
        <v>1128</v>
      </c>
      <c r="Y189" s="42" t="s">
        <v>3412</v>
      </c>
      <c r="AF189" t="s">
        <v>3696</v>
      </c>
      <c r="AG189" s="42" t="s">
        <v>4007</v>
      </c>
      <c r="AL189" t="s">
        <v>4421</v>
      </c>
      <c r="BA189" t="s">
        <v>1406</v>
      </c>
      <c r="BI189" t="s">
        <v>5356</v>
      </c>
      <c r="BJ189" s="42" t="s">
        <v>5565</v>
      </c>
      <c r="BO189" t="s">
        <v>1128</v>
      </c>
      <c r="BP189" s="42" t="s">
        <v>3412</v>
      </c>
    </row>
    <row r="190" spans="10:83">
      <c r="J190" t="s">
        <v>2772</v>
      </c>
      <c r="X190" t="s">
        <v>1129</v>
      </c>
      <c r="Y190" s="42" t="s">
        <v>3413</v>
      </c>
      <c r="AF190" t="s">
        <v>3697</v>
      </c>
      <c r="AG190" s="42" t="s">
        <v>4008</v>
      </c>
      <c r="AL190" t="s">
        <v>4422</v>
      </c>
      <c r="BA190" t="s">
        <v>1407</v>
      </c>
      <c r="BI190" t="s">
        <v>5357</v>
      </c>
      <c r="BJ190" s="42" t="s">
        <v>5566</v>
      </c>
      <c r="BO190" t="s">
        <v>1129</v>
      </c>
      <c r="BP190" s="42" t="s">
        <v>3413</v>
      </c>
    </row>
    <row r="191" spans="10:83">
      <c r="J191" t="s">
        <v>2773</v>
      </c>
      <c r="X191" t="s">
        <v>1130</v>
      </c>
      <c r="Y191" s="42" t="s">
        <v>3414</v>
      </c>
      <c r="AF191" t="s">
        <v>3698</v>
      </c>
      <c r="AG191" s="42" t="s">
        <v>4009</v>
      </c>
      <c r="AL191" t="s">
        <v>4423</v>
      </c>
      <c r="BA191" t="s">
        <v>1408</v>
      </c>
      <c r="BI191" t="s">
        <v>5358</v>
      </c>
      <c r="BJ191" s="42" t="s">
        <v>5567</v>
      </c>
      <c r="BO191" t="s">
        <v>1130</v>
      </c>
      <c r="BP191" s="42" t="s">
        <v>3414</v>
      </c>
    </row>
    <row r="192" spans="10:83">
      <c r="J192" t="s">
        <v>2774</v>
      </c>
      <c r="X192" t="s">
        <v>1131</v>
      </c>
      <c r="Y192" s="42" t="s">
        <v>3415</v>
      </c>
      <c r="AF192" t="s">
        <v>3699</v>
      </c>
      <c r="AG192" s="42" t="s">
        <v>4010</v>
      </c>
      <c r="AL192" t="s">
        <v>4424</v>
      </c>
      <c r="BA192" t="s">
        <v>1409</v>
      </c>
      <c r="BI192" t="s">
        <v>4985</v>
      </c>
      <c r="BJ192" s="42" t="s">
        <v>5004</v>
      </c>
      <c r="BO192" t="s">
        <v>1131</v>
      </c>
      <c r="BP192" s="42" t="s">
        <v>3415</v>
      </c>
    </row>
    <row r="193" spans="10:68">
      <c r="J193" t="s">
        <v>2775</v>
      </c>
      <c r="X193" t="s">
        <v>1132</v>
      </c>
      <c r="Y193" s="42" t="s">
        <v>3416</v>
      </c>
      <c r="AF193" t="s">
        <v>3700</v>
      </c>
      <c r="AG193" s="42" t="s">
        <v>4011</v>
      </c>
      <c r="AL193" t="s">
        <v>4425</v>
      </c>
      <c r="BA193" t="s">
        <v>1410</v>
      </c>
      <c r="BI193" t="s">
        <v>4986</v>
      </c>
      <c r="BJ193" s="42" t="s">
        <v>5005</v>
      </c>
      <c r="BO193" t="s">
        <v>1132</v>
      </c>
      <c r="BP193" s="42" t="s">
        <v>3416</v>
      </c>
    </row>
    <row r="194" spans="10:68">
      <c r="J194" t="s">
        <v>2776</v>
      </c>
      <c r="X194" t="s">
        <v>1133</v>
      </c>
      <c r="Y194" s="42" t="s">
        <v>3417</v>
      </c>
      <c r="AF194" t="s">
        <v>3701</v>
      </c>
      <c r="AG194" s="42" t="s">
        <v>4012</v>
      </c>
      <c r="AL194" t="s">
        <v>4426</v>
      </c>
      <c r="BA194" t="s">
        <v>1411</v>
      </c>
      <c r="BI194" t="s">
        <v>5359</v>
      </c>
      <c r="BJ194" s="42" t="s">
        <v>5568</v>
      </c>
      <c r="BO194" t="s">
        <v>1133</v>
      </c>
      <c r="BP194" s="42" t="s">
        <v>3417</v>
      </c>
    </row>
    <row r="195" spans="10:68">
      <c r="J195" t="s">
        <v>2777</v>
      </c>
      <c r="X195" t="s">
        <v>1134</v>
      </c>
      <c r="Y195" s="42" t="s">
        <v>3418</v>
      </c>
      <c r="AF195" t="s">
        <v>3702</v>
      </c>
      <c r="AG195" s="42" t="s">
        <v>4013</v>
      </c>
      <c r="AL195" t="s">
        <v>4427</v>
      </c>
      <c r="BA195" t="s">
        <v>1412</v>
      </c>
      <c r="BI195" t="s">
        <v>5360</v>
      </c>
      <c r="BJ195" s="42" t="s">
        <v>5569</v>
      </c>
      <c r="BO195" t="s">
        <v>1134</v>
      </c>
      <c r="BP195" s="42" t="s">
        <v>3418</v>
      </c>
    </row>
    <row r="196" spans="10:68">
      <c r="J196" t="s">
        <v>2778</v>
      </c>
      <c r="X196" t="s">
        <v>1135</v>
      </c>
      <c r="Y196" s="42" t="s">
        <v>3419</v>
      </c>
      <c r="AF196" t="s">
        <v>3703</v>
      </c>
      <c r="AG196" s="42" t="s">
        <v>4014</v>
      </c>
      <c r="AL196" t="s">
        <v>4428</v>
      </c>
      <c r="BA196" t="s">
        <v>1413</v>
      </c>
      <c r="BI196" t="s">
        <v>5361</v>
      </c>
      <c r="BJ196" s="42" t="s">
        <v>5570</v>
      </c>
      <c r="BO196" t="s">
        <v>1135</v>
      </c>
      <c r="BP196" s="42" t="s">
        <v>3419</v>
      </c>
    </row>
    <row r="197" spans="10:68">
      <c r="J197" t="s">
        <v>2779</v>
      </c>
      <c r="X197" t="s">
        <v>1136</v>
      </c>
      <c r="Y197" s="42" t="s">
        <v>3420</v>
      </c>
      <c r="AF197" t="s">
        <v>3704</v>
      </c>
      <c r="AG197" s="42" t="s">
        <v>4015</v>
      </c>
      <c r="AL197" t="s">
        <v>4429</v>
      </c>
      <c r="BA197" t="s">
        <v>1414</v>
      </c>
      <c r="BI197" t="s">
        <v>5362</v>
      </c>
      <c r="BJ197" s="42" t="s">
        <v>5571</v>
      </c>
      <c r="BO197" t="s">
        <v>1136</v>
      </c>
      <c r="BP197" s="42" t="s">
        <v>3420</v>
      </c>
    </row>
    <row r="198" spans="10:68">
      <c r="J198" t="s">
        <v>2780</v>
      </c>
      <c r="X198" t="s">
        <v>1137</v>
      </c>
      <c r="Y198" s="42" t="s">
        <v>3421</v>
      </c>
      <c r="AF198" t="s">
        <v>3705</v>
      </c>
      <c r="AG198" s="42" t="s">
        <v>4016</v>
      </c>
      <c r="AL198" t="s">
        <v>4430</v>
      </c>
      <c r="BA198" t="s">
        <v>1415</v>
      </c>
      <c r="BI198" t="s">
        <v>5363</v>
      </c>
      <c r="BJ198" s="42" t="s">
        <v>5572</v>
      </c>
      <c r="BO198" t="s">
        <v>1137</v>
      </c>
      <c r="BP198" s="42" t="s">
        <v>3421</v>
      </c>
    </row>
    <row r="199" spans="10:68">
      <c r="J199" t="s">
        <v>2781</v>
      </c>
      <c r="X199" t="s">
        <v>1138</v>
      </c>
      <c r="Y199" s="42" t="s">
        <v>3422</v>
      </c>
      <c r="AF199" t="s">
        <v>3706</v>
      </c>
      <c r="AG199" s="42" t="s">
        <v>4017</v>
      </c>
      <c r="AL199" t="s">
        <v>4431</v>
      </c>
      <c r="BA199" t="s">
        <v>1416</v>
      </c>
      <c r="BI199" t="s">
        <v>5364</v>
      </c>
      <c r="BJ199" s="42" t="s">
        <v>5573</v>
      </c>
      <c r="BO199" t="s">
        <v>1138</v>
      </c>
      <c r="BP199" s="42" t="s">
        <v>3422</v>
      </c>
    </row>
    <row r="200" spans="10:68">
      <c r="J200" t="s">
        <v>2782</v>
      </c>
      <c r="X200" t="s">
        <v>1139</v>
      </c>
      <c r="Y200" s="42" t="s">
        <v>3423</v>
      </c>
      <c r="AF200" t="s">
        <v>3707</v>
      </c>
      <c r="AG200" s="42" t="s">
        <v>4018</v>
      </c>
      <c r="AL200" t="s">
        <v>4432</v>
      </c>
      <c r="BA200" t="s">
        <v>1417</v>
      </c>
      <c r="BI200" t="s">
        <v>5365</v>
      </c>
      <c r="BJ200" s="42" t="s">
        <v>5574</v>
      </c>
      <c r="BO200" t="s">
        <v>1139</v>
      </c>
      <c r="BP200" s="42" t="s">
        <v>3423</v>
      </c>
    </row>
    <row r="201" spans="10:68">
      <c r="J201" t="s">
        <v>2783</v>
      </c>
      <c r="X201" t="s">
        <v>1140</v>
      </c>
      <c r="Y201" s="42" t="s">
        <v>3424</v>
      </c>
      <c r="AF201" t="s">
        <v>3708</v>
      </c>
      <c r="AG201" s="42" t="s">
        <v>4019</v>
      </c>
      <c r="AL201" t="s">
        <v>4433</v>
      </c>
      <c r="BA201" t="s">
        <v>1418</v>
      </c>
      <c r="BI201" t="s">
        <v>5366</v>
      </c>
      <c r="BJ201" s="42" t="s">
        <v>5575</v>
      </c>
      <c r="BO201" t="s">
        <v>1140</v>
      </c>
      <c r="BP201" s="42" t="s">
        <v>3424</v>
      </c>
    </row>
    <row r="202" spans="10:68">
      <c r="J202" t="s">
        <v>2784</v>
      </c>
      <c r="X202" t="s">
        <v>1141</v>
      </c>
      <c r="Y202" s="42" t="s">
        <v>3425</v>
      </c>
      <c r="AF202" t="s">
        <v>3709</v>
      </c>
      <c r="AG202" s="42" t="s">
        <v>4020</v>
      </c>
      <c r="AL202" t="s">
        <v>4434</v>
      </c>
      <c r="BA202" t="s">
        <v>1419</v>
      </c>
      <c r="BI202" t="s">
        <v>5367</v>
      </c>
      <c r="BJ202" s="42" t="s">
        <v>5576</v>
      </c>
      <c r="BO202" t="s">
        <v>1141</v>
      </c>
      <c r="BP202" s="42" t="s">
        <v>3425</v>
      </c>
    </row>
    <row r="203" spans="10:68">
      <c r="J203" t="s">
        <v>2785</v>
      </c>
      <c r="X203" t="s">
        <v>1142</v>
      </c>
      <c r="Y203" s="42" t="s">
        <v>3426</v>
      </c>
      <c r="AF203" t="s">
        <v>3710</v>
      </c>
      <c r="AG203" s="42" t="s">
        <v>4021</v>
      </c>
      <c r="AL203" t="s">
        <v>4435</v>
      </c>
      <c r="BA203" t="s">
        <v>1420</v>
      </c>
      <c r="BI203" t="s">
        <v>5368</v>
      </c>
      <c r="BJ203" s="42" t="s">
        <v>5577</v>
      </c>
      <c r="BO203" t="s">
        <v>1142</v>
      </c>
      <c r="BP203" s="42" t="s">
        <v>3426</v>
      </c>
    </row>
    <row r="204" spans="10:68">
      <c r="J204" t="s">
        <v>2786</v>
      </c>
      <c r="X204" t="s">
        <v>1143</v>
      </c>
      <c r="Y204" s="42" t="s">
        <v>3427</v>
      </c>
      <c r="AF204" t="s">
        <v>3711</v>
      </c>
      <c r="AG204" s="42" t="s">
        <v>4022</v>
      </c>
      <c r="AL204" t="s">
        <v>4436</v>
      </c>
      <c r="BA204" t="s">
        <v>1421</v>
      </c>
      <c r="BI204" t="s">
        <v>5369</v>
      </c>
      <c r="BJ204" s="42" t="s">
        <v>5578</v>
      </c>
      <c r="BO204" t="s">
        <v>1143</v>
      </c>
      <c r="BP204" s="42" t="s">
        <v>3427</v>
      </c>
    </row>
    <row r="205" spans="10:68">
      <c r="J205" t="s">
        <v>2787</v>
      </c>
      <c r="X205" t="s">
        <v>1144</v>
      </c>
      <c r="Y205" s="42" t="s">
        <v>3428</v>
      </c>
      <c r="AF205" t="s">
        <v>3712</v>
      </c>
      <c r="AG205" s="42" t="s">
        <v>4023</v>
      </c>
      <c r="AL205" t="s">
        <v>4437</v>
      </c>
      <c r="BA205" t="s">
        <v>1422</v>
      </c>
      <c r="BI205" t="s">
        <v>5370</v>
      </c>
      <c r="BJ205" s="42" t="s">
        <v>5579</v>
      </c>
      <c r="BO205" t="s">
        <v>1144</v>
      </c>
      <c r="BP205" s="42" t="s">
        <v>3428</v>
      </c>
    </row>
    <row r="206" spans="10:68">
      <c r="J206" t="s">
        <v>2788</v>
      </c>
      <c r="X206" t="s">
        <v>1145</v>
      </c>
      <c r="Y206" s="42" t="s">
        <v>3429</v>
      </c>
      <c r="AF206" t="s">
        <v>3713</v>
      </c>
      <c r="AG206" s="42" t="s">
        <v>4024</v>
      </c>
      <c r="AL206" t="s">
        <v>4438</v>
      </c>
      <c r="BA206" t="s">
        <v>1423</v>
      </c>
      <c r="BI206" t="s">
        <v>5371</v>
      </c>
      <c r="BJ206" s="42" t="s">
        <v>5580</v>
      </c>
      <c r="BO206" t="s">
        <v>1145</v>
      </c>
      <c r="BP206" s="42" t="s">
        <v>3429</v>
      </c>
    </row>
    <row r="207" spans="10:68">
      <c r="J207" t="s">
        <v>2789</v>
      </c>
      <c r="X207" t="s">
        <v>1146</v>
      </c>
      <c r="Y207" s="42" t="s">
        <v>3430</v>
      </c>
      <c r="AF207" t="s">
        <v>3714</v>
      </c>
      <c r="AG207" s="42" t="s">
        <v>4025</v>
      </c>
      <c r="AL207" t="s">
        <v>4439</v>
      </c>
      <c r="BA207" t="s">
        <v>1424</v>
      </c>
      <c r="BI207" t="s">
        <v>4988</v>
      </c>
      <c r="BJ207" s="42" t="s">
        <v>5007</v>
      </c>
      <c r="BO207" t="s">
        <v>1146</v>
      </c>
      <c r="BP207" s="42" t="s">
        <v>3430</v>
      </c>
    </row>
    <row r="208" spans="10:68">
      <c r="J208" t="s">
        <v>2790</v>
      </c>
      <c r="X208" t="s">
        <v>1147</v>
      </c>
      <c r="Y208" s="42" t="s">
        <v>3431</v>
      </c>
      <c r="AF208" t="s">
        <v>3715</v>
      </c>
      <c r="AG208" s="42" t="s">
        <v>4026</v>
      </c>
      <c r="AL208" t="s">
        <v>4440</v>
      </c>
      <c r="BA208" t="s">
        <v>1425</v>
      </c>
      <c r="BI208" t="s">
        <v>5372</v>
      </c>
      <c r="BJ208" s="42" t="s">
        <v>5581</v>
      </c>
      <c r="BO208" t="s">
        <v>1147</v>
      </c>
      <c r="BP208" s="42" t="s">
        <v>3431</v>
      </c>
    </row>
    <row r="209" spans="10:68">
      <c r="J209" t="s">
        <v>2791</v>
      </c>
      <c r="X209" t="s">
        <v>1148</v>
      </c>
      <c r="Y209" s="42" t="s">
        <v>3432</v>
      </c>
      <c r="AF209" t="s">
        <v>3716</v>
      </c>
      <c r="AG209" s="42" t="s">
        <v>4027</v>
      </c>
      <c r="AL209" t="s">
        <v>4441</v>
      </c>
      <c r="BA209" t="s">
        <v>1426</v>
      </c>
      <c r="BI209" t="s">
        <v>5373</v>
      </c>
      <c r="BJ209" s="42" t="s">
        <v>5582</v>
      </c>
      <c r="BO209" t="s">
        <v>1148</v>
      </c>
      <c r="BP209" s="42" t="s">
        <v>3432</v>
      </c>
    </row>
    <row r="210" spans="10:68">
      <c r="J210" t="s">
        <v>2792</v>
      </c>
      <c r="X210" t="s">
        <v>1149</v>
      </c>
      <c r="Y210" s="42" t="s">
        <v>3433</v>
      </c>
      <c r="AF210" t="s">
        <v>3717</v>
      </c>
      <c r="AG210" s="42" t="s">
        <v>4028</v>
      </c>
      <c r="AL210" t="s">
        <v>4442</v>
      </c>
      <c r="BA210" t="s">
        <v>1427</v>
      </c>
      <c r="BI210" t="s">
        <v>5374</v>
      </c>
      <c r="BJ210" s="42" t="s">
        <v>5583</v>
      </c>
      <c r="BO210" t="s">
        <v>1149</v>
      </c>
      <c r="BP210" s="42" t="s">
        <v>3433</v>
      </c>
    </row>
    <row r="211" spans="10:68">
      <c r="J211" t="s">
        <v>2793</v>
      </c>
      <c r="X211" t="s">
        <v>1150</v>
      </c>
      <c r="Y211" s="42" t="s">
        <v>3434</v>
      </c>
      <c r="AF211" t="s">
        <v>3718</v>
      </c>
      <c r="AG211" s="42" t="s">
        <v>4029</v>
      </c>
      <c r="AL211" t="s">
        <v>4443</v>
      </c>
      <c r="BA211" t="s">
        <v>1428</v>
      </c>
      <c r="BI211" t="s">
        <v>5375</v>
      </c>
      <c r="BJ211" s="42" t="s">
        <v>5584</v>
      </c>
      <c r="BO211" t="s">
        <v>1150</v>
      </c>
      <c r="BP211" s="42" t="s">
        <v>3434</v>
      </c>
    </row>
    <row r="212" spans="10:68">
      <c r="J212" t="s">
        <v>2794</v>
      </c>
      <c r="X212" t="s">
        <v>1151</v>
      </c>
      <c r="Y212" s="42" t="s">
        <v>3435</v>
      </c>
      <c r="AF212" t="s">
        <v>3719</v>
      </c>
      <c r="AG212" s="42" t="s">
        <v>4030</v>
      </c>
      <c r="AL212" t="s">
        <v>4444</v>
      </c>
      <c r="BA212" t="s">
        <v>1429</v>
      </c>
      <c r="BI212" t="s">
        <v>5376</v>
      </c>
      <c r="BJ212" s="42" t="s">
        <v>5585</v>
      </c>
      <c r="BO212" t="s">
        <v>1151</v>
      </c>
      <c r="BP212" s="42" t="s">
        <v>3435</v>
      </c>
    </row>
    <row r="213" spans="10:68">
      <c r="J213" t="s">
        <v>2795</v>
      </c>
      <c r="X213" t="s">
        <v>1152</v>
      </c>
      <c r="Y213" s="42" t="s">
        <v>3436</v>
      </c>
      <c r="AF213" t="s">
        <v>3720</v>
      </c>
      <c r="AG213" s="42" t="s">
        <v>4031</v>
      </c>
      <c r="AL213" t="s">
        <v>4445</v>
      </c>
      <c r="BA213" t="s">
        <v>1430</v>
      </c>
      <c r="BI213" t="s">
        <v>5377</v>
      </c>
      <c r="BJ213" s="42" t="s">
        <v>5586</v>
      </c>
      <c r="BO213" t="s">
        <v>1152</v>
      </c>
      <c r="BP213" s="42" t="s">
        <v>3436</v>
      </c>
    </row>
    <row r="214" spans="10:68">
      <c r="J214" t="s">
        <v>2796</v>
      </c>
      <c r="X214" t="s">
        <v>1153</v>
      </c>
      <c r="Y214" s="42" t="s">
        <v>3437</v>
      </c>
      <c r="AF214" t="s">
        <v>3721</v>
      </c>
      <c r="AG214" s="42" t="s">
        <v>4032</v>
      </c>
      <c r="AL214" t="s">
        <v>4446</v>
      </c>
      <c r="BA214" t="s">
        <v>1431</v>
      </c>
      <c r="BI214" t="s">
        <v>5378</v>
      </c>
      <c r="BJ214" s="42" t="s">
        <v>5587</v>
      </c>
      <c r="BO214" t="s">
        <v>1153</v>
      </c>
      <c r="BP214" s="42" t="s">
        <v>3437</v>
      </c>
    </row>
    <row r="215" spans="10:68">
      <c r="J215" t="s">
        <v>2797</v>
      </c>
      <c r="X215" t="s">
        <v>1154</v>
      </c>
      <c r="Y215" s="42" t="s">
        <v>3438</v>
      </c>
      <c r="AF215" t="s">
        <v>3722</v>
      </c>
      <c r="AG215" s="42" t="s">
        <v>4033</v>
      </c>
      <c r="AL215" t="s">
        <v>4447</v>
      </c>
      <c r="BA215" t="s">
        <v>1432</v>
      </c>
      <c r="BI215" t="s">
        <v>5379</v>
      </c>
      <c r="BJ215" s="42" t="s">
        <v>5588</v>
      </c>
      <c r="BO215" t="s">
        <v>1154</v>
      </c>
      <c r="BP215" s="42" t="s">
        <v>3438</v>
      </c>
    </row>
    <row r="216" spans="10:68">
      <c r="J216" t="s">
        <v>2798</v>
      </c>
      <c r="X216" t="s">
        <v>1155</v>
      </c>
      <c r="Y216" s="42" t="s">
        <v>3439</v>
      </c>
      <c r="AF216" t="s">
        <v>3723</v>
      </c>
      <c r="AG216" s="42" t="s">
        <v>4034</v>
      </c>
      <c r="AL216" t="s">
        <v>4448</v>
      </c>
      <c r="BA216" t="s">
        <v>1433</v>
      </c>
      <c r="BI216" t="s">
        <v>5380</v>
      </c>
      <c r="BJ216" s="42" t="s">
        <v>5589</v>
      </c>
      <c r="BO216" t="s">
        <v>1155</v>
      </c>
      <c r="BP216" s="42" t="s">
        <v>3439</v>
      </c>
    </row>
    <row r="217" spans="10:68">
      <c r="J217" t="s">
        <v>2799</v>
      </c>
      <c r="X217" t="s">
        <v>1156</v>
      </c>
      <c r="Y217" s="42" t="s">
        <v>3440</v>
      </c>
      <c r="AF217" t="s">
        <v>3724</v>
      </c>
      <c r="AG217" s="42" t="s">
        <v>4035</v>
      </c>
      <c r="AL217" t="s">
        <v>4449</v>
      </c>
      <c r="BA217" t="s">
        <v>1434</v>
      </c>
      <c r="BI217" t="s">
        <v>5381</v>
      </c>
      <c r="BJ217" s="42" t="s">
        <v>5590</v>
      </c>
      <c r="BO217" t="s">
        <v>1156</v>
      </c>
      <c r="BP217" s="42" t="s">
        <v>3440</v>
      </c>
    </row>
    <row r="218" spans="10:68">
      <c r="J218" t="s">
        <v>2800</v>
      </c>
      <c r="X218" t="s">
        <v>1157</v>
      </c>
      <c r="Y218" s="42" t="s">
        <v>3441</v>
      </c>
      <c r="AF218" t="s">
        <v>3725</v>
      </c>
      <c r="AG218" s="42" t="s">
        <v>4036</v>
      </c>
      <c r="AL218" t="s">
        <v>4450</v>
      </c>
      <c r="BA218" t="s">
        <v>1435</v>
      </c>
      <c r="BI218" t="s">
        <v>5382</v>
      </c>
      <c r="BJ218" s="42" t="s">
        <v>5591</v>
      </c>
      <c r="BO218" t="s">
        <v>1157</v>
      </c>
      <c r="BP218" s="42" t="s">
        <v>3441</v>
      </c>
    </row>
    <row r="219" spans="10:68">
      <c r="J219" t="s">
        <v>2801</v>
      </c>
      <c r="X219" t="s">
        <v>1158</v>
      </c>
      <c r="Y219" s="42" t="s">
        <v>3442</v>
      </c>
      <c r="AF219" t="s">
        <v>3726</v>
      </c>
      <c r="AG219" s="42" t="s">
        <v>4037</v>
      </c>
      <c r="AL219" t="s">
        <v>4451</v>
      </c>
      <c r="BA219" t="s">
        <v>1436</v>
      </c>
      <c r="BI219" t="s">
        <v>5383</v>
      </c>
      <c r="BJ219" s="42" t="s">
        <v>5592</v>
      </c>
      <c r="BO219" t="s">
        <v>1158</v>
      </c>
      <c r="BP219" s="42" t="s">
        <v>3442</v>
      </c>
    </row>
    <row r="220" spans="10:68">
      <c r="J220" t="s">
        <v>2802</v>
      </c>
      <c r="X220" t="s">
        <v>1159</v>
      </c>
      <c r="Y220" s="42" t="s">
        <v>3443</v>
      </c>
      <c r="AF220" t="s">
        <v>3727</v>
      </c>
      <c r="AG220" s="42" t="s">
        <v>4038</v>
      </c>
      <c r="AL220" t="s">
        <v>4452</v>
      </c>
      <c r="BA220" t="s">
        <v>1437</v>
      </c>
      <c r="BI220" t="s">
        <v>4991</v>
      </c>
      <c r="BJ220" s="42" t="s">
        <v>5010</v>
      </c>
      <c r="BO220" t="s">
        <v>1159</v>
      </c>
      <c r="BP220" s="42" t="s">
        <v>3443</v>
      </c>
    </row>
    <row r="221" spans="10:68">
      <c r="J221" t="s">
        <v>2803</v>
      </c>
      <c r="X221" t="s">
        <v>1160</v>
      </c>
      <c r="Y221" s="42" t="s">
        <v>3444</v>
      </c>
      <c r="AF221" t="s">
        <v>3728</v>
      </c>
      <c r="AG221" s="42" t="s">
        <v>4039</v>
      </c>
      <c r="AL221" t="s">
        <v>4453</v>
      </c>
      <c r="BA221" t="s">
        <v>1438</v>
      </c>
      <c r="BI221" t="s">
        <v>4993</v>
      </c>
      <c r="BJ221" s="42" t="s">
        <v>5012</v>
      </c>
      <c r="BO221" t="s">
        <v>1160</v>
      </c>
      <c r="BP221" s="42" t="s">
        <v>3444</v>
      </c>
    </row>
    <row r="222" spans="10:68">
      <c r="J222" t="s">
        <v>2804</v>
      </c>
      <c r="X222" t="s">
        <v>1161</v>
      </c>
      <c r="Y222" s="42" t="s">
        <v>3445</v>
      </c>
      <c r="AF222" t="s">
        <v>3729</v>
      </c>
      <c r="AG222" s="42" t="s">
        <v>4040</v>
      </c>
      <c r="AL222" t="s">
        <v>4454</v>
      </c>
      <c r="BA222" t="s">
        <v>1439</v>
      </c>
      <c r="BI222" t="s">
        <v>4994</v>
      </c>
      <c r="BJ222" s="42" t="s">
        <v>5013</v>
      </c>
      <c r="BO222" t="s">
        <v>1161</v>
      </c>
      <c r="BP222" s="42" t="s">
        <v>3445</v>
      </c>
    </row>
    <row r="223" spans="10:68">
      <c r="J223" t="s">
        <v>2805</v>
      </c>
      <c r="X223" t="s">
        <v>1162</v>
      </c>
      <c r="Y223" s="42" t="s">
        <v>3446</v>
      </c>
      <c r="AF223" t="s">
        <v>3730</v>
      </c>
      <c r="AG223" s="42" t="s">
        <v>4041</v>
      </c>
      <c r="AL223" t="s">
        <v>4455</v>
      </c>
      <c r="BA223" t="s">
        <v>1440</v>
      </c>
      <c r="BI223" t="s">
        <v>4995</v>
      </c>
      <c r="BJ223" s="42" t="s">
        <v>5014</v>
      </c>
      <c r="BO223" t="s">
        <v>1162</v>
      </c>
      <c r="BP223" s="42" t="s">
        <v>3446</v>
      </c>
    </row>
    <row r="224" spans="10:68">
      <c r="J224" t="s">
        <v>2806</v>
      </c>
      <c r="X224" t="s">
        <v>1163</v>
      </c>
      <c r="Y224" s="42" t="s">
        <v>3447</v>
      </c>
      <c r="AF224" t="s">
        <v>3731</v>
      </c>
      <c r="AG224" s="42" t="s">
        <v>4042</v>
      </c>
      <c r="AL224" t="s">
        <v>4456</v>
      </c>
      <c r="BA224" t="s">
        <v>1441</v>
      </c>
      <c r="BI224" t="s">
        <v>4996</v>
      </c>
      <c r="BJ224" s="42" t="s">
        <v>5015</v>
      </c>
      <c r="BO224" t="s">
        <v>1163</v>
      </c>
      <c r="BP224" s="42" t="s">
        <v>3447</v>
      </c>
    </row>
    <row r="225" spans="10:68">
      <c r="J225" t="s">
        <v>2807</v>
      </c>
      <c r="X225" t="s">
        <v>1164</v>
      </c>
      <c r="Y225" s="42" t="s">
        <v>3448</v>
      </c>
      <c r="AF225" t="s">
        <v>3732</v>
      </c>
      <c r="AG225" s="42" t="s">
        <v>4043</v>
      </c>
      <c r="AL225" t="s">
        <v>4457</v>
      </c>
      <c r="BA225" t="s">
        <v>1442</v>
      </c>
      <c r="BO225" t="s">
        <v>1164</v>
      </c>
      <c r="BP225" s="42" t="s">
        <v>3448</v>
      </c>
    </row>
    <row r="226" spans="10:68">
      <c r="J226" t="s">
        <v>2808</v>
      </c>
      <c r="X226" t="s">
        <v>1165</v>
      </c>
      <c r="Y226" s="42" t="s">
        <v>3449</v>
      </c>
      <c r="AF226" t="s">
        <v>3733</v>
      </c>
      <c r="AG226" s="42" t="s">
        <v>4044</v>
      </c>
      <c r="AL226" t="s">
        <v>4458</v>
      </c>
      <c r="BA226" t="s">
        <v>1443</v>
      </c>
      <c r="BO226" t="s">
        <v>1165</v>
      </c>
      <c r="BP226" s="42" t="s">
        <v>3449</v>
      </c>
    </row>
    <row r="227" spans="10:68">
      <c r="J227" t="s">
        <v>2809</v>
      </c>
      <c r="X227" t="s">
        <v>1166</v>
      </c>
      <c r="Y227" s="42" t="s">
        <v>3450</v>
      </c>
      <c r="AF227" t="s">
        <v>3734</v>
      </c>
      <c r="AG227" s="42" t="s">
        <v>4045</v>
      </c>
      <c r="AL227" t="s">
        <v>4459</v>
      </c>
      <c r="BA227" t="s">
        <v>1444</v>
      </c>
      <c r="BO227" t="s">
        <v>1166</v>
      </c>
      <c r="BP227" s="42" t="s">
        <v>3450</v>
      </c>
    </row>
    <row r="228" spans="10:68">
      <c r="J228" t="s">
        <v>2810</v>
      </c>
      <c r="X228" t="s">
        <v>1167</v>
      </c>
      <c r="Y228" s="42" t="s">
        <v>3451</v>
      </c>
      <c r="AF228" t="s">
        <v>3735</v>
      </c>
      <c r="AG228" s="42" t="s">
        <v>4046</v>
      </c>
      <c r="AL228" t="s">
        <v>4460</v>
      </c>
      <c r="BA228" t="s">
        <v>1445</v>
      </c>
      <c r="BO228" t="s">
        <v>1167</v>
      </c>
      <c r="BP228" s="42" t="s">
        <v>3451</v>
      </c>
    </row>
    <row r="229" spans="10:68">
      <c r="J229" t="s">
        <v>2811</v>
      </c>
      <c r="X229" t="s">
        <v>1168</v>
      </c>
      <c r="Y229" s="42" t="s">
        <v>3452</v>
      </c>
      <c r="AF229" t="s">
        <v>3736</v>
      </c>
      <c r="AG229" s="42" t="s">
        <v>4047</v>
      </c>
      <c r="AL229" t="s">
        <v>4461</v>
      </c>
      <c r="BA229" t="s">
        <v>1446</v>
      </c>
      <c r="BO229" t="s">
        <v>1168</v>
      </c>
      <c r="BP229" s="42" t="s">
        <v>3452</v>
      </c>
    </row>
    <row r="230" spans="10:68">
      <c r="J230" t="s">
        <v>2812</v>
      </c>
      <c r="X230" t="s">
        <v>1169</v>
      </c>
      <c r="Y230" s="42" t="s">
        <v>3453</v>
      </c>
      <c r="AF230" t="s">
        <v>3737</v>
      </c>
      <c r="AG230" s="42" t="s">
        <v>4048</v>
      </c>
      <c r="AL230" t="s">
        <v>4462</v>
      </c>
      <c r="BA230" t="s">
        <v>1447</v>
      </c>
      <c r="BO230" t="s">
        <v>1169</v>
      </c>
      <c r="BP230" s="42" t="s">
        <v>3453</v>
      </c>
    </row>
    <row r="231" spans="10:68">
      <c r="J231" t="s">
        <v>2813</v>
      </c>
      <c r="X231" t="s">
        <v>1170</v>
      </c>
      <c r="Y231" s="42" t="s">
        <v>3454</v>
      </c>
      <c r="AF231" t="s">
        <v>3738</v>
      </c>
      <c r="AG231" s="42" t="s">
        <v>4049</v>
      </c>
      <c r="AL231" t="s">
        <v>4463</v>
      </c>
      <c r="BA231" t="s">
        <v>1448</v>
      </c>
      <c r="BO231" t="s">
        <v>1170</v>
      </c>
      <c r="BP231" s="42" t="s">
        <v>3454</v>
      </c>
    </row>
    <row r="232" spans="10:68">
      <c r="J232" t="s">
        <v>2814</v>
      </c>
      <c r="X232" t="s">
        <v>1171</v>
      </c>
      <c r="Y232" s="42" t="s">
        <v>3455</v>
      </c>
      <c r="AF232" t="s">
        <v>3739</v>
      </c>
      <c r="AG232" s="42" t="s">
        <v>4050</v>
      </c>
      <c r="AL232" t="s">
        <v>4464</v>
      </c>
      <c r="BA232" t="s">
        <v>1449</v>
      </c>
      <c r="BO232" t="s">
        <v>1171</v>
      </c>
      <c r="BP232" s="42" t="s">
        <v>3455</v>
      </c>
    </row>
    <row r="233" spans="10:68">
      <c r="J233" t="s">
        <v>2815</v>
      </c>
      <c r="X233" t="s">
        <v>1172</v>
      </c>
      <c r="Y233" s="42" t="s">
        <v>3456</v>
      </c>
      <c r="AF233" t="s">
        <v>3740</v>
      </c>
      <c r="AG233" s="42" t="s">
        <v>4051</v>
      </c>
      <c r="AL233" t="s">
        <v>4465</v>
      </c>
      <c r="BA233" t="s">
        <v>1450</v>
      </c>
      <c r="BO233" t="s">
        <v>1172</v>
      </c>
      <c r="BP233" s="42" t="s">
        <v>3456</v>
      </c>
    </row>
    <row r="234" spans="10:68">
      <c r="J234" t="s">
        <v>2816</v>
      </c>
      <c r="X234" t="s">
        <v>1173</v>
      </c>
      <c r="Y234" s="42" t="s">
        <v>3457</v>
      </c>
      <c r="AF234" t="s">
        <v>3741</v>
      </c>
      <c r="AG234" s="42" t="s">
        <v>4052</v>
      </c>
      <c r="AL234" t="s">
        <v>4466</v>
      </c>
      <c r="BA234" t="s">
        <v>1451</v>
      </c>
      <c r="BO234" t="s">
        <v>1173</v>
      </c>
      <c r="BP234" s="42" t="s">
        <v>3457</v>
      </c>
    </row>
    <row r="235" spans="10:68">
      <c r="J235" t="s">
        <v>2817</v>
      </c>
      <c r="X235" t="s">
        <v>1174</v>
      </c>
      <c r="Y235" s="42" t="s">
        <v>3458</v>
      </c>
      <c r="AF235" t="s">
        <v>3742</v>
      </c>
      <c r="AG235" s="42" t="s">
        <v>4053</v>
      </c>
      <c r="AL235" t="s">
        <v>4467</v>
      </c>
      <c r="BA235" t="s">
        <v>1452</v>
      </c>
      <c r="BO235" t="s">
        <v>1174</v>
      </c>
      <c r="BP235" s="42" t="s">
        <v>3458</v>
      </c>
    </row>
    <row r="236" spans="10:68">
      <c r="J236" t="s">
        <v>2818</v>
      </c>
      <c r="X236" t="s">
        <v>1175</v>
      </c>
      <c r="Y236" s="42" t="s">
        <v>3459</v>
      </c>
      <c r="AF236" t="s">
        <v>3743</v>
      </c>
      <c r="AG236" s="42" t="s">
        <v>4054</v>
      </c>
      <c r="AL236" t="s">
        <v>4468</v>
      </c>
      <c r="BA236" t="s">
        <v>1453</v>
      </c>
      <c r="BO236" t="s">
        <v>1175</v>
      </c>
      <c r="BP236" s="42" t="s">
        <v>3459</v>
      </c>
    </row>
    <row r="237" spans="10:68">
      <c r="J237" t="s">
        <v>2819</v>
      </c>
      <c r="X237" t="s">
        <v>1176</v>
      </c>
      <c r="Y237" s="42" t="s">
        <v>3460</v>
      </c>
      <c r="AF237" t="s">
        <v>3744</v>
      </c>
      <c r="AG237" s="42" t="s">
        <v>4055</v>
      </c>
      <c r="AL237" t="s">
        <v>4469</v>
      </c>
      <c r="BA237" t="s">
        <v>1454</v>
      </c>
      <c r="BO237" t="s">
        <v>1176</v>
      </c>
      <c r="BP237" s="42" t="s">
        <v>3460</v>
      </c>
    </row>
    <row r="238" spans="10:68">
      <c r="J238" t="s">
        <v>2820</v>
      </c>
      <c r="X238" t="s">
        <v>1177</v>
      </c>
      <c r="Y238" s="42" t="s">
        <v>3461</v>
      </c>
      <c r="AF238" t="s">
        <v>3745</v>
      </c>
      <c r="AG238" s="42" t="s">
        <v>4056</v>
      </c>
      <c r="AL238" t="s">
        <v>4470</v>
      </c>
      <c r="BA238" t="s">
        <v>1455</v>
      </c>
      <c r="BO238" t="s">
        <v>1177</v>
      </c>
      <c r="BP238" s="42" t="s">
        <v>3461</v>
      </c>
    </row>
    <row r="239" spans="10:68">
      <c r="J239" t="s">
        <v>2821</v>
      </c>
      <c r="X239" t="s">
        <v>1178</v>
      </c>
      <c r="Y239" s="42" t="s">
        <v>3462</v>
      </c>
      <c r="AF239" t="s">
        <v>3746</v>
      </c>
      <c r="AG239" s="42" t="s">
        <v>4057</v>
      </c>
      <c r="AL239" t="s">
        <v>4471</v>
      </c>
      <c r="BA239" t="s">
        <v>1456</v>
      </c>
      <c r="BO239" t="s">
        <v>1178</v>
      </c>
      <c r="BP239" s="42" t="s">
        <v>3462</v>
      </c>
    </row>
    <row r="240" spans="10:68">
      <c r="J240" t="s">
        <v>2822</v>
      </c>
      <c r="X240" t="s">
        <v>1179</v>
      </c>
      <c r="Y240" s="42" t="s">
        <v>3463</v>
      </c>
      <c r="AF240" t="s">
        <v>3747</v>
      </c>
      <c r="AG240" s="42" t="s">
        <v>4058</v>
      </c>
      <c r="AL240" t="s">
        <v>4472</v>
      </c>
      <c r="BA240" t="s">
        <v>1457</v>
      </c>
      <c r="BO240" t="s">
        <v>1179</v>
      </c>
      <c r="BP240" s="42" t="s">
        <v>3463</v>
      </c>
    </row>
    <row r="241" spans="10:68">
      <c r="J241" t="s">
        <v>2823</v>
      </c>
      <c r="X241" t="s">
        <v>1180</v>
      </c>
      <c r="Y241" s="42" t="s">
        <v>3464</v>
      </c>
      <c r="AF241" t="s">
        <v>3748</v>
      </c>
      <c r="AG241" s="42" t="s">
        <v>4059</v>
      </c>
      <c r="AL241" t="s">
        <v>4473</v>
      </c>
      <c r="BA241" t="s">
        <v>1458</v>
      </c>
      <c r="BO241" t="s">
        <v>1180</v>
      </c>
      <c r="BP241" s="42" t="s">
        <v>3464</v>
      </c>
    </row>
    <row r="242" spans="10:68">
      <c r="J242" t="s">
        <v>2824</v>
      </c>
      <c r="X242" t="s">
        <v>1181</v>
      </c>
      <c r="Y242" s="42" t="s">
        <v>3465</v>
      </c>
      <c r="AF242" t="s">
        <v>3749</v>
      </c>
      <c r="AG242" s="42" t="s">
        <v>4060</v>
      </c>
      <c r="AL242" t="s">
        <v>4474</v>
      </c>
      <c r="BA242" t="s">
        <v>1459</v>
      </c>
      <c r="BO242" t="s">
        <v>1181</v>
      </c>
      <c r="BP242" s="42" t="s">
        <v>3465</v>
      </c>
    </row>
    <row r="243" spans="10:68">
      <c r="J243" t="s">
        <v>2825</v>
      </c>
      <c r="X243" t="s">
        <v>1182</v>
      </c>
      <c r="Y243" s="42" t="s">
        <v>3466</v>
      </c>
      <c r="AF243" t="s">
        <v>3750</v>
      </c>
      <c r="AG243" s="42" t="s">
        <v>4061</v>
      </c>
      <c r="AL243" t="s">
        <v>4475</v>
      </c>
      <c r="BA243" t="s">
        <v>1460</v>
      </c>
      <c r="BO243" t="s">
        <v>1182</v>
      </c>
      <c r="BP243" s="42" t="s">
        <v>3466</v>
      </c>
    </row>
    <row r="244" spans="10:68">
      <c r="J244" t="s">
        <v>2826</v>
      </c>
      <c r="X244" t="s">
        <v>1183</v>
      </c>
      <c r="Y244" s="42" t="s">
        <v>3467</v>
      </c>
      <c r="AF244" t="s">
        <v>3751</v>
      </c>
      <c r="AG244" s="42" t="s">
        <v>4062</v>
      </c>
      <c r="AL244" t="s">
        <v>4476</v>
      </c>
      <c r="BA244" t="s">
        <v>1461</v>
      </c>
      <c r="BO244" t="s">
        <v>1183</v>
      </c>
      <c r="BP244" s="42" t="s">
        <v>3467</v>
      </c>
    </row>
    <row r="245" spans="10:68">
      <c r="J245" t="s">
        <v>2827</v>
      </c>
      <c r="X245" t="s">
        <v>1184</v>
      </c>
      <c r="Y245" s="42" t="s">
        <v>3468</v>
      </c>
      <c r="AF245" t="s">
        <v>3752</v>
      </c>
      <c r="AG245" s="42" t="s">
        <v>4063</v>
      </c>
      <c r="AL245" t="s">
        <v>4477</v>
      </c>
      <c r="BA245" t="s">
        <v>1462</v>
      </c>
      <c r="BO245" t="s">
        <v>1184</v>
      </c>
      <c r="BP245" s="42" t="s">
        <v>3468</v>
      </c>
    </row>
    <row r="246" spans="10:68">
      <c r="J246" t="s">
        <v>2828</v>
      </c>
      <c r="X246" t="s">
        <v>1185</v>
      </c>
      <c r="Y246" s="42" t="s">
        <v>3469</v>
      </c>
      <c r="AF246" t="s">
        <v>3753</v>
      </c>
      <c r="AG246" s="42" t="s">
        <v>4064</v>
      </c>
      <c r="AL246" t="s">
        <v>4478</v>
      </c>
      <c r="BA246" t="s">
        <v>1463</v>
      </c>
      <c r="BO246" t="s">
        <v>1185</v>
      </c>
      <c r="BP246" s="42" t="s">
        <v>3469</v>
      </c>
    </row>
    <row r="247" spans="10:68">
      <c r="J247" t="s">
        <v>2829</v>
      </c>
      <c r="X247" t="s">
        <v>1186</v>
      </c>
      <c r="Y247" s="42" t="s">
        <v>3470</v>
      </c>
      <c r="AF247" t="s">
        <v>3754</v>
      </c>
      <c r="AG247" s="42" t="s">
        <v>4065</v>
      </c>
      <c r="AL247" t="s">
        <v>4479</v>
      </c>
      <c r="BA247" t="s">
        <v>1464</v>
      </c>
      <c r="BO247" t="s">
        <v>1186</v>
      </c>
      <c r="BP247" s="42" t="s">
        <v>3470</v>
      </c>
    </row>
    <row r="248" spans="10:68">
      <c r="J248" t="s">
        <v>2830</v>
      </c>
      <c r="X248" t="s">
        <v>1187</v>
      </c>
      <c r="Y248" s="42" t="s">
        <v>3471</v>
      </c>
      <c r="AF248" t="s">
        <v>3755</v>
      </c>
      <c r="AG248" s="42" t="s">
        <v>4066</v>
      </c>
      <c r="AL248" t="s">
        <v>4480</v>
      </c>
      <c r="BA248" t="s">
        <v>1465</v>
      </c>
      <c r="BO248" t="s">
        <v>1187</v>
      </c>
      <c r="BP248" s="42" t="s">
        <v>3471</v>
      </c>
    </row>
    <row r="249" spans="10:68">
      <c r="J249" t="s">
        <v>2831</v>
      </c>
      <c r="AF249" t="s">
        <v>3756</v>
      </c>
      <c r="AG249" s="42" t="s">
        <v>4067</v>
      </c>
      <c r="AL249" t="s">
        <v>4481</v>
      </c>
      <c r="BA249" t="s">
        <v>1466</v>
      </c>
    </row>
    <row r="250" spans="10:68">
      <c r="J250" t="s">
        <v>2832</v>
      </c>
      <c r="AF250" t="s">
        <v>3757</v>
      </c>
      <c r="AG250" s="42" t="s">
        <v>4068</v>
      </c>
      <c r="AL250" t="s">
        <v>4482</v>
      </c>
      <c r="BA250" t="s">
        <v>1467</v>
      </c>
    </row>
    <row r="251" spans="10:68">
      <c r="J251" t="s">
        <v>2833</v>
      </c>
      <c r="AF251" t="s">
        <v>3758</v>
      </c>
      <c r="AG251" s="42" t="s">
        <v>4069</v>
      </c>
      <c r="AL251" t="s">
        <v>4483</v>
      </c>
      <c r="BA251" t="s">
        <v>1468</v>
      </c>
    </row>
    <row r="252" spans="10:68">
      <c r="J252" t="s">
        <v>2834</v>
      </c>
      <c r="AF252" t="s">
        <v>3759</v>
      </c>
      <c r="AG252" s="42" t="s">
        <v>4070</v>
      </c>
      <c r="AL252" t="s">
        <v>4484</v>
      </c>
      <c r="BA252" t="s">
        <v>1469</v>
      </c>
    </row>
    <row r="253" spans="10:68">
      <c r="J253" t="s">
        <v>2835</v>
      </c>
      <c r="AF253" t="s">
        <v>3760</v>
      </c>
      <c r="AG253" s="42" t="s">
        <v>4071</v>
      </c>
      <c r="AL253" t="s">
        <v>4485</v>
      </c>
      <c r="BA253" t="s">
        <v>1470</v>
      </c>
    </row>
    <row r="254" spans="10:68">
      <c r="J254" t="s">
        <v>2836</v>
      </c>
      <c r="AF254" t="s">
        <v>3761</v>
      </c>
      <c r="AG254" s="42" t="s">
        <v>4072</v>
      </c>
      <c r="AL254" t="s">
        <v>4486</v>
      </c>
      <c r="BA254" t="s">
        <v>1471</v>
      </c>
    </row>
    <row r="255" spans="10:68">
      <c r="J255" t="s">
        <v>2837</v>
      </c>
      <c r="AF255" t="s">
        <v>3762</v>
      </c>
      <c r="AG255" s="42" t="s">
        <v>4073</v>
      </c>
      <c r="AL255" t="s">
        <v>4487</v>
      </c>
      <c r="BA255" t="s">
        <v>1472</v>
      </c>
    </row>
    <row r="256" spans="10:68">
      <c r="J256" t="s">
        <v>2838</v>
      </c>
      <c r="AF256" t="s">
        <v>3763</v>
      </c>
      <c r="AG256" s="42" t="s">
        <v>4074</v>
      </c>
      <c r="AL256" t="s">
        <v>4488</v>
      </c>
      <c r="BA256" t="s">
        <v>1473</v>
      </c>
    </row>
    <row r="257" spans="10:53">
      <c r="J257" t="s">
        <v>2839</v>
      </c>
      <c r="AF257" t="s">
        <v>3764</v>
      </c>
      <c r="AG257" s="42" t="s">
        <v>4075</v>
      </c>
      <c r="AL257" t="s">
        <v>4489</v>
      </c>
      <c r="BA257" t="s">
        <v>1474</v>
      </c>
    </row>
    <row r="258" spans="10:53">
      <c r="J258" t="s">
        <v>2840</v>
      </c>
      <c r="AF258" t="s">
        <v>3765</v>
      </c>
      <c r="AG258" s="42" t="s">
        <v>4076</v>
      </c>
      <c r="AL258" t="s">
        <v>4490</v>
      </c>
      <c r="BA258" t="s">
        <v>1475</v>
      </c>
    </row>
    <row r="259" spans="10:53">
      <c r="J259" t="s">
        <v>2841</v>
      </c>
      <c r="AF259" t="s">
        <v>3766</v>
      </c>
      <c r="AG259" s="42" t="s">
        <v>4077</v>
      </c>
      <c r="AL259" t="s">
        <v>4491</v>
      </c>
      <c r="BA259" t="s">
        <v>1476</v>
      </c>
    </row>
    <row r="260" spans="10:53">
      <c r="J260" t="s">
        <v>2842</v>
      </c>
      <c r="AF260" t="s">
        <v>3767</v>
      </c>
      <c r="AG260" s="42" t="s">
        <v>4078</v>
      </c>
      <c r="AL260" t="s">
        <v>4492</v>
      </c>
      <c r="BA260" t="s">
        <v>1477</v>
      </c>
    </row>
    <row r="261" spans="10:53">
      <c r="J261" t="s">
        <v>2843</v>
      </c>
      <c r="AF261" t="s">
        <v>3768</v>
      </c>
      <c r="AG261" s="42" t="s">
        <v>4079</v>
      </c>
      <c r="AL261" t="s">
        <v>4493</v>
      </c>
      <c r="BA261" t="s">
        <v>1478</v>
      </c>
    </row>
    <row r="262" spans="10:53">
      <c r="J262" t="s">
        <v>2844</v>
      </c>
      <c r="AF262" t="s">
        <v>3769</v>
      </c>
      <c r="AG262" s="42" t="s">
        <v>4080</v>
      </c>
      <c r="AL262" t="s">
        <v>4494</v>
      </c>
      <c r="BA262" t="s">
        <v>1479</v>
      </c>
    </row>
    <row r="263" spans="10:53">
      <c r="J263" t="s">
        <v>2845</v>
      </c>
      <c r="AF263" t="s">
        <v>3770</v>
      </c>
      <c r="AG263" s="42" t="s">
        <v>4081</v>
      </c>
      <c r="AL263" t="s">
        <v>4495</v>
      </c>
      <c r="BA263" t="s">
        <v>1480</v>
      </c>
    </row>
    <row r="264" spans="10:53">
      <c r="J264" t="s">
        <v>2846</v>
      </c>
      <c r="AF264" t="s">
        <v>3771</v>
      </c>
      <c r="AG264" s="42" t="s">
        <v>4082</v>
      </c>
      <c r="AL264" t="s">
        <v>4496</v>
      </c>
      <c r="BA264" t="s">
        <v>1481</v>
      </c>
    </row>
    <row r="265" spans="10:53">
      <c r="J265" t="s">
        <v>2847</v>
      </c>
      <c r="AF265" t="s">
        <v>3772</v>
      </c>
      <c r="AG265" s="42" t="s">
        <v>4083</v>
      </c>
      <c r="AL265" t="s">
        <v>4497</v>
      </c>
      <c r="BA265" t="s">
        <v>1482</v>
      </c>
    </row>
    <row r="266" spans="10:53">
      <c r="J266" t="s">
        <v>2848</v>
      </c>
      <c r="AF266" t="s">
        <v>3773</v>
      </c>
      <c r="AG266" s="42" t="s">
        <v>4084</v>
      </c>
      <c r="AL266" t="s">
        <v>4498</v>
      </c>
      <c r="BA266" t="s">
        <v>1483</v>
      </c>
    </row>
    <row r="267" spans="10:53">
      <c r="J267" t="s">
        <v>2849</v>
      </c>
      <c r="AF267" t="s">
        <v>3774</v>
      </c>
      <c r="AG267" s="42" t="s">
        <v>4085</v>
      </c>
      <c r="AL267" t="s">
        <v>4499</v>
      </c>
      <c r="BA267" t="s">
        <v>1484</v>
      </c>
    </row>
    <row r="268" spans="10:53">
      <c r="J268" t="s">
        <v>2850</v>
      </c>
      <c r="AF268" t="s">
        <v>3775</v>
      </c>
      <c r="AG268" s="42" t="s">
        <v>4086</v>
      </c>
      <c r="AL268" t="s">
        <v>4500</v>
      </c>
      <c r="BA268" t="s">
        <v>1485</v>
      </c>
    </row>
    <row r="269" spans="10:53">
      <c r="J269" t="s">
        <v>2851</v>
      </c>
      <c r="AF269" t="s">
        <v>3776</v>
      </c>
      <c r="AG269" s="42" t="s">
        <v>4087</v>
      </c>
      <c r="AL269" t="s">
        <v>4501</v>
      </c>
      <c r="BA269" t="s">
        <v>1486</v>
      </c>
    </row>
    <row r="270" spans="10:53">
      <c r="J270" t="s">
        <v>2852</v>
      </c>
      <c r="AF270" t="s">
        <v>3777</v>
      </c>
      <c r="AG270" s="42" t="s">
        <v>4088</v>
      </c>
      <c r="AL270" t="s">
        <v>4502</v>
      </c>
      <c r="BA270" t="s">
        <v>1487</v>
      </c>
    </row>
    <row r="271" spans="10:53">
      <c r="J271" t="s">
        <v>2853</v>
      </c>
      <c r="AF271" t="s">
        <v>3778</v>
      </c>
      <c r="AG271" s="42" t="s">
        <v>4089</v>
      </c>
      <c r="AL271" t="s">
        <v>4503</v>
      </c>
      <c r="BA271" t="s">
        <v>1488</v>
      </c>
    </row>
    <row r="272" spans="10:53">
      <c r="J272" t="s">
        <v>2854</v>
      </c>
      <c r="AF272" t="s">
        <v>3779</v>
      </c>
      <c r="AG272" s="42" t="s">
        <v>4090</v>
      </c>
      <c r="AL272" t="s">
        <v>4504</v>
      </c>
      <c r="BA272" t="s">
        <v>1489</v>
      </c>
    </row>
    <row r="273" spans="10:53">
      <c r="J273" t="s">
        <v>2855</v>
      </c>
      <c r="AF273" t="s">
        <v>3780</v>
      </c>
      <c r="AG273" s="42" t="s">
        <v>4091</v>
      </c>
      <c r="AL273" t="s">
        <v>4505</v>
      </c>
      <c r="BA273" t="s">
        <v>1490</v>
      </c>
    </row>
    <row r="274" spans="10:53">
      <c r="J274" t="s">
        <v>2856</v>
      </c>
      <c r="AF274" t="s">
        <v>3781</v>
      </c>
      <c r="AG274" s="42" t="s">
        <v>4092</v>
      </c>
      <c r="AL274" t="s">
        <v>4506</v>
      </c>
      <c r="BA274" t="s">
        <v>1491</v>
      </c>
    </row>
    <row r="275" spans="10:53">
      <c r="J275" t="s">
        <v>2857</v>
      </c>
      <c r="AF275" t="s">
        <v>3782</v>
      </c>
      <c r="AG275" s="42" t="s">
        <v>4093</v>
      </c>
      <c r="AL275" t="s">
        <v>4507</v>
      </c>
      <c r="BA275" t="s">
        <v>1492</v>
      </c>
    </row>
    <row r="276" spans="10:53">
      <c r="J276" t="s">
        <v>2858</v>
      </c>
      <c r="AF276" t="s">
        <v>3783</v>
      </c>
      <c r="AG276" s="42" t="s">
        <v>4094</v>
      </c>
      <c r="AL276" t="s">
        <v>4508</v>
      </c>
      <c r="BA276" t="s">
        <v>1493</v>
      </c>
    </row>
    <row r="277" spans="10:53">
      <c r="J277" t="s">
        <v>2859</v>
      </c>
      <c r="AF277" t="s">
        <v>3784</v>
      </c>
      <c r="AG277" s="42" t="s">
        <v>4095</v>
      </c>
      <c r="AL277" t="s">
        <v>4509</v>
      </c>
      <c r="BA277" t="s">
        <v>1494</v>
      </c>
    </row>
    <row r="278" spans="10:53">
      <c r="J278" t="s">
        <v>2860</v>
      </c>
      <c r="AF278" t="s">
        <v>3785</v>
      </c>
      <c r="AG278" s="42" t="s">
        <v>4096</v>
      </c>
      <c r="AL278" t="s">
        <v>4510</v>
      </c>
      <c r="BA278" t="s">
        <v>1495</v>
      </c>
    </row>
    <row r="279" spans="10:53">
      <c r="J279" t="s">
        <v>2861</v>
      </c>
      <c r="AF279" t="s">
        <v>3786</v>
      </c>
      <c r="AG279" s="42" t="s">
        <v>4097</v>
      </c>
      <c r="AL279" t="s">
        <v>4511</v>
      </c>
      <c r="BA279" t="s">
        <v>1496</v>
      </c>
    </row>
    <row r="280" spans="10:53">
      <c r="J280" t="s">
        <v>2862</v>
      </c>
      <c r="AF280" t="s">
        <v>3787</v>
      </c>
      <c r="AG280" s="42" t="s">
        <v>4098</v>
      </c>
      <c r="AL280" t="s">
        <v>4512</v>
      </c>
      <c r="BA280" t="s">
        <v>1497</v>
      </c>
    </row>
    <row r="281" spans="10:53">
      <c r="J281" t="s">
        <v>2863</v>
      </c>
      <c r="AF281" t="s">
        <v>3788</v>
      </c>
      <c r="AG281" s="42" t="s">
        <v>4099</v>
      </c>
      <c r="AL281" t="s">
        <v>4513</v>
      </c>
      <c r="BA281" t="s">
        <v>1498</v>
      </c>
    </row>
    <row r="282" spans="10:53">
      <c r="J282" t="s">
        <v>2864</v>
      </c>
      <c r="AF282" t="s">
        <v>3789</v>
      </c>
      <c r="AG282" s="42" t="s">
        <v>4100</v>
      </c>
      <c r="AL282" t="s">
        <v>4514</v>
      </c>
      <c r="BA282" t="s">
        <v>1499</v>
      </c>
    </row>
    <row r="283" spans="10:53">
      <c r="J283" t="s">
        <v>2865</v>
      </c>
      <c r="AF283" t="s">
        <v>3790</v>
      </c>
      <c r="AG283" s="42" t="s">
        <v>4101</v>
      </c>
      <c r="AL283" t="s">
        <v>4515</v>
      </c>
      <c r="BA283" t="s">
        <v>1500</v>
      </c>
    </row>
    <row r="284" spans="10:53">
      <c r="J284" t="s">
        <v>2866</v>
      </c>
      <c r="AF284" t="s">
        <v>3791</v>
      </c>
      <c r="AG284" s="42" t="s">
        <v>4102</v>
      </c>
      <c r="AL284" t="s">
        <v>4516</v>
      </c>
      <c r="BA284" t="s">
        <v>1501</v>
      </c>
    </row>
    <row r="285" spans="10:53">
      <c r="J285" t="s">
        <v>2867</v>
      </c>
      <c r="AF285" t="s">
        <v>3792</v>
      </c>
      <c r="AG285" s="42" t="s">
        <v>4103</v>
      </c>
      <c r="AL285" t="s">
        <v>4517</v>
      </c>
      <c r="BA285" t="s">
        <v>1502</v>
      </c>
    </row>
    <row r="286" spans="10:53">
      <c r="J286" t="s">
        <v>2868</v>
      </c>
      <c r="AF286" t="s">
        <v>3793</v>
      </c>
      <c r="AG286" s="42" t="s">
        <v>4104</v>
      </c>
      <c r="AL286" t="s">
        <v>4518</v>
      </c>
      <c r="BA286" t="s">
        <v>1503</v>
      </c>
    </row>
    <row r="287" spans="10:53">
      <c r="J287" t="s">
        <v>2869</v>
      </c>
      <c r="AF287" t="s">
        <v>3794</v>
      </c>
      <c r="AG287" s="42" t="s">
        <v>4105</v>
      </c>
      <c r="AL287" t="s">
        <v>4519</v>
      </c>
      <c r="BA287" t="s">
        <v>1504</v>
      </c>
    </row>
    <row r="288" spans="10:53">
      <c r="J288" t="s">
        <v>2870</v>
      </c>
      <c r="AF288" t="s">
        <v>3795</v>
      </c>
      <c r="AG288" s="42" t="s">
        <v>4106</v>
      </c>
      <c r="AL288" t="s">
        <v>4520</v>
      </c>
      <c r="BA288" t="s">
        <v>1505</v>
      </c>
    </row>
    <row r="289" spans="10:53">
      <c r="J289" t="s">
        <v>2871</v>
      </c>
      <c r="AF289" t="s">
        <v>3796</v>
      </c>
      <c r="AG289" s="42" t="s">
        <v>4107</v>
      </c>
      <c r="AL289" t="s">
        <v>4521</v>
      </c>
      <c r="BA289" t="s">
        <v>1506</v>
      </c>
    </row>
    <row r="290" spans="10:53">
      <c r="J290" t="s">
        <v>2872</v>
      </c>
      <c r="AF290" t="s">
        <v>3797</v>
      </c>
      <c r="AG290" s="42" t="s">
        <v>4108</v>
      </c>
      <c r="AL290" t="s">
        <v>4522</v>
      </c>
      <c r="BA290" t="s">
        <v>1507</v>
      </c>
    </row>
    <row r="291" spans="10:53">
      <c r="J291" t="s">
        <v>2873</v>
      </c>
      <c r="AF291" t="s">
        <v>3798</v>
      </c>
      <c r="AG291" s="42" t="s">
        <v>4109</v>
      </c>
      <c r="AL291" t="s">
        <v>4523</v>
      </c>
      <c r="BA291" t="s">
        <v>1508</v>
      </c>
    </row>
    <row r="292" spans="10:53">
      <c r="J292" t="s">
        <v>2874</v>
      </c>
      <c r="AF292" t="s">
        <v>3799</v>
      </c>
      <c r="AG292" s="42" t="s">
        <v>4110</v>
      </c>
      <c r="AL292" t="s">
        <v>4524</v>
      </c>
      <c r="BA292" t="s">
        <v>1509</v>
      </c>
    </row>
    <row r="293" spans="10:53">
      <c r="J293" t="s">
        <v>2875</v>
      </c>
      <c r="AF293" t="s">
        <v>3800</v>
      </c>
      <c r="AG293" s="42" t="s">
        <v>4111</v>
      </c>
      <c r="AL293" t="s">
        <v>4525</v>
      </c>
      <c r="BA293" t="s">
        <v>1510</v>
      </c>
    </row>
    <row r="294" spans="10:53">
      <c r="J294" t="s">
        <v>2876</v>
      </c>
      <c r="AF294" t="s">
        <v>3801</v>
      </c>
      <c r="AG294" s="42" t="s">
        <v>4112</v>
      </c>
      <c r="AL294" t="s">
        <v>4526</v>
      </c>
      <c r="BA294" t="s">
        <v>1511</v>
      </c>
    </row>
    <row r="295" spans="10:53">
      <c r="J295" t="s">
        <v>2877</v>
      </c>
      <c r="AF295" t="s">
        <v>3802</v>
      </c>
      <c r="AG295" s="42" t="s">
        <v>4113</v>
      </c>
      <c r="AL295" t="s">
        <v>4527</v>
      </c>
      <c r="BA295" t="s">
        <v>1512</v>
      </c>
    </row>
    <row r="296" spans="10:53">
      <c r="J296" t="s">
        <v>2878</v>
      </c>
      <c r="AF296" t="s">
        <v>3803</v>
      </c>
      <c r="AG296" s="42" t="s">
        <v>4114</v>
      </c>
      <c r="AL296" t="s">
        <v>4528</v>
      </c>
      <c r="BA296" t="s">
        <v>1513</v>
      </c>
    </row>
    <row r="297" spans="10:53">
      <c r="J297" t="s">
        <v>2879</v>
      </c>
      <c r="AF297" t="s">
        <v>3804</v>
      </c>
      <c r="AG297" s="42" t="s">
        <v>4115</v>
      </c>
      <c r="AL297" t="s">
        <v>4529</v>
      </c>
      <c r="BA297" t="s">
        <v>1514</v>
      </c>
    </row>
    <row r="298" spans="10:53">
      <c r="J298" t="s">
        <v>2880</v>
      </c>
      <c r="AF298" t="s">
        <v>3805</v>
      </c>
      <c r="AG298" s="42" t="s">
        <v>4116</v>
      </c>
      <c r="AL298" t="s">
        <v>4530</v>
      </c>
      <c r="BA298" t="s">
        <v>1515</v>
      </c>
    </row>
    <row r="299" spans="10:53">
      <c r="J299" t="s">
        <v>2881</v>
      </c>
      <c r="AF299" t="s">
        <v>3806</v>
      </c>
      <c r="AG299" s="42" t="s">
        <v>4117</v>
      </c>
      <c r="AL299" t="s">
        <v>4531</v>
      </c>
      <c r="BA299" t="s">
        <v>1516</v>
      </c>
    </row>
    <row r="300" spans="10:53">
      <c r="J300" t="s">
        <v>2882</v>
      </c>
      <c r="AF300" t="s">
        <v>3807</v>
      </c>
      <c r="AG300" s="42" t="s">
        <v>4118</v>
      </c>
      <c r="AL300" t="s">
        <v>4532</v>
      </c>
      <c r="BA300" t="s">
        <v>1517</v>
      </c>
    </row>
    <row r="301" spans="10:53">
      <c r="J301" t="s">
        <v>2883</v>
      </c>
      <c r="AF301" t="s">
        <v>3808</v>
      </c>
      <c r="AG301" s="42" t="s">
        <v>4119</v>
      </c>
      <c r="AL301" t="s">
        <v>4533</v>
      </c>
      <c r="BA301" t="s">
        <v>1518</v>
      </c>
    </row>
    <row r="302" spans="10:53">
      <c r="J302" t="s">
        <v>2884</v>
      </c>
      <c r="AF302" t="s">
        <v>3809</v>
      </c>
      <c r="AG302" s="42" t="s">
        <v>4120</v>
      </c>
      <c r="AL302" t="s">
        <v>4534</v>
      </c>
      <c r="BA302" t="s">
        <v>1519</v>
      </c>
    </row>
    <row r="303" spans="10:53">
      <c r="J303" t="s">
        <v>2885</v>
      </c>
      <c r="AF303" t="s">
        <v>3810</v>
      </c>
      <c r="AG303" s="42" t="s">
        <v>4121</v>
      </c>
      <c r="AL303" t="s">
        <v>4535</v>
      </c>
      <c r="BA303" t="s">
        <v>1520</v>
      </c>
    </row>
    <row r="304" spans="10:53">
      <c r="J304" t="s">
        <v>2886</v>
      </c>
      <c r="AF304" t="s">
        <v>3811</v>
      </c>
      <c r="AG304" s="42" t="s">
        <v>4122</v>
      </c>
      <c r="AL304" t="s">
        <v>4536</v>
      </c>
      <c r="BA304" t="s">
        <v>1521</v>
      </c>
    </row>
    <row r="305" spans="10:53">
      <c r="J305" t="s">
        <v>2887</v>
      </c>
      <c r="AF305" t="s">
        <v>3812</v>
      </c>
      <c r="AG305" s="42" t="s">
        <v>4123</v>
      </c>
      <c r="AL305" t="s">
        <v>4537</v>
      </c>
      <c r="BA305" t="s">
        <v>1522</v>
      </c>
    </row>
    <row r="306" spans="10:53">
      <c r="J306" t="s">
        <v>2888</v>
      </c>
      <c r="AF306" t="s">
        <v>3813</v>
      </c>
      <c r="AG306" s="42" t="s">
        <v>4124</v>
      </c>
      <c r="AL306" t="s">
        <v>4538</v>
      </c>
      <c r="BA306" t="s">
        <v>1523</v>
      </c>
    </row>
    <row r="307" spans="10:53">
      <c r="J307" t="s">
        <v>2889</v>
      </c>
      <c r="AF307" t="s">
        <v>3814</v>
      </c>
      <c r="AG307" s="42" t="s">
        <v>4125</v>
      </c>
      <c r="AL307" t="s">
        <v>4539</v>
      </c>
      <c r="BA307" t="s">
        <v>1524</v>
      </c>
    </row>
    <row r="308" spans="10:53">
      <c r="J308" t="s">
        <v>2890</v>
      </c>
      <c r="AF308" t="s">
        <v>3815</v>
      </c>
      <c r="AG308" s="42" t="s">
        <v>4126</v>
      </c>
      <c r="AL308" t="s">
        <v>4540</v>
      </c>
      <c r="BA308" t="s">
        <v>1525</v>
      </c>
    </row>
    <row r="309" spans="10:53">
      <c r="J309" t="s">
        <v>2891</v>
      </c>
      <c r="AF309" t="s">
        <v>3816</v>
      </c>
      <c r="AG309" s="42" t="s">
        <v>4127</v>
      </c>
      <c r="AL309" t="s">
        <v>4541</v>
      </c>
      <c r="BA309" t="s">
        <v>1526</v>
      </c>
    </row>
    <row r="310" spans="10:53">
      <c r="J310" t="s">
        <v>2466</v>
      </c>
      <c r="AF310" t="s">
        <v>3817</v>
      </c>
      <c r="AG310" s="42" t="s">
        <v>4128</v>
      </c>
      <c r="AL310" t="s">
        <v>4542</v>
      </c>
      <c r="BA310" t="s">
        <v>1527</v>
      </c>
    </row>
    <row r="311" spans="10:53">
      <c r="J311" t="s">
        <v>2892</v>
      </c>
      <c r="AF311" t="s">
        <v>936</v>
      </c>
      <c r="AG311" s="42"/>
      <c r="AL311" t="s">
        <v>4543</v>
      </c>
      <c r="BA311" t="s">
        <v>1528</v>
      </c>
    </row>
    <row r="312" spans="10:53">
      <c r="J312" t="s">
        <v>2893</v>
      </c>
      <c r="AF312" t="s">
        <v>937</v>
      </c>
      <c r="AG312" s="42"/>
      <c r="AL312" t="s">
        <v>4544</v>
      </c>
      <c r="BA312" t="s">
        <v>1529</v>
      </c>
    </row>
    <row r="313" spans="10:53">
      <c r="J313" t="s">
        <v>2894</v>
      </c>
      <c r="AL313" t="s">
        <v>4545</v>
      </c>
      <c r="BA313" t="s">
        <v>1530</v>
      </c>
    </row>
    <row r="314" spans="10:53">
      <c r="J314" t="s">
        <v>2895</v>
      </c>
      <c r="AL314" t="s">
        <v>4546</v>
      </c>
      <c r="BA314" t="s">
        <v>1531</v>
      </c>
    </row>
    <row r="315" spans="10:53">
      <c r="J315" t="s">
        <v>2896</v>
      </c>
      <c r="AL315" t="s">
        <v>4547</v>
      </c>
      <c r="BA315" t="s">
        <v>1532</v>
      </c>
    </row>
    <row r="316" spans="10:53">
      <c r="J316" t="s">
        <v>2897</v>
      </c>
      <c r="AL316" t="s">
        <v>4548</v>
      </c>
      <c r="BA316" t="s">
        <v>1533</v>
      </c>
    </row>
    <row r="317" spans="10:53">
      <c r="J317" t="s">
        <v>2898</v>
      </c>
      <c r="AL317" t="s">
        <v>4549</v>
      </c>
      <c r="BA317" t="s">
        <v>1534</v>
      </c>
    </row>
    <row r="318" spans="10:53">
      <c r="J318" t="s">
        <v>2899</v>
      </c>
      <c r="AL318" t="s">
        <v>4550</v>
      </c>
      <c r="BA318" t="s">
        <v>1535</v>
      </c>
    </row>
    <row r="319" spans="10:53">
      <c r="J319" t="s">
        <v>2900</v>
      </c>
      <c r="AL319" t="s">
        <v>4551</v>
      </c>
      <c r="BA319" t="s">
        <v>1536</v>
      </c>
    </row>
    <row r="320" spans="10:53">
      <c r="J320" t="s">
        <v>2901</v>
      </c>
      <c r="AL320" t="s">
        <v>4552</v>
      </c>
      <c r="BA320" t="s">
        <v>1537</v>
      </c>
    </row>
    <row r="321" spans="10:53">
      <c r="J321" t="s">
        <v>2902</v>
      </c>
      <c r="AL321" t="s">
        <v>4553</v>
      </c>
      <c r="BA321" t="s">
        <v>1538</v>
      </c>
    </row>
    <row r="322" spans="10:53">
      <c r="J322" t="s">
        <v>2903</v>
      </c>
      <c r="AL322" t="s">
        <v>4554</v>
      </c>
      <c r="BA322" t="s">
        <v>1539</v>
      </c>
    </row>
    <row r="323" spans="10:53">
      <c r="J323" t="s">
        <v>2904</v>
      </c>
      <c r="AL323" t="s">
        <v>4555</v>
      </c>
      <c r="BA323" t="s">
        <v>1540</v>
      </c>
    </row>
    <row r="324" spans="10:53">
      <c r="J324" t="s">
        <v>2905</v>
      </c>
      <c r="AL324" t="s">
        <v>4556</v>
      </c>
      <c r="BA324" t="s">
        <v>1541</v>
      </c>
    </row>
    <row r="325" spans="10:53">
      <c r="J325" t="s">
        <v>2906</v>
      </c>
      <c r="AL325" t="s">
        <v>4557</v>
      </c>
      <c r="BA325" t="s">
        <v>1542</v>
      </c>
    </row>
    <row r="326" spans="10:53">
      <c r="J326" t="s">
        <v>2907</v>
      </c>
      <c r="AL326" t="s">
        <v>4558</v>
      </c>
      <c r="BA326" t="s">
        <v>1543</v>
      </c>
    </row>
    <row r="327" spans="10:53">
      <c r="J327" t="s">
        <v>2908</v>
      </c>
      <c r="AL327" t="s">
        <v>4559</v>
      </c>
      <c r="BA327" t="s">
        <v>1544</v>
      </c>
    </row>
    <row r="328" spans="10:53">
      <c r="J328" t="s">
        <v>2909</v>
      </c>
      <c r="AL328" t="s">
        <v>4560</v>
      </c>
      <c r="BA328" t="s">
        <v>1545</v>
      </c>
    </row>
    <row r="329" spans="10:53">
      <c r="J329" t="s">
        <v>2910</v>
      </c>
      <c r="AL329" t="s">
        <v>4561</v>
      </c>
      <c r="BA329" t="s">
        <v>1546</v>
      </c>
    </row>
    <row r="330" spans="10:53">
      <c r="J330" t="s">
        <v>2911</v>
      </c>
      <c r="AL330" t="s">
        <v>4562</v>
      </c>
      <c r="BA330" t="s">
        <v>1547</v>
      </c>
    </row>
    <row r="331" spans="10:53">
      <c r="J331" t="s">
        <v>2912</v>
      </c>
      <c r="AL331" t="s">
        <v>4563</v>
      </c>
      <c r="BA331" t="s">
        <v>1548</v>
      </c>
    </row>
    <row r="332" spans="10:53">
      <c r="J332" t="s">
        <v>2913</v>
      </c>
      <c r="AL332" t="s">
        <v>4564</v>
      </c>
      <c r="BA332" t="s">
        <v>1549</v>
      </c>
    </row>
    <row r="333" spans="10:53">
      <c r="J333" t="s">
        <v>2914</v>
      </c>
      <c r="AL333" t="s">
        <v>4565</v>
      </c>
      <c r="BA333" t="s">
        <v>1550</v>
      </c>
    </row>
    <row r="334" spans="10:53">
      <c r="J334" t="s">
        <v>2915</v>
      </c>
      <c r="AL334" t="s">
        <v>4566</v>
      </c>
      <c r="BA334" t="s">
        <v>1551</v>
      </c>
    </row>
    <row r="335" spans="10:53">
      <c r="J335" t="s">
        <v>2916</v>
      </c>
      <c r="AL335" t="s">
        <v>4567</v>
      </c>
      <c r="BA335" t="s">
        <v>1552</v>
      </c>
    </row>
    <row r="336" spans="10:53">
      <c r="J336" t="s">
        <v>2917</v>
      </c>
      <c r="AL336" t="s">
        <v>4568</v>
      </c>
      <c r="BA336" t="s">
        <v>1553</v>
      </c>
    </row>
    <row r="337" spans="10:53">
      <c r="J337" t="s">
        <v>2918</v>
      </c>
      <c r="AL337" t="s">
        <v>4569</v>
      </c>
      <c r="BA337" t="s">
        <v>1554</v>
      </c>
    </row>
    <row r="338" spans="10:53">
      <c r="J338" t="s">
        <v>2919</v>
      </c>
      <c r="AL338" t="s">
        <v>4570</v>
      </c>
      <c r="BA338" t="s">
        <v>1555</v>
      </c>
    </row>
    <row r="339" spans="10:53">
      <c r="J339" t="s">
        <v>2920</v>
      </c>
      <c r="AL339" t="s">
        <v>4571</v>
      </c>
      <c r="BA339" t="s">
        <v>1556</v>
      </c>
    </row>
    <row r="340" spans="10:53">
      <c r="J340" t="s">
        <v>2921</v>
      </c>
      <c r="AL340" t="s">
        <v>4572</v>
      </c>
      <c r="BA340" t="s">
        <v>1557</v>
      </c>
    </row>
    <row r="341" spans="10:53">
      <c r="J341" t="s">
        <v>2922</v>
      </c>
      <c r="AL341" t="s">
        <v>4573</v>
      </c>
      <c r="BA341" t="s">
        <v>1558</v>
      </c>
    </row>
    <row r="342" spans="10:53">
      <c r="J342" t="s">
        <v>2923</v>
      </c>
      <c r="AL342" t="s">
        <v>4574</v>
      </c>
      <c r="BA342" t="s">
        <v>1559</v>
      </c>
    </row>
    <row r="343" spans="10:53">
      <c r="J343" t="s">
        <v>2924</v>
      </c>
      <c r="AL343" t="s">
        <v>4575</v>
      </c>
      <c r="BA343" t="s">
        <v>1560</v>
      </c>
    </row>
    <row r="344" spans="10:53">
      <c r="J344" t="s">
        <v>2925</v>
      </c>
      <c r="AL344" t="s">
        <v>4576</v>
      </c>
      <c r="BA344" t="s">
        <v>1561</v>
      </c>
    </row>
    <row r="345" spans="10:53">
      <c r="J345" t="s">
        <v>2926</v>
      </c>
      <c r="AL345" t="s">
        <v>4577</v>
      </c>
      <c r="BA345" t="s">
        <v>1562</v>
      </c>
    </row>
    <row r="346" spans="10:53">
      <c r="J346" t="s">
        <v>2927</v>
      </c>
      <c r="AL346" t="s">
        <v>4578</v>
      </c>
      <c r="BA346" t="s">
        <v>1563</v>
      </c>
    </row>
    <row r="347" spans="10:53">
      <c r="J347" t="s">
        <v>2928</v>
      </c>
      <c r="AL347" t="s">
        <v>4579</v>
      </c>
      <c r="BA347" t="s">
        <v>1564</v>
      </c>
    </row>
    <row r="348" spans="10:53">
      <c r="J348" t="s">
        <v>2929</v>
      </c>
      <c r="AL348" t="s">
        <v>4580</v>
      </c>
      <c r="BA348" t="s">
        <v>1565</v>
      </c>
    </row>
    <row r="349" spans="10:53">
      <c r="J349" t="s">
        <v>2930</v>
      </c>
      <c r="AL349" t="s">
        <v>4581</v>
      </c>
      <c r="BA349" t="s">
        <v>1566</v>
      </c>
    </row>
    <row r="350" spans="10:53">
      <c r="J350" t="s">
        <v>2931</v>
      </c>
      <c r="AL350" t="s">
        <v>4582</v>
      </c>
      <c r="BA350" t="s">
        <v>1567</v>
      </c>
    </row>
    <row r="351" spans="10:53">
      <c r="J351" t="s">
        <v>2932</v>
      </c>
      <c r="AL351" t="s">
        <v>4583</v>
      </c>
      <c r="BA351" t="s">
        <v>1568</v>
      </c>
    </row>
    <row r="352" spans="10:53">
      <c r="J352" t="s">
        <v>2933</v>
      </c>
      <c r="AL352" t="s">
        <v>4584</v>
      </c>
      <c r="BA352" t="s">
        <v>1569</v>
      </c>
    </row>
    <row r="353" spans="10:53">
      <c r="J353" t="s">
        <v>2934</v>
      </c>
      <c r="AL353" t="s">
        <v>4585</v>
      </c>
      <c r="BA353" t="s">
        <v>1570</v>
      </c>
    </row>
    <row r="354" spans="10:53">
      <c r="J354" t="s">
        <v>2935</v>
      </c>
      <c r="AL354" t="s">
        <v>4586</v>
      </c>
      <c r="BA354" t="s">
        <v>1571</v>
      </c>
    </row>
    <row r="355" spans="10:53">
      <c r="J355" t="s">
        <v>2936</v>
      </c>
      <c r="AL355" t="s">
        <v>4587</v>
      </c>
      <c r="BA355" t="s">
        <v>1572</v>
      </c>
    </row>
    <row r="356" spans="10:53">
      <c r="J356" t="s">
        <v>2937</v>
      </c>
      <c r="AL356" t="s">
        <v>4588</v>
      </c>
      <c r="BA356" t="s">
        <v>1573</v>
      </c>
    </row>
    <row r="357" spans="10:53">
      <c r="J357" t="s">
        <v>2938</v>
      </c>
      <c r="AL357" t="s">
        <v>4589</v>
      </c>
      <c r="BA357" t="s">
        <v>1574</v>
      </c>
    </row>
    <row r="358" spans="10:53">
      <c r="J358" t="s">
        <v>2939</v>
      </c>
      <c r="AL358" t="s">
        <v>4590</v>
      </c>
      <c r="BA358" t="s">
        <v>1575</v>
      </c>
    </row>
    <row r="359" spans="10:53">
      <c r="J359" t="s">
        <v>2940</v>
      </c>
      <c r="AL359" t="s">
        <v>4591</v>
      </c>
      <c r="BA359" t="s">
        <v>1576</v>
      </c>
    </row>
    <row r="360" spans="10:53">
      <c r="J360" t="s">
        <v>2941</v>
      </c>
      <c r="AL360" t="s">
        <v>4592</v>
      </c>
      <c r="BA360" t="s">
        <v>1577</v>
      </c>
    </row>
    <row r="361" spans="10:53">
      <c r="J361" t="s">
        <v>2942</v>
      </c>
      <c r="AL361" t="s">
        <v>4593</v>
      </c>
      <c r="BA361" t="s">
        <v>1578</v>
      </c>
    </row>
    <row r="362" spans="10:53">
      <c r="J362" t="s">
        <v>2943</v>
      </c>
      <c r="AL362" t="s">
        <v>4594</v>
      </c>
      <c r="BA362" t="s">
        <v>1579</v>
      </c>
    </row>
    <row r="363" spans="10:53">
      <c r="J363" t="s">
        <v>2944</v>
      </c>
      <c r="AL363" t="s">
        <v>4595</v>
      </c>
      <c r="BA363" t="s">
        <v>1580</v>
      </c>
    </row>
    <row r="364" spans="10:53">
      <c r="J364" t="s">
        <v>2945</v>
      </c>
      <c r="AL364" t="s">
        <v>4596</v>
      </c>
      <c r="BA364" t="s">
        <v>1581</v>
      </c>
    </row>
    <row r="365" spans="10:53">
      <c r="J365" t="s">
        <v>2946</v>
      </c>
      <c r="AL365" t="s">
        <v>4597</v>
      </c>
      <c r="BA365" t="s">
        <v>1582</v>
      </c>
    </row>
    <row r="366" spans="10:53">
      <c r="J366" t="s">
        <v>2947</v>
      </c>
      <c r="AL366" t="s">
        <v>4598</v>
      </c>
      <c r="BA366" t="s">
        <v>1583</v>
      </c>
    </row>
    <row r="367" spans="10:53">
      <c r="J367" t="s">
        <v>2948</v>
      </c>
      <c r="AL367" t="s">
        <v>4599</v>
      </c>
      <c r="BA367" t="s">
        <v>1584</v>
      </c>
    </row>
    <row r="368" spans="10:53">
      <c r="J368" t="s">
        <v>2949</v>
      </c>
      <c r="AL368" t="s">
        <v>4600</v>
      </c>
      <c r="BA368" t="s">
        <v>1585</v>
      </c>
    </row>
    <row r="369" spans="10:53">
      <c r="J369" t="s">
        <v>2950</v>
      </c>
      <c r="AL369" t="s">
        <v>4601</v>
      </c>
      <c r="BA369" t="s">
        <v>1586</v>
      </c>
    </row>
    <row r="370" spans="10:53">
      <c r="J370" t="s">
        <v>2951</v>
      </c>
      <c r="AL370" t="s">
        <v>4602</v>
      </c>
      <c r="BA370" t="s">
        <v>1587</v>
      </c>
    </row>
    <row r="371" spans="10:53">
      <c r="J371" t="s">
        <v>2952</v>
      </c>
      <c r="AL371" t="s">
        <v>4603</v>
      </c>
      <c r="BA371" t="s">
        <v>1588</v>
      </c>
    </row>
    <row r="372" spans="10:53">
      <c r="J372" t="s">
        <v>2953</v>
      </c>
      <c r="AL372" t="s">
        <v>4604</v>
      </c>
      <c r="BA372" t="s">
        <v>1589</v>
      </c>
    </row>
    <row r="373" spans="10:53">
      <c r="J373" t="s">
        <v>2954</v>
      </c>
      <c r="AL373" t="s">
        <v>4605</v>
      </c>
      <c r="BA373" t="s">
        <v>1590</v>
      </c>
    </row>
    <row r="374" spans="10:53">
      <c r="J374" t="s">
        <v>2955</v>
      </c>
      <c r="AL374" t="s">
        <v>4606</v>
      </c>
      <c r="BA374" t="s">
        <v>1591</v>
      </c>
    </row>
    <row r="375" spans="10:53">
      <c r="J375" t="s">
        <v>2956</v>
      </c>
      <c r="AL375" t="s">
        <v>4607</v>
      </c>
      <c r="BA375" t="s">
        <v>1592</v>
      </c>
    </row>
    <row r="376" spans="10:53">
      <c r="J376" t="s">
        <v>2957</v>
      </c>
      <c r="AL376" t="s">
        <v>4608</v>
      </c>
      <c r="BA376" t="s">
        <v>1593</v>
      </c>
    </row>
    <row r="377" spans="10:53">
      <c r="J377" t="s">
        <v>2958</v>
      </c>
      <c r="AL377" t="s">
        <v>4609</v>
      </c>
      <c r="BA377" t="s">
        <v>1594</v>
      </c>
    </row>
    <row r="378" spans="10:53">
      <c r="J378" t="s">
        <v>2959</v>
      </c>
      <c r="AL378" t="s">
        <v>4610</v>
      </c>
      <c r="BA378" t="s">
        <v>1595</v>
      </c>
    </row>
    <row r="379" spans="10:53">
      <c r="J379" t="s">
        <v>2960</v>
      </c>
      <c r="AL379" t="s">
        <v>4611</v>
      </c>
      <c r="BA379" t="s">
        <v>1596</v>
      </c>
    </row>
    <row r="380" spans="10:53">
      <c r="J380" t="s">
        <v>2961</v>
      </c>
      <c r="AL380" t="s">
        <v>4612</v>
      </c>
      <c r="BA380" t="s">
        <v>1597</v>
      </c>
    </row>
    <row r="381" spans="10:53">
      <c r="J381" t="s">
        <v>2962</v>
      </c>
      <c r="AL381" t="s">
        <v>4613</v>
      </c>
      <c r="BA381" t="s">
        <v>1598</v>
      </c>
    </row>
    <row r="382" spans="10:53">
      <c r="J382" t="s">
        <v>2963</v>
      </c>
      <c r="AL382" t="s">
        <v>4614</v>
      </c>
      <c r="BA382" t="s">
        <v>1599</v>
      </c>
    </row>
    <row r="383" spans="10:53">
      <c r="J383" t="s">
        <v>2964</v>
      </c>
      <c r="AL383" t="s">
        <v>4615</v>
      </c>
      <c r="BA383" t="s">
        <v>1600</v>
      </c>
    </row>
    <row r="384" spans="10:53">
      <c r="J384" t="s">
        <v>2965</v>
      </c>
      <c r="AL384" t="s">
        <v>4616</v>
      </c>
      <c r="BA384" t="s">
        <v>1601</v>
      </c>
    </row>
    <row r="385" spans="10:53">
      <c r="J385" t="s">
        <v>2966</v>
      </c>
      <c r="AL385" t="s">
        <v>4617</v>
      </c>
      <c r="BA385" t="s">
        <v>1602</v>
      </c>
    </row>
    <row r="386" spans="10:53">
      <c r="J386" t="s">
        <v>2967</v>
      </c>
      <c r="AL386" t="s">
        <v>4618</v>
      </c>
      <c r="BA386" t="s">
        <v>1603</v>
      </c>
    </row>
    <row r="387" spans="10:53">
      <c r="J387" t="s">
        <v>2968</v>
      </c>
      <c r="AL387" t="s">
        <v>4619</v>
      </c>
      <c r="BA387" t="s">
        <v>1604</v>
      </c>
    </row>
    <row r="388" spans="10:53">
      <c r="J388" t="s">
        <v>2969</v>
      </c>
      <c r="AL388" t="s">
        <v>4620</v>
      </c>
      <c r="BA388" t="s">
        <v>1605</v>
      </c>
    </row>
    <row r="389" spans="10:53">
      <c r="J389" t="s">
        <v>2970</v>
      </c>
      <c r="AL389" t="s">
        <v>4621</v>
      </c>
      <c r="BA389" t="s">
        <v>1606</v>
      </c>
    </row>
    <row r="390" spans="10:53">
      <c r="J390" t="s">
        <v>2971</v>
      </c>
      <c r="AL390" t="s">
        <v>4622</v>
      </c>
      <c r="BA390" t="s">
        <v>1607</v>
      </c>
    </row>
    <row r="391" spans="10:53">
      <c r="J391" t="s">
        <v>2972</v>
      </c>
      <c r="AL391" t="s">
        <v>4623</v>
      </c>
      <c r="BA391" t="s">
        <v>1608</v>
      </c>
    </row>
    <row r="392" spans="10:53">
      <c r="J392" t="s">
        <v>2973</v>
      </c>
      <c r="AL392" t="s">
        <v>4624</v>
      </c>
      <c r="BA392" t="s">
        <v>1609</v>
      </c>
    </row>
    <row r="393" spans="10:53">
      <c r="J393" t="s">
        <v>2974</v>
      </c>
      <c r="AL393" t="s">
        <v>4625</v>
      </c>
      <c r="BA393" t="s">
        <v>1610</v>
      </c>
    </row>
    <row r="394" spans="10:53">
      <c r="J394" t="s">
        <v>2975</v>
      </c>
      <c r="AL394" t="s">
        <v>4626</v>
      </c>
      <c r="BA394" t="s">
        <v>1611</v>
      </c>
    </row>
    <row r="395" spans="10:53">
      <c r="J395" t="s">
        <v>2976</v>
      </c>
      <c r="AL395" t="s">
        <v>4627</v>
      </c>
      <c r="BA395" t="s">
        <v>1612</v>
      </c>
    </row>
    <row r="396" spans="10:53">
      <c r="J396" t="s">
        <v>2977</v>
      </c>
      <c r="AL396" t="s">
        <v>4628</v>
      </c>
      <c r="BA396" t="s">
        <v>1613</v>
      </c>
    </row>
    <row r="397" spans="10:53">
      <c r="J397" t="s">
        <v>2978</v>
      </c>
      <c r="AL397" t="s">
        <v>4629</v>
      </c>
      <c r="BA397" t="s">
        <v>1614</v>
      </c>
    </row>
    <row r="398" spans="10:53">
      <c r="J398" t="s">
        <v>2979</v>
      </c>
      <c r="AL398" t="s">
        <v>4630</v>
      </c>
      <c r="BA398" t="s">
        <v>1615</v>
      </c>
    </row>
    <row r="399" spans="10:53">
      <c r="J399" t="s">
        <v>2980</v>
      </c>
      <c r="AL399" t="s">
        <v>4631</v>
      </c>
      <c r="BA399" t="s">
        <v>1616</v>
      </c>
    </row>
    <row r="400" spans="10:53">
      <c r="J400" t="s">
        <v>2981</v>
      </c>
      <c r="AL400" t="s">
        <v>4632</v>
      </c>
      <c r="BA400" t="s">
        <v>1617</v>
      </c>
    </row>
    <row r="401" spans="10:53">
      <c r="J401" t="s">
        <v>2982</v>
      </c>
      <c r="AL401" t="s">
        <v>4633</v>
      </c>
      <c r="BA401" t="s">
        <v>1618</v>
      </c>
    </row>
    <row r="402" spans="10:53">
      <c r="J402" t="s">
        <v>2983</v>
      </c>
      <c r="AL402" t="s">
        <v>4634</v>
      </c>
      <c r="BA402" t="s">
        <v>1619</v>
      </c>
    </row>
    <row r="403" spans="10:53">
      <c r="J403" t="s">
        <v>2984</v>
      </c>
      <c r="AL403" t="s">
        <v>4635</v>
      </c>
      <c r="BA403" t="s">
        <v>1620</v>
      </c>
    </row>
    <row r="404" spans="10:53">
      <c r="J404" t="s">
        <v>2985</v>
      </c>
      <c r="AL404" t="s">
        <v>4636</v>
      </c>
      <c r="BA404" t="s">
        <v>1621</v>
      </c>
    </row>
    <row r="405" spans="10:53">
      <c r="J405" t="s">
        <v>2986</v>
      </c>
      <c r="AL405" t="s">
        <v>4637</v>
      </c>
      <c r="BA405" t="s">
        <v>1622</v>
      </c>
    </row>
    <row r="406" spans="10:53">
      <c r="J406" t="s">
        <v>2987</v>
      </c>
      <c r="AL406" t="s">
        <v>4638</v>
      </c>
      <c r="BA406" t="s">
        <v>1623</v>
      </c>
    </row>
    <row r="407" spans="10:53">
      <c r="J407" t="s">
        <v>2988</v>
      </c>
      <c r="AL407" t="s">
        <v>4639</v>
      </c>
      <c r="BA407" t="s">
        <v>1624</v>
      </c>
    </row>
    <row r="408" spans="10:53">
      <c r="J408" t="s">
        <v>2989</v>
      </c>
      <c r="AL408" t="s">
        <v>4640</v>
      </c>
      <c r="BA408" t="s">
        <v>1625</v>
      </c>
    </row>
    <row r="409" spans="10:53">
      <c r="J409" t="s">
        <v>2990</v>
      </c>
      <c r="AL409" t="s">
        <v>4641</v>
      </c>
      <c r="BA409" t="s">
        <v>1626</v>
      </c>
    </row>
    <row r="410" spans="10:53">
      <c r="J410" t="s">
        <v>2991</v>
      </c>
      <c r="AL410" t="s">
        <v>4642</v>
      </c>
      <c r="BA410" t="s">
        <v>1627</v>
      </c>
    </row>
    <row r="411" spans="10:53">
      <c r="J411" t="s">
        <v>2992</v>
      </c>
      <c r="AL411" t="s">
        <v>4643</v>
      </c>
      <c r="BA411" t="s">
        <v>1628</v>
      </c>
    </row>
    <row r="412" spans="10:53">
      <c r="J412" t="s">
        <v>2993</v>
      </c>
      <c r="AL412" t="s">
        <v>4644</v>
      </c>
      <c r="BA412" t="s">
        <v>1629</v>
      </c>
    </row>
    <row r="413" spans="10:53">
      <c r="J413" t="s">
        <v>2994</v>
      </c>
      <c r="AL413" t="s">
        <v>4645</v>
      </c>
      <c r="BA413" t="s">
        <v>1630</v>
      </c>
    </row>
    <row r="414" spans="10:53">
      <c r="J414" t="s">
        <v>2995</v>
      </c>
      <c r="AL414" t="s">
        <v>4646</v>
      </c>
      <c r="BA414" t="s">
        <v>1631</v>
      </c>
    </row>
    <row r="415" spans="10:53">
      <c r="J415" t="s">
        <v>2996</v>
      </c>
      <c r="AL415" t="s">
        <v>4647</v>
      </c>
      <c r="BA415" t="s">
        <v>1632</v>
      </c>
    </row>
    <row r="416" spans="10:53">
      <c r="J416" t="s">
        <v>2997</v>
      </c>
      <c r="AL416" t="s">
        <v>4648</v>
      </c>
      <c r="BA416" t="s">
        <v>1633</v>
      </c>
    </row>
    <row r="417" spans="10:53">
      <c r="J417" t="s">
        <v>2998</v>
      </c>
      <c r="AL417" t="s">
        <v>4649</v>
      </c>
      <c r="BA417" t="s">
        <v>1634</v>
      </c>
    </row>
    <row r="418" spans="10:53">
      <c r="J418" t="s">
        <v>2999</v>
      </c>
      <c r="AL418" t="s">
        <v>4650</v>
      </c>
      <c r="BA418" t="s">
        <v>1635</v>
      </c>
    </row>
    <row r="419" spans="10:53">
      <c r="J419" t="s">
        <v>3000</v>
      </c>
      <c r="AL419" t="s">
        <v>4651</v>
      </c>
      <c r="BA419" t="s">
        <v>1636</v>
      </c>
    </row>
    <row r="420" spans="10:53">
      <c r="J420" t="s">
        <v>3001</v>
      </c>
      <c r="AL420" t="s">
        <v>4652</v>
      </c>
      <c r="BA420" t="s">
        <v>1637</v>
      </c>
    </row>
    <row r="421" spans="10:53">
      <c r="J421" t="s">
        <v>3002</v>
      </c>
      <c r="AL421" t="s">
        <v>4653</v>
      </c>
      <c r="BA421" t="s">
        <v>1638</v>
      </c>
    </row>
    <row r="422" spans="10:53">
      <c r="J422" t="s">
        <v>3003</v>
      </c>
      <c r="AL422" t="s">
        <v>4654</v>
      </c>
      <c r="BA422" t="s">
        <v>1639</v>
      </c>
    </row>
    <row r="423" spans="10:53">
      <c r="J423" t="s">
        <v>3004</v>
      </c>
      <c r="AL423" t="s">
        <v>4655</v>
      </c>
      <c r="BA423" t="s">
        <v>1640</v>
      </c>
    </row>
    <row r="424" spans="10:53">
      <c r="J424" t="s">
        <v>3005</v>
      </c>
      <c r="AL424" t="s">
        <v>4656</v>
      </c>
      <c r="BA424" t="s">
        <v>1641</v>
      </c>
    </row>
    <row r="425" spans="10:53">
      <c r="J425" t="s">
        <v>3006</v>
      </c>
      <c r="AL425" t="s">
        <v>4657</v>
      </c>
      <c r="BA425" t="s">
        <v>1642</v>
      </c>
    </row>
    <row r="426" spans="10:53">
      <c r="J426" t="s">
        <v>3007</v>
      </c>
      <c r="AL426" t="s">
        <v>4658</v>
      </c>
      <c r="BA426" t="s">
        <v>1643</v>
      </c>
    </row>
    <row r="427" spans="10:53">
      <c r="J427" t="s">
        <v>3008</v>
      </c>
      <c r="AL427" t="s">
        <v>4659</v>
      </c>
      <c r="BA427" t="s">
        <v>1644</v>
      </c>
    </row>
    <row r="428" spans="10:53">
      <c r="J428" t="s">
        <v>3009</v>
      </c>
      <c r="AL428" t="s">
        <v>4660</v>
      </c>
      <c r="BA428" t="s">
        <v>1645</v>
      </c>
    </row>
    <row r="429" spans="10:53">
      <c r="J429" t="s">
        <v>3010</v>
      </c>
      <c r="AL429" t="s">
        <v>4661</v>
      </c>
      <c r="BA429" t="s">
        <v>1646</v>
      </c>
    </row>
    <row r="430" spans="10:53">
      <c r="J430" t="s">
        <v>3011</v>
      </c>
      <c r="AL430" t="s">
        <v>4662</v>
      </c>
      <c r="BA430" t="s">
        <v>1647</v>
      </c>
    </row>
    <row r="431" spans="10:53">
      <c r="J431" t="s">
        <v>3012</v>
      </c>
      <c r="AL431" t="s">
        <v>4663</v>
      </c>
      <c r="BA431" t="s">
        <v>1648</v>
      </c>
    </row>
    <row r="432" spans="10:53">
      <c r="J432" t="s">
        <v>3013</v>
      </c>
      <c r="AL432" t="s">
        <v>4664</v>
      </c>
      <c r="BA432" t="s">
        <v>1649</v>
      </c>
    </row>
    <row r="433" spans="10:53">
      <c r="J433" t="s">
        <v>3014</v>
      </c>
      <c r="AL433" t="s">
        <v>4665</v>
      </c>
      <c r="BA433" t="s">
        <v>1650</v>
      </c>
    </row>
    <row r="434" spans="10:53">
      <c r="J434" t="s">
        <v>3015</v>
      </c>
      <c r="AL434" t="s">
        <v>4666</v>
      </c>
      <c r="BA434" t="s">
        <v>1651</v>
      </c>
    </row>
    <row r="435" spans="10:53">
      <c r="J435" t="s">
        <v>3016</v>
      </c>
      <c r="AL435" t="s">
        <v>4667</v>
      </c>
      <c r="BA435" t="s">
        <v>1652</v>
      </c>
    </row>
    <row r="436" spans="10:53">
      <c r="J436" t="s">
        <v>3017</v>
      </c>
      <c r="AL436" t="s">
        <v>4668</v>
      </c>
      <c r="BA436" t="s">
        <v>1653</v>
      </c>
    </row>
    <row r="437" spans="10:53">
      <c r="J437" t="s">
        <v>3018</v>
      </c>
      <c r="AL437" t="s">
        <v>4669</v>
      </c>
      <c r="BA437" t="s">
        <v>1654</v>
      </c>
    </row>
    <row r="438" spans="10:53">
      <c r="J438" t="s">
        <v>3019</v>
      </c>
      <c r="AL438" t="s">
        <v>4670</v>
      </c>
      <c r="BA438" t="s">
        <v>1655</v>
      </c>
    </row>
    <row r="439" spans="10:53">
      <c r="J439" t="s">
        <v>3020</v>
      </c>
      <c r="AL439" t="s">
        <v>4671</v>
      </c>
      <c r="BA439" t="s">
        <v>1656</v>
      </c>
    </row>
    <row r="440" spans="10:53">
      <c r="J440" t="s">
        <v>3021</v>
      </c>
      <c r="AL440" t="s">
        <v>4672</v>
      </c>
      <c r="BA440" t="s">
        <v>1657</v>
      </c>
    </row>
    <row r="441" spans="10:53">
      <c r="J441" t="s">
        <v>3022</v>
      </c>
      <c r="AL441" t="s">
        <v>4673</v>
      </c>
      <c r="BA441" t="s">
        <v>1658</v>
      </c>
    </row>
    <row r="442" spans="10:53">
      <c r="J442" t="s">
        <v>3023</v>
      </c>
      <c r="AL442" t="s">
        <v>4674</v>
      </c>
      <c r="BA442" t="s">
        <v>1659</v>
      </c>
    </row>
    <row r="443" spans="10:53">
      <c r="J443" t="s">
        <v>3024</v>
      </c>
      <c r="AL443" t="s">
        <v>4675</v>
      </c>
      <c r="BA443" t="s">
        <v>1660</v>
      </c>
    </row>
    <row r="444" spans="10:53">
      <c r="J444" t="s">
        <v>3025</v>
      </c>
      <c r="AL444" t="s">
        <v>4676</v>
      </c>
      <c r="BA444" t="s">
        <v>1661</v>
      </c>
    </row>
    <row r="445" spans="10:53">
      <c r="J445" t="s">
        <v>3026</v>
      </c>
      <c r="AL445" t="s">
        <v>4677</v>
      </c>
      <c r="BA445" t="s">
        <v>1662</v>
      </c>
    </row>
    <row r="446" spans="10:53">
      <c r="J446" t="s">
        <v>3027</v>
      </c>
      <c r="AL446" t="s">
        <v>4678</v>
      </c>
      <c r="BA446" t="s">
        <v>1663</v>
      </c>
    </row>
    <row r="447" spans="10:53">
      <c r="J447" t="s">
        <v>3028</v>
      </c>
      <c r="AL447" t="s">
        <v>4679</v>
      </c>
      <c r="BA447" t="s">
        <v>1664</v>
      </c>
    </row>
    <row r="448" spans="10:53">
      <c r="J448" t="s">
        <v>3029</v>
      </c>
      <c r="AL448" t="s">
        <v>4680</v>
      </c>
      <c r="BA448" t="s">
        <v>1665</v>
      </c>
    </row>
    <row r="449" spans="10:53">
      <c r="J449" t="s">
        <v>3030</v>
      </c>
      <c r="AL449" t="s">
        <v>4681</v>
      </c>
      <c r="BA449" t="s">
        <v>1666</v>
      </c>
    </row>
    <row r="450" spans="10:53">
      <c r="J450" t="s">
        <v>3031</v>
      </c>
      <c r="AL450" t="s">
        <v>4682</v>
      </c>
      <c r="BA450" t="s">
        <v>1667</v>
      </c>
    </row>
    <row r="451" spans="10:53">
      <c r="J451" t="s">
        <v>3032</v>
      </c>
      <c r="AL451" t="s">
        <v>4683</v>
      </c>
      <c r="BA451" t="s">
        <v>1668</v>
      </c>
    </row>
    <row r="452" spans="10:53">
      <c r="J452" t="s">
        <v>3033</v>
      </c>
      <c r="AL452" t="s">
        <v>4684</v>
      </c>
      <c r="BA452" t="s">
        <v>1669</v>
      </c>
    </row>
    <row r="453" spans="10:53">
      <c r="J453" t="s">
        <v>3034</v>
      </c>
      <c r="AL453" t="s">
        <v>4685</v>
      </c>
      <c r="BA453" t="s">
        <v>1670</v>
      </c>
    </row>
    <row r="454" spans="10:53">
      <c r="J454" t="s">
        <v>3035</v>
      </c>
      <c r="AL454" t="s">
        <v>4686</v>
      </c>
      <c r="BA454" t="s">
        <v>1671</v>
      </c>
    </row>
    <row r="455" spans="10:53">
      <c r="J455" t="s">
        <v>3036</v>
      </c>
      <c r="AL455" t="s">
        <v>4687</v>
      </c>
      <c r="BA455" t="s">
        <v>1672</v>
      </c>
    </row>
    <row r="456" spans="10:53">
      <c r="J456" t="s">
        <v>3037</v>
      </c>
      <c r="AL456" t="s">
        <v>4688</v>
      </c>
      <c r="BA456" t="s">
        <v>1673</v>
      </c>
    </row>
    <row r="457" spans="10:53">
      <c r="J457" t="s">
        <v>3038</v>
      </c>
      <c r="AL457" t="s">
        <v>4689</v>
      </c>
      <c r="BA457" t="s">
        <v>1674</v>
      </c>
    </row>
    <row r="458" spans="10:53">
      <c r="J458" t="s">
        <v>3039</v>
      </c>
      <c r="AL458" t="s">
        <v>4690</v>
      </c>
      <c r="BA458" t="s">
        <v>1675</v>
      </c>
    </row>
    <row r="459" spans="10:53">
      <c r="J459" t="s">
        <v>3040</v>
      </c>
      <c r="AL459" t="s">
        <v>4691</v>
      </c>
      <c r="BA459" t="s">
        <v>1676</v>
      </c>
    </row>
    <row r="460" spans="10:53">
      <c r="J460" t="s">
        <v>3041</v>
      </c>
      <c r="AL460" t="s">
        <v>4692</v>
      </c>
      <c r="BA460" t="s">
        <v>1677</v>
      </c>
    </row>
    <row r="461" spans="10:53">
      <c r="J461" t="s">
        <v>3042</v>
      </c>
      <c r="AL461" t="s">
        <v>4693</v>
      </c>
      <c r="BA461" t="s">
        <v>1678</v>
      </c>
    </row>
    <row r="462" spans="10:53">
      <c r="J462" t="s">
        <v>3043</v>
      </c>
      <c r="AL462" t="s">
        <v>4694</v>
      </c>
      <c r="BA462" t="s">
        <v>1679</v>
      </c>
    </row>
    <row r="463" spans="10:53">
      <c r="J463" t="s">
        <v>3044</v>
      </c>
      <c r="AL463" t="s">
        <v>4695</v>
      </c>
      <c r="BA463" t="s">
        <v>1680</v>
      </c>
    </row>
    <row r="464" spans="10:53">
      <c r="J464" t="s">
        <v>3045</v>
      </c>
      <c r="AL464" t="s">
        <v>4696</v>
      </c>
      <c r="BA464" t="s">
        <v>1681</v>
      </c>
    </row>
    <row r="465" spans="10:53">
      <c r="J465" t="s">
        <v>3046</v>
      </c>
      <c r="AL465" t="s">
        <v>4697</v>
      </c>
      <c r="BA465" t="s">
        <v>1682</v>
      </c>
    </row>
    <row r="466" spans="10:53">
      <c r="J466" t="s">
        <v>3047</v>
      </c>
      <c r="AL466" t="s">
        <v>4698</v>
      </c>
      <c r="BA466" t="s">
        <v>1683</v>
      </c>
    </row>
    <row r="467" spans="10:53">
      <c r="J467" t="s">
        <v>3048</v>
      </c>
      <c r="AL467" t="s">
        <v>4699</v>
      </c>
      <c r="BA467" t="s">
        <v>1684</v>
      </c>
    </row>
    <row r="468" spans="10:53">
      <c r="J468" t="s">
        <v>3049</v>
      </c>
      <c r="AL468" t="s">
        <v>4700</v>
      </c>
      <c r="BA468" t="s">
        <v>1685</v>
      </c>
    </row>
    <row r="469" spans="10:53">
      <c r="J469" t="s">
        <v>2457</v>
      </c>
      <c r="AL469" t="s">
        <v>4701</v>
      </c>
      <c r="BA469" t="s">
        <v>1686</v>
      </c>
    </row>
    <row r="470" spans="10:53">
      <c r="J470" t="s">
        <v>3050</v>
      </c>
      <c r="AL470" t="s">
        <v>4702</v>
      </c>
      <c r="BA470" t="s">
        <v>1687</v>
      </c>
    </row>
    <row r="471" spans="10:53">
      <c r="J471" t="s">
        <v>3051</v>
      </c>
      <c r="AL471" t="s">
        <v>4703</v>
      </c>
      <c r="BA471" t="s">
        <v>1688</v>
      </c>
    </row>
    <row r="472" spans="10:53">
      <c r="J472" t="s">
        <v>3052</v>
      </c>
      <c r="AL472" t="s">
        <v>4704</v>
      </c>
      <c r="BA472" t="s">
        <v>1689</v>
      </c>
    </row>
    <row r="473" spans="10:53">
      <c r="J473" t="s">
        <v>3053</v>
      </c>
      <c r="AL473" t="s">
        <v>4705</v>
      </c>
      <c r="BA473" t="s">
        <v>1690</v>
      </c>
    </row>
    <row r="474" spans="10:53">
      <c r="J474" t="s">
        <v>3054</v>
      </c>
      <c r="AL474" t="s">
        <v>4706</v>
      </c>
      <c r="BA474" t="s">
        <v>1691</v>
      </c>
    </row>
    <row r="475" spans="10:53">
      <c r="J475" t="s">
        <v>3055</v>
      </c>
      <c r="AL475" t="s">
        <v>4707</v>
      </c>
      <c r="BA475" t="s">
        <v>1692</v>
      </c>
    </row>
    <row r="476" spans="10:53">
      <c r="J476" t="s">
        <v>3056</v>
      </c>
      <c r="AL476" t="s">
        <v>4708</v>
      </c>
      <c r="BA476" t="s">
        <v>1693</v>
      </c>
    </row>
    <row r="477" spans="10:53">
      <c r="J477" t="s">
        <v>3057</v>
      </c>
      <c r="AL477" t="s">
        <v>4709</v>
      </c>
      <c r="BA477" t="s">
        <v>1694</v>
      </c>
    </row>
    <row r="478" spans="10:53">
      <c r="J478" t="s">
        <v>3058</v>
      </c>
      <c r="AL478" t="s">
        <v>4710</v>
      </c>
      <c r="BA478" t="s">
        <v>1695</v>
      </c>
    </row>
    <row r="479" spans="10:53">
      <c r="J479" t="s">
        <v>3059</v>
      </c>
      <c r="AL479" t="s">
        <v>4711</v>
      </c>
      <c r="BA479" t="s">
        <v>1696</v>
      </c>
    </row>
    <row r="480" spans="10:53">
      <c r="J480" t="s">
        <v>3060</v>
      </c>
      <c r="AL480" t="s">
        <v>4712</v>
      </c>
      <c r="BA480" t="s">
        <v>1697</v>
      </c>
    </row>
    <row r="481" spans="10:53">
      <c r="J481" t="s">
        <v>3061</v>
      </c>
      <c r="AL481" t="s">
        <v>4713</v>
      </c>
      <c r="BA481" t="s">
        <v>1698</v>
      </c>
    </row>
    <row r="482" spans="10:53">
      <c r="J482" t="s">
        <v>3062</v>
      </c>
      <c r="AL482" t="s">
        <v>4714</v>
      </c>
      <c r="BA482" t="s">
        <v>1699</v>
      </c>
    </row>
    <row r="483" spans="10:53">
      <c r="J483" t="s">
        <v>3063</v>
      </c>
      <c r="AL483" t="s">
        <v>4715</v>
      </c>
      <c r="BA483" t="s">
        <v>1700</v>
      </c>
    </row>
    <row r="484" spans="10:53">
      <c r="J484" t="s">
        <v>3064</v>
      </c>
      <c r="AL484" t="s">
        <v>4716</v>
      </c>
      <c r="BA484" t="s">
        <v>1701</v>
      </c>
    </row>
    <row r="485" spans="10:53">
      <c r="J485" t="s">
        <v>3065</v>
      </c>
      <c r="AL485" t="s">
        <v>4717</v>
      </c>
      <c r="BA485" t="s">
        <v>1702</v>
      </c>
    </row>
    <row r="486" spans="10:53">
      <c r="J486" t="s">
        <v>3066</v>
      </c>
      <c r="AL486" t="s">
        <v>4718</v>
      </c>
      <c r="BA486" t="s">
        <v>1703</v>
      </c>
    </row>
    <row r="487" spans="10:53">
      <c r="J487" t="s">
        <v>3067</v>
      </c>
      <c r="AL487" t="s">
        <v>4719</v>
      </c>
      <c r="BA487" t="s">
        <v>1704</v>
      </c>
    </row>
    <row r="488" spans="10:53">
      <c r="J488" t="s">
        <v>3068</v>
      </c>
      <c r="AL488" t="s">
        <v>4720</v>
      </c>
      <c r="BA488" t="s">
        <v>1705</v>
      </c>
    </row>
    <row r="489" spans="10:53">
      <c r="J489" t="s">
        <v>3069</v>
      </c>
      <c r="AL489" t="s">
        <v>4721</v>
      </c>
      <c r="BA489" t="s">
        <v>1706</v>
      </c>
    </row>
    <row r="490" spans="10:53">
      <c r="J490" t="s">
        <v>3070</v>
      </c>
      <c r="AL490" t="s">
        <v>4722</v>
      </c>
      <c r="BA490" t="s">
        <v>1707</v>
      </c>
    </row>
    <row r="491" spans="10:53">
      <c r="J491" t="s">
        <v>3071</v>
      </c>
      <c r="AL491" t="s">
        <v>4723</v>
      </c>
      <c r="BA491" t="s">
        <v>1708</v>
      </c>
    </row>
    <row r="492" spans="10:53">
      <c r="J492" t="s">
        <v>3072</v>
      </c>
      <c r="AL492" t="s">
        <v>4724</v>
      </c>
      <c r="BA492" t="s">
        <v>1709</v>
      </c>
    </row>
    <row r="493" spans="10:53">
      <c r="J493" t="s">
        <v>3073</v>
      </c>
      <c r="AL493" t="s">
        <v>4725</v>
      </c>
      <c r="BA493" t="s">
        <v>1710</v>
      </c>
    </row>
    <row r="494" spans="10:53">
      <c r="J494" t="s">
        <v>3074</v>
      </c>
      <c r="AL494" t="s">
        <v>4726</v>
      </c>
      <c r="BA494" t="s">
        <v>1711</v>
      </c>
    </row>
    <row r="495" spans="10:53">
      <c r="J495" t="s">
        <v>3075</v>
      </c>
      <c r="AL495" t="s">
        <v>4727</v>
      </c>
      <c r="BA495" t="s">
        <v>1712</v>
      </c>
    </row>
    <row r="496" spans="10:53">
      <c r="J496" t="s">
        <v>3076</v>
      </c>
      <c r="AL496" t="s">
        <v>4728</v>
      </c>
      <c r="BA496" t="s">
        <v>1713</v>
      </c>
    </row>
    <row r="497" spans="10:53">
      <c r="J497" t="s">
        <v>3077</v>
      </c>
      <c r="AL497" t="s">
        <v>4729</v>
      </c>
      <c r="BA497" t="s">
        <v>1714</v>
      </c>
    </row>
    <row r="498" spans="10:53">
      <c r="J498" t="s">
        <v>3078</v>
      </c>
      <c r="AL498" t="s">
        <v>4730</v>
      </c>
      <c r="BA498" t="s">
        <v>1715</v>
      </c>
    </row>
    <row r="499" spans="10:53">
      <c r="J499" t="s">
        <v>3079</v>
      </c>
      <c r="AL499" t="s">
        <v>4731</v>
      </c>
      <c r="BA499" t="s">
        <v>1716</v>
      </c>
    </row>
    <row r="500" spans="10:53">
      <c r="J500" t="s">
        <v>3080</v>
      </c>
      <c r="AL500" t="s">
        <v>4732</v>
      </c>
      <c r="BA500" t="s">
        <v>1717</v>
      </c>
    </row>
    <row r="501" spans="10:53">
      <c r="J501" t="s">
        <v>3081</v>
      </c>
      <c r="AL501" t="s">
        <v>4733</v>
      </c>
      <c r="BA501" t="s">
        <v>1718</v>
      </c>
    </row>
    <row r="502" spans="10:53">
      <c r="J502" t="s">
        <v>3082</v>
      </c>
      <c r="AL502" t="s">
        <v>4734</v>
      </c>
      <c r="BA502" t="s">
        <v>1719</v>
      </c>
    </row>
    <row r="503" spans="10:53">
      <c r="J503" t="s">
        <v>3083</v>
      </c>
      <c r="AL503" t="s">
        <v>4735</v>
      </c>
      <c r="BA503" t="s">
        <v>1720</v>
      </c>
    </row>
    <row r="504" spans="10:53">
      <c r="J504" t="s">
        <v>3084</v>
      </c>
      <c r="AL504" t="s">
        <v>4736</v>
      </c>
      <c r="BA504" t="s">
        <v>1721</v>
      </c>
    </row>
    <row r="505" spans="10:53">
      <c r="J505" t="s">
        <v>3085</v>
      </c>
      <c r="AL505" t="s">
        <v>4737</v>
      </c>
      <c r="BA505" t="s">
        <v>1722</v>
      </c>
    </row>
    <row r="506" spans="10:53">
      <c r="J506" t="s">
        <v>3086</v>
      </c>
      <c r="AL506" t="s">
        <v>4738</v>
      </c>
      <c r="BA506" t="s">
        <v>1723</v>
      </c>
    </row>
    <row r="507" spans="10:53">
      <c r="J507" t="s">
        <v>3087</v>
      </c>
      <c r="AL507" t="s">
        <v>4739</v>
      </c>
      <c r="BA507" t="s">
        <v>1724</v>
      </c>
    </row>
    <row r="508" spans="10:53">
      <c r="J508" t="s">
        <v>3088</v>
      </c>
      <c r="AL508" t="s">
        <v>4740</v>
      </c>
      <c r="BA508" t="s">
        <v>1725</v>
      </c>
    </row>
    <row r="509" spans="10:53">
      <c r="J509" t="s">
        <v>3089</v>
      </c>
      <c r="AL509" t="s">
        <v>4741</v>
      </c>
      <c r="BA509" t="s">
        <v>1726</v>
      </c>
    </row>
    <row r="510" spans="10:53">
      <c r="J510" t="s">
        <v>3090</v>
      </c>
      <c r="AL510" t="s">
        <v>4742</v>
      </c>
      <c r="BA510" t="s">
        <v>1727</v>
      </c>
    </row>
    <row r="511" spans="10:53">
      <c r="J511" t="s">
        <v>3091</v>
      </c>
      <c r="AL511" t="s">
        <v>4743</v>
      </c>
      <c r="BA511" t="s">
        <v>1728</v>
      </c>
    </row>
    <row r="512" spans="10:53">
      <c r="J512" t="s">
        <v>3092</v>
      </c>
      <c r="AL512" t="s">
        <v>4744</v>
      </c>
      <c r="BA512" t="s">
        <v>1729</v>
      </c>
    </row>
    <row r="513" spans="10:53">
      <c r="J513" t="s">
        <v>3093</v>
      </c>
      <c r="AL513" t="s">
        <v>4745</v>
      </c>
      <c r="BA513" t="s">
        <v>1730</v>
      </c>
    </row>
    <row r="514" spans="10:53">
      <c r="J514" t="s">
        <v>3094</v>
      </c>
      <c r="AL514" t="s">
        <v>4746</v>
      </c>
      <c r="BA514" t="s">
        <v>1731</v>
      </c>
    </row>
    <row r="515" spans="10:53">
      <c r="J515" t="s">
        <v>3095</v>
      </c>
      <c r="AL515" t="s">
        <v>4747</v>
      </c>
      <c r="BA515" t="s">
        <v>1732</v>
      </c>
    </row>
    <row r="516" spans="10:53">
      <c r="J516" t="s">
        <v>3096</v>
      </c>
      <c r="AL516" t="s">
        <v>4748</v>
      </c>
      <c r="BA516" t="s">
        <v>1733</v>
      </c>
    </row>
    <row r="517" spans="10:53">
      <c r="J517" t="s">
        <v>3097</v>
      </c>
      <c r="AL517" t="s">
        <v>4749</v>
      </c>
      <c r="BA517" t="s">
        <v>1734</v>
      </c>
    </row>
    <row r="518" spans="10:53">
      <c r="J518" t="s">
        <v>3098</v>
      </c>
      <c r="AL518" t="s">
        <v>4750</v>
      </c>
      <c r="BA518" t="s">
        <v>1735</v>
      </c>
    </row>
    <row r="519" spans="10:53">
      <c r="J519" t="s">
        <v>3099</v>
      </c>
      <c r="AL519" t="s">
        <v>4751</v>
      </c>
      <c r="BA519" t="s">
        <v>1736</v>
      </c>
    </row>
    <row r="520" spans="10:53">
      <c r="J520" t="s">
        <v>3100</v>
      </c>
      <c r="AL520" t="s">
        <v>4752</v>
      </c>
      <c r="BA520" t="s">
        <v>1737</v>
      </c>
    </row>
    <row r="521" spans="10:53">
      <c r="J521" t="s">
        <v>3101</v>
      </c>
      <c r="AL521" t="s">
        <v>4753</v>
      </c>
      <c r="BA521" t="s">
        <v>1738</v>
      </c>
    </row>
    <row r="522" spans="10:53">
      <c r="J522" t="s">
        <v>3102</v>
      </c>
      <c r="AL522" t="s">
        <v>4754</v>
      </c>
      <c r="BA522" t="s">
        <v>1739</v>
      </c>
    </row>
    <row r="523" spans="10:53">
      <c r="J523" t="s">
        <v>3103</v>
      </c>
      <c r="AL523" t="s">
        <v>4755</v>
      </c>
      <c r="BA523" t="s">
        <v>1740</v>
      </c>
    </row>
    <row r="524" spans="10:53">
      <c r="J524" t="s">
        <v>3104</v>
      </c>
      <c r="AL524" t="s">
        <v>4756</v>
      </c>
      <c r="BA524" t="s">
        <v>1741</v>
      </c>
    </row>
    <row r="525" spans="10:53">
      <c r="J525" t="s">
        <v>3105</v>
      </c>
      <c r="AL525" t="s">
        <v>4757</v>
      </c>
      <c r="BA525" t="s">
        <v>1742</v>
      </c>
    </row>
    <row r="526" spans="10:53">
      <c r="J526" t="s">
        <v>3106</v>
      </c>
      <c r="AL526" t="s">
        <v>4758</v>
      </c>
      <c r="BA526" t="s">
        <v>1743</v>
      </c>
    </row>
    <row r="527" spans="10:53">
      <c r="J527" t="s">
        <v>3107</v>
      </c>
      <c r="AL527" t="s">
        <v>4759</v>
      </c>
      <c r="BA527" t="s">
        <v>1744</v>
      </c>
    </row>
    <row r="528" spans="10:53">
      <c r="J528" t="s">
        <v>3108</v>
      </c>
      <c r="AL528" t="s">
        <v>4760</v>
      </c>
      <c r="BA528" t="s">
        <v>1745</v>
      </c>
    </row>
    <row r="529" spans="10:53">
      <c r="J529" t="s">
        <v>3109</v>
      </c>
      <c r="AL529" t="s">
        <v>4761</v>
      </c>
      <c r="BA529" t="s">
        <v>1746</v>
      </c>
    </row>
    <row r="530" spans="10:53">
      <c r="J530" t="s">
        <v>3110</v>
      </c>
      <c r="AL530" t="s">
        <v>4762</v>
      </c>
      <c r="BA530" t="s">
        <v>1747</v>
      </c>
    </row>
    <row r="531" spans="10:53">
      <c r="J531" t="s">
        <v>3111</v>
      </c>
      <c r="AL531" t="s">
        <v>4763</v>
      </c>
      <c r="BA531" t="s">
        <v>1748</v>
      </c>
    </row>
    <row r="532" spans="10:53">
      <c r="J532" t="s">
        <v>3112</v>
      </c>
      <c r="AL532" t="s">
        <v>4764</v>
      </c>
      <c r="BA532" t="s">
        <v>1749</v>
      </c>
    </row>
    <row r="533" spans="10:53">
      <c r="J533" t="s">
        <v>3113</v>
      </c>
      <c r="AL533" t="s">
        <v>4765</v>
      </c>
      <c r="BA533" t="s">
        <v>1750</v>
      </c>
    </row>
    <row r="534" spans="10:53">
      <c r="AL534" t="s">
        <v>4766</v>
      </c>
      <c r="BA534" t="s">
        <v>1751</v>
      </c>
    </row>
    <row r="535" spans="10:53">
      <c r="AL535" t="s">
        <v>4767</v>
      </c>
      <c r="BA535" t="s">
        <v>1752</v>
      </c>
    </row>
    <row r="536" spans="10:53">
      <c r="AL536" t="s">
        <v>4768</v>
      </c>
      <c r="BA536" t="s">
        <v>1753</v>
      </c>
    </row>
    <row r="537" spans="10:53">
      <c r="AL537" t="s">
        <v>4769</v>
      </c>
      <c r="BA537" t="s">
        <v>1754</v>
      </c>
    </row>
    <row r="538" spans="10:53">
      <c r="AL538" t="s">
        <v>4770</v>
      </c>
      <c r="BA538" t="s">
        <v>1755</v>
      </c>
    </row>
    <row r="539" spans="10:53">
      <c r="AL539" t="s">
        <v>4771</v>
      </c>
      <c r="BA539" t="s">
        <v>1756</v>
      </c>
    </row>
    <row r="540" spans="10:53">
      <c r="AL540" t="s">
        <v>4772</v>
      </c>
      <c r="BA540" t="s">
        <v>1757</v>
      </c>
    </row>
    <row r="541" spans="10:53">
      <c r="AL541" t="s">
        <v>4773</v>
      </c>
      <c r="BA541" t="s">
        <v>1758</v>
      </c>
    </row>
    <row r="542" spans="10:53">
      <c r="AL542" t="s">
        <v>4774</v>
      </c>
      <c r="BA542" t="s">
        <v>1759</v>
      </c>
    </row>
    <row r="543" spans="10:53">
      <c r="AL543" t="s">
        <v>4775</v>
      </c>
      <c r="BA543" t="s">
        <v>1760</v>
      </c>
    </row>
    <row r="544" spans="10:53">
      <c r="AL544" t="s">
        <v>4776</v>
      </c>
      <c r="BA544" t="s">
        <v>1761</v>
      </c>
    </row>
    <row r="545" spans="38:53">
      <c r="AL545" t="s">
        <v>4777</v>
      </c>
      <c r="BA545" t="s">
        <v>1762</v>
      </c>
    </row>
    <row r="546" spans="38:53">
      <c r="AL546" t="s">
        <v>4778</v>
      </c>
      <c r="BA546" t="s">
        <v>1763</v>
      </c>
    </row>
    <row r="547" spans="38:53">
      <c r="AL547" t="s">
        <v>4779</v>
      </c>
      <c r="BA547" t="s">
        <v>1764</v>
      </c>
    </row>
    <row r="548" spans="38:53">
      <c r="AL548" t="s">
        <v>4780</v>
      </c>
      <c r="BA548" t="s">
        <v>1765</v>
      </c>
    </row>
    <row r="549" spans="38:53">
      <c r="AL549" t="s">
        <v>4781</v>
      </c>
      <c r="BA549" t="s">
        <v>1766</v>
      </c>
    </row>
    <row r="550" spans="38:53">
      <c r="AL550" t="s">
        <v>4782</v>
      </c>
      <c r="BA550" t="s">
        <v>1767</v>
      </c>
    </row>
    <row r="551" spans="38:53">
      <c r="AL551" t="s">
        <v>4783</v>
      </c>
      <c r="BA551" t="s">
        <v>1768</v>
      </c>
    </row>
    <row r="552" spans="38:53">
      <c r="AL552" t="s">
        <v>4784</v>
      </c>
      <c r="BA552" t="s">
        <v>1769</v>
      </c>
    </row>
    <row r="553" spans="38:53">
      <c r="AL553" t="s">
        <v>4785</v>
      </c>
      <c r="BA553" t="s">
        <v>1770</v>
      </c>
    </row>
    <row r="554" spans="38:53">
      <c r="AL554" t="s">
        <v>4786</v>
      </c>
      <c r="BA554" t="s">
        <v>1771</v>
      </c>
    </row>
    <row r="555" spans="38:53">
      <c r="AL555" t="s">
        <v>4787</v>
      </c>
      <c r="BA555" t="s">
        <v>1772</v>
      </c>
    </row>
    <row r="556" spans="38:53">
      <c r="AL556" t="s">
        <v>4788</v>
      </c>
      <c r="BA556" t="s">
        <v>1773</v>
      </c>
    </row>
    <row r="557" spans="38:53">
      <c r="AL557" t="s">
        <v>4789</v>
      </c>
      <c r="BA557" t="s">
        <v>1774</v>
      </c>
    </row>
    <row r="558" spans="38:53">
      <c r="AL558" t="s">
        <v>4790</v>
      </c>
      <c r="BA558" t="s">
        <v>1775</v>
      </c>
    </row>
    <row r="559" spans="38:53">
      <c r="AL559" t="s">
        <v>4791</v>
      </c>
      <c r="BA559" t="s">
        <v>1776</v>
      </c>
    </row>
    <row r="560" spans="38:53">
      <c r="AL560" t="s">
        <v>4792</v>
      </c>
      <c r="BA560" t="s">
        <v>1777</v>
      </c>
    </row>
    <row r="561" spans="38:53">
      <c r="AL561" t="s">
        <v>4793</v>
      </c>
      <c r="BA561" t="s">
        <v>1778</v>
      </c>
    </row>
    <row r="562" spans="38:53">
      <c r="AL562" t="s">
        <v>4794</v>
      </c>
      <c r="BA562" t="s">
        <v>1779</v>
      </c>
    </row>
    <row r="563" spans="38:53">
      <c r="AL563" t="s">
        <v>936</v>
      </c>
      <c r="BA563" t="s">
        <v>1780</v>
      </c>
    </row>
    <row r="564" spans="38:53">
      <c r="AL564" t="s">
        <v>937</v>
      </c>
      <c r="BA564" t="s">
        <v>1781</v>
      </c>
    </row>
    <row r="565" spans="38:53">
      <c r="BA565" t="s">
        <v>1782</v>
      </c>
    </row>
    <row r="566" spans="38:53">
      <c r="BA566" t="s">
        <v>1783</v>
      </c>
    </row>
    <row r="567" spans="38:53">
      <c r="BA567" t="s">
        <v>1784</v>
      </c>
    </row>
    <row r="568" spans="38:53">
      <c r="BA568" t="s">
        <v>1785</v>
      </c>
    </row>
    <row r="569" spans="38:53">
      <c r="BA569" t="s">
        <v>1786</v>
      </c>
    </row>
    <row r="570" spans="38:53">
      <c r="BA570" t="s">
        <v>1787</v>
      </c>
    </row>
    <row r="571" spans="38:53">
      <c r="BA571" t="s">
        <v>1788</v>
      </c>
    </row>
    <row r="572" spans="38:53">
      <c r="BA572" t="s">
        <v>1789</v>
      </c>
    </row>
    <row r="573" spans="38:53">
      <c r="BA573" t="s">
        <v>1790</v>
      </c>
    </row>
    <row r="574" spans="38:53">
      <c r="BA574" t="s">
        <v>1791</v>
      </c>
    </row>
    <row r="575" spans="38:53">
      <c r="BA575" t="s">
        <v>1792</v>
      </c>
    </row>
    <row r="576" spans="38:53">
      <c r="BA576" t="s">
        <v>1793</v>
      </c>
    </row>
    <row r="577" spans="53:53">
      <c r="BA577" t="s">
        <v>1794</v>
      </c>
    </row>
    <row r="578" spans="53:53">
      <c r="BA578" t="s">
        <v>1795</v>
      </c>
    </row>
    <row r="579" spans="53:53">
      <c r="BA579" t="s">
        <v>1796</v>
      </c>
    </row>
    <row r="580" spans="53:53">
      <c r="BA580" t="s">
        <v>1797</v>
      </c>
    </row>
    <row r="581" spans="53:53">
      <c r="BA581" t="s">
        <v>1798</v>
      </c>
    </row>
    <row r="582" spans="53:53">
      <c r="BA582" t="s">
        <v>1799</v>
      </c>
    </row>
    <row r="583" spans="53:53">
      <c r="BA583" t="s">
        <v>1800</v>
      </c>
    </row>
    <row r="584" spans="53:53">
      <c r="BA584" t="s">
        <v>1801</v>
      </c>
    </row>
    <row r="585" spans="53:53">
      <c r="BA585" t="s">
        <v>1802</v>
      </c>
    </row>
    <row r="586" spans="53:53">
      <c r="BA586" t="s">
        <v>1803</v>
      </c>
    </row>
    <row r="587" spans="53:53">
      <c r="BA587" t="s">
        <v>1804</v>
      </c>
    </row>
    <row r="588" spans="53:53">
      <c r="BA588" t="s">
        <v>1805</v>
      </c>
    </row>
    <row r="589" spans="53:53">
      <c r="BA589" t="s">
        <v>1806</v>
      </c>
    </row>
    <row r="590" spans="53:53">
      <c r="BA590" t="s">
        <v>1807</v>
      </c>
    </row>
    <row r="591" spans="53:53">
      <c r="BA591" t="s">
        <v>1808</v>
      </c>
    </row>
    <row r="592" spans="53:53">
      <c r="BA592" t="s">
        <v>1809</v>
      </c>
    </row>
    <row r="593" spans="53:53">
      <c r="BA593" t="s">
        <v>1810</v>
      </c>
    </row>
    <row r="594" spans="53:53">
      <c r="BA594" t="s">
        <v>1811</v>
      </c>
    </row>
    <row r="595" spans="53:53">
      <c r="BA595" t="s">
        <v>1812</v>
      </c>
    </row>
    <row r="596" spans="53:53">
      <c r="BA596" t="s">
        <v>1813</v>
      </c>
    </row>
    <row r="597" spans="53:53">
      <c r="BA597" t="s">
        <v>1814</v>
      </c>
    </row>
    <row r="598" spans="53:53">
      <c r="BA598" t="s">
        <v>1815</v>
      </c>
    </row>
    <row r="599" spans="53:53">
      <c r="BA599" t="s">
        <v>1816</v>
      </c>
    </row>
    <row r="600" spans="53:53">
      <c r="BA600" t="s">
        <v>1817</v>
      </c>
    </row>
    <row r="601" spans="53:53">
      <c r="BA601" t="s">
        <v>1818</v>
      </c>
    </row>
    <row r="602" spans="53:53">
      <c r="BA602" t="s">
        <v>1819</v>
      </c>
    </row>
    <row r="603" spans="53:53">
      <c r="BA603" t="s">
        <v>1820</v>
      </c>
    </row>
    <row r="604" spans="53:53">
      <c r="BA604" t="s">
        <v>1821</v>
      </c>
    </row>
    <row r="605" spans="53:53">
      <c r="BA605" t="s">
        <v>1822</v>
      </c>
    </row>
    <row r="606" spans="53:53">
      <c r="BA606" t="s">
        <v>1823</v>
      </c>
    </row>
    <row r="607" spans="53:53">
      <c r="BA607" t="s">
        <v>1824</v>
      </c>
    </row>
    <row r="608" spans="53:53">
      <c r="BA608" t="s">
        <v>1825</v>
      </c>
    </row>
    <row r="609" spans="53:53">
      <c r="BA609" t="s">
        <v>1826</v>
      </c>
    </row>
    <row r="610" spans="53:53">
      <c r="BA610" t="s">
        <v>1827</v>
      </c>
    </row>
    <row r="611" spans="53:53">
      <c r="BA611" t="s">
        <v>1828</v>
      </c>
    </row>
    <row r="612" spans="53:53">
      <c r="BA612" t="s">
        <v>1829</v>
      </c>
    </row>
    <row r="613" spans="53:53">
      <c r="BA613" t="s">
        <v>1830</v>
      </c>
    </row>
    <row r="614" spans="53:53">
      <c r="BA614" t="s">
        <v>1831</v>
      </c>
    </row>
    <row r="615" spans="53:53">
      <c r="BA615" t="s">
        <v>1832</v>
      </c>
    </row>
    <row r="616" spans="53:53">
      <c r="BA616" t="s">
        <v>1833</v>
      </c>
    </row>
    <row r="617" spans="53:53">
      <c r="BA617" t="s">
        <v>1834</v>
      </c>
    </row>
    <row r="618" spans="53:53">
      <c r="BA618" t="s">
        <v>1835</v>
      </c>
    </row>
    <row r="619" spans="53:53">
      <c r="BA619" t="s">
        <v>1836</v>
      </c>
    </row>
    <row r="620" spans="53:53">
      <c r="BA620" t="s">
        <v>1837</v>
      </c>
    </row>
    <row r="621" spans="53:53">
      <c r="BA621" t="s">
        <v>1838</v>
      </c>
    </row>
    <row r="622" spans="53:53">
      <c r="BA622" t="s">
        <v>1839</v>
      </c>
    </row>
    <row r="623" spans="53:53">
      <c r="BA623" t="s">
        <v>1840</v>
      </c>
    </row>
    <row r="624" spans="53:53">
      <c r="BA624" t="s">
        <v>1841</v>
      </c>
    </row>
    <row r="625" spans="53:53">
      <c r="BA625" t="s">
        <v>1842</v>
      </c>
    </row>
    <row r="626" spans="53:53">
      <c r="BA626" t="s">
        <v>1843</v>
      </c>
    </row>
    <row r="627" spans="53:53">
      <c r="BA627" t="s">
        <v>1844</v>
      </c>
    </row>
    <row r="628" spans="53:53">
      <c r="BA628" t="s">
        <v>1845</v>
      </c>
    </row>
    <row r="629" spans="53:53">
      <c r="BA629" t="s">
        <v>1846</v>
      </c>
    </row>
    <row r="630" spans="53:53">
      <c r="BA630" t="s">
        <v>1847</v>
      </c>
    </row>
    <row r="631" spans="53:53">
      <c r="BA631" t="s">
        <v>1848</v>
      </c>
    </row>
    <row r="632" spans="53:53">
      <c r="BA632" t="s">
        <v>1849</v>
      </c>
    </row>
    <row r="633" spans="53:53">
      <c r="BA633" t="s">
        <v>1850</v>
      </c>
    </row>
    <row r="634" spans="53:53">
      <c r="BA634" t="s">
        <v>1851</v>
      </c>
    </row>
    <row r="635" spans="53:53">
      <c r="BA635" t="s">
        <v>1852</v>
      </c>
    </row>
    <row r="636" spans="53:53">
      <c r="BA636" t="s">
        <v>1853</v>
      </c>
    </row>
    <row r="637" spans="53:53">
      <c r="BA637" t="s">
        <v>1854</v>
      </c>
    </row>
    <row r="638" spans="53:53">
      <c r="BA638" t="s">
        <v>1855</v>
      </c>
    </row>
    <row r="639" spans="53:53">
      <c r="BA639" t="s">
        <v>1856</v>
      </c>
    </row>
    <row r="640" spans="53:53">
      <c r="BA640" t="s">
        <v>1857</v>
      </c>
    </row>
    <row r="641" spans="53:53">
      <c r="BA641" t="s">
        <v>1858</v>
      </c>
    </row>
    <row r="642" spans="53:53">
      <c r="BA642" t="s">
        <v>1859</v>
      </c>
    </row>
    <row r="643" spans="53:53">
      <c r="BA643" t="s">
        <v>1860</v>
      </c>
    </row>
    <row r="644" spans="53:53">
      <c r="BA644" t="s">
        <v>1861</v>
      </c>
    </row>
    <row r="645" spans="53:53">
      <c r="BA645" t="s">
        <v>1862</v>
      </c>
    </row>
    <row r="646" spans="53:53">
      <c r="BA646" t="s">
        <v>1863</v>
      </c>
    </row>
    <row r="647" spans="53:53">
      <c r="BA647" t="s">
        <v>1864</v>
      </c>
    </row>
    <row r="648" spans="53:53">
      <c r="BA648" t="s">
        <v>1865</v>
      </c>
    </row>
    <row r="649" spans="53:53">
      <c r="BA649" t="s">
        <v>1866</v>
      </c>
    </row>
    <row r="650" spans="53:53">
      <c r="BA650" t="s">
        <v>1867</v>
      </c>
    </row>
    <row r="651" spans="53:53">
      <c r="BA651" t="s">
        <v>1868</v>
      </c>
    </row>
    <row r="652" spans="53:53">
      <c r="BA652" t="s">
        <v>1869</v>
      </c>
    </row>
    <row r="653" spans="53:53">
      <c r="BA653" t="s">
        <v>1870</v>
      </c>
    </row>
    <row r="654" spans="53:53">
      <c r="BA654" t="s">
        <v>1871</v>
      </c>
    </row>
    <row r="655" spans="53:53">
      <c r="BA655" t="s">
        <v>1872</v>
      </c>
    </row>
    <row r="656" spans="53:53">
      <c r="BA656" t="s">
        <v>1873</v>
      </c>
    </row>
    <row r="657" spans="53:53">
      <c r="BA657" t="s">
        <v>1874</v>
      </c>
    </row>
    <row r="658" spans="53:53">
      <c r="BA658" t="s">
        <v>1875</v>
      </c>
    </row>
    <row r="659" spans="53:53">
      <c r="BA659" t="s">
        <v>1876</v>
      </c>
    </row>
    <row r="660" spans="53:53">
      <c r="BA660" t="s">
        <v>1877</v>
      </c>
    </row>
    <row r="661" spans="53:53">
      <c r="BA661" t="s">
        <v>1878</v>
      </c>
    </row>
    <row r="662" spans="53:53">
      <c r="BA662" t="s">
        <v>1879</v>
      </c>
    </row>
    <row r="663" spans="53:53">
      <c r="BA663" t="s">
        <v>1880</v>
      </c>
    </row>
    <row r="664" spans="53:53">
      <c r="BA664" t="s">
        <v>1881</v>
      </c>
    </row>
    <row r="665" spans="53:53">
      <c r="BA665" t="s">
        <v>1882</v>
      </c>
    </row>
    <row r="666" spans="53:53">
      <c r="BA666" t="s">
        <v>1883</v>
      </c>
    </row>
    <row r="667" spans="53:53">
      <c r="BA667" t="s">
        <v>1884</v>
      </c>
    </row>
    <row r="668" spans="53:53">
      <c r="BA668" t="s">
        <v>1885</v>
      </c>
    </row>
    <row r="669" spans="53:53">
      <c r="BA669" t="s">
        <v>1886</v>
      </c>
    </row>
    <row r="670" spans="53:53">
      <c r="BA670" t="s">
        <v>1887</v>
      </c>
    </row>
    <row r="671" spans="53:53">
      <c r="BA671" t="s">
        <v>1888</v>
      </c>
    </row>
    <row r="672" spans="53:53">
      <c r="BA672" t="s">
        <v>1889</v>
      </c>
    </row>
    <row r="673" spans="53:53">
      <c r="BA673" t="s">
        <v>1890</v>
      </c>
    </row>
    <row r="674" spans="53:53">
      <c r="BA674" t="s">
        <v>1891</v>
      </c>
    </row>
    <row r="675" spans="53:53">
      <c r="BA675" t="s">
        <v>1892</v>
      </c>
    </row>
    <row r="676" spans="53:53">
      <c r="BA676" t="s">
        <v>1893</v>
      </c>
    </row>
    <row r="677" spans="53:53">
      <c r="BA677" t="s">
        <v>1894</v>
      </c>
    </row>
    <row r="678" spans="53:53">
      <c r="BA678" t="s">
        <v>1895</v>
      </c>
    </row>
    <row r="679" spans="53:53">
      <c r="BA679" t="s">
        <v>1896</v>
      </c>
    </row>
    <row r="680" spans="53:53">
      <c r="BA680" t="s">
        <v>1897</v>
      </c>
    </row>
    <row r="681" spans="53:53">
      <c r="BA681" t="s">
        <v>1898</v>
      </c>
    </row>
    <row r="682" spans="53:53">
      <c r="BA682" t="s">
        <v>1899</v>
      </c>
    </row>
    <row r="683" spans="53:53">
      <c r="BA683" t="s">
        <v>1900</v>
      </c>
    </row>
    <row r="684" spans="53:53">
      <c r="BA684" t="s">
        <v>1901</v>
      </c>
    </row>
    <row r="685" spans="53:53">
      <c r="BA685" t="s">
        <v>1902</v>
      </c>
    </row>
    <row r="686" spans="53:53">
      <c r="BA686" t="s">
        <v>1903</v>
      </c>
    </row>
    <row r="687" spans="53:53">
      <c r="BA687" t="s">
        <v>1904</v>
      </c>
    </row>
    <row r="688" spans="53:53">
      <c r="BA688" t="s">
        <v>1905</v>
      </c>
    </row>
    <row r="689" spans="53:53">
      <c r="BA689" t="s">
        <v>1906</v>
      </c>
    </row>
    <row r="690" spans="53:53">
      <c r="BA690" t="s">
        <v>1907</v>
      </c>
    </row>
    <row r="691" spans="53:53">
      <c r="BA691" t="s">
        <v>1908</v>
      </c>
    </row>
    <row r="692" spans="53:53">
      <c r="BA692" t="s">
        <v>1909</v>
      </c>
    </row>
    <row r="693" spans="53:53">
      <c r="BA693" t="s">
        <v>1910</v>
      </c>
    </row>
    <row r="694" spans="53:53">
      <c r="BA694" t="s">
        <v>1911</v>
      </c>
    </row>
    <row r="695" spans="53:53">
      <c r="BA695" t="s">
        <v>1912</v>
      </c>
    </row>
    <row r="696" spans="53:53">
      <c r="BA696" t="s">
        <v>1913</v>
      </c>
    </row>
    <row r="697" spans="53:53">
      <c r="BA697" t="s">
        <v>1914</v>
      </c>
    </row>
    <row r="698" spans="53:53">
      <c r="BA698" t="s">
        <v>1915</v>
      </c>
    </row>
    <row r="699" spans="53:53">
      <c r="BA699" t="s">
        <v>1916</v>
      </c>
    </row>
    <row r="700" spans="53:53">
      <c r="BA700" t="s">
        <v>1917</v>
      </c>
    </row>
    <row r="701" spans="53:53">
      <c r="BA701" t="s">
        <v>1918</v>
      </c>
    </row>
    <row r="702" spans="53:53">
      <c r="BA702" t="s">
        <v>1919</v>
      </c>
    </row>
    <row r="703" spans="53:53">
      <c r="BA703" t="s">
        <v>1920</v>
      </c>
    </row>
    <row r="704" spans="53:53">
      <c r="BA704" t="s">
        <v>1921</v>
      </c>
    </row>
    <row r="705" spans="53:53">
      <c r="BA705" t="s">
        <v>1922</v>
      </c>
    </row>
    <row r="706" spans="53:53">
      <c r="BA706" t="s">
        <v>1923</v>
      </c>
    </row>
    <row r="707" spans="53:53">
      <c r="BA707" t="s">
        <v>1924</v>
      </c>
    </row>
    <row r="708" spans="53:53">
      <c r="BA708" t="s">
        <v>1925</v>
      </c>
    </row>
    <row r="709" spans="53:53">
      <c r="BA709" t="s">
        <v>1926</v>
      </c>
    </row>
    <row r="710" spans="53:53">
      <c r="BA710" t="s">
        <v>1927</v>
      </c>
    </row>
    <row r="711" spans="53:53">
      <c r="BA711" t="s">
        <v>1928</v>
      </c>
    </row>
    <row r="712" spans="53:53">
      <c r="BA712" t="s">
        <v>1929</v>
      </c>
    </row>
    <row r="713" spans="53:53">
      <c r="BA713" t="s">
        <v>1930</v>
      </c>
    </row>
    <row r="714" spans="53:53">
      <c r="BA714" t="s">
        <v>1931</v>
      </c>
    </row>
    <row r="715" spans="53:53">
      <c r="BA715" t="s">
        <v>1932</v>
      </c>
    </row>
    <row r="716" spans="53:53">
      <c r="BA716" t="s">
        <v>1933</v>
      </c>
    </row>
    <row r="717" spans="53:53">
      <c r="BA717" t="s">
        <v>1934</v>
      </c>
    </row>
    <row r="718" spans="53:53">
      <c r="BA718" t="s">
        <v>1935</v>
      </c>
    </row>
    <row r="719" spans="53:53">
      <c r="BA719" t="s">
        <v>1936</v>
      </c>
    </row>
    <row r="720" spans="53:53">
      <c r="BA720" t="s">
        <v>1937</v>
      </c>
    </row>
    <row r="721" spans="53:53">
      <c r="BA721" t="s">
        <v>1938</v>
      </c>
    </row>
    <row r="722" spans="53:53">
      <c r="BA722" t="s">
        <v>1939</v>
      </c>
    </row>
    <row r="723" spans="53:53">
      <c r="BA723" t="s">
        <v>1940</v>
      </c>
    </row>
    <row r="724" spans="53:53">
      <c r="BA724" t="s">
        <v>1941</v>
      </c>
    </row>
    <row r="725" spans="53:53">
      <c r="BA725" t="s">
        <v>1942</v>
      </c>
    </row>
    <row r="726" spans="53:53">
      <c r="BA726" t="s">
        <v>1943</v>
      </c>
    </row>
    <row r="727" spans="53:53">
      <c r="BA727" t="s">
        <v>1944</v>
      </c>
    </row>
    <row r="728" spans="53:53">
      <c r="BA728" t="s">
        <v>1945</v>
      </c>
    </row>
    <row r="729" spans="53:53">
      <c r="BA729" t="s">
        <v>1946</v>
      </c>
    </row>
    <row r="730" spans="53:53">
      <c r="BA730" t="s">
        <v>1947</v>
      </c>
    </row>
    <row r="731" spans="53:53">
      <c r="BA731" t="s">
        <v>1948</v>
      </c>
    </row>
    <row r="732" spans="53:53">
      <c r="BA732" t="s">
        <v>1949</v>
      </c>
    </row>
    <row r="733" spans="53:53">
      <c r="BA733" t="s">
        <v>1950</v>
      </c>
    </row>
    <row r="734" spans="53:53">
      <c r="BA734" t="s">
        <v>1951</v>
      </c>
    </row>
    <row r="735" spans="53:53">
      <c r="BA735" t="s">
        <v>1952</v>
      </c>
    </row>
    <row r="736" spans="53:53">
      <c r="BA736" t="s">
        <v>1953</v>
      </c>
    </row>
    <row r="737" spans="53:53">
      <c r="BA737" t="s">
        <v>1954</v>
      </c>
    </row>
    <row r="738" spans="53:53">
      <c r="BA738" t="s">
        <v>1955</v>
      </c>
    </row>
    <row r="739" spans="53:53">
      <c r="BA739" t="s">
        <v>1956</v>
      </c>
    </row>
    <row r="740" spans="53:53">
      <c r="BA740" t="s">
        <v>1957</v>
      </c>
    </row>
    <row r="741" spans="53:53">
      <c r="BA741" t="s">
        <v>1958</v>
      </c>
    </row>
    <row r="742" spans="53:53">
      <c r="BA742" t="s">
        <v>1959</v>
      </c>
    </row>
    <row r="743" spans="53:53">
      <c r="BA743" t="s">
        <v>1960</v>
      </c>
    </row>
    <row r="744" spans="53:53">
      <c r="BA744" t="s">
        <v>1961</v>
      </c>
    </row>
    <row r="745" spans="53:53">
      <c r="BA745" t="s">
        <v>1962</v>
      </c>
    </row>
    <row r="746" spans="53:53">
      <c r="BA746" t="s">
        <v>1963</v>
      </c>
    </row>
    <row r="747" spans="53:53">
      <c r="BA747" t="s">
        <v>1964</v>
      </c>
    </row>
    <row r="748" spans="53:53">
      <c r="BA748" t="s">
        <v>1965</v>
      </c>
    </row>
    <row r="749" spans="53:53">
      <c r="BA749" t="s">
        <v>1966</v>
      </c>
    </row>
    <row r="750" spans="53:53">
      <c r="BA750" t="s">
        <v>1967</v>
      </c>
    </row>
    <row r="751" spans="53:53">
      <c r="BA751" t="s">
        <v>1968</v>
      </c>
    </row>
    <row r="752" spans="53:53">
      <c r="BA752" t="s">
        <v>1969</v>
      </c>
    </row>
    <row r="753" spans="53:53">
      <c r="BA753" t="s">
        <v>1970</v>
      </c>
    </row>
    <row r="754" spans="53:53">
      <c r="BA754" t="s">
        <v>1971</v>
      </c>
    </row>
    <row r="755" spans="53:53">
      <c r="BA755" t="s">
        <v>1972</v>
      </c>
    </row>
    <row r="756" spans="53:53">
      <c r="BA756" t="s">
        <v>1973</v>
      </c>
    </row>
    <row r="757" spans="53:53">
      <c r="BA757" t="s">
        <v>1974</v>
      </c>
    </row>
    <row r="758" spans="53:53">
      <c r="BA758" t="s">
        <v>1975</v>
      </c>
    </row>
    <row r="759" spans="53:53">
      <c r="BA759" t="s">
        <v>1976</v>
      </c>
    </row>
    <row r="760" spans="53:53">
      <c r="BA760" t="s">
        <v>1977</v>
      </c>
    </row>
    <row r="761" spans="53:53">
      <c r="BA761" t="s">
        <v>1978</v>
      </c>
    </row>
    <row r="762" spans="53:53">
      <c r="BA762" t="s">
        <v>1979</v>
      </c>
    </row>
    <row r="763" spans="53:53">
      <c r="BA763" t="s">
        <v>1980</v>
      </c>
    </row>
    <row r="764" spans="53:53">
      <c r="BA764" t="s">
        <v>1981</v>
      </c>
    </row>
    <row r="765" spans="53:53">
      <c r="BA765" t="s">
        <v>1982</v>
      </c>
    </row>
    <row r="766" spans="53:53">
      <c r="BA766" t="s">
        <v>1983</v>
      </c>
    </row>
    <row r="767" spans="53:53">
      <c r="BA767" t="s">
        <v>1984</v>
      </c>
    </row>
    <row r="768" spans="53:53">
      <c r="BA768" t="s">
        <v>1985</v>
      </c>
    </row>
    <row r="769" spans="53:53">
      <c r="BA769" t="s">
        <v>1986</v>
      </c>
    </row>
    <row r="770" spans="53:53">
      <c r="BA770" t="s">
        <v>1987</v>
      </c>
    </row>
    <row r="771" spans="53:53">
      <c r="BA771" t="s">
        <v>1988</v>
      </c>
    </row>
    <row r="772" spans="53:53">
      <c r="BA772" t="s">
        <v>1989</v>
      </c>
    </row>
    <row r="773" spans="53:53">
      <c r="BA773" t="s">
        <v>1990</v>
      </c>
    </row>
    <row r="774" spans="53:53">
      <c r="BA774" t="s">
        <v>1991</v>
      </c>
    </row>
    <row r="775" spans="53:53">
      <c r="BA775" t="s">
        <v>1992</v>
      </c>
    </row>
    <row r="776" spans="53:53">
      <c r="BA776" t="s">
        <v>1993</v>
      </c>
    </row>
    <row r="777" spans="53:53">
      <c r="BA777" t="s">
        <v>1994</v>
      </c>
    </row>
    <row r="778" spans="53:53">
      <c r="BA778" t="s">
        <v>1995</v>
      </c>
    </row>
    <row r="779" spans="53:53">
      <c r="BA779" t="s">
        <v>1996</v>
      </c>
    </row>
    <row r="780" spans="53:53">
      <c r="BA780" t="s">
        <v>1997</v>
      </c>
    </row>
    <row r="781" spans="53:53">
      <c r="BA781" t="s">
        <v>1998</v>
      </c>
    </row>
    <row r="782" spans="53:53">
      <c r="BA782" t="s">
        <v>1999</v>
      </c>
    </row>
    <row r="783" spans="53:53">
      <c r="BA783" t="s">
        <v>2000</v>
      </c>
    </row>
    <row r="784" spans="53:53">
      <c r="BA784" t="s">
        <v>2001</v>
      </c>
    </row>
    <row r="785" spans="53:53">
      <c r="BA785" t="s">
        <v>2002</v>
      </c>
    </row>
    <row r="786" spans="53:53">
      <c r="BA786" t="s">
        <v>2003</v>
      </c>
    </row>
    <row r="787" spans="53:53">
      <c r="BA787" t="s">
        <v>2004</v>
      </c>
    </row>
    <row r="788" spans="53:53">
      <c r="BA788" t="s">
        <v>2005</v>
      </c>
    </row>
    <row r="789" spans="53:53">
      <c r="BA789" t="s">
        <v>2006</v>
      </c>
    </row>
    <row r="790" spans="53:53">
      <c r="BA790" t="s">
        <v>2007</v>
      </c>
    </row>
    <row r="791" spans="53:53">
      <c r="BA791" t="s">
        <v>2008</v>
      </c>
    </row>
    <row r="792" spans="53:53">
      <c r="BA792" t="s">
        <v>2009</v>
      </c>
    </row>
    <row r="793" spans="53:53">
      <c r="BA793" t="s">
        <v>2010</v>
      </c>
    </row>
    <row r="794" spans="53:53">
      <c r="BA794" t="s">
        <v>2011</v>
      </c>
    </row>
    <row r="795" spans="53:53">
      <c r="BA795" t="s">
        <v>2012</v>
      </c>
    </row>
    <row r="796" spans="53:53">
      <c r="BA796" t="s">
        <v>2013</v>
      </c>
    </row>
    <row r="797" spans="53:53">
      <c r="BA797" t="s">
        <v>2014</v>
      </c>
    </row>
    <row r="798" spans="53:53">
      <c r="BA798" t="s">
        <v>2015</v>
      </c>
    </row>
    <row r="799" spans="53:53">
      <c r="BA799" t="s">
        <v>2016</v>
      </c>
    </row>
    <row r="800" spans="53:53">
      <c r="BA800" t="s">
        <v>2017</v>
      </c>
    </row>
    <row r="801" spans="53:53">
      <c r="BA801" t="s">
        <v>2018</v>
      </c>
    </row>
    <row r="802" spans="53:53">
      <c r="BA802" t="s">
        <v>2019</v>
      </c>
    </row>
    <row r="803" spans="53:53">
      <c r="BA803" t="s">
        <v>2020</v>
      </c>
    </row>
    <row r="804" spans="53:53">
      <c r="BA804" t="s">
        <v>2021</v>
      </c>
    </row>
    <row r="805" spans="53:53">
      <c r="BA805" t="s">
        <v>2022</v>
      </c>
    </row>
    <row r="806" spans="53:53">
      <c r="BA806" t="s">
        <v>2023</v>
      </c>
    </row>
    <row r="807" spans="53:53">
      <c r="BA807" t="s">
        <v>2024</v>
      </c>
    </row>
    <row r="808" spans="53:53">
      <c r="BA808" t="s">
        <v>2025</v>
      </c>
    </row>
    <row r="809" spans="53:53">
      <c r="BA809" t="s">
        <v>2026</v>
      </c>
    </row>
    <row r="810" spans="53:53">
      <c r="BA810" t="s">
        <v>2027</v>
      </c>
    </row>
    <row r="811" spans="53:53">
      <c r="BA811" t="s">
        <v>2028</v>
      </c>
    </row>
    <row r="812" spans="53:53">
      <c r="BA812" t="s">
        <v>2029</v>
      </c>
    </row>
    <row r="813" spans="53:53">
      <c r="BA813" t="s">
        <v>2030</v>
      </c>
    </row>
    <row r="814" spans="53:53">
      <c r="BA814" t="s">
        <v>2031</v>
      </c>
    </row>
    <row r="815" spans="53:53">
      <c r="BA815" t="s">
        <v>2032</v>
      </c>
    </row>
    <row r="816" spans="53:53">
      <c r="BA816" t="s">
        <v>2033</v>
      </c>
    </row>
    <row r="817" spans="53:53">
      <c r="BA817" t="s">
        <v>2034</v>
      </c>
    </row>
    <row r="818" spans="53:53">
      <c r="BA818" t="s">
        <v>2035</v>
      </c>
    </row>
    <row r="819" spans="53:53">
      <c r="BA819" t="s">
        <v>2036</v>
      </c>
    </row>
    <row r="820" spans="53:53">
      <c r="BA820" t="s">
        <v>2037</v>
      </c>
    </row>
    <row r="821" spans="53:53">
      <c r="BA821" t="s">
        <v>2038</v>
      </c>
    </row>
    <row r="822" spans="53:53">
      <c r="BA822" t="s">
        <v>2039</v>
      </c>
    </row>
    <row r="823" spans="53:53">
      <c r="BA823" t="s">
        <v>2040</v>
      </c>
    </row>
    <row r="824" spans="53:53">
      <c r="BA824" t="s">
        <v>2041</v>
      </c>
    </row>
    <row r="825" spans="53:53">
      <c r="BA825" t="s">
        <v>2042</v>
      </c>
    </row>
    <row r="826" spans="53:53">
      <c r="BA826" t="s">
        <v>2043</v>
      </c>
    </row>
    <row r="827" spans="53:53">
      <c r="BA827" t="s">
        <v>2044</v>
      </c>
    </row>
    <row r="828" spans="53:53">
      <c r="BA828" t="s">
        <v>2045</v>
      </c>
    </row>
    <row r="829" spans="53:53">
      <c r="BA829" t="s">
        <v>2046</v>
      </c>
    </row>
    <row r="830" spans="53:53">
      <c r="BA830" t="s">
        <v>2047</v>
      </c>
    </row>
    <row r="831" spans="53:53">
      <c r="BA831" t="s">
        <v>2048</v>
      </c>
    </row>
    <row r="832" spans="53:53">
      <c r="BA832" t="s">
        <v>2049</v>
      </c>
    </row>
    <row r="833" spans="53:53">
      <c r="BA833" t="s">
        <v>2050</v>
      </c>
    </row>
    <row r="834" spans="53:53">
      <c r="BA834" t="s">
        <v>2051</v>
      </c>
    </row>
    <row r="835" spans="53:53">
      <c r="BA835" t="s">
        <v>2052</v>
      </c>
    </row>
    <row r="836" spans="53:53">
      <c r="BA836" t="s">
        <v>2053</v>
      </c>
    </row>
    <row r="837" spans="53:53">
      <c r="BA837" t="s">
        <v>2054</v>
      </c>
    </row>
    <row r="838" spans="53:53">
      <c r="BA838" t="s">
        <v>2055</v>
      </c>
    </row>
    <row r="839" spans="53:53">
      <c r="BA839" t="s">
        <v>2056</v>
      </c>
    </row>
    <row r="840" spans="53:53">
      <c r="BA840" t="s">
        <v>2057</v>
      </c>
    </row>
    <row r="841" spans="53:53">
      <c r="BA841" t="s">
        <v>2058</v>
      </c>
    </row>
    <row r="842" spans="53:53">
      <c r="BA842" t="s">
        <v>2059</v>
      </c>
    </row>
    <row r="843" spans="53:53">
      <c r="BA843" t="s">
        <v>2060</v>
      </c>
    </row>
    <row r="844" spans="53:53">
      <c r="BA844" t="s">
        <v>2061</v>
      </c>
    </row>
    <row r="845" spans="53:53">
      <c r="BA845" t="s">
        <v>2062</v>
      </c>
    </row>
    <row r="846" spans="53:53">
      <c r="BA846" t="s">
        <v>2063</v>
      </c>
    </row>
    <row r="847" spans="53:53">
      <c r="BA847" t="s">
        <v>2064</v>
      </c>
    </row>
    <row r="848" spans="53:53">
      <c r="BA848" t="s">
        <v>2065</v>
      </c>
    </row>
    <row r="849" spans="53:53">
      <c r="BA849" t="s">
        <v>2066</v>
      </c>
    </row>
    <row r="850" spans="53:53">
      <c r="BA850" t="s">
        <v>2067</v>
      </c>
    </row>
    <row r="851" spans="53:53">
      <c r="BA851" t="s">
        <v>2068</v>
      </c>
    </row>
    <row r="852" spans="53:53">
      <c r="BA852" t="s">
        <v>2069</v>
      </c>
    </row>
    <row r="853" spans="53:53">
      <c r="BA853" t="s">
        <v>2070</v>
      </c>
    </row>
    <row r="854" spans="53:53">
      <c r="BA854" t="s">
        <v>2071</v>
      </c>
    </row>
    <row r="855" spans="53:53">
      <c r="BA855" t="s">
        <v>2072</v>
      </c>
    </row>
    <row r="856" spans="53:53">
      <c r="BA856" t="s">
        <v>2073</v>
      </c>
    </row>
    <row r="857" spans="53:53">
      <c r="BA857" t="s">
        <v>2074</v>
      </c>
    </row>
    <row r="858" spans="53:53">
      <c r="BA858" t="s">
        <v>2075</v>
      </c>
    </row>
    <row r="859" spans="53:53">
      <c r="BA859" t="s">
        <v>2076</v>
      </c>
    </row>
    <row r="860" spans="53:53">
      <c r="BA860" t="s">
        <v>2077</v>
      </c>
    </row>
    <row r="861" spans="53:53">
      <c r="BA861" t="s">
        <v>2078</v>
      </c>
    </row>
    <row r="862" spans="53:53">
      <c r="BA862" t="s">
        <v>2079</v>
      </c>
    </row>
    <row r="863" spans="53:53">
      <c r="BA863" t="s">
        <v>2080</v>
      </c>
    </row>
    <row r="864" spans="53:53">
      <c r="BA864" t="s">
        <v>2081</v>
      </c>
    </row>
    <row r="865" spans="53:53">
      <c r="BA865" t="s">
        <v>2082</v>
      </c>
    </row>
    <row r="866" spans="53:53">
      <c r="BA866" t="s">
        <v>2083</v>
      </c>
    </row>
    <row r="867" spans="53:53">
      <c r="BA867" t="s">
        <v>2084</v>
      </c>
    </row>
    <row r="868" spans="53:53">
      <c r="BA868" t="s">
        <v>2085</v>
      </c>
    </row>
    <row r="869" spans="53:53">
      <c r="BA869" t="s">
        <v>2086</v>
      </c>
    </row>
    <row r="870" spans="53:53">
      <c r="BA870" t="s">
        <v>2087</v>
      </c>
    </row>
    <row r="871" spans="53:53">
      <c r="BA871" t="s">
        <v>2088</v>
      </c>
    </row>
    <row r="872" spans="53:53">
      <c r="BA872" t="s">
        <v>2089</v>
      </c>
    </row>
    <row r="873" spans="53:53">
      <c r="BA873" t="s">
        <v>2090</v>
      </c>
    </row>
    <row r="874" spans="53:53">
      <c r="BA874" t="s">
        <v>2091</v>
      </c>
    </row>
    <row r="875" spans="53:53">
      <c r="BA875" t="s">
        <v>2092</v>
      </c>
    </row>
    <row r="876" spans="53:53">
      <c r="BA876" t="s">
        <v>2093</v>
      </c>
    </row>
    <row r="877" spans="53:53">
      <c r="BA877" t="s">
        <v>2094</v>
      </c>
    </row>
    <row r="878" spans="53:53">
      <c r="BA878" t="s">
        <v>2095</v>
      </c>
    </row>
    <row r="879" spans="53:53">
      <c r="BA879" t="s">
        <v>2096</v>
      </c>
    </row>
    <row r="880" spans="53:53">
      <c r="BA880" t="s">
        <v>2097</v>
      </c>
    </row>
    <row r="881" spans="53:53">
      <c r="BA881" t="s">
        <v>2098</v>
      </c>
    </row>
    <row r="882" spans="53:53">
      <c r="BA882" t="s">
        <v>2099</v>
      </c>
    </row>
    <row r="883" spans="53:53">
      <c r="BA883" t="s">
        <v>2100</v>
      </c>
    </row>
    <row r="884" spans="53:53">
      <c r="BA884" t="s">
        <v>2101</v>
      </c>
    </row>
    <row r="885" spans="53:53">
      <c r="BA885" t="s">
        <v>2102</v>
      </c>
    </row>
    <row r="886" spans="53:53">
      <c r="BA886" t="s">
        <v>2103</v>
      </c>
    </row>
    <row r="887" spans="53:53">
      <c r="BA887" t="s">
        <v>2104</v>
      </c>
    </row>
    <row r="888" spans="53:53">
      <c r="BA888" t="s">
        <v>2105</v>
      </c>
    </row>
    <row r="889" spans="53:53">
      <c r="BA889" t="s">
        <v>2106</v>
      </c>
    </row>
    <row r="890" spans="53:53">
      <c r="BA890" t="s">
        <v>2107</v>
      </c>
    </row>
    <row r="891" spans="53:53">
      <c r="BA891" t="s">
        <v>2108</v>
      </c>
    </row>
    <row r="892" spans="53:53">
      <c r="BA892" t="s">
        <v>2109</v>
      </c>
    </row>
    <row r="893" spans="53:53">
      <c r="BA893" t="s">
        <v>2110</v>
      </c>
    </row>
    <row r="894" spans="53:53">
      <c r="BA894" t="s">
        <v>2111</v>
      </c>
    </row>
    <row r="895" spans="53:53">
      <c r="BA895" t="s">
        <v>2112</v>
      </c>
    </row>
    <row r="896" spans="53:53">
      <c r="BA896" t="s">
        <v>2113</v>
      </c>
    </row>
    <row r="897" spans="53:53">
      <c r="BA897" t="s">
        <v>2114</v>
      </c>
    </row>
    <row r="898" spans="53:53">
      <c r="BA898" t="s">
        <v>2115</v>
      </c>
    </row>
    <row r="899" spans="53:53">
      <c r="BA899" t="s">
        <v>2116</v>
      </c>
    </row>
    <row r="900" spans="53:53">
      <c r="BA900" t="s">
        <v>2117</v>
      </c>
    </row>
    <row r="901" spans="53:53">
      <c r="BA901" t="s">
        <v>2118</v>
      </c>
    </row>
    <row r="902" spans="53:53">
      <c r="BA902" t="s">
        <v>2119</v>
      </c>
    </row>
  </sheetData>
  <hyperlinks>
    <hyperlink ref="A1" location="#'3757 - Wall Stickers'!D6" display="Brand"/>
    <hyperlink ref="B1" location="#'3757 - Wall Stickers'!J6" display="Variant Type"/>
    <hyperlink ref="C1" location="#'3757 - Wall Stickers'!L6" display="Variant Details - Variant Grouping (Class 3757)"/>
    <hyperlink ref="D1" location="#'6161 - Wallpaper'!L6" display="Variant Details - Variant Grouping (Class 6161)"/>
    <hyperlink ref="E1" location="#'3757 - Wall Stickers'!AF6" display="Ship Type"/>
    <hyperlink ref="F1" location="#'3757 - Wall Stickers'!AG6" display="Freight Class"/>
    <hyperlink ref="G1" location="#'3757 - Wall Stickers'!AH6" display="Lead Time"/>
    <hyperlink ref="H1" location="#'3757 - Wall Stickers'!AI6" display="Replacement Lead Time"/>
    <hyperlink ref="I1" location="#'Additional Documents'!D6" display="Document Type"/>
    <hyperlink ref="J1" location="#'Additional Documents'!E6" display="Legal Document Type"/>
    <hyperlink ref="K1" location="#'Additional Documents'!F6" display="Document Region"/>
    <hyperlink ref="L1" location="#'6161 - Wallpaper'!BI6" display="Product Type"/>
    <hyperlink ref="N1" location="#'6161 - Wallpaper'!BJ6" display="Pattern"/>
    <hyperlink ref="P1" location="#'6161 - Wallpaper'!BK6" display="Wallpaper Texture"/>
    <hyperlink ref="R1" location="#'6161 - Wallpaper'!BL6" display="Application Type"/>
    <hyperlink ref="T1" location="#'6161 - Wallpaper'!BM6" display="Match Type"/>
    <hyperlink ref="V1" location="#'6161 - Wallpaper'!BN6" display="Removal Type"/>
    <hyperlink ref="X1" location="#'6161 - Wallpaper'!BO6" display="Country of Origin"/>
    <hyperlink ref="Z1" location="#'6161 - Wallpaper'!BP6" display="Country of Origin - Additional Details"/>
    <hyperlink ref="AB1" location="#'6161 - Wallpaper'!BQ6" display="Supplier Intended and Approved Use"/>
    <hyperlink ref="AD1" location="#'6161 - Wallpaper'!BS6" display="Durability"/>
    <hyperlink ref="AF1" location="#'6161 - Wallpaper'!BT6" display="Designer"/>
    <hyperlink ref="AH1" location="#'6161 - Wallpaper'!BU6" display="Product Care"/>
    <hyperlink ref="AJ1" location="#'6161 - Wallpaper'!BV6" display="Color"/>
    <hyperlink ref="AL1" location="#'6161 - Wallpaper'!BX6" display="Sports Team Name"/>
    <hyperlink ref="AM1" location="#'6161 - Wallpaper'!BY6" display="Movie / Show Series Name"/>
    <hyperlink ref="AN1" location="#'6161 - Wallpaper'!CA6" display="General Features"/>
    <hyperlink ref="AP1" location="#'6161 - Wallpaper'!CB6" display="Material"/>
    <hyperlink ref="AR1" location="#'6161 - Wallpaper'!CC6" display="Age Group"/>
    <hyperlink ref="AT1" location="#'6161 - Wallpaper'!CD6" display="Finish"/>
    <hyperlink ref="AV1" location="#'6161 - Wallpaper'!CJ6" display="Commercial Warranty Length"/>
    <hyperlink ref="AX1" location="#'6161 - Wallpaper'!CK6" display="Wayfair Compliance Verified Program (including Baby Safety Alliance fka JPMA) for this product category"/>
    <hyperlink ref="AY1" location="#'6161 - Wallpaper'!CL6" display="Uniform Packaging and Labeling Regulations (UPLR) Compliant"/>
    <hyperlink ref="BA1" location="#'Additional Chemicals'!C6" display="Chemical"/>
    <hyperlink ref="BB1" location="#'Additional Chemicals'!D6" display="Toxicity"/>
    <hyperlink ref="BC1" location="#'3757 - Wall Stickers'!BI6" display="Product Type"/>
    <hyperlink ref="BE1" location="#'3757 - Wall Stickers'!BJ6" display="Subject"/>
    <hyperlink ref="BG1" location="#'3757 - Wall Stickers'!BK6" display="Surface Type"/>
    <hyperlink ref="BI1" location="#'3757 - Wall Stickers'!BL6" display="Material"/>
    <hyperlink ref="BK1" location="#'3757 - Wall Stickers'!BM6" display="Compatible Surfaces"/>
    <hyperlink ref="BM1" location="#'3757 - Wall Stickers'!BO6" display="Room Use"/>
    <hyperlink ref="BO1" location="#'3757 - Wall Stickers'!BP6" display="Country of Origin"/>
    <hyperlink ref="BQ1" location="#'3757 - Wall Stickers'!BQ6" display="Holiday / Occasion"/>
    <hyperlink ref="BS1" location="#'3757 - Wall Stickers'!BR6" display="Country of Origin - Additional Details"/>
    <hyperlink ref="BU1" location="#'3757 - Wall Stickers'!BT6" display="Licensed Product Category"/>
    <hyperlink ref="BW1" location="#'3757 - Wall Stickers'!BU6" display="Durability"/>
    <hyperlink ref="BY1" location="#'3757 - Wall Stickers'!BV6" display="Adjustability Features"/>
    <hyperlink ref="CA1" location="#'3757 - Wall Stickers'!BW6" display="Color"/>
    <hyperlink ref="CC1" location="#'3757 - Wall Stickers'!BY6" display="Pieces Included"/>
    <hyperlink ref="CE1" location="#'3757 - Wall Stickers'!BZ6" display="Movie / Show Series Name"/>
    <hyperlink ref="CF1" location="#'3757 - Wall Stickers'!CA6" display="General Features"/>
    <hyperlink ref="CH1" location="#'3757 - Wall Stickers'!CB6" display="Age Group"/>
    <hyperlink ref="CJ1" location="#'3757 - Wall Stickers'!CF6" display="Commercial Warranty Length"/>
    <hyperlink ref="CL1" location="#'3757 - Wall Stickers'!CG6" display="Wayfair Compliance Verified Program (including Baby Safety Alliance fka JPMA) for this product category"/>
    <hyperlink ref="CM1" location="#'3757 - Wall Stickers'!CH6" display="Uniform Packaging and Labeling Regulations (UPLR) Compliant"/>
    <hyperlink ref="CO1" location="#'3757 - Wall Stickers'!CJ6" display="ISTA Certifie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84</vt:i4>
      </vt:variant>
    </vt:vector>
  </HeadingPairs>
  <TitlesOfParts>
    <vt:vector size="109" baseType="lpstr">
      <vt:lpstr>Instructions</vt:lpstr>
      <vt:lpstr>Error Summary</vt:lpstr>
      <vt:lpstr>WAYFAIR_USE_ONLY</vt:lpstr>
      <vt:lpstr>6161 - Wallpaper</vt:lpstr>
      <vt:lpstr>6161 - Wallpaper-WUO_ERR</vt:lpstr>
      <vt:lpstr>6161 - Wallpaper-WUO_TRK</vt:lpstr>
      <vt:lpstr>3757 - Wall Stickers</vt:lpstr>
      <vt:lpstr>3757 - Wall Stickers-WUO_ERR</vt:lpstr>
      <vt:lpstr>3757 - Wall Stickers-WUO_TRK</vt:lpstr>
      <vt:lpstr>Additional Cartons</vt:lpstr>
      <vt:lpstr>Additional Cartons-WUO_ERR</vt:lpstr>
      <vt:lpstr>Additional Cartons-WUO_TRK</vt:lpstr>
      <vt:lpstr>Additional Images</vt:lpstr>
      <vt:lpstr>Additional Images-WUO_ERR</vt:lpstr>
      <vt:lpstr>Additional Images-WUO_TRK</vt:lpstr>
      <vt:lpstr>Additional Videos</vt:lpstr>
      <vt:lpstr>Additional Videos-WUO_ERR</vt:lpstr>
      <vt:lpstr>Additional Videos-WUO_TRK</vt:lpstr>
      <vt:lpstr>Additional Documents</vt:lpstr>
      <vt:lpstr>Additional Documents-WUO_ERR</vt:lpstr>
      <vt:lpstr>Additional Documents-WUO_TRK</vt:lpstr>
      <vt:lpstr>Additional Chemicals</vt:lpstr>
      <vt:lpstr>Additional Chemicals-WUO_ERR</vt:lpstr>
      <vt:lpstr>Additional Chemicals-WUO_TRK</vt:lpstr>
      <vt:lpstr>Valid Values</vt:lpstr>
      <vt:lpstr>allowed182152</vt:lpstr>
      <vt:lpstr>allowed237073</vt:lpstr>
      <vt:lpstr>allowed237291</vt:lpstr>
      <vt:lpstr>allowed239196</vt:lpstr>
      <vt:lpstr>allowed244672</vt:lpstr>
      <vt:lpstr>allowed245842</vt:lpstr>
      <vt:lpstr>allowed299896</vt:lpstr>
      <vt:lpstr>allowed300640</vt:lpstr>
      <vt:lpstr>allowed300666</vt:lpstr>
      <vt:lpstr>allowed302380</vt:lpstr>
      <vt:lpstr>allowed333897</vt:lpstr>
      <vt:lpstr>allowed336807</vt:lpstr>
      <vt:lpstr>allowed336816</vt:lpstr>
      <vt:lpstr>allowed364166</vt:lpstr>
      <vt:lpstr>allowed371810</vt:lpstr>
      <vt:lpstr>allowed371902</vt:lpstr>
      <vt:lpstr>allowed379963</vt:lpstr>
      <vt:lpstr>allowed380379</vt:lpstr>
      <vt:lpstr>allowed386214</vt:lpstr>
      <vt:lpstr>allowed409341</vt:lpstr>
      <vt:lpstr>allowed421593</vt:lpstr>
      <vt:lpstr>allowed435493</vt:lpstr>
      <vt:lpstr>allowed435497</vt:lpstr>
      <vt:lpstr>allowed436381</vt:lpstr>
      <vt:lpstr>allowed437136</vt:lpstr>
      <vt:lpstr>allowed437142</vt:lpstr>
      <vt:lpstr>allowed486624</vt:lpstr>
      <vt:lpstr>allowed486754</vt:lpstr>
      <vt:lpstr>allowed487304</vt:lpstr>
      <vt:lpstr>allowed71859</vt:lpstr>
      <vt:lpstr>allowed71862</vt:lpstr>
      <vt:lpstr>allowed71864</vt:lpstr>
      <vt:lpstr>allowed71866</vt:lpstr>
      <vt:lpstr>allowed71880</vt:lpstr>
      <vt:lpstr>allowed71893</vt:lpstr>
      <vt:lpstr>allowed71900</vt:lpstr>
      <vt:lpstr>allowed83610</vt:lpstr>
      <vt:lpstr>allowed83613</vt:lpstr>
      <vt:lpstr>allowed83614</vt:lpstr>
      <vt:lpstr>allowed83631</vt:lpstr>
      <vt:lpstr>allowed83632</vt:lpstr>
      <vt:lpstr>allowed83633</vt:lpstr>
      <vt:lpstr>allowed83645</vt:lpstr>
      <vt:lpstr>allowedcore__manufacturerId</vt:lpstr>
      <vt:lpstr>allowedmedia__documentType</vt:lpstr>
      <vt:lpstr>allowedmedia__legalDocumentType</vt:lpstr>
      <vt:lpstr>allowedmedia__regionType</vt:lpstr>
      <vt:lpstr>allowedpropSixtyFive__chemicalId</vt:lpstr>
      <vt:lpstr>allowedpropSixtyFive__toxicity</vt:lpstr>
      <vt:lpstr>allowedshippingAndFulfillment__freightClass</vt:lpstr>
      <vt:lpstr>allowedshippingAndFulfillment__leadTime</vt:lpstr>
      <vt:lpstr>allowedshippingAndFulfillment__replacementLeadTime</vt:lpstr>
      <vt:lpstr>allowedshippingAndFulfillment__shipType</vt:lpstr>
      <vt:lpstr>allowedvariantGrouping__variantGrouping</vt:lpstr>
      <vt:lpstr>allowedvariantGrouping__variantGrouping</vt:lpstr>
      <vt:lpstr>allowedvariantGrouping__variantType</vt:lpstr>
      <vt:lpstr>Class3757Answers</vt:lpstr>
      <vt:lpstr>Class3757Errors</vt:lpstr>
      <vt:lpstr>Class3757Headers</vt:lpstr>
      <vt:lpstr>Class3757Tracker</vt:lpstr>
      <vt:lpstr>Class6161Answers</vt:lpstr>
      <vt:lpstr>Class6161Errors</vt:lpstr>
      <vt:lpstr>Class6161Headers</vt:lpstr>
      <vt:lpstr>Class6161Tracker</vt:lpstr>
      <vt:lpstr>media__documentsAnswers</vt:lpstr>
      <vt:lpstr>media__documentsErrors</vt:lpstr>
      <vt:lpstr>media__documentsHeaders</vt:lpstr>
      <vt:lpstr>media__documentsTracker</vt:lpstr>
      <vt:lpstr>media__imagesAnswers</vt:lpstr>
      <vt:lpstr>media__imagesErrors</vt:lpstr>
      <vt:lpstr>media__imagesHeaders</vt:lpstr>
      <vt:lpstr>media__imagesTracker</vt:lpstr>
      <vt:lpstr>media__videosAnswers</vt:lpstr>
      <vt:lpstr>media__videosErrors</vt:lpstr>
      <vt:lpstr>media__videosHeaders</vt:lpstr>
      <vt:lpstr>media__videosTracker</vt:lpstr>
      <vt:lpstr>propSixtyFive__chemicalsAnswers</vt:lpstr>
      <vt:lpstr>propSixtyFive__chemicalsErrors</vt:lpstr>
      <vt:lpstr>propSixtyFive__chemicalsHeaders</vt:lpstr>
      <vt:lpstr>propSixtyFive__chemicalsTracker</vt:lpstr>
      <vt:lpstr>shippingAndFulfillment__cartonsAnswers</vt:lpstr>
      <vt:lpstr>shippingAndFulfillment__cartonsErrors</vt:lpstr>
      <vt:lpstr>shippingAndFulfillment__cartonsHeaders</vt:lpstr>
      <vt:lpstr>shippingAndFulfillment__cartonsTracker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2026-07-14T18:37:55Z</dcterms:created>
  <dcterms:modified xsi:type="dcterms:W3CDTF">2026-07-14T18:37:55Z</dcterms:modified>
</cp:coreProperties>
</file>